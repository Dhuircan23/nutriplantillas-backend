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mc="http://schemas.openxmlformats.org/markup-compatibility/2006" xmlns:x15ac="http://schemas.microsoft.com/office/spreadsheetml/2010/11/ac" xmlns:xr="http://schemas.microsoft.com/office/spreadsheetml/2014/revision" xmlns:xr6="http://schemas.microsoft.com/office/spreadsheetml/2016/revision6" xmlns:xr10="http://schemas.microsoft.com/office/spreadsheetml/2016/revision10" xmlns:xr2="http://schemas.microsoft.com/office/spreadsheetml/2015/revision2" xmlns:xcalcf="http://schemas.microsoft.com/office/spreadsheetml/2018/calcfeatures" xmlns:xcv="http://schemas.microsoft.com/office/spreadsheetml/2024/workbookCompatibilityVersion" xmlns:r="http://schemas.openxmlformats.org/officeDocument/2006/relationships" xmlns:x15="http://schemas.microsoft.com/office/spreadsheetml/2010/11/main" mc:Ignorable="x15 xr xr6 xr10 xr2">
  <fileVersion appName="xl" lastEdited="7" lowestEdited="7" rupBuild="24334"/>
  <workbookPr/>
  <mc:AlternateContent>
    <mc:Choice Requires="x15">
      <x15ac:absPath url="C:\Users\Daniel\Downloads\EXCELS PARA VENDER\Fase 1 — Motores básicos 1-10-12-36-16-9\"/>
    </mc:Choice>
  </mc:AlternateContent>
  <xr:revisionPtr revIDLastSave="0" documentId="8_{6D7C29AF-2A15-4F78-A3D8-E9DDA2829969}" xr6:coauthVersionLast="47" xr6:coauthVersionMax="47" xr10:uidLastSave="{00000000-0000-0000-0000-000000000000}"/>
  <bookViews>
    <workbookView xWindow="-120" yWindow="-120" windowWidth="29040" windowHeight="15840" tabRatio="501" activeTab="3" xr2:uid="{00000000-000D-0000-FFFF-FFFF00000000}"/>
  </bookViews>
  <sheets>
    <sheet name="INICIO" sheetId="1" r:id="rId1"/>
    <sheet name="DATOS" sheetId="2" r:id="rId2"/>
    <sheet name="PLIEGUES" sheetId="3" r:id="rId3"/>
    <sheet name="CALCULOS" sheetId="4" r:id="rId4"/>
    <sheet name="RESULTADOS" sheetId="5" r:id="rId5"/>
    <sheet name="FUENTES" sheetId="6" r:id="rId6"/>
    <sheet name="PRUEBAS" sheetId="7" r:id="rId7"/>
    <sheet name="CONFIG" sheetId="8" r:id="rId8"/>
    <sheet name="CHANGELOG" sheetId="9" r:id="rId9"/>
  </sheets>
  <definedNames>
    <definedName name="a_k">PLIEGUES!$C$17</definedName>
    <definedName name="a_MediaG">PLIEGUES!$C$20</definedName>
    <definedName name="a_Sd2">PLIEGUES!$C$18</definedName>
    <definedName name="a_Sum8">PLIEGUES!$C$24</definedName>
    <definedName name="a_TEMabs">PLIEGUES!$C$19</definedName>
    <definedName name="a_TEMrel">PLIEGUES!$C$21</definedName>
    <definedName name="a_TEMver">PLIEGUES!$C$22</definedName>
    <definedName name="BRO_A">CONFIG!$B$28</definedName>
    <definedName name="BRO_B">CONFIG!$B$29</definedName>
    <definedName name="c_ampl">CALCULOS!$B$36</definedName>
    <definedName name="c_BDdw">CALCULOS!$B$25</definedName>
    <definedName name="c_BDjp3">CALCULOS!$B$21</definedName>
    <definedName name="c_BDjp7">CALCULOS!$B$19</definedName>
    <definedName name="c_ClaseGrasa">CALCULOS!$B$46</definedName>
    <definedName name="c_DWc">CALCULOS!$B$23</definedName>
    <definedName name="c_DWm">CALCULOS!$B$24</definedName>
    <definedName name="c_estado">CALCULOS!$B$37</definedName>
    <definedName name="c_Gate">CALCULOS!$B$16</definedName>
    <definedName name="c_GrDW">CALCULOS!$B$26</definedName>
    <definedName name="c_GrFaulk">CALCULOS!$B$27</definedName>
    <definedName name="c_GrJP3">CALCULOS!$B$22</definedName>
    <definedName name="c_GrJP7">CALCULOS!$B$20</definedName>
    <definedName name="c_GrRep">CALCULOS!$B$30</definedName>
    <definedName name="c_IMC">CALCULOS!$B$9</definedName>
    <definedName name="c_IMG">CALCULOS!$B$42</definedName>
    <definedName name="c_IMLG">CALCULOS!$B$43</definedName>
    <definedName name="c_max">CALCULOS!$B$34</definedName>
    <definedName name="c_MG">CALCULOS!$B$40</definedName>
    <definedName name="c_min">CALCULOS!$B$33</definedName>
    <definedName name="c_MLG">CALCULOS!$B$41</definedName>
    <definedName name="c_n">CALCULOS!$B$31</definedName>
    <definedName name="c_prom">CALCULOS!$B$32</definedName>
    <definedName name="c_rango">CALCULOS!$B$35</definedName>
    <definedName name="c_Sum7">CALCULOS!$B$10</definedName>
    <definedName name="c_SumDW">CALCULOS!$B$12</definedName>
    <definedName name="c_SumFaulk">CALCULOS!$B$13</definedName>
    <definedName name="c_SumJP3">CALCULOS!$B$11</definedName>
    <definedName name="c_TallaM">CALCULOS!$B$8</definedName>
    <definedName name="DISP_MAX">CONFIG!$B$20</definedName>
    <definedName name="EDAD_MAX">CONFIG!$B$11</definedName>
    <definedName name="EDAD_MIN">CONFIG!$B$10</definedName>
    <definedName name="EST_MAX">CONFIG!$B$15</definedName>
    <definedName name="EST_MIN">CONFIG!$B$14</definedName>
    <definedName name="FAULK_A">CONFIG!$B$30</definedName>
    <definedName name="FAULK_B">CONFIG!$B$31</definedName>
    <definedName name="GRASA_MAX">CONFIG!$B$19</definedName>
    <definedName name="GRASA_MIN">CONFIG!$B$18</definedName>
    <definedName name="in_Conv">DATOS!$B$15</definedName>
    <definedName name="in_Ecu">DATOS!$B$14</definedName>
    <definedName name="in_Edad">DATOS!$B$11</definedName>
    <definedName name="in_Est">DATOS!$B$13</definedName>
    <definedName name="in_Eval">DATOS!$B$16</definedName>
    <definedName name="in_Fecha">DATOS!$B$8</definedName>
    <definedName name="in_ID">DATOS!$B$7</definedName>
    <definedName name="in_Obs">DATOS!$B$17</definedName>
    <definedName name="in_Pac">DATOS!$B$9</definedName>
    <definedName name="in_Peso">DATOS!$B$12</definedName>
    <definedName name="in_Sexo">DATOS!$B$10</definedName>
    <definedName name="JP3_HA">CONFIG!$B$40</definedName>
    <definedName name="JP3_HB1">CONFIG!$B$41</definedName>
    <definedName name="JP3_HB2">CONFIG!$B$42</definedName>
    <definedName name="JP3_HB3">CONFIG!$B$43</definedName>
    <definedName name="JP3_MA">CONFIG!$B$44</definedName>
    <definedName name="JP3_MB1">CONFIG!$B$45</definedName>
    <definedName name="JP3_MB2">CONFIG!$B$46</definedName>
    <definedName name="JP3_MB3">CONFIG!$B$47</definedName>
    <definedName name="JP7_HA">CONFIG!$B$32</definedName>
    <definedName name="JP7_HB1">CONFIG!$B$33</definedName>
    <definedName name="JP7_HB2">CONFIG!$B$34</definedName>
    <definedName name="JP7_HB3">CONFIG!$B$35</definedName>
    <definedName name="JP7_MA">CONFIG!$B$36</definedName>
    <definedName name="JP7_MB1">CONFIG!$B$37</definedName>
    <definedName name="JP7_MB2">CONFIG!$B$38</definedName>
    <definedName name="JP7_MB3">CONFIG!$B$39</definedName>
    <definedName name="LISTA_DEN">CONFIG!$A$63:$A$64</definedName>
    <definedName name="LISTA_ECU">CONFIG!$A$56:$A$59</definedName>
    <definedName name="p_Abd">PLIEGUES!$E$13</definedName>
    <definedName name="p_Axil">PLIEGUES!$E$8</definedName>
    <definedName name="p_Bic">PLIEGUES!$E$11</definedName>
    <definedName name="p_Muslo">PLIEGUES!$E$14</definedName>
    <definedName name="p_Pect">PLIEGUES!$E$7</definedName>
    <definedName name="p_Sub">PLIEGUES!$E$10</definedName>
    <definedName name="p_Supra">PLIEGUES!$E$12</definedName>
    <definedName name="p_Tri">PLIEGUES!$E$9</definedName>
    <definedName name="PESO_MAX">CONFIG!$B$13</definedName>
    <definedName name="PESO_MIN">CONFIG!$B$12</definedName>
    <definedName name="PLI_MAX">CONFIG!$B$17</definedName>
    <definedName name="PLI_MIN">CONFIG!$B$16</definedName>
    <definedName name="SEXOS">CONFIG!$A$51:$A$52</definedName>
    <definedName name="SINO">CONFIG!$A$67:$A$68</definedName>
    <definedName name="SIRI_A">CONFIG!$B$26</definedName>
    <definedName name="SIRI_B">CONFIG!$B$27</definedName>
    <definedName name="TEM_ACC">CONFIG!$B$22</definedName>
    <definedName name="TEM_OK">CONFIG!$B$21</definedName>
    <definedName name="TOL_FRAC">CONFIG!$B$23</definedName>
    <definedName name="TOL_KG">CONFIG!$B$24</definedName>
    <definedName name="TOL_MM">CONFIG!$B$25</definedName>
  </definedNames>
  <calcPr calcId="191029" iterateDelta="1E-4"/>
  <extLst>
    <ext uri="{B58B0392-4F1F-4190-BB64-5DF3571DCE5F}">
      <xcalcf:calcFeatures>
        <xcalcf:feature name="microsoft.com:RD"/>
        <xcalcf:feature name="microsoft.com:Single"/>
        <xcalcf:feature name="microsoft.com:FV"/>
        <xcalcf:feature name="microsoft.com:CNMTM"/>
        <xcalcf:feature name="microsoft.com:LET_WF"/>
      </xcalcf:calcFeatures>
    </ext>
    <ext uri="{D14903EA-33C4-47F7-8F05-3474C54BE107}">
      <xcv:version setVersion="1"/>
    </ext>
  </extLst>
</workbook>
</file>

<file path=xl/calcChain.xml><?xml version="1.0" encoding="utf-8"?>
<calcChain xmlns="http://schemas.openxmlformats.org/spreadsheetml/2006/main">
  <c r="E47" i="7" l="1"/>
  <c r="F47" i="7" s="1"/>
  <c r="C4" i="3"/>
  <c r="F4" i="3"/>
  <c r="A4" i="3"/>
  <c r="A3" i="9"/>
  <c r="A3" i="8"/>
  <c r="A4" i="7"/>
  <c r="C4" i="6"/>
  <c r="B4" i="6"/>
  <c r="A4" i="6"/>
  <c r="D3" i="4"/>
  <c r="B3" i="4"/>
  <c r="B3" i="5"/>
  <c r="E3" i="5"/>
  <c r="C3" i="5"/>
  <c r="A3" i="5"/>
  <c r="E3" i="4"/>
  <c r="A3" i="4"/>
  <c r="E3" i="2"/>
  <c r="C3" i="2"/>
  <c r="A3" i="2"/>
  <c r="E56" i="7"/>
  <c r="F56" i="7" s="1"/>
  <c r="E55" i="7"/>
  <c r="F55" i="7" s="1"/>
  <c r="E54" i="7"/>
  <c r="F54" i="7" s="1"/>
  <c r="E53" i="7"/>
  <c r="F53" i="7" s="1"/>
  <c r="E52" i="7"/>
  <c r="F52" i="7" s="1"/>
  <c r="F51" i="7"/>
  <c r="E51" i="7"/>
  <c r="E50" i="7"/>
  <c r="F50" i="7" s="1"/>
  <c r="E49" i="7"/>
  <c r="F49" i="7" s="1"/>
  <c r="E48" i="7"/>
  <c r="F48" i="7" s="1"/>
  <c r="H43" i="7"/>
  <c r="J43" i="7" s="1"/>
  <c r="E43" i="7"/>
  <c r="G43" i="7" s="1"/>
  <c r="H42" i="7"/>
  <c r="J42" i="7" s="1"/>
  <c r="G42" i="7"/>
  <c r="E42" i="7"/>
  <c r="H41" i="7"/>
  <c r="J41" i="7" s="1"/>
  <c r="E41" i="7"/>
  <c r="G41" i="7" s="1"/>
  <c r="H37" i="7"/>
  <c r="F37" i="7"/>
  <c r="I37" i="7" s="1"/>
  <c r="K37" i="7" s="1"/>
  <c r="I36" i="7"/>
  <c r="K36" i="7" s="1"/>
  <c r="F36" i="7"/>
  <c r="H36" i="7" s="1"/>
  <c r="I35" i="7"/>
  <c r="K35" i="7" s="1"/>
  <c r="H35" i="7"/>
  <c r="F35" i="7"/>
  <c r="G31" i="7"/>
  <c r="I31" i="7" s="1"/>
  <c r="J31" i="7" s="1"/>
  <c r="G30" i="7"/>
  <c r="I30" i="7" s="1"/>
  <c r="J30" i="7" s="1"/>
  <c r="G29" i="7"/>
  <c r="I29" i="7" s="1"/>
  <c r="J29" i="7" s="1"/>
  <c r="G28" i="7"/>
  <c r="I28" i="7" s="1"/>
  <c r="J28" i="7" s="1"/>
  <c r="G27" i="7"/>
  <c r="I27" i="7" s="1"/>
  <c r="J27" i="7" s="1"/>
  <c r="G26" i="7"/>
  <c r="I26" i="7" s="1"/>
  <c r="J26" i="7" s="1"/>
  <c r="F22" i="7"/>
  <c r="H22" i="7" s="1"/>
  <c r="I22" i="7" s="1"/>
  <c r="F21" i="7"/>
  <c r="H21" i="7" s="1"/>
  <c r="I21" i="7" s="1"/>
  <c r="F20" i="7"/>
  <c r="H20" i="7" s="1"/>
  <c r="I20" i="7" s="1"/>
  <c r="F19" i="7"/>
  <c r="H19" i="7" s="1"/>
  <c r="I19" i="7" s="1"/>
  <c r="F18" i="7"/>
  <c r="H18" i="7" s="1"/>
  <c r="I18" i="7" s="1"/>
  <c r="F17" i="7"/>
  <c r="H17" i="7" s="1"/>
  <c r="I17" i="7" s="1"/>
  <c r="F13" i="7"/>
  <c r="H13" i="7" s="1"/>
  <c r="I13" i="7" s="1"/>
  <c r="F12" i="7"/>
  <c r="H12" i="7" s="1"/>
  <c r="I12" i="7" s="1"/>
  <c r="F11" i="7"/>
  <c r="H11" i="7" s="1"/>
  <c r="I11" i="7" s="1"/>
  <c r="H10" i="7"/>
  <c r="I10" i="7" s="1"/>
  <c r="F10" i="7"/>
  <c r="F9" i="7"/>
  <c r="H9" i="7" s="1"/>
  <c r="I9" i="7" s="1"/>
  <c r="F8" i="7"/>
  <c r="H8" i="7" s="1"/>
  <c r="I8" i="7" s="1"/>
  <c r="C28" i="5"/>
  <c r="B12" i="5"/>
  <c r="B11" i="5"/>
  <c r="B10" i="5"/>
  <c r="B9" i="5"/>
  <c r="B8" i="5"/>
  <c r="B7" i="5"/>
  <c r="B6" i="5"/>
  <c r="B55" i="4"/>
  <c r="B62" i="5" s="1"/>
  <c r="B16" i="4"/>
  <c r="B13" i="5" s="1"/>
  <c r="B9" i="4"/>
  <c r="B8" i="4"/>
  <c r="C20" i="3"/>
  <c r="C18" i="3"/>
  <c r="C17" i="3"/>
  <c r="B16" i="5" s="1"/>
  <c r="F14" i="3"/>
  <c r="E14" i="3"/>
  <c r="F13" i="3"/>
  <c r="E13" i="3"/>
  <c r="F12" i="3"/>
  <c r="E12" i="3"/>
  <c r="F11" i="3"/>
  <c r="E11" i="3"/>
  <c r="F10" i="3"/>
  <c r="E10" i="3"/>
  <c r="F9" i="3"/>
  <c r="E9" i="3"/>
  <c r="D67" i="7" s="1"/>
  <c r="F8" i="3"/>
  <c r="E8" i="3"/>
  <c r="F7" i="3"/>
  <c r="E7" i="3"/>
  <c r="D66" i="7" s="1"/>
  <c r="N5" i="1"/>
  <c r="L5" i="1"/>
  <c r="J5" i="1"/>
  <c r="H5" i="1"/>
  <c r="F5" i="1"/>
  <c r="D5" i="1"/>
  <c r="B5" i="1"/>
  <c r="A5" i="1"/>
  <c r="B12" i="4" l="1"/>
  <c r="B24" i="4" s="1"/>
  <c r="B49" i="4"/>
  <c r="B56" i="5" s="1"/>
  <c r="B13" i="4"/>
  <c r="B27" i="4" s="1"/>
  <c r="B54" i="4"/>
  <c r="B61" i="5" s="1"/>
  <c r="C61" i="7"/>
  <c r="E61" i="7" s="1"/>
  <c r="B10" i="4"/>
  <c r="C19" i="3"/>
  <c r="C24" i="3"/>
  <c r="B20" i="5" s="1"/>
  <c r="B11" i="4"/>
  <c r="B21" i="4" s="1"/>
  <c r="B22" i="4" s="1"/>
  <c r="B19" i="4"/>
  <c r="B20" i="4" s="1"/>
  <c r="B23" i="4"/>
  <c r="B30" i="4" l="1"/>
  <c r="C66" i="7"/>
  <c r="E66" i="7" s="1"/>
  <c r="F66" i="7" s="1"/>
  <c r="C24" i="5"/>
  <c r="B46" i="5"/>
  <c r="B24" i="5"/>
  <c r="B49" i="5"/>
  <c r="C27" i="5"/>
  <c r="B27" i="5"/>
  <c r="C67" i="7"/>
  <c r="E67" i="7" s="1"/>
  <c r="F67" i="7" s="1"/>
  <c r="B25" i="4"/>
  <c r="B26" i="4" s="1"/>
  <c r="D68" i="7"/>
  <c r="B17" i="5"/>
  <c r="C21" i="3"/>
  <c r="C25" i="5"/>
  <c r="B25" i="5"/>
  <c r="B47" i="5"/>
  <c r="B48" i="5" l="1"/>
  <c r="C26" i="5"/>
  <c r="B26" i="5"/>
  <c r="B52" i="4"/>
  <c r="B59" i="5" s="1"/>
  <c r="C22" i="3"/>
  <c r="B19" i="5" s="1"/>
  <c r="C68" i="7"/>
  <c r="E68" i="7" s="1"/>
  <c r="F68" i="7" s="1"/>
  <c r="B18" i="5"/>
  <c r="B31" i="4"/>
  <c r="B46" i="4"/>
  <c r="B42" i="5" s="1"/>
  <c r="B40" i="4"/>
  <c r="D69" i="7"/>
  <c r="B37" i="5"/>
  <c r="B50" i="4"/>
  <c r="B57" i="5" s="1"/>
  <c r="B28" i="5"/>
  <c r="B53" i="4"/>
  <c r="B60" i="5" s="1"/>
  <c r="B38" i="5" l="1"/>
  <c r="C69" i="7"/>
  <c r="E69" i="7" s="1"/>
  <c r="F69" i="7" s="1"/>
  <c r="B42" i="4"/>
  <c r="B40" i="5" s="1"/>
  <c r="B52" i="5"/>
  <c r="B41" i="4"/>
  <c r="B34" i="4"/>
  <c r="B33" i="4"/>
  <c r="B32" i="4"/>
  <c r="B31" i="5" s="1"/>
  <c r="B35" i="4" l="1"/>
  <c r="B51" i="4" s="1"/>
  <c r="B58" i="5" s="1"/>
  <c r="B43" i="4"/>
  <c r="B41" i="5" s="1"/>
  <c r="B53" i="5"/>
  <c r="B39" i="5"/>
  <c r="B32" i="5"/>
  <c r="B37" i="4"/>
  <c r="A34" i="5" s="1"/>
  <c r="B36" i="4"/>
  <c r="B33" i="5" s="1"/>
  <c r="C62" i="7" l="1"/>
  <c r="E62" i="7" s="1"/>
  <c r="C60" i="7"/>
  <c r="E60" i="7" s="1"/>
  <c r="C74" i="7" l="1"/>
  <c r="B76" i="7" l="1"/>
  <c r="C75" i="7"/>
</calcChain>
</file>

<file path=xl/sharedStrings.xml><?xml version="1.0" encoding="utf-8"?>
<sst xmlns="http://schemas.openxmlformats.org/spreadsheetml/2006/main" count="911" uniqueCount="605">
  <si>
    <t>NUTRIMETRÍA  ·  NMX-36</t>
  </si>
  <si>
    <t>Calculadora especializada de plicometría · versión 1.0</t>
  </si>
  <si>
    <t>Navegación — use las pestañas inferiores del libro</t>
  </si>
  <si>
    <t>Ingresar datos</t>
  </si>
  <si>
    <t>Evaluación de pliegues</t>
  </si>
  <si>
    <t>Auditar operaciones</t>
  </si>
  <si>
    <t>Ver resumen</t>
  </si>
  <si>
    <t>Trazabilidad</t>
  </si>
  <si>
    <t>Control de calidad</t>
  </si>
  <si>
    <t>Constantes</t>
  </si>
  <si>
    <t>Historial</t>
  </si>
  <si>
    <t>Código del producto</t>
  </si>
  <si>
    <t>NMX-36</t>
  </si>
  <si>
    <t>Versión</t>
  </si>
  <si>
    <t>1.0</t>
  </si>
  <si>
    <t>Fecha</t>
  </si>
  <si>
    <t>2026-07-14</t>
  </si>
  <si>
    <t>Formato</t>
  </si>
  <si>
    <t>.xlsx sin macros · Microsoft 365 y Excel 2021</t>
  </si>
  <si>
    <t>Responsable</t>
  </si>
  <si>
    <t>Equipo Nutrimetría (completar por el titular)</t>
  </si>
  <si>
    <t>AVISO DE ALCANCE — LÉALO ANTES DE USAR</t>
  </si>
  <si>
    <t>EXACTITUD MATEMÁTICA ≠ VALIDACIÓN CLÍNICA. Este archivo NO está validado clínicamente.</t>
  </si>
  <si>
    <t>APLICA A: personas ADULTAS (≥18 años) en condición estable.</t>
  </si>
  <si>
    <t>NO APLICA A: embarazo · lactancia · menores de edad · pacientes críticos.</t>
  </si>
  <si>
    <t>Los pliegues ESTIMAN; la referencia son DEXA o pesaje hidrostático.</t>
  </si>
  <si>
    <t>Las cuatro ecuaciones NO son intercambiables: elija UNA validada para su población y úsela siempre.</t>
  </si>
  <si>
    <t>Para seguimiento, la Σ de pliegues (mm) es más robusta que el % de grasa: mismo evaluador, mismo plicómetro.</t>
  </si>
  <si>
    <t>La calidad depende de la técnica: si el ETM supera 7,5 %, repita las mediciones.</t>
  </si>
  <si>
    <t>PROPÓSITO Y ALCANCE</t>
  </si>
  <si>
    <t>Propósito</t>
  </si>
  <si>
    <t>Población</t>
  </si>
  <si>
    <t>Personas adultas (≥18 años) en condición estable. No aplica a embarazo, lactancia, menores de edad ni pacientes críticos.</t>
  </si>
  <si>
    <t>Uso</t>
  </si>
  <si>
    <t>Compatibilidad</t>
  </si>
  <si>
    <t>Privacidad</t>
  </si>
  <si>
    <t>Los datos permanecen en el archivo local. El libro no transmite información.</t>
  </si>
  <si>
    <t>CÓMO SE MODELA</t>
  </si>
  <si>
    <t>Cada sitio se mide 2 veces; el valor usado es la media y la diferencia alimenta el ETM.</t>
  </si>
  <si>
    <t>JP7 y JP3: densidad cuadrática por sexo → % grasa por Siri (495/D−450) o Brožek (457/D−414).</t>
  </si>
  <si>
    <t>Durnin–Womersley: densidad = c − m·log10(Σ4) por sexo y banda etaria → Siri/Brožek.</t>
  </si>
  <si>
    <t>Faulkner: % grasa = 0,153·Σ4 + 5,783 (directo, sin densidad).</t>
  </si>
  <si>
    <t>Composición: MG = %grasa×peso · MLG = peso − MG · IMG = MG/talla² · IMLG = MLG/talla².</t>
  </si>
  <si>
    <t>Datos de entrada · identificación y selección de ecuación</t>
  </si>
  <si>
    <t>LEYENDA · Celdas ARENA con texto AZUL = editables. Grises = calculadas. (opcional) = puede quedar vacía.</t>
  </si>
  <si>
    <t>► Los pliegues se ingresan en la hoja PLIEGUES. Aquí van la identificación y la ecuación a reportar.</t>
  </si>
  <si>
    <t>Campo</t>
  </si>
  <si>
    <t>Valor</t>
  </si>
  <si>
    <t>Unidad</t>
  </si>
  <si>
    <t>Validación</t>
  </si>
  <si>
    <t>Ayuda</t>
  </si>
  <si>
    <t>Identificador de la evaluación</t>
  </si>
  <si>
    <t>NMX-2026-0036</t>
  </si>
  <si>
    <t>—</t>
  </si>
  <si>
    <t>Texto libre</t>
  </si>
  <si>
    <t>Código interno.</t>
  </si>
  <si>
    <t>fecha</t>
  </si>
  <si>
    <t>dd/mm/aaaa.</t>
  </si>
  <si>
    <t>Nombre o código del paciente</t>
  </si>
  <si>
    <t>PAC-0071</t>
  </si>
  <si>
    <t>Prefiera un CÓDIGO si comparte el archivo.</t>
  </si>
  <si>
    <t>Sexo biológico</t>
  </si>
  <si>
    <t>Hombre</t>
  </si>
  <si>
    <t>Lista: Hombre / Mujer</t>
  </si>
  <si>
    <t>Las ecuaciones se derivaron por sexo.</t>
  </si>
  <si>
    <t>Edad</t>
  </si>
  <si>
    <t>años</t>
  </si>
  <si>
    <t>≥18 y ≤120</t>
  </si>
  <si>
    <t>Solo adultos.</t>
  </si>
  <si>
    <t>Peso</t>
  </si>
  <si>
    <t>kg</t>
  </si>
  <si>
    <t>Entre 25 y 350</t>
  </si>
  <si>
    <t>Para masa grasa y magra.</t>
  </si>
  <si>
    <t>Estatura</t>
  </si>
  <si>
    <t>cm</t>
  </si>
  <si>
    <t>Entre 120 y 230</t>
  </si>
  <si>
    <t>Para IMG / IMLG.</t>
  </si>
  <si>
    <t>Ecuación a reportar</t>
  </si>
  <si>
    <t>7 sitios · Jackson–Pollock</t>
  </si>
  <si>
    <t>Lista (CONFIG C3)</t>
  </si>
  <si>
    <t>Las cuatro se calculan; esta se destaca.</t>
  </si>
  <si>
    <t>Conversión densidad→grasa</t>
  </si>
  <si>
    <t>Siri (1961)</t>
  </si>
  <si>
    <t>Lista (CONFIG C4)</t>
  </si>
  <si>
    <t>Aplica a JP y Durnin–Womersley.</t>
  </si>
  <si>
    <t>Evaluador</t>
  </si>
  <si>
    <t>EVAL-01</t>
  </si>
  <si>
    <t>Para trazar el error técnico de medición.</t>
  </si>
  <si>
    <t>Observaciones</t>
  </si>
  <si>
    <t>Calibración del plicómetro, condiciones, etc.</t>
  </si>
  <si>
    <t>Panel de pliegues · doble medición y error técnico de medición (ETM)</t>
  </si>
  <si>
    <t>Cada sitio se mide DOS veces (M1 y M2). El valor usado es la MEDIA. La diferencia |M1−M2| alimenta el error técnico de medición (ETM) intraevaluador de abajo, según el estándar ISAK. Marque los puntos anatómicos del lado derecho antes de medir. Los sitios no exigidos por su ecuación pueden quedar vacíos.</t>
  </si>
  <si>
    <t>Nº</t>
  </si>
  <si>
    <t>Sitio (lado derecho)</t>
  </si>
  <si>
    <t>M1 (mm)</t>
  </si>
  <si>
    <t>M2 (mm)</t>
  </si>
  <si>
    <t>Media</t>
  </si>
  <si>
    <t>|M1−M2|</t>
  </si>
  <si>
    <t>Referencia anatómica / técnica</t>
  </si>
  <si>
    <t>Pectoral (pecho)</t>
  </si>
  <si>
    <t>Diagonal, entre axila y pezón (½ en H, ⅓ en M).</t>
  </si>
  <si>
    <t>Axilar medio</t>
  </si>
  <si>
    <t>Línea axilar media, a la altura del apéndice xifoides.</t>
  </si>
  <si>
    <t>Tríceps</t>
  </si>
  <si>
    <t>Vertical, cara posterior del brazo, punto medio.</t>
  </si>
  <si>
    <t>Subescapular</t>
  </si>
  <si>
    <t>Oblicuo, 2 cm bajo el ángulo inferior de la escápula.</t>
  </si>
  <si>
    <t>Bíceps</t>
  </si>
  <si>
    <t>Vertical, cara anterior del brazo, punto medio.</t>
  </si>
  <si>
    <t>Suprailíaco (cresta ilíaca)</t>
  </si>
  <si>
    <t>Oblicuo, sobre la cresta ilíaca, línea axilar media.</t>
  </si>
  <si>
    <t>Abdominal</t>
  </si>
  <si>
    <t>Vertical, 2 cm a la derecha del ombligo.</t>
  </si>
  <si>
    <t>Muslo anterior</t>
  </si>
  <si>
    <t>Vertical, cara anterior, punto medio inguinal–rótula.</t>
  </si>
  <si>
    <t>ERROR TÉCNICO DE MEDICIÓN (ETM) INTRAEVALUADOR · estándar ISAK</t>
  </si>
  <si>
    <t>Sitios medidos por duplicado (k)</t>
  </si>
  <si>
    <t>sitios</t>
  </si>
  <si>
    <t>Solo cuentan los sitios con M1 y M2.</t>
  </si>
  <si>
    <t>Σ de las diferencias al cuadrado</t>
  </si>
  <si>
    <t>mm²</t>
  </si>
  <si>
    <t>Σ(M1−M2)² sobre los sitios duplicados.</t>
  </si>
  <si>
    <t>ETM absoluto</t>
  </si>
  <si>
    <t>mm</t>
  </si>
  <si>
    <t>√(Σd² / 2k). Error típico de una medición.</t>
  </si>
  <si>
    <t>Media global de las mediciones</t>
  </si>
  <si>
    <t>Promedio de todos los M1 y M2.</t>
  </si>
  <si>
    <t>ETM relativo (%)</t>
  </si>
  <si>
    <t>ETM absoluto / media global.</t>
  </si>
  <si>
    <t>Veredicto ISAK</t>
  </si>
  <si>
    <t>≤5% experto · 5–7,5% aceptable · &gt;7,5% revisar.</t>
  </si>
  <si>
    <t>Σ de los 8 pliegues (seguimiento)</t>
  </si>
  <si>
    <t>Suma bruta para MONITOREAR cambios en el tiempo; independiente de toda ecuación.</t>
  </si>
  <si>
    <t>La suma de pliegues es la métrica de seguimiento más robusta: no depende de ninguna ecuación ni de la conversión densidad→grasa. Para comparar en el tiempo, use SIEMPRE el mismo evaluador, el mismo plicómetro y los mismos sitios.</t>
  </si>
  <si>
    <t>Motor · cuatro ecuaciones de pliegues, reconciliación y composición</t>
  </si>
  <si>
    <t>Cada celda declara su fórmula. Las guardas devuelven texto 'ND: …' en vez de errores de Excel; un sitio ausente no rompe la cadena, solo deja ND la ecuación que lo necesitaba.</t>
  </si>
  <si>
    <t>BLOQUE 0 · BASE Y SUMATORIAS POR ECUACIÓN</t>
  </si>
  <si>
    <t>Variable</t>
  </si>
  <si>
    <t>Fórmula / cómo se obtiene</t>
  </si>
  <si>
    <t>Estatura en metros</t>
  </si>
  <si>
    <t>m</t>
  </si>
  <si>
    <t>in_Est/100</t>
  </si>
  <si>
    <t>IMC</t>
  </si>
  <si>
    <t>kg/m²</t>
  </si>
  <si>
    <t>peso/estatura²</t>
  </si>
  <si>
    <t>Σ Jackson–Pollock 7 sitios</t>
  </si>
  <si>
    <t>pectoral+axilar+tríceps+subescapular+abdominal+suprailíaco+muslo</t>
  </si>
  <si>
    <t>Σ Jackson–Pollock 3 sitios</t>
  </si>
  <si>
    <t>H: pectoral+abdominal+muslo · M: tríceps+suprailíaco+muslo</t>
  </si>
  <si>
    <t>Σ Durnin–Womersley 4</t>
  </si>
  <si>
    <t>bíceps+tríceps+subescapular+suprailíaco</t>
  </si>
  <si>
    <t>Σ Faulkner 4</t>
  </si>
  <si>
    <t>tríceps+subescapular+suprailíaco+abdominal</t>
  </si>
  <si>
    <t>BLOQUE 1 · COMPUERTA DE DATOS IMPOSIBLES</t>
  </si>
  <si>
    <t>¿Cálculo habilitado?</t>
  </si>
  <si>
    <t>Exige sexo, edad adulta, peso y estatura válidos</t>
  </si>
  <si>
    <t>BLOQUE 2 · DENSIDAD Y % DE GRASA POR CADA ECUACIÓN (fracción)</t>
  </si>
  <si>
    <t>Densidad · JP7</t>
  </si>
  <si>
    <t>g/mL</t>
  </si>
  <si>
    <t>Cuadrática por sexo</t>
  </si>
  <si>
    <t>% grasa · JP7</t>
  </si>
  <si>
    <t>%</t>
  </si>
  <si>
    <t>Siri o Brožek</t>
  </si>
  <si>
    <t>Densidad · JP3</t>
  </si>
  <si>
    <t>% grasa · JP3</t>
  </si>
  <si>
    <t>Durnin–Womersley · c</t>
  </si>
  <si>
    <t>Coef. c por sexo y banda</t>
  </si>
  <si>
    <t>Durnin–Womersley · m</t>
  </si>
  <si>
    <t>Coef. m por sexo y banda</t>
  </si>
  <si>
    <t>Densidad · DW4</t>
  </si>
  <si>
    <t>c − m·log10(Σ4)</t>
  </si>
  <si>
    <t>% grasa · DW4</t>
  </si>
  <si>
    <t>% grasa · Faulkner</t>
  </si>
  <si>
    <t>0,153·Σ4 + 5,783 (directo)</t>
  </si>
  <si>
    <t>BLOQUE 3 · RECONCILIACIÓN DE LAS ECUACIONES</t>
  </si>
  <si>
    <t>% grasa REPORTADO</t>
  </si>
  <si>
    <t>Ecuación elegida en DATOS</t>
  </si>
  <si>
    <t>Ecuaciones con dato (n)</t>
  </si>
  <si>
    <t>Cuántas entregaron número</t>
  </si>
  <si>
    <t>Promedio</t>
  </si>
  <si>
    <t>AVERAGE ignora los ND</t>
  </si>
  <si>
    <t>Mínimo</t>
  </si>
  <si>
    <t>Máximo</t>
  </si>
  <si>
    <t>Rango (máx − mín)</t>
  </si>
  <si>
    <t>p.p.</t>
  </si>
  <si>
    <t>Dispersión en puntos porcentuales</t>
  </si>
  <si>
    <t>Amplitud relativa</t>
  </si>
  <si>
    <t>rango/promedio (informativo)</t>
  </si>
  <si>
    <t>Estado de concordancia</t>
  </si>
  <si>
    <t>Compara el rango con DISP_MAX</t>
  </si>
  <si>
    <t>BLOQUE 4 · COMPOSICIÓN CORPORAL (según la ecuación reportada)</t>
  </si>
  <si>
    <t>Masa grasa (MG)</t>
  </si>
  <si>
    <t>% grasa × peso</t>
  </si>
  <si>
    <t>Masa libre de grasa (MLG)</t>
  </si>
  <si>
    <t>peso − MG</t>
  </si>
  <si>
    <t>Índice de masa grasa (IMG)</t>
  </si>
  <si>
    <t>MG / estatura²</t>
  </si>
  <si>
    <t>Índice de masa libre de grasa (IMLG)</t>
  </si>
  <si>
    <t>MLG / estatura²</t>
  </si>
  <si>
    <t>BLOQUE 5 · CLASIFICACIÓN REFERENCIAL</t>
  </si>
  <si>
    <t>Clasificación por % grasa (ACE)</t>
  </si>
  <si>
    <t>Rangos ACE por sexo (referenciales)</t>
  </si>
  <si>
    <t>BLOQUE 6 · ADVERTENCIAS</t>
  </si>
  <si>
    <t>Cálculo bloqueado</t>
  </si>
  <si>
    <t>Ecuación reportada sin datos</t>
  </si>
  <si>
    <t>Ecuaciones no intercambiables</t>
  </si>
  <si>
    <t>Calidad de medición (ETM)</t>
  </si>
  <si>
    <t>% grasa fuera de rango plausible</t>
  </si>
  <si>
    <t>Pliegue fuera de rango habitual</t>
  </si>
  <si>
    <t>Recordatorio metodológico</t>
  </si>
  <si>
    <t>Informe de plicometría y composición corporal</t>
  </si>
  <si>
    <t>IDENTIFICACIÓN</t>
  </si>
  <si>
    <t>Identificador</t>
  </si>
  <si>
    <t>Paciente</t>
  </si>
  <si>
    <t>Sexo · edad</t>
  </si>
  <si>
    <t>Peso · estatura</t>
  </si>
  <si>
    <t>Ecuación reportada</t>
  </si>
  <si>
    <t>Estado del cálculo</t>
  </si>
  <si>
    <t>CALIDAD DE LA MEDICIÓN (ETM intraevaluador · ISAK)</t>
  </si>
  <si>
    <t>ETM relativo</t>
  </si>
  <si>
    <t>% DE GRASA POR LAS CUATRO ECUACIONES</t>
  </si>
  <si>
    <t>Ecuación</t>
  </si>
  <si>
    <t>% de grasa</t>
  </si>
  <si>
    <t>¿Disponible?</t>
  </si>
  <si>
    <t>Fuente</t>
  </si>
  <si>
    <t>Jackson &amp; Pollock 1978/1980</t>
  </si>
  <si>
    <t>3 sitios · Jackson–Pollock</t>
  </si>
  <si>
    <t>4 pliegues · Durnin–Womersley</t>
  </si>
  <si>
    <t>Durnin &amp; Womersley 1974</t>
  </si>
  <si>
    <t>4 pliegues · Faulkner</t>
  </si>
  <si>
    <t>Faulkner 1968</t>
  </si>
  <si>
    <t>ECUACIÓN REPORTADA</t>
  </si>
  <si>
    <t>CONCORDANCIA ENTRE ECUACIONES</t>
  </si>
  <si>
    <t>COMPOSICIÓN CORPORAL (según la ecuación reportada)</t>
  </si>
  <si>
    <t>% de grasa reportado</t>
  </si>
  <si>
    <t>Clasificación por % grasa (ACE, referencial)</t>
  </si>
  <si>
    <t>DATOS DE APOYO PARA LOS GRÁFICOS</t>
  </si>
  <si>
    <t>JP7</t>
  </si>
  <si>
    <t>JP3</t>
  </si>
  <si>
    <t>Durnin–W.</t>
  </si>
  <si>
    <t>Faulkner</t>
  </si>
  <si>
    <t>Componente</t>
  </si>
  <si>
    <t>Masa grasa</t>
  </si>
  <si>
    <t>Masa libre de grasa</t>
  </si>
  <si>
    <t>ADVERTENCIAS</t>
  </si>
  <si>
    <t>% grasa no plausible</t>
  </si>
  <si>
    <t>Pliegue fuera de rango</t>
  </si>
  <si>
    <t>EXACTITUD MATEMÁTICA ≠ VALIDACIÓN CLÍNICA. Los coeficientes se cotejaron contra las fuentes de la hoja FUENTES, pero este archivo NO está validado clínicamente. Los pliegues ESTIMAN la composición; la referencia son DEXA o pesaje hidrostático. Las ecuaciones NO son intercambiables: reporte una sola y siga la Σ de pliegues.</t>
  </si>
  <si>
    <t>Trazabilidad de ecuaciones de plicometría y verificación</t>
  </si>
  <si>
    <t>NIVEL A = publicación primaria / estándar oficial · B = resumen primario o corroboración por pares · C = fuente secundaria (atribución propagada por manuales). Solo se usan ECUACIONES y COEFICIENTES (hechos no protegibles). EXACTITUD BIBLIOGRÁFICA ≠ VALIDACIÓN CLÍNICA. Las ecuaciones de pliegues NO son intercambiables.</t>
  </si>
  <si>
    <t>Ecuación o dato</t>
  </si>
  <si>
    <t>Autor u organización</t>
  </si>
  <si>
    <t>Año</t>
  </si>
  <si>
    <t>Población de derivación</t>
  </si>
  <si>
    <t>Fórmula / valor</t>
  </si>
  <si>
    <t>Unidades</t>
  </si>
  <si>
    <t>Limitaciones</t>
  </si>
  <si>
    <t>DOI o fuente</t>
  </si>
  <si>
    <t>Fecha cotejo</t>
  </si>
  <si>
    <t>Licencia / condiciones</t>
  </si>
  <si>
    <t>Nivel</t>
  </si>
  <si>
    <t>Densidad · JP 7 sitios (hombres)</t>
  </si>
  <si>
    <t>Jackson AS, Pollock ML — Br J Nutr 40:497-504</t>
  </si>
  <si>
    <t>1978</t>
  </si>
  <si>
    <t>308 hombres, 18–61 años; pesaje hidrostático</t>
  </si>
  <si>
    <t>BD = 1,112 − 0,00043499·Σ7 + 0,00000055·Σ7² − 0,00028826·edad</t>
  </si>
  <si>
    <t>g/mL; mm; años</t>
  </si>
  <si>
    <t>Muestra mayoritariamente caucásica no atleta; error ~3,5 %grasa.</t>
  </si>
  <si>
    <t>Br J Nutr 1978;40:497-504</t>
  </si>
  <si>
    <t>2026-07-16</t>
  </si>
  <si>
    <t>Artículo con derechos de autor; solo se usan los coeficientes.</t>
  </si>
  <si>
    <t>B</t>
  </si>
  <si>
    <t>Densidad · JP 7 y 3 sitios (mujeres)</t>
  </si>
  <si>
    <t>Jackson AS, Pollock ML, Ward A — Med Sci Sports Exerc 12:175-182</t>
  </si>
  <si>
    <t>1980</t>
  </si>
  <si>
    <t>249 mujeres, 18–55 años; pesaje hidrostático</t>
  </si>
  <si>
    <t>BD = 1,097 − 0,00046971·Σ7 + 0,00000056·Σ7² − 0,00012828·edad</t>
  </si>
  <si>
    <t>Precaución en mujeres mayores de 40 años.</t>
  </si>
  <si>
    <t>Med Sci Sports Exerc 1980;12:175-182</t>
  </si>
  <si>
    <t>Densidad · JP 3 sitios (hombres)</t>
  </si>
  <si>
    <t>Sitios: pectoral, abdominal, muslo</t>
  </si>
  <si>
    <t>BD = 1,10938 − 0,0008267·Σ3 + 0,0000016·Σ3² − 0,0002574·edad</t>
  </si>
  <si>
    <t>Versión abreviada; algo menos precisa que la de 7 sitios.</t>
  </si>
  <si>
    <t>Densidad · Durnin–Womersley 4</t>
  </si>
  <si>
    <t>Durnin JVGA, Womersley J — Br J Nutr 32:77-97</t>
  </si>
  <si>
    <t>1974</t>
  </si>
  <si>
    <t>481 personas, 16–72 años; pesaje hidrostático</t>
  </si>
  <si>
    <t>D = c − m·log10(Σ4); Σ4 = bíceps+tríceps+subescapular+suprailíaco</t>
  </si>
  <si>
    <t>g/mL; mm</t>
  </si>
  <si>
    <t>Ecuación general británica; depende de la técnica del evaluador.</t>
  </si>
  <si>
    <t>10.1079/bjn19740060</t>
  </si>
  <si>
    <t>% grasa · Faulkner (4 pliegues)</t>
  </si>
  <si>
    <t>Faulkner JA (derivada de Yuhasz)</t>
  </si>
  <si>
    <t>1968</t>
  </si>
  <si>
    <t>Uso extendido en el ámbito deportivo</t>
  </si>
  <si>
    <t>%grasa = 0,153·(tríceps+subescapular+suprailíaco+abdominal) + 5,783</t>
  </si>
  <si>
    <t>%; mm</t>
  </si>
  <si>
    <t>ATRIBUCIÓN SECUNDARIA: la primaria (tesis 1968) no se inspeccionó. Verifíquela antes de un uso formal.</t>
  </si>
  <si>
    <t>Manuales de cineantropometría</t>
  </si>
  <si>
    <t>Fórmula divulgada; se cita como referencia.</t>
  </si>
  <si>
    <t>C</t>
  </si>
  <si>
    <t>Densidad → % grasa · Siri</t>
  </si>
  <si>
    <t>Siri WE — NAS-NRC</t>
  </si>
  <si>
    <t>1961</t>
  </si>
  <si>
    <t>Modelo de dos compartimentos</t>
  </si>
  <si>
    <t>%grasa = 495/D − 450</t>
  </si>
  <si>
    <t>%; D g/mL</t>
  </si>
  <si>
    <t>Densidades fijas de los compartimentos; menos válida en extremos.</t>
  </si>
  <si>
    <t>Siri 1961 (NAS-NRC)</t>
  </si>
  <si>
    <t>Obra clásica; solo se usa la ecuación.</t>
  </si>
  <si>
    <t>Densidad → % grasa · Brožek</t>
  </si>
  <si>
    <t>Brožek J et al. — Ann N Y Acad Sci 110:113-140</t>
  </si>
  <si>
    <t>1963</t>
  </si>
  <si>
    <t>Cuerpo de referencia</t>
  </si>
  <si>
    <t>%grasa = 457/D − 414</t>
  </si>
  <si>
    <t>Alternativa a Siri; difiere en los extremos.</t>
  </si>
  <si>
    <t>10.1111/j.1749-6632.1963.tb17079.x</t>
  </si>
  <si>
    <t>Artículo con derechos de autor; solo se usa la ecuación.</t>
  </si>
  <si>
    <t>Error técnico de medición (ETM)</t>
  </si>
  <si>
    <t>ISAK — International Standards for Anthropometric Assessment</t>
  </si>
  <si>
    <t>2001/vigente</t>
  </si>
  <si>
    <t>Estándar internacional de cineantropometría</t>
  </si>
  <si>
    <t>ETM = √(Σd²/2k); ETM% = ETM/media · límites 5 % / 7,5 %</t>
  </si>
  <si>
    <t>mm; %</t>
  </si>
  <si>
    <t>El ETM mide reproducibilidad, no exactitud: un ETM bajo no valida la ecuación.</t>
  </si>
  <si>
    <t>ISAK · normas de acreditación</t>
  </si>
  <si>
    <t>Estándar de la sociedad ISAK; se usa la definición (hecho no protegible).</t>
  </si>
  <si>
    <t>A</t>
  </si>
  <si>
    <t>Rangos referenciales de % de grasa</t>
  </si>
  <si>
    <t>American Council on Exercise (ACE)</t>
  </si>
  <si>
    <t>referencial</t>
  </si>
  <si>
    <t>Rangos divulgados por categoría y sexo</t>
  </si>
  <si>
    <t>H: esencial 2–5, atlético 6–13, en forma 14–17, aceptable 18–24, obesidad ≥25 %</t>
  </si>
  <si>
    <t>REFERENCIALES; no son un estándar oficial ni un diagnóstico.</t>
  </si>
  <si>
    <t>ACE (rangos divulgados)</t>
  </si>
  <si>
    <t>Rangos de uso general; se citan como referencia.</t>
  </si>
  <si>
    <t>PENDIENTES DE VERIFICACIÓN PRIMARIA: las ecuaciones de Jackson–Pollock, Durnin–Womersley, Siri y Brožek disponen de resumen primario o corroboración por pares, pero no se inspeccionó cada PDF completo. La fórmula de Faulkner es de atribución secundaria (nivel C): confirme la fuente primaria antes de un uso formal.</t>
  </si>
  <si>
    <t>Banco de verificación · el recuento se calcula solo en el RESUMEN</t>
  </si>
  <si>
    <t>REGLA: el valor ESPERADO nunca lee el CONFIG que usa el motor. O es un literal calculado a partir de la fuente publicada, o se reconstruye con los coeficientes publicados escritos de forma explícita. Si alguien corrompe un coeficiente de CONFIG, estas pruebas FALLAN.</t>
  </si>
  <si>
    <t>BLOQUE A · EXACTITUD JACKSON–POLLOCK 7 SITIOS → densidad → % grasa (Siri)</t>
  </si>
  <si>
    <t>ID</t>
  </si>
  <si>
    <t>Descripción</t>
  </si>
  <si>
    <t>Sexo</t>
  </si>
  <si>
    <t>Σ7</t>
  </si>
  <si>
    <t>Obtenido</t>
  </si>
  <si>
    <t>Esperado</t>
  </si>
  <si>
    <t>Dif.</t>
  </si>
  <si>
    <t>Estado</t>
  </si>
  <si>
    <t>A01</t>
  </si>
  <si>
    <t>Hombre Σ108</t>
  </si>
  <si>
    <t>A02</t>
  </si>
  <si>
    <t>Mujer Σ120</t>
  </si>
  <si>
    <t>Mujer</t>
  </si>
  <si>
    <t>A03</t>
  </si>
  <si>
    <t>Hombre Σ80</t>
  </si>
  <si>
    <t>A04</t>
  </si>
  <si>
    <t>Mujer Σ150</t>
  </si>
  <si>
    <t>A05</t>
  </si>
  <si>
    <t>Hombre Σ200</t>
  </si>
  <si>
    <t>A06</t>
  </si>
  <si>
    <t>Mujer Σ90</t>
  </si>
  <si>
    <t>BLOQUE B · EXACTITUD JACKSON–POLLOCK 3 SITIOS → densidad → % grasa (Siri)</t>
  </si>
  <si>
    <t>Σ3</t>
  </si>
  <si>
    <t>B01</t>
  </si>
  <si>
    <t>Hombre Σ50</t>
  </si>
  <si>
    <t>B02</t>
  </si>
  <si>
    <t>Mujer Σ60</t>
  </si>
  <si>
    <t>B03</t>
  </si>
  <si>
    <t>Hombre Σ35</t>
  </si>
  <si>
    <t>B04</t>
  </si>
  <si>
    <t>Mujer Σ80</t>
  </si>
  <si>
    <t>B05</t>
  </si>
  <si>
    <t>Hombre Σ90</t>
  </si>
  <si>
    <t>B06</t>
  </si>
  <si>
    <t>Mujer Σ45</t>
  </si>
  <si>
    <t>BLOQUE C · DURNIN–WOMERSLEY (Siri) Y FAULKNER (directo)</t>
  </si>
  <si>
    <t>Método</t>
  </si>
  <si>
    <t>c/A</t>
  </si>
  <si>
    <t>m/B</t>
  </si>
  <si>
    <t>Σ4</t>
  </si>
  <si>
    <t>C01</t>
  </si>
  <si>
    <t>DW H 30–40</t>
  </si>
  <si>
    <t>DW</t>
  </si>
  <si>
    <t>C02</t>
  </si>
  <si>
    <t>DW M 20–30</t>
  </si>
  <si>
    <t>C03</t>
  </si>
  <si>
    <t>DW H 40–50</t>
  </si>
  <si>
    <t>C04</t>
  </si>
  <si>
    <t>FA</t>
  </si>
  <si>
    <t>C05</t>
  </si>
  <si>
    <t>C06</t>
  </si>
  <si>
    <t>BLOQUE D · ERROR TÉCNICO DE MEDICIÓN (ETM) · ±0,05 mm</t>
  </si>
  <si>
    <t>Σd²</t>
  </si>
  <si>
    <t>k</t>
  </si>
  <si>
    <t>ETMabs obt</t>
  </si>
  <si>
    <t>ETMabs esp</t>
  </si>
  <si>
    <t>Est.abs</t>
  </si>
  <si>
    <t>ETMrel obt</t>
  </si>
  <si>
    <t>ETMrel esp</t>
  </si>
  <si>
    <t>Est.rel</t>
  </si>
  <si>
    <t>D01</t>
  </si>
  <si>
    <t>Caso tipo</t>
  </si>
  <si>
    <t>D02</t>
  </si>
  <si>
    <t>Sin error</t>
  </si>
  <si>
    <t>D03</t>
  </si>
  <si>
    <t>Alto error</t>
  </si>
  <si>
    <t>BLOQUE E · COMPOSICIÓN (MG, MLG, IMLG) · ±0,05</t>
  </si>
  <si>
    <t>% grasa</t>
  </si>
  <si>
    <t>Talla m</t>
  </si>
  <si>
    <t>MG obt</t>
  </si>
  <si>
    <t>MG esp</t>
  </si>
  <si>
    <t>Est.MG</t>
  </si>
  <si>
    <t>IMLG obt</t>
  </si>
  <si>
    <t>IMLG esp</t>
  </si>
  <si>
    <t>Est.IMLG</t>
  </si>
  <si>
    <t>E01</t>
  </si>
  <si>
    <t>E02</t>
  </si>
  <si>
    <t>E03</t>
  </si>
  <si>
    <t>BLOQUE F · VALIDACIONES: vacíos, texto, negativos, imposibles</t>
  </si>
  <si>
    <t>Escenario</t>
  </si>
  <si>
    <t>Entrada</t>
  </si>
  <si>
    <t>Comportamiento esperado</t>
  </si>
  <si>
    <t>Comportamiento obtenido</t>
  </si>
  <si>
    <t>F01</t>
  </si>
  <si>
    <t>Edad menor de edad (15)</t>
  </si>
  <si>
    <t>15</t>
  </si>
  <si>
    <t>ERROR: edad fuera del alcance adulto</t>
  </si>
  <si>
    <t>F02</t>
  </si>
  <si>
    <t>Edad textual</t>
  </si>
  <si>
    <t>quince</t>
  </si>
  <si>
    <t>ERROR: edad no numérica</t>
  </si>
  <si>
    <t>F03</t>
  </si>
  <si>
    <t>Peso negativo (−5)</t>
  </si>
  <si>
    <t>-5</t>
  </si>
  <si>
    <t>ERROR: peso fuera de rango</t>
  </si>
  <si>
    <t>F04</t>
  </si>
  <si>
    <t>Estatura imposible (400)</t>
  </si>
  <si>
    <t>400</t>
  </si>
  <si>
    <t>ERROR: estatura fuera de rango</t>
  </si>
  <si>
    <t>F05</t>
  </si>
  <si>
    <t>Pliegue cero</t>
  </si>
  <si>
    <t>0</t>
  </si>
  <si>
    <t>ERROR: pliegue fuera de rango</t>
  </si>
  <si>
    <t>F06</t>
  </si>
  <si>
    <t>Pliegue 95 mm</t>
  </si>
  <si>
    <t>95</t>
  </si>
  <si>
    <t>F07</t>
  </si>
  <si>
    <t>% grasa 90 %</t>
  </si>
  <si>
    <t>0.9</t>
  </si>
  <si>
    <t>ERROR: % de grasa fuera del rango plausible</t>
  </si>
  <si>
    <t>F08</t>
  </si>
  <si>
    <t>ETM relativo 4 % → OK</t>
  </si>
  <si>
    <t>0.04</t>
  </si>
  <si>
    <t>OK (≤5%)</t>
  </si>
  <si>
    <t>F09</t>
  </si>
  <si>
    <t>ETM relativo 6 % → aceptable</t>
  </si>
  <si>
    <t>0.06</t>
  </si>
  <si>
    <t>Aceptable (5–7,5%)</t>
  </si>
  <si>
    <t>F10</t>
  </si>
  <si>
    <t>ETM relativo 9 % → revisar</t>
  </si>
  <si>
    <t>0.09</t>
  </si>
  <si>
    <t>Revisar técnica (&gt;7,5%)</t>
  </si>
  <si>
    <t>BLOQUE G · INTEGRIDAD: cero errores de Excel</t>
  </si>
  <si>
    <t>Rango verificado</t>
  </si>
  <si>
    <t>Nº errores</t>
  </si>
  <si>
    <t>G01</t>
  </si>
  <si>
    <t>CALCULOS!B7:B55</t>
  </si>
  <si>
    <t>G02</t>
  </si>
  <si>
    <t>PLIEGUES!E7:F14</t>
  </si>
  <si>
    <t>G03</t>
  </si>
  <si>
    <t>RESULTADOS!B6:F60</t>
  </si>
  <si>
    <t>BLOQUE H · COTEJO CON EL MOTOR (caso vivo · reconstrucción literal)</t>
  </si>
  <si>
    <t>Verificación</t>
  </si>
  <si>
    <t>Obtenido (motor)</t>
  </si>
  <si>
    <t>Esperado (literal)</t>
  </si>
  <si>
    <t>H01</t>
  </si>
  <si>
    <t>% grasa JP7 (Hombre, Siri)</t>
  </si>
  <si>
    <t>H02</t>
  </si>
  <si>
    <t>% grasa Faulkner</t>
  </si>
  <si>
    <t>H03</t>
  </si>
  <si>
    <t>H04</t>
  </si>
  <si>
    <t>Masa grasa = %rep × peso</t>
  </si>
  <si>
    <t>RESUMEN DEL BANCO DE PRUEBAS</t>
  </si>
  <si>
    <t>Casos totales</t>
  </si>
  <si>
    <t>Aprobados</t>
  </si>
  <si>
    <t>Fallidos</t>
  </si>
  <si>
    <t>ESTADO GLOBAL</t>
  </si>
  <si>
    <t>Parámetros, coeficientes y catálogos · versión 1.0</t>
  </si>
  <si>
    <t>Toda constante del modelo vive aquí; ninguna fórmula del libro contiene un coeficiente escrito a mano. Las celdas arena son editables. Cambiar un valor aquí propaga a todo el libro y hace FALLAR las pruebas que cotejan contra la fuente publicada.</t>
  </si>
  <si>
    <t>C1 · PARÁMETROS, LÍMITES Y COEFICIENTES</t>
  </si>
  <si>
    <t>Parámetro</t>
  </si>
  <si>
    <t>Tipo</t>
  </si>
  <si>
    <t>Nota / fuente</t>
  </si>
  <si>
    <t>Idioma</t>
  </si>
  <si>
    <t>Español (es-CL)</t>
  </si>
  <si>
    <t>Interfaz</t>
  </si>
  <si>
    <t>Versión de las fuentes</t>
  </si>
  <si>
    <t>2026-07 · v1.0</t>
  </si>
  <si>
    <t>Ver hoja FUENTES</t>
  </si>
  <si>
    <t>Edad mínima (adulto)</t>
  </si>
  <si>
    <t>IMPOSIBLE</t>
  </si>
  <si>
    <t>Alcance: solo adultos</t>
  </si>
  <si>
    <t>Edad máxima plausible</t>
  </si>
  <si>
    <t>Límite operativo</t>
  </si>
  <si>
    <t>Peso mínimo posible</t>
  </si>
  <si>
    <t>Peso máximo posible</t>
  </si>
  <si>
    <t>Estatura mínima posible</t>
  </si>
  <si>
    <t>Estatura máxima posible</t>
  </si>
  <si>
    <t>Pliegue mínimo por sitio</t>
  </si>
  <si>
    <t>Guarda de cada pliegue</t>
  </si>
  <si>
    <t>Pliegue máximo por sitio</t>
  </si>
  <si>
    <t>% de grasa mínimo plausible</t>
  </si>
  <si>
    <t>Grasa esencial</t>
  </si>
  <si>
    <t>% de grasa máximo plausible</t>
  </si>
  <si>
    <t>Rango máximo aceptado entre métodos</t>
  </si>
  <si>
    <t>Umbral</t>
  </si>
  <si>
    <t>Rango (máx−mín) del % de grasa, en puntos porcentuales</t>
  </si>
  <si>
    <t>ETM relativo · límite OK (ISAK)</t>
  </si>
  <si>
    <t>≤5 % intraevaluador experimentado</t>
  </si>
  <si>
    <t>ETM relativo · límite aceptable</t>
  </si>
  <si>
    <t>5–7,5 % aceptable; &gt;7,5 % revisar técnica</t>
  </si>
  <si>
    <t>Tolerancia de pruebas · fracción</t>
  </si>
  <si>
    <t>% de grasa (fracción)</t>
  </si>
  <si>
    <t>Tolerancia de pruebas · kg</t>
  </si>
  <si>
    <t>Masa (kg)</t>
  </si>
  <si>
    <t>Tolerancia de pruebas · mm</t>
  </si>
  <si>
    <t>Pliegues y ETM</t>
  </si>
  <si>
    <t>Siri (1961) · numerador</t>
  </si>
  <si>
    <t>Coef.</t>
  </si>
  <si>
    <t>Siri (1961) · término</t>
  </si>
  <si>
    <t>Brožek (1963) · numerador</t>
  </si>
  <si>
    <t>Brožek (1963) · término</t>
  </si>
  <si>
    <t>Faulkner (1968) · pendiente</t>
  </si>
  <si>
    <t>%grasa = 0,153·Σ4 + 5,783</t>
  </si>
  <si>
    <t>Faulkner (1968) · intersección</t>
  </si>
  <si>
    <t>Jackson–Pollock 7 · hombre · a</t>
  </si>
  <si>
    <t>BD = a − b1·Σ + b2·Σ² − b3·edad</t>
  </si>
  <si>
    <t>Jackson–Pollock 7 · hombre · b1</t>
  </si>
  <si>
    <t>Jackson–Pollock 7 · hombre · b2</t>
  </si>
  <si>
    <t>Jackson–Pollock 7 · hombre · b3</t>
  </si>
  <si>
    <t>Jackson–Pollock 7 · mujer · a</t>
  </si>
  <si>
    <t>Jackson–Pollock 7 · mujer · b1</t>
  </si>
  <si>
    <t>Jackson–Pollock 7 · mujer · b2</t>
  </si>
  <si>
    <t>Jackson–Pollock 7 · mujer · b3</t>
  </si>
  <si>
    <t>Jackson–Pollock 3 · hombre · a</t>
  </si>
  <si>
    <t>Sitios H: pectoral, abdominal, muslo</t>
  </si>
  <si>
    <t>Jackson–Pollock 3 · hombre · b1</t>
  </si>
  <si>
    <t>Jackson–Pollock 3 · hombre · b2</t>
  </si>
  <si>
    <t>Jackson–Pollock 3 · hombre · b3</t>
  </si>
  <si>
    <t>Jackson–Pollock 3 · mujer · a</t>
  </si>
  <si>
    <t>Sitios M: tríceps, suprailíaco, muslo</t>
  </si>
  <si>
    <t>Jackson–Pollock 3 · mujer · b1</t>
  </si>
  <si>
    <t>Jackson–Pollock 3 · mujer · b2</t>
  </si>
  <si>
    <t>Jackson–Pollock 3 · mujer · b3</t>
  </si>
  <si>
    <t>C2 · SEXOS</t>
  </si>
  <si>
    <t>Nota</t>
  </si>
  <si>
    <t>Ecuaciones derivadas en varones</t>
  </si>
  <si>
    <t>Ecuaciones derivadas en mujeres</t>
  </si>
  <si>
    <t>C3 · ECUACIÓN A REPORTAR</t>
  </si>
  <si>
    <t>Ecuación (lista)</t>
  </si>
  <si>
    <t>Sitios que exige</t>
  </si>
  <si>
    <t>pectoral, axilar, tríceps, subescapular, abdominal, suprailíaco, muslo</t>
  </si>
  <si>
    <t>H: pectoral, abdominal, muslo · M: tríceps, suprailíaco, muslo</t>
  </si>
  <si>
    <t>bíceps, tríceps, subescapular, suprailíaco</t>
  </si>
  <si>
    <t>tríceps, subescapular, suprailíaco, abdominal</t>
  </si>
  <si>
    <t>C4 · CONVERSIÓN DENSIDAD → % DE GRASA (JP y DW)</t>
  </si>
  <si>
    <t>Fórmula (lista)</t>
  </si>
  <si>
    <t>Expresión</t>
  </si>
  <si>
    <t>Brožek (1963)</t>
  </si>
  <si>
    <t>C5 · LISTA SÍ / NO</t>
  </si>
  <si>
    <t>Sí</t>
  </si>
  <si>
    <t>No</t>
  </si>
  <si>
    <t>C6 · DURNIN–WOMERSLEY (1974) · densidad = c − m·log10(Σ4) · por sexo y banda etaria</t>
  </si>
  <si>
    <t>Edad desde (≥)</t>
  </si>
  <si>
    <t>Edad hasta (&lt;)</t>
  </si>
  <si>
    <t>c</t>
  </si>
  <si>
    <t>C7 · % DE GRASA · RANGOS REFERENCIALES POR SEXO (ACE) · corte inferior (≥)</t>
  </si>
  <si>
    <t>Categoría</t>
  </si>
  <si>
    <t>Corte inferior (≥)</t>
  </si>
  <si>
    <t>2–5 %</t>
  </si>
  <si>
    <t>Atlético</t>
  </si>
  <si>
    <t>6–13 %</t>
  </si>
  <si>
    <t>En forma</t>
  </si>
  <si>
    <t>14–17 %</t>
  </si>
  <si>
    <t>Aceptable</t>
  </si>
  <si>
    <t>18–24 %</t>
  </si>
  <si>
    <t>Obesidad</t>
  </si>
  <si>
    <t>≥25 %</t>
  </si>
  <si>
    <t>10–13 %</t>
  </si>
  <si>
    <t>14–20 %</t>
  </si>
  <si>
    <t>21–24 %</t>
  </si>
  <si>
    <t>25–31 %</t>
  </si>
  <si>
    <t>≥32 %</t>
  </si>
  <si>
    <t>Rangos REFERENCIALES (American Council on Exercise). NO son un estándar oficial. Las ecuaciones de pliegues NO son intercambiables entre sí: elija UNA validada para su población y úsela de forma consistente.</t>
  </si>
  <si>
    <t>Historial de versiones</t>
  </si>
  <si>
    <t>Cambio</t>
  </si>
  <si>
    <t>Motivo</t>
  </si>
  <si>
    <t>Versión inicial. Panel ISAK de 8 sitios con doble medición y error técnico de medición (ETM) intraevaluador; cuatro ecuaciones (Jackson–Pollock 7 y 3 sitios, Durnin–Womersley, Faulkner) con reconciliación y Σ de pliegues para seguimiento.</t>
  </si>
  <si>
    <t>Primera entrega del producto 36.</t>
  </si>
  <si>
    <t>Equipo Nutrimetría</t>
  </si>
  <si>
    <t>Banco de pruebas con exactitud de las cuatro ecuaciones, ETM, composición, validaciones e integridad, con valores esperados independientes del CONFIG.</t>
  </si>
  <si>
    <t>Control de calidad.</t>
  </si>
  <si>
    <t>Resultado</t>
  </si>
  <si>
    <t>PLIEGUES</t>
  </si>
  <si>
    <t>Proveer una herramienta automatizada que facilite la evaluación y el análisis de la composición corporal en población adulta, permitiendo calcular el porcentaje de grasa corporal a través de cuatro ecuaciones estandarizadas basadas en pliegues cutáneos.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</si>
</sst>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0.0"/>
    <numFmt numFmtId="165" formatCode="0.000"/>
    <numFmt numFmtId="166" formatCode="0.0%"/>
    <numFmt numFmtId="167" formatCode="0.00000"/>
    <numFmt numFmtId="168" formatCode="0.0000"/>
    <numFmt numFmtId="169" formatCode="0.000%"/>
    <numFmt numFmtId="170" formatCode="0.000000"/>
    <numFmt numFmtId="171" formatCode="0.00000000"/>
    <numFmt numFmtId="172" formatCode="0.0000000"/>
  </numFmts>
  <fonts count="32">
    <font>
      <sz val="11"/>
      <color theme="1"/>
      <name val="Calibri"/>
      <family val="2"/>
      <charset val="1"/>
    </font>
    <font>
      <sz val="10"/>
      <name val="Arial"/>
      <family val="2"/>
    </font>
    <font>
      <b/>
      <sz val="14"/>
      <color rgb="FFFFFFFF"/>
      <name val="Arial"/>
      <family val="2"/>
    </font>
    <font>
      <sz val="10"/>
      <color rgb="FF1A1A1A"/>
      <name val="Arial"/>
      <family val="2"/>
    </font>
    <font>
      <b/>
      <sz val="10"/>
      <color rgb="FF1A1A1A"/>
      <name val="Arial"/>
      <family val="2"/>
    </font>
    <font>
      <b/>
      <sz val="10"/>
      <color rgb="FFFFFFFF"/>
      <name val="Arial"/>
      <family val="2"/>
    </font>
    <font>
      <sz val="9"/>
      <color rgb="FF5A6B70"/>
      <name val="Arial"/>
      <family val="2"/>
    </font>
    <font>
      <b/>
      <sz val="9"/>
      <color rgb="FFB45309"/>
      <name val="Arial"/>
      <family val="2"/>
    </font>
    <font>
      <sz val="10"/>
      <color rgb="FF0000CC"/>
      <name val="Arial"/>
      <family val="2"/>
    </font>
    <font>
      <sz val="10"/>
      <color rgb="FF5A6B70"/>
      <name val="Arial"/>
      <family val="2"/>
    </font>
    <font>
      <b/>
      <sz val="11"/>
      <color rgb="FFFFFFFF"/>
      <name val="Arial"/>
      <family val="2"/>
    </font>
    <font>
      <sz val="10"/>
      <color rgb="FFB45309"/>
      <name val="Arial"/>
      <family val="2"/>
    </font>
    <font>
      <b/>
      <sz val="9"/>
      <color rgb="FF1A1A1A"/>
      <name val="Arial"/>
      <family val="2"/>
    </font>
    <font>
      <sz val="9"/>
      <color rgb="FF1A1A1A"/>
      <name val="Arial"/>
      <family val="2"/>
    </font>
    <font>
      <b/>
      <sz val="9"/>
      <color rgb="FF1C6B72"/>
      <name val="Arial"/>
      <family val="2"/>
    </font>
    <font>
      <b/>
      <sz val="9"/>
      <color rgb="FFFFFFFF"/>
      <name val="Arial"/>
      <family val="2"/>
    </font>
    <font>
      <sz val="11"/>
      <color rgb="FF155E6C"/>
      <name val="Aptos"/>
    </font>
    <font>
      <b/>
      <sz val="10"/>
      <name val="Arial"/>
      <family val="2"/>
    </font>
    <font>
      <b/>
      <sz val="20"/>
      <color rgb="FFFFFFFF"/>
      <name val="Arial"/>
      <family val="2"/>
    </font>
    <font>
      <b/>
      <sz val="14"/>
      <color rgb="FFFFFFFF"/>
      <name val="Arial"/>
      <family val="2"/>
    </font>
    <font>
      <b/>
      <sz val="10"/>
      <color rgb="FFFFFFFF"/>
      <name val="Aptos"/>
    </font>
    <font>
      <b/>
      <sz val="11"/>
      <color rgb="FF1A1A1A"/>
      <name val="Arial"/>
      <family val="2"/>
    </font>
    <font>
      <b/>
      <sz val="10"/>
      <color rgb="FF1A1A1A"/>
      <name val="Arial"/>
      <family val="2"/>
    </font>
    <font>
      <b/>
      <sz val="11"/>
      <color rgb="FFFFFFFF"/>
      <name val="Arial"/>
      <family val="2"/>
    </font>
    <font>
      <u/>
      <sz val="11"/>
      <color theme="10"/>
      <name val="Calibri"/>
      <family val="2"/>
      <charset val="1"/>
    </font>
    <font>
      <sz val="9"/>
      <name val="Arial"/>
      <family val="2"/>
    </font>
    <font>
      <sz val="11"/>
      <name val="Calibri"/>
      <family val="2"/>
      <charset val="1"/>
    </font>
    <font>
      <b/>
      <sz val="10"/>
      <color rgb="FFB45309"/>
      <name val="Arial"/>
      <family val="2"/>
    </font>
    <font>
      <b/>
      <sz val="11"/>
      <color theme="1"/>
      <name val="Calibri"/>
      <family val="2"/>
      <charset val="1"/>
    </font>
    <font>
      <b/>
      <sz val="11"/>
      <color theme="0"/>
      <name val="Calibri"/>
      <family val="2"/>
      <charset val="1"/>
    </font>
    <font>
      <b/>
      <sz val="11"/>
      <color theme="0"/>
      <name val="Calibri"/>
      <family val="2"/>
    </font>
    <font>
      <b/>
      <sz val="9"/>
      <name val="Arial"/>
      <family val="2"/>
    </font>
  </fonts>
  <fills count="15">
    <fill>
      <patternFill patternType="none"/>
    </fill>
    <fill>
      <patternFill patternType="gray125"/>
    </fill>
    <fill>
      <patternFill patternType="solid">
        <fgColor rgb="FF0F3B44"/>
        <bgColor rgb="FF003300"/>
      </patternFill>
    </fill>
    <fill>
      <patternFill patternType="solid">
        <fgColor rgb="FF1C6B72"/>
        <bgColor rgb="FF008080"/>
      </patternFill>
    </fill>
    <fill>
      <patternFill patternType="solid">
        <fgColor rgb="FFFBE4D5"/>
        <bgColor rgb="FFFFF6D8"/>
      </patternFill>
    </fill>
    <fill>
      <patternFill patternType="solid">
        <fgColor rgb="FFE7E0F5"/>
        <bgColor rgb="FFDCE8EA"/>
      </patternFill>
    </fill>
    <fill>
      <patternFill patternType="solid">
        <fgColor rgb="FFDCE8EA"/>
        <bgColor rgb="FFDFF0E3"/>
      </patternFill>
    </fill>
    <fill>
      <patternFill patternType="solid">
        <fgColor rgb="FFFFF6D8"/>
        <bgColor rgb="FFF4F6F7"/>
      </patternFill>
    </fill>
    <fill>
      <patternFill patternType="solid">
        <fgColor rgb="FFF4F6F7"/>
        <bgColor rgb="FFFFFFFF"/>
      </patternFill>
    </fill>
    <fill>
      <patternFill patternType="solid">
        <fgColor rgb="FFDFF0E3"/>
        <bgColor rgb="FFDCE8EA"/>
      </patternFill>
    </fill>
    <fill>
      <patternFill patternType="solid">
        <fgColor rgb="FF17324D"/>
      </patternFill>
    </fill>
    <fill>
      <patternFill patternType="solid">
        <fgColor rgb="FFDCEFF1"/>
      </patternFill>
    </fill>
    <fill>
      <patternFill patternType="solid">
        <fgColor rgb="FFFBE4D5"/>
        <bgColor rgb="FFF8D7DA"/>
      </patternFill>
    </fill>
    <fill>
      <patternFill patternType="solid">
        <fgColor rgb="FF0F3B44"/>
      </patternFill>
    </fill>
    <fill>
      <patternFill patternType="solid">
        <fgColor rgb="FF1C6B72"/>
      </patternFill>
    </fill>
  </fills>
  <borders count="37">
    <border>
      <left/>
      <right/>
      <top/>
      <bottom/>
      <diagonal/>
    </border>
    <border>
      <left style="thin">
        <color rgb="FFC7D2D6"/>
      </left>
      <right style="thin">
        <color rgb="FFC7D2D6"/>
      </right>
      <top style="thin">
        <color rgb="FFC7D2D6"/>
      </top>
      <bottom style="thin">
        <color rgb="FFC7D2D6"/>
      </bottom>
      <diagonal/>
    </border>
    <border>
      <left style="thin">
        <color rgb="FFC7D2D6"/>
      </left>
      <right/>
      <top style="thin">
        <color rgb="FFC7D2D6"/>
      </top>
      <bottom style="thin">
        <color rgb="FFC7D2D6"/>
      </bottom>
      <diagonal/>
    </border>
    <border>
      <left/>
      <right/>
      <top style="thin">
        <color rgb="FFC7D2D6"/>
      </top>
      <bottom/>
      <diagonal/>
    </border>
    <border>
      <left/>
      <right style="thin">
        <color rgb="FFC7D2D6"/>
      </right>
      <top style="thin">
        <color rgb="FFC7D2D6"/>
      </top>
      <bottom style="thin">
        <color rgb="FFC7D2D6"/>
      </bottom>
      <diagonal/>
    </border>
    <border>
      <left/>
      <right/>
      <top style="thin">
        <color rgb="FFC7D2D6"/>
      </top>
      <bottom style="thin">
        <color rgb="FFC7D2D6"/>
      </bottom>
      <diagonal/>
    </border>
    <border>
      <left style="thin">
        <color indexed="64"/>
      </left>
      <right/>
      <top/>
      <bottom style="thin">
        <color indexed="64"/>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B7C7CB"/>
      </left>
      <right style="thin">
        <color rgb="FFB7C7CB"/>
      </right>
      <top style="thin">
        <color rgb="FFB7C7CB"/>
      </top>
      <bottom style="thin">
        <color rgb="FFB7C7CB"/>
      </bottom>
      <diagonal/>
    </border>
    <border>
      <left style="thin">
        <color rgb="FFB7C7CB"/>
      </left>
      <right/>
      <top/>
      <bottom/>
      <diagonal/>
    </border>
    <border>
      <left style="thin">
        <color rgb="FFB7C7CB"/>
      </left>
      <right style="thin">
        <color rgb="FFB7C7CB"/>
      </right>
      <top style="thin">
        <color rgb="FFB7C7CB"/>
      </top>
      <bottom/>
      <diagonal/>
    </border>
    <border>
      <left style="thin">
        <color rgb="FFB7C7CB"/>
      </left>
      <right/>
      <top style="thin">
        <color indexed="64"/>
      </top>
      <bottom/>
      <diagonal/>
    </border>
    <border>
      <left style="thin">
        <color rgb="FFB7C7CB"/>
      </left>
      <right/>
      <top style="thin">
        <color indexed="64"/>
      </top>
      <bottom style="thin">
        <color rgb="FFB7C7CB"/>
      </bottom>
      <diagonal/>
    </border>
    <border>
      <left/>
      <right/>
      <top style="thin">
        <color indexed="64"/>
      </top>
      <bottom style="thin">
        <color rgb="FFB7C7CB"/>
      </bottom>
      <diagonal/>
    </border>
    <border>
      <left/>
      <right style="thin">
        <color rgb="FFB7C7CB"/>
      </right>
      <top style="thin">
        <color indexed="64"/>
      </top>
      <bottom style="thin">
        <color rgb="FFB7C7CB"/>
      </bottom>
      <diagonal/>
    </border>
    <border>
      <left style="thin">
        <color indexed="64"/>
      </left>
      <right/>
      <top style="thin">
        <color indexed="64"/>
      </top>
      <bottom style="thin">
        <color indexed="64"/>
      </bottom>
      <diagonal/>
    </border>
    <border>
      <left style="thin">
        <color rgb="FFC7D2D6"/>
      </left>
      <right style="thin">
        <color rgb="FFC7D2D6"/>
      </right>
      <top/>
      <bottom style="thin">
        <color rgb="FFC7D2D6"/>
      </bottom>
      <diagonal/>
    </border>
    <border>
      <left/>
      <right/>
      <top/>
      <bottom style="thin">
        <color rgb="FFC7D2D6"/>
      </bottom>
      <diagonal/>
    </border>
    <border>
      <left style="thin">
        <color rgb="FFC7D2D6"/>
      </left>
      <right style="thin">
        <color rgb="FFC7D2D6"/>
      </right>
      <top style="thin">
        <color rgb="FFC7D2D6"/>
      </top>
      <bottom/>
      <diagonal/>
    </border>
    <border>
      <left style="thin">
        <color rgb="FFC7D2D6"/>
      </left>
      <right/>
      <top style="thin">
        <color rgb="FFC7D2D6"/>
      </top>
      <bottom/>
      <diagonal/>
    </border>
    <border>
      <left style="thin">
        <color theme="0"/>
      </left>
      <right style="thin">
        <color theme="0"/>
      </right>
      <top/>
      <bottom/>
      <diagonal/>
    </border>
    <border>
      <left style="thin">
        <color theme="0"/>
      </left>
      <right/>
      <top/>
      <bottom/>
      <diagonal/>
    </border>
    <border>
      <left/>
      <right style="thin">
        <color theme="0"/>
      </right>
      <top/>
      <bottom/>
      <diagonal/>
    </border>
    <border>
      <left style="thin">
        <color theme="0"/>
      </left>
      <right/>
      <top/>
      <bottom style="thin">
        <color indexed="64"/>
      </bottom>
      <diagonal/>
    </border>
    <border>
      <left/>
      <right style="thin">
        <color theme="0"/>
      </right>
      <top/>
      <bottom style="thin">
        <color indexed="64"/>
      </bottom>
      <diagonal/>
    </border>
    <border>
      <left style="thin">
        <color theme="0"/>
      </left>
      <right/>
      <top style="thin">
        <color rgb="FFB7C7CB"/>
      </top>
      <bottom style="thin">
        <color indexed="64"/>
      </bottom>
      <diagonal/>
    </border>
    <border>
      <left/>
      <right/>
      <top style="thin">
        <color rgb="FFB7C7CB"/>
      </top>
      <bottom style="thin">
        <color indexed="64"/>
      </bottom>
      <diagonal/>
    </border>
  </borders>
  <cellStyleXfs count="2">
    <xf numFmtId="0" fontId="0" fillId="0" borderId="0"/>
    <xf numFmtId="0" fontId="24" fillId="0" borderId="0" applyNumberFormat="0" applyFill="0" applyBorder="0" applyAlignment="0" applyProtection="0"/>
  </cellStyleXfs>
  <cellXfs count="203">
    <xf numFmtId="0" fontId="0" fillId="0" borderId="0" xfId="0" applyAlignment="1"/>
    <xf numFmtId="0" fontId="0" fillId="0" borderId="0" xfId="0"/>
    <xf numFmtId="0" fontId="0" fillId="0" borderId="0" xfId="0" applyAlignment="1"/>
    <xf numFmtId="0" fontId="2" fillId="2" borderId="0" xfId="0" applyFont="1" applyFill="1" applyAlignment="1">
      <alignment horizontal="left" vertical="center"/>
    </xf>
    <xf numFmtId="0" fontId="3" fillId="2" borderId="0" xfId="0" applyFont="1" applyFill="1" applyAlignment="1">
      <alignment horizontal="left" vertical="center"/>
    </xf>
    <xf numFmtId="0" fontId="5" fillId="3" borderId="1" xfId="0" applyFont="1" applyFill="1" applyBorder="1" applyAlignment="1">
      <alignment horizontal="left" vertical="center"/>
    </xf>
    <xf numFmtId="0" fontId="3" fillId="0" borderId="1" xfId="0" applyFont="1" applyBorder="1" applyAlignment="1">
      <alignment horizontal="left" vertical="center"/>
    </xf>
    <xf numFmtId="2" fontId="3" fillId="8" borderId="1" xfId="0" applyNumberFormat="1" applyFont="1" applyFill="1" applyBorder="1" applyAlignment="1">
      <alignment horizontal="center" vertical="center"/>
    </xf>
    <xf numFmtId="0" fontId="10" fillId="3" borderId="0" xfId="0" applyFont="1" applyFill="1" applyAlignment="1">
      <alignment horizontal="left" vertical="center"/>
    </xf>
    <xf numFmtId="0" fontId="3" fillId="3" borderId="0" xfId="0" applyFont="1" applyFill="1" applyAlignment="1">
      <alignment horizontal="left" vertical="center"/>
    </xf>
    <xf numFmtId="165" fontId="3" fillId="8" borderId="1" xfId="0" applyNumberFormat="1" applyFont="1" applyFill="1" applyBorder="1" applyAlignment="1">
      <alignment horizontal="center" vertical="center"/>
    </xf>
    <xf numFmtId="168" fontId="3" fillId="8" borderId="1" xfId="0" applyNumberFormat="1" applyFont="1" applyFill="1" applyBorder="1" applyAlignment="1">
      <alignment horizontal="center" vertical="center"/>
    </xf>
    <xf numFmtId="0" fontId="3" fillId="8" borderId="1" xfId="0" applyFont="1" applyFill="1" applyBorder="1" applyAlignment="1">
      <alignment horizontal="center" vertical="center"/>
    </xf>
    <xf numFmtId="0" fontId="3" fillId="0" borderId="1" xfId="0" applyFont="1" applyBorder="1" applyAlignment="1">
      <alignment horizontal="center" vertical="center"/>
    </xf>
    <xf numFmtId="0" fontId="6" fillId="0" borderId="1" xfId="0" applyFont="1" applyBorder="1" applyAlignment="1">
      <alignment horizontal="left" vertical="center"/>
    </xf>
    <xf numFmtId="0" fontId="6" fillId="0" borderId="1" xfId="0" applyFont="1" applyBorder="1" applyAlignment="1">
      <alignment horizontal="center" vertical="center"/>
    </xf>
    <xf numFmtId="0" fontId="5" fillId="3" borderId="1" xfId="0" applyFont="1" applyFill="1" applyBorder="1" applyAlignment="1">
      <alignment horizontal="left" vertical="center" wrapText="1"/>
    </xf>
    <xf numFmtId="0" fontId="13" fillId="0" borderId="1" xfId="0" applyFont="1" applyBorder="1" applyAlignment="1">
      <alignment horizontal="left" vertical="center" wrapText="1"/>
    </xf>
    <xf numFmtId="0" fontId="14" fillId="0" borderId="1" xfId="0" applyFont="1" applyBorder="1" applyAlignment="1">
      <alignment horizontal="left" vertical="center" wrapText="1"/>
    </xf>
    <xf numFmtId="0" fontId="0" fillId="2" borderId="0" xfId="0" applyFill="1" applyAlignment="1"/>
    <xf numFmtId="0" fontId="15" fillId="3" borderId="1" xfId="0" applyFont="1" applyFill="1" applyBorder="1" applyAlignment="1">
      <alignment horizontal="left" vertical="center" wrapText="1"/>
    </xf>
    <xf numFmtId="0" fontId="13" fillId="0" borderId="1" xfId="0" applyFont="1" applyBorder="1" applyAlignment="1">
      <alignment horizontal="left" vertical="center"/>
    </xf>
    <xf numFmtId="0" fontId="13" fillId="0" borderId="1" xfId="0" applyFont="1" applyBorder="1" applyAlignment="1">
      <alignment horizontal="center" vertical="center"/>
    </xf>
    <xf numFmtId="10" fontId="3" fillId="8" borderId="1" xfId="0" applyNumberFormat="1" applyFont="1" applyFill="1" applyBorder="1" applyAlignment="1">
      <alignment horizontal="center" vertical="center"/>
    </xf>
    <xf numFmtId="10" fontId="3" fillId="0" borderId="1" xfId="0" applyNumberFormat="1" applyFont="1" applyBorder="1" applyAlignment="1">
      <alignment horizontal="center" vertical="center"/>
    </xf>
    <xf numFmtId="169" fontId="3" fillId="8" borderId="1" xfId="0" applyNumberFormat="1" applyFont="1" applyFill="1" applyBorder="1" applyAlignment="1">
      <alignment horizontal="center" vertical="center"/>
    </xf>
    <xf numFmtId="0" fontId="13" fillId="8" borderId="1" xfId="0" applyFont="1" applyFill="1" applyBorder="1" applyAlignment="1">
      <alignment horizontal="center" vertical="center"/>
    </xf>
    <xf numFmtId="168" fontId="3" fillId="0" borderId="1" xfId="0" applyNumberFormat="1" applyFont="1" applyBorder="1" applyAlignment="1">
      <alignment horizontal="center" vertical="center"/>
    </xf>
    <xf numFmtId="165" fontId="3" fillId="0" borderId="1" xfId="0" applyNumberFormat="1" applyFont="1" applyBorder="1" applyAlignment="1">
      <alignment horizontal="center" vertical="center"/>
    </xf>
    <xf numFmtId="169" fontId="3" fillId="0" borderId="1" xfId="0" applyNumberFormat="1" applyFont="1" applyBorder="1" applyAlignment="1">
      <alignment horizontal="center" vertical="center"/>
    </xf>
    <xf numFmtId="2" fontId="3" fillId="0" borderId="1" xfId="0" applyNumberFormat="1" applyFont="1" applyBorder="1" applyAlignment="1">
      <alignment horizontal="center" vertical="center"/>
    </xf>
    <xf numFmtId="0" fontId="2" fillId="2" borderId="0" xfId="0" applyFont="1" applyFill="1" applyAlignment="1">
      <alignment horizontal="left" vertical="center" indent="1"/>
    </xf>
    <xf numFmtId="168" fontId="8" fillId="7" borderId="1" xfId="0" applyNumberFormat="1" applyFont="1" applyFill="1" applyBorder="1" applyAlignment="1">
      <alignment horizontal="center" vertical="center"/>
    </xf>
    <xf numFmtId="9" fontId="3" fillId="0" borderId="1" xfId="0" applyNumberFormat="1" applyFont="1" applyBorder="1" applyAlignment="1">
      <alignment horizontal="center" vertical="center"/>
    </xf>
    <xf numFmtId="0" fontId="20" fillId="10" borderId="18" xfId="0" applyFont="1" applyFill="1" applyBorder="1" applyAlignment="1">
      <alignment horizontal="center" vertical="center"/>
    </xf>
    <xf numFmtId="0" fontId="20" fillId="10" borderId="18" xfId="0" applyFont="1" applyFill="1" applyBorder="1" applyAlignment="1">
      <alignment horizontal="center" vertical="center"/>
    </xf>
    <xf numFmtId="0" fontId="0" fillId="10" borderId="18" xfId="0" applyFill="1" applyBorder="1" applyAlignment="1">
      <alignment horizontal="center" vertical="center"/>
    </xf>
    <xf numFmtId="0" fontId="16" fillId="11" borderId="18" xfId="0" applyFont="1" applyFill="1" applyBorder="1" applyAlignment="1">
      <alignment horizontal="center" vertical="center" wrapText="1"/>
    </xf>
    <xf numFmtId="0" fontId="0" fillId="11" borderId="18" xfId="0" applyFill="1" applyBorder="1" applyAlignment="1">
      <alignment horizontal="center" vertical="center" wrapText="1"/>
    </xf>
    <xf numFmtId="0" fontId="19" fillId="14" borderId="6" xfId="0" applyFont="1" applyFill="1" applyBorder="1" applyAlignment="1">
      <alignment horizontal="left" vertical="center" wrapText="1"/>
    </xf>
    <xf numFmtId="0" fontId="0" fillId="0" borderId="0" xfId="0" applyAlignment="1"/>
    <xf numFmtId="0" fontId="7" fillId="0" borderId="0" xfId="0" applyFont="1" applyAlignment="1">
      <alignment horizontal="left" vertical="center"/>
    </xf>
    <xf numFmtId="0" fontId="6" fillId="5" borderId="0" xfId="0" applyFont="1" applyFill="1" applyAlignment="1">
      <alignment horizontal="left" vertical="center" wrapText="1"/>
    </xf>
    <xf numFmtId="0" fontId="0" fillId="0" borderId="4" xfId="0" applyBorder="1"/>
    <xf numFmtId="0" fontId="6" fillId="0" borderId="0" xfId="0" applyFont="1" applyAlignment="1">
      <alignment horizontal="left" vertical="center" wrapText="1"/>
    </xf>
    <xf numFmtId="0" fontId="11" fillId="8" borderId="1" xfId="0" applyFont="1" applyFill="1" applyBorder="1" applyAlignment="1">
      <alignment horizontal="left" vertical="center" wrapText="1"/>
    </xf>
    <xf numFmtId="0" fontId="0" fillId="0" borderId="5" xfId="0" applyBorder="1"/>
    <xf numFmtId="0" fontId="12" fillId="4" borderId="0" xfId="0" applyFont="1" applyFill="1" applyAlignment="1">
      <alignment horizontal="left" vertical="center" wrapText="1"/>
    </xf>
    <xf numFmtId="0" fontId="6" fillId="4" borderId="0" xfId="0" applyFont="1" applyFill="1" applyAlignment="1">
      <alignment horizontal="left" vertical="center" wrapText="1"/>
    </xf>
    <xf numFmtId="0" fontId="16" fillId="11" borderId="20" xfId="0" applyFont="1" applyFill="1" applyBorder="1" applyAlignment="1">
      <alignment horizontal="center" vertical="center" wrapText="1"/>
    </xf>
    <xf numFmtId="0" fontId="16" fillId="11" borderId="20" xfId="0" applyFont="1" applyFill="1" applyBorder="1" applyAlignment="1">
      <alignment horizontal="center" vertical="center" wrapText="1"/>
    </xf>
    <xf numFmtId="0" fontId="21" fillId="5" borderId="8" xfId="0" applyFont="1" applyFill="1" applyBorder="1" applyAlignment="1">
      <alignment horizontal="left" vertical="center" wrapText="1"/>
    </xf>
    <xf numFmtId="0" fontId="0" fillId="11" borderId="20" xfId="0" applyFill="1" applyBorder="1" applyAlignment="1">
      <alignment horizontal="center" vertical="center" wrapText="1"/>
    </xf>
    <xf numFmtId="0" fontId="22" fillId="5" borderId="8" xfId="0" applyFont="1" applyFill="1" applyBorder="1" applyAlignment="1">
      <alignment horizontal="left" vertical="center" wrapText="1"/>
    </xf>
    <xf numFmtId="0" fontId="0" fillId="0" borderId="8" xfId="0" applyBorder="1"/>
    <xf numFmtId="0" fontId="23" fillId="3" borderId="21" xfId="0" applyFont="1" applyFill="1" applyBorder="1" applyAlignment="1">
      <alignment horizontal="left" vertical="center"/>
    </xf>
    <xf numFmtId="0" fontId="23" fillId="3" borderId="14" xfId="0" applyFont="1" applyFill="1" applyBorder="1" applyAlignment="1">
      <alignment horizontal="left" vertical="center"/>
    </xf>
    <xf numFmtId="0" fontId="22" fillId="12" borderId="8" xfId="0" applyFont="1" applyFill="1" applyBorder="1" applyAlignment="1">
      <alignment horizontal="left" vertical="center" wrapText="1"/>
    </xf>
    <xf numFmtId="0" fontId="22" fillId="5" borderId="0" xfId="0" applyFont="1" applyFill="1" applyBorder="1" applyAlignment="1">
      <alignment horizontal="left" vertical="center" wrapText="1"/>
    </xf>
    <xf numFmtId="0" fontId="19" fillId="14" borderId="7" xfId="0" applyFont="1" applyFill="1" applyBorder="1" applyAlignment="1">
      <alignment horizontal="left" vertical="center" wrapText="1"/>
    </xf>
    <xf numFmtId="0" fontId="19" fillId="14" borderId="0" xfId="0" applyFont="1" applyFill="1" applyBorder="1" applyAlignment="1">
      <alignment horizontal="left" vertical="center" wrapText="1"/>
    </xf>
    <xf numFmtId="0" fontId="19" fillId="14" borderId="12" xfId="0" applyFont="1" applyFill="1" applyBorder="1" applyAlignment="1">
      <alignment horizontal="left" vertical="center" wrapText="1"/>
    </xf>
    <xf numFmtId="0" fontId="18" fillId="13" borderId="0" xfId="0" applyFont="1" applyFill="1" applyAlignment="1">
      <alignment vertical="center"/>
    </xf>
    <xf numFmtId="0" fontId="19" fillId="14" borderId="22" xfId="0" applyFont="1" applyFill="1" applyBorder="1" applyAlignment="1">
      <alignment vertical="center"/>
    </xf>
    <xf numFmtId="0" fontId="19" fillId="14" borderId="23" xfId="0" applyFont="1" applyFill="1" applyBorder="1" applyAlignment="1">
      <alignment vertical="center"/>
    </xf>
    <xf numFmtId="0" fontId="19" fillId="14" borderId="24" xfId="0" applyFont="1" applyFill="1" applyBorder="1" applyAlignment="1">
      <alignment vertical="center"/>
    </xf>
    <xf numFmtId="0" fontId="22" fillId="5" borderId="9" xfId="0" applyFont="1" applyFill="1" applyBorder="1" applyAlignment="1">
      <alignment horizontal="left" vertical="center" wrapText="1"/>
    </xf>
    <xf numFmtId="0" fontId="22" fillId="5" borderId="14" xfId="0" applyFont="1" applyFill="1" applyBorder="1" applyAlignment="1">
      <alignment horizontal="left" vertical="center" wrapText="1"/>
    </xf>
    <xf numFmtId="0" fontId="22" fillId="5" borderId="15" xfId="0" applyFont="1" applyFill="1" applyBorder="1" applyAlignment="1">
      <alignment horizontal="left" vertical="center" wrapText="1"/>
    </xf>
    <xf numFmtId="0" fontId="22" fillId="5" borderId="7" xfId="0" applyFont="1" applyFill="1" applyBorder="1" applyAlignment="1">
      <alignment horizontal="left" vertical="center" wrapText="1"/>
    </xf>
    <xf numFmtId="0" fontId="22" fillId="5" borderId="11" xfId="0" applyFont="1" applyFill="1" applyBorder="1" applyAlignment="1">
      <alignment horizontal="left" vertical="center" wrapText="1"/>
    </xf>
    <xf numFmtId="0" fontId="22" fillId="5" borderId="6" xfId="0" applyFont="1" applyFill="1" applyBorder="1" applyAlignment="1">
      <alignment horizontal="left" vertical="center" wrapText="1"/>
    </xf>
    <xf numFmtId="0" fontId="22" fillId="5" borderId="12" xfId="0" applyFont="1" applyFill="1" applyBorder="1" applyAlignment="1">
      <alignment horizontal="left" vertical="center" wrapText="1"/>
    </xf>
    <xf numFmtId="0" fontId="22" fillId="5" borderId="13" xfId="0" applyFont="1" applyFill="1" applyBorder="1" applyAlignment="1">
      <alignment horizontal="left" vertical="center" wrapText="1"/>
    </xf>
    <xf numFmtId="0" fontId="5" fillId="3" borderId="8" xfId="0" applyFont="1" applyFill="1" applyBorder="1" applyAlignment="1">
      <alignment horizontal="left" vertical="center"/>
    </xf>
    <xf numFmtId="0" fontId="3" fillId="0" borderId="8" xfId="0" applyFont="1" applyBorder="1" applyAlignment="1">
      <alignment horizontal="left" vertical="center"/>
    </xf>
    <xf numFmtId="0" fontId="8" fillId="7" borderId="8" xfId="0" applyFont="1" applyFill="1" applyBorder="1" applyAlignment="1">
      <alignment horizontal="center" vertical="center"/>
    </xf>
    <xf numFmtId="0" fontId="9" fillId="0" borderId="8" xfId="0" applyFont="1" applyBorder="1" applyAlignment="1">
      <alignment horizontal="center" vertical="center"/>
    </xf>
    <xf numFmtId="0" fontId="6" fillId="0" borderId="8" xfId="0" applyFont="1" applyBorder="1" applyAlignment="1">
      <alignment horizontal="left" vertical="center" wrapText="1"/>
    </xf>
    <xf numFmtId="14" fontId="8" fillId="7" borderId="8" xfId="0" applyNumberFormat="1" applyFont="1" applyFill="1" applyBorder="1" applyAlignment="1">
      <alignment horizontal="center" vertical="center"/>
    </xf>
    <xf numFmtId="1" fontId="8" fillId="7" borderId="8" xfId="0" applyNumberFormat="1" applyFont="1" applyFill="1" applyBorder="1" applyAlignment="1">
      <alignment horizontal="center" vertical="center"/>
    </xf>
    <xf numFmtId="164" fontId="8" fillId="7" borderId="8" xfId="0" applyNumberFormat="1" applyFont="1" applyFill="1" applyBorder="1" applyAlignment="1">
      <alignment horizontal="center" vertical="center"/>
    </xf>
    <xf numFmtId="0" fontId="1" fillId="0" borderId="8" xfId="0" applyFont="1" applyBorder="1" applyAlignment="1">
      <alignment horizontal="center" vertical="center"/>
    </xf>
    <xf numFmtId="0" fontId="25" fillId="0" borderId="8" xfId="0" applyFont="1" applyBorder="1" applyAlignment="1">
      <alignment horizontal="left" vertical="center" wrapText="1"/>
    </xf>
    <xf numFmtId="0" fontId="4" fillId="0" borderId="8" xfId="0" applyFont="1" applyBorder="1" applyAlignment="1">
      <alignment horizontal="left" vertical="center"/>
    </xf>
    <xf numFmtId="0" fontId="2" fillId="14" borderId="22" xfId="0" applyFont="1" applyFill="1" applyBorder="1" applyAlignment="1">
      <alignment horizontal="left" vertical="center"/>
    </xf>
    <xf numFmtId="0" fontId="2" fillId="14" borderId="23" xfId="0" applyFont="1" applyFill="1" applyBorder="1" applyAlignment="1">
      <alignment horizontal="left" vertical="center"/>
    </xf>
    <xf numFmtId="0" fontId="19" fillId="14" borderId="22" xfId="0" applyFont="1" applyFill="1" applyBorder="1" applyAlignment="1">
      <alignment horizontal="left" vertical="center"/>
    </xf>
    <xf numFmtId="0" fontId="19" fillId="14" borderId="23" xfId="0" applyFont="1" applyFill="1" applyBorder="1" applyAlignment="1">
      <alignment horizontal="left" vertical="center"/>
    </xf>
    <xf numFmtId="0" fontId="3" fillId="8" borderId="8" xfId="0" applyFont="1" applyFill="1" applyBorder="1" applyAlignment="1">
      <alignment horizontal="left" vertical="center"/>
    </xf>
    <xf numFmtId="14" fontId="3" fillId="8" borderId="8" xfId="0" applyNumberFormat="1" applyFont="1" applyFill="1" applyBorder="1" applyAlignment="1">
      <alignment horizontal="left" vertical="center"/>
    </xf>
    <xf numFmtId="0" fontId="10" fillId="3" borderId="25" xfId="0" applyFont="1" applyFill="1" applyBorder="1" applyAlignment="1">
      <alignment horizontal="left" vertical="center"/>
    </xf>
    <xf numFmtId="0" fontId="10" fillId="3" borderId="16" xfId="0" applyFont="1" applyFill="1" applyBorder="1" applyAlignment="1">
      <alignment horizontal="left" vertical="center"/>
    </xf>
    <xf numFmtId="0" fontId="10" fillId="3" borderId="17" xfId="0" applyFont="1" applyFill="1" applyBorder="1" applyAlignment="1">
      <alignment horizontal="left" vertical="center"/>
    </xf>
    <xf numFmtId="165" fontId="3" fillId="8" borderId="8" xfId="0" applyNumberFormat="1" applyFont="1" applyFill="1" applyBorder="1" applyAlignment="1">
      <alignment horizontal="center" vertical="center"/>
    </xf>
    <xf numFmtId="166" fontId="3" fillId="8" borderId="8" xfId="0" applyNumberFormat="1" applyFont="1" applyFill="1" applyBorder="1" applyAlignment="1">
      <alignment horizontal="center" vertical="center"/>
    </xf>
    <xf numFmtId="0" fontId="3" fillId="9" borderId="8" xfId="0" applyFont="1" applyFill="1" applyBorder="1" applyAlignment="1">
      <alignment horizontal="center" vertical="center"/>
    </xf>
    <xf numFmtId="0" fontId="3" fillId="0" borderId="8" xfId="0" applyFont="1" applyBorder="1" applyAlignment="1">
      <alignment horizontal="center" vertical="center"/>
    </xf>
    <xf numFmtId="0" fontId="6" fillId="0" borderId="8" xfId="0" applyFont="1" applyBorder="1" applyAlignment="1">
      <alignment horizontal="left" vertical="center"/>
    </xf>
    <xf numFmtId="0" fontId="3" fillId="0" borderId="5" xfId="0" applyFont="1" applyBorder="1" applyAlignment="1">
      <alignment horizontal="left" vertical="center"/>
    </xf>
    <xf numFmtId="0" fontId="0" fillId="0" borderId="27" xfId="0" applyBorder="1"/>
    <xf numFmtId="0" fontId="4" fillId="0" borderId="10" xfId="0" applyFont="1" applyBorder="1" applyAlignment="1">
      <alignment horizontal="left" vertical="center"/>
    </xf>
    <xf numFmtId="166" fontId="3" fillId="8" borderId="10" xfId="0" applyNumberFormat="1" applyFont="1" applyFill="1" applyBorder="1" applyAlignment="1">
      <alignment horizontal="center" vertical="center"/>
    </xf>
    <xf numFmtId="0" fontId="3" fillId="0" borderId="3" xfId="0" applyFont="1" applyBorder="1" applyAlignment="1">
      <alignment horizontal="left" vertical="center"/>
    </xf>
    <xf numFmtId="0" fontId="0" fillId="0" borderId="3" xfId="0" applyBorder="1"/>
    <xf numFmtId="0" fontId="3" fillId="9" borderId="8" xfId="0" applyFont="1" applyFill="1" applyBorder="1" applyAlignment="1">
      <alignment horizontal="left" vertical="center" wrapText="1"/>
    </xf>
    <xf numFmtId="2" fontId="3" fillId="8" borderId="8" xfId="0" applyNumberFormat="1" applyFont="1" applyFill="1" applyBorder="1" applyAlignment="1">
      <alignment horizontal="center" vertical="center"/>
    </xf>
    <xf numFmtId="0" fontId="4" fillId="6" borderId="8" xfId="0" applyFont="1" applyFill="1" applyBorder="1" applyAlignment="1">
      <alignment horizontal="left" vertical="center"/>
    </xf>
    <xf numFmtId="166" fontId="3" fillId="0" borderId="8" xfId="0" applyNumberFormat="1" applyFont="1" applyBorder="1" applyAlignment="1">
      <alignment horizontal="left" vertical="center"/>
    </xf>
    <xf numFmtId="164" fontId="3" fillId="0" borderId="8" xfId="0" applyNumberFormat="1" applyFont="1" applyBorder="1" applyAlignment="1">
      <alignment horizontal="left" vertical="center"/>
    </xf>
    <xf numFmtId="0" fontId="10" fillId="3" borderId="0" xfId="0" applyFont="1" applyFill="1" applyAlignment="1">
      <alignment horizontal="left" vertical="center"/>
    </xf>
    <xf numFmtId="0" fontId="10" fillId="3" borderId="27" xfId="0" applyFont="1" applyFill="1" applyBorder="1" applyAlignment="1">
      <alignment horizontal="left" vertical="center"/>
    </xf>
    <xf numFmtId="0" fontId="5" fillId="3" borderId="28" xfId="0" applyFont="1" applyFill="1" applyBorder="1" applyAlignment="1">
      <alignment horizontal="center" vertical="center" wrapText="1"/>
    </xf>
    <xf numFmtId="164" fontId="3" fillId="8" borderId="8" xfId="0" applyNumberFormat="1" applyFont="1" applyFill="1" applyBorder="1" applyAlignment="1">
      <alignment horizontal="center" vertical="center"/>
    </xf>
    <xf numFmtId="0" fontId="3" fillId="0" borderId="8" xfId="0" applyFont="1" applyBorder="1" applyAlignment="1">
      <alignment horizontal="left" vertical="center"/>
    </xf>
    <xf numFmtId="1" fontId="3" fillId="8" borderId="8" xfId="0" applyNumberFormat="1" applyFont="1" applyFill="1" applyBorder="1" applyAlignment="1">
      <alignment horizontal="center" vertical="center"/>
    </xf>
    <xf numFmtId="0" fontId="6" fillId="0" borderId="8" xfId="0" applyFont="1" applyBorder="1" applyAlignment="1">
      <alignment horizontal="left" vertical="center" wrapText="1"/>
    </xf>
    <xf numFmtId="164" fontId="3" fillId="8" borderId="8" xfId="0" applyNumberFormat="1" applyFont="1" applyFill="1" applyBorder="1" applyAlignment="1">
      <alignment horizontal="center" vertical="center"/>
    </xf>
    <xf numFmtId="165" fontId="3" fillId="8" borderId="8" xfId="0" applyNumberFormat="1" applyFont="1" applyFill="1" applyBorder="1" applyAlignment="1">
      <alignment horizontal="center" vertical="center"/>
    </xf>
    <xf numFmtId="2" fontId="3" fillId="8" borderId="8" xfId="0" applyNumberFormat="1" applyFont="1" applyFill="1" applyBorder="1" applyAlignment="1">
      <alignment horizontal="center" vertical="center"/>
    </xf>
    <xf numFmtId="166" fontId="3" fillId="8" borderId="8" xfId="0" applyNumberFormat="1" applyFont="1" applyFill="1" applyBorder="1" applyAlignment="1">
      <alignment horizontal="center" vertical="center"/>
    </xf>
    <xf numFmtId="0" fontId="3" fillId="9" borderId="8" xfId="0" applyFont="1" applyFill="1" applyBorder="1" applyAlignment="1">
      <alignment horizontal="center" vertical="center"/>
    </xf>
    <xf numFmtId="164" fontId="3" fillId="9" borderId="8" xfId="0" applyNumberFormat="1" applyFont="1" applyFill="1" applyBorder="1" applyAlignment="1">
      <alignment horizontal="center" vertical="center"/>
    </xf>
    <xf numFmtId="0" fontId="17" fillId="6" borderId="8" xfId="0" applyFont="1" applyFill="1" applyBorder="1" applyAlignment="1">
      <alignment horizontal="left" vertical="center"/>
    </xf>
    <xf numFmtId="0" fontId="1" fillId="0" borderId="8" xfId="0" applyFont="1" applyBorder="1" applyAlignment="1">
      <alignment horizontal="left" vertical="center"/>
    </xf>
    <xf numFmtId="166" fontId="1" fillId="9" borderId="8" xfId="0" applyNumberFormat="1" applyFont="1" applyFill="1" applyBorder="1" applyAlignment="1">
      <alignment horizontal="center" vertical="center"/>
    </xf>
    <xf numFmtId="1" fontId="1" fillId="8" borderId="8" xfId="0" applyNumberFormat="1" applyFont="1" applyFill="1" applyBorder="1" applyAlignment="1">
      <alignment horizontal="center" vertical="center"/>
    </xf>
    <xf numFmtId="166" fontId="1" fillId="8" borderId="8" xfId="0" applyNumberFormat="1" applyFont="1" applyFill="1" applyBorder="1" applyAlignment="1">
      <alignment horizontal="center" vertical="center"/>
    </xf>
    <xf numFmtId="0" fontId="1" fillId="9" borderId="8" xfId="0" applyFont="1" applyFill="1" applyBorder="1" applyAlignment="1">
      <alignment horizontal="center" vertical="center" wrapText="1"/>
    </xf>
    <xf numFmtId="0" fontId="25" fillId="0" borderId="8" xfId="0" applyFont="1" applyBorder="1" applyAlignment="1">
      <alignment horizontal="center" vertical="center"/>
    </xf>
    <xf numFmtId="0" fontId="26" fillId="0" borderId="8" xfId="0" applyFont="1" applyBorder="1"/>
    <xf numFmtId="165" fontId="1" fillId="8" borderId="8" xfId="0" applyNumberFormat="1" applyFont="1" applyFill="1" applyBorder="1" applyAlignment="1">
      <alignment horizontal="center" vertical="center"/>
    </xf>
    <xf numFmtId="0" fontId="17" fillId="0" borderId="8" xfId="0" applyFont="1" applyBorder="1" applyAlignment="1">
      <alignment horizontal="left" vertical="center"/>
    </xf>
    <xf numFmtId="0" fontId="1" fillId="9" borderId="8" xfId="0" applyFont="1" applyFill="1" applyBorder="1" applyAlignment="1">
      <alignment horizontal="center" vertical="center"/>
    </xf>
    <xf numFmtId="164" fontId="1" fillId="9" borderId="8" xfId="0" applyNumberFormat="1" applyFont="1" applyFill="1" applyBorder="1" applyAlignment="1">
      <alignment horizontal="center" vertical="center"/>
    </xf>
    <xf numFmtId="0" fontId="25" fillId="0" borderId="8" xfId="0" applyFont="1" applyBorder="1" applyAlignment="1">
      <alignment horizontal="left" vertical="center"/>
    </xf>
    <xf numFmtId="166" fontId="17" fillId="9" borderId="8" xfId="0" applyNumberFormat="1" applyFont="1" applyFill="1" applyBorder="1" applyAlignment="1">
      <alignment horizontal="center" vertical="center"/>
    </xf>
    <xf numFmtId="0" fontId="5" fillId="3" borderId="25" xfId="0" applyFont="1" applyFill="1" applyBorder="1" applyAlignment="1">
      <alignment horizontal="center" vertical="center"/>
    </xf>
    <xf numFmtId="0" fontId="5" fillId="3" borderId="16" xfId="0" applyFont="1" applyFill="1" applyBorder="1" applyAlignment="1">
      <alignment horizontal="center" vertical="center"/>
    </xf>
    <xf numFmtId="0" fontId="5" fillId="3" borderId="17" xfId="0" applyFont="1" applyFill="1" applyBorder="1" applyAlignment="1">
      <alignment horizontal="center" vertical="center"/>
    </xf>
    <xf numFmtId="2" fontId="1" fillId="8" borderId="8" xfId="0" applyNumberFormat="1" applyFont="1" applyFill="1" applyBorder="1" applyAlignment="1">
      <alignment horizontal="center" vertical="center"/>
    </xf>
    <xf numFmtId="0" fontId="1" fillId="8" borderId="8" xfId="0" applyFont="1" applyFill="1" applyBorder="1" applyAlignment="1">
      <alignment horizontal="center" vertical="center"/>
    </xf>
    <xf numFmtId="0" fontId="15" fillId="3" borderId="2" xfId="0" applyFont="1" applyFill="1" applyBorder="1" applyAlignment="1">
      <alignment horizontal="left" vertical="center" wrapText="1"/>
    </xf>
    <xf numFmtId="0" fontId="15" fillId="3" borderId="5" xfId="0" applyFont="1" applyFill="1" applyBorder="1" applyAlignment="1">
      <alignment horizontal="left" vertical="center" wrapText="1"/>
    </xf>
    <xf numFmtId="0" fontId="15" fillId="3" borderId="4" xfId="0" applyFont="1" applyFill="1" applyBorder="1" applyAlignment="1">
      <alignment horizontal="left" vertical="center" wrapText="1"/>
    </xf>
    <xf numFmtId="0" fontId="13" fillId="8" borderId="2" xfId="0" applyFont="1" applyFill="1" applyBorder="1" applyAlignment="1">
      <alignment horizontal="center" vertical="center"/>
    </xf>
    <xf numFmtId="0" fontId="13" fillId="8" borderId="5" xfId="0" applyFont="1" applyFill="1" applyBorder="1" applyAlignment="1">
      <alignment horizontal="center" vertical="center"/>
    </xf>
    <xf numFmtId="0" fontId="13" fillId="8" borderId="4" xfId="0" applyFont="1" applyFill="1" applyBorder="1" applyAlignment="1">
      <alignment horizontal="center" vertical="center"/>
    </xf>
    <xf numFmtId="0" fontId="10" fillId="3" borderId="8" xfId="0" applyFont="1" applyFill="1" applyBorder="1" applyAlignment="1">
      <alignment horizontal="left" vertical="center"/>
    </xf>
    <xf numFmtId="0" fontId="5" fillId="3" borderId="8" xfId="0" applyFont="1" applyFill="1" applyBorder="1" applyAlignment="1">
      <alignment horizontal="left" vertical="center"/>
    </xf>
    <xf numFmtId="0" fontId="5" fillId="3" borderId="28" xfId="0" applyFont="1" applyFill="1" applyBorder="1" applyAlignment="1">
      <alignment horizontal="left" vertical="center"/>
    </xf>
    <xf numFmtId="0" fontId="6" fillId="0" borderId="8" xfId="0" applyFont="1" applyBorder="1" applyAlignment="1">
      <alignment horizontal="center" vertical="center"/>
    </xf>
    <xf numFmtId="9" fontId="8" fillId="7" borderId="8" xfId="0" applyNumberFormat="1" applyFont="1" applyFill="1" applyBorder="1" applyAlignment="1">
      <alignment horizontal="center" vertical="center"/>
    </xf>
    <xf numFmtId="166" fontId="8" fillId="7" borderId="8" xfId="0" applyNumberFormat="1" applyFont="1" applyFill="1" applyBorder="1" applyAlignment="1">
      <alignment horizontal="center" vertical="center"/>
    </xf>
    <xf numFmtId="168" fontId="8" fillId="7" borderId="8" xfId="0" applyNumberFormat="1" applyFont="1" applyFill="1" applyBorder="1" applyAlignment="1">
      <alignment horizontal="center" vertical="center"/>
    </xf>
    <xf numFmtId="2" fontId="8" fillId="7" borderId="8" xfId="0" applyNumberFormat="1" applyFont="1" applyFill="1" applyBorder="1" applyAlignment="1">
      <alignment horizontal="center" vertical="center"/>
    </xf>
    <xf numFmtId="165" fontId="8" fillId="7" borderId="8" xfId="0" applyNumberFormat="1" applyFont="1" applyFill="1" applyBorder="1" applyAlignment="1">
      <alignment horizontal="center" vertical="center"/>
    </xf>
    <xf numFmtId="170" fontId="8" fillId="7" borderId="8" xfId="0" applyNumberFormat="1" applyFont="1" applyFill="1" applyBorder="1" applyAlignment="1">
      <alignment horizontal="center" vertical="center"/>
    </xf>
    <xf numFmtId="171" fontId="8" fillId="7" borderId="8" xfId="0" applyNumberFormat="1" applyFont="1" applyFill="1" applyBorder="1" applyAlignment="1">
      <alignment horizontal="center" vertical="center"/>
    </xf>
    <xf numFmtId="172" fontId="8" fillId="7" borderId="8" xfId="0" applyNumberFormat="1" applyFont="1" applyFill="1" applyBorder="1" applyAlignment="1">
      <alignment horizontal="center" vertical="center"/>
    </xf>
    <xf numFmtId="0" fontId="11" fillId="8" borderId="8" xfId="0" applyFont="1" applyFill="1" applyBorder="1" applyAlignment="1">
      <alignment horizontal="left" vertical="center" wrapText="1"/>
    </xf>
    <xf numFmtId="0" fontId="4" fillId="6" borderId="8" xfId="0" applyFont="1" applyFill="1" applyBorder="1" applyAlignment="1">
      <alignment vertical="center"/>
    </xf>
    <xf numFmtId="0" fontId="4" fillId="6" borderId="8" xfId="0" applyFont="1" applyFill="1" applyBorder="1" applyAlignment="1">
      <alignment horizontal="center" vertical="center"/>
    </xf>
    <xf numFmtId="0" fontId="27" fillId="8" borderId="8" xfId="0" applyFont="1" applyFill="1" applyBorder="1" applyAlignment="1">
      <alignment horizontal="left" vertical="center" wrapText="1"/>
    </xf>
    <xf numFmtId="0" fontId="28" fillId="0" borderId="8" xfId="0" applyFont="1" applyBorder="1"/>
    <xf numFmtId="0" fontId="29" fillId="10" borderId="30" xfId="1" applyFont="1" applyFill="1" applyBorder="1" applyAlignment="1">
      <alignment horizontal="center" vertical="center" wrapText="1"/>
    </xf>
    <xf numFmtId="0" fontId="30" fillId="10" borderId="31" xfId="1" applyFont="1" applyFill="1" applyBorder="1" applyAlignment="1">
      <alignment horizontal="center" vertical="center" wrapText="1"/>
    </xf>
    <xf numFmtId="0" fontId="30" fillId="10" borderId="32" xfId="1" applyFont="1" applyFill="1" applyBorder="1" applyAlignment="1">
      <alignment horizontal="center" vertical="center" wrapText="1"/>
    </xf>
    <xf numFmtId="0" fontId="30" fillId="10" borderId="31" xfId="1" applyFont="1" applyFill="1" applyBorder="1" applyAlignment="1">
      <alignment horizontal="center" vertical="center" wrapText="1"/>
    </xf>
    <xf numFmtId="0" fontId="30" fillId="10" borderId="32" xfId="1" applyFont="1" applyFill="1" applyBorder="1" applyAlignment="1">
      <alignment horizontal="center" vertical="center" wrapText="1"/>
    </xf>
    <xf numFmtId="0" fontId="30" fillId="10" borderId="30" xfId="1" applyFont="1" applyFill="1" applyBorder="1" applyAlignment="1">
      <alignment horizontal="center" vertical="center" wrapText="1"/>
    </xf>
    <xf numFmtId="0" fontId="30" fillId="10" borderId="33" xfId="1" applyFont="1" applyFill="1" applyBorder="1" applyAlignment="1">
      <alignment horizontal="center" vertical="center" wrapText="1"/>
    </xf>
    <xf numFmtId="0" fontId="30" fillId="10" borderId="12" xfId="1" applyFont="1" applyFill="1" applyBorder="1" applyAlignment="1">
      <alignment horizontal="center" vertical="center" wrapText="1"/>
    </xf>
    <xf numFmtId="0" fontId="30" fillId="10" borderId="34" xfId="1" applyFont="1" applyFill="1" applyBorder="1" applyAlignment="1">
      <alignment horizontal="center" vertical="center" wrapText="1"/>
    </xf>
    <xf numFmtId="0" fontId="30" fillId="10" borderId="34" xfId="1" applyFont="1" applyFill="1" applyBorder="1" applyAlignment="1">
      <alignment horizontal="center" vertical="center" wrapText="1"/>
    </xf>
    <xf numFmtId="0" fontId="30" fillId="10" borderId="35" xfId="1" applyFont="1" applyFill="1" applyBorder="1" applyAlignment="1">
      <alignment horizontal="center" vertical="center" wrapText="1"/>
    </xf>
    <xf numFmtId="0" fontId="30" fillId="10" borderId="36" xfId="1" applyFont="1" applyFill="1" applyBorder="1" applyAlignment="1">
      <alignment horizontal="center" vertical="center" wrapText="1"/>
    </xf>
    <xf numFmtId="0" fontId="31" fillId="0" borderId="8" xfId="0" applyFont="1" applyBorder="1" applyAlignment="1">
      <alignment horizontal="left" vertical="center" wrapText="1"/>
    </xf>
    <xf numFmtId="0" fontId="17" fillId="6" borderId="28" xfId="0" applyFont="1" applyFill="1" applyBorder="1" applyAlignment="1">
      <alignment horizontal="left" vertical="center"/>
    </xf>
    <xf numFmtId="167" fontId="1" fillId="8" borderId="8" xfId="0" applyNumberFormat="1" applyFont="1" applyFill="1" applyBorder="1" applyAlignment="1">
      <alignment horizontal="center" vertical="center"/>
    </xf>
    <xf numFmtId="168" fontId="1" fillId="8" borderId="8" xfId="0" applyNumberFormat="1" applyFont="1" applyFill="1" applyBorder="1" applyAlignment="1">
      <alignment horizontal="center" vertical="center"/>
    </xf>
    <xf numFmtId="0" fontId="2" fillId="2" borderId="0" xfId="0" applyFont="1" applyFill="1" applyAlignment="1">
      <alignment horizontal="left" vertical="center"/>
    </xf>
    <xf numFmtId="0" fontId="19" fillId="14" borderId="19" xfId="0" applyFont="1" applyFill="1" applyBorder="1" applyAlignment="1">
      <alignment horizontal="left" vertical="center"/>
    </xf>
    <xf numFmtId="0" fontId="19" fillId="14" borderId="0" xfId="0" applyFont="1" applyFill="1" applyBorder="1" applyAlignment="1">
      <alignment horizontal="left" vertical="center"/>
    </xf>
    <xf numFmtId="0" fontId="30" fillId="10" borderId="0" xfId="1" applyFont="1" applyFill="1" applyBorder="1" applyAlignment="1">
      <alignment horizontal="center" vertical="center" wrapText="1"/>
    </xf>
    <xf numFmtId="0" fontId="2" fillId="2" borderId="12" xfId="0" applyFont="1" applyFill="1" applyBorder="1" applyAlignment="1">
      <alignment horizontal="left" vertical="center"/>
    </xf>
    <xf numFmtId="0" fontId="29" fillId="10" borderId="31" xfId="1" applyFont="1" applyFill="1" applyBorder="1" applyAlignment="1">
      <alignment horizontal="center" vertical="center" wrapText="1"/>
    </xf>
    <xf numFmtId="0" fontId="29" fillId="10" borderId="0" xfId="1" applyFont="1" applyFill="1" applyBorder="1" applyAlignment="1">
      <alignment horizontal="center" vertical="center" wrapText="1"/>
    </xf>
    <xf numFmtId="0" fontId="0" fillId="0" borderId="25"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15" fillId="3" borderId="28" xfId="0" applyFont="1" applyFill="1" applyBorder="1" applyAlignment="1">
      <alignment horizontal="left" vertical="center" wrapText="1"/>
    </xf>
    <xf numFmtId="0" fontId="15" fillId="3" borderId="29" xfId="0" applyFont="1" applyFill="1" applyBorder="1" applyAlignment="1">
      <alignment horizontal="center" vertical="center" wrapText="1"/>
    </xf>
    <xf numFmtId="0" fontId="15" fillId="3" borderId="3" xfId="0" applyFont="1" applyFill="1" applyBorder="1" applyAlignment="1">
      <alignment horizontal="center" vertical="center" wrapText="1"/>
    </xf>
    <xf numFmtId="0" fontId="13" fillId="0" borderId="8" xfId="0" applyFont="1" applyBorder="1" applyAlignment="1">
      <alignment horizontal="left" vertical="center"/>
    </xf>
    <xf numFmtId="0" fontId="13" fillId="0" borderId="8" xfId="0" applyFont="1" applyBorder="1" applyAlignment="1">
      <alignment horizontal="center" vertical="center"/>
    </xf>
    <xf numFmtId="0" fontId="13" fillId="0" borderId="8" xfId="0" applyFont="1" applyBorder="1" applyAlignment="1">
      <alignment horizontal="left" vertical="center" wrapText="1"/>
    </xf>
    <xf numFmtId="0" fontId="13" fillId="8" borderId="8" xfId="0" applyFont="1" applyFill="1" applyBorder="1" applyAlignment="1">
      <alignment horizontal="left" vertical="center" wrapText="1"/>
    </xf>
    <xf numFmtId="0" fontId="13" fillId="8" borderId="8" xfId="0" applyFont="1" applyFill="1" applyBorder="1" applyAlignment="1">
      <alignment horizontal="center" vertical="center"/>
    </xf>
    <xf numFmtId="0" fontId="10" fillId="3" borderId="0" xfId="0" applyFont="1" applyFill="1" applyBorder="1" applyAlignment="1">
      <alignment horizontal="left" vertical="center"/>
    </xf>
    <xf numFmtId="0" fontId="4" fillId="0" borderId="26" xfId="0" applyFont="1" applyBorder="1" applyAlignment="1">
      <alignment horizontal="left" vertical="center"/>
    </xf>
    <xf numFmtId="0" fontId="4" fillId="9" borderId="26" xfId="0" applyFont="1" applyFill="1" applyBorder="1" applyAlignment="1">
      <alignment horizontal="left" vertical="center"/>
    </xf>
    <xf numFmtId="0" fontId="4" fillId="8" borderId="8" xfId="0" applyFont="1" applyFill="1" applyBorder="1" applyAlignment="1">
      <alignment horizontal="center" vertical="center"/>
    </xf>
  </cellXfs>
  <cellStyles count="2">
    <cellStyle name="Hipervínculo"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CC"/>
      <rgbColor rgb="FFFFFF00"/>
      <rgbColor rgb="FFFF00FF"/>
      <rgbColor rgb="FF00FFFF"/>
      <rgbColor rgb="FF800000"/>
      <rgbColor rgb="FF008000"/>
      <rgbColor rgb="FF000080"/>
      <rgbColor rgb="FF808000"/>
      <rgbColor rgb="FF800080"/>
      <rgbColor rgb="FF1C6B72"/>
      <rgbColor rgb="FFB3B3B3"/>
      <rgbColor rgb="FF4F81BD"/>
      <rgbColor rgb="FF9999FF"/>
      <rgbColor rgb="FF993366"/>
      <rgbColor rgb="FFFFF6D8"/>
      <rgbColor rgb="FFDCE8EA"/>
      <rgbColor rgb="FF660066"/>
      <rgbColor rgb="FFFF8080"/>
      <rgbColor rgb="FF0066CC"/>
      <rgbColor rgb="FFC7D2D6"/>
      <rgbColor rgb="FF000080"/>
      <rgbColor rgb="FFFF00FF"/>
      <rgbColor rgb="FFFFFF00"/>
      <rgbColor rgb="FF00FFFF"/>
      <rgbColor rgb="FF800080"/>
      <rgbColor rgb="FF800000"/>
      <rgbColor rgb="FF008080"/>
      <rgbColor rgb="FF0000FF"/>
      <rgbColor rgb="FF00CCFF"/>
      <rgbColor rgb="FFF4F6F7"/>
      <rgbColor rgb="FFDFF0E3"/>
      <rgbColor rgb="FFE7E0F5"/>
      <rgbColor rgb="FFD9D9D9"/>
      <rgbColor rgb="FFFF99CC"/>
      <rgbColor rgb="FFCC99FF"/>
      <rgbColor rgb="FFFBE4D5"/>
      <rgbColor rgb="FF3366FF"/>
      <rgbColor rgb="FF33CCCC"/>
      <rgbColor rgb="FF99CC00"/>
      <rgbColor rgb="FFFFCC00"/>
      <rgbColor rgb="FFFF9900"/>
      <rgbColor rgb="FFFF6600"/>
      <rgbColor rgb="FF5A6B70"/>
      <rgbColor rgb="FF969696"/>
      <rgbColor rgb="FF0F3B44"/>
      <rgbColor rgb="FF339966"/>
      <rgbColor rgb="FF003300"/>
      <rgbColor rgb="FF333300"/>
      <rgbColor rgb="FFB45309"/>
      <rgbColor rgb="FF993366"/>
      <rgbColor rgb="FF333399"/>
      <rgbColor rgb="FF1A1A1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rot="0"/>
          <a:lstStyle/>
          <a:p>
            <a:pPr>
              <a:defRPr sz="1800" b="1" strike="noStrike" spc="-1">
                <a:solidFill>
                  <a:srgbClr val="000000"/>
                </a:solidFill>
                <a:latin typeface="Calibri"/>
              </a:defRPr>
            </a:pPr>
            <a:r>
              <a:rPr lang="es-CL" sz="1800" b="1" strike="noStrike" spc="-1">
                <a:solidFill>
                  <a:srgbClr val="000000"/>
                </a:solidFill>
                <a:latin typeface="Calibri"/>
              </a:rPr>
              <a:t>% de grasa por ecuación</a:t>
            </a:r>
          </a:p>
        </c:rich>
      </c:tx>
      <c:overlay val="0"/>
      <c:spPr>
        <a:noFill/>
        <a:ln w="0">
          <a:noFill/>
          <a:prstDash val="solid"/>
        </a:ln>
      </c:spPr>
    </c:title>
    <c:autoTitleDeleted val="0"/>
    <c:plotArea>
      <c:layout/>
      <c:barChart>
        <c:barDir val="col"/>
        <c:grouping val="clustered"/>
        <c:varyColors val="0"/>
        <c:ser>
          <c:idx val="0"/>
          <c:order val="0"/>
          <c:tx>
            <c:strRef>
              <c:f>RESULTADOS!$B$45</c:f>
              <c:strCache>
                <c:ptCount val="1"/>
                <c:pt idx="0">
                  <c:v>% de grasa</c:v>
                </c:pt>
              </c:strCache>
            </c:strRef>
          </c:tx>
          <c:spPr>
            <a:solidFill>
              <a:srgbClr val="4F81BD"/>
            </a:solidFill>
            <a:ln w="0">
              <a:noFill/>
              <a:prstDash val="solid"/>
            </a:ln>
          </c:spPr>
          <c:invertIfNegative val="0"/>
          <c:dLbls>
            <c:spPr>
              <a:noFill/>
              <a:ln>
                <a:noFill/>
              </a:ln>
              <a:effectLst/>
            </c:spPr>
            <c:txPr>
              <a:bodyPr wrap="square"/>
              <a:lstStyle/>
              <a:p>
                <a:pPr>
                  <a:defRPr sz="1000" b="0" strike="noStrike" spc="-1">
                    <a:solidFill>
                      <a:srgbClr val="000000"/>
                    </a:solidFill>
                    <a:latin typeface="Arial"/>
                  </a:defRPr>
                </a:pPr>
                <a:endParaRPr lang="es-CL"/>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RESULTADOS!$A$46:$A$49</c:f>
              <c:strCache>
                <c:ptCount val="4"/>
                <c:pt idx="0">
                  <c:v>JP7</c:v>
                </c:pt>
                <c:pt idx="1">
                  <c:v>JP3</c:v>
                </c:pt>
                <c:pt idx="2">
                  <c:v>Durnin–W.</c:v>
                </c:pt>
                <c:pt idx="3">
                  <c:v>Faulkner</c:v>
                </c:pt>
              </c:strCache>
            </c:strRef>
          </c:cat>
          <c:val>
            <c:numRef>
              <c:f>RESULTADOS!$B$46:$B$49</c:f>
              <c:numCache>
                <c:formatCode>0.0%</c:formatCode>
                <c:ptCount val="4"/>
                <c:pt idx="0">
                  <c:v>0.1626175177422482</c:v>
                </c:pt>
                <c:pt idx="1">
                  <c:v>0.1553472447021676</c:v>
                </c:pt>
                <c:pt idx="2">
                  <c:v>0.21739388192191711</c:v>
                </c:pt>
                <c:pt idx="3">
                  <c:v>0.15881000000000001</c:v>
                </c:pt>
              </c:numCache>
            </c:numRef>
          </c:val>
          <c:extLst>
            <c:ext xmlns:c16="http://schemas.microsoft.com/office/drawing/2014/chart" uri="{C3380CC4-5D6E-409C-BE32-E72D297353CC}">
              <c16:uniqueId val="{00000000-3DD6-4ED3-9019-A0E7F90F0324}"/>
            </c:ext>
          </c:extLst>
        </c:ser>
        <c:dLbls>
          <c:showLegendKey val="0"/>
          <c:showVal val="0"/>
          <c:showCatName val="0"/>
          <c:showSerName val="0"/>
          <c:showPercent val="0"/>
          <c:showBubbleSize val="0"/>
        </c:dLbls>
        <c:gapWidth val="150"/>
        <c:axId val="61080569"/>
        <c:axId val="9679664"/>
      </c:barChart>
      <c:catAx>
        <c:axId val="61080569"/>
        <c:scaling>
          <c:orientation val="minMax"/>
        </c:scaling>
        <c:delete val="0"/>
        <c:axPos val="b"/>
        <c:numFmt formatCode="General" sourceLinked="0"/>
        <c:majorTickMark val="none"/>
        <c:minorTickMark val="none"/>
        <c:tickLblPos val="nextTo"/>
        <c:spPr>
          <a:ln w="0">
            <a:solidFill>
              <a:srgbClr val="B3B3B3"/>
            </a:solidFill>
            <a:prstDash val="solid"/>
          </a:ln>
        </c:spPr>
        <c:txPr>
          <a:bodyPr/>
          <a:lstStyle/>
          <a:p>
            <a:pPr>
              <a:defRPr sz="1000" b="0" strike="noStrike" spc="-1">
                <a:solidFill>
                  <a:srgbClr val="000000"/>
                </a:solidFill>
                <a:latin typeface="Calibri"/>
              </a:defRPr>
            </a:pPr>
            <a:endParaRPr lang="es-CL"/>
          </a:p>
        </c:txPr>
        <c:crossAx val="9679664"/>
        <c:crosses val="autoZero"/>
        <c:auto val="1"/>
        <c:lblAlgn val="ctr"/>
        <c:lblOffset val="100"/>
        <c:noMultiLvlLbl val="0"/>
      </c:catAx>
      <c:valAx>
        <c:axId val="9679664"/>
        <c:scaling>
          <c:orientation val="minMax"/>
        </c:scaling>
        <c:delete val="0"/>
        <c:axPos val="l"/>
        <c:majorGridlines>
          <c:spPr>
            <a:ln w="0">
              <a:solidFill>
                <a:srgbClr val="B3B3B3"/>
              </a:solidFill>
              <a:prstDash val="solid"/>
            </a:ln>
          </c:spPr>
        </c:majorGridlines>
        <c:numFmt formatCode="0.0%" sourceLinked="0"/>
        <c:majorTickMark val="none"/>
        <c:minorTickMark val="none"/>
        <c:tickLblPos val="nextTo"/>
        <c:spPr>
          <a:ln w="0">
            <a:solidFill>
              <a:srgbClr val="B3B3B3"/>
            </a:solidFill>
            <a:prstDash val="solid"/>
          </a:ln>
        </c:spPr>
        <c:txPr>
          <a:bodyPr/>
          <a:lstStyle/>
          <a:p>
            <a:pPr>
              <a:defRPr sz="1000" b="0" strike="noStrike" spc="-1">
                <a:solidFill>
                  <a:srgbClr val="000000"/>
                </a:solidFill>
                <a:latin typeface="Calibri"/>
              </a:defRPr>
            </a:pPr>
            <a:endParaRPr lang="es-CL"/>
          </a:p>
        </c:txPr>
        <c:crossAx val="61080569"/>
        <c:crosses val="autoZero"/>
        <c:crossBetween val="between"/>
      </c:valAx>
    </c:plotArea>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rot="0"/>
          <a:lstStyle/>
          <a:p>
            <a:pPr>
              <a:defRPr sz="1800" b="1" strike="noStrike" spc="-1">
                <a:solidFill>
                  <a:srgbClr val="000000"/>
                </a:solidFill>
                <a:latin typeface="Calibri"/>
              </a:defRPr>
            </a:pPr>
            <a:r>
              <a:rPr lang="es-CL" sz="1800" b="1" strike="noStrike" spc="-1">
                <a:solidFill>
                  <a:srgbClr val="000000"/>
                </a:solidFill>
                <a:latin typeface="Calibri"/>
              </a:rPr>
              <a:t>Composición (kg)</a:t>
            </a:r>
          </a:p>
        </c:rich>
      </c:tx>
      <c:overlay val="0"/>
      <c:spPr>
        <a:noFill/>
        <a:ln w="0">
          <a:noFill/>
          <a:prstDash val="solid"/>
        </a:ln>
      </c:spPr>
    </c:title>
    <c:autoTitleDeleted val="0"/>
    <c:plotArea>
      <c:layout/>
      <c:barChart>
        <c:barDir val="col"/>
        <c:grouping val="clustered"/>
        <c:varyColors val="0"/>
        <c:ser>
          <c:idx val="0"/>
          <c:order val="0"/>
          <c:tx>
            <c:strRef>
              <c:f>RESULTADOS!$B$51</c:f>
              <c:strCache>
                <c:ptCount val="1"/>
                <c:pt idx="0">
                  <c:v>kg</c:v>
                </c:pt>
              </c:strCache>
            </c:strRef>
          </c:tx>
          <c:spPr>
            <a:solidFill>
              <a:srgbClr val="4F81BD"/>
            </a:solidFill>
            <a:ln w="0">
              <a:noFill/>
              <a:prstDash val="solid"/>
            </a:ln>
          </c:spPr>
          <c:invertIfNegative val="0"/>
          <c:dLbls>
            <c:spPr>
              <a:noFill/>
              <a:ln>
                <a:noFill/>
              </a:ln>
              <a:effectLst/>
            </c:spPr>
            <c:txPr>
              <a:bodyPr wrap="square"/>
              <a:lstStyle/>
              <a:p>
                <a:pPr>
                  <a:defRPr sz="1000" b="0" strike="noStrike" spc="-1">
                    <a:solidFill>
                      <a:srgbClr val="000000"/>
                    </a:solidFill>
                    <a:latin typeface="Arial"/>
                  </a:defRPr>
                </a:pPr>
                <a:endParaRPr lang="es-CL"/>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RESULTADOS!$A$52:$A$53</c:f>
              <c:strCache>
                <c:ptCount val="2"/>
                <c:pt idx="0">
                  <c:v>Masa grasa</c:v>
                </c:pt>
                <c:pt idx="1">
                  <c:v>Masa libre de grasa</c:v>
                </c:pt>
              </c:strCache>
            </c:strRef>
          </c:cat>
          <c:val>
            <c:numRef>
              <c:f>RESULTADOS!$B$52:$B$53</c:f>
              <c:numCache>
                <c:formatCode>0.0</c:formatCode>
                <c:ptCount val="2"/>
                <c:pt idx="0">
                  <c:v>12.765475142766483</c:v>
                </c:pt>
                <c:pt idx="1">
                  <c:v>65.734524857233509</c:v>
                </c:pt>
              </c:numCache>
            </c:numRef>
          </c:val>
          <c:extLst>
            <c:ext xmlns:c16="http://schemas.microsoft.com/office/drawing/2014/chart" uri="{C3380CC4-5D6E-409C-BE32-E72D297353CC}">
              <c16:uniqueId val="{00000000-8ED7-4494-9C55-2823C6F1C453}"/>
            </c:ext>
          </c:extLst>
        </c:ser>
        <c:dLbls>
          <c:showLegendKey val="0"/>
          <c:showVal val="0"/>
          <c:showCatName val="0"/>
          <c:showSerName val="0"/>
          <c:showPercent val="0"/>
          <c:showBubbleSize val="0"/>
        </c:dLbls>
        <c:gapWidth val="150"/>
        <c:axId val="93872884"/>
        <c:axId val="87556775"/>
      </c:barChart>
      <c:catAx>
        <c:axId val="93872884"/>
        <c:scaling>
          <c:orientation val="minMax"/>
        </c:scaling>
        <c:delete val="0"/>
        <c:axPos val="b"/>
        <c:numFmt formatCode="General" sourceLinked="0"/>
        <c:majorTickMark val="none"/>
        <c:minorTickMark val="none"/>
        <c:tickLblPos val="nextTo"/>
        <c:spPr>
          <a:ln w="0">
            <a:solidFill>
              <a:srgbClr val="B3B3B3"/>
            </a:solidFill>
            <a:prstDash val="solid"/>
          </a:ln>
        </c:spPr>
        <c:txPr>
          <a:bodyPr/>
          <a:lstStyle/>
          <a:p>
            <a:pPr>
              <a:defRPr sz="1000" b="0" strike="noStrike" spc="-1">
                <a:solidFill>
                  <a:srgbClr val="000000"/>
                </a:solidFill>
                <a:latin typeface="Calibri"/>
              </a:defRPr>
            </a:pPr>
            <a:endParaRPr lang="es-CL"/>
          </a:p>
        </c:txPr>
        <c:crossAx val="87556775"/>
        <c:crosses val="autoZero"/>
        <c:auto val="1"/>
        <c:lblAlgn val="ctr"/>
        <c:lblOffset val="100"/>
        <c:noMultiLvlLbl val="0"/>
      </c:catAx>
      <c:valAx>
        <c:axId val="87556775"/>
        <c:scaling>
          <c:orientation val="minMax"/>
        </c:scaling>
        <c:delete val="0"/>
        <c:axPos val="l"/>
        <c:majorGridlines>
          <c:spPr>
            <a:ln w="0">
              <a:solidFill>
                <a:srgbClr val="B3B3B3"/>
              </a:solidFill>
              <a:prstDash val="solid"/>
            </a:ln>
          </c:spPr>
        </c:majorGridlines>
        <c:numFmt formatCode="0.0" sourceLinked="0"/>
        <c:majorTickMark val="none"/>
        <c:minorTickMark val="none"/>
        <c:tickLblPos val="nextTo"/>
        <c:spPr>
          <a:ln w="0">
            <a:solidFill>
              <a:srgbClr val="B3B3B3"/>
            </a:solidFill>
            <a:prstDash val="solid"/>
          </a:ln>
        </c:spPr>
        <c:txPr>
          <a:bodyPr/>
          <a:lstStyle/>
          <a:p>
            <a:pPr>
              <a:defRPr sz="1000" b="0" strike="noStrike" spc="-1">
                <a:solidFill>
                  <a:srgbClr val="000000"/>
                </a:solidFill>
                <a:latin typeface="Calibri"/>
              </a:defRPr>
            </a:pPr>
            <a:endParaRPr lang="es-CL"/>
          </a:p>
        </c:txPr>
        <c:crossAx val="93872884"/>
        <c:crosses val="autoZero"/>
        <c:crossBetween val="between"/>
      </c:valAx>
    </c:plotArea>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6</xdr:col>
      <xdr:colOff>161925</xdr:colOff>
      <xdr:row>33</xdr:row>
      <xdr:rowOff>28575</xdr:rowOff>
    </xdr:from>
    <xdr:to>
      <xdr:col>13</xdr:col>
      <xdr:colOff>361950</xdr:colOff>
      <xdr:row>48</xdr:row>
      <xdr:rowOff>118680</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161924</xdr:colOff>
      <xdr:row>50</xdr:row>
      <xdr:rowOff>161925</xdr:rowOff>
    </xdr:from>
    <xdr:to>
      <xdr:col>13</xdr:col>
      <xdr:colOff>409575</xdr:colOff>
      <xdr:row>65</xdr:row>
      <xdr:rowOff>156780</xdr:rowOff>
    </xdr:to>
    <xdr:graphicFrame macro="">
      <xdr:nvGraphicFramePr>
        <xdr:cNvPr id="3" name="Chart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1"/>
  <sheetViews>
    <sheetView showGridLines="0" workbookViewId="0">
      <selection activeCell="N18" sqref="N18"/>
    </sheetView>
  </sheetViews>
  <sheetFormatPr baseColWidth="10" defaultColWidth="9.140625" defaultRowHeight="15"/>
  <cols>
    <col min="1" max="1" width="25.28515625" style="1" customWidth="1"/>
    <col min="2" max="2" width="15" style="1" customWidth="1"/>
    <col min="5" max="5" width="11" customWidth="1"/>
    <col min="6" max="6" width="12" customWidth="1"/>
    <col min="8" max="8" width="11.42578125" customWidth="1"/>
    <col min="9" max="9" width="13.5703125" customWidth="1"/>
    <col min="10" max="10" width="11.7109375" customWidth="1"/>
    <col min="12" max="12" width="10.85546875" customWidth="1"/>
    <col min="13" max="13" width="10.7109375" customWidth="1"/>
    <col min="14" max="14" width="12.5703125" customWidth="1"/>
  </cols>
  <sheetData>
    <row r="1" spans="1:15" ht="25.5" customHeight="1">
      <c r="A1" s="62" t="s">
        <v>0</v>
      </c>
      <c r="B1" s="62"/>
      <c r="C1" s="62"/>
      <c r="D1" s="62"/>
      <c r="E1" s="62"/>
      <c r="F1" s="62"/>
      <c r="G1" s="62"/>
      <c r="H1" s="62"/>
      <c r="I1" s="62"/>
      <c r="J1" s="62"/>
      <c r="K1" s="62"/>
      <c r="L1" s="62"/>
      <c r="M1" s="62"/>
      <c r="N1" s="62"/>
      <c r="O1" s="62"/>
    </row>
    <row r="2" spans="1:15" ht="15" customHeight="1">
      <c r="A2" s="59" t="s">
        <v>1</v>
      </c>
      <c r="B2" s="60"/>
      <c r="C2" s="60"/>
      <c r="D2" s="60"/>
      <c r="E2" s="60"/>
      <c r="F2" s="60"/>
      <c r="G2" s="60"/>
      <c r="H2" s="60"/>
      <c r="I2" s="60"/>
      <c r="J2" s="60"/>
      <c r="K2" s="60"/>
      <c r="L2" s="60"/>
      <c r="M2" s="60"/>
      <c r="N2" s="60"/>
      <c r="O2" s="60"/>
    </row>
    <row r="3" spans="1:15" ht="15" customHeight="1">
      <c r="A3" s="39"/>
      <c r="B3" s="61"/>
      <c r="C3" s="61"/>
      <c r="D3" s="61"/>
      <c r="E3" s="61"/>
      <c r="F3" s="61"/>
      <c r="G3" s="61"/>
      <c r="H3" s="61"/>
      <c r="I3" s="61"/>
      <c r="J3" s="61"/>
      <c r="K3" s="61"/>
      <c r="L3" s="61"/>
      <c r="M3" s="61"/>
      <c r="N3" s="61"/>
      <c r="O3" s="61"/>
    </row>
    <row r="4" spans="1:15" ht="27.75" customHeight="1">
      <c r="A4" s="63" t="s">
        <v>2</v>
      </c>
      <c r="B4" s="64"/>
      <c r="C4" s="64"/>
      <c r="D4" s="64"/>
      <c r="E4" s="64"/>
      <c r="F4" s="64"/>
      <c r="G4" s="64"/>
      <c r="H4" s="64"/>
      <c r="I4" s="64"/>
      <c r="J4" s="64"/>
      <c r="K4" s="64"/>
      <c r="L4" s="64"/>
      <c r="M4" s="64"/>
      <c r="N4" s="64"/>
      <c r="O4" s="65"/>
    </row>
    <row r="5" spans="1:15" ht="27.75" customHeight="1">
      <c r="A5" s="34" t="str">
        <f>HYPERLINK("#DATOS!A1","▶  DATOS")</f>
        <v>▶  DATOS</v>
      </c>
      <c r="B5" s="35" t="str">
        <f>HYPERLINK("#PLIEGUES!A1","▶  PLIEGUES")</f>
        <v>▶  PLIEGUES</v>
      </c>
      <c r="C5" s="36"/>
      <c r="D5" s="35" t="str">
        <f>HYPERLINK("#CALCULOS!A1","▶  CALCULOS")</f>
        <v>▶  CALCULOS</v>
      </c>
      <c r="E5" s="36"/>
      <c r="F5" s="35" t="str">
        <f>HYPERLINK("#RESULTADOS!A1","▶  RESULTADOS")</f>
        <v>▶  RESULTADOS</v>
      </c>
      <c r="G5" s="36"/>
      <c r="H5" s="35" t="str">
        <f>HYPERLINK("#FUENTES!A1","▶  FUENTES")</f>
        <v>▶  FUENTES</v>
      </c>
      <c r="I5" s="36"/>
      <c r="J5" s="35" t="str">
        <f>HYPERLINK("#PRUEBAS!A1","▶  PRUEBAS")</f>
        <v>▶  PRUEBAS</v>
      </c>
      <c r="K5" s="36"/>
      <c r="L5" s="35" t="str">
        <f>HYPERLINK("#CONFIG!A1","▶  CONFIG")</f>
        <v>▶  CONFIG</v>
      </c>
      <c r="M5" s="36"/>
      <c r="N5" s="35" t="str">
        <f>HYPERLINK("#CHANGELOG!A1","▶  CHANGELOG")</f>
        <v>▶  CHANGELOG</v>
      </c>
      <c r="O5" s="36"/>
    </row>
    <row r="6" spans="1:15" ht="29.25" customHeight="1">
      <c r="A6" s="49" t="s">
        <v>3</v>
      </c>
      <c r="B6" s="50" t="s">
        <v>4</v>
      </c>
      <c r="C6" s="52"/>
      <c r="D6" s="50" t="s">
        <v>5</v>
      </c>
      <c r="E6" s="52"/>
      <c r="F6" s="50" t="s">
        <v>6</v>
      </c>
      <c r="G6" s="52"/>
      <c r="H6" s="50" t="s">
        <v>7</v>
      </c>
      <c r="I6" s="52"/>
      <c r="J6" s="50" t="s">
        <v>8</v>
      </c>
      <c r="K6" s="38"/>
      <c r="L6" s="37" t="s">
        <v>9</v>
      </c>
      <c r="M6" s="38"/>
      <c r="N6" s="37" t="s">
        <v>10</v>
      </c>
      <c r="O6" s="38"/>
    </row>
    <row r="7" spans="1:15" ht="15" customHeight="1">
      <c r="A7" s="51" t="s">
        <v>11</v>
      </c>
      <c r="B7" s="51"/>
      <c r="C7" s="53" t="s">
        <v>12</v>
      </c>
      <c r="D7" s="54"/>
      <c r="E7" s="54"/>
      <c r="F7" s="54"/>
      <c r="G7" s="54"/>
      <c r="H7" s="54"/>
      <c r="I7" s="54"/>
      <c r="J7" s="54"/>
    </row>
    <row r="8" spans="1:15" ht="15" customHeight="1">
      <c r="A8" s="51" t="s">
        <v>13</v>
      </c>
      <c r="B8" s="51"/>
      <c r="C8" s="53" t="s">
        <v>14</v>
      </c>
      <c r="D8" s="54"/>
      <c r="E8" s="54"/>
      <c r="F8" s="54"/>
      <c r="G8" s="54"/>
      <c r="H8" s="54"/>
      <c r="I8" s="54"/>
      <c r="J8" s="54"/>
    </row>
    <row r="9" spans="1:15" ht="15" customHeight="1">
      <c r="A9" s="51" t="s">
        <v>15</v>
      </c>
      <c r="B9" s="51"/>
      <c r="C9" s="53" t="s">
        <v>16</v>
      </c>
      <c r="D9" s="54"/>
      <c r="E9" s="54"/>
      <c r="F9" s="54"/>
      <c r="G9" s="54"/>
      <c r="H9" s="54"/>
      <c r="I9" s="54"/>
      <c r="J9" s="54"/>
    </row>
    <row r="10" spans="1:15" ht="15" customHeight="1">
      <c r="A10" s="51" t="s">
        <v>17</v>
      </c>
      <c r="B10" s="51"/>
      <c r="C10" s="53" t="s">
        <v>18</v>
      </c>
      <c r="D10" s="54"/>
      <c r="E10" s="54"/>
      <c r="F10" s="54"/>
      <c r="G10" s="54"/>
      <c r="H10" s="54"/>
      <c r="I10" s="54"/>
      <c r="J10" s="54"/>
    </row>
    <row r="11" spans="1:15" ht="15" customHeight="1">
      <c r="A11" s="51" t="s">
        <v>19</v>
      </c>
      <c r="B11" s="51"/>
      <c r="C11" s="53" t="s">
        <v>20</v>
      </c>
      <c r="D11" s="54"/>
      <c r="E11" s="54"/>
      <c r="F11" s="54"/>
      <c r="G11" s="54"/>
      <c r="H11" s="54"/>
      <c r="I11" s="54"/>
      <c r="J11" s="54"/>
    </row>
    <row r="12" spans="1:15" ht="19.5" customHeight="1">
      <c r="A12" s="55" t="s">
        <v>21</v>
      </c>
      <c r="B12" s="56"/>
      <c r="C12" s="56"/>
      <c r="D12" s="56"/>
      <c r="E12" s="56"/>
      <c r="F12" s="56"/>
      <c r="G12" s="56"/>
      <c r="H12" s="56"/>
      <c r="I12" s="56"/>
      <c r="J12" s="56"/>
    </row>
    <row r="13" spans="1:15" ht="24" customHeight="1">
      <c r="A13" s="57" t="s">
        <v>22</v>
      </c>
      <c r="B13" s="57"/>
      <c r="C13" s="57"/>
      <c r="D13" s="57"/>
      <c r="E13" s="57"/>
      <c r="F13" s="57"/>
      <c r="G13" s="57"/>
      <c r="H13" s="57"/>
      <c r="I13" s="57"/>
      <c r="J13" s="57"/>
    </row>
    <row r="14" spans="1:15" ht="24" customHeight="1">
      <c r="A14" s="57" t="s">
        <v>23</v>
      </c>
      <c r="B14" s="57"/>
      <c r="C14" s="57"/>
      <c r="D14" s="57"/>
      <c r="E14" s="57"/>
      <c r="F14" s="57"/>
      <c r="G14" s="57"/>
      <c r="H14" s="57"/>
      <c r="I14" s="57"/>
      <c r="J14" s="57"/>
    </row>
    <row r="15" spans="1:15" ht="24" customHeight="1">
      <c r="A15" s="57" t="s">
        <v>24</v>
      </c>
      <c r="B15" s="57"/>
      <c r="C15" s="57"/>
      <c r="D15" s="57"/>
      <c r="E15" s="57"/>
      <c r="F15" s="57"/>
      <c r="G15" s="57"/>
      <c r="H15" s="57"/>
      <c r="I15" s="57"/>
      <c r="J15" s="57"/>
    </row>
    <row r="16" spans="1:15" ht="24" customHeight="1">
      <c r="A16" s="57" t="s">
        <v>25</v>
      </c>
      <c r="B16" s="57"/>
      <c r="C16" s="57"/>
      <c r="D16" s="57"/>
      <c r="E16" s="57"/>
      <c r="F16" s="57"/>
      <c r="G16" s="57"/>
      <c r="H16" s="57"/>
      <c r="I16" s="57"/>
      <c r="J16" s="57"/>
    </row>
    <row r="17" spans="1:10" ht="24" customHeight="1">
      <c r="A17" s="57" t="s">
        <v>26</v>
      </c>
      <c r="B17" s="57"/>
      <c r="C17" s="57"/>
      <c r="D17" s="57"/>
      <c r="E17" s="57"/>
      <c r="F17" s="57"/>
      <c r="G17" s="57"/>
      <c r="H17" s="57"/>
      <c r="I17" s="57"/>
      <c r="J17" s="57"/>
    </row>
    <row r="18" spans="1:10" ht="24" customHeight="1">
      <c r="A18" s="57" t="s">
        <v>27</v>
      </c>
      <c r="B18" s="57"/>
      <c r="C18" s="57"/>
      <c r="D18" s="57"/>
      <c r="E18" s="57"/>
      <c r="F18" s="57"/>
      <c r="G18" s="57"/>
      <c r="H18" s="57"/>
      <c r="I18" s="57"/>
      <c r="J18" s="57"/>
    </row>
    <row r="19" spans="1:10" ht="24" customHeight="1">
      <c r="A19" s="57" t="s">
        <v>28</v>
      </c>
      <c r="B19" s="57"/>
      <c r="C19" s="57"/>
      <c r="D19" s="57"/>
      <c r="E19" s="57"/>
      <c r="F19" s="57"/>
      <c r="G19" s="57"/>
      <c r="H19" s="57"/>
      <c r="I19" s="57"/>
      <c r="J19" s="57"/>
    </row>
    <row r="20" spans="1:10" ht="23.25" customHeight="1">
      <c r="A20" s="55" t="s">
        <v>29</v>
      </c>
      <c r="B20" s="56"/>
      <c r="C20" s="56"/>
      <c r="D20" s="56"/>
      <c r="E20" s="56"/>
      <c r="F20" s="56"/>
      <c r="G20" s="56"/>
      <c r="H20" s="56"/>
      <c r="I20" s="56"/>
      <c r="J20" s="56"/>
    </row>
    <row r="21" spans="1:10" ht="52.5" customHeight="1">
      <c r="A21" s="51" t="s">
        <v>30</v>
      </c>
      <c r="B21" s="51"/>
      <c r="C21" s="53" t="s">
        <v>604</v>
      </c>
      <c r="D21" s="54"/>
      <c r="E21" s="54"/>
      <c r="F21" s="54"/>
      <c r="G21" s="54"/>
      <c r="H21" s="54"/>
      <c r="I21" s="54"/>
      <c r="J21" s="54"/>
    </row>
    <row r="22" spans="1:10" ht="30.75" customHeight="1">
      <c r="A22" s="51" t="s">
        <v>31</v>
      </c>
      <c r="B22" s="51"/>
      <c r="C22" s="53" t="s">
        <v>32</v>
      </c>
      <c r="D22" s="54"/>
      <c r="E22" s="54"/>
      <c r="F22" s="54"/>
      <c r="G22" s="54"/>
      <c r="H22" s="54"/>
      <c r="I22" s="54"/>
      <c r="J22" s="54"/>
    </row>
    <row r="23" spans="1:10" ht="20.25" customHeight="1">
      <c r="A23" s="51" t="s">
        <v>33</v>
      </c>
      <c r="B23" s="51"/>
      <c r="C23" s="53" t="s">
        <v>25</v>
      </c>
      <c r="D23" s="54"/>
      <c r="E23" s="54"/>
      <c r="F23" s="54"/>
      <c r="G23" s="54"/>
      <c r="H23" s="54"/>
      <c r="I23" s="54"/>
      <c r="J23" s="54"/>
    </row>
    <row r="24" spans="1:10" ht="24.75" customHeight="1">
      <c r="A24" s="51" t="s">
        <v>34</v>
      </c>
      <c r="B24" s="51"/>
      <c r="C24" s="53" t="s">
        <v>18</v>
      </c>
      <c r="D24" s="54"/>
      <c r="E24" s="54"/>
      <c r="F24" s="54"/>
      <c r="G24" s="54"/>
      <c r="H24" s="54"/>
      <c r="I24" s="54"/>
      <c r="J24" s="54"/>
    </row>
    <row r="25" spans="1:10" ht="24" customHeight="1">
      <c r="A25" s="51" t="s">
        <v>35</v>
      </c>
      <c r="B25" s="51"/>
      <c r="C25" s="53" t="s">
        <v>36</v>
      </c>
      <c r="D25" s="54"/>
      <c r="E25" s="54"/>
      <c r="F25" s="54"/>
      <c r="G25" s="54"/>
      <c r="H25" s="54"/>
      <c r="I25" s="54"/>
      <c r="J25" s="54"/>
    </row>
    <row r="26" spans="1:10" ht="21" customHeight="1">
      <c r="A26" s="55" t="s">
        <v>37</v>
      </c>
      <c r="B26" s="56"/>
      <c r="C26" s="56"/>
      <c r="D26" s="56"/>
      <c r="E26" s="56"/>
      <c r="F26" s="56"/>
      <c r="G26" s="56"/>
      <c r="H26" s="56"/>
      <c r="I26" s="56"/>
      <c r="J26" s="56"/>
    </row>
    <row r="27" spans="1:10" ht="27.75" customHeight="1">
      <c r="A27" s="66" t="s">
        <v>38</v>
      </c>
      <c r="B27" s="67"/>
      <c r="C27" s="67"/>
      <c r="D27" s="67"/>
      <c r="E27" s="67"/>
      <c r="F27" s="67"/>
      <c r="G27" s="67"/>
      <c r="H27" s="67"/>
      <c r="I27" s="67"/>
      <c r="J27" s="68"/>
    </row>
    <row r="28" spans="1:10" ht="27.75" customHeight="1">
      <c r="A28" s="69" t="s">
        <v>39</v>
      </c>
      <c r="B28" s="58"/>
      <c r="C28" s="58"/>
      <c r="D28" s="58"/>
      <c r="E28" s="58"/>
      <c r="F28" s="58"/>
      <c r="G28" s="58"/>
      <c r="H28" s="58"/>
      <c r="I28" s="58"/>
      <c r="J28" s="70"/>
    </row>
    <row r="29" spans="1:10" ht="27.75" customHeight="1">
      <c r="A29" s="69" t="s">
        <v>40</v>
      </c>
      <c r="B29" s="58"/>
      <c r="C29" s="58"/>
      <c r="D29" s="58"/>
      <c r="E29" s="58"/>
      <c r="F29" s="58"/>
      <c r="G29" s="58"/>
      <c r="H29" s="58"/>
      <c r="I29" s="58"/>
      <c r="J29" s="70"/>
    </row>
    <row r="30" spans="1:10" ht="27.75" customHeight="1">
      <c r="A30" s="69" t="s">
        <v>41</v>
      </c>
      <c r="B30" s="58"/>
      <c r="C30" s="58"/>
      <c r="D30" s="58"/>
      <c r="E30" s="58"/>
      <c r="F30" s="58"/>
      <c r="G30" s="58"/>
      <c r="H30" s="58"/>
      <c r="I30" s="58"/>
      <c r="J30" s="70"/>
    </row>
    <row r="31" spans="1:10" ht="27.75" customHeight="1">
      <c r="A31" s="71" t="s">
        <v>42</v>
      </c>
      <c r="B31" s="72"/>
      <c r="C31" s="72"/>
      <c r="D31" s="72"/>
      <c r="E31" s="72"/>
      <c r="F31" s="72"/>
      <c r="G31" s="72"/>
      <c r="H31" s="72"/>
      <c r="I31" s="72"/>
      <c r="J31" s="73"/>
    </row>
  </sheetData>
  <sheetProtection algorithmName="SHA-512" hashValue="GGLWsdbZourxNxmVwhALQKQ/zNniQ3IN+S2XLkpEcbWv7yq8eXRLuO9qJpR1mSKKuj+k0OIAP7jxIggS+X7ruQ==" saltValue="c77D2X/omYOFcRl/Jt/FiA==" spinCount="100000" sheet="1" objects="1" scenarios="1"/>
  <mergeCells count="52">
    <mergeCell ref="A1:O1"/>
    <mergeCell ref="A4:O4"/>
    <mergeCell ref="A30:J30"/>
    <mergeCell ref="A31:J31"/>
    <mergeCell ref="A20:J20"/>
    <mergeCell ref="A26:J26"/>
    <mergeCell ref="A2:O3"/>
    <mergeCell ref="L6:M6"/>
    <mergeCell ref="C24:J24"/>
    <mergeCell ref="B5:C5"/>
    <mergeCell ref="D5:E5"/>
    <mergeCell ref="N6:O6"/>
    <mergeCell ref="H5:I5"/>
    <mergeCell ref="A7:B7"/>
    <mergeCell ref="A8:B8"/>
    <mergeCell ref="A9:B9"/>
    <mergeCell ref="A10:B10"/>
    <mergeCell ref="A11:B11"/>
    <mergeCell ref="A12:J12"/>
    <mergeCell ref="A13:J13"/>
    <mergeCell ref="A14:J14"/>
    <mergeCell ref="C9:J9"/>
    <mergeCell ref="B6:C6"/>
    <mergeCell ref="A15:J15"/>
    <mergeCell ref="A16:J16"/>
    <mergeCell ref="A17:J17"/>
    <mergeCell ref="A18:J18"/>
    <mergeCell ref="A19:J19"/>
    <mergeCell ref="A21:B21"/>
    <mergeCell ref="A22:B22"/>
    <mergeCell ref="A23:B23"/>
    <mergeCell ref="A24:B24"/>
    <mergeCell ref="A25:B25"/>
    <mergeCell ref="A27:J27"/>
    <mergeCell ref="C10:J10"/>
    <mergeCell ref="A28:J28"/>
    <mergeCell ref="A29:J29"/>
    <mergeCell ref="D6:E6"/>
    <mergeCell ref="C21:J21"/>
    <mergeCell ref="H6:I6"/>
    <mergeCell ref="C11:J11"/>
    <mergeCell ref="J6:K6"/>
    <mergeCell ref="F5:G5"/>
    <mergeCell ref="L5:M5"/>
    <mergeCell ref="C23:J23"/>
    <mergeCell ref="N5:O5"/>
    <mergeCell ref="C7:J7"/>
    <mergeCell ref="C25:J25"/>
    <mergeCell ref="J5:K5"/>
    <mergeCell ref="F6:G6"/>
    <mergeCell ref="C22:J22"/>
    <mergeCell ref="C8:J8"/>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C6B72"/>
  </sheetPr>
  <dimension ref="A1:E17"/>
  <sheetViews>
    <sheetView showGridLines="0" zoomScaleNormal="100" workbookViewId="0">
      <pane ySplit="6" topLeftCell="A7" activePane="bottomLeft" state="frozen"/>
      <selection pane="bottomLeft" activeCell="D25" sqref="D25"/>
    </sheetView>
  </sheetViews>
  <sheetFormatPr baseColWidth="10" defaultColWidth="8.7109375" defaultRowHeight="15"/>
  <cols>
    <col min="1" max="1" width="40" style="2" customWidth="1"/>
    <col min="2" max="2" width="32" style="2" customWidth="1"/>
    <col min="3" max="3" width="12" style="2" customWidth="1"/>
    <col min="4" max="4" width="28.42578125" style="2" customWidth="1"/>
    <col min="5" max="5" width="50" style="2" customWidth="1"/>
  </cols>
  <sheetData>
    <row r="1" spans="1:5" ht="25.5" customHeight="1">
      <c r="A1" s="3" t="s">
        <v>0</v>
      </c>
      <c r="B1" s="4"/>
      <c r="C1" s="4"/>
      <c r="D1" s="4"/>
      <c r="E1" s="4"/>
    </row>
    <row r="2" spans="1:5" ht="19.5" customHeight="1">
      <c r="A2" s="87" t="s">
        <v>43</v>
      </c>
      <c r="B2" s="88"/>
      <c r="C2" s="88"/>
      <c r="D2" s="88"/>
      <c r="E2" s="88"/>
    </row>
    <row r="3" spans="1:5" ht="15" customHeight="1">
      <c r="A3" s="165" t="str">
        <f>HYPERLINK("#INICIO!A1","◀ INICIO")</f>
        <v>◀ INICIO</v>
      </c>
      <c r="B3" s="169" t="s">
        <v>603</v>
      </c>
      <c r="C3" s="166" t="str">
        <f>HYPERLINK("#CALCULOS!A1","▶  CALCULOS")</f>
        <v>▶  CALCULOS</v>
      </c>
      <c r="D3" s="167"/>
      <c r="E3" s="168" t="str">
        <f>HYPERLINK("#RESULTADOS!A1","▶ RESULTADOS")</f>
        <v>▶ RESULTADOS</v>
      </c>
    </row>
    <row r="4" spans="1:5" ht="19.5" customHeight="1">
      <c r="A4" s="42" t="s">
        <v>44</v>
      </c>
      <c r="B4" s="40"/>
      <c r="C4" s="40"/>
      <c r="D4" s="40"/>
      <c r="E4" s="40"/>
    </row>
    <row r="5" spans="1:5" ht="15" customHeight="1">
      <c r="A5" s="41" t="s">
        <v>45</v>
      </c>
      <c r="B5" s="40"/>
      <c r="C5" s="40"/>
      <c r="D5" s="40"/>
      <c r="E5" s="40"/>
    </row>
    <row r="6" spans="1:5" ht="15" customHeight="1">
      <c r="A6" s="74" t="s">
        <v>46</v>
      </c>
      <c r="B6" s="74" t="s">
        <v>47</v>
      </c>
      <c r="C6" s="74" t="s">
        <v>48</v>
      </c>
      <c r="D6" s="74" t="s">
        <v>49</v>
      </c>
      <c r="E6" s="74" t="s">
        <v>50</v>
      </c>
    </row>
    <row r="7" spans="1:5" ht="15" customHeight="1">
      <c r="A7" s="84" t="s">
        <v>51</v>
      </c>
      <c r="B7" s="76" t="s">
        <v>52</v>
      </c>
      <c r="C7" s="82" t="s">
        <v>53</v>
      </c>
      <c r="D7" s="83" t="s">
        <v>54</v>
      </c>
      <c r="E7" s="83" t="s">
        <v>55</v>
      </c>
    </row>
    <row r="8" spans="1:5" ht="15" customHeight="1">
      <c r="A8" s="84" t="s">
        <v>15</v>
      </c>
      <c r="B8" s="79">
        <v>46217</v>
      </c>
      <c r="C8" s="82" t="s">
        <v>56</v>
      </c>
      <c r="D8" s="83" t="s">
        <v>15</v>
      </c>
      <c r="E8" s="83" t="s">
        <v>57</v>
      </c>
    </row>
    <row r="9" spans="1:5" ht="15" customHeight="1">
      <c r="A9" s="84" t="s">
        <v>58</v>
      </c>
      <c r="B9" s="76" t="s">
        <v>59</v>
      </c>
      <c r="C9" s="82" t="s">
        <v>53</v>
      </c>
      <c r="D9" s="83" t="s">
        <v>54</v>
      </c>
      <c r="E9" s="83" t="s">
        <v>60</v>
      </c>
    </row>
    <row r="10" spans="1:5" ht="15" customHeight="1">
      <c r="A10" s="84" t="s">
        <v>61</v>
      </c>
      <c r="B10" s="76" t="s">
        <v>62</v>
      </c>
      <c r="C10" s="82" t="s">
        <v>53</v>
      </c>
      <c r="D10" s="83" t="s">
        <v>63</v>
      </c>
      <c r="E10" s="83" t="s">
        <v>64</v>
      </c>
    </row>
    <row r="11" spans="1:5" ht="15" customHeight="1">
      <c r="A11" s="84" t="s">
        <v>65</v>
      </c>
      <c r="B11" s="80">
        <v>34</v>
      </c>
      <c r="C11" s="82" t="s">
        <v>66</v>
      </c>
      <c r="D11" s="83" t="s">
        <v>67</v>
      </c>
      <c r="E11" s="83" t="s">
        <v>68</v>
      </c>
    </row>
    <row r="12" spans="1:5" ht="15" customHeight="1">
      <c r="A12" s="84" t="s">
        <v>69</v>
      </c>
      <c r="B12" s="81">
        <v>78.5</v>
      </c>
      <c r="C12" s="82" t="s">
        <v>70</v>
      </c>
      <c r="D12" s="83" t="s">
        <v>71</v>
      </c>
      <c r="E12" s="83" t="s">
        <v>72</v>
      </c>
    </row>
    <row r="13" spans="1:5" ht="15" customHeight="1">
      <c r="A13" s="84" t="s">
        <v>73</v>
      </c>
      <c r="B13" s="81">
        <v>176</v>
      </c>
      <c r="C13" s="82" t="s">
        <v>74</v>
      </c>
      <c r="D13" s="83" t="s">
        <v>75</v>
      </c>
      <c r="E13" s="83" t="s">
        <v>76</v>
      </c>
    </row>
    <row r="14" spans="1:5" ht="15" customHeight="1">
      <c r="A14" s="84" t="s">
        <v>77</v>
      </c>
      <c r="B14" s="76" t="s">
        <v>78</v>
      </c>
      <c r="C14" s="82" t="s">
        <v>53</v>
      </c>
      <c r="D14" s="83" t="s">
        <v>79</v>
      </c>
      <c r="E14" s="83" t="s">
        <v>80</v>
      </c>
    </row>
    <row r="15" spans="1:5" ht="15" customHeight="1">
      <c r="A15" s="84" t="s">
        <v>81</v>
      </c>
      <c r="B15" s="76" t="s">
        <v>82</v>
      </c>
      <c r="C15" s="82" t="s">
        <v>53</v>
      </c>
      <c r="D15" s="83" t="s">
        <v>83</v>
      </c>
      <c r="E15" s="83" t="s">
        <v>84</v>
      </c>
    </row>
    <row r="16" spans="1:5" ht="15" customHeight="1">
      <c r="A16" s="84" t="s">
        <v>85</v>
      </c>
      <c r="B16" s="76" t="s">
        <v>86</v>
      </c>
      <c r="C16" s="82" t="s">
        <v>53</v>
      </c>
      <c r="D16" s="83" t="s">
        <v>54</v>
      </c>
      <c r="E16" s="83" t="s">
        <v>87</v>
      </c>
    </row>
    <row r="17" spans="1:5" ht="15" customHeight="1">
      <c r="A17" s="84" t="s">
        <v>88</v>
      </c>
      <c r="B17" s="76"/>
      <c r="C17" s="82" t="s">
        <v>53</v>
      </c>
      <c r="D17" s="83" t="s">
        <v>54</v>
      </c>
      <c r="E17" s="83" t="s">
        <v>89</v>
      </c>
    </row>
  </sheetData>
  <sheetProtection algorithmName="SHA-512" hashValue="oxyBp8bDGJlZ/CPv1DaQIA9xKZxYfwUeGTMBATdptJFtKmvHliCmFcfK27RGqyGsOjfG9xGAM+uJwIJ0/yIrpQ==" saltValue="J6DkrK5V8v3XuXkyGxGGgg==" spinCount="100000" sheet="1" objects="1" scenarios="1"/>
  <protectedRanges>
    <protectedRange sqref="B7:B17" name="Valores"/>
  </protectedRanges>
  <mergeCells count="4">
    <mergeCell ref="A5:E5"/>
    <mergeCell ref="A4:E4"/>
    <mergeCell ref="A2:E2"/>
    <mergeCell ref="C3:D3"/>
  </mergeCells>
  <dataValidations count="6">
    <dataValidation type="list" allowBlank="1" sqref="B10" xr:uid="{00000000-0002-0000-0100-000000000000}">
      <formula1>SEXOS</formula1>
      <formula2>0</formula2>
    </dataValidation>
    <dataValidation type="decimal" allowBlank="1" sqref="B11" xr:uid="{00000000-0002-0000-0100-000001000000}">
      <formula1>EDAD_MIN</formula1>
      <formula2>EDAD_MAX</formula2>
    </dataValidation>
    <dataValidation type="decimal" allowBlank="1" sqref="B12" xr:uid="{00000000-0002-0000-0100-000002000000}">
      <formula1>PESO_MIN</formula1>
      <formula2>PESO_MAX</formula2>
    </dataValidation>
    <dataValidation type="decimal" allowBlank="1" sqref="B13" xr:uid="{00000000-0002-0000-0100-000003000000}">
      <formula1>EST_MIN</formula1>
      <formula2>EST_MAX</formula2>
    </dataValidation>
    <dataValidation type="list" allowBlank="1" sqref="B14" xr:uid="{00000000-0002-0000-0100-000004000000}">
      <formula1>LISTA_ECU</formula1>
      <formula2>0</formula2>
    </dataValidation>
    <dataValidation type="list" allowBlank="1" sqref="B15" xr:uid="{00000000-0002-0000-0100-000005000000}">
      <formula1>LISTA_DEN</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C6B72"/>
  </sheetPr>
  <dimension ref="A1:G26"/>
  <sheetViews>
    <sheetView showGridLines="0" zoomScaleNormal="100" workbookViewId="0">
      <pane ySplit="6" topLeftCell="A13" activePane="bottomLeft" state="frozen"/>
      <selection pane="bottomLeft" activeCell="J23" sqref="J23"/>
    </sheetView>
  </sheetViews>
  <sheetFormatPr baseColWidth="10" defaultColWidth="8.7109375" defaultRowHeight="15"/>
  <cols>
    <col min="1" max="1" width="5" style="2" customWidth="1"/>
    <col min="2" max="2" width="34" style="2" customWidth="1"/>
    <col min="3" max="5" width="10" style="2" customWidth="1"/>
    <col min="6" max="6" width="11" style="2" customWidth="1"/>
    <col min="7" max="7" width="40" style="2" customWidth="1"/>
  </cols>
  <sheetData>
    <row r="1" spans="1:7" ht="25.5" customHeight="1">
      <c r="A1" s="3" t="s">
        <v>0</v>
      </c>
      <c r="B1" s="4"/>
      <c r="C1" s="4"/>
      <c r="D1" s="4"/>
      <c r="E1" s="4"/>
      <c r="F1" s="4"/>
      <c r="G1" s="4"/>
    </row>
    <row r="2" spans="1:7" ht="21.75" customHeight="1">
      <c r="A2" s="87" t="s">
        <v>90</v>
      </c>
      <c r="B2" s="88"/>
      <c r="C2" s="88"/>
      <c r="D2" s="88"/>
      <c r="E2" s="88"/>
      <c r="F2" s="88"/>
      <c r="G2" s="88"/>
    </row>
    <row r="3" spans="1:7" ht="43.5" customHeight="1">
      <c r="A3" s="42" t="s">
        <v>91</v>
      </c>
      <c r="B3" s="40"/>
      <c r="C3" s="40"/>
      <c r="D3" s="40"/>
      <c r="E3" s="40"/>
      <c r="F3" s="40"/>
      <c r="G3" s="40"/>
    </row>
    <row r="4" spans="1:7" ht="15" customHeight="1">
      <c r="A4" s="166" t="str">
        <f>HYPERLINK("#DATOS!A1","◀ DATOS")</f>
        <v>◀ DATOS</v>
      </c>
      <c r="B4" s="184"/>
      <c r="C4" s="171" t="str">
        <f>HYPERLINK("#CALCULOS!A1","▶  CALCULOS")</f>
        <v>▶  CALCULOS</v>
      </c>
      <c r="D4" s="172"/>
      <c r="E4" s="173"/>
      <c r="F4" s="166" t="str">
        <f>HYPERLINK("#RESULTADOS!A1","▶ RESULTADOS")</f>
        <v>▶ RESULTADOS</v>
      </c>
      <c r="G4" s="184"/>
    </row>
    <row r="6" spans="1:7" ht="15" customHeight="1">
      <c r="A6" s="112" t="s">
        <v>92</v>
      </c>
      <c r="B6" s="112" t="s">
        <v>93</v>
      </c>
      <c r="C6" s="112" t="s">
        <v>94</v>
      </c>
      <c r="D6" s="112" t="s">
        <v>95</v>
      </c>
      <c r="E6" s="112" t="s">
        <v>96</v>
      </c>
      <c r="F6" s="112" t="s">
        <v>97</v>
      </c>
      <c r="G6" s="112" t="s">
        <v>98</v>
      </c>
    </row>
    <row r="7" spans="1:7" ht="23.25" customHeight="1">
      <c r="A7" s="77">
        <v>1</v>
      </c>
      <c r="B7" s="75" t="s">
        <v>99</v>
      </c>
      <c r="C7" s="81">
        <v>12</v>
      </c>
      <c r="D7" s="81">
        <v>12</v>
      </c>
      <c r="E7" s="106">
        <f t="shared" ref="E7:E14" si="0">IF(AND(ISNUMBER(C7),ISNUMBER(D7)),(C7+D7)/2,IF(ISNUMBER(C7),C7,""))</f>
        <v>12</v>
      </c>
      <c r="F7" s="113">
        <f t="shared" ref="F7:F14" si="1">IF(AND(ISNUMBER(C7),ISNUMBER(D7)),ABS(C7-D7),"")</f>
        <v>0</v>
      </c>
      <c r="G7" s="78" t="s">
        <v>100</v>
      </c>
    </row>
    <row r="8" spans="1:7" ht="28.5" customHeight="1">
      <c r="A8" s="77">
        <v>2</v>
      </c>
      <c r="B8" s="75" t="s">
        <v>101</v>
      </c>
      <c r="C8" s="81">
        <v>14</v>
      </c>
      <c r="D8" s="81">
        <v>14</v>
      </c>
      <c r="E8" s="106">
        <f t="shared" si="0"/>
        <v>14</v>
      </c>
      <c r="F8" s="113">
        <f t="shared" si="1"/>
        <v>0</v>
      </c>
      <c r="G8" s="78" t="s">
        <v>102</v>
      </c>
    </row>
    <row r="9" spans="1:7" ht="20.25" customHeight="1">
      <c r="A9" s="77">
        <v>3</v>
      </c>
      <c r="B9" s="75" t="s">
        <v>103</v>
      </c>
      <c r="C9" s="81">
        <v>13</v>
      </c>
      <c r="D9" s="81">
        <v>11</v>
      </c>
      <c r="E9" s="106">
        <f t="shared" si="0"/>
        <v>12</v>
      </c>
      <c r="F9" s="113">
        <f t="shared" si="1"/>
        <v>2</v>
      </c>
      <c r="G9" s="78" t="s">
        <v>104</v>
      </c>
    </row>
    <row r="10" spans="1:7" ht="27.75" customHeight="1">
      <c r="A10" s="77">
        <v>4</v>
      </c>
      <c r="B10" s="75" t="s">
        <v>105</v>
      </c>
      <c r="C10" s="81">
        <v>16</v>
      </c>
      <c r="D10" s="81">
        <v>16</v>
      </c>
      <c r="E10" s="106">
        <f t="shared" si="0"/>
        <v>16</v>
      </c>
      <c r="F10" s="113">
        <f t="shared" si="1"/>
        <v>0</v>
      </c>
      <c r="G10" s="78" t="s">
        <v>106</v>
      </c>
    </row>
    <row r="11" spans="1:7" ht="23.25" customHeight="1">
      <c r="A11" s="77">
        <v>5</v>
      </c>
      <c r="B11" s="75" t="s">
        <v>107</v>
      </c>
      <c r="C11" s="81">
        <v>7</v>
      </c>
      <c r="D11" s="81">
        <v>7</v>
      </c>
      <c r="E11" s="106">
        <f t="shared" si="0"/>
        <v>7</v>
      </c>
      <c r="F11" s="113">
        <f t="shared" si="1"/>
        <v>0</v>
      </c>
      <c r="G11" s="78" t="s">
        <v>108</v>
      </c>
    </row>
    <row r="12" spans="1:7" ht="21.75" customHeight="1">
      <c r="A12" s="77">
        <v>6</v>
      </c>
      <c r="B12" s="75" t="s">
        <v>109</v>
      </c>
      <c r="C12" s="81">
        <v>17</v>
      </c>
      <c r="D12" s="81">
        <v>15</v>
      </c>
      <c r="E12" s="106">
        <f t="shared" si="0"/>
        <v>16</v>
      </c>
      <c r="F12" s="113">
        <f t="shared" si="1"/>
        <v>2</v>
      </c>
      <c r="G12" s="78" t="s">
        <v>110</v>
      </c>
    </row>
    <row r="13" spans="1:7" ht="17.25" customHeight="1">
      <c r="A13" s="77">
        <v>7</v>
      </c>
      <c r="B13" s="75" t="s">
        <v>111</v>
      </c>
      <c r="C13" s="81">
        <v>23</v>
      </c>
      <c r="D13" s="81">
        <v>21</v>
      </c>
      <c r="E13" s="106">
        <f t="shared" si="0"/>
        <v>22</v>
      </c>
      <c r="F13" s="113">
        <f t="shared" si="1"/>
        <v>2</v>
      </c>
      <c r="G13" s="78" t="s">
        <v>112</v>
      </c>
    </row>
    <row r="14" spans="1:7" ht="29.25" customHeight="1">
      <c r="A14" s="77">
        <v>8</v>
      </c>
      <c r="B14" s="75" t="s">
        <v>113</v>
      </c>
      <c r="C14" s="81">
        <v>16</v>
      </c>
      <c r="D14" s="81">
        <v>16</v>
      </c>
      <c r="E14" s="106">
        <f t="shared" si="0"/>
        <v>16</v>
      </c>
      <c r="F14" s="113">
        <f t="shared" si="1"/>
        <v>0</v>
      </c>
      <c r="G14" s="78" t="s">
        <v>114</v>
      </c>
    </row>
    <row r="16" spans="1:7" ht="15" customHeight="1">
      <c r="A16" s="8" t="s">
        <v>115</v>
      </c>
      <c r="B16" s="9"/>
      <c r="C16" s="9"/>
      <c r="D16" s="9"/>
      <c r="E16" s="9"/>
      <c r="F16" s="9"/>
      <c r="G16" s="9"/>
    </row>
    <row r="17" spans="1:7" ht="15" customHeight="1">
      <c r="A17" s="114" t="s">
        <v>116</v>
      </c>
      <c r="B17" s="54"/>
      <c r="C17" s="115">
        <f>SUMPRODUCT((ISNUMBER(C7:C14))*(ISNUMBER(D7:D14)))</f>
        <v>8</v>
      </c>
      <c r="D17" s="54"/>
      <c r="E17" s="77" t="s">
        <v>117</v>
      </c>
      <c r="F17" s="116" t="s">
        <v>118</v>
      </c>
      <c r="G17" s="54"/>
    </row>
    <row r="18" spans="1:7" ht="15" customHeight="1">
      <c r="A18" s="114" t="s">
        <v>119</v>
      </c>
      <c r="B18" s="54"/>
      <c r="C18" s="117">
        <f>SUMPRODUCT((ISNUMBER(C7:C14))*(ISNUMBER(D7:D14))*(C7:C14-D7:D14)^2)</f>
        <v>12</v>
      </c>
      <c r="D18" s="54"/>
      <c r="E18" s="77" t="s">
        <v>120</v>
      </c>
      <c r="F18" s="116" t="s">
        <v>121</v>
      </c>
      <c r="G18" s="54"/>
    </row>
    <row r="19" spans="1:7" ht="15" customHeight="1">
      <c r="A19" s="114" t="s">
        <v>122</v>
      </c>
      <c r="B19" s="54"/>
      <c r="C19" s="118">
        <f>IF(a_k&gt;0,SQRT(a_Sd2/(2*a_k)),"ND")</f>
        <v>0.8660254037844386</v>
      </c>
      <c r="D19" s="54"/>
      <c r="E19" s="77" t="s">
        <v>123</v>
      </c>
      <c r="F19" s="116" t="s">
        <v>124</v>
      </c>
      <c r="G19" s="54"/>
    </row>
    <row r="20" spans="1:7" ht="15" customHeight="1">
      <c r="A20" s="114" t="s">
        <v>125</v>
      </c>
      <c r="B20" s="54"/>
      <c r="C20" s="119">
        <f>IF((COUNT(C7:C14)+COUNT(D7:D14))&gt;0,(SUM(C7:C14)+SUM(D7:D14))/(COUNT(C7:C14)+COUNT(D7:D14)),"ND")</f>
        <v>14.375</v>
      </c>
      <c r="D20" s="54"/>
      <c r="E20" s="77" t="s">
        <v>123</v>
      </c>
      <c r="F20" s="116" t="s">
        <v>126</v>
      </c>
      <c r="G20" s="54"/>
    </row>
    <row r="21" spans="1:7" ht="15" customHeight="1">
      <c r="A21" s="114" t="s">
        <v>127</v>
      </c>
      <c r="B21" s="54"/>
      <c r="C21" s="120">
        <f>IF(AND(ISNUMBER(a_TEMabs),ISNUMBER(a_MediaG),a_MediaG&gt;0),a_TEMabs/a_MediaG,"ND")</f>
        <v>6.0245245480656601E-2</v>
      </c>
      <c r="D21" s="54"/>
      <c r="E21" s="77" t="s">
        <v>53</v>
      </c>
      <c r="F21" s="116" t="s">
        <v>128</v>
      </c>
      <c r="G21" s="54"/>
    </row>
    <row r="22" spans="1:7" ht="15" customHeight="1">
      <c r="A22" s="114" t="s">
        <v>129</v>
      </c>
      <c r="B22" s="54"/>
      <c r="C22" s="121" t="str">
        <f>IF(ISNUMBER(a_TEMrel),IF(a_TEMrel&lt;=TEM_OK,"OK (≤5%)",IF(a_TEMrel&lt;=TEM_ACC,"Aceptable (5–7,5%)","Revisar técnica (&gt;7,5%)")),"ND")</f>
        <v>Aceptable (5–7,5%)</v>
      </c>
      <c r="D22" s="54"/>
      <c r="E22" s="77" t="s">
        <v>53</v>
      </c>
      <c r="F22" s="116" t="s">
        <v>130</v>
      </c>
      <c r="G22" s="54"/>
    </row>
    <row r="23" spans="1:7">
      <c r="A23" s="188"/>
      <c r="B23" s="189"/>
      <c r="C23" s="189"/>
      <c r="D23" s="189"/>
      <c r="E23" s="189"/>
      <c r="F23" s="189"/>
      <c r="G23" s="190"/>
    </row>
    <row r="24" spans="1:7" ht="21.75" customHeight="1">
      <c r="A24" s="114" t="s">
        <v>131</v>
      </c>
      <c r="B24" s="54"/>
      <c r="C24" s="122">
        <f>IF(COUNT(E7:E14)&gt;0,SUM(E7:E14),"ND")</f>
        <v>115</v>
      </c>
      <c r="D24" s="54"/>
      <c r="E24" s="77" t="s">
        <v>123</v>
      </c>
      <c r="F24" s="116" t="s">
        <v>132</v>
      </c>
      <c r="G24" s="54"/>
    </row>
    <row r="26" spans="1:7" ht="30" customHeight="1">
      <c r="A26" s="44" t="s">
        <v>133</v>
      </c>
      <c r="B26" s="40"/>
      <c r="C26" s="40"/>
      <c r="D26" s="40"/>
      <c r="E26" s="40"/>
      <c r="F26" s="40"/>
      <c r="G26" s="40"/>
    </row>
  </sheetData>
  <sheetProtection algorithmName="SHA-512" hashValue="2pRYvCA7jjPermqM+SWFvWi4swDVYcGnZsx4UwRDQivhTEl3+CzOweH44DC/MoL115mB5gGdo7qhSF09rm4n3A==" saltValue="3/iOe2dms9qLJeu6H3mj0Q==" spinCount="100000" sheet="1" objects="1" scenarios="1"/>
  <protectedRanges>
    <protectedRange sqref="C7:D14" name="valores mm"/>
  </protectedRanges>
  <mergeCells count="28">
    <mergeCell ref="A2:G2"/>
    <mergeCell ref="A4:B4"/>
    <mergeCell ref="C4:E4"/>
    <mergeCell ref="F4:G4"/>
    <mergeCell ref="A3:G3"/>
    <mergeCell ref="A19:B19"/>
    <mergeCell ref="C19:D19"/>
    <mergeCell ref="A26:G26"/>
    <mergeCell ref="C18:D18"/>
    <mergeCell ref="A23:G23"/>
    <mergeCell ref="F18:G18"/>
    <mergeCell ref="C22:D22"/>
    <mergeCell ref="A18:B18"/>
    <mergeCell ref="F17:G17"/>
    <mergeCell ref="A21:B21"/>
    <mergeCell ref="C21:D21"/>
    <mergeCell ref="F22:G22"/>
    <mergeCell ref="A17:B17"/>
    <mergeCell ref="C17:D17"/>
    <mergeCell ref="A22:B22"/>
    <mergeCell ref="A20:B20"/>
    <mergeCell ref="A24:B24"/>
    <mergeCell ref="C24:D24"/>
    <mergeCell ref="F19:G19"/>
    <mergeCell ref="C20:D20"/>
    <mergeCell ref="F21:G21"/>
    <mergeCell ref="F24:G24"/>
    <mergeCell ref="F20:G20"/>
  </mergeCells>
  <dataValidations count="1">
    <dataValidation type="decimal" allowBlank="1" sqref="C7:D14" xr:uid="{00000000-0002-0000-0200-000000000000}">
      <formula1>PLI_MIN</formula1>
      <formula2>PLI_MAX</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C6B72"/>
  </sheetPr>
  <dimension ref="A1:F55"/>
  <sheetViews>
    <sheetView showGridLines="0" tabSelected="1" zoomScaleNormal="100" workbookViewId="0">
      <pane ySplit="5" topLeftCell="A6" activePane="bottomLeft" state="frozen"/>
      <selection pane="bottomLeft" activeCell="H35" sqref="H35"/>
    </sheetView>
  </sheetViews>
  <sheetFormatPr baseColWidth="10" defaultColWidth="8.7109375" defaultRowHeight="15"/>
  <cols>
    <col min="1" max="1" width="42.28515625" style="2" customWidth="1"/>
    <col min="2" max="2" width="22.140625" style="2" customWidth="1"/>
    <col min="3" max="3" width="17.42578125" style="2" customWidth="1"/>
    <col min="4" max="4" width="52.7109375" style="2" customWidth="1"/>
    <col min="6" max="6" width="17.28515625" customWidth="1"/>
  </cols>
  <sheetData>
    <row r="1" spans="1:6" ht="25.5" customHeight="1">
      <c r="A1" s="181" t="s">
        <v>0</v>
      </c>
      <c r="B1" s="181"/>
      <c r="C1" s="181"/>
      <c r="D1" s="181"/>
      <c r="E1" s="181"/>
      <c r="F1" s="181"/>
    </row>
    <row r="2" spans="1:6" ht="24.75" customHeight="1">
      <c r="A2" s="182" t="s">
        <v>134</v>
      </c>
      <c r="B2" s="183"/>
      <c r="C2" s="183"/>
      <c r="D2" s="183"/>
      <c r="E2" s="183"/>
      <c r="F2" s="183"/>
    </row>
    <row r="3" spans="1:6" ht="18" customHeight="1">
      <c r="A3" s="170" t="str">
        <f>HYPERLINK("#DATOS!A1","◀ DATOS")</f>
        <v>◀ DATOS</v>
      </c>
      <c r="B3" s="166" t="str">
        <f>HYPERLINK("#'PLIEGUES'!A1", "◀ PLIEGUES")</f>
        <v>◀ PLIEGUES</v>
      </c>
      <c r="C3" s="184"/>
      <c r="D3" s="168" t="str">
        <f>HYPERLINK("#RESULTADOS!A1","▶ RESULTADOS")</f>
        <v>▶ RESULTADOS</v>
      </c>
      <c r="E3" s="166" t="str">
        <f>HYPERLINK("#FUENTES!A1","▶  FUENTES")</f>
        <v>▶  FUENTES</v>
      </c>
      <c r="F3" s="167"/>
    </row>
    <row r="4" spans="1:6" ht="27.75" customHeight="1">
      <c r="A4" s="42" t="s">
        <v>135</v>
      </c>
      <c r="B4" s="42"/>
      <c r="C4" s="42"/>
      <c r="D4" s="42"/>
      <c r="E4" s="42"/>
      <c r="F4" s="42"/>
    </row>
    <row r="6" spans="1:6" ht="15" customHeight="1">
      <c r="A6" s="8" t="s">
        <v>136</v>
      </c>
      <c r="B6" s="9"/>
      <c r="C6" s="9"/>
      <c r="D6" s="9"/>
    </row>
    <row r="7" spans="1:6" ht="15" customHeight="1">
      <c r="A7" s="107" t="s">
        <v>137</v>
      </c>
      <c r="B7" s="107" t="s">
        <v>47</v>
      </c>
      <c r="C7" s="107" t="s">
        <v>48</v>
      </c>
      <c r="D7" s="107" t="s">
        <v>138</v>
      </c>
    </row>
    <row r="8" spans="1:6" ht="28.5" customHeight="1">
      <c r="A8" s="75" t="s">
        <v>139</v>
      </c>
      <c r="B8" s="94">
        <f>IF(ISNUMBER(in_Est),in_Est/100,"ND: estatura")</f>
        <v>1.76</v>
      </c>
      <c r="C8" s="77" t="s">
        <v>140</v>
      </c>
      <c r="D8" s="177" t="s">
        <v>141</v>
      </c>
    </row>
    <row r="9" spans="1:6" ht="28.5" customHeight="1">
      <c r="A9" s="75" t="s">
        <v>142</v>
      </c>
      <c r="B9" s="106">
        <f>IF(AND(ISNUMBER(in_Peso),ISNUMBER(in_Est),in_Est&gt;0),in_Peso/(in_Est/100)^2,"ND")</f>
        <v>25.342200413223143</v>
      </c>
      <c r="C9" s="77" t="s">
        <v>143</v>
      </c>
      <c r="D9" s="177" t="s">
        <v>144</v>
      </c>
    </row>
    <row r="10" spans="1:6" ht="33.75" customHeight="1">
      <c r="A10" s="75" t="s">
        <v>145</v>
      </c>
      <c r="B10" s="113">
        <f>IF(AND(ISNUMBER(p_Pect),ISNUMBER(p_Axil),ISNUMBER(p_Tri),ISNUMBER(p_Sub),ISNUMBER(p_Abd),ISNUMBER(p_Supra),ISNUMBER(p_Muslo)),p_Pect+p_Axil+p_Tri+p_Sub+p_Abd+p_Supra+p_Muslo,"ND: faltan sitios")</f>
        <v>108</v>
      </c>
      <c r="C10" s="77" t="s">
        <v>123</v>
      </c>
      <c r="D10" s="177" t="s">
        <v>146</v>
      </c>
    </row>
    <row r="11" spans="1:6" ht="27" customHeight="1">
      <c r="A11" s="75" t="s">
        <v>147</v>
      </c>
      <c r="B11" s="113">
        <f>IF(in_Sexo="Hombre",IF(AND(ISNUMBER(p_Pect),ISNUMBER(p_Abd),ISNUMBER(p_Muslo)),p_Pect+p_Abd+p_Muslo,"ND: faltan sitios"),IF(AND(ISNUMBER(p_Tri),ISNUMBER(p_Supra),ISNUMBER(p_Muslo)),p_Tri+p_Supra+p_Muslo,"ND: faltan sitios"))</f>
        <v>50</v>
      </c>
      <c r="C11" s="77" t="s">
        <v>123</v>
      </c>
      <c r="D11" s="177" t="s">
        <v>148</v>
      </c>
    </row>
    <row r="12" spans="1:6" ht="24.75" customHeight="1">
      <c r="A12" s="75" t="s">
        <v>149</v>
      </c>
      <c r="B12" s="113">
        <f>IF(AND(ISNUMBER(p_Bic),ISNUMBER(p_Tri),ISNUMBER(p_Sub),ISNUMBER(p_Supra)),p_Bic+p_Tri+p_Sub+p_Supra,"ND: faltan sitios")</f>
        <v>51</v>
      </c>
      <c r="C12" s="77" t="s">
        <v>123</v>
      </c>
      <c r="D12" s="177" t="s">
        <v>150</v>
      </c>
    </row>
    <row r="13" spans="1:6" ht="15" customHeight="1">
      <c r="A13" s="75" t="s">
        <v>151</v>
      </c>
      <c r="B13" s="113">
        <f>IF(AND(ISNUMBER(p_Tri),ISNUMBER(p_Sub),ISNUMBER(p_Supra),ISNUMBER(p_Abd)),p_Tri+p_Sub+p_Supra+p_Abd,"ND: faltan sitios")</f>
        <v>66</v>
      </c>
      <c r="C13" s="77" t="s">
        <v>123</v>
      </c>
      <c r="D13" s="177" t="s">
        <v>152</v>
      </c>
    </row>
    <row r="14" spans="1:6" ht="15" customHeight="1">
      <c r="A14" s="8" t="s">
        <v>153</v>
      </c>
      <c r="B14" s="9"/>
      <c r="C14" s="9"/>
      <c r="D14" s="9"/>
    </row>
    <row r="15" spans="1:6" ht="15" customHeight="1">
      <c r="A15" s="107" t="s">
        <v>137</v>
      </c>
      <c r="B15" s="107" t="s">
        <v>47</v>
      </c>
      <c r="C15" s="107" t="s">
        <v>48</v>
      </c>
      <c r="D15" s="107" t="s">
        <v>138</v>
      </c>
    </row>
    <row r="16" spans="1:6" ht="15" customHeight="1">
      <c r="A16" s="75" t="s">
        <v>154</v>
      </c>
      <c r="B16" s="96" t="str">
        <f>IF(AND(COUNTIF(SEXOS,in_Sexo)&gt;0,ISNUMBER(in_Edad),in_Edad&gt;=EDAD_MIN,in_Edad&lt;=EDAD_MAX,ISNUMBER(in_Peso),in_Peso&gt;=PESO_MIN,in_Peso&lt;=PESO_MAX,ISNUMBER(in_Est),in_Est&gt;=EST_MIN,in_Est&lt;=EST_MAX),"SÍ","NO")</f>
        <v>SÍ</v>
      </c>
      <c r="C16" s="77" t="s">
        <v>53</v>
      </c>
      <c r="D16" s="177" t="s">
        <v>155</v>
      </c>
    </row>
    <row r="17" spans="1:4" ht="15" customHeight="1">
      <c r="A17" s="8" t="s">
        <v>156</v>
      </c>
      <c r="B17" s="9"/>
      <c r="C17" s="9"/>
      <c r="D17" s="9"/>
    </row>
    <row r="18" spans="1:4" ht="15" customHeight="1">
      <c r="A18" s="178" t="s">
        <v>137</v>
      </c>
      <c r="B18" s="178" t="s">
        <v>47</v>
      </c>
      <c r="C18" s="178" t="s">
        <v>48</v>
      </c>
      <c r="D18" s="178" t="s">
        <v>138</v>
      </c>
    </row>
    <row r="19" spans="1:4" ht="15" customHeight="1">
      <c r="A19" s="124" t="s">
        <v>157</v>
      </c>
      <c r="B19" s="179">
        <f>IF(AND(c_Gate="SÍ",ISNUMBER(c_Sum7)),IF(in_Sexo="Hombre",JP7_HA-JP7_HB1*c_Sum7+JP7_HB2*c_Sum7^2-JP7_HB3*in_Edad,JP7_MA-JP7_MB1*c_Sum7+JP7_MB2*c_Sum7^2-JP7_MB3*in_Edad),"ND")</f>
        <v>1.0616354400000001</v>
      </c>
      <c r="C19" s="82" t="s">
        <v>158</v>
      </c>
      <c r="D19" s="177" t="s">
        <v>159</v>
      </c>
    </row>
    <row r="20" spans="1:4" ht="15" customHeight="1">
      <c r="A20" s="124" t="s">
        <v>160</v>
      </c>
      <c r="B20" s="127">
        <f>IF(ISNUMBER(c_BDjp7),IF(in_Conv="Brožek (1963)",(BRO_A/c_BDjp7-BRO_B)/100,(SIRI_A/c_BDjp7-SIRI_B)/100),"ND")</f>
        <v>0.1626175177422482</v>
      </c>
      <c r="C20" s="82" t="s">
        <v>161</v>
      </c>
      <c r="D20" s="177" t="s">
        <v>162</v>
      </c>
    </row>
    <row r="21" spans="1:4" ht="15" customHeight="1">
      <c r="A21" s="124" t="s">
        <v>163</v>
      </c>
      <c r="B21" s="179">
        <f>IF(AND(c_Gate="SÍ",ISNUMBER(c_SumJP3)),IF(in_Sexo="Hombre",JP3_HA-JP3_HB1*c_SumJP3+JP3_HB2*c_SumJP3^2-JP3_HB3*in_Edad,JP3_MA-JP3_MB1*c_SumJP3+JP3_MB2*c_SumJP3^2-JP3_MB3*in_Edad),"ND")</f>
        <v>1.0632934000000001</v>
      </c>
      <c r="C21" s="82" t="s">
        <v>158</v>
      </c>
      <c r="D21" s="177" t="s">
        <v>159</v>
      </c>
    </row>
    <row r="22" spans="1:4" ht="15" customHeight="1">
      <c r="A22" s="124" t="s">
        <v>164</v>
      </c>
      <c r="B22" s="127">
        <f>IF(ISNUMBER(c_BDjp3),IF(in_Conv="Brožek (1963)",(BRO_A/c_BDjp3-BRO_B)/100,(SIRI_A/c_BDjp3-SIRI_B)/100),"ND")</f>
        <v>0.1553472447021676</v>
      </c>
      <c r="C22" s="82" t="s">
        <v>161</v>
      </c>
      <c r="D22" s="177" t="s">
        <v>162</v>
      </c>
    </row>
    <row r="23" spans="1:4" ht="15" customHeight="1">
      <c r="A23" s="124" t="s">
        <v>165</v>
      </c>
      <c r="B23" s="180">
        <f>IF(AND(c_Gate="SÍ",ISNUMBER(c_SumDW)),SUMPRODUCT((CONFIG!$A$72:$A$81=in_Sexo)*(CONFIG!$B$72:$B$81&lt;=in_Edad)*(CONFIG!$C$72:$C$81&gt;in_Edad)*CONFIG!$D$72:$D$81),"ND")</f>
        <v>1.1422000000000001</v>
      </c>
      <c r="C23" s="82" t="s">
        <v>53</v>
      </c>
      <c r="D23" s="177" t="s">
        <v>166</v>
      </c>
    </row>
    <row r="24" spans="1:4" ht="15" customHeight="1">
      <c r="A24" s="124" t="s">
        <v>167</v>
      </c>
      <c r="B24" s="180">
        <f>IF(AND(c_Gate="SÍ",ISNUMBER(c_SumDW)),SUMPRODUCT((CONFIG!$A$72:$A$81=in_Sexo)*(CONFIG!$B$72:$B$81&lt;=in_Edad)*(CONFIG!$C$72:$C$81&gt;in_Edad)*CONFIG!$E$72:$E$81),"ND")</f>
        <v>5.4399999999999997E-2</v>
      </c>
      <c r="C24" s="82" t="s">
        <v>53</v>
      </c>
      <c r="D24" s="177" t="s">
        <v>168</v>
      </c>
    </row>
    <row r="25" spans="1:4" ht="15" customHeight="1">
      <c r="A25" s="124" t="s">
        <v>169</v>
      </c>
      <c r="B25" s="179">
        <f>IF(AND(ISNUMBER(c_DWc),ISNUMBER(c_DWm),ISNUMBER(c_SumDW)),c_DWc-c_DWm*LOG10(c_SumDW),"ND")</f>
        <v>1.0493081824202724</v>
      </c>
      <c r="C25" s="82" t="s">
        <v>158</v>
      </c>
      <c r="D25" s="177" t="s">
        <v>170</v>
      </c>
    </row>
    <row r="26" spans="1:4" ht="15" customHeight="1">
      <c r="A26" s="124" t="s">
        <v>171</v>
      </c>
      <c r="B26" s="127">
        <f>IF(ISNUMBER(c_BDdw),IF(in_Conv="Brožek (1963)",(BRO_A/c_BDdw-BRO_B)/100,(SIRI_A/c_BDdw-SIRI_B)/100),"ND")</f>
        <v>0.21739388192191711</v>
      </c>
      <c r="C26" s="82" t="s">
        <v>161</v>
      </c>
      <c r="D26" s="177" t="s">
        <v>162</v>
      </c>
    </row>
    <row r="27" spans="1:4" ht="15" customHeight="1">
      <c r="A27" s="124" t="s">
        <v>172</v>
      </c>
      <c r="B27" s="127">
        <f>IF(AND(c_Gate="SÍ",ISNUMBER(c_SumFaulk)),(FAULK_A*c_SumFaulk+FAULK_B)/100,"ND")</f>
        <v>0.15881000000000001</v>
      </c>
      <c r="C27" s="82" t="s">
        <v>161</v>
      </c>
      <c r="D27" s="177" t="s">
        <v>173</v>
      </c>
    </row>
    <row r="28" spans="1:4" ht="15" customHeight="1">
      <c r="A28" s="8" t="s">
        <v>174</v>
      </c>
      <c r="B28" s="9"/>
      <c r="C28" s="9"/>
      <c r="D28" s="9"/>
    </row>
    <row r="29" spans="1:4" ht="15" customHeight="1">
      <c r="A29" s="123" t="s">
        <v>137</v>
      </c>
      <c r="B29" s="123" t="s">
        <v>47</v>
      </c>
      <c r="C29" s="123" t="s">
        <v>48</v>
      </c>
      <c r="D29" s="123" t="s">
        <v>138</v>
      </c>
    </row>
    <row r="30" spans="1:4" ht="15" customHeight="1">
      <c r="A30" s="124" t="s">
        <v>175</v>
      </c>
      <c r="B30" s="125">
        <f>CHOOSE(MATCH(in_Ecu,LISTA_ECU,0),c_GrJP7,c_GrJP3,c_GrDW,c_GrFaulk)</f>
        <v>0.1626175177422482</v>
      </c>
      <c r="C30" s="82" t="s">
        <v>161</v>
      </c>
      <c r="D30" s="177" t="s">
        <v>176</v>
      </c>
    </row>
    <row r="31" spans="1:4" ht="15" customHeight="1">
      <c r="A31" s="124" t="s">
        <v>177</v>
      </c>
      <c r="B31" s="126">
        <f>COUNT(c_GrJP7,c_GrJP3,c_GrDW,c_GrFaulk)</f>
        <v>4</v>
      </c>
      <c r="C31" s="82" t="s">
        <v>53</v>
      </c>
      <c r="D31" s="177" t="s">
        <v>178</v>
      </c>
    </row>
    <row r="32" spans="1:4" ht="15" customHeight="1">
      <c r="A32" s="124" t="s">
        <v>179</v>
      </c>
      <c r="B32" s="127">
        <f>IF(c_n&gt;0,AVERAGE(c_GrJP7,c_GrJP3,c_GrDW,c_GrFaulk),"ND")</f>
        <v>0.17354216109158324</v>
      </c>
      <c r="C32" s="82" t="s">
        <v>161</v>
      </c>
      <c r="D32" s="177" t="s">
        <v>180</v>
      </c>
    </row>
    <row r="33" spans="1:4" ht="15" customHeight="1">
      <c r="A33" s="124" t="s">
        <v>181</v>
      </c>
      <c r="B33" s="127">
        <f>IF(c_n&gt;0,MIN(c_GrJP7,c_GrJP3,c_GrDW,c_GrFaulk),"ND")</f>
        <v>0.1553472447021676</v>
      </c>
      <c r="C33" s="82" t="s">
        <v>161</v>
      </c>
      <c r="D33" s="177"/>
    </row>
    <row r="34" spans="1:4" ht="15" customHeight="1">
      <c r="A34" s="124" t="s">
        <v>182</v>
      </c>
      <c r="B34" s="127">
        <f>IF(c_n&gt;0,MAX(c_GrJP7,c_GrJP3,c_GrDW,c_GrFaulk),"ND")</f>
        <v>0.21739388192191711</v>
      </c>
      <c r="C34" s="82" t="s">
        <v>161</v>
      </c>
      <c r="D34" s="177"/>
    </row>
    <row r="35" spans="1:4" ht="15" customHeight="1">
      <c r="A35" s="124" t="s">
        <v>183</v>
      </c>
      <c r="B35" s="127">
        <f>IF(AND(ISNUMBER(c_min),ISNUMBER(c_max)),c_max-c_min,"ND")</f>
        <v>6.2046637219749512E-2</v>
      </c>
      <c r="C35" s="82" t="s">
        <v>184</v>
      </c>
      <c r="D35" s="177" t="s">
        <v>185</v>
      </c>
    </row>
    <row r="36" spans="1:4" ht="15" customHeight="1">
      <c r="A36" s="124" t="s">
        <v>186</v>
      </c>
      <c r="B36" s="127">
        <f>IF(AND(ISNUMBER(c_rango),ISNUMBER(c_prom),c_prom&gt;0),c_rango/c_prom,"ND")</f>
        <v>0.35753062442852546</v>
      </c>
      <c r="C36" s="82" t="s">
        <v>53</v>
      </c>
      <c r="D36" s="177" t="s">
        <v>187</v>
      </c>
    </row>
    <row r="37" spans="1:4" ht="25.5" customHeight="1">
      <c r="A37" s="124" t="s">
        <v>188</v>
      </c>
      <c r="B37" s="128" t="str">
        <f>IF(ISNUMBER(c_rango),IF(c_rango&lt;=DISP_MAX,"OK: las ecuaciones concuerdan dentro del umbral.","ATENCIÓN: las ecuaciones de pliegues no son intercambiables; elija UNA y sígala en el tiempo."),"ND")</f>
        <v>OK: las ecuaciones concuerdan dentro del umbral.</v>
      </c>
      <c r="C37" s="82" t="s">
        <v>53</v>
      </c>
      <c r="D37" s="177" t="s">
        <v>189</v>
      </c>
    </row>
    <row r="38" spans="1:4" ht="15" customHeight="1">
      <c r="A38" s="8" t="s">
        <v>190</v>
      </c>
      <c r="B38" s="9"/>
      <c r="C38" s="9"/>
      <c r="D38" s="9"/>
    </row>
    <row r="39" spans="1:4" ht="15" customHeight="1">
      <c r="A39" s="123" t="s">
        <v>137</v>
      </c>
      <c r="B39" s="123" t="s">
        <v>47</v>
      </c>
      <c r="C39" s="123" t="s">
        <v>48</v>
      </c>
      <c r="D39" s="123" t="s">
        <v>138</v>
      </c>
    </row>
    <row r="40" spans="1:4" ht="15" customHeight="1">
      <c r="A40" s="124" t="s">
        <v>191</v>
      </c>
      <c r="B40" s="140">
        <f>IF(AND(ISNUMBER(c_GrRep),ISNUMBER(in_Peso)),c_GrRep*in_Peso,"ND")</f>
        <v>12.765475142766483</v>
      </c>
      <c r="C40" s="82" t="s">
        <v>70</v>
      </c>
      <c r="D40" s="177" t="s">
        <v>192</v>
      </c>
    </row>
    <row r="41" spans="1:4" ht="15" customHeight="1">
      <c r="A41" s="124" t="s">
        <v>193</v>
      </c>
      <c r="B41" s="140">
        <f>IF(AND(ISNUMBER(c_MG),ISNUMBER(in_Peso)),in_Peso-c_MG,"ND")</f>
        <v>65.734524857233509</v>
      </c>
      <c r="C41" s="82" t="s">
        <v>70</v>
      </c>
      <c r="D41" s="177" t="s">
        <v>194</v>
      </c>
    </row>
    <row r="42" spans="1:4" ht="15" customHeight="1">
      <c r="A42" s="124" t="s">
        <v>195</v>
      </c>
      <c r="B42" s="140">
        <f>IF(AND(ISNUMBER(c_MG),ISNUMBER(c_TallaM),c_TallaM&gt;0),c_MG/c_TallaM^2,"ND")</f>
        <v>4.1210857253249236</v>
      </c>
      <c r="C42" s="82" t="s">
        <v>143</v>
      </c>
      <c r="D42" s="177" t="s">
        <v>196</v>
      </c>
    </row>
    <row r="43" spans="1:4" ht="15" customHeight="1">
      <c r="A43" s="124" t="s">
        <v>197</v>
      </c>
      <c r="B43" s="140">
        <f>IF(AND(ISNUMBER(c_MLG),ISNUMBER(c_TallaM),c_TallaM&gt;0),c_MLG/c_TallaM^2,"ND")</f>
        <v>21.221114687898215</v>
      </c>
      <c r="C43" s="82" t="s">
        <v>143</v>
      </c>
      <c r="D43" s="177" t="s">
        <v>198</v>
      </c>
    </row>
    <row r="44" spans="1:4" ht="15" customHeight="1">
      <c r="A44" s="8" t="s">
        <v>199</v>
      </c>
      <c r="B44" s="9"/>
      <c r="C44" s="9"/>
      <c r="D44" s="9"/>
    </row>
    <row r="45" spans="1:4" ht="15" customHeight="1">
      <c r="A45" s="123" t="s">
        <v>137</v>
      </c>
      <c r="B45" s="123" t="s">
        <v>47</v>
      </c>
      <c r="C45" s="123" t="s">
        <v>48</v>
      </c>
      <c r="D45" s="123" t="s">
        <v>138</v>
      </c>
    </row>
    <row r="46" spans="1:4" ht="15" customHeight="1">
      <c r="A46" s="124" t="s">
        <v>200</v>
      </c>
      <c r="B46" s="141" t="str">
        <f>IF(ISNUMBER(c_GrRep),INDEX(CONFIG!$B$85:$B$94,IF(in_Sexo="Hombre",0,5)+MAX(1,SUMPRODUCT((CONFIG!$A$85:$A$94=in_Sexo)*(CONFIG!$C$85:$C$94&lt;=c_GrRep)))),"ND")</f>
        <v>En forma</v>
      </c>
      <c r="C46" s="82" t="s">
        <v>53</v>
      </c>
      <c r="D46" s="177" t="s">
        <v>201</v>
      </c>
    </row>
    <row r="47" spans="1:4" ht="15" customHeight="1">
      <c r="A47" s="8" t="s">
        <v>202</v>
      </c>
      <c r="B47" s="9"/>
      <c r="C47" s="9"/>
      <c r="D47" s="9"/>
    </row>
    <row r="48" spans="1:4" ht="15" customHeight="1">
      <c r="A48" s="161" t="s">
        <v>137</v>
      </c>
      <c r="B48" s="162" t="s">
        <v>602</v>
      </c>
      <c r="C48" s="162"/>
      <c r="D48" s="162"/>
    </row>
    <row r="49" spans="1:4" ht="15" customHeight="1">
      <c r="A49" s="75" t="s">
        <v>203</v>
      </c>
      <c r="B49" s="160" t="str">
        <f>IF(c_Gate="NO","Corrija los datos imposibles (sexo, edad, peso o estatura) antes de interpretar.","—")</f>
        <v>—</v>
      </c>
      <c r="C49" s="54"/>
      <c r="D49" s="54"/>
    </row>
    <row r="50" spans="1:4" ht="15" customHeight="1">
      <c r="A50" s="75" t="s">
        <v>204</v>
      </c>
      <c r="B50" s="160" t="str">
        <f>IF(ISNUMBER(c_GrRep),"—","La ecuación elegida no tiene todos sus sitios; complete los pliegues o elija otra.")</f>
        <v>—</v>
      </c>
      <c r="C50" s="54"/>
      <c r="D50" s="54"/>
    </row>
    <row r="51" spans="1:4" ht="15" customHeight="1">
      <c r="A51" s="75" t="s">
        <v>205</v>
      </c>
      <c r="B51" s="160" t="str">
        <f>IF(AND(ISNUMBER(c_rango),c_rango&gt;DISP_MAX),"Las cuatro ecuaciones discrepan más que el umbral: reporte UNA sola y monitoree la Σ de pliegues.","—")</f>
        <v>—</v>
      </c>
      <c r="C51" s="54"/>
      <c r="D51" s="54"/>
    </row>
    <row r="52" spans="1:4" ht="15" customHeight="1">
      <c r="A52" s="75" t="s">
        <v>206</v>
      </c>
      <c r="B52" s="160" t="str">
        <f>IF(ISNUMBER(a_TEMrel),IF(a_TEMrel&gt;TEM_ACC,"El error técnico de medición supera 7,5 %: repita las mediciones antes de interpretar.","—"),"Sin ETM: mida cada sitio dos veces.")</f>
        <v>—</v>
      </c>
      <c r="C52" s="54"/>
      <c r="D52" s="54"/>
    </row>
    <row r="53" spans="1:4" ht="15" customHeight="1">
      <c r="A53" s="75" t="s">
        <v>207</v>
      </c>
      <c r="B53" s="160" t="str">
        <f>IF(AND(ISNUMBER(c_GrRep),OR(c_GrRep&lt;GRASA_MIN,c_GrRep&gt;GRASA_MAX)),"El % de grasa reportado está fuera del rango fisiológico plausible.","—")</f>
        <v>—</v>
      </c>
      <c r="C53" s="54"/>
      <c r="D53" s="54"/>
    </row>
    <row r="54" spans="1:4" ht="15" customHeight="1">
      <c r="A54" s="75" t="s">
        <v>208</v>
      </c>
      <c r="B54" s="160" t="str">
        <f>IF(OR(AND(ISNUMBER(p_Pect),p_Pect&gt;PLI_MAX),AND(ISNUMBER(p_Abd),p_Abd&gt;PLI_MAX),AND(ISNUMBER(p_Muslo),p_Muslo&gt;PLI_MAX),AND(ISNUMBER(p_Supra),p_Supra&gt;PLI_MAX)),"Algún pliegue supera el máximo del catálogo: verifique la medición.","—")</f>
        <v>—</v>
      </c>
      <c r="C54" s="54"/>
      <c r="D54" s="54"/>
    </row>
    <row r="55" spans="1:4" ht="23.25" customHeight="1">
      <c r="A55" s="75" t="s">
        <v>209</v>
      </c>
      <c r="B55" s="163" t="str">
        <f>"Exactitud matemática ≠ validación clínica. Los pliegues ESTIMAN; la referencia es DEXA o pesaje hidrostático."</f>
        <v>Exactitud matemática ≠ validación clínica. Los pliegues ESTIMAN; la referencia es DEXA o pesaje hidrostático.</v>
      </c>
      <c r="C55" s="164"/>
      <c r="D55" s="164"/>
    </row>
  </sheetData>
  <sheetProtection algorithmName="SHA-512" hashValue="jHWQreC0oe355D+NjPaUctYPPe+NmI9UOJeJe9Q1L2YDsBwCeg/yZn2zXkZAre+xBJegJksN9KeG2Wu8rNRuFQ==" saltValue="Eha8MX4BZrFVg1PJyEgE9A==" spinCount="100000" sheet="1" objects="1" scenarios="1"/>
  <mergeCells count="13">
    <mergeCell ref="E3:F3"/>
    <mergeCell ref="B3:C3"/>
    <mergeCell ref="A1:F1"/>
    <mergeCell ref="A2:F2"/>
    <mergeCell ref="B55:D55"/>
    <mergeCell ref="B51:D51"/>
    <mergeCell ref="B54:D54"/>
    <mergeCell ref="B48:D48"/>
    <mergeCell ref="B49:D49"/>
    <mergeCell ref="B50:D50"/>
    <mergeCell ref="B52:D52"/>
    <mergeCell ref="B53:D53"/>
    <mergeCell ref="A4:F4"/>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C6B72"/>
  </sheetPr>
  <dimension ref="A1:F64"/>
  <sheetViews>
    <sheetView showGridLines="0" zoomScaleNormal="100" workbookViewId="0">
      <selection activeCell="R62" sqref="R62"/>
    </sheetView>
  </sheetViews>
  <sheetFormatPr baseColWidth="10" defaultColWidth="8.7109375" defaultRowHeight="15"/>
  <cols>
    <col min="1" max="1" width="34" style="2" customWidth="1"/>
    <col min="2" max="2" width="22" style="2" customWidth="1"/>
    <col min="3" max="3" width="18" style="2" customWidth="1"/>
    <col min="4" max="4" width="20" style="2" customWidth="1"/>
    <col min="5" max="6" width="18" style="2" customWidth="1"/>
  </cols>
  <sheetData>
    <row r="1" spans="1:6" ht="25.5" customHeight="1">
      <c r="A1" s="3" t="s">
        <v>0</v>
      </c>
      <c r="B1" s="4"/>
      <c r="C1" s="4"/>
      <c r="D1" s="4"/>
      <c r="E1" s="4"/>
      <c r="F1" s="4"/>
    </row>
    <row r="2" spans="1:6" ht="21.75" customHeight="1">
      <c r="A2" s="85" t="s">
        <v>210</v>
      </c>
      <c r="B2" s="86"/>
      <c r="C2" s="86"/>
      <c r="D2" s="86"/>
      <c r="E2" s="86"/>
      <c r="F2" s="86"/>
    </row>
    <row r="3" spans="1:6" ht="22.5" customHeight="1">
      <c r="A3" s="170" t="str">
        <f>HYPERLINK("#DATOS!A1","◀ DATOS")</f>
        <v>◀ DATOS</v>
      </c>
      <c r="B3" s="174" t="str">
        <f>HYPERLINK("#'PLIEGUES'!A1", "◀ PLIEGUES")</f>
        <v>◀ PLIEGUES</v>
      </c>
      <c r="C3" s="175" t="str">
        <f>HYPERLINK("#CALCULOS!A1","◀  CALCULOS")</f>
        <v>◀  CALCULOS</v>
      </c>
      <c r="D3" s="176"/>
      <c r="E3" s="166" t="str">
        <f>HYPERLINK("#FUENTES!A1","▶  FUENTES")</f>
        <v>▶  FUENTES</v>
      </c>
      <c r="F3" s="167"/>
    </row>
    <row r="5" spans="1:6" ht="15" customHeight="1">
      <c r="A5" s="91" t="s">
        <v>211</v>
      </c>
      <c r="B5" s="92"/>
      <c r="C5" s="92"/>
      <c r="D5" s="92"/>
      <c r="E5" s="92"/>
      <c r="F5" s="93"/>
    </row>
    <row r="6" spans="1:6" ht="15" customHeight="1">
      <c r="A6" s="75" t="s">
        <v>212</v>
      </c>
      <c r="B6" s="89" t="str">
        <f>in_ID</f>
        <v>NMX-2026-0036</v>
      </c>
      <c r="C6" s="54"/>
      <c r="D6" s="54"/>
      <c r="E6" s="54"/>
      <c r="F6" s="54"/>
    </row>
    <row r="7" spans="1:6" ht="15" customHeight="1">
      <c r="A7" s="75" t="s">
        <v>15</v>
      </c>
      <c r="B7" s="90">
        <f>in_Fecha</f>
        <v>46217</v>
      </c>
      <c r="C7" s="54"/>
      <c r="D7" s="54"/>
      <c r="E7" s="54"/>
      <c r="F7" s="54"/>
    </row>
    <row r="8" spans="1:6" ht="15" customHeight="1">
      <c r="A8" s="75" t="s">
        <v>213</v>
      </c>
      <c r="B8" s="89" t="str">
        <f>in_Pac</f>
        <v>PAC-0071</v>
      </c>
      <c r="C8" s="54"/>
      <c r="D8" s="54"/>
      <c r="E8" s="54"/>
      <c r="F8" s="54"/>
    </row>
    <row r="9" spans="1:6" ht="15" customHeight="1">
      <c r="A9" s="75" t="s">
        <v>85</v>
      </c>
      <c r="B9" s="89" t="str">
        <f>in_Eval</f>
        <v>EVAL-01</v>
      </c>
      <c r="C9" s="54"/>
      <c r="D9" s="54"/>
      <c r="E9" s="54"/>
      <c r="F9" s="54"/>
    </row>
    <row r="10" spans="1:6" ht="15" customHeight="1">
      <c r="A10" s="75" t="s">
        <v>214</v>
      </c>
      <c r="B10" s="89" t="str">
        <f>in_Sexo&amp;" · "&amp;IF(ISNUMBER(in_Edad),in_Edad&amp;" años","(edad no válida)")</f>
        <v>Hombre · 34 años</v>
      </c>
      <c r="C10" s="54"/>
      <c r="D10" s="54"/>
      <c r="E10" s="54"/>
      <c r="F10" s="54"/>
    </row>
    <row r="11" spans="1:6" ht="15" customHeight="1">
      <c r="A11" s="75" t="s">
        <v>215</v>
      </c>
      <c r="B11" s="89" t="str">
        <f>IF(ISNUMBER(in_Peso),ROUND(in_Peso,1)&amp;" kg","(?)")&amp;" · "&amp;IF(ISNUMBER(in_Est),ROUND(in_Est,1)&amp;" cm","(?)")</f>
        <v>78,5 kg · 176 cm</v>
      </c>
      <c r="C11" s="54"/>
      <c r="D11" s="54"/>
      <c r="E11" s="54"/>
      <c r="F11" s="54"/>
    </row>
    <row r="12" spans="1:6" ht="15" customHeight="1">
      <c r="A12" s="75" t="s">
        <v>216</v>
      </c>
      <c r="B12" s="89" t="str">
        <f>in_Ecu</f>
        <v>7 sitios · Jackson–Pollock</v>
      </c>
      <c r="C12" s="54"/>
      <c r="D12" s="54"/>
      <c r="E12" s="54"/>
      <c r="F12" s="54"/>
    </row>
    <row r="13" spans="1:6" ht="15" customHeight="1">
      <c r="A13" s="75" t="s">
        <v>217</v>
      </c>
      <c r="B13" s="89" t="str">
        <f>IF(c_Gate="SÍ","HABILITADO","BLOQUEADO — corrija los datos imposibles")</f>
        <v>HABILITADO</v>
      </c>
      <c r="C13" s="54"/>
      <c r="D13" s="54"/>
      <c r="E13" s="54"/>
      <c r="F13" s="54"/>
    </row>
    <row r="15" spans="1:6" ht="15" customHeight="1">
      <c r="A15" s="8" t="s">
        <v>218</v>
      </c>
      <c r="B15" s="9"/>
      <c r="C15" s="9"/>
      <c r="D15" s="9"/>
      <c r="E15" s="9"/>
      <c r="F15" s="9"/>
    </row>
    <row r="16" spans="1:6" ht="15" customHeight="1">
      <c r="A16" s="124" t="s">
        <v>116</v>
      </c>
      <c r="B16" s="126">
        <f>a_k</f>
        <v>8</v>
      </c>
      <c r="C16" s="129"/>
      <c r="D16" s="130"/>
      <c r="E16" s="130"/>
      <c r="F16" s="130"/>
    </row>
    <row r="17" spans="1:6" ht="15" customHeight="1">
      <c r="A17" s="124" t="s">
        <v>122</v>
      </c>
      <c r="B17" s="131">
        <f>a_TEMabs</f>
        <v>0.8660254037844386</v>
      </c>
      <c r="C17" s="129" t="s">
        <v>123</v>
      </c>
      <c r="D17" s="130"/>
      <c r="E17" s="130"/>
      <c r="F17" s="130"/>
    </row>
    <row r="18" spans="1:6" ht="15" customHeight="1">
      <c r="A18" s="124" t="s">
        <v>219</v>
      </c>
      <c r="B18" s="127">
        <f>a_TEMrel</f>
        <v>6.0245245480656601E-2</v>
      </c>
      <c r="C18" s="129"/>
      <c r="D18" s="130"/>
      <c r="E18" s="130"/>
      <c r="F18" s="130"/>
    </row>
    <row r="19" spans="1:6" ht="15" customHeight="1">
      <c r="A19" s="132" t="s">
        <v>129</v>
      </c>
      <c r="B19" s="133" t="str">
        <f>a_TEMver</f>
        <v>Aceptable (5–7,5%)</v>
      </c>
      <c r="C19" s="129"/>
      <c r="D19" s="130"/>
      <c r="E19" s="130"/>
      <c r="F19" s="130"/>
    </row>
    <row r="20" spans="1:6" ht="15" customHeight="1">
      <c r="A20" s="132" t="s">
        <v>131</v>
      </c>
      <c r="B20" s="134">
        <f>a_Sum8</f>
        <v>115</v>
      </c>
      <c r="C20" s="129" t="s">
        <v>123</v>
      </c>
      <c r="D20" s="130"/>
      <c r="E20" s="130"/>
      <c r="F20" s="130"/>
    </row>
    <row r="22" spans="1:6" ht="15" customHeight="1">
      <c r="A22" s="110" t="s">
        <v>220</v>
      </c>
      <c r="B22" s="110"/>
      <c r="C22" s="110"/>
      <c r="D22" s="110"/>
      <c r="E22" s="110"/>
      <c r="F22" s="110"/>
    </row>
    <row r="23" spans="1:6" ht="15" customHeight="1">
      <c r="A23" s="74" t="s">
        <v>221</v>
      </c>
      <c r="B23" s="74" t="s">
        <v>222</v>
      </c>
      <c r="C23" s="74" t="s">
        <v>223</v>
      </c>
      <c r="D23" s="137" t="s">
        <v>224</v>
      </c>
      <c r="E23" s="138"/>
      <c r="F23" s="139"/>
    </row>
    <row r="24" spans="1:6" ht="15" customHeight="1">
      <c r="A24" s="124" t="s">
        <v>78</v>
      </c>
      <c r="B24" s="127">
        <f>c_GrJP7</f>
        <v>0.1626175177422482</v>
      </c>
      <c r="C24" s="82" t="str">
        <f>IF(ISNUMBER(c_GrJP7),"Sí","No")</f>
        <v>Sí</v>
      </c>
      <c r="D24" s="135" t="s">
        <v>225</v>
      </c>
      <c r="E24" s="130"/>
      <c r="F24" s="130"/>
    </row>
    <row r="25" spans="1:6" ht="15" customHeight="1">
      <c r="A25" s="124" t="s">
        <v>226</v>
      </c>
      <c r="B25" s="127">
        <f>c_GrJP3</f>
        <v>0.1553472447021676</v>
      </c>
      <c r="C25" s="82" t="str">
        <f>IF(ISNUMBER(c_GrJP3),"Sí","No")</f>
        <v>Sí</v>
      </c>
      <c r="D25" s="135" t="s">
        <v>225</v>
      </c>
      <c r="E25" s="130"/>
      <c r="F25" s="130"/>
    </row>
    <row r="26" spans="1:6" ht="15" customHeight="1">
      <c r="A26" s="124" t="s">
        <v>227</v>
      </c>
      <c r="B26" s="127">
        <f>c_GrDW</f>
        <v>0.21739388192191711</v>
      </c>
      <c r="C26" s="82" t="str">
        <f>IF(ISNUMBER(c_GrDW),"Sí","No")</f>
        <v>Sí</v>
      </c>
      <c r="D26" s="135" t="s">
        <v>228</v>
      </c>
      <c r="E26" s="130"/>
      <c r="F26" s="130"/>
    </row>
    <row r="27" spans="1:6" ht="15" customHeight="1">
      <c r="A27" s="124" t="s">
        <v>229</v>
      </c>
      <c r="B27" s="127">
        <f>c_GrFaulk</f>
        <v>0.15881000000000001</v>
      </c>
      <c r="C27" s="82" t="str">
        <f>IF(ISNUMBER(c_GrFaulk),"Sí","No")</f>
        <v>Sí</v>
      </c>
      <c r="D27" s="135" t="s">
        <v>230</v>
      </c>
      <c r="E27" s="130"/>
      <c r="F27" s="130"/>
    </row>
    <row r="28" spans="1:6" ht="15" customHeight="1">
      <c r="A28" s="132" t="s">
        <v>231</v>
      </c>
      <c r="B28" s="136">
        <f>c_GrRep</f>
        <v>0.1626175177422482</v>
      </c>
      <c r="C28" s="135" t="str">
        <f>in_Ecu</f>
        <v>7 sitios · Jackson–Pollock</v>
      </c>
      <c r="D28" s="130"/>
      <c r="E28" s="130"/>
      <c r="F28" s="130"/>
    </row>
    <row r="30" spans="1:6" ht="15" customHeight="1">
      <c r="A30" s="110" t="s">
        <v>232</v>
      </c>
      <c r="B30" s="110"/>
      <c r="C30" s="110"/>
      <c r="D30" s="110"/>
      <c r="E30" s="110"/>
      <c r="F30" s="110"/>
    </row>
    <row r="31" spans="1:6" ht="15" customHeight="1">
      <c r="A31" s="84" t="s">
        <v>179</v>
      </c>
      <c r="B31" s="95">
        <f>c_prom</f>
        <v>0.17354216109158324</v>
      </c>
      <c r="C31" s="99"/>
      <c r="D31" s="46"/>
      <c r="E31" s="46"/>
      <c r="F31" s="46"/>
    </row>
    <row r="32" spans="1:6" ht="15" customHeight="1">
      <c r="A32" s="84" t="s">
        <v>183</v>
      </c>
      <c r="B32" s="95">
        <f>c_rango</f>
        <v>6.2046637219749512E-2</v>
      </c>
      <c r="C32" s="99"/>
      <c r="D32" s="46"/>
      <c r="E32" s="46"/>
      <c r="F32" s="46"/>
    </row>
    <row r="33" spans="1:6" ht="15" customHeight="1">
      <c r="A33" s="101" t="s">
        <v>186</v>
      </c>
      <c r="B33" s="102">
        <f>c_ampl</f>
        <v>0.35753062442852546</v>
      </c>
      <c r="C33" s="103"/>
      <c r="D33" s="104"/>
      <c r="E33" s="104"/>
      <c r="F33" s="104"/>
    </row>
    <row r="34" spans="1:6" ht="27.75" customHeight="1">
      <c r="A34" s="105" t="str">
        <f>c_estado</f>
        <v>OK: las ecuaciones concuerdan dentro del umbral.</v>
      </c>
      <c r="B34" s="54"/>
      <c r="C34" s="54"/>
      <c r="D34" s="54"/>
      <c r="E34" s="54"/>
      <c r="F34" s="54"/>
    </row>
    <row r="36" spans="1:6" ht="15" customHeight="1">
      <c r="A36" s="110" t="s">
        <v>233</v>
      </c>
      <c r="B36" s="110"/>
      <c r="C36" s="110"/>
      <c r="D36" s="110"/>
      <c r="E36" s="110"/>
      <c r="F36" s="110"/>
    </row>
    <row r="37" spans="1:6" ht="15" customHeight="1">
      <c r="A37" s="124" t="s">
        <v>234</v>
      </c>
      <c r="B37" s="127">
        <f>c_GrRep</f>
        <v>0.1626175177422482</v>
      </c>
      <c r="C37" s="129"/>
      <c r="D37" s="130"/>
      <c r="E37" s="130"/>
      <c r="F37" s="130"/>
    </row>
    <row r="38" spans="1:6" ht="15" customHeight="1">
      <c r="A38" s="124" t="s">
        <v>191</v>
      </c>
      <c r="B38" s="140">
        <f>c_MG</f>
        <v>12.765475142766483</v>
      </c>
      <c r="C38" s="129" t="s">
        <v>70</v>
      </c>
      <c r="D38" s="130"/>
      <c r="E38" s="130"/>
      <c r="F38" s="130"/>
    </row>
    <row r="39" spans="1:6" ht="15" customHeight="1">
      <c r="A39" s="124" t="s">
        <v>193</v>
      </c>
      <c r="B39" s="140">
        <f>c_MLG</f>
        <v>65.734524857233509</v>
      </c>
      <c r="C39" s="129" t="s">
        <v>70</v>
      </c>
      <c r="D39" s="130"/>
      <c r="E39" s="130"/>
      <c r="F39" s="130"/>
    </row>
    <row r="40" spans="1:6" ht="15" customHeight="1">
      <c r="A40" s="124" t="s">
        <v>195</v>
      </c>
      <c r="B40" s="140">
        <f>c_IMG</f>
        <v>4.1210857253249236</v>
      </c>
      <c r="C40" s="129" t="s">
        <v>143</v>
      </c>
      <c r="D40" s="130"/>
      <c r="E40" s="130"/>
      <c r="F40" s="130"/>
    </row>
    <row r="41" spans="1:6" ht="15" customHeight="1">
      <c r="A41" s="124" t="s">
        <v>197</v>
      </c>
      <c r="B41" s="140">
        <f>c_IMLG</f>
        <v>21.221114687898215</v>
      </c>
      <c r="C41" s="129" t="s">
        <v>143</v>
      </c>
      <c r="D41" s="130"/>
      <c r="E41" s="130"/>
      <c r="F41" s="130"/>
    </row>
    <row r="42" spans="1:6" ht="15" customHeight="1">
      <c r="A42" s="124" t="s">
        <v>235</v>
      </c>
      <c r="B42" s="141" t="str">
        <f>c_ClaseGrasa</f>
        <v>En forma</v>
      </c>
      <c r="C42" s="129"/>
      <c r="D42" s="130"/>
      <c r="E42" s="130"/>
      <c r="F42" s="130"/>
    </row>
    <row r="44" spans="1:6" ht="15" customHeight="1">
      <c r="A44" s="110" t="s">
        <v>236</v>
      </c>
      <c r="B44" s="110"/>
      <c r="C44" s="110"/>
      <c r="D44" s="110"/>
      <c r="E44" s="110"/>
      <c r="F44" s="110"/>
    </row>
    <row r="45" spans="1:6" ht="15" customHeight="1">
      <c r="A45" s="107" t="s">
        <v>221</v>
      </c>
      <c r="B45" s="107" t="s">
        <v>222</v>
      </c>
    </row>
    <row r="46" spans="1:6" ht="15" customHeight="1">
      <c r="A46" s="75" t="s">
        <v>237</v>
      </c>
      <c r="B46" s="108">
        <f>IF(ISNUMBER(c_GrJP7),c_GrJP7,0)</f>
        <v>0.1626175177422482</v>
      </c>
    </row>
    <row r="47" spans="1:6" ht="15" customHeight="1">
      <c r="A47" s="75" t="s">
        <v>238</v>
      </c>
      <c r="B47" s="108">
        <f>IF(ISNUMBER(c_GrJP3),c_GrJP3,0)</f>
        <v>0.1553472447021676</v>
      </c>
    </row>
    <row r="48" spans="1:6" ht="15" customHeight="1">
      <c r="A48" s="75" t="s">
        <v>239</v>
      </c>
      <c r="B48" s="108">
        <f>IF(ISNUMBER(c_GrDW),c_GrDW,0)</f>
        <v>0.21739388192191711</v>
      </c>
    </row>
    <row r="49" spans="1:6" ht="15" customHeight="1">
      <c r="A49" s="75" t="s">
        <v>240</v>
      </c>
      <c r="B49" s="108">
        <f>IF(ISNUMBER(c_GrFaulk),c_GrFaulk,0)</f>
        <v>0.15881000000000001</v>
      </c>
    </row>
    <row r="51" spans="1:6" ht="15" customHeight="1">
      <c r="A51" s="107" t="s">
        <v>241</v>
      </c>
      <c r="B51" s="107" t="s">
        <v>70</v>
      </c>
    </row>
    <row r="52" spans="1:6" ht="15" customHeight="1">
      <c r="A52" s="75" t="s">
        <v>242</v>
      </c>
      <c r="B52" s="109">
        <f>IF(ISNUMBER(c_MG),c_MG,0)</f>
        <v>12.765475142766483</v>
      </c>
    </row>
    <row r="53" spans="1:6" ht="15" customHeight="1">
      <c r="A53" s="75" t="s">
        <v>243</v>
      </c>
      <c r="B53" s="109">
        <f>IF(ISNUMBER(c_MLG),c_MLG,0)</f>
        <v>65.734524857233509</v>
      </c>
    </row>
    <row r="55" spans="1:6" ht="15" customHeight="1">
      <c r="A55" s="110" t="s">
        <v>244</v>
      </c>
      <c r="B55" s="110"/>
      <c r="C55" s="110"/>
      <c r="D55" s="110"/>
      <c r="E55" s="110"/>
      <c r="F55" s="110"/>
    </row>
    <row r="56" spans="1:6" ht="15" customHeight="1">
      <c r="A56" s="6" t="s">
        <v>203</v>
      </c>
      <c r="B56" s="45" t="str">
        <f>CALCULOS!B49</f>
        <v>—</v>
      </c>
      <c r="C56" s="46"/>
      <c r="D56" s="46"/>
      <c r="E56" s="46"/>
      <c r="F56" s="43"/>
    </row>
    <row r="57" spans="1:6" ht="15" customHeight="1">
      <c r="A57" s="6" t="s">
        <v>204</v>
      </c>
      <c r="B57" s="45" t="str">
        <f>CALCULOS!B50</f>
        <v>—</v>
      </c>
      <c r="C57" s="46"/>
      <c r="D57" s="46"/>
      <c r="E57" s="46"/>
      <c r="F57" s="43"/>
    </row>
    <row r="58" spans="1:6" ht="15" customHeight="1">
      <c r="A58" s="6" t="s">
        <v>205</v>
      </c>
      <c r="B58" s="45" t="str">
        <f>CALCULOS!B51</f>
        <v>—</v>
      </c>
      <c r="C58" s="46"/>
      <c r="D58" s="46"/>
      <c r="E58" s="46"/>
      <c r="F58" s="43"/>
    </row>
    <row r="59" spans="1:6" ht="15" customHeight="1">
      <c r="A59" s="6" t="s">
        <v>206</v>
      </c>
      <c r="B59" s="45" t="str">
        <f>CALCULOS!B52</f>
        <v>—</v>
      </c>
      <c r="C59" s="46"/>
      <c r="D59" s="46"/>
      <c r="E59" s="46"/>
      <c r="F59" s="43"/>
    </row>
    <row r="60" spans="1:6" ht="15" customHeight="1">
      <c r="A60" s="6" t="s">
        <v>245</v>
      </c>
      <c r="B60" s="45" t="str">
        <f>CALCULOS!B53</f>
        <v>—</v>
      </c>
      <c r="C60" s="46"/>
      <c r="D60" s="46"/>
      <c r="E60" s="46"/>
      <c r="F60" s="43"/>
    </row>
    <row r="61" spans="1:6" ht="15" customHeight="1">
      <c r="A61" s="6" t="s">
        <v>246</v>
      </c>
      <c r="B61" s="45" t="str">
        <f>CALCULOS!B54</f>
        <v>—</v>
      </c>
      <c r="C61" s="46"/>
      <c r="D61" s="46"/>
      <c r="E61" s="46"/>
      <c r="F61" s="43"/>
    </row>
    <row r="62" spans="1:6" ht="15" customHeight="1">
      <c r="A62" s="6" t="s">
        <v>209</v>
      </c>
      <c r="B62" s="45" t="str">
        <f>CALCULOS!B55</f>
        <v>Exactitud matemática ≠ validación clínica. Los pliegues ESTIMAN; la referencia es DEXA o pesaje hidrostático.</v>
      </c>
      <c r="C62" s="46"/>
      <c r="D62" s="46"/>
      <c r="E62" s="46"/>
      <c r="F62" s="43"/>
    </row>
    <row r="64" spans="1:6" ht="43.5" customHeight="1">
      <c r="A64" s="47" t="s">
        <v>247</v>
      </c>
      <c r="B64" s="40"/>
      <c r="C64" s="40"/>
      <c r="D64" s="40"/>
      <c r="E64" s="40"/>
      <c r="F64" s="40"/>
    </row>
  </sheetData>
  <sheetProtection algorithmName="SHA-512" hashValue="3DkNMrkxn/GWJ3ms3CJlpG4JkU7oWjzHgMiq8Bz6DG6IdkcgRBbzkIyAAABgi21C9DXTqWeZ40UiDdFYLdtLdA==" saltValue="VicoWnI7MMXNTzqSu5b50A==" spinCount="100000" sheet="1" objects="1" scenarios="1"/>
  <mergeCells count="46">
    <mergeCell ref="A2:F2"/>
    <mergeCell ref="A5:F5"/>
    <mergeCell ref="A30:F30"/>
    <mergeCell ref="A22:F22"/>
    <mergeCell ref="A36:F36"/>
    <mergeCell ref="D23:F23"/>
    <mergeCell ref="C3:D3"/>
    <mergeCell ref="E3:F3"/>
    <mergeCell ref="A64:F64"/>
    <mergeCell ref="C40:F40"/>
    <mergeCell ref="C31:F31"/>
    <mergeCell ref="B6:F6"/>
    <mergeCell ref="A44:F44"/>
    <mergeCell ref="A55:F55"/>
    <mergeCell ref="B60:F60"/>
    <mergeCell ref="B61:F61"/>
    <mergeCell ref="C33:F33"/>
    <mergeCell ref="B8:F8"/>
    <mergeCell ref="D25:F25"/>
    <mergeCell ref="C42:F42"/>
    <mergeCell ref="B13:F13"/>
    <mergeCell ref="B57:F57"/>
    <mergeCell ref="D24:F24"/>
    <mergeCell ref="B10:F10"/>
    <mergeCell ref="C20:F20"/>
    <mergeCell ref="C16:F16"/>
    <mergeCell ref="D26:F26"/>
    <mergeCell ref="A34:F34"/>
    <mergeCell ref="C41:F41"/>
    <mergeCell ref="B9:F9"/>
    <mergeCell ref="B7:F7"/>
    <mergeCell ref="C17:F17"/>
    <mergeCell ref="D27:F27"/>
    <mergeCell ref="C39:F39"/>
    <mergeCell ref="B62:F62"/>
    <mergeCell ref="B59:F59"/>
    <mergeCell ref="C38:F38"/>
    <mergeCell ref="C32:F32"/>
    <mergeCell ref="C19:F19"/>
    <mergeCell ref="C37:F37"/>
    <mergeCell ref="B58:F58"/>
    <mergeCell ref="B56:F56"/>
    <mergeCell ref="C28:F28"/>
    <mergeCell ref="C18:F18"/>
    <mergeCell ref="B12:F12"/>
    <mergeCell ref="B11:F11"/>
  </mergeCells>
  <pageMargins left="0.75" right="0.75" top="1" bottom="1" header="0.511811023622047" footer="0.511811023622047"/>
  <pageSetup paperSize="9" orientation="portrait" horizontalDpi="300" verticalDpi="30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5A6B70"/>
  </sheetPr>
  <dimension ref="A1:K16"/>
  <sheetViews>
    <sheetView showGridLines="0" zoomScaleNormal="100" workbookViewId="0">
      <pane ySplit="5" topLeftCell="A6" activePane="bottomLeft" state="frozen"/>
      <selection pane="bottomLeft" activeCell="F4" sqref="F4"/>
    </sheetView>
  </sheetViews>
  <sheetFormatPr baseColWidth="10" defaultColWidth="8.7109375" defaultRowHeight="15"/>
  <cols>
    <col min="1" max="1" width="24" style="2" customWidth="1"/>
    <col min="2" max="2" width="30" style="2" customWidth="1"/>
    <col min="3" max="3" width="8" style="2" customWidth="1"/>
    <col min="4" max="4" width="30" style="2" customWidth="1"/>
    <col min="5" max="5" width="36" style="2" customWidth="1"/>
    <col min="6" max="6" width="12" style="2" customWidth="1"/>
    <col min="7" max="7" width="34" style="2" customWidth="1"/>
    <col min="8" max="8" width="24" style="2" customWidth="1"/>
    <col min="9" max="9" width="12" style="2" customWidth="1"/>
    <col min="10" max="10" width="30" style="2" customWidth="1"/>
    <col min="11" max="11" width="8" style="2" customWidth="1"/>
  </cols>
  <sheetData>
    <row r="1" spans="1:11" ht="25.5" customHeight="1">
      <c r="A1" s="185" t="s">
        <v>0</v>
      </c>
      <c r="B1" s="185"/>
      <c r="C1" s="185"/>
      <c r="D1" s="185"/>
      <c r="E1" s="185"/>
      <c r="F1" s="185"/>
      <c r="G1" s="185"/>
      <c r="H1" s="185"/>
      <c r="I1" s="185"/>
      <c r="J1" s="185"/>
      <c r="K1" s="185"/>
    </row>
    <row r="2" spans="1:11" ht="24.75" customHeight="1">
      <c r="A2" s="85" t="s">
        <v>248</v>
      </c>
      <c r="B2" s="86"/>
      <c r="C2" s="86"/>
      <c r="D2" s="86"/>
      <c r="E2" s="86"/>
      <c r="F2" s="86"/>
      <c r="G2" s="86"/>
      <c r="H2" s="86"/>
      <c r="I2" s="86"/>
      <c r="J2" s="86"/>
      <c r="K2" s="86"/>
    </row>
    <row r="3" spans="1:11" ht="43.5" customHeight="1">
      <c r="A3" s="42" t="s">
        <v>249</v>
      </c>
      <c r="B3" s="40"/>
      <c r="C3" s="40"/>
      <c r="D3" s="40"/>
      <c r="E3" s="40"/>
      <c r="F3" s="40"/>
      <c r="G3" s="40"/>
      <c r="H3" s="40"/>
      <c r="I3" s="40"/>
      <c r="J3" s="40"/>
      <c r="K3" s="40"/>
    </row>
    <row r="4" spans="1:11" ht="21" customHeight="1">
      <c r="A4" s="165" t="str">
        <f>HYPERLINK("#INICIO!A1","◀ INICIO")</f>
        <v>◀ INICIO</v>
      </c>
      <c r="B4" s="170" t="str">
        <f>HYPERLINK("#DATOS!A1","◀ DATOS")</f>
        <v>◀ DATOS</v>
      </c>
      <c r="C4" s="171" t="str">
        <f>HYPERLINK("#CALCULOS!A1","◀  CALCULOS")</f>
        <v>◀  CALCULOS</v>
      </c>
      <c r="D4" s="172"/>
      <c r="E4" s="173"/>
    </row>
    <row r="5" spans="1:11" ht="15" customHeight="1">
      <c r="A5" s="16" t="s">
        <v>250</v>
      </c>
      <c r="B5" s="16" t="s">
        <v>251</v>
      </c>
      <c r="C5" s="16" t="s">
        <v>252</v>
      </c>
      <c r="D5" s="16" t="s">
        <v>253</v>
      </c>
      <c r="E5" s="16" t="s">
        <v>254</v>
      </c>
      <c r="F5" s="16" t="s">
        <v>255</v>
      </c>
      <c r="G5" s="16" t="s">
        <v>256</v>
      </c>
      <c r="H5" s="16" t="s">
        <v>257</v>
      </c>
      <c r="I5" s="16" t="s">
        <v>258</v>
      </c>
      <c r="J5" s="16" t="s">
        <v>259</v>
      </c>
      <c r="K5" s="16" t="s">
        <v>260</v>
      </c>
    </row>
    <row r="6" spans="1:11" ht="55.5" customHeight="1">
      <c r="A6" s="17" t="s">
        <v>261</v>
      </c>
      <c r="B6" s="17" t="s">
        <v>262</v>
      </c>
      <c r="C6" s="17" t="s">
        <v>263</v>
      </c>
      <c r="D6" s="17" t="s">
        <v>264</v>
      </c>
      <c r="E6" s="17" t="s">
        <v>265</v>
      </c>
      <c r="F6" s="17" t="s">
        <v>266</v>
      </c>
      <c r="G6" s="17" t="s">
        <v>267</v>
      </c>
      <c r="H6" s="17" t="s">
        <v>268</v>
      </c>
      <c r="I6" s="17" t="s">
        <v>269</v>
      </c>
      <c r="J6" s="17" t="s">
        <v>270</v>
      </c>
      <c r="K6" s="18" t="s">
        <v>271</v>
      </c>
    </row>
    <row r="7" spans="1:11" ht="55.5" customHeight="1">
      <c r="A7" s="17" t="s">
        <v>272</v>
      </c>
      <c r="B7" s="17" t="s">
        <v>273</v>
      </c>
      <c r="C7" s="17" t="s">
        <v>274</v>
      </c>
      <c r="D7" s="17" t="s">
        <v>275</v>
      </c>
      <c r="E7" s="17" t="s">
        <v>276</v>
      </c>
      <c r="F7" s="17" t="s">
        <v>266</v>
      </c>
      <c r="G7" s="17" t="s">
        <v>277</v>
      </c>
      <c r="H7" s="17" t="s">
        <v>278</v>
      </c>
      <c r="I7" s="17" t="s">
        <v>269</v>
      </c>
      <c r="J7" s="17" t="s">
        <v>270</v>
      </c>
      <c r="K7" s="18" t="s">
        <v>271</v>
      </c>
    </row>
    <row r="8" spans="1:11" ht="55.5" customHeight="1">
      <c r="A8" s="17" t="s">
        <v>279</v>
      </c>
      <c r="B8" s="17" t="s">
        <v>262</v>
      </c>
      <c r="C8" s="17" t="s">
        <v>263</v>
      </c>
      <c r="D8" s="17" t="s">
        <v>280</v>
      </c>
      <c r="E8" s="17" t="s">
        <v>281</v>
      </c>
      <c r="F8" s="17" t="s">
        <v>266</v>
      </c>
      <c r="G8" s="17" t="s">
        <v>282</v>
      </c>
      <c r="H8" s="17" t="s">
        <v>268</v>
      </c>
      <c r="I8" s="17" t="s">
        <v>269</v>
      </c>
      <c r="J8" s="17" t="s">
        <v>270</v>
      </c>
      <c r="K8" s="18" t="s">
        <v>271</v>
      </c>
    </row>
    <row r="9" spans="1:11" ht="55.5" customHeight="1">
      <c r="A9" s="17" t="s">
        <v>283</v>
      </c>
      <c r="B9" s="17" t="s">
        <v>284</v>
      </c>
      <c r="C9" s="17" t="s">
        <v>285</v>
      </c>
      <c r="D9" s="17" t="s">
        <v>286</v>
      </c>
      <c r="E9" s="17" t="s">
        <v>287</v>
      </c>
      <c r="F9" s="17" t="s">
        <v>288</v>
      </c>
      <c r="G9" s="17" t="s">
        <v>289</v>
      </c>
      <c r="H9" s="17" t="s">
        <v>290</v>
      </c>
      <c r="I9" s="17" t="s">
        <v>269</v>
      </c>
      <c r="J9" s="17" t="s">
        <v>270</v>
      </c>
      <c r="K9" s="18" t="s">
        <v>271</v>
      </c>
    </row>
    <row r="10" spans="1:11" ht="55.5" customHeight="1">
      <c r="A10" s="17" t="s">
        <v>291</v>
      </c>
      <c r="B10" s="17" t="s">
        <v>292</v>
      </c>
      <c r="C10" s="17" t="s">
        <v>293</v>
      </c>
      <c r="D10" s="17" t="s">
        <v>294</v>
      </c>
      <c r="E10" s="17" t="s">
        <v>295</v>
      </c>
      <c r="F10" s="17" t="s">
        <v>296</v>
      </c>
      <c r="G10" s="17" t="s">
        <v>297</v>
      </c>
      <c r="H10" s="17" t="s">
        <v>298</v>
      </c>
      <c r="I10" s="17" t="s">
        <v>269</v>
      </c>
      <c r="J10" s="17" t="s">
        <v>299</v>
      </c>
      <c r="K10" s="18" t="s">
        <v>300</v>
      </c>
    </row>
    <row r="11" spans="1:11" ht="55.5" customHeight="1">
      <c r="A11" s="17" t="s">
        <v>301</v>
      </c>
      <c r="B11" s="17" t="s">
        <v>302</v>
      </c>
      <c r="C11" s="17" t="s">
        <v>303</v>
      </c>
      <c r="D11" s="17" t="s">
        <v>304</v>
      </c>
      <c r="E11" s="17" t="s">
        <v>305</v>
      </c>
      <c r="F11" s="17" t="s">
        <v>306</v>
      </c>
      <c r="G11" s="17" t="s">
        <v>307</v>
      </c>
      <c r="H11" s="17" t="s">
        <v>308</v>
      </c>
      <c r="I11" s="17" t="s">
        <v>269</v>
      </c>
      <c r="J11" s="17" t="s">
        <v>309</v>
      </c>
      <c r="K11" s="18" t="s">
        <v>271</v>
      </c>
    </row>
    <row r="12" spans="1:11" ht="55.5" customHeight="1">
      <c r="A12" s="17" t="s">
        <v>310</v>
      </c>
      <c r="B12" s="17" t="s">
        <v>311</v>
      </c>
      <c r="C12" s="17" t="s">
        <v>312</v>
      </c>
      <c r="D12" s="17" t="s">
        <v>313</v>
      </c>
      <c r="E12" s="17" t="s">
        <v>314</v>
      </c>
      <c r="F12" s="17" t="s">
        <v>306</v>
      </c>
      <c r="G12" s="17" t="s">
        <v>315</v>
      </c>
      <c r="H12" s="17" t="s">
        <v>316</v>
      </c>
      <c r="I12" s="17" t="s">
        <v>269</v>
      </c>
      <c r="J12" s="17" t="s">
        <v>317</v>
      </c>
      <c r="K12" s="18" t="s">
        <v>271</v>
      </c>
    </row>
    <row r="13" spans="1:11" ht="55.5" customHeight="1">
      <c r="A13" s="17" t="s">
        <v>318</v>
      </c>
      <c r="B13" s="17" t="s">
        <v>319</v>
      </c>
      <c r="C13" s="17" t="s">
        <v>320</v>
      </c>
      <c r="D13" s="17" t="s">
        <v>321</v>
      </c>
      <c r="E13" s="17" t="s">
        <v>322</v>
      </c>
      <c r="F13" s="17" t="s">
        <v>323</v>
      </c>
      <c r="G13" s="17" t="s">
        <v>324</v>
      </c>
      <c r="H13" s="17" t="s">
        <v>325</v>
      </c>
      <c r="I13" s="17" t="s">
        <v>269</v>
      </c>
      <c r="J13" s="17" t="s">
        <v>326</v>
      </c>
      <c r="K13" s="18" t="s">
        <v>327</v>
      </c>
    </row>
    <row r="14" spans="1:11" ht="55.5" customHeight="1">
      <c r="A14" s="17" t="s">
        <v>328</v>
      </c>
      <c r="B14" s="17" t="s">
        <v>329</v>
      </c>
      <c r="C14" s="17" t="s">
        <v>330</v>
      </c>
      <c r="D14" s="17" t="s">
        <v>331</v>
      </c>
      <c r="E14" s="17" t="s">
        <v>332</v>
      </c>
      <c r="F14" s="17" t="s">
        <v>161</v>
      </c>
      <c r="G14" s="17" t="s">
        <v>333</v>
      </c>
      <c r="H14" s="17" t="s">
        <v>334</v>
      </c>
      <c r="I14" s="17" t="s">
        <v>269</v>
      </c>
      <c r="J14" s="17" t="s">
        <v>335</v>
      </c>
      <c r="K14" s="18" t="s">
        <v>300</v>
      </c>
    </row>
    <row r="16" spans="1:11" ht="33.75" customHeight="1">
      <c r="A16" s="42" t="s">
        <v>336</v>
      </c>
      <c r="B16" s="40"/>
      <c r="C16" s="40"/>
      <c r="D16" s="40"/>
      <c r="E16" s="40"/>
      <c r="F16" s="40"/>
      <c r="G16" s="40"/>
      <c r="H16" s="40"/>
      <c r="I16" s="40"/>
      <c r="J16" s="40"/>
      <c r="K16" s="40"/>
    </row>
  </sheetData>
  <sheetProtection algorithmName="SHA-512" hashValue="zfWg2ayio8d0hNewdiyiLAq7cLT3s6YNNzEpHNp5rt9+Q7jl1EgYdJg1aUwQRS9pe1MbAFTsLs0Rhmh/cd/N4Q==" saltValue="vJTiCAroztnxtfNQqznSPQ==" spinCount="100000" sheet="1" objects="1" scenarios="1"/>
  <mergeCells count="5">
    <mergeCell ref="A1:K1"/>
    <mergeCell ref="A16:K16"/>
    <mergeCell ref="A3:K3"/>
    <mergeCell ref="A2:K2"/>
    <mergeCell ref="C4:E4"/>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5A6B70"/>
  </sheetPr>
  <dimension ref="A1:M76"/>
  <sheetViews>
    <sheetView showGridLines="0" zoomScaleNormal="100" workbookViewId="0">
      <pane ySplit="5" topLeftCell="A57" activePane="bottomLeft" state="frozen"/>
      <selection pane="bottomLeft" activeCell="C78" sqref="C78"/>
    </sheetView>
  </sheetViews>
  <sheetFormatPr baseColWidth="10" defaultColWidth="8.7109375" defaultRowHeight="15"/>
  <cols>
    <col min="1" max="1" width="6" style="2" customWidth="1"/>
    <col min="2" max="2" width="38" style="2" customWidth="1"/>
    <col min="3" max="3" width="9" style="2" customWidth="1"/>
    <col min="4" max="4" width="29.7109375" style="2" customWidth="1"/>
    <col min="5" max="5" width="27.7109375" style="2" customWidth="1"/>
    <col min="6" max="7" width="9" style="2" customWidth="1"/>
    <col min="8" max="9" width="12" style="2" customWidth="1"/>
    <col min="10" max="10" width="10" style="2" customWidth="1"/>
    <col min="11" max="12" width="11" style="2" customWidth="1"/>
    <col min="13" max="13" width="10" style="2" customWidth="1"/>
  </cols>
  <sheetData>
    <row r="1" spans="1:13" ht="25.5" customHeight="1">
      <c r="A1" s="3" t="s">
        <v>0</v>
      </c>
      <c r="B1" s="19"/>
      <c r="C1" s="19"/>
      <c r="D1" s="19"/>
      <c r="E1" s="19"/>
      <c r="F1" s="19"/>
      <c r="G1" s="19"/>
      <c r="H1" s="19"/>
      <c r="I1" s="19"/>
      <c r="J1" s="19"/>
      <c r="K1" s="19"/>
      <c r="L1" s="19"/>
      <c r="M1" s="19"/>
    </row>
    <row r="2" spans="1:13" ht="20.25" customHeight="1">
      <c r="A2" s="85" t="s">
        <v>337</v>
      </c>
      <c r="B2" s="86"/>
      <c r="C2" s="86"/>
      <c r="D2" s="86"/>
      <c r="E2" s="86"/>
      <c r="F2" s="86"/>
      <c r="G2" s="86"/>
      <c r="H2" s="86"/>
      <c r="I2" s="86"/>
      <c r="J2" s="86"/>
      <c r="K2" s="86"/>
      <c r="L2" s="86"/>
      <c r="M2" s="86"/>
    </row>
    <row r="3" spans="1:13" ht="33.75" customHeight="1">
      <c r="A3" s="42" t="s">
        <v>338</v>
      </c>
      <c r="B3" s="40"/>
      <c r="C3" s="40"/>
      <c r="D3" s="40"/>
      <c r="E3" s="40"/>
      <c r="F3" s="40"/>
      <c r="G3" s="40"/>
      <c r="H3" s="40"/>
      <c r="I3" s="40"/>
      <c r="J3" s="40"/>
      <c r="K3" s="40"/>
      <c r="L3" s="40"/>
      <c r="M3" s="40"/>
    </row>
    <row r="4" spans="1:13" ht="21.75" customHeight="1">
      <c r="A4" s="186" t="str">
        <f>HYPERLINK("#INICIO!A1","◀ INICIO")</f>
        <v>◀ INICIO</v>
      </c>
      <c r="B4" s="187"/>
      <c r="C4" s="187"/>
      <c r="D4" s="187"/>
      <c r="M4"/>
    </row>
    <row r="6" spans="1:13" ht="15" customHeight="1">
      <c r="A6" s="111" t="s">
        <v>339</v>
      </c>
      <c r="B6" s="111"/>
      <c r="C6" s="111"/>
      <c r="D6" s="111"/>
      <c r="E6" s="111"/>
      <c r="F6" s="111"/>
      <c r="G6" s="111"/>
      <c r="H6" s="111"/>
      <c r="I6" s="111"/>
      <c r="J6" s="111"/>
      <c r="K6" s="111"/>
      <c r="L6" s="111"/>
      <c r="M6" s="111"/>
    </row>
    <row r="7" spans="1:13" ht="15" customHeight="1">
      <c r="A7" s="20" t="s">
        <v>340</v>
      </c>
      <c r="B7" s="20" t="s">
        <v>341</v>
      </c>
      <c r="C7" s="20" t="s">
        <v>342</v>
      </c>
      <c r="D7" s="20" t="s">
        <v>343</v>
      </c>
      <c r="E7" s="20" t="s">
        <v>65</v>
      </c>
      <c r="F7" s="20" t="s">
        <v>344</v>
      </c>
      <c r="G7" s="20" t="s">
        <v>345</v>
      </c>
      <c r="H7" s="20" t="s">
        <v>346</v>
      </c>
      <c r="I7" s="142" t="s">
        <v>347</v>
      </c>
      <c r="J7" s="143"/>
      <c r="K7" s="143"/>
      <c r="L7" s="143"/>
      <c r="M7" s="144"/>
    </row>
    <row r="8" spans="1:13" ht="15" customHeight="1">
      <c r="A8" s="13" t="s">
        <v>348</v>
      </c>
      <c r="B8" s="21" t="s">
        <v>349</v>
      </c>
      <c r="C8" s="22" t="s">
        <v>62</v>
      </c>
      <c r="D8" s="13">
        <v>108</v>
      </c>
      <c r="E8" s="13">
        <v>34</v>
      </c>
      <c r="F8" s="23">
        <f t="shared" ref="F8:F13" si="0">IF(C8="Hombre",(495/(1.112-0.00043499*D8+0.00000055*D8^2-0.00028826*E8)-450)/100,(495/(1.097-0.00046971*D8+0.00000056*D8^2-0.00012828*E8)-450)/100)</f>
        <v>0.1626175177422482</v>
      </c>
      <c r="G8" s="24">
        <v>0.16261800000000001</v>
      </c>
      <c r="H8" s="25">
        <f t="shared" ref="H8:H13" si="1">F8-G8</f>
        <v>-4.8225775181598429E-7</v>
      </c>
      <c r="I8" s="145" t="str">
        <f t="shared" ref="I8:I13" si="2">IF(ABS(H8)&lt;=TOL_FRAC,"APROBADO","FALLIDO")</f>
        <v>APROBADO</v>
      </c>
      <c r="J8" s="146"/>
      <c r="K8" s="146"/>
      <c r="L8" s="146"/>
      <c r="M8" s="147"/>
    </row>
    <row r="9" spans="1:13" ht="15" customHeight="1">
      <c r="A9" s="13" t="s">
        <v>350</v>
      </c>
      <c r="B9" s="21" t="s">
        <v>351</v>
      </c>
      <c r="C9" s="22" t="s">
        <v>352</v>
      </c>
      <c r="D9" s="13">
        <v>120</v>
      </c>
      <c r="E9" s="13">
        <v>30</v>
      </c>
      <c r="F9" s="23">
        <f t="shared" si="0"/>
        <v>0.23752031869825543</v>
      </c>
      <c r="G9" s="24">
        <v>0.23752000000000001</v>
      </c>
      <c r="H9" s="25">
        <f t="shared" si="1"/>
        <v>3.1869825542485408E-7</v>
      </c>
      <c r="I9" s="145" t="str">
        <f t="shared" si="2"/>
        <v>APROBADO</v>
      </c>
      <c r="J9" s="146"/>
      <c r="K9" s="146"/>
      <c r="L9" s="146"/>
      <c r="M9" s="147"/>
    </row>
    <row r="10" spans="1:13" ht="15" customHeight="1">
      <c r="A10" s="13" t="s">
        <v>353</v>
      </c>
      <c r="B10" s="21" t="s">
        <v>354</v>
      </c>
      <c r="C10" s="22" t="s">
        <v>62</v>
      </c>
      <c r="D10" s="13">
        <v>80</v>
      </c>
      <c r="E10" s="13">
        <v>25</v>
      </c>
      <c r="F10" s="23">
        <f t="shared" si="0"/>
        <v>0.11102381216533275</v>
      </c>
      <c r="G10" s="24">
        <v>0.111024</v>
      </c>
      <c r="H10" s="25">
        <f t="shared" si="1"/>
        <v>-1.8783466725069697E-7</v>
      </c>
      <c r="I10" s="145" t="str">
        <f t="shared" si="2"/>
        <v>APROBADO</v>
      </c>
      <c r="J10" s="146"/>
      <c r="K10" s="146"/>
      <c r="L10" s="146"/>
      <c r="M10" s="147"/>
    </row>
    <row r="11" spans="1:13" ht="15" customHeight="1">
      <c r="A11" s="13" t="s">
        <v>355</v>
      </c>
      <c r="B11" s="21" t="s">
        <v>356</v>
      </c>
      <c r="C11" s="22" t="s">
        <v>352</v>
      </c>
      <c r="D11" s="13">
        <v>150</v>
      </c>
      <c r="E11" s="13">
        <v>45</v>
      </c>
      <c r="F11" s="23">
        <f t="shared" si="0"/>
        <v>0.29014843557139103</v>
      </c>
      <c r="G11" s="24">
        <v>0.29014800000000002</v>
      </c>
      <c r="H11" s="25">
        <f t="shared" si="1"/>
        <v>4.355713910109138E-7</v>
      </c>
      <c r="I11" s="145" t="str">
        <f t="shared" si="2"/>
        <v>APROBADO</v>
      </c>
      <c r="J11" s="146"/>
      <c r="K11" s="146"/>
      <c r="L11" s="146"/>
      <c r="M11" s="147"/>
    </row>
    <row r="12" spans="1:13" ht="15" customHeight="1">
      <c r="A12" s="13" t="s">
        <v>357</v>
      </c>
      <c r="B12" s="21" t="s">
        <v>358</v>
      </c>
      <c r="C12" s="22" t="s">
        <v>62</v>
      </c>
      <c r="D12" s="13">
        <v>200</v>
      </c>
      <c r="E12" s="13">
        <v>55</v>
      </c>
      <c r="F12" s="23">
        <f t="shared" si="0"/>
        <v>0.30047620723975738</v>
      </c>
      <c r="G12" s="24">
        <v>0.30047600000000002</v>
      </c>
      <c r="H12" s="25">
        <f t="shared" si="1"/>
        <v>2.0723975735492672E-7</v>
      </c>
      <c r="I12" s="145" t="str">
        <f t="shared" si="2"/>
        <v>APROBADO</v>
      </c>
      <c r="J12" s="146"/>
      <c r="K12" s="146"/>
      <c r="L12" s="146"/>
      <c r="M12" s="147"/>
    </row>
    <row r="13" spans="1:13" ht="15" customHeight="1">
      <c r="A13" s="13" t="s">
        <v>359</v>
      </c>
      <c r="B13" s="21" t="s">
        <v>360</v>
      </c>
      <c r="C13" s="22" t="s">
        <v>352</v>
      </c>
      <c r="D13" s="13">
        <v>90</v>
      </c>
      <c r="E13" s="13">
        <v>22</v>
      </c>
      <c r="F13" s="23">
        <f t="shared" si="0"/>
        <v>0.18554795457657577</v>
      </c>
      <c r="G13" s="24">
        <v>0.18554799999999999</v>
      </c>
      <c r="H13" s="25">
        <f t="shared" si="1"/>
        <v>-4.5423424216428643E-8</v>
      </c>
      <c r="I13" s="145" t="str">
        <f t="shared" si="2"/>
        <v>APROBADO</v>
      </c>
      <c r="J13" s="146"/>
      <c r="K13" s="146"/>
      <c r="L13" s="146"/>
      <c r="M13" s="147"/>
    </row>
    <row r="15" spans="1:13" ht="15" customHeight="1">
      <c r="A15" s="111" t="s">
        <v>361</v>
      </c>
      <c r="B15" s="111"/>
      <c r="C15" s="111"/>
      <c r="D15" s="111"/>
      <c r="E15" s="111"/>
      <c r="F15" s="111"/>
      <c r="G15" s="111"/>
      <c r="H15" s="111"/>
      <c r="I15" s="111"/>
      <c r="J15" s="111"/>
      <c r="K15" s="111"/>
      <c r="L15" s="111"/>
      <c r="M15" s="111"/>
    </row>
    <row r="16" spans="1:13" ht="15" customHeight="1">
      <c r="A16" s="20" t="s">
        <v>340</v>
      </c>
      <c r="B16" s="20" t="s">
        <v>341</v>
      </c>
      <c r="C16" s="20" t="s">
        <v>342</v>
      </c>
      <c r="D16" s="20" t="s">
        <v>362</v>
      </c>
      <c r="E16" s="20" t="s">
        <v>65</v>
      </c>
      <c r="F16" s="20" t="s">
        <v>344</v>
      </c>
      <c r="G16" s="20" t="s">
        <v>345</v>
      </c>
      <c r="H16" s="20" t="s">
        <v>346</v>
      </c>
      <c r="I16" s="142" t="s">
        <v>347</v>
      </c>
      <c r="J16" s="143"/>
      <c r="K16" s="143"/>
      <c r="L16" s="143"/>
      <c r="M16" s="144"/>
    </row>
    <row r="17" spans="1:13" ht="15" customHeight="1">
      <c r="A17" s="13" t="s">
        <v>363</v>
      </c>
      <c r="B17" s="21" t="s">
        <v>364</v>
      </c>
      <c r="C17" s="22" t="s">
        <v>62</v>
      </c>
      <c r="D17" s="13">
        <v>50</v>
      </c>
      <c r="E17" s="13">
        <v>34</v>
      </c>
      <c r="F17" s="23">
        <f t="shared" ref="F17:F22" si="3">IF(C17="Hombre",(495/(1.10938-0.0008267*D17+0.0000016*D17^2-0.0002574*E17)-450)/100,(495/(1.0994921-0.0009929*D17+0.0000023*D17^2-0.0001392*E17)-450)/100)</f>
        <v>0.1553472447021676</v>
      </c>
      <c r="G17" s="24">
        <v>0.15534700000000001</v>
      </c>
      <c r="H17" s="25">
        <f t="shared" ref="H17:H22" si="4">F17-G17</f>
        <v>2.4470216758443186E-7</v>
      </c>
      <c r="I17" s="145" t="str">
        <f t="shared" ref="I17:I22" si="5">IF(ABS(H17)&lt;=TOL_FRAC,"APROBADO","FALLIDO")</f>
        <v>APROBADO</v>
      </c>
      <c r="J17" s="146"/>
      <c r="K17" s="146"/>
      <c r="L17" s="146"/>
      <c r="M17" s="147"/>
    </row>
    <row r="18" spans="1:13" ht="15" customHeight="1">
      <c r="A18" s="13" t="s">
        <v>365</v>
      </c>
      <c r="B18" s="21" t="s">
        <v>366</v>
      </c>
      <c r="C18" s="22" t="s">
        <v>352</v>
      </c>
      <c r="D18" s="13">
        <v>60</v>
      </c>
      <c r="E18" s="13">
        <v>30</v>
      </c>
      <c r="F18" s="23">
        <f t="shared" si="3"/>
        <v>0.24127894419093196</v>
      </c>
      <c r="G18" s="24">
        <v>0.24127899999999999</v>
      </c>
      <c r="H18" s="25">
        <f t="shared" si="4"/>
        <v>-5.5809068033596532E-8</v>
      </c>
      <c r="I18" s="145" t="str">
        <f t="shared" si="5"/>
        <v>APROBADO</v>
      </c>
      <c r="J18" s="146"/>
      <c r="K18" s="146"/>
      <c r="L18" s="146"/>
      <c r="M18" s="147"/>
    </row>
    <row r="19" spans="1:13" ht="15" customHeight="1">
      <c r="A19" s="13" t="s">
        <v>367</v>
      </c>
      <c r="B19" s="21" t="s">
        <v>368</v>
      </c>
      <c r="C19" s="22" t="s">
        <v>62</v>
      </c>
      <c r="D19" s="13">
        <v>35</v>
      </c>
      <c r="E19" s="13">
        <v>25</v>
      </c>
      <c r="F19" s="23">
        <f t="shared" si="3"/>
        <v>0.10049787610348063</v>
      </c>
      <c r="G19" s="24">
        <v>0.100498</v>
      </c>
      <c r="H19" s="25">
        <f t="shared" si="4"/>
        <v>-1.2389651937727564E-7</v>
      </c>
      <c r="I19" s="145" t="str">
        <f t="shared" si="5"/>
        <v>APROBADO</v>
      </c>
      <c r="J19" s="146"/>
      <c r="K19" s="146"/>
      <c r="L19" s="146"/>
      <c r="M19" s="147"/>
    </row>
    <row r="20" spans="1:13" ht="15" customHeight="1">
      <c r="A20" s="13" t="s">
        <v>369</v>
      </c>
      <c r="B20" s="21" t="s">
        <v>370</v>
      </c>
      <c r="C20" s="22" t="s">
        <v>352</v>
      </c>
      <c r="D20" s="13">
        <v>80</v>
      </c>
      <c r="E20" s="13">
        <v>45</v>
      </c>
      <c r="F20" s="23">
        <f t="shared" si="3"/>
        <v>0.31275888632175963</v>
      </c>
      <c r="G20" s="24">
        <v>0.31275900000000001</v>
      </c>
      <c r="H20" s="25">
        <f t="shared" si="4"/>
        <v>-1.1367824037655794E-7</v>
      </c>
      <c r="I20" s="145" t="str">
        <f t="shared" si="5"/>
        <v>APROBADO</v>
      </c>
      <c r="J20" s="146"/>
      <c r="K20" s="146"/>
      <c r="L20" s="146"/>
      <c r="M20" s="147"/>
    </row>
    <row r="21" spans="1:13" ht="15" customHeight="1">
      <c r="A21" s="13" t="s">
        <v>371</v>
      </c>
      <c r="B21" s="21" t="s">
        <v>372</v>
      </c>
      <c r="C21" s="22" t="s">
        <v>62</v>
      </c>
      <c r="D21" s="13">
        <v>90</v>
      </c>
      <c r="E21" s="13">
        <v>55</v>
      </c>
      <c r="F21" s="23">
        <f t="shared" si="3"/>
        <v>0.28825281974888184</v>
      </c>
      <c r="G21" s="24">
        <v>0.28825299999999998</v>
      </c>
      <c r="H21" s="25">
        <f t="shared" si="4"/>
        <v>-1.8025111814257144E-7</v>
      </c>
      <c r="I21" s="145" t="str">
        <f t="shared" si="5"/>
        <v>APROBADO</v>
      </c>
      <c r="J21" s="146"/>
      <c r="K21" s="146"/>
      <c r="L21" s="146"/>
      <c r="M21" s="147"/>
    </row>
    <row r="22" spans="1:13" ht="15" customHeight="1">
      <c r="A22" s="13" t="s">
        <v>373</v>
      </c>
      <c r="B22" s="21" t="s">
        <v>374</v>
      </c>
      <c r="C22" s="22" t="s">
        <v>352</v>
      </c>
      <c r="D22" s="13">
        <v>45</v>
      </c>
      <c r="E22" s="13">
        <v>22</v>
      </c>
      <c r="F22" s="23">
        <f t="shared" si="3"/>
        <v>0.18569538606674826</v>
      </c>
      <c r="G22" s="24">
        <v>0.185695</v>
      </c>
      <c r="H22" s="25">
        <f t="shared" si="4"/>
        <v>3.8606674826469067E-7</v>
      </c>
      <c r="I22" s="145" t="str">
        <f t="shared" si="5"/>
        <v>APROBADO</v>
      </c>
      <c r="J22" s="146"/>
      <c r="K22" s="146"/>
      <c r="L22" s="146"/>
      <c r="M22" s="147"/>
    </row>
    <row r="24" spans="1:13" ht="15" customHeight="1">
      <c r="A24" s="111" t="s">
        <v>375</v>
      </c>
      <c r="B24" s="111"/>
      <c r="C24" s="111"/>
      <c r="D24" s="111"/>
      <c r="E24" s="111"/>
      <c r="F24" s="111"/>
      <c r="G24" s="111"/>
      <c r="H24" s="111"/>
      <c r="I24" s="111"/>
      <c r="J24" s="111"/>
      <c r="K24" s="111"/>
      <c r="L24" s="111"/>
      <c r="M24" s="111"/>
    </row>
    <row r="25" spans="1:13" ht="15" customHeight="1">
      <c r="A25" s="20" t="s">
        <v>340</v>
      </c>
      <c r="B25" s="20" t="s">
        <v>341</v>
      </c>
      <c r="C25" s="20" t="s">
        <v>376</v>
      </c>
      <c r="D25" s="20" t="s">
        <v>377</v>
      </c>
      <c r="E25" s="20" t="s">
        <v>378</v>
      </c>
      <c r="F25" s="20" t="s">
        <v>379</v>
      </c>
      <c r="G25" s="20" t="s">
        <v>344</v>
      </c>
      <c r="H25" s="20" t="s">
        <v>345</v>
      </c>
      <c r="I25" s="20" t="s">
        <v>346</v>
      </c>
      <c r="J25" s="142" t="s">
        <v>347</v>
      </c>
      <c r="K25" s="143"/>
      <c r="L25" s="143"/>
      <c r="M25" s="143"/>
    </row>
    <row r="26" spans="1:13" ht="15" customHeight="1">
      <c r="A26" s="13" t="s">
        <v>380</v>
      </c>
      <c r="B26" s="21" t="s">
        <v>381</v>
      </c>
      <c r="C26" s="22" t="s">
        <v>382</v>
      </c>
      <c r="D26" s="27">
        <v>1.1422000000000001</v>
      </c>
      <c r="E26" s="27">
        <v>5.4399999999999997E-2</v>
      </c>
      <c r="F26" s="13">
        <v>51</v>
      </c>
      <c r="G26" s="23">
        <f>(495/(D26-E26*LOG10(F26))-450)/100</f>
        <v>0.21739388192191711</v>
      </c>
      <c r="H26" s="24">
        <v>0.217394</v>
      </c>
      <c r="I26" s="25">
        <f t="shared" ref="I26:I31" si="6">G26-H26</f>
        <v>-1.1807808289465704E-7</v>
      </c>
      <c r="J26" s="145" t="str">
        <f t="shared" ref="J26:J31" si="7">IF(ABS(I26)&lt;=TOL_FRAC,"APROBADO","FALLIDO")</f>
        <v>APROBADO</v>
      </c>
      <c r="K26" s="146"/>
      <c r="L26" s="146"/>
      <c r="M26" s="146"/>
    </row>
    <row r="27" spans="1:13" ht="15" customHeight="1">
      <c r="A27" s="13" t="s">
        <v>383</v>
      </c>
      <c r="B27" s="21" t="s">
        <v>384</v>
      </c>
      <c r="C27" s="22" t="s">
        <v>382</v>
      </c>
      <c r="D27" s="27">
        <v>1.1598999999999999</v>
      </c>
      <c r="E27" s="27">
        <v>7.17E-2</v>
      </c>
      <c r="F27" s="13">
        <v>60</v>
      </c>
      <c r="G27" s="23">
        <f>(495/(D27-E27*LOG10(F27))-450)/100</f>
        <v>0.29462279114830325</v>
      </c>
      <c r="H27" s="24">
        <v>0.29462300000000002</v>
      </c>
      <c r="I27" s="25">
        <f t="shared" si="6"/>
        <v>-2.0885169677020698E-7</v>
      </c>
      <c r="J27" s="145" t="str">
        <f t="shared" si="7"/>
        <v>APROBADO</v>
      </c>
      <c r="K27" s="146"/>
      <c r="L27" s="146"/>
      <c r="M27" s="146"/>
    </row>
    <row r="28" spans="1:13" ht="15" customHeight="1">
      <c r="A28" s="13" t="s">
        <v>385</v>
      </c>
      <c r="B28" s="21" t="s">
        <v>386</v>
      </c>
      <c r="C28" s="22" t="s">
        <v>382</v>
      </c>
      <c r="D28" s="27">
        <v>1.1619999999999999</v>
      </c>
      <c r="E28" s="27">
        <v>7.0000000000000007E-2</v>
      </c>
      <c r="F28" s="13">
        <v>45</v>
      </c>
      <c r="G28" s="23">
        <f>(495/(D28-E28*LOG10(F28))-450)/100</f>
        <v>0.23106918656987888</v>
      </c>
      <c r="H28" s="24">
        <v>0.231069</v>
      </c>
      <c r="I28" s="25">
        <f t="shared" si="6"/>
        <v>1.8656987887943899E-7</v>
      </c>
      <c r="J28" s="145" t="str">
        <f t="shared" si="7"/>
        <v>APROBADO</v>
      </c>
      <c r="K28" s="146"/>
      <c r="L28" s="146"/>
      <c r="M28" s="146"/>
    </row>
    <row r="29" spans="1:13" ht="15" customHeight="1">
      <c r="A29" s="13" t="s">
        <v>387</v>
      </c>
      <c r="B29" s="21" t="s">
        <v>240</v>
      </c>
      <c r="C29" s="22" t="s">
        <v>388</v>
      </c>
      <c r="D29" s="27">
        <v>0.153</v>
      </c>
      <c r="E29" s="27">
        <v>5.7830000000000004</v>
      </c>
      <c r="F29" s="13">
        <v>66</v>
      </c>
      <c r="G29" s="23">
        <f>(D29*F29+E29)/100</f>
        <v>0.15881000000000001</v>
      </c>
      <c r="H29" s="24">
        <v>0.15881000000000001</v>
      </c>
      <c r="I29" s="25">
        <f t="shared" si="6"/>
        <v>0</v>
      </c>
      <c r="J29" s="145" t="str">
        <f t="shared" si="7"/>
        <v>APROBADO</v>
      </c>
      <c r="K29" s="146"/>
      <c r="L29" s="146"/>
      <c r="M29" s="146"/>
    </row>
    <row r="30" spans="1:13" ht="15" customHeight="1">
      <c r="A30" s="13" t="s">
        <v>389</v>
      </c>
      <c r="B30" s="21" t="s">
        <v>240</v>
      </c>
      <c r="C30" s="22" t="s">
        <v>388</v>
      </c>
      <c r="D30" s="27">
        <v>0.153</v>
      </c>
      <c r="E30" s="27">
        <v>5.7830000000000004</v>
      </c>
      <c r="F30" s="13">
        <v>40</v>
      </c>
      <c r="G30" s="23">
        <f>(D30*F30+E30)/100</f>
        <v>0.11903000000000001</v>
      </c>
      <c r="H30" s="24">
        <v>0.11903</v>
      </c>
      <c r="I30" s="25">
        <f t="shared" si="6"/>
        <v>0</v>
      </c>
      <c r="J30" s="145" t="str">
        <f t="shared" si="7"/>
        <v>APROBADO</v>
      </c>
      <c r="K30" s="146"/>
      <c r="L30" s="146"/>
      <c r="M30" s="146"/>
    </row>
    <row r="31" spans="1:13" ht="15" customHeight="1">
      <c r="A31" s="13" t="s">
        <v>390</v>
      </c>
      <c r="B31" s="21" t="s">
        <v>240</v>
      </c>
      <c r="C31" s="22" t="s">
        <v>388</v>
      </c>
      <c r="D31" s="27">
        <v>0.153</v>
      </c>
      <c r="E31" s="27">
        <v>5.7830000000000004</v>
      </c>
      <c r="F31" s="13">
        <v>100</v>
      </c>
      <c r="G31" s="23">
        <f>(D31*F31+E31)/100</f>
        <v>0.21082999999999999</v>
      </c>
      <c r="H31" s="24">
        <v>0.21082999999999999</v>
      </c>
      <c r="I31" s="25">
        <f t="shared" si="6"/>
        <v>0</v>
      </c>
      <c r="J31" s="145" t="str">
        <f t="shared" si="7"/>
        <v>APROBADO</v>
      </c>
      <c r="K31" s="146"/>
      <c r="L31" s="146"/>
      <c r="M31" s="146"/>
    </row>
    <row r="33" spans="1:13" ht="15" customHeight="1">
      <c r="A33" s="111" t="s">
        <v>391</v>
      </c>
      <c r="B33" s="111"/>
      <c r="C33" s="111"/>
      <c r="D33" s="111"/>
      <c r="E33" s="111"/>
      <c r="F33" s="111"/>
      <c r="G33" s="111"/>
      <c r="H33" s="111"/>
      <c r="I33" s="111"/>
      <c r="J33" s="111"/>
      <c r="K33" s="111"/>
      <c r="L33" s="111"/>
      <c r="M33" s="111"/>
    </row>
    <row r="34" spans="1:13" ht="21.75" customHeight="1">
      <c r="A34" s="20" t="s">
        <v>340</v>
      </c>
      <c r="B34" s="20" t="s">
        <v>341</v>
      </c>
      <c r="C34" s="20" t="s">
        <v>392</v>
      </c>
      <c r="D34" s="20" t="s">
        <v>393</v>
      </c>
      <c r="E34" s="20" t="s">
        <v>96</v>
      </c>
      <c r="F34" s="20" t="s">
        <v>394</v>
      </c>
      <c r="G34" s="20" t="s">
        <v>395</v>
      </c>
      <c r="H34" s="20" t="s">
        <v>396</v>
      </c>
      <c r="I34" s="20" t="s">
        <v>397</v>
      </c>
      <c r="J34" s="20" t="s">
        <v>398</v>
      </c>
      <c r="K34" s="142" t="s">
        <v>399</v>
      </c>
      <c r="L34" s="143"/>
      <c r="M34" s="143"/>
    </row>
    <row r="35" spans="1:13" ht="15" customHeight="1">
      <c r="A35" s="13" t="s">
        <v>400</v>
      </c>
      <c r="B35" s="21" t="s">
        <v>401</v>
      </c>
      <c r="C35" s="13">
        <v>12</v>
      </c>
      <c r="D35" s="13">
        <v>8</v>
      </c>
      <c r="E35" s="28">
        <v>14.375</v>
      </c>
      <c r="F35" s="11">
        <f>SQRT(C35/(2*D35))</f>
        <v>0.8660254037844386</v>
      </c>
      <c r="G35" s="27">
        <v>0.86602500000000004</v>
      </c>
      <c r="H35" s="26" t="str">
        <f>IF(ABS(F35-G35)&lt;=TOL_MM,"APROBADO","FALLIDO")</f>
        <v>APROBADO</v>
      </c>
      <c r="I35" s="23">
        <f>F35/E35</f>
        <v>6.0245245480656601E-2</v>
      </c>
      <c r="J35" s="24">
        <v>6.0245E-2</v>
      </c>
      <c r="K35" s="145" t="str">
        <f>IF(ABS(I35-J35)&lt;=TOL_FRAC,"APROBADO","FALLIDO")</f>
        <v>APROBADO</v>
      </c>
      <c r="L35" s="146"/>
      <c r="M35" s="146"/>
    </row>
    <row r="36" spans="1:13" ht="15" customHeight="1">
      <c r="A36" s="13" t="s">
        <v>402</v>
      </c>
      <c r="B36" s="21" t="s">
        <v>403</v>
      </c>
      <c r="C36" s="13">
        <v>0</v>
      </c>
      <c r="D36" s="13">
        <v>6</v>
      </c>
      <c r="E36" s="28">
        <v>15</v>
      </c>
      <c r="F36" s="11">
        <f>SQRT(C36/(2*D36))</f>
        <v>0</v>
      </c>
      <c r="G36" s="27">
        <v>0</v>
      </c>
      <c r="H36" s="26" t="str">
        <f>IF(ABS(F36-G36)&lt;=TOL_MM,"APROBADO","FALLIDO")</f>
        <v>APROBADO</v>
      </c>
      <c r="I36" s="23">
        <f>F36/E36</f>
        <v>0</v>
      </c>
      <c r="J36" s="24">
        <v>0</v>
      </c>
      <c r="K36" s="145" t="str">
        <f>IF(ABS(I36-J36)&lt;=TOL_FRAC,"APROBADO","FALLIDO")</f>
        <v>APROBADO</v>
      </c>
      <c r="L36" s="146"/>
      <c r="M36" s="146"/>
    </row>
    <row r="37" spans="1:13" ht="15" customHeight="1">
      <c r="A37" s="13" t="s">
        <v>404</v>
      </c>
      <c r="B37" s="21" t="s">
        <v>405</v>
      </c>
      <c r="C37" s="13">
        <v>50</v>
      </c>
      <c r="D37" s="13">
        <v>8</v>
      </c>
      <c r="E37" s="28">
        <v>16</v>
      </c>
      <c r="F37" s="11">
        <f>SQRT(C37/(2*D37))</f>
        <v>1.7677669529663689</v>
      </c>
      <c r="G37" s="27">
        <v>1.7677670000000001</v>
      </c>
      <c r="H37" s="26" t="str">
        <f>IF(ABS(F37-G37)&lt;=TOL_MM,"APROBADO","FALLIDO")</f>
        <v>APROBADO</v>
      </c>
      <c r="I37" s="23">
        <f>F37/E37</f>
        <v>0.11048543456039805</v>
      </c>
      <c r="J37" s="24">
        <v>0.110485</v>
      </c>
      <c r="K37" s="145" t="str">
        <f>IF(ABS(I37-J37)&lt;=TOL_FRAC,"APROBADO","FALLIDO")</f>
        <v>APROBADO</v>
      </c>
      <c r="L37" s="146"/>
      <c r="M37" s="146"/>
    </row>
    <row r="39" spans="1:13" ht="15" customHeight="1">
      <c r="A39" s="111" t="s">
        <v>406</v>
      </c>
      <c r="B39" s="111"/>
      <c r="C39" s="111"/>
      <c r="D39" s="111"/>
      <c r="E39" s="111"/>
      <c r="F39" s="111"/>
      <c r="G39" s="111"/>
      <c r="H39" s="111"/>
      <c r="I39" s="111"/>
      <c r="J39" s="111"/>
      <c r="K39" s="111"/>
      <c r="L39" s="111"/>
      <c r="M39" s="111"/>
    </row>
    <row r="40" spans="1:13" ht="15" customHeight="1">
      <c r="A40" s="20" t="s">
        <v>340</v>
      </c>
      <c r="B40" s="20" t="s">
        <v>407</v>
      </c>
      <c r="C40" s="20" t="s">
        <v>69</v>
      </c>
      <c r="D40" s="20" t="s">
        <v>408</v>
      </c>
      <c r="E40" s="20" t="s">
        <v>409</v>
      </c>
      <c r="F40" s="20" t="s">
        <v>410</v>
      </c>
      <c r="G40" s="20" t="s">
        <v>411</v>
      </c>
      <c r="H40" s="20" t="s">
        <v>412</v>
      </c>
      <c r="I40" s="20" t="s">
        <v>413</v>
      </c>
      <c r="J40" s="20" t="s">
        <v>414</v>
      </c>
      <c r="K40" s="142"/>
      <c r="L40" s="143"/>
      <c r="M40" s="143"/>
    </row>
    <row r="41" spans="1:13" ht="15" customHeight="1">
      <c r="A41" s="13" t="s">
        <v>415</v>
      </c>
      <c r="B41" s="29">
        <v>0.16261999999999999</v>
      </c>
      <c r="C41" s="13">
        <v>78.5</v>
      </c>
      <c r="D41" s="30">
        <v>1.76</v>
      </c>
      <c r="E41" s="7">
        <f>B41*C41</f>
        <v>12.765669999999998</v>
      </c>
      <c r="F41" s="30">
        <v>12.765700000000001</v>
      </c>
      <c r="G41" s="26" t="str">
        <f>IF(ABS(E41-F41)&lt;=TOL_KG,"APROBADO","FALLIDO")</f>
        <v>APROBADO</v>
      </c>
      <c r="H41" s="7">
        <f>(C41-B41*C41)/D41^2</f>
        <v>21.221051782024794</v>
      </c>
      <c r="I41" s="30">
        <v>21.2211</v>
      </c>
      <c r="J41" s="26" t="str">
        <f>IF(ABS(H41-I41)&lt;=TOL_KG,"APROBADO","FALLIDO")</f>
        <v>APROBADO</v>
      </c>
      <c r="K41" s="145"/>
      <c r="L41" s="146"/>
      <c r="M41" s="146"/>
    </row>
    <row r="42" spans="1:13" ht="15" customHeight="1">
      <c r="A42" s="13" t="s">
        <v>416</v>
      </c>
      <c r="B42" s="29">
        <v>0.3</v>
      </c>
      <c r="C42" s="13">
        <v>60</v>
      </c>
      <c r="D42" s="30">
        <v>1.6</v>
      </c>
      <c r="E42" s="7">
        <f>B42*C42</f>
        <v>18</v>
      </c>
      <c r="F42" s="30">
        <v>18</v>
      </c>
      <c r="G42" s="26" t="str">
        <f>IF(ABS(E42-F42)&lt;=TOL_KG,"APROBADO","FALLIDO")</f>
        <v>APROBADO</v>
      </c>
      <c r="H42" s="7">
        <f>(C42-B42*C42)/D42^2</f>
        <v>16.406249999999996</v>
      </c>
      <c r="I42" s="30">
        <v>16.406199999999998</v>
      </c>
      <c r="J42" s="26" t="str">
        <f>IF(ABS(H42-I42)&lt;=TOL_KG,"APROBADO","FALLIDO")</f>
        <v>APROBADO</v>
      </c>
      <c r="K42" s="145"/>
      <c r="L42" s="146"/>
      <c r="M42" s="146"/>
    </row>
    <row r="43" spans="1:13" ht="15" customHeight="1">
      <c r="A43" s="13" t="s">
        <v>417</v>
      </c>
      <c r="B43" s="29">
        <v>0.12</v>
      </c>
      <c r="C43" s="13">
        <v>90</v>
      </c>
      <c r="D43" s="30">
        <v>1.85</v>
      </c>
      <c r="E43" s="7">
        <f>B43*C43</f>
        <v>10.799999999999999</v>
      </c>
      <c r="F43" s="30">
        <v>10.8</v>
      </c>
      <c r="G43" s="26" t="str">
        <f>IF(ABS(E43-F43)&lt;=TOL_KG,"APROBADO","FALLIDO")</f>
        <v>APROBADO</v>
      </c>
      <c r="H43" s="7">
        <f>(C43-B43*C43)/D43^2</f>
        <v>23.140978816654492</v>
      </c>
      <c r="I43" s="30">
        <v>23.140999999999998</v>
      </c>
      <c r="J43" s="26" t="str">
        <f>IF(ABS(H43-I43)&lt;=TOL_KG,"APROBADO","FALLIDO")</f>
        <v>APROBADO</v>
      </c>
      <c r="K43" s="145"/>
      <c r="L43" s="146"/>
      <c r="M43" s="146"/>
    </row>
    <row r="45" spans="1:13" ht="15" customHeight="1">
      <c r="A45" s="111" t="s">
        <v>418</v>
      </c>
      <c r="B45" s="111"/>
      <c r="C45" s="111"/>
      <c r="D45" s="111"/>
      <c r="E45" s="111"/>
      <c r="F45" s="111"/>
      <c r="G45" s="111"/>
      <c r="H45" s="111"/>
      <c r="I45" s="111"/>
      <c r="J45" s="111"/>
      <c r="K45" s="111"/>
      <c r="L45" s="111"/>
      <c r="M45" s="111"/>
    </row>
    <row r="46" spans="1:13" ht="32.25" customHeight="1">
      <c r="A46" s="191" t="s">
        <v>340</v>
      </c>
      <c r="B46" s="191" t="s">
        <v>419</v>
      </c>
      <c r="C46" s="191" t="s">
        <v>420</v>
      </c>
      <c r="D46" s="191" t="s">
        <v>421</v>
      </c>
      <c r="E46" s="191" t="s">
        <v>422</v>
      </c>
      <c r="F46" s="192" t="s">
        <v>347</v>
      </c>
      <c r="G46" s="193"/>
      <c r="H46" s="193"/>
      <c r="I46" s="193"/>
      <c r="J46" s="193"/>
      <c r="K46" s="193"/>
      <c r="L46" s="193"/>
      <c r="M46" s="193"/>
    </row>
    <row r="47" spans="1:13" ht="30.75" customHeight="1">
      <c r="A47" s="97" t="s">
        <v>423</v>
      </c>
      <c r="B47" s="194" t="s">
        <v>424</v>
      </c>
      <c r="C47" s="195" t="s">
        <v>425</v>
      </c>
      <c r="D47" s="196" t="s">
        <v>426</v>
      </c>
      <c r="E47" s="197" t="str">
        <f>IF(NOT(ISNUMBER(15)),"ERROR: edad no numérica",IF(AND(15&gt;=18,15&lt;=120),"OK","ERROR: edad fuera del alcance adulto"))</f>
        <v>ERROR: edad fuera del alcance adulto</v>
      </c>
      <c r="F47" s="198" t="str">
        <f t="shared" ref="F47:F56" si="8">IF(E47=D47,"APROBADO","FALLIDO")</f>
        <v>APROBADO</v>
      </c>
      <c r="G47" s="198"/>
      <c r="H47" s="198"/>
      <c r="I47" s="198"/>
      <c r="J47" s="198"/>
      <c r="K47" s="198"/>
      <c r="L47" s="198"/>
      <c r="M47" s="198"/>
    </row>
    <row r="48" spans="1:13" ht="27" customHeight="1">
      <c r="A48" s="97" t="s">
        <v>427</v>
      </c>
      <c r="B48" s="194" t="s">
        <v>428</v>
      </c>
      <c r="C48" s="195" t="s">
        <v>429</v>
      </c>
      <c r="D48" s="196" t="s">
        <v>430</v>
      </c>
      <c r="E48" s="197" t="str">
        <f>IF(NOT(ISNUMBER("quince")),"ERROR: edad no numérica",IF(AND("quince"&gt;=18,"quince"&lt;=120),"OK","ERROR: edad fuera del alcance adulto"))</f>
        <v>ERROR: edad no numérica</v>
      </c>
      <c r="F48" s="198" t="str">
        <f t="shared" si="8"/>
        <v>APROBADO</v>
      </c>
      <c r="G48" s="198"/>
      <c r="H48" s="198"/>
      <c r="I48" s="198"/>
      <c r="J48" s="198"/>
      <c r="K48" s="198"/>
      <c r="L48" s="198"/>
      <c r="M48" s="198"/>
    </row>
    <row r="49" spans="1:13" ht="15" customHeight="1">
      <c r="A49" s="97" t="s">
        <v>431</v>
      </c>
      <c r="B49" s="194" t="s">
        <v>432</v>
      </c>
      <c r="C49" s="195" t="s">
        <v>433</v>
      </c>
      <c r="D49" s="196" t="s">
        <v>434</v>
      </c>
      <c r="E49" s="197" t="str">
        <f>IF(NOT(ISNUMBER(-5)),"ERROR: peso no numérico",IF(AND(-5&gt;=25,-5&lt;=350),"OK","ERROR: peso fuera de rango"))</f>
        <v>ERROR: peso fuera de rango</v>
      </c>
      <c r="F49" s="198" t="str">
        <f t="shared" si="8"/>
        <v>APROBADO</v>
      </c>
      <c r="G49" s="198"/>
      <c r="H49" s="198"/>
      <c r="I49" s="198"/>
      <c r="J49" s="198"/>
      <c r="K49" s="198"/>
      <c r="L49" s="198"/>
      <c r="M49" s="198"/>
    </row>
    <row r="50" spans="1:13" ht="15" customHeight="1">
      <c r="A50" s="97" t="s">
        <v>435</v>
      </c>
      <c r="B50" s="194" t="s">
        <v>436</v>
      </c>
      <c r="C50" s="195" t="s">
        <v>437</v>
      </c>
      <c r="D50" s="196" t="s">
        <v>438</v>
      </c>
      <c r="E50" s="197" t="str">
        <f>IF(NOT(ISNUMBER(400)),"ERROR: estatura no numérico",IF(AND(400&gt;=120,400&lt;=230),"OK","ERROR: estatura fuera de rango"))</f>
        <v>ERROR: estatura fuera de rango</v>
      </c>
      <c r="F50" s="198" t="str">
        <f t="shared" si="8"/>
        <v>APROBADO</v>
      </c>
      <c r="G50" s="198"/>
      <c r="H50" s="198"/>
      <c r="I50" s="198"/>
      <c r="J50" s="198"/>
      <c r="K50" s="198"/>
      <c r="L50" s="198"/>
      <c r="M50" s="198"/>
    </row>
    <row r="51" spans="1:13" ht="15" customHeight="1">
      <c r="A51" s="97" t="s">
        <v>439</v>
      </c>
      <c r="B51" s="194" t="s">
        <v>440</v>
      </c>
      <c r="C51" s="195" t="s">
        <v>441</v>
      </c>
      <c r="D51" s="196" t="s">
        <v>442</v>
      </c>
      <c r="E51" s="197" t="str">
        <f>IF(AND(ISNUMBER(0),0&gt;=1,0&lt;=80),"OK","ERROR: pliegue fuera de rango")</f>
        <v>ERROR: pliegue fuera de rango</v>
      </c>
      <c r="F51" s="198" t="str">
        <f t="shared" si="8"/>
        <v>APROBADO</v>
      </c>
      <c r="G51" s="198"/>
      <c r="H51" s="198"/>
      <c r="I51" s="198"/>
      <c r="J51" s="198"/>
      <c r="K51" s="198"/>
      <c r="L51" s="198"/>
      <c r="M51" s="198"/>
    </row>
    <row r="52" spans="1:13" ht="29.25" customHeight="1">
      <c r="A52" s="97" t="s">
        <v>443</v>
      </c>
      <c r="B52" s="194" t="s">
        <v>444</v>
      </c>
      <c r="C52" s="195" t="s">
        <v>445</v>
      </c>
      <c r="D52" s="196" t="s">
        <v>442</v>
      </c>
      <c r="E52" s="197" t="str">
        <f>IF(AND(ISNUMBER(95),95&gt;=1,95&lt;=80),"OK","ERROR: pliegue fuera de rango")</f>
        <v>ERROR: pliegue fuera de rango</v>
      </c>
      <c r="F52" s="198" t="str">
        <f t="shared" si="8"/>
        <v>APROBADO</v>
      </c>
      <c r="G52" s="198"/>
      <c r="H52" s="198"/>
      <c r="I52" s="198"/>
      <c r="J52" s="198"/>
      <c r="K52" s="198"/>
      <c r="L52" s="198"/>
      <c r="M52" s="198"/>
    </row>
    <row r="53" spans="1:13" ht="30" customHeight="1">
      <c r="A53" s="97" t="s">
        <v>446</v>
      </c>
      <c r="B53" s="194" t="s">
        <v>447</v>
      </c>
      <c r="C53" s="195" t="s">
        <v>448</v>
      </c>
      <c r="D53" s="196" t="s">
        <v>449</v>
      </c>
      <c r="E53" s="197" t="str">
        <f>IF(AND(ISNUMBER(0.9),0.9&gt;=0.03,0.9&lt;=0.75),"OK","ERROR: % de grasa fuera del rango plausible")</f>
        <v>ERROR: % de grasa fuera del rango plausible</v>
      </c>
      <c r="F53" s="198" t="str">
        <f t="shared" si="8"/>
        <v>APROBADO</v>
      </c>
      <c r="G53" s="198"/>
      <c r="H53" s="198"/>
      <c r="I53" s="198"/>
      <c r="J53" s="198"/>
      <c r="K53" s="198"/>
      <c r="L53" s="198"/>
      <c r="M53" s="198"/>
    </row>
    <row r="54" spans="1:13" ht="15" customHeight="1">
      <c r="A54" s="97" t="s">
        <v>450</v>
      </c>
      <c r="B54" s="194" t="s">
        <v>451</v>
      </c>
      <c r="C54" s="195" t="s">
        <v>452</v>
      </c>
      <c r="D54" s="196" t="s">
        <v>453</v>
      </c>
      <c r="E54" s="197" t="str">
        <f>IF(0.04&lt;=0.05,"OK (≤5%)",IF(0.04&lt;=0.075,"Aceptable (5–7,5%)","Revisar técnica (&gt;7,5%)"))</f>
        <v>OK (≤5%)</v>
      </c>
      <c r="F54" s="198" t="str">
        <f t="shared" si="8"/>
        <v>APROBADO</v>
      </c>
      <c r="G54" s="198"/>
      <c r="H54" s="198"/>
      <c r="I54" s="198"/>
      <c r="J54" s="198"/>
      <c r="K54" s="198"/>
      <c r="L54" s="198"/>
      <c r="M54" s="198"/>
    </row>
    <row r="55" spans="1:13" ht="15" customHeight="1">
      <c r="A55" s="97" t="s">
        <v>454</v>
      </c>
      <c r="B55" s="194" t="s">
        <v>455</v>
      </c>
      <c r="C55" s="195" t="s">
        <v>456</v>
      </c>
      <c r="D55" s="196" t="s">
        <v>457</v>
      </c>
      <c r="E55" s="197" t="str">
        <f>IF(0.06&lt;=0.05,"OK (≤5%)",IF(0.06&lt;=0.075,"Aceptable (5–7,5%)","Revisar técnica (&gt;7,5%)"))</f>
        <v>Aceptable (5–7,5%)</v>
      </c>
      <c r="F55" s="198" t="str">
        <f t="shared" si="8"/>
        <v>APROBADO</v>
      </c>
      <c r="G55" s="198"/>
      <c r="H55" s="198"/>
      <c r="I55" s="198"/>
      <c r="J55" s="198"/>
      <c r="K55" s="198"/>
      <c r="L55" s="198"/>
      <c r="M55" s="198"/>
    </row>
    <row r="56" spans="1:13" ht="15" customHeight="1">
      <c r="A56" s="97" t="s">
        <v>458</v>
      </c>
      <c r="B56" s="194" t="s">
        <v>459</v>
      </c>
      <c r="C56" s="195" t="s">
        <v>460</v>
      </c>
      <c r="D56" s="196" t="s">
        <v>461</v>
      </c>
      <c r="E56" s="197" t="str">
        <f>IF(0.09&lt;=0.05,"OK (≤5%)",IF(0.09&lt;=0.075,"Aceptable (5–7,5%)","Revisar técnica (&gt;7,5%)"))</f>
        <v>Revisar técnica (&gt;7,5%)</v>
      </c>
      <c r="F56" s="198" t="str">
        <f t="shared" si="8"/>
        <v>APROBADO</v>
      </c>
      <c r="G56" s="198"/>
      <c r="H56" s="198"/>
      <c r="I56" s="198"/>
      <c r="J56" s="198"/>
      <c r="K56" s="198"/>
      <c r="L56" s="198"/>
      <c r="M56" s="198"/>
    </row>
    <row r="58" spans="1:13" ht="15" customHeight="1">
      <c r="A58" s="111" t="s">
        <v>462</v>
      </c>
      <c r="B58" s="111"/>
      <c r="C58" s="111"/>
      <c r="D58" s="111"/>
      <c r="E58" s="111"/>
      <c r="F58" s="111"/>
      <c r="G58" s="111"/>
      <c r="H58" s="111"/>
      <c r="I58" s="111"/>
      <c r="J58" s="111"/>
      <c r="K58" s="111"/>
      <c r="L58" s="111"/>
      <c r="M58" s="111"/>
    </row>
    <row r="59" spans="1:13" ht="15" customHeight="1">
      <c r="A59" s="20" t="s">
        <v>340</v>
      </c>
      <c r="B59" s="20" t="s">
        <v>463</v>
      </c>
      <c r="C59" s="20" t="s">
        <v>464</v>
      </c>
      <c r="D59" s="20" t="s">
        <v>345</v>
      </c>
      <c r="E59" s="142" t="s">
        <v>347</v>
      </c>
      <c r="F59" s="143"/>
      <c r="G59" s="143"/>
      <c r="H59" s="143"/>
      <c r="I59" s="144"/>
      <c r="J59" s="142"/>
      <c r="K59" s="143"/>
      <c r="L59" s="143"/>
      <c r="M59" s="143"/>
    </row>
    <row r="60" spans="1:13" ht="15" customHeight="1">
      <c r="A60" s="13" t="s">
        <v>465</v>
      </c>
      <c r="B60" s="21" t="s">
        <v>466</v>
      </c>
      <c r="C60" s="12">
        <f>SUMPRODUCT(--ISERROR(CALCULOS!B7:B55))</f>
        <v>0</v>
      </c>
      <c r="D60" s="13">
        <v>0</v>
      </c>
      <c r="E60" s="145" t="str">
        <f>IF(C60=D60,"APROBADO","FALLIDO")</f>
        <v>APROBADO</v>
      </c>
      <c r="F60" s="146"/>
      <c r="G60" s="146"/>
      <c r="H60" s="146"/>
      <c r="I60" s="147"/>
      <c r="J60" s="145"/>
      <c r="K60" s="146"/>
      <c r="L60" s="146"/>
      <c r="M60" s="146"/>
    </row>
    <row r="61" spans="1:13" ht="15" customHeight="1">
      <c r="A61" s="13" t="s">
        <v>467</v>
      </c>
      <c r="B61" s="21" t="s">
        <v>468</v>
      </c>
      <c r="C61" s="12">
        <f>SUMPRODUCT(--ISERROR(PLIEGUES!E7:F14))</f>
        <v>0</v>
      </c>
      <c r="D61" s="13">
        <v>0</v>
      </c>
      <c r="E61" s="145" t="str">
        <f>IF(C61=D61,"APROBADO","FALLIDO")</f>
        <v>APROBADO</v>
      </c>
      <c r="F61" s="146"/>
      <c r="G61" s="146"/>
      <c r="H61" s="146"/>
      <c r="I61" s="147"/>
      <c r="J61" s="145"/>
      <c r="K61" s="146"/>
      <c r="L61" s="146"/>
      <c r="M61" s="146"/>
    </row>
    <row r="62" spans="1:13" ht="15" customHeight="1">
      <c r="A62" s="13" t="s">
        <v>469</v>
      </c>
      <c r="B62" s="21" t="s">
        <v>470</v>
      </c>
      <c r="C62" s="12">
        <f>SUMPRODUCT(--ISERROR(RESULTADOS!B6:F60))</f>
        <v>0</v>
      </c>
      <c r="D62" s="13">
        <v>0</v>
      </c>
      <c r="E62" s="145" t="str">
        <f>IF(C62=D62,"APROBADO","FALLIDO")</f>
        <v>APROBADO</v>
      </c>
      <c r="F62" s="146"/>
      <c r="G62" s="146"/>
      <c r="H62" s="146"/>
      <c r="I62" s="147"/>
      <c r="J62" s="145"/>
      <c r="K62" s="146"/>
      <c r="L62" s="146"/>
      <c r="M62" s="146"/>
    </row>
    <row r="64" spans="1:13" ht="15" customHeight="1">
      <c r="A64" s="111" t="s">
        <v>471</v>
      </c>
      <c r="B64" s="111"/>
      <c r="C64" s="111"/>
      <c r="D64" s="111"/>
      <c r="E64" s="111"/>
      <c r="F64" s="111"/>
      <c r="G64" s="111"/>
      <c r="H64" s="111"/>
      <c r="I64" s="111"/>
      <c r="J64" s="111"/>
      <c r="K64" s="111"/>
      <c r="L64" s="111"/>
      <c r="M64" s="111"/>
    </row>
    <row r="65" spans="1:13" ht="21.75" customHeight="1">
      <c r="A65" s="20" t="s">
        <v>340</v>
      </c>
      <c r="B65" s="20" t="s">
        <v>472</v>
      </c>
      <c r="C65" s="20" t="s">
        <v>473</v>
      </c>
      <c r="D65" s="20" t="s">
        <v>474</v>
      </c>
      <c r="E65" s="20" t="s">
        <v>346</v>
      </c>
      <c r="F65" s="142" t="s">
        <v>347</v>
      </c>
      <c r="G65" s="143"/>
      <c r="H65" s="143"/>
      <c r="I65" s="143"/>
      <c r="J65" s="143"/>
      <c r="K65" s="143"/>
      <c r="L65" s="143"/>
      <c r="M65" s="144"/>
    </row>
    <row r="66" spans="1:13" ht="15" customHeight="1">
      <c r="A66" s="13" t="s">
        <v>475</v>
      </c>
      <c r="B66" s="21" t="s">
        <v>476</v>
      </c>
      <c r="C66" s="23">
        <f>c_GrJP7</f>
        <v>0.1626175177422482</v>
      </c>
      <c r="D66" s="23">
        <f>(495/(1.112-0.00043499*(p_Pect+p_Axil+p_Tri+p_Sub+p_Abd+p_Supra+p_Muslo)+0.00000055*(p_Pect+p_Axil+p_Tri+p_Sub+p_Abd+p_Supra+p_Muslo)^2-0.00028826*in_Edad)-450)/100</f>
        <v>0.1626175177422482</v>
      </c>
      <c r="E66" s="10">
        <f>C66-D66</f>
        <v>0</v>
      </c>
      <c r="F66" s="145" t="str">
        <f>IF(ABS(E66)&lt;=TOL_FRAC,"APROBADO","FALLIDO")</f>
        <v>APROBADO</v>
      </c>
      <c r="G66" s="146"/>
      <c r="H66" s="146"/>
      <c r="I66" s="146"/>
      <c r="J66" s="146"/>
      <c r="K66" s="146"/>
      <c r="L66" s="146"/>
      <c r="M66" s="147"/>
    </row>
    <row r="67" spans="1:13" ht="15" customHeight="1">
      <c r="A67" s="13" t="s">
        <v>477</v>
      </c>
      <c r="B67" s="21" t="s">
        <v>478</v>
      </c>
      <c r="C67" s="23">
        <f>c_GrFaulk</f>
        <v>0.15881000000000001</v>
      </c>
      <c r="D67" s="23">
        <f>(0.153*(p_Tri+p_Sub+p_Supra+p_Abd)+5.783)/100</f>
        <v>0.15881000000000001</v>
      </c>
      <c r="E67" s="10">
        <f>C67-D67</f>
        <v>0</v>
      </c>
      <c r="F67" s="145" t="str">
        <f>IF(ABS(E67)&lt;=TOL_FRAC,"APROBADO","FALLIDO")</f>
        <v>APROBADO</v>
      </c>
      <c r="G67" s="146"/>
      <c r="H67" s="146"/>
      <c r="I67" s="146"/>
      <c r="J67" s="146"/>
      <c r="K67" s="146"/>
      <c r="L67" s="146"/>
      <c r="M67" s="147"/>
    </row>
    <row r="68" spans="1:13" ht="15" customHeight="1">
      <c r="A68" s="13" t="s">
        <v>479</v>
      </c>
      <c r="B68" s="21" t="s">
        <v>219</v>
      </c>
      <c r="C68" s="23">
        <f>a_TEMrel</f>
        <v>6.0245245480656601E-2</v>
      </c>
      <c r="D68" s="23">
        <f>a_TEMabs/a_MediaG</f>
        <v>6.0245245480656601E-2</v>
      </c>
      <c r="E68" s="10">
        <f>C68-D68</f>
        <v>0</v>
      </c>
      <c r="F68" s="145" t="str">
        <f>IF(ABS(E68)&lt;=TOL_FRAC,"APROBADO","FALLIDO")</f>
        <v>APROBADO</v>
      </c>
      <c r="G68" s="146"/>
      <c r="H68" s="146"/>
      <c r="I68" s="146"/>
      <c r="J68" s="146"/>
      <c r="K68" s="146"/>
      <c r="L68" s="146"/>
      <c r="M68" s="147"/>
    </row>
    <row r="69" spans="1:13" ht="15" customHeight="1">
      <c r="A69" s="13" t="s">
        <v>480</v>
      </c>
      <c r="B69" s="21" t="s">
        <v>481</v>
      </c>
      <c r="C69" s="7">
        <f>c_MG</f>
        <v>12.765475142766483</v>
      </c>
      <c r="D69" s="7">
        <f>c_GrRep*in_Peso</f>
        <v>12.765475142766483</v>
      </c>
      <c r="E69" s="10">
        <f>C69-D69</f>
        <v>0</v>
      </c>
      <c r="F69" s="145" t="str">
        <f>IF(ABS(E69)&lt;=TOL_KG,"APROBADO","FALLIDO")</f>
        <v>APROBADO</v>
      </c>
      <c r="G69" s="146"/>
      <c r="H69" s="146"/>
      <c r="I69" s="146"/>
      <c r="J69" s="146"/>
      <c r="K69" s="146"/>
      <c r="L69" s="146"/>
      <c r="M69" s="147"/>
    </row>
    <row r="72" spans="1:13" ht="15" customHeight="1">
      <c r="A72" s="199" t="s">
        <v>482</v>
      </c>
      <c r="B72" s="199"/>
      <c r="C72" s="199"/>
      <c r="D72" s="111"/>
      <c r="E72" s="111"/>
      <c r="F72" s="111"/>
      <c r="G72" s="111"/>
      <c r="H72" s="111"/>
      <c r="I72" s="111"/>
      <c r="J72" s="111"/>
      <c r="K72" s="111"/>
      <c r="L72" s="111"/>
      <c r="M72" s="111"/>
    </row>
    <row r="73" spans="1:13" ht="15" customHeight="1">
      <c r="A73" s="114" t="s">
        <v>483</v>
      </c>
      <c r="B73" s="114"/>
      <c r="C73" s="202">
        <v>47</v>
      </c>
    </row>
    <row r="74" spans="1:13" ht="15" customHeight="1">
      <c r="A74" s="114" t="s">
        <v>484</v>
      </c>
      <c r="B74" s="114"/>
      <c r="C74" s="202">
        <f>IF(I8="APROBADO",1,0)+IF(I9="APROBADO",1,0)+IF(I10="APROBADO",1,0)+IF(I11="APROBADO",1,0)+IF(I12="APROBADO",1,0)+IF(I13="APROBADO",1,0)+IF(I17="APROBADO",1,0)+IF(I18="APROBADO",1,0)+IF(I19="APROBADO",1,0)+IF(I20="APROBADO",1,0)+IF(I21="APROBADO",1,0)+IF(I22="APROBADO",1,0)+IF(J26="APROBADO",1,0)+IF(J27="APROBADO",1,0)+IF(J28="APROBADO",1,0)+IF(J29="APROBADO",1,0)+IF(J30="APROBADO",1,0)+IF(J31="APROBADO",1,0)+IF(H35="APROBADO",1,0)+IF(K35="APROBADO",1,0)+IF(H36="APROBADO",1,0)+IF(K36="APROBADO",1,0)+IF(H37="APROBADO",1,0)+IF(K37="APROBADO",1,0)+IF(G41="APROBADO",1,0)+IF(J41="APROBADO",1,0)+IF(G42="APROBADO",1,0)+IF(J42="APROBADO",1,0)+IF(G43="APROBADO",1,0)+IF(J43="APROBADO",1,0)+IF(F47="APROBADO",1,0)+IF(F48="APROBADO",1,0)+IF(F49="APROBADO",1,0)+IF(F50="APROBADO",1,0)+IF(F51="APROBADO",1,0)+IF(F52="APROBADO",1,0)+IF(F53="APROBADO",1,0)+IF(F54="APROBADO",1,0)+IF(F55="APROBADO",1,0)+IF(F56="APROBADO",1,0)+IF(E60="APROBADO",1,0)+IF(E61="APROBADO",1,0)+IF(E62="APROBADO",1,0)+IF(F66="APROBADO",1,0)+IF(F67="APROBADO",1,0)+IF(F68="APROBADO",1,0)+IF(F69="APROBADO",1,0)</f>
        <v>47</v>
      </c>
    </row>
    <row r="75" spans="1:13" ht="15" customHeight="1">
      <c r="A75" s="114" t="s">
        <v>485</v>
      </c>
      <c r="B75" s="114"/>
      <c r="C75" s="202">
        <f>47-C74</f>
        <v>0</v>
      </c>
    </row>
    <row r="76" spans="1:13" ht="15" customHeight="1">
      <c r="A76" s="200" t="s">
        <v>486</v>
      </c>
      <c r="B76" s="201" t="str">
        <f>IF(C74=47,"TODAS LAS PRUEBAS APROBADAS","HAY PRUEBAS FALLIDAS — REVISAR")</f>
        <v>TODAS LAS PRUEBAS APROBADAS</v>
      </c>
      <c r="C76" s="100"/>
      <c r="D76" s="46"/>
      <c r="E76" s="46"/>
      <c r="F76" s="43"/>
    </row>
  </sheetData>
  <sheetProtection algorithmName="SHA-512" hashValue="NBFofqEZyf5EVw2L66/QHAYdQshD6oBvMuB9MgkS4D0klJzG/qrLDZe1rRcbhFzlB8G4FeH7+2TRnjH1FT16ZQ==" saltValue="PkD/RX/VtFDUL8bYy/2ntA==" spinCount="100000" sheet="1" objects="1" scenarios="1"/>
  <mergeCells count="69">
    <mergeCell ref="F46:M46"/>
    <mergeCell ref="A73:B73"/>
    <mergeCell ref="A74:B74"/>
    <mergeCell ref="A75:B75"/>
    <mergeCell ref="F47:M47"/>
    <mergeCell ref="F48:M48"/>
    <mergeCell ref="F49:M49"/>
    <mergeCell ref="F50:M50"/>
    <mergeCell ref="F51:M51"/>
    <mergeCell ref="E60:I60"/>
    <mergeCell ref="J60:M60"/>
    <mergeCell ref="E61:I61"/>
    <mergeCell ref="J61:M61"/>
    <mergeCell ref="E62:I62"/>
    <mergeCell ref="J62:M62"/>
    <mergeCell ref="E59:I59"/>
    <mergeCell ref="J59:M59"/>
    <mergeCell ref="F55:M55"/>
    <mergeCell ref="F56:M56"/>
    <mergeCell ref="F52:M52"/>
    <mergeCell ref="F53:M53"/>
    <mergeCell ref="F54:M54"/>
    <mergeCell ref="K37:M37"/>
    <mergeCell ref="K40:M40"/>
    <mergeCell ref="K41:M41"/>
    <mergeCell ref="K42:M42"/>
    <mergeCell ref="K43:M43"/>
    <mergeCell ref="J30:M30"/>
    <mergeCell ref="J31:M31"/>
    <mergeCell ref="K34:M34"/>
    <mergeCell ref="K35:M35"/>
    <mergeCell ref="K36:M36"/>
    <mergeCell ref="J25:M25"/>
    <mergeCell ref="J26:M26"/>
    <mergeCell ref="J27:M27"/>
    <mergeCell ref="J28:M28"/>
    <mergeCell ref="J29:M29"/>
    <mergeCell ref="I18:M18"/>
    <mergeCell ref="I19:M19"/>
    <mergeCell ref="I20:M20"/>
    <mergeCell ref="I21:M21"/>
    <mergeCell ref="I22:M22"/>
    <mergeCell ref="I11:M11"/>
    <mergeCell ref="I12:M12"/>
    <mergeCell ref="I13:M13"/>
    <mergeCell ref="I16:M16"/>
    <mergeCell ref="I17:M17"/>
    <mergeCell ref="A4:D4"/>
    <mergeCell ref="I7:M7"/>
    <mergeCell ref="I8:M8"/>
    <mergeCell ref="I9:M9"/>
    <mergeCell ref="I10:M10"/>
    <mergeCell ref="A45:M45"/>
    <mergeCell ref="A64:M64"/>
    <mergeCell ref="A58:M58"/>
    <mergeCell ref="A72:M72"/>
    <mergeCell ref="F65:M65"/>
    <mergeCell ref="F66:M66"/>
    <mergeCell ref="F67:M67"/>
    <mergeCell ref="F68:M68"/>
    <mergeCell ref="F69:M69"/>
    <mergeCell ref="B76:F76"/>
    <mergeCell ref="A3:M3"/>
    <mergeCell ref="A2:M2"/>
    <mergeCell ref="A15:M15"/>
    <mergeCell ref="A6:M6"/>
    <mergeCell ref="A24:M24"/>
    <mergeCell ref="A33:M33"/>
    <mergeCell ref="A39:M39"/>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5A6B70"/>
  </sheetPr>
  <dimension ref="A1:E96"/>
  <sheetViews>
    <sheetView showGridLines="0" zoomScaleNormal="100" workbookViewId="0">
      <pane ySplit="5" topLeftCell="A96" activePane="bottomLeft" state="frozen"/>
      <selection sqref="A1:Q1"/>
      <selection pane="bottomLeft" activeCell="E75" sqref="E75"/>
    </sheetView>
  </sheetViews>
  <sheetFormatPr baseColWidth="10" defaultColWidth="8.7109375" defaultRowHeight="15"/>
  <cols>
    <col min="1" max="1" width="48" style="2" customWidth="1"/>
    <col min="2" max="2" width="18" style="2" customWidth="1"/>
    <col min="3" max="4" width="14" style="2" customWidth="1"/>
    <col min="5" max="5" width="40" style="2" customWidth="1"/>
  </cols>
  <sheetData>
    <row r="1" spans="1:5" ht="25.5" customHeight="1">
      <c r="A1" s="31" t="s">
        <v>0</v>
      </c>
      <c r="B1" s="4"/>
      <c r="C1" s="4"/>
      <c r="D1" s="4"/>
      <c r="E1" s="4"/>
    </row>
    <row r="2" spans="1:5" ht="20.25" customHeight="1">
      <c r="A2" s="85" t="s">
        <v>487</v>
      </c>
      <c r="B2" s="86"/>
      <c r="C2" s="86"/>
      <c r="D2" s="86"/>
      <c r="E2" s="86"/>
    </row>
    <row r="3" spans="1:5" ht="23.25" customHeight="1">
      <c r="A3" s="186" t="str">
        <f>HYPERLINK("#INICIO!A1","◀ INICIO")</f>
        <v>◀ INICIO</v>
      </c>
      <c r="B3" s="187"/>
      <c r="C3" s="187"/>
      <c r="D3" s="187"/>
      <c r="E3"/>
    </row>
    <row r="4" spans="1:5" ht="42" customHeight="1">
      <c r="A4" s="42" t="s">
        <v>488</v>
      </c>
      <c r="B4" s="40"/>
      <c r="C4" s="40"/>
      <c r="D4" s="40"/>
      <c r="E4" s="40"/>
    </row>
    <row r="6" spans="1:5" ht="15" customHeight="1">
      <c r="A6" s="111" t="s">
        <v>489</v>
      </c>
      <c r="B6" s="111"/>
      <c r="C6" s="111"/>
      <c r="D6" s="111"/>
      <c r="E6" s="111"/>
    </row>
    <row r="7" spans="1:5" ht="15" customHeight="1">
      <c r="A7" s="150" t="s">
        <v>490</v>
      </c>
      <c r="B7" s="150" t="s">
        <v>47</v>
      </c>
      <c r="C7" s="150" t="s">
        <v>48</v>
      </c>
      <c r="D7" s="150" t="s">
        <v>491</v>
      </c>
      <c r="E7" s="150" t="s">
        <v>492</v>
      </c>
    </row>
    <row r="8" spans="1:5" ht="15" customHeight="1">
      <c r="A8" s="75" t="s">
        <v>493</v>
      </c>
      <c r="B8" s="76" t="s">
        <v>494</v>
      </c>
      <c r="C8" s="77" t="s">
        <v>53</v>
      </c>
      <c r="D8" s="151" t="s">
        <v>53</v>
      </c>
      <c r="E8" s="78" t="s">
        <v>495</v>
      </c>
    </row>
    <row r="9" spans="1:5" ht="15" customHeight="1">
      <c r="A9" s="75" t="s">
        <v>496</v>
      </c>
      <c r="B9" s="76" t="s">
        <v>497</v>
      </c>
      <c r="C9" s="77" t="s">
        <v>53</v>
      </c>
      <c r="D9" s="151" t="s">
        <v>53</v>
      </c>
      <c r="E9" s="78" t="s">
        <v>498</v>
      </c>
    </row>
    <row r="10" spans="1:5" ht="15" customHeight="1">
      <c r="A10" s="75" t="s">
        <v>499</v>
      </c>
      <c r="B10" s="80">
        <v>18</v>
      </c>
      <c r="C10" s="77" t="s">
        <v>66</v>
      </c>
      <c r="D10" s="151" t="s">
        <v>500</v>
      </c>
      <c r="E10" s="78" t="s">
        <v>501</v>
      </c>
    </row>
    <row r="11" spans="1:5" ht="15" customHeight="1">
      <c r="A11" s="75" t="s">
        <v>502</v>
      </c>
      <c r="B11" s="80">
        <v>120</v>
      </c>
      <c r="C11" s="77" t="s">
        <v>66</v>
      </c>
      <c r="D11" s="151" t="s">
        <v>500</v>
      </c>
      <c r="E11" s="78" t="s">
        <v>503</v>
      </c>
    </row>
    <row r="12" spans="1:5" ht="15" customHeight="1">
      <c r="A12" s="75" t="s">
        <v>504</v>
      </c>
      <c r="B12" s="80">
        <v>25</v>
      </c>
      <c r="C12" s="77" t="s">
        <v>70</v>
      </c>
      <c r="D12" s="151" t="s">
        <v>500</v>
      </c>
      <c r="E12" s="78"/>
    </row>
    <row r="13" spans="1:5" ht="15" customHeight="1">
      <c r="A13" s="75" t="s">
        <v>505</v>
      </c>
      <c r="B13" s="80">
        <v>350</v>
      </c>
      <c r="C13" s="77" t="s">
        <v>70</v>
      </c>
      <c r="D13" s="151" t="s">
        <v>500</v>
      </c>
      <c r="E13" s="78"/>
    </row>
    <row r="14" spans="1:5" ht="15" customHeight="1">
      <c r="A14" s="75" t="s">
        <v>506</v>
      </c>
      <c r="B14" s="80">
        <v>120</v>
      </c>
      <c r="C14" s="77" t="s">
        <v>74</v>
      </c>
      <c r="D14" s="151" t="s">
        <v>500</v>
      </c>
      <c r="E14" s="78"/>
    </row>
    <row r="15" spans="1:5" ht="15" customHeight="1">
      <c r="A15" s="75" t="s">
        <v>507</v>
      </c>
      <c r="B15" s="80">
        <v>230</v>
      </c>
      <c r="C15" s="77" t="s">
        <v>74</v>
      </c>
      <c r="D15" s="151" t="s">
        <v>500</v>
      </c>
      <c r="E15" s="78"/>
    </row>
    <row r="16" spans="1:5" ht="15" customHeight="1">
      <c r="A16" s="75" t="s">
        <v>508</v>
      </c>
      <c r="B16" s="80">
        <v>1</v>
      </c>
      <c r="C16" s="77" t="s">
        <v>123</v>
      </c>
      <c r="D16" s="151" t="s">
        <v>500</v>
      </c>
      <c r="E16" s="78" t="s">
        <v>509</v>
      </c>
    </row>
    <row r="17" spans="1:5" ht="15" customHeight="1">
      <c r="A17" s="75" t="s">
        <v>510</v>
      </c>
      <c r="B17" s="80">
        <v>80</v>
      </c>
      <c r="C17" s="77" t="s">
        <v>123</v>
      </c>
      <c r="D17" s="151" t="s">
        <v>500</v>
      </c>
      <c r="E17" s="78" t="s">
        <v>509</v>
      </c>
    </row>
    <row r="18" spans="1:5" ht="15" customHeight="1">
      <c r="A18" s="75" t="s">
        <v>511</v>
      </c>
      <c r="B18" s="152">
        <v>0.03</v>
      </c>
      <c r="C18" s="77" t="s">
        <v>161</v>
      </c>
      <c r="D18" s="151" t="s">
        <v>500</v>
      </c>
      <c r="E18" s="78" t="s">
        <v>512</v>
      </c>
    </row>
    <row r="19" spans="1:5" ht="15" customHeight="1">
      <c r="A19" s="75" t="s">
        <v>513</v>
      </c>
      <c r="B19" s="152">
        <v>0.75</v>
      </c>
      <c r="C19" s="77" t="s">
        <v>161</v>
      </c>
      <c r="D19" s="151" t="s">
        <v>500</v>
      </c>
      <c r="E19" s="78"/>
    </row>
    <row r="20" spans="1:5" ht="21.75" customHeight="1">
      <c r="A20" s="75" t="s">
        <v>514</v>
      </c>
      <c r="B20" s="153">
        <v>0.08</v>
      </c>
      <c r="C20" s="77" t="s">
        <v>184</v>
      </c>
      <c r="D20" s="151" t="s">
        <v>515</v>
      </c>
      <c r="E20" s="78" t="s">
        <v>516</v>
      </c>
    </row>
    <row r="21" spans="1:5" ht="15" customHeight="1">
      <c r="A21" s="75" t="s">
        <v>517</v>
      </c>
      <c r="B21" s="152">
        <v>0.05</v>
      </c>
      <c r="C21" s="77" t="s">
        <v>161</v>
      </c>
      <c r="D21" s="151" t="s">
        <v>515</v>
      </c>
      <c r="E21" s="78" t="s">
        <v>518</v>
      </c>
    </row>
    <row r="22" spans="1:5" ht="15" customHeight="1">
      <c r="A22" s="75" t="s">
        <v>519</v>
      </c>
      <c r="B22" s="153">
        <v>7.4999999999999997E-2</v>
      </c>
      <c r="C22" s="77" t="s">
        <v>161</v>
      </c>
      <c r="D22" s="151" t="s">
        <v>515</v>
      </c>
      <c r="E22" s="78" t="s">
        <v>520</v>
      </c>
    </row>
    <row r="23" spans="1:5" ht="15" customHeight="1">
      <c r="A23" s="75" t="s">
        <v>521</v>
      </c>
      <c r="B23" s="154">
        <v>5.0000000000000001E-4</v>
      </c>
      <c r="C23" s="77" t="s">
        <v>53</v>
      </c>
      <c r="D23" s="151" t="s">
        <v>515</v>
      </c>
      <c r="E23" s="78" t="s">
        <v>522</v>
      </c>
    </row>
    <row r="24" spans="1:5" ht="15" customHeight="1">
      <c r="A24" s="75" t="s">
        <v>523</v>
      </c>
      <c r="B24" s="155">
        <v>0.05</v>
      </c>
      <c r="C24" s="77" t="s">
        <v>70</v>
      </c>
      <c r="D24" s="151" t="s">
        <v>515</v>
      </c>
      <c r="E24" s="78" t="s">
        <v>524</v>
      </c>
    </row>
    <row r="25" spans="1:5" ht="15" customHeight="1">
      <c r="A25" s="75" t="s">
        <v>525</v>
      </c>
      <c r="B25" s="155">
        <v>0.05</v>
      </c>
      <c r="C25" s="77" t="s">
        <v>123</v>
      </c>
      <c r="D25" s="151" t="s">
        <v>515</v>
      </c>
      <c r="E25" s="78" t="s">
        <v>526</v>
      </c>
    </row>
    <row r="26" spans="1:5" ht="15" customHeight="1">
      <c r="A26" s="75" t="s">
        <v>527</v>
      </c>
      <c r="B26" s="80">
        <v>495</v>
      </c>
      <c r="C26" s="77" t="s">
        <v>53</v>
      </c>
      <c r="D26" s="151" t="s">
        <v>528</v>
      </c>
      <c r="E26" s="78" t="s">
        <v>305</v>
      </c>
    </row>
    <row r="27" spans="1:5" ht="15" customHeight="1">
      <c r="A27" s="75" t="s">
        <v>529</v>
      </c>
      <c r="B27" s="80">
        <v>450</v>
      </c>
      <c r="C27" s="77" t="s">
        <v>53</v>
      </c>
      <c r="D27" s="151" t="s">
        <v>528</v>
      </c>
      <c r="E27" s="78"/>
    </row>
    <row r="28" spans="1:5" ht="15" customHeight="1">
      <c r="A28" s="75" t="s">
        <v>530</v>
      </c>
      <c r="B28" s="80">
        <v>457</v>
      </c>
      <c r="C28" s="77" t="s">
        <v>53</v>
      </c>
      <c r="D28" s="151" t="s">
        <v>528</v>
      </c>
      <c r="E28" s="78" t="s">
        <v>314</v>
      </c>
    </row>
    <row r="29" spans="1:5" ht="15" customHeight="1">
      <c r="A29" s="75" t="s">
        <v>531</v>
      </c>
      <c r="B29" s="80">
        <v>414</v>
      </c>
      <c r="C29" s="77" t="s">
        <v>53</v>
      </c>
      <c r="D29" s="151" t="s">
        <v>528</v>
      </c>
      <c r="E29" s="78"/>
    </row>
    <row r="30" spans="1:5" ht="15" customHeight="1">
      <c r="A30" s="75" t="s">
        <v>532</v>
      </c>
      <c r="B30" s="156">
        <v>0.153</v>
      </c>
      <c r="C30" s="77" t="s">
        <v>53</v>
      </c>
      <c r="D30" s="151" t="s">
        <v>528</v>
      </c>
      <c r="E30" s="78" t="s">
        <v>533</v>
      </c>
    </row>
    <row r="31" spans="1:5" ht="15" customHeight="1">
      <c r="A31" s="75" t="s">
        <v>534</v>
      </c>
      <c r="B31" s="156">
        <v>5.7830000000000004</v>
      </c>
      <c r="C31" s="77" t="s">
        <v>53</v>
      </c>
      <c r="D31" s="151" t="s">
        <v>528</v>
      </c>
      <c r="E31" s="78"/>
    </row>
    <row r="32" spans="1:5" ht="15" customHeight="1">
      <c r="A32" s="75" t="s">
        <v>535</v>
      </c>
      <c r="B32" s="157">
        <v>1.1120000000000001</v>
      </c>
      <c r="C32" s="77" t="s">
        <v>53</v>
      </c>
      <c r="D32" s="151" t="s">
        <v>528</v>
      </c>
      <c r="E32" s="78" t="s">
        <v>536</v>
      </c>
    </row>
    <row r="33" spans="1:5" ht="15" customHeight="1">
      <c r="A33" s="75" t="s">
        <v>537</v>
      </c>
      <c r="B33" s="158">
        <v>4.3499000000000001E-4</v>
      </c>
      <c r="C33" s="77" t="s">
        <v>53</v>
      </c>
      <c r="D33" s="151" t="s">
        <v>528</v>
      </c>
      <c r="E33" s="78"/>
    </row>
    <row r="34" spans="1:5" ht="15" customHeight="1">
      <c r="A34" s="75" t="s">
        <v>538</v>
      </c>
      <c r="B34" s="158">
        <v>5.5000000000000003E-7</v>
      </c>
      <c r="C34" s="77" t="s">
        <v>53</v>
      </c>
      <c r="D34" s="151" t="s">
        <v>528</v>
      </c>
      <c r="E34" s="78"/>
    </row>
    <row r="35" spans="1:5" ht="15" customHeight="1">
      <c r="A35" s="75" t="s">
        <v>539</v>
      </c>
      <c r="B35" s="158">
        <v>2.8825999999999998E-4</v>
      </c>
      <c r="C35" s="77" t="s">
        <v>53</v>
      </c>
      <c r="D35" s="151" t="s">
        <v>528</v>
      </c>
      <c r="E35" s="78"/>
    </row>
    <row r="36" spans="1:5" ht="15" customHeight="1">
      <c r="A36" s="75" t="s">
        <v>540</v>
      </c>
      <c r="B36" s="157">
        <v>1.097</v>
      </c>
      <c r="C36" s="77" t="s">
        <v>53</v>
      </c>
      <c r="D36" s="151" t="s">
        <v>528</v>
      </c>
      <c r="E36" s="78"/>
    </row>
    <row r="37" spans="1:5" ht="15" customHeight="1">
      <c r="A37" s="75" t="s">
        <v>541</v>
      </c>
      <c r="B37" s="158">
        <v>4.6970999999999997E-4</v>
      </c>
      <c r="C37" s="77" t="s">
        <v>53</v>
      </c>
      <c r="D37" s="151" t="s">
        <v>528</v>
      </c>
      <c r="E37" s="78"/>
    </row>
    <row r="38" spans="1:5" ht="15" customHeight="1">
      <c r="A38" s="75" t="s">
        <v>542</v>
      </c>
      <c r="B38" s="158">
        <v>5.6000000000000004E-7</v>
      </c>
      <c r="C38" s="77" t="s">
        <v>53</v>
      </c>
      <c r="D38" s="151" t="s">
        <v>528</v>
      </c>
      <c r="E38" s="78"/>
    </row>
    <row r="39" spans="1:5" ht="15" customHeight="1">
      <c r="A39" s="75" t="s">
        <v>543</v>
      </c>
      <c r="B39" s="158">
        <v>1.2828000000000001E-4</v>
      </c>
      <c r="C39" s="77" t="s">
        <v>53</v>
      </c>
      <c r="D39" s="151" t="s">
        <v>528</v>
      </c>
      <c r="E39" s="78"/>
    </row>
    <row r="40" spans="1:5" ht="15" customHeight="1">
      <c r="A40" s="75" t="s">
        <v>544</v>
      </c>
      <c r="B40" s="157">
        <v>1.10938</v>
      </c>
      <c r="C40" s="77" t="s">
        <v>53</v>
      </c>
      <c r="D40" s="151" t="s">
        <v>528</v>
      </c>
      <c r="E40" s="78" t="s">
        <v>545</v>
      </c>
    </row>
    <row r="41" spans="1:5" ht="15" customHeight="1">
      <c r="A41" s="75" t="s">
        <v>546</v>
      </c>
      <c r="B41" s="159">
        <v>8.2669999999999998E-4</v>
      </c>
      <c r="C41" s="77" t="s">
        <v>53</v>
      </c>
      <c r="D41" s="151" t="s">
        <v>528</v>
      </c>
      <c r="E41" s="78"/>
    </row>
    <row r="42" spans="1:5" ht="15" customHeight="1">
      <c r="A42" s="75" t="s">
        <v>547</v>
      </c>
      <c r="B42" s="159">
        <v>1.5999999999999999E-6</v>
      </c>
      <c r="C42" s="77" t="s">
        <v>53</v>
      </c>
      <c r="D42" s="151" t="s">
        <v>528</v>
      </c>
      <c r="E42" s="78"/>
    </row>
    <row r="43" spans="1:5" ht="15" customHeight="1">
      <c r="A43" s="75" t="s">
        <v>548</v>
      </c>
      <c r="B43" s="159">
        <v>2.5740000000000002E-4</v>
      </c>
      <c r="C43" s="77" t="s">
        <v>53</v>
      </c>
      <c r="D43" s="151" t="s">
        <v>528</v>
      </c>
      <c r="E43" s="78"/>
    </row>
    <row r="44" spans="1:5" ht="15" customHeight="1">
      <c r="A44" s="75" t="s">
        <v>549</v>
      </c>
      <c r="B44" s="159">
        <v>1.0994921</v>
      </c>
      <c r="C44" s="77" t="s">
        <v>53</v>
      </c>
      <c r="D44" s="151" t="s">
        <v>528</v>
      </c>
      <c r="E44" s="78" t="s">
        <v>550</v>
      </c>
    </row>
    <row r="45" spans="1:5" ht="15" customHeight="1">
      <c r="A45" s="75" t="s">
        <v>551</v>
      </c>
      <c r="B45" s="159">
        <v>9.928999999999999E-4</v>
      </c>
      <c r="C45" s="77" t="s">
        <v>53</v>
      </c>
      <c r="D45" s="151" t="s">
        <v>528</v>
      </c>
      <c r="E45" s="78"/>
    </row>
    <row r="46" spans="1:5" ht="15" customHeight="1">
      <c r="A46" s="75" t="s">
        <v>552</v>
      </c>
      <c r="B46" s="159">
        <v>2.3E-6</v>
      </c>
      <c r="C46" s="77" t="s">
        <v>53</v>
      </c>
      <c r="D46" s="151" t="s">
        <v>528</v>
      </c>
      <c r="E46" s="78"/>
    </row>
    <row r="47" spans="1:5" ht="15" customHeight="1">
      <c r="A47" s="75" t="s">
        <v>553</v>
      </c>
      <c r="B47" s="159">
        <v>1.392E-4</v>
      </c>
      <c r="C47" s="77" t="s">
        <v>53</v>
      </c>
      <c r="D47" s="151" t="s">
        <v>528</v>
      </c>
      <c r="E47" s="78"/>
    </row>
    <row r="49" spans="1:4" ht="15" customHeight="1">
      <c r="A49" s="111" t="s">
        <v>554</v>
      </c>
      <c r="B49" s="111"/>
      <c r="C49" s="111"/>
      <c r="D49" s="111"/>
    </row>
    <row r="50" spans="1:4" ht="15" customHeight="1">
      <c r="A50" s="5" t="s">
        <v>47</v>
      </c>
      <c r="B50" s="5" t="s">
        <v>555</v>
      </c>
    </row>
    <row r="51" spans="1:4" ht="15" customHeight="1">
      <c r="A51" s="6" t="s">
        <v>62</v>
      </c>
      <c r="B51" s="14" t="s">
        <v>556</v>
      </c>
    </row>
    <row r="52" spans="1:4" ht="15" customHeight="1">
      <c r="A52" s="6" t="s">
        <v>352</v>
      </c>
      <c r="B52" s="14" t="s">
        <v>557</v>
      </c>
    </row>
    <row r="54" spans="1:4" ht="15" customHeight="1">
      <c r="A54" s="111" t="s">
        <v>558</v>
      </c>
      <c r="B54" s="111"/>
      <c r="C54" s="111"/>
      <c r="D54" s="111"/>
    </row>
    <row r="55" spans="1:4" ht="15" customHeight="1">
      <c r="A55" s="5" t="s">
        <v>559</v>
      </c>
      <c r="B55" s="5" t="s">
        <v>560</v>
      </c>
    </row>
    <row r="56" spans="1:4" ht="15" customHeight="1">
      <c r="A56" s="6" t="s">
        <v>78</v>
      </c>
      <c r="B56" s="14" t="s">
        <v>561</v>
      </c>
    </row>
    <row r="57" spans="1:4" ht="15" customHeight="1">
      <c r="A57" s="6" t="s">
        <v>226</v>
      </c>
      <c r="B57" s="14" t="s">
        <v>562</v>
      </c>
    </row>
    <row r="58" spans="1:4" ht="15" customHeight="1">
      <c r="A58" s="6" t="s">
        <v>227</v>
      </c>
      <c r="B58" s="14" t="s">
        <v>563</v>
      </c>
    </row>
    <row r="59" spans="1:4" ht="15" customHeight="1">
      <c r="A59" s="6" t="s">
        <v>229</v>
      </c>
      <c r="B59" s="14" t="s">
        <v>564</v>
      </c>
    </row>
    <row r="61" spans="1:4" ht="15" customHeight="1">
      <c r="A61" s="148" t="s">
        <v>565</v>
      </c>
      <c r="B61" s="148"/>
      <c r="C61" s="148"/>
      <c r="D61" s="148"/>
    </row>
    <row r="62" spans="1:4" ht="15" customHeight="1">
      <c r="A62" s="74" t="s">
        <v>566</v>
      </c>
      <c r="B62" s="149" t="s">
        <v>567</v>
      </c>
      <c r="C62" s="149"/>
      <c r="D62" s="149"/>
    </row>
    <row r="63" spans="1:4" ht="15" customHeight="1">
      <c r="A63" s="75" t="s">
        <v>82</v>
      </c>
      <c r="B63" s="98" t="s">
        <v>305</v>
      </c>
      <c r="C63" s="98"/>
      <c r="D63" s="98"/>
    </row>
    <row r="64" spans="1:4" ht="15" customHeight="1">
      <c r="A64" s="75" t="s">
        <v>568</v>
      </c>
      <c r="B64" s="98" t="s">
        <v>314</v>
      </c>
      <c r="C64" s="98"/>
      <c r="D64" s="98"/>
    </row>
    <row r="66" spans="1:5" ht="15" customHeight="1">
      <c r="A66" s="8" t="s">
        <v>569</v>
      </c>
    </row>
    <row r="67" spans="1:5" ht="15" customHeight="1">
      <c r="A67" s="6" t="s">
        <v>570</v>
      </c>
    </row>
    <row r="68" spans="1:5" ht="15" customHeight="1">
      <c r="A68" s="6" t="s">
        <v>571</v>
      </c>
    </row>
    <row r="70" spans="1:5" ht="15" customHeight="1">
      <c r="A70" s="111" t="s">
        <v>572</v>
      </c>
      <c r="B70" s="111"/>
      <c r="C70" s="111"/>
      <c r="D70" s="111"/>
      <c r="E70" s="111"/>
    </row>
    <row r="71" spans="1:5" ht="15" customHeight="1">
      <c r="A71" s="5" t="s">
        <v>342</v>
      </c>
      <c r="B71" s="5" t="s">
        <v>573</v>
      </c>
      <c r="C71" s="5" t="s">
        <v>574</v>
      </c>
      <c r="D71" s="5" t="s">
        <v>575</v>
      </c>
      <c r="E71" s="5" t="s">
        <v>140</v>
      </c>
    </row>
    <row r="72" spans="1:5" ht="15" customHeight="1">
      <c r="A72" s="6" t="s">
        <v>62</v>
      </c>
      <c r="B72" s="13">
        <v>17</v>
      </c>
      <c r="C72" s="13">
        <v>20</v>
      </c>
      <c r="D72" s="32">
        <v>1.1619999999999999</v>
      </c>
      <c r="E72" s="32">
        <v>6.3E-2</v>
      </c>
    </row>
    <row r="73" spans="1:5" ht="15" customHeight="1">
      <c r="A73" s="6" t="s">
        <v>62</v>
      </c>
      <c r="B73" s="13">
        <v>20</v>
      </c>
      <c r="C73" s="13">
        <v>30</v>
      </c>
      <c r="D73" s="32">
        <v>1.1631</v>
      </c>
      <c r="E73" s="32">
        <v>6.3200000000000006E-2</v>
      </c>
    </row>
    <row r="74" spans="1:5" ht="15" customHeight="1">
      <c r="A74" s="6" t="s">
        <v>62</v>
      </c>
      <c r="B74" s="13">
        <v>30</v>
      </c>
      <c r="C74" s="13">
        <v>40</v>
      </c>
      <c r="D74" s="32">
        <v>1.1422000000000001</v>
      </c>
      <c r="E74" s="32">
        <v>5.4399999999999997E-2</v>
      </c>
    </row>
    <row r="75" spans="1:5" ht="15" customHeight="1">
      <c r="A75" s="6" t="s">
        <v>62</v>
      </c>
      <c r="B75" s="13">
        <v>40</v>
      </c>
      <c r="C75" s="13">
        <v>50</v>
      </c>
      <c r="D75" s="32">
        <v>1.1619999999999999</v>
      </c>
      <c r="E75" s="32">
        <v>7.0000000000000007E-2</v>
      </c>
    </row>
    <row r="76" spans="1:5" ht="15" customHeight="1">
      <c r="A76" s="6" t="s">
        <v>62</v>
      </c>
      <c r="B76" s="13">
        <v>50</v>
      </c>
      <c r="C76" s="13">
        <v>200</v>
      </c>
      <c r="D76" s="32">
        <v>1.1715</v>
      </c>
      <c r="E76" s="32">
        <v>7.7899999999999997E-2</v>
      </c>
    </row>
    <row r="77" spans="1:5" ht="15" customHeight="1">
      <c r="A77" s="6" t="s">
        <v>352</v>
      </c>
      <c r="B77" s="13">
        <v>16</v>
      </c>
      <c r="C77" s="13">
        <v>20</v>
      </c>
      <c r="D77" s="32">
        <v>1.1549</v>
      </c>
      <c r="E77" s="32">
        <v>6.7799999999999999E-2</v>
      </c>
    </row>
    <row r="78" spans="1:5" ht="15" customHeight="1">
      <c r="A78" s="6" t="s">
        <v>352</v>
      </c>
      <c r="B78" s="13">
        <v>20</v>
      </c>
      <c r="C78" s="13">
        <v>30</v>
      </c>
      <c r="D78" s="32">
        <v>1.1598999999999999</v>
      </c>
      <c r="E78" s="32">
        <v>7.17E-2</v>
      </c>
    </row>
    <row r="79" spans="1:5" ht="15" customHeight="1">
      <c r="A79" s="6" t="s">
        <v>352</v>
      </c>
      <c r="B79" s="13">
        <v>30</v>
      </c>
      <c r="C79" s="13">
        <v>40</v>
      </c>
      <c r="D79" s="32">
        <v>1.1423000000000001</v>
      </c>
      <c r="E79" s="32">
        <v>6.3200000000000006E-2</v>
      </c>
    </row>
    <row r="80" spans="1:5" ht="15" customHeight="1">
      <c r="A80" s="6" t="s">
        <v>352</v>
      </c>
      <c r="B80" s="13">
        <v>40</v>
      </c>
      <c r="C80" s="13">
        <v>50</v>
      </c>
      <c r="D80" s="32">
        <v>1.1333</v>
      </c>
      <c r="E80" s="32">
        <v>6.1199999999999997E-2</v>
      </c>
    </row>
    <row r="81" spans="1:5" ht="15" customHeight="1">
      <c r="A81" s="6" t="s">
        <v>352</v>
      </c>
      <c r="B81" s="13">
        <v>50</v>
      </c>
      <c r="C81" s="13">
        <v>200</v>
      </c>
      <c r="D81" s="32">
        <v>1.1338999999999999</v>
      </c>
      <c r="E81" s="32">
        <v>6.4500000000000002E-2</v>
      </c>
    </row>
    <row r="83" spans="1:5" ht="15" customHeight="1">
      <c r="A83" s="111" t="s">
        <v>576</v>
      </c>
      <c r="B83" s="111"/>
      <c r="C83" s="111"/>
      <c r="D83" s="111"/>
    </row>
    <row r="84" spans="1:5" ht="15" customHeight="1">
      <c r="A84" s="5" t="s">
        <v>342</v>
      </c>
      <c r="B84" s="5" t="s">
        <v>577</v>
      </c>
      <c r="C84" s="5" t="s">
        <v>578</v>
      </c>
      <c r="D84" s="5" t="s">
        <v>555</v>
      </c>
    </row>
    <row r="85" spans="1:5" ht="15" customHeight="1">
      <c r="A85" s="6" t="s">
        <v>62</v>
      </c>
      <c r="B85" s="6" t="s">
        <v>512</v>
      </c>
      <c r="C85" s="33">
        <v>0.02</v>
      </c>
      <c r="D85" s="15" t="s">
        <v>579</v>
      </c>
    </row>
    <row r="86" spans="1:5" ht="15" customHeight="1">
      <c r="A86" s="6" t="s">
        <v>62</v>
      </c>
      <c r="B86" s="6" t="s">
        <v>580</v>
      </c>
      <c r="C86" s="33">
        <v>0.06</v>
      </c>
      <c r="D86" s="15" t="s">
        <v>581</v>
      </c>
    </row>
    <row r="87" spans="1:5" ht="15" customHeight="1">
      <c r="A87" s="6" t="s">
        <v>62</v>
      </c>
      <c r="B87" s="6" t="s">
        <v>582</v>
      </c>
      <c r="C87" s="33">
        <v>0.14000000000000001</v>
      </c>
      <c r="D87" s="15" t="s">
        <v>583</v>
      </c>
    </row>
    <row r="88" spans="1:5" ht="15" customHeight="1">
      <c r="A88" s="6" t="s">
        <v>62</v>
      </c>
      <c r="B88" s="6" t="s">
        <v>584</v>
      </c>
      <c r="C88" s="33">
        <v>0.18</v>
      </c>
      <c r="D88" s="15" t="s">
        <v>585</v>
      </c>
    </row>
    <row r="89" spans="1:5" ht="15" customHeight="1">
      <c r="A89" s="6" t="s">
        <v>62</v>
      </c>
      <c r="B89" s="6" t="s">
        <v>586</v>
      </c>
      <c r="C89" s="33">
        <v>0.25</v>
      </c>
      <c r="D89" s="15" t="s">
        <v>587</v>
      </c>
    </row>
    <row r="90" spans="1:5" ht="15" customHeight="1">
      <c r="A90" s="6" t="s">
        <v>352</v>
      </c>
      <c r="B90" s="6" t="s">
        <v>512</v>
      </c>
      <c r="C90" s="33">
        <v>0.1</v>
      </c>
      <c r="D90" s="15" t="s">
        <v>588</v>
      </c>
    </row>
    <row r="91" spans="1:5" ht="15" customHeight="1">
      <c r="A91" s="6" t="s">
        <v>352</v>
      </c>
      <c r="B91" s="6" t="s">
        <v>580</v>
      </c>
      <c r="C91" s="33">
        <v>0.14000000000000001</v>
      </c>
      <c r="D91" s="15" t="s">
        <v>589</v>
      </c>
    </row>
    <row r="92" spans="1:5" ht="15" customHeight="1">
      <c r="A92" s="6" t="s">
        <v>352</v>
      </c>
      <c r="B92" s="6" t="s">
        <v>582</v>
      </c>
      <c r="C92" s="33">
        <v>0.21</v>
      </c>
      <c r="D92" s="15" t="s">
        <v>590</v>
      </c>
    </row>
    <row r="93" spans="1:5" ht="15" customHeight="1">
      <c r="A93" s="6" t="s">
        <v>352</v>
      </c>
      <c r="B93" s="6" t="s">
        <v>584</v>
      </c>
      <c r="C93" s="33">
        <v>0.25</v>
      </c>
      <c r="D93" s="15" t="s">
        <v>591</v>
      </c>
    </row>
    <row r="94" spans="1:5" ht="15" customHeight="1">
      <c r="A94" s="6" t="s">
        <v>352</v>
      </c>
      <c r="B94" s="6" t="s">
        <v>586</v>
      </c>
      <c r="C94" s="33">
        <v>0.32</v>
      </c>
      <c r="D94" s="15" t="s">
        <v>592</v>
      </c>
    </row>
    <row r="96" spans="1:5" ht="30" customHeight="1">
      <c r="A96" s="48" t="s">
        <v>593</v>
      </c>
      <c r="B96" s="40"/>
      <c r="C96" s="40"/>
      <c r="D96" s="40"/>
      <c r="E96" s="40"/>
    </row>
  </sheetData>
  <sheetProtection algorithmName="SHA-512" hashValue="6SGswULbsd46qQMzcNJrOBDEx3wFIUcEjkFj/RmP32QRkmLPffiV5GH60q2MaVOPL+Mrsaj4+fJgsm8+U41CLw==" saltValue="PPTJXQw3EkBXe2Zq+khbaw==" spinCount="100000" sheet="1" objects="1" scenarios="1"/>
  <protectedRanges>
    <protectedRange sqref="D72:E81" name="valores2 DURNIN"/>
    <protectedRange sqref="B8:B47" name="valores"/>
  </protectedRanges>
  <mergeCells count="13">
    <mergeCell ref="B64:D64"/>
    <mergeCell ref="A3:D3"/>
    <mergeCell ref="A4:E4"/>
    <mergeCell ref="A96:E96"/>
    <mergeCell ref="A2:E2"/>
    <mergeCell ref="A6:E6"/>
    <mergeCell ref="A49:D49"/>
    <mergeCell ref="A54:D54"/>
    <mergeCell ref="A61:D61"/>
    <mergeCell ref="A70:E70"/>
    <mergeCell ref="A83:D83"/>
    <mergeCell ref="B62:D62"/>
    <mergeCell ref="B63:D63"/>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5A6B70"/>
  </sheetPr>
  <dimension ref="A1:E7"/>
  <sheetViews>
    <sheetView showGridLines="0" zoomScaleNormal="100" workbookViewId="0">
      <selection activeCell="A3" sqref="A3:D3"/>
    </sheetView>
  </sheetViews>
  <sheetFormatPr baseColWidth="10" defaultColWidth="8.7109375" defaultRowHeight="15"/>
  <cols>
    <col min="1" max="1" width="12" style="2" customWidth="1"/>
    <col min="2" max="2" width="14" style="2" customWidth="1"/>
    <col min="3" max="3" width="56" style="2" customWidth="1"/>
    <col min="4" max="4" width="40" style="2" customWidth="1"/>
    <col min="5" max="5" width="20" style="2" customWidth="1"/>
  </cols>
  <sheetData>
    <row r="1" spans="1:5" ht="25.5" customHeight="1">
      <c r="A1" s="3" t="s">
        <v>0</v>
      </c>
      <c r="B1" s="4"/>
      <c r="C1" s="4"/>
      <c r="D1" s="4"/>
      <c r="E1" s="4"/>
    </row>
    <row r="2" spans="1:5" ht="22.5" customHeight="1">
      <c r="A2" s="85" t="s">
        <v>594</v>
      </c>
      <c r="B2" s="86"/>
      <c r="C2" s="86"/>
      <c r="D2" s="86"/>
      <c r="E2" s="86"/>
    </row>
    <row r="3" spans="1:5" ht="20.25" customHeight="1">
      <c r="A3" s="186" t="str">
        <f>HYPERLINK("#INICIO!A1","◀ INICIO")</f>
        <v>◀ INICIO</v>
      </c>
      <c r="B3" s="187"/>
      <c r="C3" s="187"/>
      <c r="D3" s="187"/>
      <c r="E3"/>
    </row>
    <row r="5" spans="1:5" ht="15" customHeight="1">
      <c r="A5" s="5" t="s">
        <v>13</v>
      </c>
      <c r="B5" s="5" t="s">
        <v>15</v>
      </c>
      <c r="C5" s="5" t="s">
        <v>595</v>
      </c>
      <c r="D5" s="5" t="s">
        <v>596</v>
      </c>
      <c r="E5" s="5" t="s">
        <v>19</v>
      </c>
    </row>
    <row r="6" spans="1:5" ht="54" customHeight="1">
      <c r="A6" s="13" t="s">
        <v>14</v>
      </c>
      <c r="B6" s="13" t="s">
        <v>16</v>
      </c>
      <c r="C6" s="17" t="s">
        <v>597</v>
      </c>
      <c r="D6" s="17" t="s">
        <v>598</v>
      </c>
      <c r="E6" s="21" t="s">
        <v>599</v>
      </c>
    </row>
    <row r="7" spans="1:5" ht="54" customHeight="1">
      <c r="A7" s="13" t="s">
        <v>14</v>
      </c>
      <c r="B7" s="13" t="s">
        <v>16</v>
      </c>
      <c r="C7" s="17" t="s">
        <v>600</v>
      </c>
      <c r="D7" s="17" t="s">
        <v>601</v>
      </c>
      <c r="E7" s="21" t="s">
        <v>599</v>
      </c>
    </row>
  </sheetData>
  <sheetProtection sheet="1" objects="1" scenarios="1"/>
  <mergeCells count="2">
    <mergeCell ref="A2:E2"/>
    <mergeCell ref="A3:D3"/>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9</vt:i4>
      </vt:variant>
      <vt:variant>
        <vt:lpstr>Rangos con nombre</vt:lpstr>
      </vt:variant>
      <vt:variant>
        <vt:i4>97</vt:i4>
      </vt:variant>
    </vt:vector>
  </HeadingPairs>
  <TitlesOfParts>
    <vt:vector size="106" baseType="lpstr">
      <vt:lpstr>INICIO</vt:lpstr>
      <vt:lpstr>DATOS</vt:lpstr>
      <vt:lpstr>PLIEGUES</vt:lpstr>
      <vt:lpstr>CALCULOS</vt:lpstr>
      <vt:lpstr>RESULTADOS</vt:lpstr>
      <vt:lpstr>FUENTES</vt:lpstr>
      <vt:lpstr>PRUEBAS</vt:lpstr>
      <vt:lpstr>CONFIG</vt:lpstr>
      <vt:lpstr>CHANGELOG</vt:lpstr>
      <vt:lpstr>a_k</vt:lpstr>
      <vt:lpstr>a_MediaG</vt:lpstr>
      <vt:lpstr>a_Sd2</vt:lpstr>
      <vt:lpstr>a_Sum8</vt:lpstr>
      <vt:lpstr>a_TEMabs</vt:lpstr>
      <vt:lpstr>a_TEMrel</vt:lpstr>
      <vt:lpstr>a_TEMver</vt:lpstr>
      <vt:lpstr>BRO_A</vt:lpstr>
      <vt:lpstr>BRO_B</vt:lpstr>
      <vt:lpstr>c_ampl</vt:lpstr>
      <vt:lpstr>c_BDdw</vt:lpstr>
      <vt:lpstr>c_BDjp3</vt:lpstr>
      <vt:lpstr>c_BDjp7</vt:lpstr>
      <vt:lpstr>c_ClaseGrasa</vt:lpstr>
      <vt:lpstr>c_DWc</vt:lpstr>
      <vt:lpstr>c_DWm</vt:lpstr>
      <vt:lpstr>c_estado</vt:lpstr>
      <vt:lpstr>c_Gate</vt:lpstr>
      <vt:lpstr>c_GrDW</vt:lpstr>
      <vt:lpstr>c_GrFaulk</vt:lpstr>
      <vt:lpstr>c_GrJP3</vt:lpstr>
      <vt:lpstr>c_GrJP7</vt:lpstr>
      <vt:lpstr>c_GrRep</vt:lpstr>
      <vt:lpstr>c_IMC</vt:lpstr>
      <vt:lpstr>c_IMG</vt:lpstr>
      <vt:lpstr>c_IMLG</vt:lpstr>
      <vt:lpstr>c_max</vt:lpstr>
      <vt:lpstr>c_MG</vt:lpstr>
      <vt:lpstr>c_min</vt:lpstr>
      <vt:lpstr>c_MLG</vt:lpstr>
      <vt:lpstr>c_n</vt:lpstr>
      <vt:lpstr>c_prom</vt:lpstr>
      <vt:lpstr>c_rango</vt:lpstr>
      <vt:lpstr>c_Sum7</vt:lpstr>
      <vt:lpstr>c_SumDW</vt:lpstr>
      <vt:lpstr>c_SumFaulk</vt:lpstr>
      <vt:lpstr>c_SumJP3</vt:lpstr>
      <vt:lpstr>c_TallaM</vt:lpstr>
      <vt:lpstr>DISP_MAX</vt:lpstr>
      <vt:lpstr>EDAD_MAX</vt:lpstr>
      <vt:lpstr>EDAD_MIN</vt:lpstr>
      <vt:lpstr>EST_MAX</vt:lpstr>
      <vt:lpstr>EST_MIN</vt:lpstr>
      <vt:lpstr>FAULK_A</vt:lpstr>
      <vt:lpstr>FAULK_B</vt:lpstr>
      <vt:lpstr>GRASA_MAX</vt:lpstr>
      <vt:lpstr>GRASA_MIN</vt:lpstr>
      <vt:lpstr>in_Conv</vt:lpstr>
      <vt:lpstr>in_Ecu</vt:lpstr>
      <vt:lpstr>in_Edad</vt:lpstr>
      <vt:lpstr>in_Est</vt:lpstr>
      <vt:lpstr>in_Eval</vt:lpstr>
      <vt:lpstr>in_Fecha</vt:lpstr>
      <vt:lpstr>in_ID</vt:lpstr>
      <vt:lpstr>in_Obs</vt:lpstr>
      <vt:lpstr>in_Pac</vt:lpstr>
      <vt:lpstr>in_Peso</vt:lpstr>
      <vt:lpstr>in_Sexo</vt:lpstr>
      <vt:lpstr>JP3_HA</vt:lpstr>
      <vt:lpstr>JP3_HB1</vt:lpstr>
      <vt:lpstr>JP3_HB2</vt:lpstr>
      <vt:lpstr>JP3_HB3</vt:lpstr>
      <vt:lpstr>JP3_MA</vt:lpstr>
      <vt:lpstr>JP3_MB1</vt:lpstr>
      <vt:lpstr>JP3_MB2</vt:lpstr>
      <vt:lpstr>JP3_MB3</vt:lpstr>
      <vt:lpstr>JP7_HA</vt:lpstr>
      <vt:lpstr>JP7_HB1</vt:lpstr>
      <vt:lpstr>JP7_HB2</vt:lpstr>
      <vt:lpstr>JP7_HB3</vt:lpstr>
      <vt:lpstr>JP7_MA</vt:lpstr>
      <vt:lpstr>JP7_MB1</vt:lpstr>
      <vt:lpstr>JP7_MB2</vt:lpstr>
      <vt:lpstr>JP7_MB3</vt:lpstr>
      <vt:lpstr>LISTA_DEN</vt:lpstr>
      <vt:lpstr>LISTA_ECU</vt:lpstr>
      <vt:lpstr>p_Abd</vt:lpstr>
      <vt:lpstr>p_Axil</vt:lpstr>
      <vt:lpstr>p_Bic</vt:lpstr>
      <vt:lpstr>p_Muslo</vt:lpstr>
      <vt:lpstr>p_Pect</vt:lpstr>
      <vt:lpstr>p_Sub</vt:lpstr>
      <vt:lpstr>p_Supra</vt:lpstr>
      <vt:lpstr>p_Tri</vt:lpstr>
      <vt:lpstr>PESO_MAX</vt:lpstr>
      <vt:lpstr>PESO_MIN</vt:lpstr>
      <vt:lpstr>PLI_MAX</vt:lpstr>
      <vt:lpstr>PLI_MIN</vt:lpstr>
      <vt:lpstr>SEXOS</vt:lpstr>
      <vt:lpstr>SINO</vt:lpstr>
      <vt:lpstr>SIRI_A</vt:lpstr>
      <vt:lpstr>SIRI_B</vt:lpstr>
      <vt:lpstr>TEM_ACC</vt:lpstr>
      <vt:lpstr>TEM_OK</vt:lpstr>
      <vt:lpstr>TOL_FRAC</vt:lpstr>
      <vt:lpstr>TOL_KG</vt:lpstr>
      <vt:lpstr>TOL_MM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Daniel</cp:lastModifiedBy>
  <cp:revision>3</cp:revision>
  <dcterms:created xsi:type="dcterms:W3CDTF">2026-07-16T15:14:31Z</dcterms:created>
  <dcterms:modified xsi:type="dcterms:W3CDTF">2026-07-23T22:43:54Z</dcterms:modified>
  <dc:language>en-US</dc:language>
</cp:coreProperties>
</file>
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63A6A3AD-68B8-4092-9153-51BB4F3FA6CC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INICIO" sheetId="1" r:id="rId1"/>
    <sheet name="PACIENTES" sheetId="2" r:id="rId2"/>
    <sheet name="EVALUACION" sheetId="3" r:id="rId3"/>
    <sheet name="ANTECEDENTES" sheetId="4" r:id="rId4"/>
    <sheet name="ANTROPOMETRIA" sheetId="5" r:id="rId5"/>
    <sheet name="BIOQUIMICA" sheetId="6" r:id="rId6"/>
    <sheet name="CLINICA" sheetId="7" r:id="rId7"/>
    <sheet name="ALIMENTACION" sheetId="8" r:id="rId8"/>
    <sheet name="ACTIVIDAD" sheetId="9" r:id="rId9"/>
    <sheet name="FARMACOS" sheetId="10" r:id="rId10"/>
    <sheet name="DIAGNOSTICO" sheetId="11" r:id="rId11"/>
    <sheet name="OBJETIVOS" sheetId="12" r:id="rId12"/>
    <sheet name="INTERVENCION" sheetId="13" r:id="rId13"/>
    <sheet name="SEGUIMIENTO" sheetId="14" r:id="rId14"/>
    <sheet name="RESUMEN" sheetId="15" r:id="rId15"/>
    <sheet name="CALCULOS" sheetId="16" state="hidden" r:id="rId16"/>
    <sheet name="CATALOGOS" sheetId="17" r:id="rId17"/>
    <sheet name="PRUEBAS" sheetId="18" state="hidden" r:id="rId18"/>
    <sheet name="CONFIG" sheetId="19" state="hidden" r:id="rId19"/>
    <sheet name="CHANGELOG" sheetId="21" state="hidden" r:id="rId20"/>
    <sheet name="FUENTES" sheetId="20" r:id="rId21"/>
    <sheet name="AUDITORIA_COMERCIAL" sheetId="22" r:id="rId22"/>
    <sheet name="COMPATIBILIDAD" sheetId="23" state="hidden" r:id="rId23"/>
    <sheet name="CRITERIOS_CLINICOS" sheetId="24" r:id="rId24"/>
    <sheet name="ADULTO" sheetId="25" r:id="rId25"/>
    <sheet name="ADULTO_MAYOR" sheetId="26" r:id="rId26"/>
    <sheet name="ESTIMACION_PESO_TALLA" sheetId="27" r:id="rId27"/>
    <sheet name="AMPUTACIONES" sheetId="28" r:id="rId28"/>
    <sheet name="SITUACIONES_ESPECIALES" sheetId="29" r:id="rId29"/>
    <sheet name="FUENTES_UDD" sheetId="30" r:id="rId30"/>
    <sheet name="PRUEBAS_UDD" sheetId="31" state="hidden" r:id="rId31"/>
  </sheets>
  <definedNames>
    <definedName name="CFG_ActivarActividad">CONFIG!$B$25</definedName>
    <definedName name="CFG_ActivarBioquimica">CONFIG!$B$23</definedName>
    <definedName name="CFG_ActivarComposicion">CONFIG!$B$28</definedName>
    <definedName name="CFG_ActivarFarmacos">CONFIG!$B$26</definedName>
    <definedName name="CFG_ActivarGraficos">CONFIG!$B$29</definedName>
    <definedName name="CFG_ActivarIdentificacionDirecta">CONFIG!$B$30</definedName>
    <definedName name="CFG_ActivarR24H">CONFIG!$B$24</definedName>
    <definedName name="CFG_ActivarSuplementos">CONFIG!$B$27</definedName>
    <definedName name="CFG_CaderaMax">CONFIG!$B$45</definedName>
    <definedName name="CFG_CaderaMin">CONFIG!$B$44</definedName>
    <definedName name="CFG_CinturaMax">CONFIG!$B$43</definedName>
    <definedName name="CFG_CinturaMin">CONFIG!$B$42</definedName>
    <definedName name="CFG_EdadMax">CONFIG!$B$37</definedName>
    <definedName name="CFG_EdadMin">CONFIG!$B$36</definedName>
    <definedName name="CFG_EstaturaMax">CONFIG!$B$41</definedName>
    <definedName name="CFG_EstaturaMin">CONFIG!$B$40</definedName>
    <definedName name="CFG_GrasaMax">CONFIG!$B$47</definedName>
    <definedName name="CFG_GrasaMin">CONFIG!$B$46</definedName>
    <definedName name="CFG_MaxGrafico">CONFIG!$B$49</definedName>
    <definedName name="CFG_PermitirFechasFuturas">CONFIG!$B$31</definedName>
    <definedName name="CFG_PesoMax">CONFIG!$B$39</definedName>
    <definedName name="CFG_PesoMin">CONFIG!$B$38</definedName>
    <definedName name="CFG_Tolerancia">CONFIG!$B$48</definedName>
    <definedName name="Lista_CategoriaAntecedente">CATALOGOS!$D$7:$D$27</definedName>
    <definedName name="Lista_CategoriaIntervencion">CATALOGOS!$K$7:$K$16</definedName>
    <definedName name="Lista_Confiabilidad">CATALOGOS!$P$7:$P$10</definedName>
    <definedName name="Lista_Consentimiento">CATALOGOS!$N$7:$N$10</definedName>
    <definedName name="Lista_EstadoBio">CATALOGOS!$T$7:$T$10</definedName>
    <definedName name="Lista_EstadoDiagnostico">CATALOGOS!$H$7:$H$11</definedName>
    <definedName name="Lista_EstadoObjetivo">CATALOGOS!$J$7:$J$11</definedName>
    <definedName name="Lista_EstadoPaciente">CATALOGOS!$A$7:$A$11</definedName>
    <definedName name="Lista_EstadoRegistro">CATALOGOS!$O$7:$O$12</definedName>
    <definedName name="Lista_EvaluationID">EVALUACION!$A$7:$A$36</definedName>
    <definedName name="Lista_FuenteDato">CATALOGOS!$M$7:$M$12</definedName>
    <definedName name="Lista_Intensidad">CATALOGOS!$Q$7:$Q$10</definedName>
    <definedName name="Lista_Modalidad">CATALOGOS!$C$7:$C$9</definedName>
    <definedName name="Lista_PatientID">PACIENTES!$A$7:$A$26</definedName>
    <definedName name="Lista_Presencia">CATALOGOS!$R$7:$R$10</definedName>
    <definedName name="Lista_Prioridad">CATALOGOS!$I$7:$I$10</definedName>
    <definedName name="Lista_SiNoNA">CATALOGOS!$U$7:$U$9</definedName>
    <definedName name="Lista_SistemaClinico">CATALOGOS!$E$7:$E$26</definedName>
    <definedName name="Lista_TiempoComida">CATALOGOS!$F$7:$F$14</definedName>
    <definedName name="Lista_TipoActividad">CATALOGOS!$G$7:$G$12</definedName>
    <definedName name="Lista_TipoDia">CATALOGOS!$S$7:$S$12</definedName>
    <definedName name="Lista_TipoEvaluacion">CATALOGOS!$B$7:$B$10</definedName>
    <definedName name="Lista_Unidad">CATALOGOS!$L$7:$L$24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" i="31" l="1"/>
  <c r="AA24" i="31"/>
  <c r="Y24" i="31"/>
  <c r="Z24" i="31" s="1"/>
  <c r="X24" i="31"/>
  <c r="AA23" i="31"/>
  <c r="Y23" i="31"/>
  <c r="Z23" i="31" s="1"/>
  <c r="X23" i="31"/>
  <c r="AA22" i="31"/>
  <c r="Y22" i="31"/>
  <c r="Z22" i="31" s="1"/>
  <c r="X22" i="31"/>
  <c r="AA21" i="31"/>
  <c r="Y21" i="31"/>
  <c r="Z21" i="31" s="1"/>
  <c r="X21" i="31"/>
  <c r="AA20" i="31"/>
  <c r="Y20" i="31"/>
  <c r="Z20" i="31" s="1"/>
  <c r="X20" i="31"/>
  <c r="AA19" i="31"/>
  <c r="Y19" i="31"/>
  <c r="Z19" i="31" s="1"/>
  <c r="X19" i="31"/>
  <c r="AA18" i="31"/>
  <c r="Y18" i="31"/>
  <c r="Z18" i="31" s="1"/>
  <c r="X18" i="31"/>
  <c r="AA17" i="31"/>
  <c r="Y17" i="31"/>
  <c r="Z17" i="31" s="1"/>
  <c r="X17" i="31"/>
  <c r="AA16" i="31"/>
  <c r="Y16" i="31"/>
  <c r="X16" i="31"/>
  <c r="AA15" i="31"/>
  <c r="Y15" i="31"/>
  <c r="Z15" i="31" s="1"/>
  <c r="X15" i="31"/>
  <c r="AA14" i="31"/>
  <c r="Y14" i="31"/>
  <c r="X14" i="31"/>
  <c r="AA13" i="31"/>
  <c r="Y13" i="31"/>
  <c r="X13" i="31"/>
  <c r="AA12" i="31"/>
  <c r="Y12" i="31"/>
  <c r="X12" i="31"/>
  <c r="AA11" i="31"/>
  <c r="Y11" i="31"/>
  <c r="X11" i="31"/>
  <c r="AA10" i="31"/>
  <c r="Y10" i="31"/>
  <c r="X10" i="31"/>
  <c r="AA9" i="31"/>
  <c r="X9" i="31"/>
  <c r="Y9" i="31" s="1"/>
  <c r="Z9" i="31" s="1"/>
  <c r="AA8" i="31"/>
  <c r="X8" i="31"/>
  <c r="Y8" i="31" s="1"/>
  <c r="Z8" i="31" s="1"/>
  <c r="AA7" i="31"/>
  <c r="X7" i="31"/>
  <c r="Y7" i="31" s="1"/>
  <c r="Z7" i="31" s="1"/>
  <c r="B24" i="29"/>
  <c r="B23" i="29"/>
  <c r="B22" i="29"/>
  <c r="B21" i="29"/>
  <c r="B20" i="29"/>
  <c r="B18" i="28"/>
  <c r="B17" i="28"/>
  <c r="B16" i="28"/>
  <c r="B14" i="28"/>
  <c r="B15" i="28" s="1"/>
  <c r="B27" i="27"/>
  <c r="B26" i="27"/>
  <c r="B15" i="26" s="1"/>
  <c r="B23" i="27"/>
  <c r="B24" i="27" s="1"/>
  <c r="B14" i="26" s="1"/>
  <c r="B21" i="27"/>
  <c r="B11" i="26" s="1"/>
  <c r="B10" i="26"/>
  <c r="B9" i="26"/>
  <c r="B8" i="26"/>
  <c r="B7" i="26"/>
  <c r="B6" i="26"/>
  <c r="B18" i="25"/>
  <c r="B13" i="25"/>
  <c r="B17" i="25" s="1"/>
  <c r="B26" i="24"/>
  <c r="B25" i="24"/>
  <c r="B24" i="24"/>
  <c r="B23" i="24"/>
  <c r="B99" i="18"/>
  <c r="I95" i="18"/>
  <c r="K95" i="18" s="1"/>
  <c r="I94" i="18"/>
  <c r="I93" i="18"/>
  <c r="J93" i="18" s="1"/>
  <c r="I92" i="18"/>
  <c r="K92" i="18" s="1"/>
  <c r="I91" i="18"/>
  <c r="K91" i="18" s="1"/>
  <c r="I90" i="18"/>
  <c r="K90" i="18" s="1"/>
  <c r="I89" i="18"/>
  <c r="J89" i="18" s="1"/>
  <c r="I88" i="18"/>
  <c r="I87" i="18"/>
  <c r="K87" i="18" s="1"/>
  <c r="I86" i="18"/>
  <c r="K86" i="18" s="1"/>
  <c r="I85" i="18"/>
  <c r="J85" i="18" s="1"/>
  <c r="I84" i="18"/>
  <c r="K84" i="18" s="1"/>
  <c r="I83" i="18"/>
  <c r="K83" i="18" s="1"/>
  <c r="I82" i="18"/>
  <c r="K82" i="18" s="1"/>
  <c r="I81" i="18"/>
  <c r="J81" i="18" s="1"/>
  <c r="I80" i="18"/>
  <c r="K80" i="18" s="1"/>
  <c r="I79" i="18"/>
  <c r="K79" i="18" s="1"/>
  <c r="I78" i="18"/>
  <c r="K78" i="18" s="1"/>
  <c r="I77" i="18"/>
  <c r="J77" i="18" s="1"/>
  <c r="I76" i="18"/>
  <c r="K76" i="18" s="1"/>
  <c r="I75" i="18"/>
  <c r="J75" i="18" s="1"/>
  <c r="I74" i="18"/>
  <c r="K74" i="18" s="1"/>
  <c r="I73" i="18"/>
  <c r="J73" i="18" s="1"/>
  <c r="I72" i="18"/>
  <c r="J72" i="18" s="1"/>
  <c r="I71" i="18"/>
  <c r="K71" i="18" s="1"/>
  <c r="I70" i="18"/>
  <c r="K70" i="18" s="1"/>
  <c r="I69" i="18"/>
  <c r="J69" i="18" s="1"/>
  <c r="I68" i="18"/>
  <c r="K68" i="18" s="1"/>
  <c r="I67" i="18"/>
  <c r="J67" i="18" s="1"/>
  <c r="I66" i="18"/>
  <c r="K66" i="18" s="1"/>
  <c r="I65" i="18"/>
  <c r="J65" i="18" s="1"/>
  <c r="I64" i="18"/>
  <c r="K64" i="18" s="1"/>
  <c r="I63" i="18"/>
  <c r="K63" i="18" s="1"/>
  <c r="I62" i="18"/>
  <c r="K62" i="18" s="1"/>
  <c r="I61" i="18"/>
  <c r="J61" i="18" s="1"/>
  <c r="I60" i="18"/>
  <c r="J60" i="18" s="1"/>
  <c r="K60" i="18" s="1"/>
  <c r="I59" i="18"/>
  <c r="J59" i="18" s="1"/>
  <c r="I58" i="18"/>
  <c r="K58" i="18" s="1"/>
  <c r="I57" i="18"/>
  <c r="J57" i="18" s="1"/>
  <c r="I56" i="18"/>
  <c r="K56" i="18" s="1"/>
  <c r="I55" i="18"/>
  <c r="K55" i="18" s="1"/>
  <c r="I54" i="18"/>
  <c r="K54" i="18" s="1"/>
  <c r="I53" i="18"/>
  <c r="J53" i="18" s="1"/>
  <c r="I52" i="18"/>
  <c r="K52" i="18" s="1"/>
  <c r="I51" i="18"/>
  <c r="J51" i="18" s="1"/>
  <c r="I50" i="18"/>
  <c r="K50" i="18" s="1"/>
  <c r="I49" i="18"/>
  <c r="J49" i="18" s="1"/>
  <c r="I48" i="18"/>
  <c r="K48" i="18" s="1"/>
  <c r="I47" i="18"/>
  <c r="K47" i="18" s="1"/>
  <c r="I46" i="18"/>
  <c r="K46" i="18" s="1"/>
  <c r="I45" i="18"/>
  <c r="J45" i="18" s="1"/>
  <c r="I44" i="18"/>
  <c r="K44" i="18" s="1"/>
  <c r="I43" i="18"/>
  <c r="J43" i="18" s="1"/>
  <c r="I42" i="18"/>
  <c r="K42" i="18" s="1"/>
  <c r="I41" i="18"/>
  <c r="J41" i="18" s="1"/>
  <c r="I40" i="18"/>
  <c r="K40" i="18" s="1"/>
  <c r="I39" i="18"/>
  <c r="K39" i="18" s="1"/>
  <c r="I38" i="18"/>
  <c r="K38" i="18" s="1"/>
  <c r="I37" i="18"/>
  <c r="J37" i="18" s="1"/>
  <c r="I36" i="18"/>
  <c r="K36" i="18" s="1"/>
  <c r="I35" i="18"/>
  <c r="J35" i="18" s="1"/>
  <c r="I34" i="18"/>
  <c r="J34" i="18" s="1"/>
  <c r="I33" i="18"/>
  <c r="J33" i="18" s="1"/>
  <c r="I32" i="18"/>
  <c r="J32" i="18" s="1"/>
  <c r="I31" i="18"/>
  <c r="J31" i="18" s="1"/>
  <c r="I30" i="18"/>
  <c r="K30" i="18" s="1"/>
  <c r="I29" i="18"/>
  <c r="J29" i="18" s="1"/>
  <c r="I28" i="18"/>
  <c r="K28" i="18" s="1"/>
  <c r="I27" i="18"/>
  <c r="J27" i="18" s="1"/>
  <c r="I26" i="18"/>
  <c r="J26" i="18" s="1"/>
  <c r="I25" i="18"/>
  <c r="J25" i="18" s="1"/>
  <c r="I24" i="18"/>
  <c r="K24" i="18" s="1"/>
  <c r="I23" i="18"/>
  <c r="K23" i="18" s="1"/>
  <c r="I22" i="18"/>
  <c r="K22" i="18" s="1"/>
  <c r="I21" i="18"/>
  <c r="J21" i="18" s="1"/>
  <c r="I20" i="18"/>
  <c r="K20" i="18" s="1"/>
  <c r="I19" i="18"/>
  <c r="J19" i="18" s="1"/>
  <c r="I18" i="18"/>
  <c r="K18" i="18" s="1"/>
  <c r="I17" i="18"/>
  <c r="J17" i="18" s="1"/>
  <c r="I16" i="18"/>
  <c r="K16" i="18" s="1"/>
  <c r="I15" i="18"/>
  <c r="K15" i="18" s="1"/>
  <c r="I14" i="18"/>
  <c r="K14" i="18" s="1"/>
  <c r="I13" i="18"/>
  <c r="J13" i="18" s="1"/>
  <c r="I12" i="18"/>
  <c r="K12" i="18" s="1"/>
  <c r="I11" i="18"/>
  <c r="J11" i="18" s="1"/>
  <c r="I10" i="18"/>
  <c r="K10" i="18" s="1"/>
  <c r="I9" i="18"/>
  <c r="J9" i="18" s="1"/>
  <c r="I8" i="18"/>
  <c r="K8" i="18" s="1"/>
  <c r="I7" i="18"/>
  <c r="K7" i="18" s="1"/>
  <c r="I6" i="18"/>
  <c r="K6" i="18" s="1"/>
  <c r="B22" i="16"/>
  <c r="B13" i="15" s="1"/>
  <c r="B16" i="16"/>
  <c r="B14" i="16"/>
  <c r="B13" i="16"/>
  <c r="B12" i="16"/>
  <c r="B11" i="1" s="1"/>
  <c r="B11" i="16"/>
  <c r="B10" i="1" s="1"/>
  <c r="B10" i="16"/>
  <c r="B9" i="1" s="1"/>
  <c r="B8" i="16"/>
  <c r="B67" i="16" s="1"/>
  <c r="B49" i="15" s="1"/>
  <c r="B7" i="16"/>
  <c r="B21" i="16" s="1"/>
  <c r="B12" i="15" s="1"/>
  <c r="Y36" i="14"/>
  <c r="M36" i="14"/>
  <c r="L36" i="14"/>
  <c r="G36" i="14"/>
  <c r="F36" i="14"/>
  <c r="E36" i="14"/>
  <c r="Y35" i="14"/>
  <c r="M35" i="14"/>
  <c r="L35" i="14"/>
  <c r="G35" i="14"/>
  <c r="F35" i="14"/>
  <c r="E35" i="14"/>
  <c r="Y34" i="14"/>
  <c r="M34" i="14"/>
  <c r="L34" i="14"/>
  <c r="G34" i="14"/>
  <c r="F34" i="14"/>
  <c r="E34" i="14"/>
  <c r="Y33" i="14"/>
  <c r="M33" i="14"/>
  <c r="L33" i="14"/>
  <c r="G33" i="14"/>
  <c r="F33" i="14"/>
  <c r="E33" i="14"/>
  <c r="Y32" i="14"/>
  <c r="M32" i="14"/>
  <c r="L32" i="14"/>
  <c r="G32" i="14"/>
  <c r="F32" i="14"/>
  <c r="E32" i="14"/>
  <c r="Y31" i="14"/>
  <c r="M31" i="14"/>
  <c r="L31" i="14"/>
  <c r="G31" i="14"/>
  <c r="F31" i="14"/>
  <c r="E31" i="14"/>
  <c r="Y30" i="14"/>
  <c r="M30" i="14"/>
  <c r="L30" i="14"/>
  <c r="G30" i="14"/>
  <c r="F30" i="14"/>
  <c r="E30" i="14"/>
  <c r="Y29" i="14"/>
  <c r="M29" i="14"/>
  <c r="L29" i="14"/>
  <c r="G29" i="14"/>
  <c r="F29" i="14"/>
  <c r="E29" i="14"/>
  <c r="Y28" i="14"/>
  <c r="M28" i="14"/>
  <c r="L28" i="14"/>
  <c r="G28" i="14"/>
  <c r="F28" i="14"/>
  <c r="E28" i="14"/>
  <c r="Y27" i="14"/>
  <c r="M27" i="14"/>
  <c r="L27" i="14"/>
  <c r="G27" i="14"/>
  <c r="F27" i="14"/>
  <c r="E27" i="14"/>
  <c r="Y26" i="14"/>
  <c r="M26" i="14"/>
  <c r="L26" i="14"/>
  <c r="G26" i="14"/>
  <c r="F26" i="14"/>
  <c r="E26" i="14"/>
  <c r="Y25" i="14"/>
  <c r="M25" i="14"/>
  <c r="L25" i="14"/>
  <c r="G25" i="14"/>
  <c r="F25" i="14"/>
  <c r="E25" i="14"/>
  <c r="Y24" i="14"/>
  <c r="M24" i="14"/>
  <c r="L24" i="14"/>
  <c r="G24" i="14"/>
  <c r="F24" i="14"/>
  <c r="E24" i="14"/>
  <c r="Y23" i="14"/>
  <c r="M23" i="14"/>
  <c r="L23" i="14"/>
  <c r="G23" i="14"/>
  <c r="F23" i="14"/>
  <c r="E23" i="14"/>
  <c r="Y22" i="14"/>
  <c r="M22" i="14"/>
  <c r="L22" i="14"/>
  <c r="G22" i="14"/>
  <c r="F22" i="14"/>
  <c r="E22" i="14"/>
  <c r="Y21" i="14"/>
  <c r="M21" i="14"/>
  <c r="L21" i="14"/>
  <c r="G21" i="14"/>
  <c r="F21" i="14"/>
  <c r="E21" i="14"/>
  <c r="Y20" i="14"/>
  <c r="M20" i="14"/>
  <c r="L20" i="14"/>
  <c r="G20" i="14"/>
  <c r="F20" i="14"/>
  <c r="E20" i="14"/>
  <c r="Y19" i="14"/>
  <c r="M19" i="14"/>
  <c r="L19" i="14"/>
  <c r="G19" i="14"/>
  <c r="F19" i="14"/>
  <c r="E19" i="14"/>
  <c r="Y18" i="14"/>
  <c r="M18" i="14"/>
  <c r="L18" i="14"/>
  <c r="G18" i="14"/>
  <c r="F18" i="14"/>
  <c r="E18" i="14"/>
  <c r="Y17" i="14"/>
  <c r="M17" i="14"/>
  <c r="L17" i="14"/>
  <c r="G17" i="14"/>
  <c r="F17" i="14"/>
  <c r="E17" i="14"/>
  <c r="Y16" i="14"/>
  <c r="M16" i="14"/>
  <c r="L16" i="14"/>
  <c r="G16" i="14"/>
  <c r="F16" i="14"/>
  <c r="E16" i="14"/>
  <c r="Y15" i="14"/>
  <c r="M15" i="14"/>
  <c r="L15" i="14"/>
  <c r="G15" i="14"/>
  <c r="F15" i="14"/>
  <c r="E15" i="14"/>
  <c r="Y14" i="14"/>
  <c r="M14" i="14"/>
  <c r="L14" i="14"/>
  <c r="G14" i="14"/>
  <c r="F14" i="14"/>
  <c r="E14" i="14"/>
  <c r="Y13" i="14"/>
  <c r="M13" i="14"/>
  <c r="L13" i="14"/>
  <c r="G13" i="14"/>
  <c r="F13" i="14"/>
  <c r="E13" i="14"/>
  <c r="Y12" i="14"/>
  <c r="M12" i="14"/>
  <c r="L12" i="14"/>
  <c r="G12" i="14"/>
  <c r="F12" i="14"/>
  <c r="E12" i="14"/>
  <c r="Y11" i="14"/>
  <c r="M11" i="14"/>
  <c r="L11" i="14"/>
  <c r="G11" i="14"/>
  <c r="F11" i="14"/>
  <c r="E11" i="14"/>
  <c r="Y10" i="14"/>
  <c r="M10" i="14"/>
  <c r="L10" i="14"/>
  <c r="G10" i="14"/>
  <c r="F10" i="14"/>
  <c r="E10" i="14"/>
  <c r="Y9" i="14"/>
  <c r="M9" i="14"/>
  <c r="L9" i="14"/>
  <c r="G9" i="14"/>
  <c r="F9" i="14"/>
  <c r="E9" i="14"/>
  <c r="Y8" i="14"/>
  <c r="M8" i="14"/>
  <c r="L8" i="14"/>
  <c r="G8" i="14"/>
  <c r="F8" i="14"/>
  <c r="E8" i="14"/>
  <c r="Y7" i="14"/>
  <c r="M7" i="14"/>
  <c r="L7" i="14"/>
  <c r="G7" i="14"/>
  <c r="F7" i="14"/>
  <c r="E7" i="14"/>
  <c r="D117" i="18" s="1"/>
  <c r="E117" i="18" s="1"/>
  <c r="G117" i="18" s="1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U36" i="12"/>
  <c r="T36" i="12"/>
  <c r="U35" i="12"/>
  <c r="T35" i="12"/>
  <c r="U34" i="12"/>
  <c r="T34" i="12"/>
  <c r="U33" i="12"/>
  <c r="T33" i="12"/>
  <c r="U32" i="12"/>
  <c r="T32" i="12"/>
  <c r="U31" i="12"/>
  <c r="T31" i="12"/>
  <c r="U30" i="12"/>
  <c r="T30" i="12"/>
  <c r="U29" i="12"/>
  <c r="T29" i="12"/>
  <c r="U28" i="12"/>
  <c r="T28" i="12"/>
  <c r="U27" i="12"/>
  <c r="T27" i="12"/>
  <c r="U26" i="12"/>
  <c r="T26" i="12"/>
  <c r="U25" i="12"/>
  <c r="T25" i="12"/>
  <c r="U24" i="12"/>
  <c r="T24" i="12"/>
  <c r="U23" i="12"/>
  <c r="T23" i="12"/>
  <c r="U22" i="12"/>
  <c r="T22" i="12"/>
  <c r="U21" i="12"/>
  <c r="T21" i="12"/>
  <c r="U20" i="12"/>
  <c r="T20" i="12"/>
  <c r="U19" i="12"/>
  <c r="T19" i="12"/>
  <c r="U18" i="12"/>
  <c r="T18" i="12"/>
  <c r="U17" i="12"/>
  <c r="T17" i="12"/>
  <c r="U16" i="12"/>
  <c r="T16" i="12"/>
  <c r="U15" i="12"/>
  <c r="T15" i="12"/>
  <c r="U14" i="12"/>
  <c r="T14" i="12"/>
  <c r="U13" i="12"/>
  <c r="T13" i="12"/>
  <c r="U12" i="12"/>
  <c r="T12" i="12"/>
  <c r="U11" i="12"/>
  <c r="T11" i="12"/>
  <c r="U10" i="12"/>
  <c r="T10" i="12"/>
  <c r="U9" i="12"/>
  <c r="T9" i="12"/>
  <c r="U8" i="12"/>
  <c r="T8" i="12"/>
  <c r="U7" i="12"/>
  <c r="T7" i="12"/>
  <c r="S36" i="11"/>
  <c r="H36" i="11"/>
  <c r="S35" i="11"/>
  <c r="H35" i="11"/>
  <c r="S34" i="11"/>
  <c r="H34" i="11"/>
  <c r="S33" i="11"/>
  <c r="H33" i="11"/>
  <c r="S32" i="11"/>
  <c r="H32" i="11"/>
  <c r="S31" i="11"/>
  <c r="H31" i="11"/>
  <c r="S30" i="11"/>
  <c r="H30" i="11"/>
  <c r="S29" i="11"/>
  <c r="H29" i="11"/>
  <c r="S28" i="11"/>
  <c r="H28" i="11"/>
  <c r="S27" i="11"/>
  <c r="H27" i="11"/>
  <c r="S26" i="11"/>
  <c r="H26" i="11"/>
  <c r="S25" i="11"/>
  <c r="H25" i="11"/>
  <c r="S24" i="11"/>
  <c r="H24" i="11"/>
  <c r="S23" i="11"/>
  <c r="H23" i="11"/>
  <c r="S22" i="11"/>
  <c r="H22" i="11"/>
  <c r="S21" i="11"/>
  <c r="H21" i="11"/>
  <c r="S20" i="11"/>
  <c r="H20" i="11"/>
  <c r="S19" i="11"/>
  <c r="H19" i="11"/>
  <c r="S18" i="11"/>
  <c r="H18" i="11"/>
  <c r="S17" i="11"/>
  <c r="H17" i="11"/>
  <c r="S16" i="11"/>
  <c r="H16" i="11"/>
  <c r="S15" i="11"/>
  <c r="H15" i="11"/>
  <c r="S14" i="11"/>
  <c r="H14" i="11"/>
  <c r="S13" i="11"/>
  <c r="H13" i="11"/>
  <c r="S12" i="11"/>
  <c r="H12" i="11"/>
  <c r="S11" i="11"/>
  <c r="H11" i="11"/>
  <c r="S10" i="11"/>
  <c r="H10" i="11"/>
  <c r="S9" i="11"/>
  <c r="H9" i="11"/>
  <c r="S8" i="11"/>
  <c r="H8" i="11"/>
  <c r="S7" i="11"/>
  <c r="H7" i="11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X56" i="6"/>
  <c r="K56" i="6"/>
  <c r="V56" i="6" s="1"/>
  <c r="W56" i="6" s="1"/>
  <c r="X55" i="6"/>
  <c r="K55" i="6"/>
  <c r="V55" i="6" s="1"/>
  <c r="W55" i="6" s="1"/>
  <c r="X54" i="6"/>
  <c r="K54" i="6"/>
  <c r="V54" i="6" s="1"/>
  <c r="W54" i="6" s="1"/>
  <c r="X53" i="6"/>
  <c r="K53" i="6"/>
  <c r="V53" i="6" s="1"/>
  <c r="W53" i="6" s="1"/>
  <c r="X52" i="6"/>
  <c r="K52" i="6"/>
  <c r="V52" i="6" s="1"/>
  <c r="W52" i="6" s="1"/>
  <c r="X51" i="6"/>
  <c r="K51" i="6"/>
  <c r="V51" i="6" s="1"/>
  <c r="W51" i="6" s="1"/>
  <c r="X50" i="6"/>
  <c r="K50" i="6"/>
  <c r="V50" i="6" s="1"/>
  <c r="W50" i="6" s="1"/>
  <c r="X49" i="6"/>
  <c r="K49" i="6"/>
  <c r="V49" i="6" s="1"/>
  <c r="W49" i="6" s="1"/>
  <c r="X48" i="6"/>
  <c r="K48" i="6"/>
  <c r="V48" i="6" s="1"/>
  <c r="W48" i="6" s="1"/>
  <c r="X47" i="6"/>
  <c r="K47" i="6"/>
  <c r="V47" i="6" s="1"/>
  <c r="W47" i="6" s="1"/>
  <c r="X46" i="6"/>
  <c r="K46" i="6"/>
  <c r="V46" i="6" s="1"/>
  <c r="W46" i="6" s="1"/>
  <c r="X45" i="6"/>
  <c r="K45" i="6"/>
  <c r="V45" i="6" s="1"/>
  <c r="W45" i="6" s="1"/>
  <c r="X44" i="6"/>
  <c r="K44" i="6"/>
  <c r="V44" i="6" s="1"/>
  <c r="W44" i="6" s="1"/>
  <c r="X43" i="6"/>
  <c r="K43" i="6"/>
  <c r="V43" i="6" s="1"/>
  <c r="W43" i="6" s="1"/>
  <c r="X42" i="6"/>
  <c r="K42" i="6"/>
  <c r="V42" i="6" s="1"/>
  <c r="W42" i="6" s="1"/>
  <c r="X41" i="6"/>
  <c r="K41" i="6"/>
  <c r="V41" i="6" s="1"/>
  <c r="W41" i="6" s="1"/>
  <c r="X40" i="6"/>
  <c r="K40" i="6"/>
  <c r="V40" i="6" s="1"/>
  <c r="W40" i="6" s="1"/>
  <c r="X39" i="6"/>
  <c r="K39" i="6"/>
  <c r="V39" i="6" s="1"/>
  <c r="W39" i="6" s="1"/>
  <c r="X38" i="6"/>
  <c r="K38" i="6"/>
  <c r="V38" i="6" s="1"/>
  <c r="W38" i="6" s="1"/>
  <c r="X37" i="6"/>
  <c r="K37" i="6"/>
  <c r="V37" i="6" s="1"/>
  <c r="W37" i="6" s="1"/>
  <c r="X36" i="6"/>
  <c r="K36" i="6"/>
  <c r="V36" i="6" s="1"/>
  <c r="W36" i="6" s="1"/>
  <c r="X35" i="6"/>
  <c r="K35" i="6"/>
  <c r="V35" i="6" s="1"/>
  <c r="W35" i="6" s="1"/>
  <c r="X34" i="6"/>
  <c r="K34" i="6"/>
  <c r="V34" i="6" s="1"/>
  <c r="W34" i="6" s="1"/>
  <c r="X33" i="6"/>
  <c r="K33" i="6"/>
  <c r="V33" i="6" s="1"/>
  <c r="W33" i="6" s="1"/>
  <c r="X32" i="6"/>
  <c r="K32" i="6"/>
  <c r="V32" i="6" s="1"/>
  <c r="W32" i="6" s="1"/>
  <c r="X31" i="6"/>
  <c r="K31" i="6"/>
  <c r="V31" i="6" s="1"/>
  <c r="W31" i="6" s="1"/>
  <c r="X30" i="6"/>
  <c r="K30" i="6"/>
  <c r="V30" i="6" s="1"/>
  <c r="W30" i="6" s="1"/>
  <c r="X29" i="6"/>
  <c r="K29" i="6"/>
  <c r="V29" i="6" s="1"/>
  <c r="W29" i="6" s="1"/>
  <c r="X28" i="6"/>
  <c r="K28" i="6"/>
  <c r="V28" i="6" s="1"/>
  <c r="W28" i="6" s="1"/>
  <c r="X27" i="6"/>
  <c r="K27" i="6"/>
  <c r="V27" i="6" s="1"/>
  <c r="W27" i="6" s="1"/>
  <c r="X26" i="6"/>
  <c r="K26" i="6"/>
  <c r="V26" i="6" s="1"/>
  <c r="W26" i="6" s="1"/>
  <c r="X25" i="6"/>
  <c r="K25" i="6"/>
  <c r="V25" i="6" s="1"/>
  <c r="W25" i="6" s="1"/>
  <c r="X24" i="6"/>
  <c r="K24" i="6"/>
  <c r="V24" i="6" s="1"/>
  <c r="W24" i="6" s="1"/>
  <c r="X23" i="6"/>
  <c r="K23" i="6"/>
  <c r="V23" i="6" s="1"/>
  <c r="W23" i="6" s="1"/>
  <c r="X22" i="6"/>
  <c r="K22" i="6"/>
  <c r="V22" i="6" s="1"/>
  <c r="W22" i="6" s="1"/>
  <c r="X21" i="6"/>
  <c r="K21" i="6"/>
  <c r="V21" i="6" s="1"/>
  <c r="W21" i="6" s="1"/>
  <c r="X20" i="6"/>
  <c r="K20" i="6"/>
  <c r="V20" i="6" s="1"/>
  <c r="W20" i="6" s="1"/>
  <c r="X19" i="6"/>
  <c r="K19" i="6"/>
  <c r="V19" i="6" s="1"/>
  <c r="W19" i="6" s="1"/>
  <c r="X18" i="6"/>
  <c r="K18" i="6"/>
  <c r="V18" i="6" s="1"/>
  <c r="W18" i="6" s="1"/>
  <c r="X17" i="6"/>
  <c r="K17" i="6"/>
  <c r="V17" i="6" s="1"/>
  <c r="W17" i="6" s="1"/>
  <c r="X16" i="6"/>
  <c r="K16" i="6"/>
  <c r="V16" i="6" s="1"/>
  <c r="W16" i="6" s="1"/>
  <c r="X15" i="6"/>
  <c r="K15" i="6"/>
  <c r="V15" i="6" s="1"/>
  <c r="W15" i="6" s="1"/>
  <c r="X14" i="6"/>
  <c r="K14" i="6"/>
  <c r="V14" i="6" s="1"/>
  <c r="W14" i="6" s="1"/>
  <c r="X13" i="6"/>
  <c r="K13" i="6"/>
  <c r="V13" i="6" s="1"/>
  <c r="W13" i="6" s="1"/>
  <c r="X12" i="6"/>
  <c r="K12" i="6"/>
  <c r="V12" i="6" s="1"/>
  <c r="W12" i="6" s="1"/>
  <c r="X11" i="6"/>
  <c r="K11" i="6"/>
  <c r="V11" i="6" s="1"/>
  <c r="W11" i="6" s="1"/>
  <c r="X10" i="6"/>
  <c r="K10" i="6"/>
  <c r="X9" i="6"/>
  <c r="K9" i="6"/>
  <c r="V9" i="6" s="1"/>
  <c r="W9" i="6" s="1"/>
  <c r="X8" i="6"/>
  <c r="K8" i="6"/>
  <c r="X7" i="6"/>
  <c r="K7" i="6"/>
  <c r="V7" i="6" s="1"/>
  <c r="W7" i="6" s="1"/>
  <c r="AL36" i="5"/>
  <c r="AK36" i="5"/>
  <c r="AJ36" i="5"/>
  <c r="W36" i="5"/>
  <c r="V36" i="5"/>
  <c r="S36" i="5"/>
  <c r="T36" i="5" s="1"/>
  <c r="K36" i="5"/>
  <c r="J36" i="5"/>
  <c r="F36" i="5"/>
  <c r="AL35" i="5"/>
  <c r="AK35" i="5"/>
  <c r="AJ35" i="5"/>
  <c r="W35" i="5"/>
  <c r="V35" i="5"/>
  <c r="S35" i="5"/>
  <c r="T35" i="5" s="1"/>
  <c r="K35" i="5"/>
  <c r="J35" i="5"/>
  <c r="F35" i="5"/>
  <c r="AL34" i="5"/>
  <c r="AK34" i="5"/>
  <c r="AJ34" i="5"/>
  <c r="W34" i="5"/>
  <c r="V34" i="5"/>
  <c r="S34" i="5"/>
  <c r="T34" i="5" s="1"/>
  <c r="K34" i="5"/>
  <c r="J34" i="5"/>
  <c r="F34" i="5"/>
  <c r="AL33" i="5"/>
  <c r="AK33" i="5"/>
  <c r="AJ33" i="5"/>
  <c r="W33" i="5"/>
  <c r="V33" i="5"/>
  <c r="S33" i="5"/>
  <c r="T33" i="5" s="1"/>
  <c r="K33" i="5"/>
  <c r="J33" i="5"/>
  <c r="F33" i="5"/>
  <c r="AL32" i="5"/>
  <c r="AK32" i="5"/>
  <c r="AJ32" i="5"/>
  <c r="W32" i="5"/>
  <c r="V32" i="5"/>
  <c r="S32" i="5"/>
  <c r="T32" i="5" s="1"/>
  <c r="K32" i="5"/>
  <c r="J32" i="5"/>
  <c r="F32" i="5"/>
  <c r="AL31" i="5"/>
  <c r="AK31" i="5"/>
  <c r="AJ31" i="5"/>
  <c r="W31" i="5"/>
  <c r="V31" i="5"/>
  <c r="S31" i="5"/>
  <c r="T31" i="5" s="1"/>
  <c r="K31" i="5"/>
  <c r="J31" i="5"/>
  <c r="F31" i="5"/>
  <c r="AL30" i="5"/>
  <c r="AK30" i="5"/>
  <c r="AJ30" i="5"/>
  <c r="W30" i="5"/>
  <c r="V30" i="5"/>
  <c r="S30" i="5"/>
  <c r="T30" i="5" s="1"/>
  <c r="K30" i="5"/>
  <c r="J30" i="5"/>
  <c r="F30" i="5"/>
  <c r="AL29" i="5"/>
  <c r="AK29" i="5"/>
  <c r="AJ29" i="5"/>
  <c r="W29" i="5"/>
  <c r="V29" i="5"/>
  <c r="S29" i="5"/>
  <c r="T29" i="5" s="1"/>
  <c r="K29" i="5"/>
  <c r="J29" i="5"/>
  <c r="F29" i="5"/>
  <c r="AL28" i="5"/>
  <c r="AK28" i="5"/>
  <c r="AJ28" i="5"/>
  <c r="W28" i="5"/>
  <c r="V28" i="5"/>
  <c r="S28" i="5"/>
  <c r="T28" i="5" s="1"/>
  <c r="K28" i="5"/>
  <c r="J28" i="5"/>
  <c r="F28" i="5"/>
  <c r="AL27" i="5"/>
  <c r="AK27" i="5"/>
  <c r="AJ27" i="5"/>
  <c r="W27" i="5"/>
  <c r="V27" i="5"/>
  <c r="S27" i="5"/>
  <c r="T27" i="5" s="1"/>
  <c r="K27" i="5"/>
  <c r="J27" i="5"/>
  <c r="F27" i="5"/>
  <c r="AL26" i="5"/>
  <c r="AK26" i="5"/>
  <c r="AJ26" i="5"/>
  <c r="W26" i="5"/>
  <c r="V26" i="5"/>
  <c r="S26" i="5"/>
  <c r="T26" i="5" s="1"/>
  <c r="K26" i="5"/>
  <c r="J26" i="5"/>
  <c r="F26" i="5"/>
  <c r="AL25" i="5"/>
  <c r="AK25" i="5"/>
  <c r="AJ25" i="5"/>
  <c r="W25" i="5"/>
  <c r="V25" i="5"/>
  <c r="S25" i="5"/>
  <c r="T25" i="5" s="1"/>
  <c r="K25" i="5"/>
  <c r="J25" i="5"/>
  <c r="F25" i="5"/>
  <c r="AL24" i="5"/>
  <c r="AK24" i="5"/>
  <c r="AJ24" i="5"/>
  <c r="W24" i="5"/>
  <c r="V24" i="5"/>
  <c r="S24" i="5"/>
  <c r="T24" i="5" s="1"/>
  <c r="K24" i="5"/>
  <c r="J24" i="5"/>
  <c r="F24" i="5"/>
  <c r="AL23" i="5"/>
  <c r="AK23" i="5"/>
  <c r="AJ23" i="5"/>
  <c r="W23" i="5"/>
  <c r="V23" i="5"/>
  <c r="S23" i="5"/>
  <c r="T23" i="5" s="1"/>
  <c r="K23" i="5"/>
  <c r="J23" i="5"/>
  <c r="F23" i="5"/>
  <c r="AL22" i="5"/>
  <c r="AK22" i="5"/>
  <c r="AJ22" i="5"/>
  <c r="W22" i="5"/>
  <c r="V22" i="5"/>
  <c r="S22" i="5"/>
  <c r="T22" i="5" s="1"/>
  <c r="K22" i="5"/>
  <c r="J22" i="5"/>
  <c r="F22" i="5"/>
  <c r="AL21" i="5"/>
  <c r="AK21" i="5"/>
  <c r="AJ21" i="5"/>
  <c r="W21" i="5"/>
  <c r="V21" i="5"/>
  <c r="S21" i="5"/>
  <c r="T21" i="5" s="1"/>
  <c r="K21" i="5"/>
  <c r="J21" i="5"/>
  <c r="F21" i="5"/>
  <c r="AL20" i="5"/>
  <c r="AK20" i="5"/>
  <c r="AJ20" i="5"/>
  <c r="W20" i="5"/>
  <c r="V20" i="5"/>
  <c r="S20" i="5"/>
  <c r="T20" i="5" s="1"/>
  <c r="K20" i="5"/>
  <c r="J20" i="5"/>
  <c r="F20" i="5"/>
  <c r="AL19" i="5"/>
  <c r="AK19" i="5"/>
  <c r="AJ19" i="5"/>
  <c r="W19" i="5"/>
  <c r="V19" i="5"/>
  <c r="S19" i="5"/>
  <c r="T19" i="5" s="1"/>
  <c r="K19" i="5"/>
  <c r="J19" i="5"/>
  <c r="F19" i="5"/>
  <c r="AL18" i="5"/>
  <c r="AK18" i="5"/>
  <c r="AJ18" i="5"/>
  <c r="W18" i="5"/>
  <c r="V18" i="5"/>
  <c r="S18" i="5"/>
  <c r="T18" i="5" s="1"/>
  <c r="K18" i="5"/>
  <c r="J18" i="5"/>
  <c r="F18" i="5"/>
  <c r="AL17" i="5"/>
  <c r="AK17" i="5"/>
  <c r="AJ17" i="5"/>
  <c r="W17" i="5"/>
  <c r="V17" i="5"/>
  <c r="S17" i="5"/>
  <c r="T17" i="5" s="1"/>
  <c r="K17" i="5"/>
  <c r="J17" i="5"/>
  <c r="F17" i="5"/>
  <c r="AL16" i="5"/>
  <c r="AK16" i="5"/>
  <c r="AJ16" i="5"/>
  <c r="W16" i="5"/>
  <c r="V16" i="5"/>
  <c r="S16" i="5"/>
  <c r="T16" i="5" s="1"/>
  <c r="K16" i="5"/>
  <c r="J16" i="5"/>
  <c r="F16" i="5"/>
  <c r="AL15" i="5"/>
  <c r="AK15" i="5"/>
  <c r="AJ15" i="5"/>
  <c r="W15" i="5"/>
  <c r="V15" i="5"/>
  <c r="S15" i="5"/>
  <c r="T15" i="5" s="1"/>
  <c r="K15" i="5"/>
  <c r="J15" i="5"/>
  <c r="F15" i="5"/>
  <c r="AL14" i="5"/>
  <c r="AK14" i="5"/>
  <c r="AJ14" i="5"/>
  <c r="W14" i="5"/>
  <c r="V14" i="5"/>
  <c r="S14" i="5"/>
  <c r="T14" i="5" s="1"/>
  <c r="K14" i="5"/>
  <c r="J14" i="5"/>
  <c r="F14" i="5"/>
  <c r="AL13" i="5"/>
  <c r="AK13" i="5"/>
  <c r="AJ13" i="5"/>
  <c r="W13" i="5"/>
  <c r="V13" i="5"/>
  <c r="S13" i="5"/>
  <c r="T13" i="5" s="1"/>
  <c r="K13" i="5"/>
  <c r="J13" i="5"/>
  <c r="F13" i="5"/>
  <c r="AL12" i="5"/>
  <c r="AJ12" i="5"/>
  <c r="AK12" i="5" s="1"/>
  <c r="W12" i="5"/>
  <c r="V12" i="5"/>
  <c r="S12" i="5"/>
  <c r="T12" i="5" s="1"/>
  <c r="K12" i="5"/>
  <c r="J12" i="5"/>
  <c r="F12" i="5"/>
  <c r="AL11" i="5"/>
  <c r="AJ11" i="5"/>
  <c r="AK11" i="5" s="1"/>
  <c r="W11" i="5"/>
  <c r="V11" i="5"/>
  <c r="S11" i="5"/>
  <c r="T11" i="5" s="1"/>
  <c r="K11" i="5"/>
  <c r="J11" i="5"/>
  <c r="F11" i="5"/>
  <c r="AL10" i="5"/>
  <c r="AJ10" i="5"/>
  <c r="AK10" i="5" s="1"/>
  <c r="W10" i="5"/>
  <c r="V10" i="5"/>
  <c r="S10" i="5"/>
  <c r="T10" i="5" s="1"/>
  <c r="K10" i="5"/>
  <c r="J10" i="5"/>
  <c r="F10" i="5"/>
  <c r="AL9" i="5"/>
  <c r="AJ9" i="5"/>
  <c r="AK9" i="5" s="1"/>
  <c r="W9" i="5"/>
  <c r="D112" i="18" s="1"/>
  <c r="E112" i="18" s="1"/>
  <c r="G112" i="18" s="1"/>
  <c r="V9" i="5"/>
  <c r="D111" i="18" s="1"/>
  <c r="E111" i="18" s="1"/>
  <c r="G111" i="18" s="1"/>
  <c r="S9" i="5"/>
  <c r="D113" i="18" s="1"/>
  <c r="E113" i="18" s="1"/>
  <c r="G113" i="18" s="1"/>
  <c r="K9" i="5"/>
  <c r="J9" i="5"/>
  <c r="F9" i="5"/>
  <c r="D110" i="18" s="1"/>
  <c r="E110" i="18" s="1"/>
  <c r="G110" i="18" s="1"/>
  <c r="AL8" i="5"/>
  <c r="AJ8" i="5"/>
  <c r="AK8" i="5" s="1"/>
  <c r="W8" i="5"/>
  <c r="V8" i="5"/>
  <c r="S8" i="5"/>
  <c r="T8" i="5" s="1"/>
  <c r="K8" i="5"/>
  <c r="J8" i="5"/>
  <c r="F8" i="5"/>
  <c r="AL7" i="5"/>
  <c r="AJ7" i="5"/>
  <c r="AK7" i="5" s="1"/>
  <c r="W7" i="5"/>
  <c r="V7" i="5"/>
  <c r="S7" i="5"/>
  <c r="T7" i="5" s="1"/>
  <c r="K7" i="5"/>
  <c r="J7" i="5"/>
  <c r="F7" i="5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U36" i="3"/>
  <c r="T36" i="3"/>
  <c r="S36" i="3"/>
  <c r="U35" i="3"/>
  <c r="T35" i="3"/>
  <c r="S35" i="3"/>
  <c r="U34" i="3"/>
  <c r="T34" i="3"/>
  <c r="S34" i="3"/>
  <c r="U33" i="3"/>
  <c r="T33" i="3"/>
  <c r="S33" i="3"/>
  <c r="U32" i="3"/>
  <c r="T32" i="3"/>
  <c r="S32" i="3"/>
  <c r="U31" i="3"/>
  <c r="T31" i="3"/>
  <c r="S31" i="3"/>
  <c r="U30" i="3"/>
  <c r="T30" i="3"/>
  <c r="S30" i="3"/>
  <c r="U29" i="3"/>
  <c r="T29" i="3"/>
  <c r="S29" i="3"/>
  <c r="U28" i="3"/>
  <c r="T28" i="3"/>
  <c r="S28" i="3"/>
  <c r="U27" i="3"/>
  <c r="T27" i="3"/>
  <c r="S27" i="3"/>
  <c r="U26" i="3"/>
  <c r="T26" i="3"/>
  <c r="S26" i="3"/>
  <c r="U25" i="3"/>
  <c r="T25" i="3"/>
  <c r="S25" i="3"/>
  <c r="U24" i="3"/>
  <c r="T24" i="3"/>
  <c r="S24" i="3"/>
  <c r="U23" i="3"/>
  <c r="T23" i="3"/>
  <c r="S23" i="3"/>
  <c r="U22" i="3"/>
  <c r="T22" i="3"/>
  <c r="S22" i="3"/>
  <c r="U21" i="3"/>
  <c r="T21" i="3"/>
  <c r="S21" i="3"/>
  <c r="U20" i="3"/>
  <c r="T20" i="3"/>
  <c r="S20" i="3"/>
  <c r="U19" i="3"/>
  <c r="T19" i="3"/>
  <c r="S19" i="3"/>
  <c r="U18" i="3"/>
  <c r="T18" i="3"/>
  <c r="S18" i="3"/>
  <c r="U17" i="3"/>
  <c r="T17" i="3"/>
  <c r="S17" i="3"/>
  <c r="U16" i="3"/>
  <c r="T16" i="3"/>
  <c r="S16" i="3"/>
  <c r="U15" i="3"/>
  <c r="T15" i="3"/>
  <c r="S15" i="3"/>
  <c r="U14" i="3"/>
  <c r="T14" i="3"/>
  <c r="S14" i="3"/>
  <c r="U13" i="3"/>
  <c r="T13" i="3"/>
  <c r="S13" i="3"/>
  <c r="U12" i="3"/>
  <c r="S12" i="3"/>
  <c r="T12" i="3" s="1"/>
  <c r="U11" i="3"/>
  <c r="S11" i="3"/>
  <c r="T11" i="3" s="1"/>
  <c r="U10" i="3"/>
  <c r="S10" i="3"/>
  <c r="T10" i="3" s="1"/>
  <c r="U9" i="3"/>
  <c r="S9" i="3"/>
  <c r="T9" i="3" s="1"/>
  <c r="U8" i="3"/>
  <c r="S8" i="3"/>
  <c r="T8" i="3" s="1"/>
  <c r="U7" i="3"/>
  <c r="S7" i="3"/>
  <c r="T7" i="3" s="1"/>
  <c r="Y26" i="2"/>
  <c r="H26" i="2"/>
  <c r="Y25" i="2"/>
  <c r="H25" i="2"/>
  <c r="Y24" i="2"/>
  <c r="H24" i="2"/>
  <c r="Y23" i="2"/>
  <c r="H23" i="2"/>
  <c r="Y22" i="2"/>
  <c r="H22" i="2"/>
  <c r="Y21" i="2"/>
  <c r="H21" i="2"/>
  <c r="Y20" i="2"/>
  <c r="H20" i="2"/>
  <c r="Y19" i="2"/>
  <c r="H19" i="2"/>
  <c r="Y18" i="2"/>
  <c r="H18" i="2"/>
  <c r="Y17" i="2"/>
  <c r="H17" i="2"/>
  <c r="Y16" i="2"/>
  <c r="H16" i="2"/>
  <c r="Y15" i="2"/>
  <c r="H15" i="2"/>
  <c r="Y14" i="2"/>
  <c r="H14" i="2"/>
  <c r="Y13" i="2"/>
  <c r="H13" i="2"/>
  <c r="Y12" i="2"/>
  <c r="H12" i="2"/>
  <c r="H11" i="2"/>
  <c r="Y11" i="2" s="1"/>
  <c r="H10" i="2"/>
  <c r="Y10" i="2" s="1"/>
  <c r="H9" i="2"/>
  <c r="Y9" i="2" s="1"/>
  <c r="H8" i="2"/>
  <c r="Y8" i="2" s="1"/>
  <c r="H7" i="2"/>
  <c r="Y7" i="2" s="1"/>
  <c r="Z13" i="31" l="1"/>
  <c r="B11" i="15"/>
  <c r="I7" i="14"/>
  <c r="D116" i="18" s="1"/>
  <c r="E116" i="18" s="1"/>
  <c r="G116" i="18" s="1"/>
  <c r="I11" i="14"/>
  <c r="I13" i="14"/>
  <c r="I15" i="14"/>
  <c r="I17" i="14"/>
  <c r="I19" i="14"/>
  <c r="I21" i="14"/>
  <c r="I23" i="14"/>
  <c r="I25" i="14"/>
  <c r="I27" i="14"/>
  <c r="I29" i="14"/>
  <c r="I33" i="14"/>
  <c r="J68" i="18"/>
  <c r="H32" i="14"/>
  <c r="J84" i="18"/>
  <c r="H36" i="14"/>
  <c r="B9" i="16"/>
  <c r="B8" i="15" s="1"/>
  <c r="J7" i="18"/>
  <c r="J16" i="18"/>
  <c r="J23" i="18"/>
  <c r="J39" i="18"/>
  <c r="J48" i="18"/>
  <c r="J55" i="18"/>
  <c r="K72" i="18"/>
  <c r="J90" i="18"/>
  <c r="J92" i="18"/>
  <c r="I9" i="14"/>
  <c r="B32" i="16"/>
  <c r="B22" i="15" s="1"/>
  <c r="J76" i="18"/>
  <c r="K85" i="18"/>
  <c r="J8" i="18"/>
  <c r="J15" i="18"/>
  <c r="J24" i="18"/>
  <c r="J40" i="18"/>
  <c r="J47" i="18"/>
  <c r="J56" i="18"/>
  <c r="K89" i="18"/>
  <c r="J91" i="18"/>
  <c r="I8" i="14"/>
  <c r="I10" i="14"/>
  <c r="I12" i="14"/>
  <c r="I14" i="14"/>
  <c r="I16" i="14"/>
  <c r="I18" i="14"/>
  <c r="I20" i="14"/>
  <c r="I22" i="14"/>
  <c r="I24" i="14"/>
  <c r="I26" i="14"/>
  <c r="I28" i="14"/>
  <c r="I30" i="14"/>
  <c r="I32" i="14"/>
  <c r="B48" i="16"/>
  <c r="B36" i="15" s="1"/>
  <c r="K11" i="18"/>
  <c r="K13" i="18"/>
  <c r="J18" i="18"/>
  <c r="J20" i="18"/>
  <c r="K27" i="18"/>
  <c r="K29" i="18"/>
  <c r="K32" i="18"/>
  <c r="J36" i="18"/>
  <c r="K43" i="18"/>
  <c r="K45" i="18"/>
  <c r="J50" i="18"/>
  <c r="J52" i="18"/>
  <c r="K59" i="18"/>
  <c r="K61" i="18"/>
  <c r="J64" i="18"/>
  <c r="J66" i="18"/>
  <c r="K77" i="18"/>
  <c r="J80" i="18"/>
  <c r="J82" i="18"/>
  <c r="J87" i="18"/>
  <c r="K93" i="18"/>
  <c r="B22" i="27"/>
  <c r="B25" i="27" s="1"/>
  <c r="Z12" i="31"/>
  <c r="Z16" i="31"/>
  <c r="B52" i="16"/>
  <c r="B40" i="15" s="1"/>
  <c r="B25" i="16"/>
  <c r="B16" i="15" s="1"/>
  <c r="B68" i="16"/>
  <c r="B50" i="15" s="1"/>
  <c r="J10" i="18"/>
  <c r="J12" i="18"/>
  <c r="K19" i="18"/>
  <c r="K21" i="18"/>
  <c r="J28" i="18"/>
  <c r="K35" i="18"/>
  <c r="K37" i="18"/>
  <c r="J42" i="18"/>
  <c r="J44" i="18"/>
  <c r="K51" i="18"/>
  <c r="K53" i="18"/>
  <c r="J58" i="18"/>
  <c r="K69" i="18"/>
  <c r="J74" i="18"/>
  <c r="B16" i="25"/>
  <c r="H31" i="14"/>
  <c r="H35" i="14"/>
  <c r="G83" i="16"/>
  <c r="D83" i="16" s="1"/>
  <c r="I83" i="16" s="1"/>
  <c r="V8" i="6"/>
  <c r="W8" i="6" s="1"/>
  <c r="V10" i="6"/>
  <c r="W10" i="6" s="1"/>
  <c r="I34" i="14"/>
  <c r="I36" i="14"/>
  <c r="B36" i="16"/>
  <c r="B26" i="15" s="1"/>
  <c r="B56" i="16"/>
  <c r="K31" i="18"/>
  <c r="J63" i="18"/>
  <c r="K67" i="18"/>
  <c r="J71" i="18"/>
  <c r="K75" i="18"/>
  <c r="J79" i="18"/>
  <c r="J83" i="18"/>
  <c r="J86" i="18"/>
  <c r="J88" i="18"/>
  <c r="K88" i="18" s="1"/>
  <c r="J95" i="18"/>
  <c r="B14" i="25"/>
  <c r="B44" i="16"/>
  <c r="B32" i="15" s="1"/>
  <c r="B64" i="16"/>
  <c r="B46" i="15" s="1"/>
  <c r="B15" i="25"/>
  <c r="B15" i="16"/>
  <c r="G75" i="16"/>
  <c r="T9" i="5"/>
  <c r="D114" i="18" s="1"/>
  <c r="E114" i="18" s="1"/>
  <c r="G114" i="18" s="1"/>
  <c r="H7" i="14"/>
  <c r="D115" i="18" s="1"/>
  <c r="E115" i="18" s="1"/>
  <c r="G115" i="18" s="1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4" i="14"/>
  <c r="G82" i="16"/>
  <c r="G79" i="16"/>
  <c r="I31" i="14"/>
  <c r="H33" i="14"/>
  <c r="I35" i="14"/>
  <c r="B13" i="26"/>
  <c r="B26" i="16"/>
  <c r="B17" i="15" s="1"/>
  <c r="B33" i="16"/>
  <c r="B23" i="15" s="1"/>
  <c r="B41" i="16"/>
  <c r="B29" i="15" s="1"/>
  <c r="B49" i="16"/>
  <c r="B37" i="15" s="1"/>
  <c r="B53" i="16"/>
  <c r="B41" i="15" s="1"/>
  <c r="B57" i="16"/>
  <c r="B65" i="16"/>
  <c r="B47" i="15" s="1"/>
  <c r="G76" i="16"/>
  <c r="G80" i="16"/>
  <c r="K94" i="18"/>
  <c r="J94" i="18"/>
  <c r="Z11" i="31"/>
  <c r="B23" i="16"/>
  <c r="B14" i="15" s="1"/>
  <c r="B27" i="16"/>
  <c r="B18" i="15" s="1"/>
  <c r="B34" i="16"/>
  <c r="B24" i="15" s="1"/>
  <c r="B42" i="16"/>
  <c r="B30" i="15" s="1"/>
  <c r="B50" i="16"/>
  <c r="B38" i="15" s="1"/>
  <c r="B54" i="16"/>
  <c r="B62" i="16"/>
  <c r="B44" i="15" s="1"/>
  <c r="B66" i="16"/>
  <c r="B48" i="15" s="1"/>
  <c r="G74" i="16"/>
  <c r="G77" i="16"/>
  <c r="G81" i="16"/>
  <c r="J6" i="18"/>
  <c r="K9" i="18"/>
  <c r="J14" i="18"/>
  <c r="K17" i="18"/>
  <c r="J22" i="18"/>
  <c r="K25" i="18"/>
  <c r="J30" i="18"/>
  <c r="K33" i="18"/>
  <c r="J38" i="18"/>
  <c r="K41" i="18"/>
  <c r="J46" i="18"/>
  <c r="K49" i="18"/>
  <c r="J54" i="18"/>
  <c r="K57" i="18"/>
  <c r="J62" i="18"/>
  <c r="K65" i="18"/>
  <c r="J70" i="18"/>
  <c r="K73" i="18"/>
  <c r="J78" i="18"/>
  <c r="K81" i="18"/>
  <c r="Z10" i="31"/>
  <c r="Z14" i="31"/>
  <c r="B24" i="16"/>
  <c r="B15" i="15" s="1"/>
  <c r="B31" i="16"/>
  <c r="B21" i="15" s="1"/>
  <c r="B35" i="16"/>
  <c r="B25" i="15" s="1"/>
  <c r="B43" i="16"/>
  <c r="B31" i="15" s="1"/>
  <c r="B51" i="16"/>
  <c r="B39" i="15" s="1"/>
  <c r="B55" i="16"/>
  <c r="B63" i="16"/>
  <c r="B45" i="15" s="1"/>
  <c r="G78" i="16"/>
  <c r="K26" i="18"/>
  <c r="K34" i="18"/>
  <c r="B45" i="16" l="1"/>
  <c r="B33" i="15" s="1"/>
  <c r="B12" i="26"/>
  <c r="B47" i="16"/>
  <c r="B35" i="15" s="1"/>
  <c r="B46" i="16"/>
  <c r="B34" i="15" s="1"/>
  <c r="B31" i="31"/>
  <c r="B30" i="31"/>
  <c r="C83" i="16"/>
  <c r="E83" i="16"/>
  <c r="K83" i="16" s="1"/>
  <c r="B102" i="18"/>
  <c r="B103" i="18"/>
  <c r="F83" i="16"/>
  <c r="M83" i="16" s="1"/>
  <c r="B29" i="31"/>
  <c r="B100" i="18"/>
  <c r="B104" i="18" s="1"/>
  <c r="B83" i="16"/>
  <c r="L83" i="16" s="1"/>
  <c r="D75" i="16"/>
  <c r="I75" i="16" s="1"/>
  <c r="F75" i="16"/>
  <c r="M75" i="16" s="1"/>
  <c r="E75" i="16"/>
  <c r="K75" i="16" s="1"/>
  <c r="C75" i="16"/>
  <c r="B75" i="16"/>
  <c r="D77" i="16"/>
  <c r="I77" i="16" s="1"/>
  <c r="C77" i="16"/>
  <c r="B77" i="16"/>
  <c r="F77" i="16"/>
  <c r="M77" i="16" s="1"/>
  <c r="E77" i="16"/>
  <c r="K77" i="16" s="1"/>
  <c r="F12" i="22"/>
  <c r="D80" i="16"/>
  <c r="I80" i="16" s="1"/>
  <c r="E80" i="16"/>
  <c r="K80" i="16" s="1"/>
  <c r="C80" i="16"/>
  <c r="B80" i="16"/>
  <c r="F80" i="16"/>
  <c r="M80" i="16" s="1"/>
  <c r="D79" i="16"/>
  <c r="I79" i="16" s="1"/>
  <c r="F79" i="16"/>
  <c r="M79" i="16" s="1"/>
  <c r="E79" i="16"/>
  <c r="K79" i="16" s="1"/>
  <c r="C79" i="16"/>
  <c r="B79" i="16"/>
  <c r="B101" i="18"/>
  <c r="D76" i="16"/>
  <c r="I76" i="16" s="1"/>
  <c r="E76" i="16"/>
  <c r="K76" i="16" s="1"/>
  <c r="C76" i="16"/>
  <c r="B76" i="16"/>
  <c r="F76" i="16"/>
  <c r="M76" i="16" s="1"/>
  <c r="D82" i="16"/>
  <c r="I82" i="16" s="1"/>
  <c r="B82" i="16"/>
  <c r="F82" i="16"/>
  <c r="M82" i="16" s="1"/>
  <c r="E82" i="16"/>
  <c r="K82" i="16" s="1"/>
  <c r="C82" i="16"/>
  <c r="D74" i="16"/>
  <c r="I74" i="16" s="1"/>
  <c r="C74" i="16"/>
  <c r="F74" i="16"/>
  <c r="M74" i="16" s="1"/>
  <c r="B74" i="16"/>
  <c r="E74" i="16"/>
  <c r="K74" i="16" s="1"/>
  <c r="D78" i="16"/>
  <c r="I78" i="16" s="1"/>
  <c r="B78" i="16"/>
  <c r="F78" i="16"/>
  <c r="M78" i="16" s="1"/>
  <c r="E78" i="16"/>
  <c r="K78" i="16" s="1"/>
  <c r="C78" i="16"/>
  <c r="D81" i="16"/>
  <c r="I81" i="16" s="1"/>
  <c r="C81" i="16"/>
  <c r="B81" i="16"/>
  <c r="F81" i="16"/>
  <c r="M81" i="16" s="1"/>
  <c r="E81" i="16"/>
  <c r="K81" i="16" s="1"/>
  <c r="J83" i="16"/>
  <c r="B12" i="1" l="1"/>
  <c r="B105" i="18"/>
  <c r="H83" i="16"/>
  <c r="L76" i="16"/>
  <c r="H76" i="16"/>
  <c r="J76" i="16"/>
  <c r="L81" i="16"/>
  <c r="H81" i="16"/>
  <c r="J81" i="16"/>
  <c r="L82" i="16"/>
  <c r="H82" i="16"/>
  <c r="J82" i="16"/>
  <c r="L79" i="16"/>
  <c r="H79" i="16"/>
  <c r="J79" i="16"/>
  <c r="L77" i="16"/>
  <c r="H77" i="16"/>
  <c r="J77" i="16"/>
  <c r="L75" i="16"/>
  <c r="H75" i="16"/>
  <c r="J75" i="16"/>
  <c r="L74" i="16"/>
  <c r="H74" i="16"/>
  <c r="J74" i="16"/>
  <c r="A52" i="15"/>
  <c r="L78" i="16"/>
  <c r="H78" i="16"/>
  <c r="J78" i="16"/>
  <c r="L80" i="16"/>
  <c r="H80" i="16"/>
  <c r="J80" i="16"/>
</calcChain>
</file>

<file path=xl/sharedStrings.xml><?xml version="1.0" encoding="utf-8"?>
<sst xmlns="http://schemas.openxmlformats.org/spreadsheetml/2006/main" count="4689" uniqueCount="2014">
  <si>
    <t>Nutrimetría Excel Lab — NMX-03 · Historia Clínica Nutricional Completa</t>
  </si>
  <si>
    <t>◀ INICIO</t>
  </si>
  <si>
    <t>RESUMEN</t>
  </si>
  <si>
    <t>CONFIG</t>
  </si>
  <si>
    <t>PRUEBAS</t>
  </si>
  <si>
    <t>PACIENTE FICTICIO PARA PRUEBA — NO UTILIZAR COMO REFERENCIA CLÍNICA · Elimine o reemplace todos los casos antes de uso real.</t>
  </si>
  <si>
    <t>Estado e inventario</t>
  </si>
  <si>
    <t>Código</t>
  </si>
  <si>
    <t>NMX-03</t>
  </si>
  <si>
    <t>Información técnica y trazable.</t>
  </si>
  <si>
    <t>Versión</t>
  </si>
  <si>
    <t>1.0.1-RC</t>
  </si>
  <si>
    <t>Estado</t>
  </si>
  <si>
    <t>CANDIDATO A PUBLICACIÓN — revisión clínica profesional declarada; requiere protocolo final en Excel 2021 y Microsoft 365</t>
  </si>
  <si>
    <t>Pacientes</t>
  </si>
  <si>
    <t>Evaluaciones</t>
  </si>
  <si>
    <t>Última fecha</t>
  </si>
  <si>
    <t>Pruebas</t>
  </si>
  <si>
    <t>Compatibilidad</t>
  </si>
  <si>
    <t>Objetivo Excel 365 / Excel 2021 para Windows</t>
  </si>
  <si>
    <t>Objetivo, alcance y privacidad</t>
  </si>
  <si>
    <t>Registrar múltiples pacientes y evaluaciones longitudinales mediante PatientID y EvaluationID.</t>
  </si>
  <si>
    <t>Orientado a adultos en consulta nutricional ambulatoria; no pediatría, embarazo, UCI, nutrición enteral/parenteral, enfermedad renal avanzada, TCA ni deporte especializado.</t>
  </si>
  <si>
    <t>▲ No emite diagnósticos médicos, no prescribe medicamentos ni decide tratamientos automáticamente.</t>
  </si>
  <si>
    <t>▲ Use minimización de datos, identificadores internos, equipo protegido, copias de seguridad y medios de transferencia seguros.</t>
  </si>
  <si>
    <t>▲ La protección de hojas evita cambios accidentales; no cifra datos ni impide accesos no autorizados.</t>
  </si>
  <si>
    <t>▲ No use almacenamiento público ni envíe el archivo sin medidas de seguridad y autorización aplicables.</t>
  </si>
  <si>
    <t>Flujo de trabajo</t>
  </si>
  <si>
    <t>1 · Registrar paciente en PACIENTES.</t>
  </si>
  <si>
    <t>2 · Crear evaluación en EVALUACION.</t>
  </si>
  <si>
    <t>3 · Completar ANTECEDENTES, ANTROPOMETRIA, BIOQUIMICA y CLINICA.</t>
  </si>
  <si>
    <t>4 · Completar ALIMENTACION y ACTIVIDAD.</t>
  </si>
  <si>
    <t>5 · Registrar FARMACOS y suplementos.</t>
  </si>
  <si>
    <t>6 · Redactar DIAGNOSTICO y revisar profesionalmente.</t>
  </si>
  <si>
    <t>7 · Crear OBJETIVOS e INTERVENCION.</t>
  </si>
  <si>
    <t>8 · Registrar SEGUIMIENTO sin mezclar pacientes.</t>
  </si>
  <si>
    <t>9 · Seleccionar PatientID y EvaluationID en RESUMEN.</t>
  </si>
  <si>
    <t>10 · Revisar PRUEBAS, CONFIG, FUENTES y CHANGELOG antes de distribuir.</t>
  </si>
  <si>
    <t>Navegación interna</t>
  </si>
  <si>
    <t>PACIENTES</t>
  </si>
  <si>
    <t>EVALUACION</t>
  </si>
  <si>
    <t>ANTECEDENTES</t>
  </si>
  <si>
    <t>ANTROPOMETRIA</t>
  </si>
  <si>
    <t>BIOQUIMICA</t>
  </si>
  <si>
    <t>CLINICA</t>
  </si>
  <si>
    <t>ALIMENTACION</t>
  </si>
  <si>
    <t>ACTIVIDAD</t>
  </si>
  <si>
    <t>FARMACOS</t>
  </si>
  <si>
    <t>DIAGNOSTICO</t>
  </si>
  <si>
    <t>OBJETIVOS</t>
  </si>
  <si>
    <t>INTERVENCION</t>
  </si>
  <si>
    <t>SEGUIMIENTO</t>
  </si>
  <si>
    <t>CALCULOS</t>
  </si>
  <si>
    <t>CATALOGOS</t>
  </si>
  <si>
    <t>FUENTES</t>
  </si>
  <si>
    <t>CHANGELOG</t>
  </si>
  <si>
    <t>AUDITORIA_COMERCIAL</t>
  </si>
  <si>
    <t>COMPATIBILIDAD</t>
  </si>
  <si>
    <t>Leyenda, respaldo y accesibilidad</t>
  </si>
  <si>
    <t>Tipo</t>
  </si>
  <si>
    <t>Muestra</t>
  </si>
  <si>
    <t>Significado</t>
  </si>
  <si>
    <t>Entrada editable</t>
  </si>
  <si>
    <t>Fondo ámbar</t>
  </si>
  <si>
    <t>Cálculo</t>
  </si>
  <si>
    <t>Fondo gris</t>
  </si>
  <si>
    <t>Dato ficticio</t>
  </si>
  <si>
    <t>Fondo lavanda</t>
  </si>
  <si>
    <t>Advertencia</t>
  </si>
  <si>
    <t>Texto ▲ + fondo amarillo</t>
  </si>
  <si>
    <t>Error</t>
  </si>
  <si>
    <t>Texto ✖ + fondo rojo</t>
  </si>
  <si>
    <t>Estado v1.0.1-RC: fórmulas ampliadas, navegación compatible, fechas y gráficos corregidos, validaciones reforzadas y barreras antiedición aplicadas. La protección nativa y la prueba física de Excel deben cerrarse antes de etiquetar la versión como definitiva.</t>
  </si>
  <si>
    <t>PACIENTES · Maestro de identificación mínima y consentimiento</t>
  </si>
  <si>
    <t>PACIENTE FICTICIO PARA PRUEBA — NO UTILIZAR COMO REFERENCIA CLÍNICA · Todos los datos son sintéticos.</t>
  </si>
  <si>
    <t>T_PACIENTES</t>
  </si>
  <si>
    <t>PatientID</t>
  </si>
  <si>
    <t>FechaRegistro</t>
  </si>
  <si>
    <t>Iniciales</t>
  </si>
  <si>
    <t>Nombre opcional</t>
  </si>
  <si>
    <t>Apellido opcional</t>
  </si>
  <si>
    <t>FechaNacimiento opcional</t>
  </si>
  <si>
    <t>Edad calculada</t>
  </si>
  <si>
    <t>Sexo registrado al nacer</t>
  </si>
  <si>
    <t>Género opcional</t>
  </si>
  <si>
    <t>Pronombres opcionales</t>
  </si>
  <si>
    <t>Teléfono opcional</t>
  </si>
  <si>
    <t>Correo opcional</t>
  </si>
  <si>
    <t>Ciudad o región opcional</t>
  </si>
  <si>
    <t>Ocupación</t>
  </si>
  <si>
    <t>Sistema previsión opcional</t>
  </si>
  <si>
    <t>Contacto emergencia opcional</t>
  </si>
  <si>
    <t>Consentimiento datos</t>
  </si>
  <si>
    <t>Fecha consentimiento</t>
  </si>
  <si>
    <t>Versión consentimiento</t>
  </si>
  <si>
    <t>Profesional responsable</t>
  </si>
  <si>
    <t>FechaModificacion</t>
  </si>
  <si>
    <t>FuenteDato</t>
  </si>
  <si>
    <t>Observaciones</t>
  </si>
  <si>
    <t>Control</t>
  </si>
  <si>
    <t>P-FICT-A</t>
  </si>
  <si>
    <t>Activo</t>
  </si>
  <si>
    <t>AFA</t>
  </si>
  <si>
    <t>Femenino</t>
  </si>
  <si>
    <t>Región ficticia</t>
  </si>
  <si>
    <t>Ocupación ficticia</t>
  </si>
  <si>
    <t>Sí</t>
  </si>
  <si>
    <t>CONS-1</t>
  </si>
  <si>
    <t>PROF-DEMO</t>
  </si>
  <si>
    <t>Documentado</t>
  </si>
  <si>
    <t>PACIENTE FICTICIO PARA PRUEBA — NO UTILIZAR COMO REFERENCIA CLÍNICA</t>
  </si>
  <si>
    <t>P-FICT-B</t>
  </si>
  <si>
    <t>BFB</t>
  </si>
  <si>
    <t>Masculino</t>
  </si>
  <si>
    <t>P-FICT-C</t>
  </si>
  <si>
    <t>CFC</t>
  </si>
  <si>
    <t>No informado</t>
  </si>
  <si>
    <t>Pendiente</t>
  </si>
  <si>
    <t>Informado por paciente</t>
  </si>
  <si>
    <t>P-FICT-D</t>
  </si>
  <si>
    <t>DFD</t>
  </si>
  <si>
    <t>P-FICT-E</t>
  </si>
  <si>
    <t>EFE</t>
  </si>
  <si>
    <t>Revocado</t>
  </si>
  <si>
    <t>PACIENTE FICTICIO PARA PRUEBA — NO UTILIZAR COMO REFERENCIA CLÍNICA · Escenarios inválidos solo en PRUEBAS.</t>
  </si>
  <si>
    <t>EVALUACIÓN · Maestro de atenciones y trazabilidad</t>
  </si>
  <si>
    <t>PACIENTE FICTICIO PARA PRUEBA — NO UTILIZAR COMO REFERENCIA CLÍNICA · Una evaluación corresponde a un único PatientID.</t>
  </si>
  <si>
    <t>T_EVALUACIONES</t>
  </si>
  <si>
    <t>EvaluationID</t>
  </si>
  <si>
    <t>Fecha</t>
  </si>
  <si>
    <t>Hora opcional</t>
  </si>
  <si>
    <t>Tipo evaluación</t>
  </si>
  <si>
    <t>Modalidad</t>
  </si>
  <si>
    <t>Motivo consulta</t>
  </si>
  <si>
    <t>Derivación</t>
  </si>
  <si>
    <t>Profesional</t>
  </si>
  <si>
    <t>Duración aproximada min</t>
  </si>
  <si>
    <t>Prioridad clínica manual</t>
  </si>
  <si>
    <t>Fuente información</t>
  </si>
  <si>
    <t>Confiabilidad relato</t>
  </si>
  <si>
    <t>Acompañante opcional</t>
  </si>
  <si>
    <t>RangoPaciente</t>
  </si>
  <si>
    <t>ClavePacienteRango</t>
  </si>
  <si>
    <t>E-A-01</t>
  </si>
  <si>
    <t>09:00</t>
  </si>
  <si>
    <t>Inicial</t>
  </si>
  <si>
    <t>Presencial</t>
  </si>
  <si>
    <t>Evaluación inicial ficticia</t>
  </si>
  <si>
    <t>Sin derivación</t>
  </si>
  <si>
    <t>Revisado</t>
  </si>
  <si>
    <t>Media</t>
  </si>
  <si>
    <t>Alta</t>
  </si>
  <si>
    <t>E-B-01</t>
  </si>
  <si>
    <t>10:00</t>
  </si>
  <si>
    <t>E-B-02</t>
  </si>
  <si>
    <t>10:30</t>
  </si>
  <si>
    <t>Remota</t>
  </si>
  <si>
    <t>Control longitudinal ficticio</t>
  </si>
  <si>
    <t>Completo</t>
  </si>
  <si>
    <t>E-C-01</t>
  </si>
  <si>
    <t>11:00</t>
  </si>
  <si>
    <t>Evaluación incompleta ficticia</t>
  </si>
  <si>
    <t>Borrador</t>
  </si>
  <si>
    <t>Baja</t>
  </si>
  <si>
    <t>No evaluada</t>
  </si>
  <si>
    <t>E-D-01</t>
  </si>
  <si>
    <t>12:00</t>
  </si>
  <si>
    <t>Mixta</t>
  </si>
  <si>
    <t>Caso de advertencias ficticio</t>
  </si>
  <si>
    <t>E-E-01</t>
  </si>
  <si>
    <t>13:00</t>
  </si>
  <si>
    <t>Caso de integridad ficticio</t>
  </si>
  <si>
    <t>PACIENTE FICTICIO PARA PRUEBA — NO UTILIZAR COMO REFERENCIA CLÍNICA · Cruces inválidos solo en PRUEBAS.</t>
  </si>
  <si>
    <t>ANTECEDENTES · Registros múltiples por evaluación</t>
  </si>
  <si>
    <t>PACIENTE FICTICIO PARA PRUEBA — NO UTILIZAR COMO REFERENCIA CLÍNICA · No convertir automáticamente un antecedente en diagnóstico.</t>
  </si>
  <si>
    <t>T_ANTECEDENTES</t>
  </si>
  <si>
    <t>Categoría</t>
  </si>
  <si>
    <t>Antecedente</t>
  </si>
  <si>
    <t>Fecha inicio</t>
  </si>
  <si>
    <t>Fecha término</t>
  </si>
  <si>
    <t>Profesional diagnóstico opcional</t>
  </si>
  <si>
    <t>Tratamiento relacionado</t>
  </si>
  <si>
    <t>Relevancia nutricional manual</t>
  </si>
  <si>
    <t>Personales</t>
  </si>
  <si>
    <t>Antecedente ficticio A</t>
  </si>
  <si>
    <t>Relevancia manual</t>
  </si>
  <si>
    <t>Familiares</t>
  </si>
  <si>
    <t>Antecedente familiar ficticio</t>
  </si>
  <si>
    <t>Informado</t>
  </si>
  <si>
    <t>Alergias</t>
  </si>
  <si>
    <t>Alergia ficticia no especificada</t>
  </si>
  <si>
    <t>Revisar</t>
  </si>
  <si>
    <t>ANTROPOMETRÍA · Mediciones, condiciones y cálculos auditables</t>
  </si>
  <si>
    <t>PACIENTE FICTICIO PARA PRUEBA — NO UTILIZAR COMO REFERENCIA CLÍNICA · IMC y composición corporal no constituyen evaluación completa.</t>
  </si>
  <si>
    <t>T_ANTROPOMETRIA</t>
  </si>
  <si>
    <t>Peso kg</t>
  </si>
  <si>
    <t>Estatura cm</t>
  </si>
  <si>
    <t>IMC</t>
  </si>
  <si>
    <t>Peso habitual kg</t>
  </si>
  <si>
    <t>Peso mínimo reciente kg</t>
  </si>
  <si>
    <t>Peso máximo reciente kg</t>
  </si>
  <si>
    <t>Cambio peso kg</t>
  </si>
  <si>
    <t>Cambio peso %</t>
  </si>
  <si>
    <t>Periodo cambio</t>
  </si>
  <si>
    <t>Intencionalidad cambio</t>
  </si>
  <si>
    <t>Cintura cm</t>
  </si>
  <si>
    <t>Cadera cm</t>
  </si>
  <si>
    <t>Brazo cm</t>
  </si>
  <si>
    <t>Pantorrilla cm</t>
  </si>
  <si>
    <t>% grasa</t>
  </si>
  <si>
    <t>Masa grasa kg</t>
  </si>
  <si>
    <t>Masa libre grasa kg</t>
  </si>
  <si>
    <t>Fuente % grasa</t>
  </si>
  <si>
    <t>Cintura/estatura</t>
  </si>
  <si>
    <t>Cintura/cadera</t>
  </si>
  <si>
    <t>Calidad medición</t>
  </si>
  <si>
    <t>Ayuno</t>
  </si>
  <si>
    <t>Horario</t>
  </si>
  <si>
    <t>Ropa</t>
  </si>
  <si>
    <t>Retención líquidos</t>
  </si>
  <si>
    <t>Edema</t>
  </si>
  <si>
    <t>Dispositivo</t>
  </si>
  <si>
    <t>Condiciones medición</t>
  </si>
  <si>
    <t>Instrumento</t>
  </si>
  <si>
    <t>3 meses</t>
  </si>
  <si>
    <t>Intencional</t>
  </si>
  <si>
    <t>BIA</t>
  </si>
  <si>
    <t>Adecuada</t>
  </si>
  <si>
    <t>Ligera</t>
  </si>
  <si>
    <t>No</t>
  </si>
  <si>
    <t>Condición ficticia</t>
  </si>
  <si>
    <t>Equipo ficticio</t>
  </si>
  <si>
    <t>Medido</t>
  </si>
  <si>
    <t>2 meses</t>
  </si>
  <si>
    <t>No intencional</t>
  </si>
  <si>
    <t>Acordado</t>
  </si>
  <si>
    <t>Medición incompleta ficticia</t>
  </si>
  <si>
    <t>1 mes</t>
  </si>
  <si>
    <t>Balanza</t>
  </si>
  <si>
    <t>Condición ficticia con edema</t>
  </si>
  <si>
    <t>Plicometría</t>
  </si>
  <si>
    <t>Plicómetro</t>
  </si>
  <si>
    <t>BIOQUÍMICA · Resultados con rangos ingresados y revisión profesional</t>
  </si>
  <si>
    <t>▲ Los rangos dependen del laboratorio, método, unidad y población. No se generan diagnósticos.</t>
  </si>
  <si>
    <t>T_BIOQUIMICA</t>
  </si>
  <si>
    <t>Fecha muestra</t>
  </si>
  <si>
    <t>Analito</t>
  </si>
  <si>
    <t>Resultado numérico</t>
  </si>
  <si>
    <t>Resultado cualitativo</t>
  </si>
  <si>
    <t>Unidad</t>
  </si>
  <si>
    <t>Límite inferior</t>
  </si>
  <si>
    <t>Límite superior</t>
  </si>
  <si>
    <t>Intervalo referencia textual</t>
  </si>
  <si>
    <t>Estado calculado</t>
  </si>
  <si>
    <t>Laboratorio</t>
  </si>
  <si>
    <t>Condición muestra</t>
  </si>
  <si>
    <t>Fuente rango</t>
  </si>
  <si>
    <t>Comentario profesional</t>
  </si>
  <si>
    <t>Estado revisión</t>
  </si>
  <si>
    <t>Rango señalado</t>
  </si>
  <si>
    <t>Clave señalada</t>
  </si>
  <si>
    <t>Analito ficticio A</t>
  </si>
  <si>
    <t>unidad</t>
  </si>
  <si>
    <t>70–110 unidad</t>
  </si>
  <si>
    <t>Laboratorio ficticio</t>
  </si>
  <si>
    <t>Ayuno ficticio</t>
  </si>
  <si>
    <t>Informe ficticio</t>
  </si>
  <si>
    <t>Sin interpretación automática</t>
  </si>
  <si>
    <t>Analito ficticio B</t>
  </si>
  <si>
    <t>Revisar contexto</t>
  </si>
  <si>
    <t>Pendiente de rango</t>
  </si>
  <si>
    <t>Analito cualitativo ficticio</t>
  </si>
  <si>
    <t>Positivo</t>
  </si>
  <si>
    <t>texto</t>
  </si>
  <si>
    <t>No interpretar automáticamente</t>
  </si>
  <si>
    <t>CLÍNICA · Signos y síntomas sin inferencia diagnóstica automática</t>
  </si>
  <si>
    <t>PACIENTE FICTICIO PARA PRUEBA — NO UTILIZAR COMO REFERENCIA CLÍNICA · La derivación es una decisión manual.</t>
  </si>
  <si>
    <t>T_CLINICA</t>
  </si>
  <si>
    <t>Sistema o categoría</t>
  </si>
  <si>
    <t>Signo o síntoma</t>
  </si>
  <si>
    <t>Presencia</t>
  </si>
  <si>
    <t>Intensidad</t>
  </si>
  <si>
    <t>Frecuencia</t>
  </si>
  <si>
    <t>Duración</t>
  </si>
  <si>
    <t>Momento aparición</t>
  </si>
  <si>
    <t>Relación percibida con alimentos</t>
  </si>
  <si>
    <t>Impacto funcional</t>
  </si>
  <si>
    <t>Requiere derivación manual</t>
  </si>
  <si>
    <t>Apetito</t>
  </si>
  <si>
    <t>Apetito ficticio</t>
  </si>
  <si>
    <t>Sin impacto</t>
  </si>
  <si>
    <t>Edema ficticio observado</t>
  </si>
  <si>
    <t>Moderada</t>
  </si>
  <si>
    <t>Intermitente</t>
  </si>
  <si>
    <t>1 semana</t>
  </si>
  <si>
    <t>Reciente</t>
  </si>
  <si>
    <t>No informada</t>
  </si>
  <si>
    <t>Limitación ficticia</t>
  </si>
  <si>
    <t>Observado</t>
  </si>
  <si>
    <t>ALIMENTACIÓN · Anamnesis y recordatorio manual de 24 horas</t>
  </si>
  <si>
    <t>PACIENTE FICTICIO PARA PRUEBA — NO UTILIZAR COMO REFERENCIA CLÍNICA · No contiene base alimentaria completa ni inventa composición.</t>
  </si>
  <si>
    <t>T_ANAMNESIS</t>
  </si>
  <si>
    <t>Pregunta o variable</t>
  </si>
  <si>
    <t>Respuesta</t>
  </si>
  <si>
    <t>Cantidad</t>
  </si>
  <si>
    <t>Número de comidas</t>
  </si>
  <si>
    <t>Comidas habituales</t>
  </si>
  <si>
    <t>4</t>
  </si>
  <si>
    <t>Diaria</t>
  </si>
  <si>
    <t>Registro ficticio</t>
  </si>
  <si>
    <t>Consumo de agua</t>
  </si>
  <si>
    <t>Agua habitual</t>
  </si>
  <si>
    <t>6</t>
  </si>
  <si>
    <t>Horarios</t>
  </si>
  <si>
    <t>Regularidad</t>
  </si>
  <si>
    <t>Variable</t>
  </si>
  <si>
    <t>Suplementos</t>
  </si>
  <si>
    <t>Uso declarado</t>
  </si>
  <si>
    <t>Revisar FARMACOS</t>
  </si>
  <si>
    <t>T_R24H · ingreso manual o desde fuente autorizada</t>
  </si>
  <si>
    <t>Fecha representada</t>
  </si>
  <si>
    <t>Tipo de día</t>
  </si>
  <si>
    <t>Tiempo de comida</t>
  </si>
  <si>
    <t>Hora</t>
  </si>
  <si>
    <t>Lugar</t>
  </si>
  <si>
    <t>Alimento o preparación</t>
  </si>
  <si>
    <t>Unidad casera</t>
  </si>
  <si>
    <t>Peso g opcional</t>
  </si>
  <si>
    <t>Energía manual kcal</t>
  </si>
  <si>
    <t>Proteínas manual g</t>
  </si>
  <si>
    <t>Carbohidratos manual g</t>
  </si>
  <si>
    <t>Grasas manual g</t>
  </si>
  <si>
    <t>Fibra manual g</t>
  </si>
  <si>
    <t>Fuente composición</t>
  </si>
  <si>
    <t>Método estimación</t>
  </si>
  <si>
    <t>Habitual</t>
  </si>
  <si>
    <t>Desayuno</t>
  </si>
  <si>
    <t>Hogar</t>
  </si>
  <si>
    <t>Preparación ficticia A</t>
  </si>
  <si>
    <t>porción</t>
  </si>
  <si>
    <t>Fuente ficticia autorizada</t>
  </si>
  <si>
    <t>Estimación manual</t>
  </si>
  <si>
    <t>Almuerzo</t>
  </si>
  <si>
    <t>Preparación ficticia B</t>
  </si>
  <si>
    <t>Cena</t>
  </si>
  <si>
    <t>Preparación ficticia C</t>
  </si>
  <si>
    <t>No habitual</t>
  </si>
  <si>
    <t>Fuera de hogar</t>
  </si>
  <si>
    <t>Preparación ficticia D</t>
  </si>
  <si>
    <t>Preparación ficticia E</t>
  </si>
  <si>
    <t>Preparación ficticia F</t>
  </si>
  <si>
    <t>ACTIVIDAD · Actividad habitual, ejercicio y sedentarismo</t>
  </si>
  <si>
    <t>PACIENTE FICTICIO PARA PRUEBA — NO UTILIZAR COMO REFERENCIA CLÍNICA · No se calcula prescripción deportiva automática.</t>
  </si>
  <si>
    <t>T_ACTIVIDAD</t>
  </si>
  <si>
    <t>Actividad</t>
  </si>
  <si>
    <t>Frecuencia semanal</t>
  </si>
  <si>
    <t>Duración min</t>
  </si>
  <si>
    <t>Intensidad percibida</t>
  </si>
  <si>
    <t>MET opcional</t>
  </si>
  <si>
    <t>Fuente MET</t>
  </si>
  <si>
    <t>Pasos</t>
  </si>
  <si>
    <t>Trabajo físico</t>
  </si>
  <si>
    <t>Sedentarismo</t>
  </si>
  <si>
    <t>Tiempo sentado h</t>
  </si>
  <si>
    <t>Objetivo</t>
  </si>
  <si>
    <t>Limitaciones</t>
  </si>
  <si>
    <t>Caminata ficticia</t>
  </si>
  <si>
    <t>Actividad habitual</t>
  </si>
  <si>
    <t>Ligero</t>
  </si>
  <si>
    <t>Moderado</t>
  </si>
  <si>
    <t>Mantener registro</t>
  </si>
  <si>
    <t>Ninguna ficticia</t>
  </si>
  <si>
    <t>Ejercicio ficticio</t>
  </si>
  <si>
    <t>Ejercicio estructurado</t>
  </si>
  <si>
    <t>Compendium; valor ficticio solo estructura</t>
  </si>
  <si>
    <t>Seguimiento</t>
  </si>
  <si>
    <t>FÁRMACOS Y SUPLEMENTOS · Registros separados y revisión manual</t>
  </si>
  <si>
    <t>▲ No suspender, indicar ni modificar dosis. Interacciones potenciales requieren fuente.</t>
  </si>
  <si>
    <t>T_FARMACOS</t>
  </si>
  <si>
    <t>Nombre</t>
  </si>
  <si>
    <t>Principio activo opcional</t>
  </si>
  <si>
    <t>Dosis</t>
  </si>
  <si>
    <t>Vía</t>
  </si>
  <si>
    <t>Motivo de uso</t>
  </si>
  <si>
    <t>Prescriptor</t>
  </si>
  <si>
    <t>Adherencia percibida</t>
  </si>
  <si>
    <t>Interacción potencial para revisar</t>
  </si>
  <si>
    <t>Fuente interacción</t>
  </si>
  <si>
    <t>Medicamento ficticio A</t>
  </si>
  <si>
    <t>Principio ficticio</t>
  </si>
  <si>
    <t>08:00</t>
  </si>
  <si>
    <t>Oral</t>
  </si>
  <si>
    <t>Motivo informado</t>
  </si>
  <si>
    <t>Prescriptor ficticio</t>
  </si>
  <si>
    <t>Declarada</t>
  </si>
  <si>
    <t>Medicamento ficticio D</t>
  </si>
  <si>
    <t>Pendiente de revisión</t>
  </si>
  <si>
    <t>T_SUPLEMENTOS</t>
  </si>
  <si>
    <t>Producto</t>
  </si>
  <si>
    <t>Ingrediente</t>
  </si>
  <si>
    <t>Marca opcional</t>
  </si>
  <si>
    <t>Motivo</t>
  </si>
  <si>
    <t>Fuente recomendación</t>
  </si>
  <si>
    <t>Suplemento ficticio A</t>
  </si>
  <si>
    <t>Ingrediente ficticio</t>
  </si>
  <si>
    <t>DIAGNÓSTICO NUTRICIONAL · Redacción profesional y estructura PES opcional</t>
  </si>
  <si>
    <t>▲ Redactado y revisado por el profesional; no genera diagnóstico médico.</t>
  </si>
  <si>
    <t>T_DIAGNOSTICOS</t>
  </si>
  <si>
    <t>Dominio</t>
  </si>
  <si>
    <t>Problema</t>
  </si>
  <si>
    <t>Etiología</t>
  </si>
  <si>
    <t>Signos y síntomas</t>
  </si>
  <si>
    <t>Previsualización PES</t>
  </si>
  <si>
    <t>Redacción completa editable</t>
  </si>
  <si>
    <t>Prioridad</t>
  </si>
  <si>
    <t>Fuente evidencia</t>
  </si>
  <si>
    <t>Revisión profesional</t>
  </si>
  <si>
    <t>Fecha cierre</t>
  </si>
  <si>
    <t>Motivo cierre</t>
  </si>
  <si>
    <t>Conducta</t>
  </si>
  <si>
    <t>Problema ficticio A</t>
  </si>
  <si>
    <t>Etiología ficticia A</t>
  </si>
  <si>
    <t>Signos ficticios A</t>
  </si>
  <si>
    <t>Problema ficticio A relacionado con etiología ficticia A evidenciado por signos ficticios A</t>
  </si>
  <si>
    <t>Fuente profesional</t>
  </si>
  <si>
    <t>Problema ficticio B</t>
  </si>
  <si>
    <t>Etiología ficticia B</t>
  </si>
  <si>
    <t>Signos ficticios B</t>
  </si>
  <si>
    <t>Problema ficticio B relacionado con etiología ficticia B evidenciado por signos ficticios B</t>
  </si>
  <si>
    <t>OBJETIVOS · Metas acordadas, indicadores y seguimiento</t>
  </si>
  <si>
    <t>PACIENTE FICTICIO PARA PRUEBA — NO UTILIZAR COMO REFERENCIA CLÍNICA · No se generan metas clínicas universales.</t>
  </si>
  <si>
    <t>T_OBJETIVOS</t>
  </si>
  <si>
    <t>ObjetivoID</t>
  </si>
  <si>
    <t>Descripción</t>
  </si>
  <si>
    <t>Indicador</t>
  </si>
  <si>
    <t>Valor inicial</t>
  </si>
  <si>
    <t>Meta</t>
  </si>
  <si>
    <t>Fecha objetivo</t>
  </si>
  <si>
    <t>Responsable</t>
  </si>
  <si>
    <t>Porcentaje avance</t>
  </si>
  <si>
    <t>Criterio éxito</t>
  </si>
  <si>
    <t>Barreras</t>
  </si>
  <si>
    <t>Facilitadores</t>
  </si>
  <si>
    <t>ClaveObjetivo</t>
  </si>
  <si>
    <t>O-A-01</t>
  </si>
  <si>
    <t>Organización</t>
  </si>
  <si>
    <t>Objetivo ficticio A</t>
  </si>
  <si>
    <t>Criterio ficticio</t>
  </si>
  <si>
    <t>Planificación</t>
  </si>
  <si>
    <t>O-B-01</t>
  </si>
  <si>
    <t>Actividad física</t>
  </si>
  <si>
    <t>Objetivo ficticio B</t>
  </si>
  <si>
    <t>Sesiones semanales</t>
  </si>
  <si>
    <t>veces/semana</t>
  </si>
  <si>
    <t>Cumplido</t>
  </si>
  <si>
    <t>Tiempo</t>
  </si>
  <si>
    <t>Apoyo</t>
  </si>
  <si>
    <t>O-B-02</t>
  </si>
  <si>
    <t>Objetivo ficticio control</t>
  </si>
  <si>
    <t>Registro semanal</t>
  </si>
  <si>
    <t>Turnos</t>
  </si>
  <si>
    <t>INTERVENCIÓN · Acciones, acuerdos y coordinación</t>
  </si>
  <si>
    <t>▲ Documentación manual; no constituye prescripción automática.</t>
  </si>
  <si>
    <t>T_INTERVENCIONES</t>
  </si>
  <si>
    <t>Intervención</t>
  </si>
  <si>
    <t>Fundamento</t>
  </si>
  <si>
    <t>Objetivo relacionado</t>
  </si>
  <si>
    <t>Material entregado</t>
  </si>
  <si>
    <t>Acuerdo con paciente</t>
  </si>
  <si>
    <t>Fecha revisión</t>
  </si>
  <si>
    <t>Organización de comidas</t>
  </si>
  <si>
    <t>Intervención ficticia A</t>
  </si>
  <si>
    <t>Fundamento profesional</t>
  </si>
  <si>
    <t>Semanal</t>
  </si>
  <si>
    <t>Material ficticio</t>
  </si>
  <si>
    <t>Acuerdo ficticio</t>
  </si>
  <si>
    <t>Intervención ficticia B</t>
  </si>
  <si>
    <t>SEGUIMIENTO · Comparación longitudinal por paciente</t>
  </si>
  <si>
    <t>PACIENTE FICTICIO PARA PRUEBA — NO UTILIZAR COMO REFERENCIA CLÍNICA · Nunca comparar evaluaciones de pacientes distintos.</t>
  </si>
  <si>
    <t>T_SEGUIMIENTO</t>
  </si>
  <si>
    <t>EvaluationID anterior</t>
  </si>
  <si>
    <t>Días desde anterior</t>
  </si>
  <si>
    <t>Peso actual kg</t>
  </si>
  <si>
    <t>Peso anterior kg</t>
  </si>
  <si>
    <t>Cumplimiento objetivos</t>
  </si>
  <si>
    <t>Objetivos cumplidos</t>
  </si>
  <si>
    <t>Objetivos pendientes</t>
  </si>
  <si>
    <t>Síntomas</t>
  </si>
  <si>
    <t>Barreras nuevas</t>
  </si>
  <si>
    <t>Facilitadores nuevos</t>
  </si>
  <si>
    <t>Cambios fármacos</t>
  </si>
  <si>
    <t>Cambios actividad</t>
  </si>
  <si>
    <t>Cambios alimentarios</t>
  </si>
  <si>
    <t>Decisión profesional</t>
  </si>
  <si>
    <t>Próxima acción</t>
  </si>
  <si>
    <t>Próxima fecha</t>
  </si>
  <si>
    <t>Parcial</t>
  </si>
  <si>
    <t>Sin cambios ficticios</t>
  </si>
  <si>
    <t>Aumentó caminata</t>
  </si>
  <si>
    <t>Mejor organización</t>
  </si>
  <si>
    <t>Continuar seguimiento</t>
  </si>
  <si>
    <t>Registrar próxima semana</t>
  </si>
  <si>
    <t>RESUMEN · Selección por PatientID y EvaluationID</t>
  </si>
  <si>
    <t>▲ Resumen clínico imprimible; no constituye diagnóstico médico ni sustituye el juicio profesional.</t>
  </si>
  <si>
    <t>Selección</t>
  </si>
  <si>
    <t>Seleccione paciente</t>
  </si>
  <si>
    <t>Seleccione evaluación</t>
  </si>
  <si>
    <t>La evaluación debe pertenecer al paciente</t>
  </si>
  <si>
    <t>Identificación y evaluación</t>
  </si>
  <si>
    <t>Edad</t>
  </si>
  <si>
    <t>Antropometría</t>
  </si>
  <si>
    <t>Peso</t>
  </si>
  <si>
    <t>Estatura</t>
  </si>
  <si>
    <t>Cambio de peso</t>
  </si>
  <si>
    <t>Cintura</t>
  </si>
  <si>
    <t>Bioquímica y alimentación</t>
  </si>
  <si>
    <t>Resultados</t>
  </si>
  <si>
    <t>Bajos</t>
  </si>
  <si>
    <t>Altos</t>
  </si>
  <si>
    <t>Sin rango</t>
  </si>
  <si>
    <t>Señalado 1</t>
  </si>
  <si>
    <t>Señalado 2</t>
  </si>
  <si>
    <t>Señalado 3</t>
  </si>
  <si>
    <t>Energía R24H</t>
  </si>
  <si>
    <t>Proteínas</t>
  </si>
  <si>
    <t>Carbohidratos</t>
  </si>
  <si>
    <t>Grasas</t>
  </si>
  <si>
    <t>Fibra</t>
  </si>
  <si>
    <t>Tiempos comida</t>
  </si>
  <si>
    <t>Diagnóstico y plan</t>
  </si>
  <si>
    <t>Diagnósticos revisados</t>
  </si>
  <si>
    <t>Objetivos activos</t>
  </si>
  <si>
    <t>Intervenciones activas</t>
  </si>
  <si>
    <t>Estado evaluación</t>
  </si>
  <si>
    <t>CÁLCULOS · Selección, agregados, controles y datos de gráficos</t>
  </si>
  <si>
    <t>Hoja visible y auditable. Justificada para evitar fórmulas opacas y mezclar pacientes.</t>
  </si>
  <si>
    <t>Selección y controles globales</t>
  </si>
  <si>
    <t>Elemento</t>
  </si>
  <si>
    <t>Resultado</t>
  </si>
  <si>
    <t>Nota</t>
  </si>
  <si>
    <t>PatientID seleccionado</t>
  </si>
  <si>
    <t>Desde RESUMEN</t>
  </si>
  <si>
    <t>EvaluationID seleccionado</t>
  </si>
  <si>
    <t>Consistencia selección</t>
  </si>
  <si>
    <t>Mismo paciente</t>
  </si>
  <si>
    <t>Pacientes registrados</t>
  </si>
  <si>
    <t>PatientID no vacío</t>
  </si>
  <si>
    <t>Evaluaciones registradas</t>
  </si>
  <si>
    <t>EvaluationID no vacío</t>
  </si>
  <si>
    <t>Última fecha registrada</t>
  </si>
  <si>
    <t>Máximo de evaluaciones</t>
  </si>
  <si>
    <t>PatientID duplicados</t>
  </si>
  <si>
    <t>Debe ser 0</t>
  </si>
  <si>
    <t>EvaluationID duplicados</t>
  </si>
  <si>
    <t>Evaluaciones huérfanas</t>
  </si>
  <si>
    <t>Registros ficticios</t>
  </si>
  <si>
    <t>Casos de prueba</t>
  </si>
  <si>
    <t>Datos seleccionados</t>
  </si>
  <si>
    <t>Paciente</t>
  </si>
  <si>
    <t>Nombre directo</t>
  </si>
  <si>
    <t>Según interruptor</t>
  </si>
  <si>
    <t>Fecha evaluación</t>
  </si>
  <si>
    <t>Evaluación</t>
  </si>
  <si>
    <t>Antropometría seleccionada</t>
  </si>
  <si>
    <t>kg</t>
  </si>
  <si>
    <t>cm</t>
  </si>
  <si>
    <t>kg/m²</t>
  </si>
  <si>
    <t>Cambio peso</t>
  </si>
  <si>
    <t>%</t>
  </si>
  <si>
    <t>Bioquímica y recordatorio 24 h</t>
  </si>
  <si>
    <t>Resultados bioquímicos</t>
  </si>
  <si>
    <t>Total</t>
  </si>
  <si>
    <t>Conteo</t>
  </si>
  <si>
    <t>No evaluables</t>
  </si>
  <si>
    <t>Resultado señalado 1</t>
  </si>
  <si>
    <t>Primero</t>
  </si>
  <si>
    <t>Resultado señalado 2</t>
  </si>
  <si>
    <t>Segundo</t>
  </si>
  <si>
    <t>Resultado señalado 3</t>
  </si>
  <si>
    <t>Tercero</t>
  </si>
  <si>
    <t>kcal</t>
  </si>
  <si>
    <t>Proteínas R24H</t>
  </si>
  <si>
    <t>g</t>
  </si>
  <si>
    <t>Carbohidratos R24H</t>
  </si>
  <si>
    <t>Grasas R24H</t>
  </si>
  <si>
    <t>Fibra R24H</t>
  </si>
  <si>
    <t>conteo</t>
  </si>
  <si>
    <t>Primera comida</t>
  </si>
  <si>
    <t>hora</t>
  </si>
  <si>
    <t>Última comida</t>
  </si>
  <si>
    <t>Fármacos</t>
  </si>
  <si>
    <t>Diagnóstico, objetivos e intervención</t>
  </si>
  <si>
    <t>Datos auxiliares de gráficos por PatientID</t>
  </si>
  <si>
    <t>Rango</t>
  </si>
  <si>
    <t>Cumplimiento</t>
  </si>
  <si>
    <t>CATÁLOGOS · Listas configurables y referencias verificables</t>
  </si>
  <si>
    <t>DATO FICTICIO — NO UTILIZAR EN CONSULTA · No utilizar como referencia clínica.</t>
  </si>
  <si>
    <t>Listas maestras para validación</t>
  </si>
  <si>
    <t>Estados paciente</t>
  </si>
  <si>
    <t>Tipos evaluación</t>
  </si>
  <si>
    <t>Modalidades</t>
  </si>
  <si>
    <t>Categorías antecedentes</t>
  </si>
  <si>
    <t>Sistemas clínicos</t>
  </si>
  <si>
    <t>Tipos actividad</t>
  </si>
  <si>
    <t>Estados diagnóstico</t>
  </si>
  <si>
    <t>Prioridades</t>
  </si>
  <si>
    <t>Estados objetivos</t>
  </si>
  <si>
    <t>Categorías intervención</t>
  </si>
  <si>
    <t>Unidades</t>
  </si>
  <si>
    <t>Fuentes dato</t>
  </si>
  <si>
    <t>Consentimiento</t>
  </si>
  <si>
    <t>Estados registro</t>
  </si>
  <si>
    <t>Tipo día</t>
  </si>
  <si>
    <t>Estado bioquímico</t>
  </si>
  <si>
    <t>Sí / No / NA</t>
  </si>
  <si>
    <t>Gastrointestinal</t>
  </si>
  <si>
    <t>Educación alimentaria</t>
  </si>
  <si>
    <t>Leve</t>
  </si>
  <si>
    <t>Bajo</t>
  </si>
  <si>
    <t>Inactivo</t>
  </si>
  <si>
    <t>Colación mañana</t>
  </si>
  <si>
    <t>Dentro de rango</t>
  </si>
  <si>
    <t>Reevaluación</t>
  </si>
  <si>
    <t>Cirugías</t>
  </si>
  <si>
    <t>Deglución</t>
  </si>
  <si>
    <t>Pausado</t>
  </si>
  <si>
    <t>m</t>
  </si>
  <si>
    <t>Severa</t>
  </si>
  <si>
    <t>Fin de semana</t>
  </si>
  <si>
    <t>Alto</t>
  </si>
  <si>
    <t>No aplica</t>
  </si>
  <si>
    <t>Derivado</t>
  </si>
  <si>
    <t>Cierre</t>
  </si>
  <si>
    <t>Hospitalizaciones</t>
  </si>
  <si>
    <t>Masticación</t>
  </si>
  <si>
    <t>Colación tarde</t>
  </si>
  <si>
    <t>Desplazamiento activo</t>
  </si>
  <si>
    <t>Cerrado</t>
  </si>
  <si>
    <t>Crítica</t>
  </si>
  <si>
    <t>Modificación de textura</t>
  </si>
  <si>
    <t>Laboral</t>
  </si>
  <si>
    <t>No evaluable</t>
  </si>
  <si>
    <t>Archivado</t>
  </si>
  <si>
    <t>Náuseas</t>
  </si>
  <si>
    <t>Once / merienda</t>
  </si>
  <si>
    <t>Rehabilitación</t>
  </si>
  <si>
    <t>Anulado</t>
  </si>
  <si>
    <t>Cancelado</t>
  </si>
  <si>
    <t>Hidratación</t>
  </si>
  <si>
    <t>mg</t>
  </si>
  <si>
    <t>Estimado</t>
  </si>
  <si>
    <t>Festivo</t>
  </si>
  <si>
    <t>Intolerancias</t>
  </si>
  <si>
    <t>Vómitos</t>
  </si>
  <si>
    <t>Otro</t>
  </si>
  <si>
    <t>µg</t>
  </si>
  <si>
    <t>Pendiente de confirmar</t>
  </si>
  <si>
    <t>Salud digestiva</t>
  </si>
  <si>
    <t>Diarrea</t>
  </si>
  <si>
    <t>Consumo nocturno</t>
  </si>
  <si>
    <t>mL</t>
  </si>
  <si>
    <t>Salud endocrina</t>
  </si>
  <si>
    <t>Estreñimiento</t>
  </si>
  <si>
    <t>L</t>
  </si>
  <si>
    <t>Salud cardiovascular</t>
  </si>
  <si>
    <t>Dolor</t>
  </si>
  <si>
    <t>Coordinación interdisciplinaria</t>
  </si>
  <si>
    <t>Salud renal</t>
  </si>
  <si>
    <t>Fatiga</t>
  </si>
  <si>
    <t>g/día</t>
  </si>
  <si>
    <t>Salud hepática</t>
  </si>
  <si>
    <t>Sueño</t>
  </si>
  <si>
    <t>mg/dL</t>
  </si>
  <si>
    <t>Salud respiratoria</t>
  </si>
  <si>
    <t>Piel</t>
  </si>
  <si>
    <t>mmol/L</t>
  </si>
  <si>
    <t>Salud neurológica</t>
  </si>
  <si>
    <t>Cabello</t>
  </si>
  <si>
    <t>Salud mental</t>
  </si>
  <si>
    <t>Uñas</t>
  </si>
  <si>
    <t>Salud reproductiva</t>
  </si>
  <si>
    <t>minutos</t>
  </si>
  <si>
    <t>horas</t>
  </si>
  <si>
    <t>Tabaquismo</t>
  </si>
  <si>
    <t>Menstruación</t>
  </si>
  <si>
    <t>Alcohol</t>
  </si>
  <si>
    <t>Estrés</t>
  </si>
  <si>
    <t>Otras sustancias</t>
  </si>
  <si>
    <t>Estado de ánimo</t>
  </si>
  <si>
    <t>Situación social</t>
  </si>
  <si>
    <t>Otros</t>
  </si>
  <si>
    <t>Seguridad alimentaria</t>
  </si>
  <si>
    <t>T_ANALITOS</t>
  </si>
  <si>
    <t>Unidad sugerida</t>
  </si>
  <si>
    <t>AN-DEMO-01</t>
  </si>
  <si>
    <t>DATO FICTICIO — NO UTILIZAR EN CONSULTA</t>
  </si>
  <si>
    <t>AN-DEMO-02</t>
  </si>
  <si>
    <t>AN-DEMO-03</t>
  </si>
  <si>
    <t>T_RANGOS_BIOQUIMICOS</t>
  </si>
  <si>
    <t>Sexo/población</t>
  </si>
  <si>
    <t>Edad mínima</t>
  </si>
  <si>
    <t>Edad máxima</t>
  </si>
  <si>
    <t>Fuente</t>
  </si>
  <si>
    <t>Laboratorio/guía</t>
  </si>
  <si>
    <t>Estado verificación</t>
  </si>
  <si>
    <t>Adultos ficticios</t>
  </si>
  <si>
    <t>Fuente ficticia</t>
  </si>
  <si>
    <t>No verificado</t>
  </si>
  <si>
    <t>T_PROFESIONALES</t>
  </si>
  <si>
    <t>ProfesionalID</t>
  </si>
  <si>
    <t>Registro</t>
  </si>
  <si>
    <t>Centro</t>
  </si>
  <si>
    <t>Fecha actualización</t>
  </si>
  <si>
    <t>PROFESIONAL FICTICIO</t>
  </si>
  <si>
    <t>REGISTRO FICTICIO</t>
  </si>
  <si>
    <t>CENTRO FICTICIO</t>
  </si>
  <si>
    <t>T_CATALOGOS_GENERAL</t>
  </si>
  <si>
    <t>Catálogo</t>
  </si>
  <si>
    <t>Valor</t>
  </si>
  <si>
    <t>Orden</t>
  </si>
  <si>
    <t>A01</t>
  </si>
  <si>
    <t>Configuración interna</t>
  </si>
  <si>
    <t>A02</t>
  </si>
  <si>
    <t>A03</t>
  </si>
  <si>
    <t>A04</t>
  </si>
  <si>
    <t>A05</t>
  </si>
  <si>
    <t>B01</t>
  </si>
  <si>
    <t>B02</t>
  </si>
  <si>
    <t>B03</t>
  </si>
  <si>
    <t>B04</t>
  </si>
  <si>
    <t>C01</t>
  </si>
  <si>
    <t>C02</t>
  </si>
  <si>
    <t>C03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</si>
  <si>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</si>
  <si>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</si>
  <si>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</si>
  <si>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</si>
  <si>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</si>
  <si>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</si>
  <si>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</si>
  <si>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</si>
  <si>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</si>
  <si>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</si>
  <si>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</si>
  <si>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</si>
  <si>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</si>
  <si>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</si>
  <si>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</si>
  <si>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</si>
  <si>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</si>
  <si>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</si>
  <si>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</si>
  <si>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</si>
  <si>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</si>
  <si>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</si>
  <si>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</si>
  <si>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</si>
  <si>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</si>
  <si>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</si>
  <si>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</si>
  <si>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</si>
  <si>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</si>
  <si>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</si>
  <si>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</si>
  <si>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</si>
  <si>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</si>
  <si>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</si>
  <si>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</si>
  <si>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</si>
  <si>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</si>
  <si>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</si>
  <si>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</si>
  <si>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</si>
  <si>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</si>
  <si>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F01</t>
  </si>
  <si>
    <t>F02</t>
  </si>
  <si>
    <t>F03</t>
  </si>
  <si>
    <t>F04</t>
  </si>
  <si>
    <t>F05</t>
  </si>
  <si>
    <t>F06</t>
  </si>
  <si>
    <t>F07</t>
  </si>
  <si>
    <t>F08</t>
  </si>
  <si>
    <t>G01</t>
  </si>
  <si>
    <t>G02</t>
  </si>
  <si>
    <t>G03</t>
  </si>
  <si>
    <t>G04</t>
  </si>
  <si>
    <t>G05</t>
  </si>
  <si>
    <t>G06</t>
  </si>
  <si>
    <t>H01</t>
  </si>
  <si>
    <t>H02</t>
  </si>
  <si>
    <t>H03</t>
  </si>
  <si>
    <t>H04</t>
  </si>
  <si>
    <t>H05</t>
  </si>
  <si>
    <t>I01</t>
  </si>
  <si>
    <t>I02</t>
  </si>
  <si>
    <t>I03</t>
  </si>
  <si>
    <t>I04</t>
  </si>
  <si>
    <t>J01</t>
  </si>
  <si>
    <t>J02</t>
  </si>
  <si>
    <t>J03</t>
  </si>
  <si>
    <t>J04</t>
  </si>
  <si>
    <t>J05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</si>
  <si>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</si>
  <si>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</si>
  <si>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</si>
  <si>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</si>
  <si>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</si>
  <si>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</si>
  <si>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</si>
  <si>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</si>
  <si>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</si>
  <si>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</si>
  <si>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</si>
  <si>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</si>
  <si>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</si>
  <si>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</si>
  <si>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</si>
  <si>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</si>
  <si>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</si>
  <si>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</si>
  <si>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</si>
  <si>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</si>
  <si>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</si>
  <si>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</si>
  <si>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</si>
  <si>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</si>
  <si>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</si>
  <si>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</si>
  <si>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</si>
  <si>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</si>
  <si>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M01</t>
  </si>
  <si>
    <t>M02</t>
  </si>
  <si>
    <t>M03</t>
  </si>
  <si>
    <t>M04</t>
  </si>
  <si>
    <t>M05</t>
  </si>
  <si>
    <t>M06</t>
  </si>
  <si>
    <t>N01</t>
  </si>
  <si>
    <t>N02</t>
  </si>
  <si>
    <t>N03</t>
  </si>
  <si>
    <t>N04</t>
  </si>
  <si>
    <t>O01</t>
  </si>
  <si>
    <t>O02</t>
  </si>
  <si>
    <t>O03</t>
  </si>
  <si>
    <t>O04</t>
  </si>
  <si>
    <t>O05</t>
  </si>
  <si>
    <t>O06</t>
  </si>
  <si>
    <t>P01</t>
  </si>
  <si>
    <t>P02</t>
  </si>
  <si>
    <t>P03</t>
  </si>
  <si>
    <t>P04</t>
  </si>
  <si>
    <t>Q01</t>
  </si>
  <si>
    <t>Q02</t>
  </si>
  <si>
    <t>Q03</t>
  </si>
  <si>
    <t>Q04</t>
  </si>
  <si>
    <t>R01</t>
  </si>
  <si>
    <t>R02</t>
  </si>
  <si>
    <t>R03</t>
  </si>
  <si>
    <t>R04</t>
  </si>
  <si>
    <t>S01</t>
  </si>
  <si>
    <t>S02</t>
  </si>
  <si>
    <t>S03</t>
  </si>
  <si>
    <t>S04</t>
  </si>
  <si>
    <t>S05</t>
  </si>
  <si>
    <t>S06</t>
  </si>
  <si>
    <t>T01</t>
  </si>
  <si>
    <t>T02</t>
  </si>
  <si>
    <t>T03</t>
  </si>
  <si>
    <t>T04</t>
  </si>
  <si>
    <t>U01</t>
  </si>
  <si>
    <t>U02</t>
  </si>
  <si>
    <t>U03</t>
  </si>
  <si>
    <t>PRUEBAS · 90 casos reproducibles, auditoría y resultados</t>
  </si>
  <si>
    <t>Los estados se calculan por fórmula. Las pruebas manuales no se marcan falsamente como aprobadas.</t>
  </si>
  <si>
    <t>ID</t>
  </si>
  <si>
    <t>Módulo</t>
  </si>
  <si>
    <t>Entrada 1</t>
  </si>
  <si>
    <t>Entrada 2</t>
  </si>
  <si>
    <t>Entrada 3</t>
  </si>
  <si>
    <t>Esperado</t>
  </si>
  <si>
    <t>Mecanismo</t>
  </si>
  <si>
    <t>Obtenido</t>
  </si>
  <si>
    <t>Diferencia</t>
  </si>
  <si>
    <t>Evidencia</t>
  </si>
  <si>
    <t>PatientID válido</t>
  </si>
  <si>
    <t>P-X</t>
  </si>
  <si>
    <t>VÁLIDO</t>
  </si>
  <si>
    <t>Fórmula</t>
  </si>
  <si>
    <t>Fórmula reproducible</t>
  </si>
  <si>
    <t>PatientID vacío</t>
  </si>
  <si>
    <t>VACÍO</t>
  </si>
  <si>
    <t>PatientID duplicado</t>
  </si>
  <si>
    <t>DUPLICADO</t>
  </si>
  <si>
    <t>Fecha nacimiento válida</t>
  </si>
  <si>
    <t>VÁLIDA</t>
  </si>
  <si>
    <t>T05</t>
  </si>
  <si>
    <t>Fecha nacimiento futura</t>
  </si>
  <si>
    <t>FUTURA</t>
  </si>
  <si>
    <t>T06</t>
  </si>
  <si>
    <t>Consentimiento sí con fecha</t>
  </si>
  <si>
    <t>T07</t>
  </si>
  <si>
    <t>Consentimiento sí sin fecha</t>
  </si>
  <si>
    <t>FALTA FECHA</t>
  </si>
  <si>
    <t>T08</t>
  </si>
  <si>
    <t>Consentimiento revocado</t>
  </si>
  <si>
    <t>REVOCADO</t>
  </si>
  <si>
    <t>T09</t>
  </si>
  <si>
    <t>Nombre vacío con ID</t>
  </si>
  <si>
    <t>T10</t>
  </si>
  <si>
    <t>Estado no permitido</t>
  </si>
  <si>
    <t>Desconocido</t>
  </si>
  <si>
    <t>NO PERMITIDO</t>
  </si>
  <si>
    <t>T11</t>
  </si>
  <si>
    <t>EvaluationID válido</t>
  </si>
  <si>
    <t>E-X</t>
  </si>
  <si>
    <t>T12</t>
  </si>
  <si>
    <t>EvaluationID duplicado</t>
  </si>
  <si>
    <t>T13</t>
  </si>
  <si>
    <t>PatientID existente</t>
  </si>
  <si>
    <t>EXISTE</t>
  </si>
  <si>
    <t>T14</t>
  </si>
  <si>
    <t>PatientID inexistente</t>
  </si>
  <si>
    <t>P-INEXISTENTE</t>
  </si>
  <si>
    <t>NO EXISTE</t>
  </si>
  <si>
    <t>T15</t>
  </si>
  <si>
    <t>Fecha válida</t>
  </si>
  <si>
    <t>T16</t>
  </si>
  <si>
    <t>Fecha futura</t>
  </si>
  <si>
    <t>T17</t>
  </si>
  <si>
    <t>Estado borrador</t>
  </si>
  <si>
    <t>T18</t>
  </si>
  <si>
    <t>Estado cerrado</t>
  </si>
  <si>
    <t>T19</t>
  </si>
  <si>
    <t>Sin profesional</t>
  </si>
  <si>
    <t>ADVERTENCIA</t>
  </si>
  <si>
    <t>T20</t>
  </si>
  <si>
    <t>Anulada conservada</t>
  </si>
  <si>
    <t>CONSERVADA</t>
  </si>
  <si>
    <t>T21</t>
  </si>
  <si>
    <t>IMC válido</t>
  </si>
  <si>
    <t>T22</t>
  </si>
  <si>
    <t>Peso vacío</t>
  </si>
  <si>
    <t>T23</t>
  </si>
  <si>
    <t>Estatura vacía</t>
  </si>
  <si>
    <t>T24</t>
  </si>
  <si>
    <t>Peso negativo</t>
  </si>
  <si>
    <t>IMPOSIBLE</t>
  </si>
  <si>
    <t>T25</t>
  </si>
  <si>
    <t>Estatura cero</t>
  </si>
  <si>
    <t>T26</t>
  </si>
  <si>
    <t>T27</t>
  </si>
  <si>
    <t>T28</t>
  </si>
  <si>
    <t>Masa grasa</t>
  </si>
  <si>
    <t>T29</t>
  </si>
  <si>
    <t>Masa libre grasa</t>
  </si>
  <si>
    <t>T30</t>
  </si>
  <si>
    <t>% grasa vacío</t>
  </si>
  <si>
    <t>T31</t>
  </si>
  <si>
    <t>% grasa inválido</t>
  </si>
  <si>
    <t>T32</t>
  </si>
  <si>
    <t>Cambio porcentual</t>
  </si>
  <si>
    <t>T33</t>
  </si>
  <si>
    <t>Peso habitual cero</t>
  </si>
  <si>
    <t>NO EVALUABLE</t>
  </si>
  <si>
    <t>T34</t>
  </si>
  <si>
    <t>Edema registrado</t>
  </si>
  <si>
    <t>T35</t>
  </si>
  <si>
    <t>Datos extremos</t>
  </si>
  <si>
    <t>T36</t>
  </si>
  <si>
    <t>Bioquímica</t>
  </si>
  <si>
    <t>T37</t>
  </si>
  <si>
    <t>Resultado bajo</t>
  </si>
  <si>
    <t>T38</t>
  </si>
  <si>
    <t>Resultado alto</t>
  </si>
  <si>
    <t>T39</t>
  </si>
  <si>
    <t>T40</t>
  </si>
  <si>
    <t>Límite inferior mayor</t>
  </si>
  <si>
    <t>INCOHERENTE</t>
  </si>
  <si>
    <t>T41</t>
  </si>
  <si>
    <t>Unidad vacía</t>
  </si>
  <si>
    <t>UNIDAD VACÍA</t>
  </si>
  <si>
    <t>T42</t>
  </si>
  <si>
    <t>CUALITATIVO</t>
  </si>
  <si>
    <t>T43</t>
  </si>
  <si>
    <t>NUMÉRICO</t>
  </si>
  <si>
    <t>T44</t>
  </si>
  <si>
    <t>Analito inexistente</t>
  </si>
  <si>
    <t>Analito desconocido</t>
  </si>
  <si>
    <t>NO CATALOGADO</t>
  </si>
  <si>
    <t>T45</t>
  </si>
  <si>
    <t>Módulo desactivado</t>
  </si>
  <si>
    <t>DESACTIVADO</t>
  </si>
  <si>
    <t>T46</t>
  </si>
  <si>
    <t>Alimentación</t>
  </si>
  <si>
    <t>Recordatorio completo</t>
  </si>
  <si>
    <t>Preparación</t>
  </si>
  <si>
    <t>COMPLETO</t>
  </si>
  <si>
    <t>T47</t>
  </si>
  <si>
    <t>Recordatorio vacío</t>
  </si>
  <si>
    <t>T48</t>
  </si>
  <si>
    <t>Energía sin macros</t>
  </si>
  <si>
    <t>T49</t>
  </si>
  <si>
    <t>Macros sin energía</t>
  </si>
  <si>
    <t>T50</t>
  </si>
  <si>
    <t>Tiempo válido</t>
  </si>
  <si>
    <t>T51</t>
  </si>
  <si>
    <t>Tiempo no permitido</t>
  </si>
  <si>
    <t>Madrugada extraña</t>
  </si>
  <si>
    <t>T52</t>
  </si>
  <si>
    <t>Cantidad negativa</t>
  </si>
  <si>
    <t>T53</t>
  </si>
  <si>
    <t>Día habitual</t>
  </si>
  <si>
    <t>T54</t>
  </si>
  <si>
    <t>Día no habitual</t>
  </si>
  <si>
    <t>T55</t>
  </si>
  <si>
    <t>Resumen por evaluación</t>
  </si>
  <si>
    <t>T56</t>
  </si>
  <si>
    <t>Dos evaluaciones mismo paciente</t>
  </si>
  <si>
    <t>E-1</t>
  </si>
  <si>
    <t>E-2</t>
  </si>
  <si>
    <t>T57</t>
  </si>
  <si>
    <t>Dos pacientes sin mezcla</t>
  </si>
  <si>
    <t>P-A</t>
  </si>
  <si>
    <t>P-B</t>
  </si>
  <si>
    <t>SEPARADOS</t>
  </si>
  <si>
    <t>T58</t>
  </si>
  <si>
    <t>Actividad válida</t>
  </si>
  <si>
    <t>Caminata</t>
  </si>
  <si>
    <t>T59</t>
  </si>
  <si>
    <t>Duración negativa</t>
  </si>
  <si>
    <t>T60</t>
  </si>
  <si>
    <t>MET sin fuente</t>
  </si>
  <si>
    <t>T61</t>
  </si>
  <si>
    <t>Medicamento completo</t>
  </si>
  <si>
    <t>Medicamento</t>
  </si>
  <si>
    <t>T62</t>
  </si>
  <si>
    <t>Medicamento sin dosis</t>
  </si>
  <si>
    <t>T63</t>
  </si>
  <si>
    <t>Suplemento completo</t>
  </si>
  <si>
    <t>Suplemento</t>
  </si>
  <si>
    <t>T64</t>
  </si>
  <si>
    <t>T65</t>
  </si>
  <si>
    <t>Diagnóstico</t>
  </si>
  <si>
    <t>Diagnóstico con problema</t>
  </si>
  <si>
    <t>T66</t>
  </si>
  <si>
    <t>Revisado sin problema</t>
  </si>
  <si>
    <t>BLOQUEAR</t>
  </si>
  <si>
    <t>T67</t>
  </si>
  <si>
    <t>Signos</t>
  </si>
  <si>
    <t>Problema relacionado con Etiología evidenciado por Signos</t>
  </si>
  <si>
    <t>T68</t>
  </si>
  <si>
    <t>Diagnóstico cerrado</t>
  </si>
  <si>
    <t>T69</t>
  </si>
  <si>
    <t>Diagnóstico activo</t>
  </si>
  <si>
    <t>T70</t>
  </si>
  <si>
    <t>Dos diagnósticos</t>
  </si>
  <si>
    <t>T71</t>
  </si>
  <si>
    <t>Objetivos</t>
  </si>
  <si>
    <t>Objetivo válido</t>
  </si>
  <si>
    <t>O-X</t>
  </si>
  <si>
    <t>T72</t>
  </si>
  <si>
    <t>Meta vacía</t>
  </si>
  <si>
    <t>T73</t>
  </si>
  <si>
    <t>Avance menor cero</t>
  </si>
  <si>
    <t>T74</t>
  </si>
  <si>
    <t>Avance mayor 100</t>
  </si>
  <si>
    <t>T75</t>
  </si>
  <si>
    <t>Objetivo cumplido</t>
  </si>
  <si>
    <t>T76</t>
  </si>
  <si>
    <t>Relacionada con objetivo</t>
  </si>
  <si>
    <t>T77</t>
  </si>
  <si>
    <t>Objetivo inexistente</t>
  </si>
  <si>
    <t>O-INEXISTENTE</t>
  </si>
  <si>
    <t>T78</t>
  </si>
  <si>
    <t>Fecha objetivo anterior</t>
  </si>
  <si>
    <t>T79</t>
  </si>
  <si>
    <t>Comparación válida</t>
  </si>
  <si>
    <t>T80</t>
  </si>
  <si>
    <t>Evaluación anterior inexistente</t>
  </si>
  <si>
    <t>E-INEXISTENTE</t>
  </si>
  <si>
    <t>T81</t>
  </si>
  <si>
    <t>Anterior de otro paciente</t>
  </si>
  <si>
    <t>CRUZADA</t>
  </si>
  <si>
    <t>T82</t>
  </si>
  <si>
    <t>Fecha anterior inválida</t>
  </si>
  <si>
    <t>T83</t>
  </si>
  <si>
    <t>T84</t>
  </si>
  <si>
    <t>Resumen</t>
  </si>
  <si>
    <t>Resumen de paciente</t>
  </si>
  <si>
    <t>T85</t>
  </si>
  <si>
    <t>Cambio PatientID</t>
  </si>
  <si>
    <t>CAMBIA</t>
  </si>
  <si>
    <t>T86</t>
  </si>
  <si>
    <t>Cambio EvaluationID</t>
  </si>
  <si>
    <t>T87</t>
  </si>
  <si>
    <t>Gráficos</t>
  </si>
  <si>
    <t>Sin datos</t>
  </si>
  <si>
    <t>MENSAJE</t>
  </si>
  <si>
    <t>T88</t>
  </si>
  <si>
    <t>Dos evaluaciones</t>
  </si>
  <si>
    <t>GRAFICAR</t>
  </si>
  <si>
    <t>T89</t>
  </si>
  <si>
    <t>Impresión</t>
  </si>
  <si>
    <t>Área de impresión</t>
  </si>
  <si>
    <t>NO EVALUADA</t>
  </si>
  <si>
    <t>Prueba manual en Excel</t>
  </si>
  <si>
    <t>API de impresión no expuesta</t>
  </si>
  <si>
    <t>T90</t>
  </si>
  <si>
    <t>Tablas</t>
  </si>
  <si>
    <t>Actualización al agregar filas</t>
  </si>
  <si>
    <t>Requiere insertar fila y recalcular en Excel real</t>
  </si>
  <si>
    <t>Resumen de pruebas</t>
  </si>
  <si>
    <t>Aprobadas</t>
  </si>
  <si>
    <t>Fallidas</t>
  </si>
  <si>
    <t>No evaluadas</t>
  </si>
  <si>
    <t>Errores</t>
  </si>
  <si>
    <t>Porcentaje aprobación</t>
  </si>
  <si>
    <t>Suma de estados</t>
  </si>
  <si>
    <t>Auditoría externa de cálculos</t>
  </si>
  <si>
    <t>Entrada</t>
  </si>
  <si>
    <t>Resultado Python</t>
  </si>
  <si>
    <t>Resultado libro</t>
  </si>
  <si>
    <t>Tolerancia</t>
  </si>
  <si>
    <t>Observación</t>
  </si>
  <si>
    <t>87 kg / 180 cm</t>
  </si>
  <si>
    <t>Cálculo independiente en Python</t>
  </si>
  <si>
    <t>96/180</t>
  </si>
  <si>
    <t>96/103</t>
  </si>
  <si>
    <t>87×24%</t>
  </si>
  <si>
    <t>Masa libre</t>
  </si>
  <si>
    <t>87-masa grasa</t>
  </si>
  <si>
    <t>Cambio absoluto</t>
  </si>
  <si>
    <t>90→87</t>
  </si>
  <si>
    <t>Días</t>
  </si>
  <si>
    <t>2026-05-01 a 2026-07-01</t>
  </si>
  <si>
    <t>Auditoría independiente y correcciones</t>
  </si>
  <si>
    <t>Hallazgo</t>
  </si>
  <si>
    <t>Clasificación</t>
  </si>
  <si>
    <t>Corrección</t>
  </si>
  <si>
    <t>Modelo de un solo paciente</t>
  </si>
  <si>
    <t>Archivo anterior</t>
  </si>
  <si>
    <t>Defecto confirmado</t>
  </si>
  <si>
    <t>Se reemplazó por T_PACIENTES y T_EVALUACIONES</t>
  </si>
  <si>
    <t>Corregido</t>
  </si>
  <si>
    <t>Faltaban BIOQUIMICA/ACTIVIDAD/DIAGNOSTICO/INTERVENCION/CATALOGOS</t>
  </si>
  <si>
    <t>Comparación de hojas</t>
  </si>
  <si>
    <t>Se añadieron módulos</t>
  </si>
  <si>
    <t>Recordatorio 24 h ausente</t>
  </si>
  <si>
    <t>Se añadió T_R24H manual</t>
  </si>
  <si>
    <t>55 pruebas insuficientes</t>
  </si>
  <si>
    <t>PRUEBAS anterior</t>
  </si>
  <si>
    <t>Se ampliaron a 90</t>
  </si>
  <si>
    <t>Sin selección PatientID/EvaluationID</t>
  </si>
  <si>
    <t>RESUMEN anterior</t>
  </si>
  <si>
    <t>Se añadieron selectores y controles</t>
  </si>
  <si>
    <t>Protección nativa</t>
  </si>
  <si>
    <t>API artifact_tool</t>
  </si>
  <si>
    <t>Limitación conocida</t>
  </si>
  <si>
    <t>Documentada; aplicar en Excel</t>
  </si>
  <si>
    <t>Pendiente manual</t>
  </si>
  <si>
    <t>Documentada; configurar en Excel</t>
  </si>
  <si>
    <t>Recálculo real Excel</t>
  </si>
  <si>
    <t>Entorno actual</t>
  </si>
  <si>
    <t>No se afirma recálculo real</t>
  </si>
  <si>
    <t>Pendiente externo</t>
  </si>
  <si>
    <t>CONFIGURACIÓN · Parámetros, interruptores y trazabilidad</t>
  </si>
  <si>
    <t>CONFIG es la fuente única de constantes operativas; no son criterios diagnósticos.</t>
  </si>
  <si>
    <t>Identificación y compatibilidad</t>
  </si>
  <si>
    <t>Parámetro</t>
  </si>
  <si>
    <t>Historia Clínica Nutricional Completa</t>
  </si>
  <si>
    <t>Revisión ampliada</t>
  </si>
  <si>
    <t>fecha</t>
  </si>
  <si>
    <t>Construcción</t>
  </si>
  <si>
    <t>Versión esquema</t>
  </si>
  <si>
    <t>NMX03-MULTI-1</t>
  </si>
  <si>
    <t>Modelo multi-paciente</t>
  </si>
  <si>
    <t>Excel 365 / Excel 2021 Windows</t>
  </si>
  <si>
    <t>Requiere prueba física</t>
  </si>
  <si>
    <t>Formato</t>
  </si>
  <si>
    <t>XLSX sin macros</t>
  </si>
  <si>
    <t>Sin VBA/conexiones</t>
  </si>
  <si>
    <t>Estado comercial</t>
  </si>
  <si>
    <t>CANDIDATO A PUBLICACIÓN</t>
  </si>
  <si>
    <t>No listo para publicación</t>
  </si>
  <si>
    <t>Idioma</t>
  </si>
  <si>
    <t>Español</t>
  </si>
  <si>
    <t>Interfaz</t>
  </si>
  <si>
    <t>País o región</t>
  </si>
  <si>
    <t>Chile</t>
  </si>
  <si>
    <t>Revisar normativa</t>
  </si>
  <si>
    <t>Formato fecha</t>
  </si>
  <si>
    <t>yyyy-mm-dd</t>
  </si>
  <si>
    <t>ISO</t>
  </si>
  <si>
    <t>Primer día semana</t>
  </si>
  <si>
    <t>Lunes</t>
  </si>
  <si>
    <t>Configuración</t>
  </si>
  <si>
    <t>Visible y justificada</t>
  </si>
  <si>
    <t>Resumen/gráficos auditables</t>
  </si>
  <si>
    <t>Interruptores funcionales</t>
  </si>
  <si>
    <t>Interruptor</t>
  </si>
  <si>
    <t>Efecto real</t>
  </si>
  <si>
    <t>Activar bioquímica</t>
  </si>
  <si>
    <t>Cálculos y resumen</t>
  </si>
  <si>
    <t>No elimina datos existentes</t>
  </si>
  <si>
    <t>Activar recordatorio 24 h</t>
  </si>
  <si>
    <t>Totales y controles</t>
  </si>
  <si>
    <t>Activar actividad física</t>
  </si>
  <si>
    <t>Controles</t>
  </si>
  <si>
    <t>Activar fármacos</t>
  </si>
  <si>
    <t>Activar suplementos</t>
  </si>
  <si>
    <t>Activar composición corporal</t>
  </si>
  <si>
    <t>Masa grasa/libre</t>
  </si>
  <si>
    <t>Activar gráficos</t>
  </si>
  <si>
    <t>Datos auxiliares</t>
  </si>
  <si>
    <t>Activar identificatorios directos</t>
  </si>
  <si>
    <t>Exposición en resumen</t>
  </si>
  <si>
    <t>Permitir fechas futuras</t>
  </si>
  <si>
    <t>Alertas</t>
  </si>
  <si>
    <t>Límites operativos y tolerancias</t>
  </si>
  <si>
    <t>años</t>
  </si>
  <si>
    <t>Control operativo</t>
  </si>
  <si>
    <t>Peso mínimo</t>
  </si>
  <si>
    <t>Peso máximo</t>
  </si>
  <si>
    <t>Estatura mínima</t>
  </si>
  <si>
    <t>Estatura máxima</t>
  </si>
  <si>
    <t>Cintura mínima</t>
  </si>
  <si>
    <t>Cintura máxima</t>
  </si>
  <si>
    <t>Cadera mínima</t>
  </si>
  <si>
    <t>Cadera máxima</t>
  </si>
  <si>
    <t>% grasa mínimo</t>
  </si>
  <si>
    <t>% grasa máximo</t>
  </si>
  <si>
    <t>Máximo evaluaciones gráfico</t>
  </si>
  <si>
    <t>registros</t>
  </si>
  <si>
    <t>Longitud observación</t>
  </si>
  <si>
    <t>caracteres</t>
  </si>
  <si>
    <t>Políticas y limitaciones</t>
  </si>
  <si>
    <t>Regla</t>
  </si>
  <si>
    <t>Obligatorio y único</t>
  </si>
  <si>
    <t>Documentado en CHANGELOG</t>
  </si>
  <si>
    <t>Datos faltantes</t>
  </si>
  <si>
    <t>Conservar vacío</t>
  </si>
  <si>
    <t>Históricos</t>
  </si>
  <si>
    <t>No sobrescribir</t>
  </si>
  <si>
    <t>Correo</t>
  </si>
  <si>
    <t>Validación básica</t>
  </si>
  <si>
    <t>Protección</t>
  </si>
  <si>
    <t>Barrera antiedición aplicada; protección nativa pendiente de Excel real</t>
  </si>
  <si>
    <t>Áreas de impresión</t>
  </si>
  <si>
    <t>Protocolo documentado; pendiente de Excel real</t>
  </si>
  <si>
    <t>Pendiente en Excel 2021 y Microsoft 365</t>
  </si>
  <si>
    <t>Revisión clínica profesional</t>
  </si>
  <si>
    <t>Aprobada por nutricionista profesional titulado — declaración del propietario</t>
  </si>
  <si>
    <t>Identidad y firma pendientes de consignar</t>
  </si>
  <si>
    <t>Nombre / registro profesional</t>
  </si>
  <si>
    <t>PENDIENTE DE CONSIGNAR</t>
  </si>
  <si>
    <t>Completar antes de publicación definitiva</t>
  </si>
  <si>
    <t>Versión revisada</t>
  </si>
  <si>
    <t>Revisión clínica interna/independiente declarada</t>
  </si>
  <si>
    <t>T_TRAZABILIDAD</t>
  </si>
  <si>
    <t>Requisito</t>
  </si>
  <si>
    <t>Hoja</t>
  </si>
  <si>
    <t>Tabla</t>
  </si>
  <si>
    <t>Campo/rango</t>
  </si>
  <si>
    <t>Prueba</t>
  </si>
  <si>
    <t>Múltiples pacientes</t>
  </si>
  <si>
    <t>Duplicados/relación</t>
  </si>
  <si>
    <t>T01-T10</t>
  </si>
  <si>
    <t>Diseño de datos</t>
  </si>
  <si>
    <t>Implementado</t>
  </si>
  <si>
    <t>Múltiples evaluaciones</t>
  </si>
  <si>
    <t>Relación uno-a-muchos</t>
  </si>
  <si>
    <t>T11-T20</t>
  </si>
  <si>
    <t>Peso/estatura/%grasa</t>
  </si>
  <si>
    <t>Fórmulas explícitas</t>
  </si>
  <si>
    <t>T21-T35</t>
  </si>
  <si>
    <t>WHO</t>
  </si>
  <si>
    <t>Resultado/rango</t>
  </si>
  <si>
    <t>Comparación ingresada</t>
  </si>
  <si>
    <t>T36-T45</t>
  </si>
  <si>
    <t>R24H</t>
  </si>
  <si>
    <t>T_R24H</t>
  </si>
  <si>
    <t>Nutrientes manuales</t>
  </si>
  <si>
    <t>SUMIFS por evaluación</t>
  </si>
  <si>
    <t>T46-T57</t>
  </si>
  <si>
    <t>USDA</t>
  </si>
  <si>
    <t>PES editable</t>
  </si>
  <si>
    <t>Concatenación/revisión</t>
  </si>
  <si>
    <t>T65-T70</t>
  </si>
  <si>
    <t>Academy NCP</t>
  </si>
  <si>
    <t>Eval anterior</t>
  </si>
  <si>
    <t>Controles de paciente/fecha</t>
  </si>
  <si>
    <t>T79-T83</t>
  </si>
  <si>
    <t>Diseño longitudinal</t>
  </si>
  <si>
    <t>B6:B7</t>
  </si>
  <si>
    <t>INDEX/MATCH/COUNTIFS</t>
  </si>
  <si>
    <t>T84-T88</t>
  </si>
  <si>
    <t>A1:L60</t>
  </si>
  <si>
    <t>Parámetros documentados</t>
  </si>
  <si>
    <t>Microsoft</t>
  </si>
  <si>
    <t>Expansión</t>
  </si>
  <si>
    <t>Todas</t>
  </si>
  <si>
    <t>Filas</t>
  </si>
  <si>
    <t>Tablas estructuradas</t>
  </si>
  <si>
    <t>Prueba real pendiente</t>
  </si>
  <si>
    <t>FUENTES · Metodología, compatibilidad y normativa</t>
  </si>
  <si>
    <t>Fuentes oficiales o primarias consultadas; no se reproducen textos completos.</t>
  </si>
  <si>
    <t>Concepto</t>
  </si>
  <si>
    <t>Autor/organización</t>
  </si>
  <si>
    <t>Año</t>
  </si>
  <si>
    <t>Título</t>
  </si>
  <si>
    <t>DOI</t>
  </si>
  <si>
    <t>URL</t>
  </si>
  <si>
    <t>Fecha consulta</t>
  </si>
  <si>
    <t>Población</t>
  </si>
  <si>
    <t>Aplicación</t>
  </si>
  <si>
    <t>Licencia/uso</t>
  </si>
  <si>
    <t>Nivel verificación</t>
  </si>
  <si>
    <t>World Health Organization</t>
  </si>
  <si>
    <t>Body mass index</t>
  </si>
  <si>
    <t>https://www.who.int/data/gho/indicator-metadata-registry/imr-details/4804</t>
  </si>
  <si>
    <t>Adultos</t>
  </si>
  <si>
    <t>Peso/estatura²</t>
  </si>
  <si>
    <t>No sustituye evaluación clínica</t>
  </si>
  <si>
    <t>Consulta y cita</t>
  </si>
  <si>
    <t>A</t>
  </si>
  <si>
    <t>Verificada</t>
  </si>
  <si>
    <t>Cintura y cintura/cadera</t>
  </si>
  <si>
    <t>Waist circumference and waist-hip ratio</t>
  </si>
  <si>
    <t>https://www.who.int/publications/i/item/9789241501491</t>
  </si>
  <si>
    <t>cm / razón</t>
  </si>
  <si>
    <t>Metodología de medición</t>
  </si>
  <si>
    <t>No se incluyen cortes automáticos</t>
  </si>
  <si>
    <t>Recordatorio 24 h</t>
  </si>
  <si>
    <t>USDA Agricultural Research Service</t>
  </si>
  <si>
    <t>USDA Automated Multiple-Pass Method</t>
  </si>
  <si>
    <t>https://www.ars.usda.gov/northeast-area/beltsville-md-bhnrc/beltsville-human-nutrition-research-center/food-surveys-research-group/docs/ampm-usda-automated-multiple-pass-method/</t>
  </si>
  <si>
    <t>Encuesta dietaria</t>
  </si>
  <si>
    <t>n/a</t>
  </si>
  <si>
    <t>Metodología de recuerdo</t>
  </si>
  <si>
    <t>Esta versión es manual y no automatiza AMPM</t>
  </si>
  <si>
    <t>Sitio oficial</t>
  </si>
  <si>
    <t>Diagnóstico nutricional/PES</t>
  </si>
  <si>
    <t>Academy of Nutrition and Dietetics</t>
  </si>
  <si>
    <t>Nutrition Diagnosis</t>
  </si>
  <si>
    <t>https://www.eatrightpro.org/practice/nutrition-care-process/ncp-overview/nutrition-diagnosis</t>
  </si>
  <si>
    <t>Práctica profesional</t>
  </si>
  <si>
    <t>Estructura PES opcional</t>
  </si>
  <si>
    <t>Requiere juicio y terminología profesional</t>
  </si>
  <si>
    <t>Proceso de atención nutricional</t>
  </si>
  <si>
    <t>Nutrition Care Process</t>
  </si>
  <si>
    <t>https://www.eatrightpro.org/practice/nutrition-care-process</t>
  </si>
  <si>
    <t>Evaluación, diagnóstico, intervención, monitoreo</t>
  </si>
  <si>
    <t>No obligatorio en todos los contextos</t>
  </si>
  <si>
    <t>MET</t>
  </si>
  <si>
    <t>Compendium of Physical Activities</t>
  </si>
  <si>
    <t>Adult Compendium</t>
  </si>
  <si>
    <t>https://pacompendium.com/</t>
  </si>
  <si>
    <t>Fuente opcional de MET</t>
  </si>
  <si>
    <t>No se hardcodean valores</t>
  </si>
  <si>
    <t>Consulta</t>
  </si>
  <si>
    <t>B</t>
  </si>
  <si>
    <t>Tablas Excel</t>
  </si>
  <si>
    <t>Overview of Excel tables</t>
  </si>
  <si>
    <t>https://support.microsoft.com/en-us/excel/overview-of-excel-tables</t>
  </si>
  <si>
    <t>Excel</t>
  </si>
  <si>
    <t>Tablas ampliables y referencias</t>
  </si>
  <si>
    <t>Requiere prueba en Excel real</t>
  </si>
  <si>
    <t>Documentación oficial</t>
  </si>
  <si>
    <t>Validación Excel</t>
  </si>
  <si>
    <t>Apply data validation to cells</t>
  </si>
  <si>
    <t>https://support.microsoft.com/en-us/excel/get-started/apply-data-validation-to-cells</t>
  </si>
  <si>
    <t>Excel 2021/365</t>
  </si>
  <si>
    <t>Listas y reglas</t>
  </si>
  <si>
    <t>Mensajes completos dependen del motor</t>
  </si>
  <si>
    <t>F09</t>
  </si>
  <si>
    <t>Protección datos</t>
  </si>
  <si>
    <t>Biblioteca del Congreso Nacional de Chile</t>
  </si>
  <si>
    <t>Ley 19.628</t>
  </si>
  <si>
    <t>https://www.bcn.cl/leychile/navegar?idNorma=141599</t>
  </si>
  <si>
    <t>Privacidad</t>
  </si>
  <si>
    <t>No es asesoría legal</t>
  </si>
  <si>
    <t>Texto oficial</t>
  </si>
  <si>
    <t>F10</t>
  </si>
  <si>
    <t>Nueva regulación datos</t>
  </si>
  <si>
    <t>Ley 21.719</t>
  </si>
  <si>
    <t>https://www.bcn.cl/leychile/navegar?idNorma=1209272</t>
  </si>
  <si>
    <t>Vigencia 2026-12-01</t>
  </si>
  <si>
    <t>Requiere adecuación</t>
  </si>
  <si>
    <t>F11</t>
  </si>
  <si>
    <t>Ficha clínica y consentimiento</t>
  </si>
  <si>
    <t>Ley 20.584</t>
  </si>
  <si>
    <t>https://www.bcn.cl/leychile/navegar?idNorma=1039348</t>
  </si>
  <si>
    <t>Derechos/deberes</t>
  </si>
  <si>
    <t>Aplicación depende del prestador</t>
  </si>
  <si>
    <t>F12</t>
  </si>
  <si>
    <t>Cambio % peso y masas</t>
  </si>
  <si>
    <t>Cálculo matemático del libro</t>
  </si>
  <si>
    <t>Definiciones matemáticas internas</t>
  </si>
  <si>
    <t>No clínica</t>
  </si>
  <si>
    <t>kg / %</t>
  </si>
  <si>
    <t>Diferencias y masa por porcentaje</t>
  </si>
  <si>
    <t>Sin umbral diagnóstico</t>
  </si>
  <si>
    <t>Propio</t>
  </si>
  <si>
    <t>Documentada</t>
  </si>
  <si>
    <t>CHANGELOG · Control de cambios y limitaciones</t>
  </si>
  <si>
    <t>Cambio</t>
  </si>
  <si>
    <t>Elementos afectados</t>
  </si>
  <si>
    <t>Regresión</t>
  </si>
  <si>
    <t>1.0.0</t>
  </si>
  <si>
    <t>Reconstrucción multi-paciente</t>
  </si>
  <si>
    <t>Cumplir segundo prompt sin cambiar identidad visual</t>
  </si>
  <si>
    <t>Equipo técnico</t>
  </si>
  <si>
    <t>CANDIDATO TÉCNICO</t>
  </si>
  <si>
    <t>21 hojas y modelo de datos</t>
  </si>
  <si>
    <t>90 pruebas incluidas</t>
  </si>
  <si>
    <t>Añadidos módulos faltantes</t>
  </si>
  <si>
    <t>BIOQUIMICA, ACTIVIDAD, DIAGNOSTICO, INTERVENCION, CATALOGOS</t>
  </si>
  <si>
    <t>CORREGIDO</t>
  </si>
  <si>
    <t>Arquitectura</t>
  </si>
  <si>
    <t>Auditoría repetida</t>
  </si>
  <si>
    <t>Añadido T_R24H</t>
  </si>
  <si>
    <t>Registro manual sin inventar alimentos</t>
  </si>
  <si>
    <t>Pruebas T46-T57</t>
  </si>
  <si>
    <t>Resumen seleccionable y 4 gráficos</t>
  </si>
  <si>
    <t>Evitar mezcla de pacientes</t>
  </si>
  <si>
    <t>RESUMEN/CALCULOS</t>
  </si>
  <si>
    <t>Pruebas T84-T88</t>
  </si>
  <si>
    <t>Protección nativa pendiente</t>
  </si>
  <si>
    <t>API no expuesta</t>
  </si>
  <si>
    <t>LIMITACIÓN CONOCIDA</t>
  </si>
  <si>
    <t>Todas las hojas</t>
  </si>
  <si>
    <t>Aplicar y repetir regresión</t>
  </si>
  <si>
    <t>Áreas de impresión pendientes</t>
  </si>
  <si>
    <t>INICIO/RESUMEN</t>
  </si>
  <si>
    <t>Configurar en Excel real</t>
  </si>
  <si>
    <t>Diseño conservado</t>
  </si>
  <si>
    <t>Petición del usuario</t>
  </si>
  <si>
    <t>CORRECTO</t>
  </si>
  <si>
    <t>Paleta, tipografía, jerarquía</t>
  </si>
  <si>
    <t>Render visual</t>
  </si>
  <si>
    <t>2026-07-13</t>
  </si>
  <si>
    <t>Parche precomercial: retiro de HYPERLINK con error almacenado, ampliación de rangos, validaciones reforzadas, fechas y gráficos corregidos, barreras antiedición y auditoría comercial.</t>
  </si>
  <si>
    <t>Cerrar defectos técnicos previos a publicación.</t>
  </si>
  <si>
    <t>Nutrimetría Excel Lab / revisión profesional declarada</t>
  </si>
  <si>
    <t>Candidato a publicación</t>
  </si>
  <si>
    <t>Todo el libro</t>
  </si>
  <si>
    <t>Pendiente de Excel 2021/Microsoft 365 real</t>
  </si>
  <si>
    <t>1.0.2</t>
  </si>
  <si>
    <t>2026-08-01</t>
  </si>
  <si>
    <t>Corregidos dos errores de nombre (funcion no reconocida) en CALCULOS!B54:B55 (Primera/Ultima comida): el prefijo _xludf. de MINIFS/MAXIFS se reemplazo por el valido _xlfn., que si evalua. Verificado con recalculo completo (0 errores).</t>
  </si>
  <si>
    <t>Cerrar defecto técnico de fórmulas no reconocidas.</t>
  </si>
  <si>
    <t>Equipo Nutrimetria</t>
  </si>
  <si>
    <t>AUDITORÍA COMERCIAL · NMX-03 v1.0.1-RC</t>
  </si>
  <si>
    <t>Esta hoja documenta el estado precomercial. La aprobación clínica fue declarada por el propietario, quien indica ser nutricionista profesional con título universitario de Nutrición y Dietética. Antes de publicación debe consignarse identidad, registro profesional, jurisdicción y fecha de firma.</t>
  </si>
  <si>
    <t>Acción pendiente</t>
  </si>
  <si>
    <t>ESTADO DE LIBERACIÓN</t>
  </si>
  <si>
    <t>APROBADA — DECLARADA</t>
  </si>
  <si>
    <t>Propietario declara título universitario de Nutrición y Dietética.</t>
  </si>
  <si>
    <t>Consignar nombre, registro, país, fecha y firma.</t>
  </si>
  <si>
    <t>v1.0.1-RC
CANDIDATO A PUBLICACIÓN
Apto para beta profesional controlada. No etiquetar todavía como versión definitiva hasta completar protección nativa, impresión y protocolo físico en Excel 2021/Microsoft 365.</t>
  </si>
  <si>
    <t>Integridad de fórmulas</t>
  </si>
  <si>
    <t>APROBADA EN ENTORNO</t>
  </si>
  <si>
    <t>Escaneo sin errores de referencia o cálculo después del parche.</t>
  </si>
  <si>
    <t>Repetir tras abrir en Excel real.</t>
  </si>
  <si>
    <t>Navegación</t>
  </si>
  <si>
    <t>CORREGIDA</t>
  </si>
  <si>
    <t>Se retiraron fórmulas HYPERLINK guardadas como errores OOXML.</t>
  </si>
  <si>
    <t>Usar pestañas del libro; hipervínculos reales pueden añadirse en Excel si se desea.</t>
  </si>
  <si>
    <t>Capacidad longitudinal</t>
  </si>
  <si>
    <t>AMPLIADA</t>
  </si>
  <si>
    <t>Fórmulas maestras migradas a rangos de hasta 1.000 pacientes, 3.000 evaluaciones y 5.000 registros.</t>
  </si>
  <si>
    <t>Probar inserción de filas en Excel 2021/365.</t>
  </si>
  <si>
    <t>Validaciones</t>
  </si>
  <si>
    <t>REFORZADAS</t>
  </si>
  <si>
    <t>Listas, fechas y campos numéricos añadidos en módulos clínicos.</t>
  </si>
  <si>
    <t>Revisar mensajes con usuarios beta.</t>
  </si>
  <si>
    <t>Fechas y gráficos</t>
  </si>
  <si>
    <t>CORREGIDOS</t>
  </si>
  <si>
    <t>Fechas con formato ISO y gráficos con vacíos como intervalos.</t>
  </si>
  <si>
    <t>Verificar visualmente en Excel real.</t>
  </si>
  <si>
    <t>Barrera antiedición</t>
  </si>
  <si>
    <t>APLICADA</t>
  </si>
  <si>
    <t>Validación Stop en celdas con fórmula.</t>
  </si>
  <si>
    <t>No sustituye protección nativa.</t>
  </si>
  <si>
    <t>PENDIENTE EXTERNO</t>
  </si>
  <si>
    <t>La API actual no expone protección de hojas/libro.</t>
  </si>
  <si>
    <t>Aplicar en Microsoft Excel siguiendo COMPATIBILIDAD.</t>
  </si>
  <si>
    <t>La API actual no expone configuración de impresión.</t>
  </si>
  <si>
    <t>Configurar RESUMEN e informes en Excel real.</t>
  </si>
  <si>
    <t>Excel 2021 Windows</t>
  </si>
  <si>
    <t>Requiere instalación física.</t>
  </si>
  <si>
    <t>Ejecutar protocolo C01–C12.</t>
  </si>
  <si>
    <t>Microsoft 365 Windows</t>
  </si>
  <si>
    <t>Plantilla limpia</t>
  </si>
  <si>
    <t>RECOMENDADA</t>
  </si>
  <si>
    <t>La versión RC conserva datos ficticios identificados.</t>
  </si>
  <si>
    <t>Generar copia sin pacientes antes de la venta pública.</t>
  </si>
  <si>
    <t>DATOS DE APROBACIÓN PROFESIONAL</t>
  </si>
  <si>
    <t>Nombre profesional</t>
  </si>
  <si>
    <t>Nutricionista / Nutrición y Dietética</t>
  </si>
  <si>
    <t>Registro profesional</t>
  </si>
  <si>
    <t>País o jurisdicción</t>
  </si>
  <si>
    <t>Chile — confirmar</t>
  </si>
  <si>
    <t>Tipo de revisión</t>
  </si>
  <si>
    <t>Revisión clínica profesional declarada</t>
  </si>
  <si>
    <t>APROBADA CON PENDIENTES TÉCNICOS EXTERNOS</t>
  </si>
  <si>
    <t>Alcance</t>
  </si>
  <si>
    <t>Campos, lenguaje clínico, límites y uso profesional</t>
  </si>
  <si>
    <t>Firma</t>
  </si>
  <si>
    <t>PENDIENTE</t>
  </si>
  <si>
    <t>CRITERIOS PARA CAMBIAR EL ESTADO A “DEFINITIVO”</t>
  </si>
  <si>
    <t>1</t>
  </si>
  <si>
    <t>Aplicar protección nativa a hojas y estructura del libro.</t>
  </si>
  <si>
    <t>2</t>
  </si>
  <si>
    <t>Configurar y verificar áreas de impresión de RESUMEN y documentos clínicos.</t>
  </si>
  <si>
    <t>3</t>
  </si>
  <si>
    <t>Ejecutar C01–C12 en Excel 2021 para Windows.</t>
  </si>
  <si>
    <t>Ejecutar C01–C12 en Microsoft 365 para Windows.</t>
  </si>
  <si>
    <t>5</t>
  </si>
  <si>
    <t>Consignar identidad, registro y firma del profesional revisor.</t>
  </si>
  <si>
    <t>Generar y revisar una plantilla limpia sin pacientes ficticios.</t>
  </si>
  <si>
    <t>7</t>
  </si>
  <si>
    <t>Cerrar T89 y T90 con evidencia física.</t>
  </si>
  <si>
    <t>8</t>
  </si>
  <si>
    <t>Guardar, cerrar y reabrir el archivo sin advertencias de reparación.</t>
  </si>
  <si>
    <t>INVENTARIO TÉCNICO DE LA VERSIÓN RC</t>
  </si>
  <si>
    <t>Hojas</t>
  </si>
  <si>
    <t>Fórmulas</t>
  </si>
  <si>
    <t>Fórmulas HYPERLINK erróneas</t>
  </si>
  <si>
    <t>Rangos pequeños maestros restantes</t>
  </si>
  <si>
    <t>Barreras antiedición</t>
  </si>
  <si>
    <t>COMPATIBILIDAD, PROTECCIÓN Y PUBLICACIÓN · NMX-03 v1.0.1-RC</t>
  </si>
  <si>
    <t>Complete esta hoja en instalaciones reales de Microsoft Excel. No marque APROBADO sin abrir, recalcular, guardar, cerrar y reabrir el archivo.</t>
  </si>
  <si>
    <t>Criterio de aceptación</t>
  </si>
  <si>
    <t>Excel 2021</t>
  </si>
  <si>
    <t>Microsoft 365</t>
  </si>
  <si>
    <t>Apertura</t>
  </si>
  <si>
    <t>Abre sin reparación, contenido eliminado ni advertencia de formato.</t>
  </si>
  <si>
    <t>Recálculo completo</t>
  </si>
  <si>
    <t>Ctrl+Alt+F9 conserva PRUEBAS sin fallos nuevos.</t>
  </si>
  <si>
    <t>Las etiquetas y pestañas permiten acceder a todas las hojas sin errores visibles.</t>
  </si>
  <si>
    <t>C04</t>
  </si>
  <si>
    <t>Listas PatientID</t>
  </si>
  <si>
    <t>Un paciente nuevo agregado a T_PACIENTES aparece en selectores.</t>
  </si>
  <si>
    <t>C05</t>
  </si>
  <si>
    <t>Listas EvaluationID</t>
  </si>
  <si>
    <t>Una evaluación nueva aparece en tablas relacionadas y RESUMEN.</t>
  </si>
  <si>
    <t>C06</t>
  </si>
  <si>
    <t>Expansión de tablas</t>
  </si>
  <si>
    <t>Insertar fila dentro de cada tabla propaga fórmula, formato y validación.</t>
  </si>
  <si>
    <t>C07</t>
  </si>
  <si>
    <t>Fechas</t>
  </si>
  <si>
    <t>RESUMEN y ejes muestran fechas, no números de serie.</t>
  </si>
  <si>
    <t>C08</t>
  </si>
  <si>
    <t>No caen a cero por filas vacías y no se superponen.</t>
  </si>
  <si>
    <t>C09</t>
  </si>
  <si>
    <t>Solo entradas permitidas quedan editables; fórmulas y estructura quedan bloqueadas.</t>
  </si>
  <si>
    <t>C10</t>
  </si>
  <si>
    <t>RESUMEN se imprime completo, legible y con advertencias.</t>
  </si>
  <si>
    <t>C11</t>
  </si>
  <si>
    <t>Guardado y reapertura</t>
  </si>
  <si>
    <t>Datos, fórmulas, validaciones, gráficos y protección persisten.</t>
  </si>
  <si>
    <t>C12</t>
  </si>
  <si>
    <t>Copia sin datos ficticios conserva todas las funciones.</t>
  </si>
  <si>
    <t>PASOS PARA PROTECCIÓN NATIVA EN EXCEL</t>
  </si>
  <si>
    <t>En cada hoja operativa, seleccione únicamente las celdas de entrada y desmarque Formato de celdas → Protección → Bloqueada.</t>
  </si>
  <si>
    <t>Mantenga bloqueadas todas las celdas con fórmulas, encabezados, catálogos, CONFIG, CALCULOS y PRUEBAS.</t>
  </si>
  <si>
    <t>En Revisar → Proteger hoja, permita seleccionar celdas desbloqueadas, usar filtros y ordenar cuando corresponda.</t>
  </si>
  <si>
    <t>Proteja la estructura del libro para impedir eliminar, renombrar, mover u ocultar hojas.</t>
  </si>
  <si>
    <t>No escriba la contraseña dentro del libro. Guárdela en un gestor seguro.</t>
  </si>
  <si>
    <t>Recuerde: protección de hoja evita cambios accidentales; no cifra los datos clínicos.</t>
  </si>
  <si>
    <t>Para datos reales, use además cifrado del archivo y almacenamiento controlado según la normativa aplicable.</t>
  </si>
  <si>
    <t>CONFIGURACIÓN DE IMPRESIÓN RECOMENDADA</t>
  </si>
  <si>
    <t>Orientación horizontal; ajustar a 1 página de ancho; incluir A1:T52; márgenes estrechos; pie con versión y fecha.</t>
  </si>
  <si>
    <t>Orientación horizontal; repetir encabezado de tabla; no imprimir columnas personales si no son necesarias.</t>
  </si>
  <si>
    <t>Orientación horizontal; repetir encabezado; filtrar al paciente antes de imprimir.</t>
  </si>
  <si>
    <t>Orientación horizontal; incluir unidades y controles; repetir encabezado.</t>
  </si>
  <si>
    <t>Orientación horizontal; mostrar resumen y casos fallidos/no evaluados.</t>
  </si>
  <si>
    <t>1.0.3</t>
  </si>
  <si>
    <t>2026-08-05</t>
  </si>
  <si>
    <t>Eliminado el prefijo _xlfn. de CALCULOS!B54:B55 (Primera/Última comida). MINIFS/MAXIFS reemplazados por patrón portable SUMPRODUCT(MIN/MAX(IF(...))), sin _xlfn, sin MINIFS/MAXIFS, sin fórmulas matriciales CSE, en inglés y con comas. Lógica funcional idéntica.</t>
  </si>
  <si>
    <t>Compatibilidad plena Excel 2016/2021/365 y evaluadores no-Excel; evitar funciones con prefijo interno y errores de nombre o de valor.</t>
  </si>
  <si>
    <t>Ingeniería Excel / openpyxl</t>
  </si>
  <si>
    <t>CALCULOS!B54:B55</t>
  </si>
  <si>
    <t>Recálculo completo 0 errores; pruebas T46-T57 y T84-T91 sin cambios</t>
  </si>
  <si>
    <t>1.1.0-UDD</t>
  </si>
  <si>
    <t>Añadidas ocho hojas de integración UDD: criterios clínicos, adulto, adulto mayor, estimación de peso/talla, amputaciones, situaciones especiales, fuentes y pruebas.</t>
  </si>
  <si>
    <t>Incorporar exclusivamente elementos aprobados, con selección metodológica, trazabilidad y controles de derechos.</t>
  </si>
  <si>
    <t>Nutrimetría Excel Lab / integración clínica</t>
  </si>
  <si>
    <t>INTEGRACIÓN CONDICIONAL</t>
  </si>
  <si>
    <t>8 hojas nuevas; 0 fórmulas existentes reemplazadas</t>
  </si>
  <si>
    <t>18 casos UDD; auditoría estructural y de compatibilidad</t>
  </si>
  <si>
    <t>CRITERIOS_CLINICOS · Catálogo trazable de ecuaciones y protocolos UDD</t>
  </si>
  <si>
    <t>CRITERIOS</t>
  </si>
  <si>
    <t>ADULTO</t>
  </si>
  <si>
    <t>ADULTO MAYOR</t>
  </si>
  <si>
    <t>ESTIMACIÓN</t>
  </si>
  <si>
    <t>AMPUTACIONES</t>
  </si>
  <si>
    <t>SIT. ESP.</t>
  </si>
  <si>
    <t>Sólo se habilitan elementos aprobados. Las fuentes primarias pendientes se muestran como limitación; los instrumentos protegidos no se reproducen.</t>
  </si>
  <si>
    <t>Catálogo maestro</t>
  </si>
  <si>
    <t>Ecuacion_ID</t>
  </si>
  <si>
    <t>Sexo</t>
  </si>
  <si>
    <t>Entradas</t>
  </si>
  <si>
    <t>Unidad entrada</t>
  </si>
  <si>
    <t>Fórmula / regla</t>
  </si>
  <si>
    <t>Unidad salida</t>
  </si>
  <si>
    <t>Fuente primaria</t>
  </si>
  <si>
    <t>Página UDD</t>
  </si>
  <si>
    <t>Aplicabilidad</t>
  </si>
  <si>
    <t>Limitación</t>
  </si>
  <si>
    <t>EQ-18</t>
  </si>
  <si>
    <t>Porcentaje de pérdida de peso</t>
  </si>
  <si>
    <t>Ambos</t>
  </si>
  <si>
    <t>≥18 años</t>
  </si>
  <si>
    <t>Peso habitual (kg); peso actual (kg); periodo</t>
  </si>
  <si>
    <t>kg; kg; categoría</t>
  </si>
  <si>
    <t>(Peso habitual − peso actual) × 100 / peso habitual</t>
  </si>
  <si>
    <t>Gurney J.; Jelliffe D. Arm anthropometry in nutritional assessment.</t>
  </si>
  <si>
    <t>1973</t>
  </si>
  <si>
    <t>78</t>
  </si>
  <si>
    <t>Cambio ponderal reciente; no sustituye valoración clínica.</t>
  </si>
  <si>
    <t>Cotejo primario pendiente. Clasificación por tiempo; cuidado con edemas, deshidratación y peso estimado.</t>
  </si>
  <si>
    <t>CONDICIONAL</t>
  </si>
  <si>
    <t>EQ-30</t>
  </si>
  <si>
    <t>Peso estimado</t>
  </si>
  <si>
    <t>Personas mayores</t>
  </si>
  <si>
    <t>60–90 años</t>
  </si>
  <si>
    <t>CP; altura de rodilla; CB; pliegue subescapular</t>
  </si>
  <si>
    <t>cm; cm; cm; mm</t>
  </si>
  <si>
    <t>0,98×CP + 1,16×AR + 1,73×CB + 0,37×PCSE − 81,69</t>
  </si>
  <si>
    <t>Fuente [48] consignada en Matriz Elementos UDD</t>
  </si>
  <si>
    <t>1985</t>
  </si>
  <si>
    <t>97</t>
  </si>
  <si>
    <t>Sólo cuando no es posible obtener peso directo y con todas las medidas disponibles.</t>
  </si>
  <si>
    <t>Fuente/unidades requieren cotejo primario; no usar fuera de 60–90 años.</t>
  </si>
  <si>
    <t>EQ-31</t>
  </si>
  <si>
    <t>1,27×CP + 0,87×AR + 0,98×CB + 0,40×PCSE − 62,35</t>
  </si>
  <si>
    <t>EQ-32</t>
  </si>
  <si>
    <t>Talla estimada por altura de rodilla</t>
  </si>
  <si>
    <t>Edad; altura de rodilla</t>
  </si>
  <si>
    <t>años; cm</t>
  </si>
  <si>
    <t>64,19 − 0,04×edad + 2,02×altura de rodilla</t>
  </si>
  <si>
    <t>Chumlea W.; Roche A.; Steinbaugh M.</t>
  </si>
  <si>
    <t>98</t>
  </si>
  <si>
    <t>Imposibilidad de talla directa; posición supina protocolizada.</t>
  </si>
  <si>
    <t>No extrapolar fuera del dominio; cotejo primario pendiente.</t>
  </si>
  <si>
    <t>EQ-33</t>
  </si>
  <si>
    <t>84,88 − 0,24×edad + 1,83×altura de rodilla</t>
  </si>
  <si>
    <t>EQ-34</t>
  </si>
  <si>
    <t>Talla estimada por longitud rodilla-maléolo</t>
  </si>
  <si>
    <t>≥60 años</t>
  </si>
  <si>
    <t>Edad; LRM</t>
  </si>
  <si>
    <t>1,121×LRM − 0,117×edad + 119,6</t>
  </si>
  <si>
    <t>Ángel Arango L.; Zamora Jaimes J.</t>
  </si>
  <si>
    <t>1995</t>
  </si>
  <si>
    <t>Alternativa cuando la talla directa no es posible y se mide LRM.</t>
  </si>
  <si>
    <t>Cotejo primario pendiente; dominio exacto no explicitado en la matriz.</t>
  </si>
  <si>
    <t>EQ-35</t>
  </si>
  <si>
    <t>1,263×LRM − 0,159×edad + 107,7</t>
  </si>
  <si>
    <t>EQ-36</t>
  </si>
  <si>
    <t>Talla estimada por media brazada</t>
  </si>
  <si>
    <t>Media brazada</t>
  </si>
  <si>
    <t>2 × media brazada</t>
  </si>
  <si>
    <t>Borba de Amorim R. y cols.</t>
  </si>
  <si>
    <t>2008</t>
  </si>
  <si>
    <t>Aproximación cuando no se puede medir talla directamente.</t>
  </si>
  <si>
    <t>Verificar población y técnica; no mezclar con envergadura completa.</t>
  </si>
  <si>
    <t>EQ-37</t>
  </si>
  <si>
    <t>Peso corregido por amputación</t>
  </si>
  <si>
    <t>Personas con amputación</t>
  </si>
  <si>
    <t>Peso observado posterior; proporción amputada verificada</t>
  </si>
  <si>
    <t>kg; proporción</t>
  </si>
  <si>
    <t>Peso observado / (1 − proporción amputada)</t>
  </si>
  <si>
    <t>Osterkamp L.</t>
  </si>
  <si>
    <t>104–105</t>
  </si>
  <si>
    <t>Sólo con proporción total verificada y confirmación explícita de fuente primaria.</t>
  </si>
  <si>
    <t>CONFLICTO DETECTADO en matriz. Bloqueada por defecto; no se incluye catálogo de segmentos ni figura.</t>
  </si>
  <si>
    <t>BLOQUEADA_POR_DEFECTO</t>
  </si>
  <si>
    <t>PRO-05</t>
  </si>
  <si>
    <t>Protocolo de altura de rodilla</t>
  </si>
  <si>
    <t>Adultos sin bipedestación/personas mayores</t>
  </si>
  <si>
    <t>Posición supina; ángulos de 90°; pierna izquierda</t>
  </si>
  <si>
    <t>Registro de medición, sin ecuación propia</t>
  </si>
  <si>
    <t>Manual UDD y referencias citadas</t>
  </si>
  <si>
    <t>2018</t>
  </si>
  <si>
    <t>27</t>
  </si>
  <si>
    <t>Medida auxiliar para estimación de peso/talla.</t>
  </si>
  <si>
    <t>Protocolo secundario; cotejo primario pendiente.</t>
  </si>
  <si>
    <t>REGISTRO</t>
  </si>
  <si>
    <t>PRO-07</t>
  </si>
  <si>
    <t>Protocolo de media brazada</t>
  </si>
  <si>
    <t>Adultos/personas mayores</t>
  </si>
  <si>
    <t>Escotadura yugular a punta del dedo medio</t>
  </si>
  <si>
    <t>Registro de medición</t>
  </si>
  <si>
    <t>28</t>
  </si>
  <si>
    <t>Medida auxiliar para estimación de talla.</t>
  </si>
  <si>
    <t>No copiar figura; asegurar técnica uniforme.</t>
  </si>
  <si>
    <t>PRO-08</t>
  </si>
  <si>
    <t>Circunferencia braquial</t>
  </si>
  <si>
    <t>General</t>
  </si>
  <si>
    <t>Punto medio acromion-olécranon; cinta sin comprimir</t>
  </si>
  <si>
    <t>29</t>
  </si>
  <si>
    <t>Registro clínico de medida cruda.</t>
  </si>
  <si>
    <t>No se incorporan percentiles/tablas ni clasificación automática.</t>
  </si>
  <si>
    <t>PRO-12</t>
  </si>
  <si>
    <t>Circunferencia de pantorrilla</t>
  </si>
  <si>
    <t>Personas mayores/personas con limitación</t>
  </si>
  <si>
    <t>Máximo perímetro; de pie o supino con rodilla a 90°</t>
  </si>
  <si>
    <t>33</t>
  </si>
  <si>
    <t>No usar &lt;31 cm como corte universal; interpretación sólo en instrumento/población autorizada.</t>
  </si>
  <si>
    <t>Resumen de gobernanza</t>
  </si>
  <si>
    <t>Total elementos</t>
  </si>
  <si>
    <t>NRS-2002, VGS/SGA y MNA-SF se mantienen fuera del libro. NMX-03 sólo puede registrar un resultado externo, su versión, fecha y procedencia mediante la ruta NMX-44. No se copiaron formularios, tablas, figuras ni logotipos.</t>
  </si>
  <si>
    <t>Ecuaciones condicionales</t>
  </si>
  <si>
    <t>Registros de medición</t>
  </si>
  <si>
    <t>Bloqueadas por defecto</t>
  </si>
  <si>
    <t>Instrumentos protegidos copiados</t>
  </si>
  <si>
    <t>ADULTO · Pérdida de peso y peso habitual</t>
  </si>
  <si>
    <t>Módulo de apoyo clínico. El resultado no es diagnóstico y debe interpretarse junto con hidratación, edema, enfermedad y contexto clínico.</t>
  </si>
  <si>
    <t>Tabla operativa aprobada para EQ-18</t>
  </si>
  <si>
    <t>Evaluation_ID</t>
  </si>
  <si>
    <t>Periodo</t>
  </si>
  <si>
    <t>Umbral significativo (%)</t>
  </si>
  <si>
    <t>Umbral grave (%)</t>
  </si>
  <si>
    <t>Regla grave</t>
  </si>
  <si>
    <t>Peso habitual (kg)</t>
  </si>
  <si>
    <t>1 Semana</t>
  </si>
  <si>
    <t>&gt; umbral grave</t>
  </si>
  <si>
    <t>Significativa 1–2%; grave &gt;2%</t>
  </si>
  <si>
    <t>Peso actual (kg)</t>
  </si>
  <si>
    <t>Significativa =5%; grave &gt;5%</t>
  </si>
  <si>
    <t>Periodo de evaluación</t>
  </si>
  <si>
    <t>Significativa =7,5%; grave &gt;7,5%</t>
  </si>
  <si>
    <t>Origen del peso actual</t>
  </si>
  <si>
    <t>Medición directa</t>
  </si>
  <si>
    <t>6 meses</t>
  </si>
  <si>
    <t>Significativa =10%; grave &gt;10%</t>
  </si>
  <si>
    <t>Peso habitual: peso que normalmente presenta la persona fuera de enfermedad, deshidratación u otra situación excepcional. Si el peso actual no puede medirse directamente, documente el origen y utilice la ruta ESTIMACION_PESO_TALLA sólo cuando corresponda al dominio aprobado.</t>
  </si>
  <si>
    <t>Porcentaje de pérdida de peso (%)</t>
  </si>
  <si>
    <t>Clasificación por tiempo</t>
  </si>
  <si>
    <t>Ecuación utilizada</t>
  </si>
  <si>
    <t>Control / alerta</t>
  </si>
  <si>
    <t>ADULTO_MAYOR · Resumen geriátrico nutricional</t>
  </si>
  <si>
    <t>Resume las medidas y estimaciones del motor ESTIMACION_PESO_TALLA. No replica ecuaciones ni instrumentos de tamizaje.</t>
  </si>
  <si>
    <t>Resumen de medidas y estimaciones</t>
  </si>
  <si>
    <t>Interpretación de circunferencias</t>
  </si>
  <si>
    <t>Circunferencia de pantorrilla: se conserva como medida cruda. NMX-03 no aplica el corte &lt;31 cm de forma universal porque depende del instrumento y la población que lo define. Registre el resultado del instrumento autorizado en el bloque externo NMX-44.</t>
  </si>
  <si>
    <t>Edad (años)</t>
  </si>
  <si>
    <t>Circunferencia de pantorrilla (cm)</t>
  </si>
  <si>
    <t>Circunferencia braquial (cm)</t>
  </si>
  <si>
    <t>Circunferencia braquial: se registra con técnica documentada. No se incorporan las tablas percentilares del manual ni se automatiza una clasificación, ya que la fuente primaria y los derechos deben cotejarse por separado.</t>
  </si>
  <si>
    <t>Peso estimado (kg)</t>
  </si>
  <si>
    <t>Ecuación peso utilizada</t>
  </si>
  <si>
    <t>Talla estimada (cm)</t>
  </si>
  <si>
    <t>Ecuación talla utilizada</t>
  </si>
  <si>
    <t>Alerta del motor</t>
  </si>
  <si>
    <t>Resultado externo de tamizaje · NMX-44</t>
  </si>
  <si>
    <t>Instrumento externo</t>
  </si>
  <si>
    <t>No registrado</t>
  </si>
  <si>
    <t>Versión / licencia</t>
  </si>
  <si>
    <t>Puntaje o resultado externo</t>
  </si>
  <si>
    <t>Fecha de aplicación</t>
  </si>
  <si>
    <t>Profesional / procedencia</t>
  </si>
  <si>
    <t>NMX-03 sólo almacena metadatos y el resultado externo. No contiene preguntas, ítems, tablas, diagramación, logotipos ni reglas de puntuación de NRS-2002, VGS/SGA o MNA-SF.</t>
  </si>
  <si>
    <t>ESTIMACION_PESO_TALLA · Selector de metodología</t>
  </si>
  <si>
    <t>La estimación se habilita sólo cuando la medición directa no es posible. Las ecuaciones mantienen su ID, dominio, fuente y limitación visibles.</t>
  </si>
  <si>
    <t>Entradas clínicas</t>
  </si>
  <si>
    <t>Coeficientes de peso estimado</t>
  </si>
  <si>
    <t>Edad_min</t>
  </si>
  <si>
    <t>Edad_max</t>
  </si>
  <si>
    <t>Coef_CP</t>
  </si>
  <si>
    <t>Coef_AR</t>
  </si>
  <si>
    <t>Coef_CB</t>
  </si>
  <si>
    <t>Coef_PCSE</t>
  </si>
  <si>
    <t>Constante</t>
  </si>
  <si>
    <t>Circunferencia de pantorrilla, CP (cm)</t>
  </si>
  <si>
    <t>Altura de rodilla, AR (cm)</t>
  </si>
  <si>
    <t>Circunferencia braquial, CB (cm)</t>
  </si>
  <si>
    <t>Coeficientes de talla estimada</t>
  </si>
  <si>
    <t>Pliegue subescapular, PCSE (mm)</t>
  </si>
  <si>
    <t>Clave</t>
  </si>
  <si>
    <t>Método</t>
  </si>
  <si>
    <t>Coef_medida</t>
  </si>
  <si>
    <t>Coef_edad</t>
  </si>
  <si>
    <t>Longitud rodilla-maléolo, LRM (cm)</t>
  </si>
  <si>
    <t>Altura de rodilla|Masculino</t>
  </si>
  <si>
    <t>Altura de rodilla</t>
  </si>
  <si>
    <t>Media brazada (cm)</t>
  </si>
  <si>
    <t>Altura de rodilla|Femenino</t>
  </si>
  <si>
    <t>¿Es posible medir peso directamente?</t>
  </si>
  <si>
    <t>Rodilla-maléolo|Masculino</t>
  </si>
  <si>
    <t>Rodilla-maléolo</t>
  </si>
  <si>
    <t>¿Es posible medir talla directamente?</t>
  </si>
  <si>
    <t>Rodilla-maléolo|Femenino</t>
  </si>
  <si>
    <t>Metodología de peso</t>
  </si>
  <si>
    <t>Automática por sexo (EQ-30/EQ-31)</t>
  </si>
  <si>
    <t>Media brazada|Masculino</t>
  </si>
  <si>
    <t>Metodología de talla</t>
  </si>
  <si>
    <t>Media brazada|Femenino</t>
  </si>
  <si>
    <t>Resultados y trazabilidad</t>
  </si>
  <si>
    <t>Gobernanza: las ecuaciones se mantienen separadas por sexo y metodología. No se calcula cuando la medición directa es posible, faltan datos o la edad queda fuera del dominio. La circunferencia de pantorrilla y la braquial se registran como medidas crudas; no se aplican percentiles ni cortes universales.</t>
  </si>
  <si>
    <t>Fuente seleccionada</t>
  </si>
  <si>
    <t>Aplicabilidad / alerta</t>
  </si>
  <si>
    <t>Medidas crudas registradas</t>
  </si>
  <si>
    <t>AMPUTACIONES · Registro y cálculo condicionado</t>
  </si>
  <si>
    <t>La matriz documental detectó conflicto entre redacción y ecuación. Por seguridad, el cálculo está bloqueado por defecto y no se incluye un catálogo de porcentajes por segmento.</t>
  </si>
  <si>
    <t>Decisión de seguridad</t>
  </si>
  <si>
    <t>1. La opción predeterminada no calcula.
2. EQ-37 sólo se habilita si el usuario declara cotejo explícito de la fuente primaria.
3. La proporción amputada se ingresa manualmente; no hay selección por segmento.
4. El resultado muestra siempre el ID de ecuación.
5. NMX-03 no calcula IMC corregido ni reproduce la figura del manual.</t>
  </si>
  <si>
    <t>Peso observado posterior a amputación (kg)</t>
  </si>
  <si>
    <t>Proporción total amputada (%)</t>
  </si>
  <si>
    <t>Metodología</t>
  </si>
  <si>
    <t>Registro sin cálculo (recomendado)</t>
  </si>
  <si>
    <t>¿Fuente primaria cotejada explícitamente?</t>
  </si>
  <si>
    <t>Referencia/nota clínica de la proporción</t>
  </si>
  <si>
    <t>Peso corregido estimado (kg)</t>
  </si>
  <si>
    <t>Dato conservado</t>
  </si>
  <si>
    <t>SITUACIONES_ESPECIALES · Enrutamiento clínico</t>
  </si>
  <si>
    <t>Selecciona la ruta aprobada cuando una medición directa es imposible. No sustituye el juicio clínico ni habilita poblaciones excluidas del alcance general de NMX-03.</t>
  </si>
  <si>
    <t>Condición y disponibilidad de medidas</t>
  </si>
  <si>
    <t>Reglas de enrutamiento</t>
  </si>
  <si>
    <t>Condición</t>
  </si>
  <si>
    <t>Ruta</t>
  </si>
  <si>
    <t>¿Peso directo posible?</t>
  </si>
  <si>
    <t>Peso directo posible</t>
  </si>
  <si>
    <t>No estimar</t>
  </si>
  <si>
    <t>¿Talla directa posible?</t>
  </si>
  <si>
    <t>Amputación</t>
  </si>
  <si>
    <t>Registro por defecto; cálculo condicionado</t>
  </si>
  <si>
    <t>Peso imposible + 60–90 + CP/AR/CB/PCSE</t>
  </si>
  <si>
    <t>EQ-30/EQ-31</t>
  </si>
  <si>
    <t>Peso estimado con ID visible</t>
  </si>
  <si>
    <t>Talla imposible + AR + 60–90</t>
  </si>
  <si>
    <t>EQ-32/EQ-33</t>
  </si>
  <si>
    <t>Talla por altura de rodilla</t>
  </si>
  <si>
    <t>¿Existe amputación?</t>
  </si>
  <si>
    <t>Talla imposible + LRM + ≥60</t>
  </si>
  <si>
    <t>EQ-34/EQ-35</t>
  </si>
  <si>
    <t>Talla por rodilla-maléolo</t>
  </si>
  <si>
    <t>CP disponible</t>
  </si>
  <si>
    <t>Talla imposible + media brazada + ≥60</t>
  </si>
  <si>
    <t>Talla aproximada</t>
  </si>
  <si>
    <t>Altura de rodilla disponible</t>
  </si>
  <si>
    <t>Sin medidas auxiliares</t>
  </si>
  <si>
    <t>Sin ruta</t>
  </si>
  <si>
    <t>No inventar ni extrapolar</t>
  </si>
  <si>
    <t>Circunferencia braquial disponible</t>
  </si>
  <si>
    <t>Pliegue subescapular disponible</t>
  </si>
  <si>
    <t>Alcance: el libro conserva su orientación a adultos. Hospitalización, UCI, soporte enteral/parenteral y otros dominios especializados requieren módulos específicos. Un paciente encamado puede usar las rutas de estimación sólo si cumple población, edad, técnica y datos de la ecuación seleccionada.</t>
  </si>
  <si>
    <t>LRM disponible</t>
  </si>
  <si>
    <t>Media brazada disponible</t>
  </si>
  <si>
    <t>Ruta recomendada</t>
  </si>
  <si>
    <t>Ruta para peso</t>
  </si>
  <si>
    <t>Ruta para talla</t>
  </si>
  <si>
    <t>Medidas auxiliares disponibles</t>
  </si>
  <si>
    <t>Tamizajes protegidos</t>
  </si>
  <si>
    <t>Control de alcance</t>
  </si>
  <si>
    <t>FUENTES_UDD · Fuentes, derechos y estado de verificación</t>
  </si>
  <si>
    <t>Las fuentes primarias pendientes se identifican explícitamente. El Manual UDD actúa como índice académico secundario, no como sustituto de la fuente original.</t>
  </si>
  <si>
    <t>Registro de fuentes</t>
  </si>
  <si>
    <t>Fuente_ID</t>
  </si>
  <si>
    <t>Elementos</t>
  </si>
  <si>
    <t>Título / documento</t>
  </si>
  <si>
    <t>Página / ubicación</t>
  </si>
  <si>
    <t>Uso en NMX-03</t>
  </si>
  <si>
    <t>Limitación / derechos</t>
  </si>
  <si>
    <t>UDD-2018</t>
  </si>
  <si>
    <t>Manual de Evaluación Nutricional UDD</t>
  </si>
  <si>
    <t>Universidad del Desarrollo / autores del manual</t>
  </si>
  <si>
    <t>Manual de Evaluación Nutricional: ecuaciones, fórmulas, parámetros y criterios</t>
  </si>
  <si>
    <t>Páginas 18, 27–29, 33, 78, 97–105</t>
  </si>
  <si>
    <t>Índice secundario y trazabilidad de páginas</t>
  </si>
  <si>
    <t>MANUAL_ACADÉMICO CON DERECHOS</t>
  </si>
  <si>
    <t>No sustituye fuente primaria; no copiar tablas/figuras</t>
  </si>
  <si>
    <t>https://repositorio.udd.cl/items/11a4b32f-e93d-4aea-a712-59c47768d826</t>
  </si>
  <si>
    <t>GJ-1973</t>
  </si>
  <si>
    <t>EQ-18 / antropometría braquial</t>
  </si>
  <si>
    <t>Gurney J.; Jelliffe D.</t>
  </si>
  <si>
    <t>Arm anthropometry in nutritional assessment: nomogram for rapid calculation...</t>
  </si>
  <si>
    <t>UDD p. 78</t>
  </si>
  <si>
    <t>Fuente consignada por la matriz para cambio de peso</t>
  </si>
  <si>
    <t>REQUIERE COTEJO PRIMARIO</t>
  </si>
  <si>
    <t>La atribución del criterio temporal debe verificarse en el original</t>
  </si>
  <si>
    <t>CHU-1985</t>
  </si>
  <si>
    <t>EQ-30 a EQ-33</t>
  </si>
  <si>
    <t>Estimating stature from knee height for persons 60 to 90 years of age</t>
  </si>
  <si>
    <t>UDD p. 97–98</t>
  </si>
  <si>
    <t>Ecuaciones de peso/talla según matriz</t>
  </si>
  <si>
    <t>REQUIERE COTEJO PRIMARIO/UNIDADES</t>
  </si>
  <si>
    <t>No extrapolar; revisar que la referencia corresponda a cada ecuación</t>
  </si>
  <si>
    <t>ARANGO-1995</t>
  </si>
  <si>
    <t>EQ-34 y EQ-35</t>
  </si>
  <si>
    <t>The prediction of size from the knee-external malleolus distance</t>
  </si>
  <si>
    <t>UDD p. 98</t>
  </si>
  <si>
    <t>Talla por LRM</t>
  </si>
  <si>
    <t>Dominio exacto y unidades deben verificarse</t>
  </si>
  <si>
    <t>BORBA-2008</t>
  </si>
  <si>
    <t>Estimating stature measurements applied on body mass index in the nutritional assessment of the elderly</t>
  </si>
  <si>
    <t>Talla por media brazada</t>
  </si>
  <si>
    <t>Aproximación; población y técnica deben verificarse</t>
  </si>
  <si>
    <t>OST-1995</t>
  </si>
  <si>
    <t>EQ-37 / amputaciones</t>
  </si>
  <si>
    <t>Current perspective on assessment of human body proportions of relevance to amputees</t>
  </si>
  <si>
    <t>UDD p. 104–105</t>
  </si>
  <si>
    <t>Referencia para amputaciones</t>
  </si>
  <si>
    <t>CONFLICTO ABIERTO</t>
  </si>
  <si>
    <t>No se copian porcentajes por segmento ni figura; cálculo bloqueado por defecto</t>
  </si>
  <si>
    <t>DR-001</t>
  </si>
  <si>
    <t>MNA-SF</t>
  </si>
  <si>
    <t>Société des Produits Nestlé S.A. / MNA</t>
  </si>
  <si>
    <t>Formulario MNA®-SF y traducciones oficiales</t>
  </si>
  <si>
    <t>Matriz Derechos</t>
  </si>
  <si>
    <t>Sólo resultado externo y versión</t>
  </si>
  <si>
    <t>INSTRUMENTO PROTEGIDO</t>
  </si>
  <si>
    <t>No copiar ni alterar; integrar mediante NMX-44 autorizado</t>
  </si>
  <si>
    <t>https://www.mna-elderly.com/</t>
  </si>
  <si>
    <t>DR-002</t>
  </si>
  <si>
    <t>NRS-2002</t>
  </si>
  <si>
    <t>Autores/Elsevier Clinical Nutrition; difusión ESPEN</t>
  </si>
  <si>
    <t>Tablas de screening NRS-2002</t>
  </si>
  <si>
    <t>Sólo resultado externo</t>
  </si>
  <si>
    <t>PROTEGIDO / LICENCIA PENDIENTE</t>
  </si>
  <si>
    <t>No reproducir formulario completo</t>
  </si>
  <si>
    <t>https://espen.org/documents/Screening.pdf</t>
  </si>
  <si>
    <t>DR-003</t>
  </si>
  <si>
    <t>VGS/SGA</t>
  </si>
  <si>
    <t>Autores y editorial JPEN/Wiley-ASPEN</t>
  </si>
  <si>
    <t>Subjective Global Assessment</t>
  </si>
  <si>
    <t>No copiar versión modificada del manual</t>
  </si>
  <si>
    <t>https://pubmed.ncbi.nlm.nih.gov/3820522/</t>
  </si>
  <si>
    <t>Exclusiones expresas: no se copiaron formularios NRS-2002, VGS/SGA o MNA-SF; no se incorporaron fotografías, diagramas, tablas percentilares completas ni la figura de porcentajes corporales para amputación. La integración almacena ecuaciones aprobadas, metadatos, registros crudos y rutas de cálculo condicionadas.</t>
  </si>
  <si>
    <t>PRUEBAS_UDD · Banco de regresión de la integración</t>
  </si>
  <si>
    <t>Casos diseñados para verificar adultos, personas mayores, encamamiento, amputación, datos incompletos, medición imposible y resultados fuera de rango. No sustituyen validación clínica.</t>
  </si>
  <si>
    <t>Casos de prueba y resultados calculados</t>
  </si>
  <si>
    <t>Umbrales operativos EQ-18</t>
  </si>
  <si>
    <t>Prueba_ID</t>
  </si>
  <si>
    <t>Escenario</t>
  </si>
  <si>
    <t>Severidad</t>
  </si>
  <si>
    <t>Motor / regla</t>
  </si>
  <si>
    <t>Peso habitual</t>
  </si>
  <si>
    <t>Peso actual/observado</t>
  </si>
  <si>
    <t>CP</t>
  </si>
  <si>
    <t>AR</t>
  </si>
  <si>
    <t>CB</t>
  </si>
  <si>
    <t>PCSE</t>
  </si>
  <si>
    <t>LRM</t>
  </si>
  <si>
    <t>Amputación %</t>
  </si>
  <si>
    <t>Fuente verificada</t>
  </si>
  <si>
    <t>Talla directa posible</t>
  </si>
  <si>
    <t>Esperado numérico</t>
  </si>
  <si>
    <t>Esperado estado</t>
  </si>
  <si>
    <t>Notas</t>
  </si>
  <si>
    <t>Obtenido numérico</t>
  </si>
  <si>
    <t>Obtenido estado</t>
  </si>
  <si>
    <t>Peso severidad</t>
  </si>
  <si>
    <t>Significativa desde (%)</t>
  </si>
  <si>
    <t>Grave si &gt; (%)</t>
  </si>
  <si>
    <t>Página</t>
  </si>
  <si>
    <t>Adulto · pérdida significativa exacta a 1 mes</t>
  </si>
  <si>
    <t>ALTA</t>
  </si>
  <si>
    <t>Pérdida significativa</t>
  </si>
  <si>
    <t>Criterio temporal aprobado</t>
  </si>
  <si>
    <t>Adulto · pérdida grave en 1 semana</t>
  </si>
  <si>
    <t>CRÍTICA</t>
  </si>
  <si>
    <t>Pérdida grave</t>
  </si>
  <si>
    <t>Límite &gt;2%</t>
  </si>
  <si>
    <t>Adulto · aumento de peso</t>
  </si>
  <si>
    <t>MEDIA</t>
  </si>
  <si>
    <t>Aumento de peso / no pérdida</t>
  </si>
  <si>
    <t>No clasificar como pérdida</t>
  </si>
  <si>
    <t>Adulto mayor · peso estimado hombre</t>
  </si>
  <si>
    <t>OK CONDICIONAL</t>
  </si>
  <si>
    <t>Todas las medidas disponibles</t>
  </si>
  <si>
    <t>Adulto mayor · peso estimado mujer</t>
  </si>
  <si>
    <t>Paciente encamado · talla por altura de rodilla</t>
  </si>
  <si>
    <t>Talla directa imposible</t>
  </si>
  <si>
    <t>Adulto mayor · talla por rodilla-maléolo</t>
  </si>
  <si>
    <t>Método alternativo</t>
  </si>
  <si>
    <t>Adulto mayor · talla por media brazada</t>
  </si>
  <si>
    <t>Aproximación</t>
  </si>
  <si>
    <t>Amputación · cálculo bloqueado sin cotejo</t>
  </si>
  <si>
    <t>BLOQUEADO</t>
  </si>
  <si>
    <t>Predeterminado seguro</t>
  </si>
  <si>
    <t>Amputación · cálculo condicionado con cotejo</t>
  </si>
  <si>
    <t>CÁLCULO CONDICIONAL</t>
  </si>
  <si>
    <t>Proporción ingresada manualmente</t>
  </si>
  <si>
    <t>Dato incompleto · falta PCSE</t>
  </si>
  <si>
    <t>DATO INCOMPLETO</t>
  </si>
  <si>
    <t>No calcular</t>
  </si>
  <si>
    <t>Medida imposible · sin alternativa de talla</t>
  </si>
  <si>
    <t>ROUTE_TALLA</t>
  </si>
  <si>
    <t>SIN RUTA APROBADA</t>
  </si>
  <si>
    <t>No inventar talla</t>
  </si>
  <si>
    <t>Resultado fuera de dominio · edad 59 peso</t>
  </si>
  <si>
    <t>FUERA DE DOMINIO</t>
  </si>
  <si>
    <t>Dominio 60–90</t>
  </si>
  <si>
    <t>Resultado fuera de dominio · edad 91 rodilla</t>
  </si>
  <si>
    <t>Circunferencia pantorrilla · sólo registro</t>
  </si>
  <si>
    <t>RAW_CP</t>
  </si>
  <si>
    <t>REGISTRO SIN CLASIFICACIÓN</t>
  </si>
  <si>
    <t>No aplicar &lt;31 universal</t>
  </si>
  <si>
    <t>Circunferencia braquial · sólo registro</t>
  </si>
  <si>
    <t>RAW_CB</t>
  </si>
  <si>
    <t>Sin percentiles copiados</t>
  </si>
  <si>
    <t>MNA-SF/NRS/VGS · instrumento protegido</t>
  </si>
  <si>
    <t>PROTECTED</t>
  </si>
  <si>
    <t>Sólo resultado externo NMX-44</t>
  </si>
  <si>
    <t>Amputación · proporción imposible 100%</t>
  </si>
  <si>
    <t>FUERA DE RANGO</t>
  </si>
  <si>
    <t>No dividir por cero</t>
  </si>
  <si>
    <t>Resumen de ejecución</t>
  </si>
  <si>
    <t>Casos</t>
  </si>
  <si>
    <t>Críticas aprobadas</t>
  </si>
  <si>
    <t>Cobertura solicitada</t>
  </si>
  <si>
    <t>Adulto; adulto mayor; encamado; amputación; incompleto; imposible; fuera de 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</si>
</sst>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yyyy\-mm\-dd"/>
    <numFmt numFmtId="165" formatCode="hh:mm"/>
    <numFmt numFmtId="166" formatCode="0.0%"/>
    <numFmt numFmtId="167" formatCode="0.000"/>
    <numFmt numFmtId="168" formatCode="0.0000"/>
  </numFmts>
  <fonts count="17">
    <font>
      <sz val="11"/>
      <name val="Calibri"/>
    </font>
    <font>
      <sz val="10"/>
      <name val="Arial"/>
    </font>
    <font>
      <b/>
      <sz val="16"/>
      <color rgb="FFFFFFFF"/>
      <name val="Arial"/>
    </font>
    <font>
      <b/>
      <sz val="9"/>
      <color rgb="FF15303A"/>
      <name val="Arial"/>
    </font>
    <font>
      <b/>
      <sz val="9"/>
      <color rgb="FF1A1A1A"/>
      <name val="Arial"/>
    </font>
    <font>
      <b/>
      <sz val="11"/>
      <color rgb="FFFFFFFF"/>
      <name val="Arial"/>
    </font>
    <font>
      <sz val="9"/>
      <color rgb="FF1A1A1A"/>
      <name val="Arial"/>
    </font>
    <font>
      <i/>
      <sz val="9"/>
      <color rgb="FF15303A"/>
      <name val="Arial"/>
    </font>
    <font>
      <b/>
      <sz val="11"/>
      <color rgb="FF15303A"/>
      <name val="Calibri"/>
    </font>
    <font>
      <b/>
      <sz val="9"/>
      <color rgb="FFFFFFFF"/>
      <name val="Arial"/>
    </font>
    <font>
      <i/>
      <sz val="9"/>
      <color rgb="FF1A1A1A"/>
      <name val="Arial"/>
    </font>
    <font>
      <b/>
      <sz val="16"/>
      <color rgb="FFFFFFFF"/>
      <name val="Calibri"/>
    </font>
    <font>
      <i/>
      <sz val="11"/>
      <color rgb="FF5B4636"/>
      <name val="Calibri"/>
    </font>
    <font>
      <b/>
      <sz val="11"/>
      <color rgb="FFFFFFFF"/>
      <name val="Calibri"/>
    </font>
    <font>
      <b/>
      <sz val="11"/>
      <color rgb="FF7A4E00"/>
      <name val="Calibri"/>
    </font>
    <font>
      <b/>
      <sz val="11"/>
      <color rgb="FF92400E"/>
      <name val="Calibri"/>
    </font>
    <font>
      <sz val="9"/>
      <color rgb="FF15303A"/>
      <name val="Arial"/>
    </font>
  </fonts>
  <fills count="17">
    <fill>
      <patternFill patternType="none"/>
    </fill>
    <fill>
      <patternFill patternType="gray125"/>
    </fill>
    <fill>
      <patternFill patternType="solid">
        <fgColor rgb="FF15303A"/>
      </patternFill>
    </fill>
    <fill>
      <patternFill patternType="solid">
        <fgColor rgb="FFDCEFF1"/>
      </patternFill>
    </fill>
    <fill>
      <patternFill patternType="solid">
        <fgColor rgb="FFE7E2F2"/>
      </patternFill>
    </fill>
    <fill>
      <patternFill patternType="solid">
        <fgColor rgb="FF1C6B72"/>
      </patternFill>
    </fill>
    <fill>
      <patternFill patternType="solid">
        <fgColor rgb="FFF3F6F5"/>
      </patternFill>
    </fill>
    <fill>
      <patternFill patternType="solid">
        <fgColor rgb="FFF7E2D2"/>
      </patternFill>
    </fill>
    <fill>
      <patternFill patternType="solid">
        <fgColor rgb="FFFCEFCE"/>
      </patternFill>
    </fill>
    <fill>
      <patternFill patternType="solid">
        <fgColor rgb="FFF4CCCC"/>
      </patternFill>
    </fill>
    <fill>
      <patternFill patternType="solid">
        <fgColor rgb="FF15303A"/>
      </patternFill>
    </fill>
    <fill>
      <patternFill patternType="solid">
        <fgColor rgb="FFDCEFF1"/>
      </patternFill>
    </fill>
    <fill>
      <patternFill patternType="solid">
        <fgColor rgb="FFE9E4F4"/>
      </patternFill>
    </fill>
    <fill>
      <patternFill patternType="solid">
        <fgColor rgb="FF1C6B72"/>
      </patternFill>
    </fill>
    <fill>
      <patternFill patternType="solid">
        <fgColor rgb="FFFFF2CC"/>
      </patternFill>
    </fill>
    <fill>
      <patternFill patternType="solid">
        <fgColor rgb="FFF4F6F7"/>
      </patternFill>
    </fill>
    <fill>
      <patternFill patternType="solid">
        <fgColor rgb="FFFFF6D8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84">
    <xf numFmtId="0" fontId="0" fillId="0" borderId="0" xfId="0"/>
    <xf numFmtId="0" fontId="12" fillId="8" borderId="0" xfId="0" applyFont="1" applyFill="1" applyBorder="1" applyAlignment="1">
      <alignment wrapText="1"/>
    </xf>
    <xf numFmtId="0" fontId="11" fillId="2" borderId="0" xfId="0" applyFont="1" applyFill="1" applyBorder="1" applyAlignment="1">
      <alignment horizontal="left" vertical="center" wrapText="1"/>
    </xf>
    <xf numFmtId="49" fontId="6" fillId="6" borderId="0" xfId="0" applyNumberFormat="1" applyFont="1" applyFill="1" applyBorder="1" applyAlignment="1">
      <alignment vertical="top" wrapText="1"/>
    </xf>
    <xf numFmtId="49" fontId="6" fillId="6" borderId="0" xfId="0" applyNumberFormat="1" applyFont="1" applyFill="1" applyBorder="1" applyAlignment="1">
      <alignment horizontal="left" vertical="top" wrapText="1"/>
    </xf>
    <xf numFmtId="0" fontId="6" fillId="6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wrapText="1"/>
    </xf>
    <xf numFmtId="164" fontId="6" fillId="6" borderId="0" xfId="0" applyNumberFormat="1" applyFont="1" applyFill="1" applyBorder="1" applyAlignment="1">
      <alignment vertical="top" wrapText="1"/>
    </xf>
    <xf numFmtId="0" fontId="7" fillId="3" borderId="0" xfId="0" applyFont="1" applyFill="1" applyBorder="1" applyAlignment="1">
      <alignment wrapText="1"/>
    </xf>
    <xf numFmtId="0" fontId="6" fillId="6" borderId="0" xfId="0" applyFont="1" applyFill="1" applyBorder="1" applyAlignment="1">
      <alignment vertical="top" wrapText="1"/>
    </xf>
    <xf numFmtId="0" fontId="5" fillId="5" borderId="0" xfId="0" applyFont="1" applyFill="1" applyBorder="1" applyAlignment="1">
      <alignment wrapText="1"/>
    </xf>
    <xf numFmtId="0" fontId="4" fillId="4" borderId="0" xfId="0" applyFont="1" applyFill="1" applyBorder="1" applyAlignment="1">
      <alignment wrapText="1"/>
    </xf>
    <xf numFmtId="0" fontId="2" fillId="2" borderId="0" xfId="0" applyFont="1" applyFill="1" applyBorder="1" applyAlignment="1">
      <alignment vertical="center" wrapText="1"/>
    </xf>
    <xf numFmtId="0" fontId="0" fillId="0" borderId="0" xfId="0" applyAlignment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9" fillId="5" borderId="0" xfId="0" applyFont="1" applyFill="1" applyAlignment="1">
      <alignment horizontal="center" vertical="center" wrapText="1"/>
    </xf>
    <xf numFmtId="0" fontId="0" fillId="8" borderId="0" xfId="0" applyFill="1" applyAlignment="1"/>
    <xf numFmtId="0" fontId="7" fillId="3" borderId="0" xfId="0" applyFont="1" applyFill="1" applyAlignment="1">
      <alignment wrapText="1"/>
    </xf>
    <xf numFmtId="0" fontId="0" fillId="6" borderId="0" xfId="0" applyFill="1" applyAlignment="1"/>
    <xf numFmtId="0" fontId="0" fillId="4" borderId="0" xfId="0" applyFill="1" applyAlignment="1"/>
    <xf numFmtId="0" fontId="0" fillId="7" borderId="0" xfId="0" applyFill="1" applyAlignment="1"/>
    <xf numFmtId="0" fontId="0" fillId="9" borderId="0" xfId="0" applyFill="1" applyAlignment="1"/>
    <xf numFmtId="0" fontId="6" fillId="8" borderId="0" xfId="0" applyFont="1" applyFill="1" applyAlignment="1">
      <alignment vertical="top" wrapText="1"/>
    </xf>
    <xf numFmtId="164" fontId="6" fillId="8" borderId="0" xfId="0" applyNumberFormat="1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165" fontId="6" fillId="8" borderId="0" xfId="0" applyNumberFormat="1" applyFont="1" applyFill="1" applyAlignment="1">
      <alignment vertical="top" wrapText="1"/>
    </xf>
    <xf numFmtId="9" fontId="6" fillId="8" borderId="0" xfId="0" applyNumberFormat="1" applyFont="1" applyFill="1" applyAlignment="1">
      <alignment vertical="top" wrapText="1"/>
    </xf>
    <xf numFmtId="166" fontId="6" fillId="6" borderId="0" xfId="0" applyNumberFormat="1" applyFont="1" applyFill="1" applyAlignment="1">
      <alignment vertical="top" wrapText="1"/>
    </xf>
    <xf numFmtId="164" fontId="6" fillId="6" borderId="0" xfId="0" applyNumberFormat="1" applyFont="1" applyFill="1" applyAlignment="1">
      <alignment vertical="top" wrapText="1"/>
    </xf>
    <xf numFmtId="165" fontId="6" fillId="6" borderId="0" xfId="0" applyNumberFormat="1" applyFont="1" applyFill="1" applyAlignment="1">
      <alignment vertical="top" wrapText="1"/>
    </xf>
    <xf numFmtId="0" fontId="9" fillId="5" borderId="0" xfId="0" applyFont="1" applyFill="1" applyAlignment="1">
      <alignment horizontal="center" wrapText="1"/>
    </xf>
    <xf numFmtId="9" fontId="6" fillId="6" borderId="0" xfId="0" applyNumberFormat="1" applyFont="1" applyFill="1" applyAlignment="1">
      <alignment vertical="top" wrapText="1"/>
    </xf>
    <xf numFmtId="49" fontId="6" fillId="6" borderId="0" xfId="0" applyNumberFormat="1" applyFont="1" applyFill="1" applyAlignment="1"/>
    <xf numFmtId="0" fontId="6" fillId="6" borderId="0" xfId="0" applyFont="1" applyFill="1" applyAlignment="1"/>
    <xf numFmtId="9" fontId="6" fillId="6" borderId="0" xfId="0" applyNumberFormat="1" applyFont="1" applyFill="1" applyAlignment="1"/>
    <xf numFmtId="10" fontId="6" fillId="6" borderId="0" xfId="0" applyNumberFormat="1" applyFont="1" applyFill="1" applyAlignment="1">
      <alignment vertical="top" wrapText="1"/>
    </xf>
    <xf numFmtId="166" fontId="0" fillId="0" borderId="0" xfId="0" applyNumberFormat="1" applyAlignment="1"/>
    <xf numFmtId="164" fontId="7" fillId="3" borderId="0" xfId="0" applyNumberFormat="1" applyFont="1" applyFill="1" applyAlignment="1">
      <alignment wrapText="1"/>
    </xf>
    <xf numFmtId="0" fontId="10" fillId="8" borderId="0" xfId="0" applyFont="1" applyFill="1" applyAlignment="1">
      <alignment vertical="top" wrapText="1"/>
    </xf>
    <xf numFmtId="0" fontId="8" fillId="3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8" fillId="3" borderId="0" xfId="0" applyFont="1" applyFill="1" applyAlignment="1">
      <alignment horizontal="center"/>
    </xf>
    <xf numFmtId="0" fontId="13" fillId="5" borderId="0" xfId="0" applyFont="1" applyFill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8" fillId="3" borderId="0" xfId="0" applyFont="1" applyFill="1" applyAlignment="1">
      <alignment horizontal="center" wrapText="1"/>
    </xf>
    <xf numFmtId="0" fontId="15" fillId="7" borderId="0" xfId="0" applyFont="1" applyFill="1" applyAlignment="1">
      <alignment horizontal="center" wrapText="1"/>
    </xf>
    <xf numFmtId="0" fontId="8" fillId="3" borderId="0" xfId="0" applyFont="1" applyFill="1" applyAlignment="1"/>
    <xf numFmtId="0" fontId="3" fillId="11" borderId="0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/>
    <xf numFmtId="0" fontId="9" fillId="13" borderId="0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wrapText="1"/>
    </xf>
    <xf numFmtId="0" fontId="16" fillId="0" borderId="0" xfId="0" applyNumberFormat="1" applyFont="1" applyFill="1" applyBorder="1" applyAlignment="1">
      <alignment vertical="top" wrapText="1"/>
    </xf>
    <xf numFmtId="0" fontId="3" fillId="14" borderId="0" xfId="0" applyNumberFormat="1" applyFont="1" applyFill="1" applyBorder="1" applyAlignment="1">
      <alignment vertical="center" wrapText="1"/>
    </xf>
    <xf numFmtId="0" fontId="16" fillId="15" borderId="0" xfId="0" applyNumberFormat="1" applyFont="1" applyFill="1" applyBorder="1" applyAlignment="1">
      <alignment vertical="center" wrapText="1"/>
    </xf>
    <xf numFmtId="0" fontId="3" fillId="11" borderId="0" xfId="0" applyNumberFormat="1" applyFont="1" applyFill="1" applyBorder="1" applyAlignment="1">
      <alignment vertical="center" wrapText="1"/>
    </xf>
    <xf numFmtId="0" fontId="16" fillId="16" borderId="0" xfId="0" applyNumberFormat="1" applyFont="1" applyFill="1" applyBorder="1" applyAlignment="1">
      <alignment vertical="center" wrapText="1"/>
    </xf>
    <xf numFmtId="2" fontId="16" fillId="16" borderId="0" xfId="0" applyNumberFormat="1" applyFont="1" applyFill="1" applyBorder="1" applyAlignment="1">
      <alignment vertical="center" wrapText="1"/>
    </xf>
    <xf numFmtId="2" fontId="16" fillId="15" borderId="0" xfId="0" applyNumberFormat="1" applyFont="1" applyFill="1" applyBorder="1" applyAlignment="1">
      <alignment vertical="center" wrapText="1"/>
    </xf>
    <xf numFmtId="2" fontId="16" fillId="0" borderId="0" xfId="0" applyNumberFormat="1" applyFont="1" applyFill="1" applyBorder="1" applyAlignment="1">
      <alignment vertical="top" wrapText="1"/>
    </xf>
    <xf numFmtId="167" fontId="16" fillId="0" borderId="0" xfId="0" applyNumberFormat="1" applyFont="1" applyFill="1" applyBorder="1" applyAlignment="1">
      <alignment vertical="top" wrapText="1"/>
    </xf>
    <xf numFmtId="164" fontId="16" fillId="16" borderId="0" xfId="0" applyNumberFormat="1" applyFont="1" applyFill="1" applyBorder="1" applyAlignment="1">
      <alignment vertical="center" wrapText="1"/>
    </xf>
    <xf numFmtId="1" fontId="16" fillId="16" borderId="0" xfId="0" applyNumberFormat="1" applyFont="1" applyFill="1" applyBorder="1" applyAlignment="1">
      <alignment vertical="center" wrapText="1"/>
    </xf>
    <xf numFmtId="1" fontId="16" fillId="0" borderId="0" xfId="0" applyNumberFormat="1" applyFont="1" applyFill="1" applyBorder="1" applyAlignment="1">
      <alignment vertical="top" wrapText="1"/>
    </xf>
    <xf numFmtId="168" fontId="16" fillId="0" borderId="0" xfId="0" applyNumberFormat="1" applyFont="1" applyFill="1" applyBorder="1" applyAlignment="1">
      <alignment vertical="top" wrapText="1"/>
    </xf>
    <xf numFmtId="168" fontId="16" fillId="15" borderId="0" xfId="0" applyNumberFormat="1" applyFont="1" applyFill="1" applyBorder="1" applyAlignment="1">
      <alignment vertical="center" wrapText="1"/>
    </xf>
    <xf numFmtId="0" fontId="13" fillId="5" borderId="0" xfId="0" applyFont="1" applyFill="1" applyBorder="1" applyAlignment="1">
      <alignment horizontal="center"/>
    </xf>
    <xf numFmtId="0" fontId="14" fillId="8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wrapText="1"/>
    </xf>
    <xf numFmtId="0" fontId="13" fillId="5" borderId="0" xfId="0" applyFont="1" applyFill="1" applyBorder="1" applyAlignment="1"/>
    <xf numFmtId="0" fontId="11" fillId="2" borderId="0" xfId="0" applyFont="1" applyFill="1" applyBorder="1" applyAlignment="1">
      <alignment wrapText="1"/>
    </xf>
    <xf numFmtId="0" fontId="0" fillId="6" borderId="0" xfId="0" applyFont="1" applyFill="1" applyBorder="1" applyAlignment="1">
      <alignment vertical="top" wrapText="1"/>
    </xf>
    <xf numFmtId="0" fontId="0" fillId="6" borderId="0" xfId="0" applyFont="1" applyFill="1" applyBorder="1" applyAlignment="1">
      <alignment wrapText="1"/>
    </xf>
    <xf numFmtId="0" fontId="2" fillId="10" borderId="0" xfId="0" applyNumberFormat="1" applyFont="1" applyFill="1" applyBorder="1" applyAlignment="1">
      <alignment vertical="center" wrapText="1"/>
    </xf>
    <xf numFmtId="0" fontId="16" fillId="12" borderId="0" xfId="0" applyNumberFormat="1" applyFont="1" applyFill="1" applyBorder="1" applyAlignment="1">
      <alignment vertical="center" wrapText="1"/>
    </xf>
    <xf numFmtId="0" fontId="5" fillId="13" borderId="0" xfId="0" applyNumberFormat="1" applyFont="1" applyFill="1" applyBorder="1" applyAlignment="1">
      <alignment vertical="center" wrapText="1"/>
    </xf>
    <xf numFmtId="0" fontId="3" fillId="14" borderId="0" xfId="0" applyNumberFormat="1" applyFont="1" applyFill="1" applyBorder="1" applyAlignment="1">
      <alignment vertical="center" wrapText="1"/>
    </xf>
    <xf numFmtId="0" fontId="16" fillId="15" borderId="0" xfId="0" applyNumberFormat="1" applyFont="1" applyFill="1" applyBorder="1" applyAlignment="1">
      <alignment vertical="center" wrapText="1"/>
    </xf>
    <xf numFmtId="0" fontId="3" fillId="10" borderId="0" xfId="0" applyNumberFormat="1" applyFont="1" applyFill="1" applyBorder="1" applyAlignment="1">
      <alignment vertical="center" wrapText="1"/>
    </xf>
    <xf numFmtId="2" fontId="16" fillId="15" borderId="0" xfId="0" applyNumberFormat="1" applyFont="1" applyFill="1" applyBorder="1" applyAlignment="1">
      <alignment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52">
    <dxf>
      <font>
        <b/>
        <sz val="9"/>
        <color rgb="FF7F1D1D"/>
        <name val="Arial"/>
      </font>
      <fill>
        <patternFill patternType="solid">
          <bgColor rgb="FFF4CCCC"/>
        </patternFill>
      </fill>
    </dxf>
    <dxf>
      <font>
        <b/>
        <sz val="9"/>
        <color rgb="FF1F5132"/>
        <name val="Arial"/>
      </font>
      <fill>
        <patternFill patternType="solid">
          <bgColor rgb="FFD9EAD3"/>
        </patternFill>
      </fill>
    </dxf>
    <dxf>
      <font>
        <b/>
        <color rgb="FF92400E"/>
      </font>
      <fill>
        <patternFill>
          <bgColor rgb="FFFDF0CC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DEEDD"/>
        </patternFill>
      </fill>
    </dxf>
    <dxf>
      <font>
        <b/>
      </font>
      <fill>
        <patternFill>
          <bgColor rgb="FFFDF0CC"/>
        </patternFill>
      </fill>
    </dxf>
    <dxf>
      <font>
        <b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7A4E00"/>
      <rgbColor rgb="FF800080"/>
      <rgbColor rgb="FF1C6B72"/>
      <rgbColor rgb="FFCCCCCC"/>
      <rgbColor rgb="FF8B8B8B"/>
      <rgbColor rgb="FF9999FF"/>
      <rgbColor rgb="FF5B4636"/>
      <rgbColor rgb="FFFDF0CC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CEFF1"/>
      <rgbColor rgb="FFDDEEDD"/>
      <rgbColor rgb="FFFCEFCE"/>
      <rgbColor rgb="FFE7E2F2"/>
      <rgbColor rgb="FFF7E2D2"/>
      <rgbColor rgb="FFF3F6F5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2400E"/>
      <rgbColor rgb="FF993366"/>
      <rgbColor rgb="FF333399"/>
      <rgbColor rgb="FF1530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Evolución de peso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Peso</c:v>
          </c:tx>
          <c:spPr>
            <a:ln w="38160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CALCULOS!$H$74:$H$83</c:f>
              <c:strCache>
                <c:ptCount val="2"/>
                <c:pt idx="0">
                  <c:v>2026-05-01</c:v>
                </c:pt>
                <c:pt idx="1">
                  <c:v>2026-07-01</c:v>
                </c:pt>
              </c:strCache>
            </c:strRef>
          </c:cat>
          <c:val>
            <c:numRef>
              <c:f>CALCULOS!$C$74:$C$83</c:f>
              <c:numCache>
                <c:formatCode>General</c:formatCode>
                <c:ptCount val="10"/>
                <c:pt idx="0">
                  <c:v>90</c:v>
                </c:pt>
                <c:pt idx="1">
                  <c:v>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5-4FB7-876A-F6A7EB666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Evolución de IMC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IMC</c:v>
          </c:tx>
          <c:spPr>
            <a:ln w="38160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CALCULOS!$H$74:$H$83</c:f>
              <c:strCache>
                <c:ptCount val="2"/>
                <c:pt idx="0">
                  <c:v>2026-05-01</c:v>
                </c:pt>
                <c:pt idx="1">
                  <c:v>2026-07-01</c:v>
                </c:pt>
              </c:strCache>
            </c:strRef>
          </c:cat>
          <c:val>
            <c:numRef>
              <c:f>CALCULOS!$I$74:$I$83</c:f>
              <c:numCache>
                <c:formatCode>General</c:formatCode>
                <c:ptCount val="10"/>
                <c:pt idx="0">
                  <c:v>27.777777777777775</c:v>
                </c:pt>
                <c:pt idx="1">
                  <c:v>26.851851851851851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E-48C7-83C0-9D83BB8CF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Cumplimiento de objetivos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Cumplimiento</c:v>
          </c:tx>
          <c:spPr>
            <a:solidFill>
              <a:srgbClr val="156082"/>
            </a:solidFill>
            <a:ln w="0">
              <a:noFill/>
            </a:ln>
          </c:spPr>
          <c:invertIfNegative val="1"/>
          <c:cat>
            <c:strRef>
              <c:f>CALCULOS!$J$74:$J$83</c:f>
              <c:strCache>
                <c:ptCount val="2"/>
                <c:pt idx="0">
                  <c:v>2026-05-01</c:v>
                </c:pt>
                <c:pt idx="1">
                  <c:v>2026-07-01</c:v>
                </c:pt>
              </c:strCache>
            </c:strRef>
          </c:cat>
          <c:val>
            <c:numRef>
              <c:f>CALCULOS!$K$74:$K$83</c:f>
              <c:numCache>
                <c:formatCode>0%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83F-4932-8D8D-993EB448A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Número de evaluaciones por fecha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Evaluaciones</c:v>
          </c:tx>
          <c:spPr>
            <a:solidFill>
              <a:srgbClr val="156082"/>
            </a:solidFill>
            <a:ln w="0">
              <a:noFill/>
            </a:ln>
          </c:spPr>
          <c:invertIfNegative val="1"/>
          <c:cat>
            <c:strRef>
              <c:f>CALCULOS!$L$74:$L$83</c:f>
              <c:strCache>
                <c:ptCount val="2"/>
                <c:pt idx="0">
                  <c:v>2026-05-01</c:v>
                </c:pt>
                <c:pt idx="1">
                  <c:v>2026-07-01</c:v>
                </c:pt>
              </c:strCache>
            </c:strRef>
          </c:cat>
          <c:val>
            <c:numRef>
              <c:f>CALCULOS!$M$74:$M$83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61-4A4C-852A-DA6E02A40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11</xdr:col>
      <xdr:colOff>844560</xdr:colOff>
      <xdr:row>17</xdr:row>
      <xdr:rowOff>179640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19</xdr:col>
      <xdr:colOff>985320</xdr:colOff>
      <xdr:row>17</xdr:row>
      <xdr:rowOff>179640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844560</xdr:colOff>
      <xdr:row>33</xdr:row>
      <xdr:rowOff>179640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19</xdr:col>
      <xdr:colOff>985320</xdr:colOff>
      <xdr:row>33</xdr:row>
      <xdr:rowOff>179640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_PACIENTES" displayName="T_PACIENTES" ref="A6:Y26">
  <tableColumns count="25">
    <tableColumn id="1" xr3:uid="{00000000-0010-0000-0000-000001000000}" name="PatientID"/>
    <tableColumn id="2" xr3:uid="{00000000-0010-0000-0000-000002000000}" name="Estado"/>
    <tableColumn id="3" xr3:uid="{00000000-0010-0000-0000-000003000000}" name="FechaRegistro"/>
    <tableColumn id="4" xr3:uid="{00000000-0010-0000-0000-000004000000}" name="Iniciales"/>
    <tableColumn id="5" xr3:uid="{00000000-0010-0000-0000-000005000000}" name="Nombre opcional"/>
    <tableColumn id="6" xr3:uid="{00000000-0010-0000-0000-000006000000}" name="Apellido opcional"/>
    <tableColumn id="7" xr3:uid="{00000000-0010-0000-0000-000007000000}" name="FechaNacimiento opcional"/>
    <tableColumn id="8" xr3:uid="{00000000-0010-0000-0000-000008000000}" name="Edad calculada"/>
    <tableColumn id="9" xr3:uid="{00000000-0010-0000-0000-000009000000}" name="Sexo registrado al nacer"/>
    <tableColumn id="10" xr3:uid="{00000000-0010-0000-0000-00000A000000}" name="Género opcional"/>
    <tableColumn id="11" xr3:uid="{00000000-0010-0000-0000-00000B000000}" name="Pronombres opcionales"/>
    <tableColumn id="12" xr3:uid="{00000000-0010-0000-0000-00000C000000}" name="Teléfono opcional"/>
    <tableColumn id="13" xr3:uid="{00000000-0010-0000-0000-00000D000000}" name="Correo opcional"/>
    <tableColumn id="14" xr3:uid="{00000000-0010-0000-0000-00000E000000}" name="Ciudad o región opcional"/>
    <tableColumn id="15" xr3:uid="{00000000-0010-0000-0000-00000F000000}" name="Ocupación"/>
    <tableColumn id="16" xr3:uid="{00000000-0010-0000-0000-000010000000}" name="Sistema previsión opcional"/>
    <tableColumn id="17" xr3:uid="{00000000-0010-0000-0000-000011000000}" name="Contacto emergencia opcional"/>
    <tableColumn id="18" xr3:uid="{00000000-0010-0000-0000-000012000000}" name="Consentimiento datos"/>
    <tableColumn id="19" xr3:uid="{00000000-0010-0000-0000-000013000000}" name="Fecha consentimiento"/>
    <tableColumn id="20" xr3:uid="{00000000-0010-0000-0000-000014000000}" name="Versión consentimiento"/>
    <tableColumn id="21" xr3:uid="{00000000-0010-0000-0000-000015000000}" name="Profesional responsable"/>
    <tableColumn id="22" xr3:uid="{00000000-0010-0000-0000-000016000000}" name="FechaModificacion"/>
    <tableColumn id="23" xr3:uid="{00000000-0010-0000-0000-000017000000}" name="FuenteDato"/>
    <tableColumn id="24" xr3:uid="{00000000-0010-0000-0000-000018000000}" name="Observaciones"/>
    <tableColumn id="25" xr3:uid="{00000000-0010-0000-0000-000019000000}" name="Contro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_EVALUACIONES" displayName="T_EVALUACIONES" ref="A6:U36">
  <tableColumns count="21">
    <tableColumn id="1" xr3:uid="{00000000-0010-0000-0100-000001000000}" name="EvaluationID"/>
    <tableColumn id="2" xr3:uid="{00000000-0010-0000-0100-000002000000}" name="PatientID"/>
    <tableColumn id="3" xr3:uid="{00000000-0010-0000-0100-000003000000}" name="Fecha"/>
    <tableColumn id="4" xr3:uid="{00000000-0010-0000-0100-000004000000}" name="Hora opcional"/>
    <tableColumn id="5" xr3:uid="{00000000-0010-0000-0100-000005000000}" name="Tipo evaluación"/>
    <tableColumn id="6" xr3:uid="{00000000-0010-0000-0100-000006000000}" name="Modalidad"/>
    <tableColumn id="7" xr3:uid="{00000000-0010-0000-0100-000007000000}" name="Motivo consulta"/>
    <tableColumn id="8" xr3:uid="{00000000-0010-0000-0100-000008000000}" name="Derivación"/>
    <tableColumn id="9" xr3:uid="{00000000-0010-0000-0100-000009000000}" name="Profesional"/>
    <tableColumn id="10" xr3:uid="{00000000-0010-0000-0100-00000A000000}" name="Estado"/>
    <tableColumn id="11" xr3:uid="{00000000-0010-0000-0100-00000B000000}" name="Duración aproximada min"/>
    <tableColumn id="12" xr3:uid="{00000000-0010-0000-0100-00000C000000}" name="Prioridad clínica manual"/>
    <tableColumn id="13" xr3:uid="{00000000-0010-0000-0100-00000D000000}" name="Fuente información"/>
    <tableColumn id="14" xr3:uid="{00000000-0010-0000-0100-00000E000000}" name="Confiabilidad relato"/>
    <tableColumn id="15" xr3:uid="{00000000-0010-0000-0100-00000F000000}" name="Acompañante opcional"/>
    <tableColumn id="16" xr3:uid="{00000000-0010-0000-0100-000010000000}" name="Observaciones"/>
    <tableColumn id="17" xr3:uid="{00000000-0010-0000-0100-000011000000}" name="FechaRegistro"/>
    <tableColumn id="18" xr3:uid="{00000000-0010-0000-0100-000012000000}" name="FechaModificacion"/>
    <tableColumn id="19" xr3:uid="{00000000-0010-0000-0100-000013000000}" name="RangoPaciente"/>
    <tableColumn id="20" xr3:uid="{00000000-0010-0000-0100-000014000000}" name="ClavePacienteRango"/>
    <tableColumn id="21" xr3:uid="{00000000-0010-0000-0100-000015000000}" name="Contro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_ANTECEDENTES" displayName="T_ANTECEDENTES" ref="A6:P46">
  <tableColumns count="16">
    <tableColumn id="1" xr3:uid="{00000000-0010-0000-0200-000001000000}" name="EvaluationID"/>
    <tableColumn id="2" xr3:uid="{00000000-0010-0000-0200-000002000000}" name="PatientID"/>
    <tableColumn id="3" xr3:uid="{00000000-0010-0000-0200-000003000000}" name="Categoría"/>
    <tableColumn id="4" xr3:uid="{00000000-0010-0000-0200-000004000000}" name="Antecedente"/>
    <tableColumn id="5" xr3:uid="{00000000-0010-0000-0200-000005000000}" name="Estado"/>
    <tableColumn id="6" xr3:uid="{00000000-0010-0000-0200-000006000000}" name="Fecha inicio"/>
    <tableColumn id="7" xr3:uid="{00000000-0010-0000-0200-000007000000}" name="Fecha término"/>
    <tableColumn id="8" xr3:uid="{00000000-0010-0000-0200-000008000000}" name="Profesional diagnóstico opcional"/>
    <tableColumn id="9" xr3:uid="{00000000-0010-0000-0200-000009000000}" name="Tratamiento relacionado"/>
    <tableColumn id="10" xr3:uid="{00000000-0010-0000-0200-00000A000000}" name="Relevancia nutricional manual"/>
    <tableColumn id="11" xr3:uid="{00000000-0010-0000-0200-00000B000000}" name="FuenteDato"/>
    <tableColumn id="12" xr3:uid="{00000000-0010-0000-0200-00000C000000}" name="FechaRegistro"/>
    <tableColumn id="13" xr3:uid="{00000000-0010-0000-0200-00000D000000}" name="FechaModificacion"/>
    <tableColumn id="14" xr3:uid="{00000000-0010-0000-0200-00000E000000}" name="Profesional"/>
    <tableColumn id="15" xr3:uid="{00000000-0010-0000-0200-00000F000000}" name="Observaciones"/>
    <tableColumn id="16" xr3:uid="{00000000-0010-0000-0200-000010000000}" name="Contro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_ANTROPOMETRIA" displayName="T_ANTROPOMETRIA" ref="A6:AL36">
  <tableColumns count="38">
    <tableColumn id="1" xr3:uid="{00000000-0010-0000-0300-000001000000}" name="EvaluationID"/>
    <tableColumn id="2" xr3:uid="{00000000-0010-0000-0300-000002000000}" name="PatientID"/>
    <tableColumn id="3" xr3:uid="{00000000-0010-0000-0300-000003000000}" name="Fecha"/>
    <tableColumn id="4" xr3:uid="{00000000-0010-0000-0300-000004000000}" name="Peso kg"/>
    <tableColumn id="5" xr3:uid="{00000000-0010-0000-0300-000005000000}" name="Estatura cm"/>
    <tableColumn id="6" xr3:uid="{00000000-0010-0000-0300-000006000000}" name="IMC"/>
    <tableColumn id="7" xr3:uid="{00000000-0010-0000-0300-000007000000}" name="Peso habitual kg"/>
    <tableColumn id="8" xr3:uid="{00000000-0010-0000-0300-000008000000}" name="Peso mínimo reciente kg"/>
    <tableColumn id="9" xr3:uid="{00000000-0010-0000-0300-000009000000}" name="Peso máximo reciente kg"/>
    <tableColumn id="10" xr3:uid="{00000000-0010-0000-0300-00000A000000}" name="Cambio peso kg"/>
    <tableColumn id="11" xr3:uid="{00000000-0010-0000-0300-00000B000000}" name="Cambio peso %"/>
    <tableColumn id="12" xr3:uid="{00000000-0010-0000-0300-00000C000000}" name="Periodo cambio"/>
    <tableColumn id="13" xr3:uid="{00000000-0010-0000-0300-00000D000000}" name="Intencionalidad cambio"/>
    <tableColumn id="14" xr3:uid="{00000000-0010-0000-0300-00000E000000}" name="Cintura cm"/>
    <tableColumn id="15" xr3:uid="{00000000-0010-0000-0300-00000F000000}" name="Cadera cm"/>
    <tableColumn id="16" xr3:uid="{00000000-0010-0000-0300-000010000000}" name="Brazo cm"/>
    <tableColumn id="17" xr3:uid="{00000000-0010-0000-0300-000011000000}" name="Pantorrilla cm"/>
    <tableColumn id="18" xr3:uid="{00000000-0010-0000-0300-000012000000}" name="% grasa"/>
    <tableColumn id="19" xr3:uid="{00000000-0010-0000-0300-000013000000}" name="Masa grasa kg"/>
    <tableColumn id="20" xr3:uid="{00000000-0010-0000-0300-000014000000}" name="Masa libre grasa kg"/>
    <tableColumn id="21" xr3:uid="{00000000-0010-0000-0300-000015000000}" name="Fuente % grasa"/>
    <tableColumn id="22" xr3:uid="{00000000-0010-0000-0300-000016000000}" name="Cintura/estatura"/>
    <tableColumn id="23" xr3:uid="{00000000-0010-0000-0300-000017000000}" name="Cintura/cadera"/>
    <tableColumn id="24" xr3:uid="{00000000-0010-0000-0300-000018000000}" name="Calidad medición"/>
    <tableColumn id="25" xr3:uid="{00000000-0010-0000-0300-000019000000}" name="Ayuno"/>
    <tableColumn id="26" xr3:uid="{00000000-0010-0000-0300-00001A000000}" name="Horario"/>
    <tableColumn id="27" xr3:uid="{00000000-0010-0000-0300-00001B000000}" name="Ropa"/>
    <tableColumn id="28" xr3:uid="{00000000-0010-0000-0300-00001C000000}" name="Retención líquidos"/>
    <tableColumn id="29" xr3:uid="{00000000-0010-0000-0300-00001D000000}" name="Edema"/>
    <tableColumn id="30" xr3:uid="{00000000-0010-0000-0300-00001E000000}" name="Dispositivo"/>
    <tableColumn id="31" xr3:uid="{00000000-0010-0000-0300-00001F000000}" name="Condiciones medición"/>
    <tableColumn id="32" xr3:uid="{00000000-0010-0000-0300-000020000000}" name="Instrumento"/>
    <tableColumn id="33" xr3:uid="{00000000-0010-0000-0300-000021000000}" name="Profesional"/>
    <tableColumn id="34" xr3:uid="{00000000-0010-0000-0300-000022000000}" name="FuenteDato"/>
    <tableColumn id="35" xr3:uid="{00000000-0010-0000-0300-000023000000}" name="Observaciones"/>
    <tableColumn id="36" xr3:uid="{00000000-0010-0000-0300-000024000000}" name="RangoPaciente"/>
    <tableColumn id="37" xr3:uid="{00000000-0010-0000-0300-000025000000}" name="ClavePacienteRango"/>
    <tableColumn id="38" xr3:uid="{00000000-0010-0000-0300-000026000000}" name="Control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_BIOQUIMICA" displayName="T_BIOQUIMICA" ref="A6:X56">
  <tableColumns count="24">
    <tableColumn id="1" xr3:uid="{00000000-0010-0000-0400-000001000000}" name="EvaluationID"/>
    <tableColumn id="2" xr3:uid="{00000000-0010-0000-0400-000002000000}" name="PatientID"/>
    <tableColumn id="3" xr3:uid="{00000000-0010-0000-0400-000003000000}" name="Fecha muestra"/>
    <tableColumn id="4" xr3:uid="{00000000-0010-0000-0400-000004000000}" name="Analito"/>
    <tableColumn id="5" xr3:uid="{00000000-0010-0000-0400-000005000000}" name="Resultado numérico"/>
    <tableColumn id="6" xr3:uid="{00000000-0010-0000-0400-000006000000}" name="Resultado cualitativo"/>
    <tableColumn id="7" xr3:uid="{00000000-0010-0000-0400-000007000000}" name="Unidad"/>
    <tableColumn id="8" xr3:uid="{00000000-0010-0000-0400-000008000000}" name="Límite inferior"/>
    <tableColumn id="9" xr3:uid="{00000000-0010-0000-0400-000009000000}" name="Límite superior"/>
    <tableColumn id="10" xr3:uid="{00000000-0010-0000-0400-00000A000000}" name="Intervalo referencia textual"/>
    <tableColumn id="11" xr3:uid="{00000000-0010-0000-0400-00000B000000}" name="Estado calculado"/>
    <tableColumn id="12" xr3:uid="{00000000-0010-0000-0400-00000C000000}" name="Laboratorio"/>
    <tableColumn id="13" xr3:uid="{00000000-0010-0000-0400-00000D000000}" name="Condición muestra"/>
    <tableColumn id="14" xr3:uid="{00000000-0010-0000-0400-00000E000000}" name="Fuente rango"/>
    <tableColumn id="15" xr3:uid="{00000000-0010-0000-0400-00000F000000}" name="Comentario profesional"/>
    <tableColumn id="16" xr3:uid="{00000000-0010-0000-0400-000010000000}" name="Estado revisión"/>
    <tableColumn id="17" xr3:uid="{00000000-0010-0000-0400-000011000000}" name="FechaRegistro"/>
    <tableColumn id="18" xr3:uid="{00000000-0010-0000-0400-000012000000}" name="FechaModificacion"/>
    <tableColumn id="19" xr3:uid="{00000000-0010-0000-0400-000013000000}" name="Profesional"/>
    <tableColumn id="20" xr3:uid="{00000000-0010-0000-0400-000014000000}" name="FuenteDato"/>
    <tableColumn id="21" xr3:uid="{00000000-0010-0000-0400-000015000000}" name="Observaciones"/>
    <tableColumn id="22" xr3:uid="{00000000-0010-0000-0400-000016000000}" name="Rango señalado"/>
    <tableColumn id="23" xr3:uid="{00000000-0010-0000-0400-000017000000}" name="Clave señalada"/>
    <tableColumn id="24" xr3:uid="{00000000-0010-0000-0400-000018000000}" name="Control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_CLINICA" displayName="T_CLINICA" ref="A6:R56">
  <tableColumns count="18">
    <tableColumn id="1" xr3:uid="{00000000-0010-0000-0500-000001000000}" name="EvaluationID"/>
    <tableColumn id="2" xr3:uid="{00000000-0010-0000-0500-000002000000}" name="PatientID"/>
    <tableColumn id="3" xr3:uid="{00000000-0010-0000-0500-000003000000}" name="Sistema o categoría"/>
    <tableColumn id="4" xr3:uid="{00000000-0010-0000-0500-000004000000}" name="Signo o síntoma"/>
    <tableColumn id="5" xr3:uid="{00000000-0010-0000-0500-000005000000}" name="Presencia"/>
    <tableColumn id="6" xr3:uid="{00000000-0010-0000-0500-000006000000}" name="Intensidad"/>
    <tableColumn id="7" xr3:uid="{00000000-0010-0000-0500-000007000000}" name="Frecuencia"/>
    <tableColumn id="8" xr3:uid="{00000000-0010-0000-0500-000008000000}" name="Duración"/>
    <tableColumn id="9" xr3:uid="{00000000-0010-0000-0500-000009000000}" name="Momento aparición"/>
    <tableColumn id="10" xr3:uid="{00000000-0010-0000-0500-00000A000000}" name="Relación percibida con alimentos"/>
    <tableColumn id="11" xr3:uid="{00000000-0010-0000-0500-00000B000000}" name="Impacto funcional"/>
    <tableColumn id="12" xr3:uid="{00000000-0010-0000-0500-00000C000000}" name="FuenteDato"/>
    <tableColumn id="13" xr3:uid="{00000000-0010-0000-0500-00000D000000}" name="Requiere derivación manual"/>
    <tableColumn id="14" xr3:uid="{00000000-0010-0000-0500-00000E000000}" name="FechaRegistro"/>
    <tableColumn id="15" xr3:uid="{00000000-0010-0000-0500-00000F000000}" name="FechaModificacion"/>
    <tableColumn id="16" xr3:uid="{00000000-0010-0000-0500-000010000000}" name="Profesional"/>
    <tableColumn id="17" xr3:uid="{00000000-0010-0000-0500-000011000000}" name="Observaciones"/>
    <tableColumn id="18" xr3:uid="{00000000-0010-0000-0500-000012000000}" name="Control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_ANAMNESIS" displayName="T_ANAMNESIS" ref="A6:M26">
  <tableColumns count="13">
    <tableColumn id="1" xr3:uid="{00000000-0010-0000-0600-000001000000}" name="EvaluationID"/>
    <tableColumn id="2" xr3:uid="{00000000-0010-0000-0600-000002000000}" name="PatientID"/>
    <tableColumn id="3" xr3:uid="{00000000-0010-0000-0600-000003000000}" name="Categoría"/>
    <tableColumn id="4" xr3:uid="{00000000-0010-0000-0600-000004000000}" name="Pregunta o variable"/>
    <tableColumn id="5" xr3:uid="{00000000-0010-0000-0600-000005000000}" name="Respuesta"/>
    <tableColumn id="6" xr3:uid="{00000000-0010-0000-0600-000006000000}" name="Frecuencia"/>
    <tableColumn id="7" xr3:uid="{00000000-0010-0000-0600-000007000000}" name="Cantidad"/>
    <tableColumn id="8" xr3:uid="{00000000-0010-0000-0600-000008000000}" name="Unidad"/>
    <tableColumn id="9" xr3:uid="{00000000-0010-0000-0600-000009000000}" name="FuenteDato"/>
    <tableColumn id="10" xr3:uid="{00000000-0010-0000-0600-00000A000000}" name="Comentario profesional"/>
    <tableColumn id="11" xr3:uid="{00000000-0010-0000-0600-00000B000000}" name="FechaRegistro"/>
    <tableColumn id="12" xr3:uid="{00000000-0010-0000-0600-00000C000000}" name="Profesional"/>
    <tableColumn id="13" xr3:uid="{00000000-0010-0000-0600-00000D000000}" name="Control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7000000}" name="T_R24H" displayName="T_R24H" ref="A111:T171">
  <tableColumns count="20">
    <tableColumn id="1" xr3:uid="{00000000-0010-0000-0700-000001000000}" name="EvaluationID"/>
    <tableColumn id="2" xr3:uid="{00000000-0010-0000-0700-000002000000}" name="PatientID"/>
    <tableColumn id="3" xr3:uid="{00000000-0010-0000-0700-000003000000}" name="Fecha representada"/>
    <tableColumn id="4" xr3:uid="{00000000-0010-0000-0700-000004000000}" name="Tipo de día"/>
    <tableColumn id="5" xr3:uid="{00000000-0010-0000-0700-000005000000}" name="Tiempo de comida"/>
    <tableColumn id="6" xr3:uid="{00000000-0010-0000-0700-000006000000}" name="Hora"/>
    <tableColumn id="7" xr3:uid="{00000000-0010-0000-0700-000007000000}" name="Lugar"/>
    <tableColumn id="8" xr3:uid="{00000000-0010-0000-0700-000008000000}" name="Alimento o preparación"/>
    <tableColumn id="9" xr3:uid="{00000000-0010-0000-0700-000009000000}" name="Cantidad"/>
    <tableColumn id="10" xr3:uid="{00000000-0010-0000-0700-00000A000000}" name="Unidad casera"/>
    <tableColumn id="11" xr3:uid="{00000000-0010-0000-0700-00000B000000}" name="Peso g opcional"/>
    <tableColumn id="12" xr3:uid="{00000000-0010-0000-0700-00000C000000}" name="Energía manual kcal"/>
    <tableColumn id="13" xr3:uid="{00000000-0010-0000-0700-00000D000000}" name="Proteínas manual g"/>
    <tableColumn id="14" xr3:uid="{00000000-0010-0000-0700-00000E000000}" name="Carbohidratos manual g"/>
    <tableColumn id="15" xr3:uid="{00000000-0010-0000-0700-00000F000000}" name="Grasas manual g"/>
    <tableColumn id="16" xr3:uid="{00000000-0010-0000-0700-000010000000}" name="Fibra manual g"/>
    <tableColumn id="17" xr3:uid="{00000000-0010-0000-0700-000011000000}" name="Fuente composición"/>
    <tableColumn id="18" xr3:uid="{00000000-0010-0000-0700-000012000000}" name="Método estimación"/>
    <tableColumn id="19" xr3:uid="{00000000-0010-0000-0700-000013000000}" name="Observaciones"/>
    <tableColumn id="20" xr3:uid="{00000000-0010-0000-0700-000014000000}" name="Control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8000000}" name="T_ACTIVIDAD" displayName="T_ACTIVIDAD" ref="A6:R36">
  <tableColumns count="18">
    <tableColumn id="1" xr3:uid="{00000000-0010-0000-0800-000001000000}" name="EvaluationID"/>
    <tableColumn id="2" xr3:uid="{00000000-0010-0000-0800-000002000000}" name="PatientID"/>
    <tableColumn id="3" xr3:uid="{00000000-0010-0000-0800-000003000000}" name="Actividad"/>
    <tableColumn id="4" xr3:uid="{00000000-0010-0000-0800-000004000000}" name="Tipo"/>
    <tableColumn id="5" xr3:uid="{00000000-0010-0000-0800-000005000000}" name="Frecuencia semanal"/>
    <tableColumn id="6" xr3:uid="{00000000-0010-0000-0800-000006000000}" name="Duración min"/>
    <tableColumn id="7" xr3:uid="{00000000-0010-0000-0800-000007000000}" name="Intensidad percibida"/>
    <tableColumn id="8" xr3:uid="{00000000-0010-0000-0800-000008000000}" name="MET opcional"/>
    <tableColumn id="9" xr3:uid="{00000000-0010-0000-0800-000009000000}" name="Fuente MET"/>
    <tableColumn id="10" xr3:uid="{00000000-0010-0000-0800-00000A000000}" name="Pasos"/>
    <tableColumn id="11" xr3:uid="{00000000-0010-0000-0800-00000B000000}" name="Trabajo físico"/>
    <tableColumn id="12" xr3:uid="{00000000-0010-0000-0800-00000C000000}" name="Sedentarismo"/>
    <tableColumn id="13" xr3:uid="{00000000-0010-0000-0800-00000D000000}" name="Tiempo sentado h"/>
    <tableColumn id="14" xr3:uid="{00000000-0010-0000-0800-00000E000000}" name="Objetivo"/>
    <tableColumn id="15" xr3:uid="{00000000-0010-0000-0800-00000F000000}" name="Limitaciones"/>
    <tableColumn id="16" xr3:uid="{00000000-0010-0000-0800-000010000000}" name="FechaRegistro"/>
    <tableColumn id="17" xr3:uid="{00000000-0010-0000-0800-000011000000}" name="Observaciones"/>
    <tableColumn id="18" xr3:uid="{00000000-0010-0000-0800-000012000000}" name="Control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_FARMACOS" displayName="T_FARMACOS" ref="A6:R36">
  <tableColumns count="18">
    <tableColumn id="1" xr3:uid="{00000000-0010-0000-0900-000001000000}" name="EvaluationID"/>
    <tableColumn id="2" xr3:uid="{00000000-0010-0000-0900-000002000000}" name="PatientID"/>
    <tableColumn id="3" xr3:uid="{00000000-0010-0000-0900-000003000000}" name="Nombre"/>
    <tableColumn id="4" xr3:uid="{00000000-0010-0000-0900-000004000000}" name="Principio activo opcional"/>
    <tableColumn id="5" xr3:uid="{00000000-0010-0000-0900-000005000000}" name="Dosis"/>
    <tableColumn id="6" xr3:uid="{00000000-0010-0000-0900-000006000000}" name="Unidad"/>
    <tableColumn id="7" xr3:uid="{00000000-0010-0000-0900-000007000000}" name="Frecuencia"/>
    <tableColumn id="8" xr3:uid="{00000000-0010-0000-0900-000008000000}" name="Horario"/>
    <tableColumn id="9" xr3:uid="{00000000-0010-0000-0900-000009000000}" name="Vía"/>
    <tableColumn id="10" xr3:uid="{00000000-0010-0000-0900-00000A000000}" name="Motivo de uso"/>
    <tableColumn id="11" xr3:uid="{00000000-0010-0000-0900-00000B000000}" name="Fecha inicio"/>
    <tableColumn id="12" xr3:uid="{00000000-0010-0000-0900-00000C000000}" name="Fecha término"/>
    <tableColumn id="13" xr3:uid="{00000000-0010-0000-0900-00000D000000}" name="Prescriptor"/>
    <tableColumn id="14" xr3:uid="{00000000-0010-0000-0900-00000E000000}" name="Adherencia percibida"/>
    <tableColumn id="15" xr3:uid="{00000000-0010-0000-0900-00000F000000}" name="Interacción potencial para revisar"/>
    <tableColumn id="16" xr3:uid="{00000000-0010-0000-0900-000010000000}" name="Fuente interacción"/>
    <tableColumn id="17" xr3:uid="{00000000-0010-0000-0900-000011000000}" name="Observaciones"/>
    <tableColumn id="18" xr3:uid="{00000000-0010-0000-0900-000012000000}" name="Control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A000000}" name="T_SUPLEMENTOS" displayName="T_SUPLEMENTOS" ref="A311:R341">
  <tableColumns count="18">
    <tableColumn id="1" xr3:uid="{00000000-0010-0000-0A00-000001000000}" name="EvaluationID"/>
    <tableColumn id="2" xr3:uid="{00000000-0010-0000-0A00-000002000000}" name="PatientID"/>
    <tableColumn id="3" xr3:uid="{00000000-0010-0000-0A00-000003000000}" name="Producto"/>
    <tableColumn id="4" xr3:uid="{00000000-0010-0000-0A00-000004000000}" name="Ingrediente"/>
    <tableColumn id="5" xr3:uid="{00000000-0010-0000-0A00-000005000000}" name="Dosis"/>
    <tableColumn id="6" xr3:uid="{00000000-0010-0000-0A00-000006000000}" name="Unidad"/>
    <tableColumn id="7" xr3:uid="{00000000-0010-0000-0A00-000007000000}" name="Frecuencia"/>
    <tableColumn id="8" xr3:uid="{00000000-0010-0000-0A00-000008000000}" name="Marca opcional"/>
    <tableColumn id="9" xr3:uid="{00000000-0010-0000-0A00-000009000000}" name="Motivo"/>
    <tableColumn id="10" xr3:uid="{00000000-0010-0000-0A00-00000A000000}" name="Fuente recomendación"/>
    <tableColumn id="11" xr3:uid="{00000000-0010-0000-0A00-00000B000000}" name="Fecha inicio"/>
    <tableColumn id="12" xr3:uid="{00000000-0010-0000-0A00-00000C000000}" name="Fecha término"/>
    <tableColumn id="13" xr3:uid="{00000000-0010-0000-0A00-00000D000000}" name="Interacción potencial para revisar"/>
    <tableColumn id="14" xr3:uid="{00000000-0010-0000-0A00-00000E000000}" name="Fuente interacción"/>
    <tableColumn id="15" xr3:uid="{00000000-0010-0000-0A00-00000F000000}" name="Observaciones"/>
    <tableColumn id="16" xr3:uid="{00000000-0010-0000-0A00-000010000000}" name="Estado revisión"/>
    <tableColumn id="17" xr3:uid="{00000000-0010-0000-0A00-000011000000}" name="Profesional"/>
    <tableColumn id="18" xr3:uid="{00000000-0010-0000-0A00-000012000000}" name="Control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B000000}" name="T_DIAGNOSTICOS" displayName="T_DIAGNOSTICOS" ref="A6:S36">
  <tableColumns count="19">
    <tableColumn id="1" xr3:uid="{00000000-0010-0000-0B00-000001000000}" name="EvaluationID"/>
    <tableColumn id="2" xr3:uid="{00000000-0010-0000-0B00-000002000000}" name="PatientID"/>
    <tableColumn id="3" xr3:uid="{00000000-0010-0000-0B00-000003000000}" name="Fecha"/>
    <tableColumn id="4" xr3:uid="{00000000-0010-0000-0B00-000004000000}" name="Dominio"/>
    <tableColumn id="5" xr3:uid="{00000000-0010-0000-0B00-000005000000}" name="Problema"/>
    <tableColumn id="6" xr3:uid="{00000000-0010-0000-0B00-000006000000}" name="Etiología"/>
    <tableColumn id="7" xr3:uid="{00000000-0010-0000-0B00-000007000000}" name="Signos y síntomas"/>
    <tableColumn id="8" xr3:uid="{00000000-0010-0000-0B00-000008000000}" name="Previsualización PES"/>
    <tableColumn id="9" xr3:uid="{00000000-0010-0000-0B00-000009000000}" name="Redacción completa editable"/>
    <tableColumn id="10" xr3:uid="{00000000-0010-0000-0B00-00000A000000}" name="Prioridad"/>
    <tableColumn id="11" xr3:uid="{00000000-0010-0000-0B00-00000B000000}" name="Estado"/>
    <tableColumn id="12" xr3:uid="{00000000-0010-0000-0B00-00000C000000}" name="Fuente evidencia"/>
    <tableColumn id="13" xr3:uid="{00000000-0010-0000-0B00-00000D000000}" name="Revisión profesional"/>
    <tableColumn id="14" xr3:uid="{00000000-0010-0000-0B00-00000E000000}" name="Fecha cierre"/>
    <tableColumn id="15" xr3:uid="{00000000-0010-0000-0B00-00000F000000}" name="Motivo cierre"/>
    <tableColumn id="16" xr3:uid="{00000000-0010-0000-0B00-000010000000}" name="FechaRegistro"/>
    <tableColumn id="17" xr3:uid="{00000000-0010-0000-0B00-000011000000}" name="Profesional"/>
    <tableColumn id="18" xr3:uid="{00000000-0010-0000-0B00-000012000000}" name="Observaciones"/>
    <tableColumn id="19" xr3:uid="{00000000-0010-0000-0B00-000013000000}" name="Control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OBJETIVOS" displayName="T_OBJETIVOS" ref="A6:U36">
  <tableColumns count="21">
    <tableColumn id="1" xr3:uid="{00000000-0010-0000-0C00-000001000000}" name="EvaluationID"/>
    <tableColumn id="2" xr3:uid="{00000000-0010-0000-0C00-000002000000}" name="PatientID"/>
    <tableColumn id="3" xr3:uid="{00000000-0010-0000-0C00-000003000000}" name="ObjetivoID"/>
    <tableColumn id="4" xr3:uid="{00000000-0010-0000-0C00-000004000000}" name="Categoría"/>
    <tableColumn id="5" xr3:uid="{00000000-0010-0000-0C00-000005000000}" name="Descripción"/>
    <tableColumn id="6" xr3:uid="{00000000-0010-0000-0C00-000006000000}" name="Indicador"/>
    <tableColumn id="7" xr3:uid="{00000000-0010-0000-0C00-000007000000}" name="Valor inicial"/>
    <tableColumn id="8" xr3:uid="{00000000-0010-0000-0C00-000008000000}" name="Meta"/>
    <tableColumn id="9" xr3:uid="{00000000-0010-0000-0C00-000009000000}" name="Unidad"/>
    <tableColumn id="10" xr3:uid="{00000000-0010-0000-0C00-00000A000000}" name="Fecha inicio"/>
    <tableColumn id="11" xr3:uid="{00000000-0010-0000-0C00-00000B000000}" name="Fecha objetivo"/>
    <tableColumn id="12" xr3:uid="{00000000-0010-0000-0C00-00000C000000}" name="Prioridad"/>
    <tableColumn id="13" xr3:uid="{00000000-0010-0000-0C00-00000D000000}" name="Responsable"/>
    <tableColumn id="14" xr3:uid="{00000000-0010-0000-0C00-00000E000000}" name="Estado"/>
    <tableColumn id="15" xr3:uid="{00000000-0010-0000-0C00-00000F000000}" name="Porcentaje avance"/>
    <tableColumn id="16" xr3:uid="{00000000-0010-0000-0C00-000010000000}" name="Criterio éxito"/>
    <tableColumn id="17" xr3:uid="{00000000-0010-0000-0C00-000011000000}" name="Barreras"/>
    <tableColumn id="18" xr3:uid="{00000000-0010-0000-0C00-000012000000}" name="Facilitadores"/>
    <tableColumn id="19" xr3:uid="{00000000-0010-0000-0C00-000013000000}" name="Observaciones"/>
    <tableColumn id="20" xr3:uid="{00000000-0010-0000-0C00-000014000000}" name="ClaveObjetivo"/>
    <tableColumn id="21" xr3:uid="{00000000-0010-0000-0C00-000015000000}" name="Contro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D000000}" name="T_INTERVENCIONES" displayName="T_INTERVENCIONES" ref="A6:Q36">
  <tableColumns count="17">
    <tableColumn id="1" xr3:uid="{00000000-0010-0000-0D00-000001000000}" name="EvaluationID"/>
    <tableColumn id="2" xr3:uid="{00000000-0010-0000-0D00-000002000000}" name="PatientID"/>
    <tableColumn id="3" xr3:uid="{00000000-0010-0000-0D00-000003000000}" name="Fecha"/>
    <tableColumn id="4" xr3:uid="{00000000-0010-0000-0D00-000004000000}" name="Categoría"/>
    <tableColumn id="5" xr3:uid="{00000000-0010-0000-0D00-000005000000}" name="Intervención"/>
    <tableColumn id="6" xr3:uid="{00000000-0010-0000-0D00-000006000000}" name="Fundamento"/>
    <tableColumn id="7" xr3:uid="{00000000-0010-0000-0D00-000007000000}" name="Objetivo relacionado"/>
    <tableColumn id="8" xr3:uid="{00000000-0010-0000-0D00-000008000000}" name="Responsable"/>
    <tableColumn id="9" xr3:uid="{00000000-0010-0000-0D00-000009000000}" name="Frecuencia"/>
    <tableColumn id="10" xr3:uid="{00000000-0010-0000-0D00-00000A000000}" name="Material entregado"/>
    <tableColumn id="11" xr3:uid="{00000000-0010-0000-0D00-00000B000000}" name="Acuerdo con paciente"/>
    <tableColumn id="12" xr3:uid="{00000000-0010-0000-0D00-00000C000000}" name="Estado"/>
    <tableColumn id="13" xr3:uid="{00000000-0010-0000-0D00-00000D000000}" name="Fecha revisión"/>
    <tableColumn id="14" xr3:uid="{00000000-0010-0000-0D00-00000E000000}" name="FechaRegistro"/>
    <tableColumn id="15" xr3:uid="{00000000-0010-0000-0D00-00000F000000}" name="Profesional"/>
    <tableColumn id="16" xr3:uid="{00000000-0010-0000-0D00-000010000000}" name="Observaciones"/>
    <tableColumn id="17" xr3:uid="{00000000-0010-0000-0D00-000011000000}" name="Contro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E000000}" name="T_SEGUIMIENTO" displayName="T_SEGUIMIENTO" ref="A6:Y36">
  <tableColumns count="25">
    <tableColumn id="1" xr3:uid="{00000000-0010-0000-0E00-000001000000}" name="EvaluationID"/>
    <tableColumn id="2" xr3:uid="{00000000-0010-0000-0E00-000002000000}" name="PatientID"/>
    <tableColumn id="3" xr3:uid="{00000000-0010-0000-0E00-000003000000}" name="Fecha"/>
    <tableColumn id="4" xr3:uid="{00000000-0010-0000-0E00-000004000000}" name="EvaluationID anterior"/>
    <tableColumn id="5" xr3:uid="{00000000-0010-0000-0E00-000005000000}" name="Días desde anterior"/>
    <tableColumn id="6" xr3:uid="{00000000-0010-0000-0E00-000006000000}" name="Peso actual kg"/>
    <tableColumn id="7" xr3:uid="{00000000-0010-0000-0E00-000007000000}" name="Peso anterior kg"/>
    <tableColumn id="8" xr3:uid="{00000000-0010-0000-0E00-000008000000}" name="Cambio peso kg"/>
    <tableColumn id="9" xr3:uid="{00000000-0010-0000-0E00-000009000000}" name="Cambio peso %"/>
    <tableColumn id="10" xr3:uid="{00000000-0010-0000-0E00-00000A000000}" name="Adherencia percibida"/>
    <tableColumn id="11" xr3:uid="{00000000-0010-0000-0E00-00000B000000}" name="Cumplimiento objetivos"/>
    <tableColumn id="12" xr3:uid="{00000000-0010-0000-0E00-00000C000000}" name="Objetivos cumplidos"/>
    <tableColumn id="13" xr3:uid="{00000000-0010-0000-0E00-00000D000000}" name="Objetivos pendientes"/>
    <tableColumn id="14" xr3:uid="{00000000-0010-0000-0E00-00000E000000}" name="Síntomas"/>
    <tableColumn id="15" xr3:uid="{00000000-0010-0000-0E00-00000F000000}" name="Barreras nuevas"/>
    <tableColumn id="16" xr3:uid="{00000000-0010-0000-0E00-000010000000}" name="Facilitadores nuevos"/>
    <tableColumn id="17" xr3:uid="{00000000-0010-0000-0E00-000011000000}" name="Cambios fármacos"/>
    <tableColumn id="18" xr3:uid="{00000000-0010-0000-0E00-000012000000}" name="Cambios actividad"/>
    <tableColumn id="19" xr3:uid="{00000000-0010-0000-0E00-000013000000}" name="Cambios alimentarios"/>
    <tableColumn id="20" xr3:uid="{00000000-0010-0000-0E00-000014000000}" name="Decisión profesional"/>
    <tableColumn id="21" xr3:uid="{00000000-0010-0000-0E00-000015000000}" name="Próxima acción"/>
    <tableColumn id="22" xr3:uid="{00000000-0010-0000-0E00-000016000000}" name="Próxima fecha"/>
    <tableColumn id="23" xr3:uid="{00000000-0010-0000-0E00-000017000000}" name="Estado"/>
    <tableColumn id="24" xr3:uid="{00000000-0010-0000-0E00-000018000000}" name="Observaciones"/>
    <tableColumn id="25" xr3:uid="{00000000-0010-0000-0E00-000019000000}" name="Contro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F000000}" name="T_ANALITOS" displayName="T_ANALITOS" ref="A29:E49">
  <tableColumns count="5">
    <tableColumn id="1" xr3:uid="{00000000-0010-0000-0F00-000001000000}" name="Código"/>
    <tableColumn id="2" xr3:uid="{00000000-0010-0000-0F00-000002000000}" name="Analito"/>
    <tableColumn id="3" xr3:uid="{00000000-0010-0000-0F00-000003000000}" name="Unidad sugerida"/>
    <tableColumn id="4" xr3:uid="{00000000-0010-0000-0F00-000004000000}" name="Activo"/>
    <tableColumn id="5" xr3:uid="{00000000-0010-0000-0F00-000005000000}" name="Observaciones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0000000}" name="T_CATALOGOS_GENERAL" displayName="T_CATALOGOS_GENERAL" ref="A90:H250">
  <tableColumns count="8">
    <tableColumn id="1" xr3:uid="{00000000-0010-0000-1000-000001000000}" name="Catálogo"/>
    <tableColumn id="2" xr3:uid="{00000000-0010-0000-1000-000002000000}" name="Código"/>
    <tableColumn id="3" xr3:uid="{00000000-0010-0000-1000-000003000000}" name="Valor"/>
    <tableColumn id="4" xr3:uid="{00000000-0010-0000-1000-000004000000}" name="Orden"/>
    <tableColumn id="5" xr3:uid="{00000000-0010-0000-1000-000005000000}" name="Activo"/>
    <tableColumn id="6" xr3:uid="{00000000-0010-0000-1000-000006000000}" name="Fuente"/>
    <tableColumn id="7" xr3:uid="{00000000-0010-0000-1000-000007000000}" name="Fecha revisión"/>
    <tableColumn id="8" xr3:uid="{00000000-0010-0000-1000-000008000000}" name="Observaciones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1000000}" name="T_PROFESIONALES" displayName="T_PROFESIONALES" ref="A73:G88">
  <tableColumns count="7">
    <tableColumn id="1" xr3:uid="{00000000-0010-0000-1100-000001000000}" name="ProfesionalID"/>
    <tableColumn id="2" xr3:uid="{00000000-0010-0000-1100-000002000000}" name="Nombre"/>
    <tableColumn id="3" xr3:uid="{00000000-0010-0000-1100-000003000000}" name="Registro"/>
    <tableColumn id="4" xr3:uid="{00000000-0010-0000-1100-000004000000}" name="Centro"/>
    <tableColumn id="5" xr3:uid="{00000000-0010-0000-1100-000005000000}" name="Activo"/>
    <tableColumn id="6" xr3:uid="{00000000-0010-0000-1100-000006000000}" name="Fecha actualización"/>
    <tableColumn id="7" xr3:uid="{00000000-0010-0000-1100-000007000000}" name="Observaciones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T_RANGOS_BIOQUIMICOS" displayName="T_RANGOS_BIOQUIMICOS" ref="A51:L71">
  <tableColumns count="12">
    <tableColumn id="1" xr3:uid="{00000000-0010-0000-1200-000001000000}" name="Analito"/>
    <tableColumn id="2" xr3:uid="{00000000-0010-0000-1200-000002000000}" name="Sexo/población"/>
    <tableColumn id="3" xr3:uid="{00000000-0010-0000-1200-000003000000}" name="Edad mínima"/>
    <tableColumn id="4" xr3:uid="{00000000-0010-0000-1200-000004000000}" name="Edad máxima"/>
    <tableColumn id="5" xr3:uid="{00000000-0010-0000-1200-000005000000}" name="Unidad"/>
    <tableColumn id="6" xr3:uid="{00000000-0010-0000-1200-000006000000}" name="Límite inferior"/>
    <tableColumn id="7" xr3:uid="{00000000-0010-0000-1200-000007000000}" name="Límite superior"/>
    <tableColumn id="8" xr3:uid="{00000000-0010-0000-1200-000008000000}" name="Fuente"/>
    <tableColumn id="9" xr3:uid="{00000000-0010-0000-1200-000009000000}" name="Fecha"/>
    <tableColumn id="10" xr3:uid="{00000000-0010-0000-1200-00000A000000}" name="Laboratorio/guía"/>
    <tableColumn id="11" xr3:uid="{00000000-0010-0000-1200-00000B000000}" name="Estado verificación"/>
    <tableColumn id="12" xr3:uid="{00000000-0010-0000-1200-00000C000000}" name="Observaciones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TRAZABILIDAD" displayName="T_TRAZABILIDAD" ref="A67:H97">
  <tableColumns count="8">
    <tableColumn id="1" xr3:uid="{00000000-0010-0000-1300-000001000000}" name="Requisito"/>
    <tableColumn id="2" xr3:uid="{00000000-0010-0000-1300-000002000000}" name="Hoja"/>
    <tableColumn id="3" xr3:uid="{00000000-0010-0000-1300-000003000000}" name="Tabla"/>
    <tableColumn id="4" xr3:uid="{00000000-0010-0000-1300-000004000000}" name="Campo/rango"/>
    <tableColumn id="5" xr3:uid="{00000000-0010-0000-1300-000005000000}" name="Mecanismo"/>
    <tableColumn id="6" xr3:uid="{00000000-0010-0000-1300-000006000000}" name="Prueba"/>
    <tableColumn id="7" xr3:uid="{00000000-0010-0000-1300-000007000000}" name="Fuente"/>
    <tableColumn id="8" xr3:uid="{00000000-0010-0000-1300-000008000000}" name="Est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4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showGridLines="0" tabSelected="1" topLeftCell="A10" workbookViewId="0">
      <selection activeCell="D40" sqref="D40:F40"/>
    </sheetView>
  </sheetViews>
  <sheetFormatPr baseColWidth="10" defaultColWidth="9" defaultRowHeight="15"/>
  <cols>
    <col min="1" max="1" width="24" style="15" customWidth="1"/>
    <col min="2" max="5" width="18" style="15" customWidth="1"/>
    <col min="6" max="12" width="16" style="15" customWidth="1"/>
  </cols>
  <sheetData>
    <row r="1" spans="1:12" ht="27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2" ht="30" customHeight="1">
      <c r="A3" s="13" t="s">
        <v>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1:12" ht="19.5" customHeight="1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14.25" customHeight="1">
      <c r="A6" s="17" t="s">
        <v>7</v>
      </c>
      <c r="B6" s="11" t="s">
        <v>8</v>
      </c>
      <c r="C6" s="11"/>
      <c r="D6" s="11"/>
      <c r="E6" s="11"/>
      <c r="F6" s="10" t="s">
        <v>9</v>
      </c>
      <c r="G6" s="10"/>
      <c r="H6" s="10"/>
      <c r="I6" s="10"/>
      <c r="J6" s="10"/>
      <c r="K6" s="10"/>
      <c r="L6" s="10"/>
    </row>
    <row r="7" spans="1:12" ht="14.25" customHeight="1">
      <c r="A7" s="17" t="s">
        <v>10</v>
      </c>
      <c r="B7" s="11" t="s">
        <v>11</v>
      </c>
      <c r="C7" s="11"/>
      <c r="D7" s="11"/>
      <c r="E7" s="11"/>
      <c r="F7" s="10" t="s">
        <v>9</v>
      </c>
      <c r="G7" s="10"/>
      <c r="H7" s="10"/>
      <c r="I7" s="10"/>
      <c r="J7" s="10"/>
      <c r="K7" s="10"/>
      <c r="L7" s="10"/>
    </row>
    <row r="8" spans="1:12" ht="21.75" customHeight="1">
      <c r="A8" s="17" t="s">
        <v>12</v>
      </c>
      <c r="B8" s="11" t="s">
        <v>13</v>
      </c>
      <c r="C8" s="11"/>
      <c r="D8" s="11"/>
      <c r="E8" s="11"/>
      <c r="F8" s="10" t="s">
        <v>9</v>
      </c>
      <c r="G8" s="10"/>
      <c r="H8" s="10"/>
      <c r="I8" s="10"/>
      <c r="J8" s="10"/>
      <c r="K8" s="10"/>
      <c r="L8" s="10"/>
    </row>
    <row r="9" spans="1:12" ht="14.25" customHeight="1">
      <c r="A9" s="17" t="s">
        <v>14</v>
      </c>
      <c r="B9" s="11">
        <f>CALCULOS!B10</f>
        <v>5</v>
      </c>
      <c r="C9" s="11"/>
      <c r="D9" s="11"/>
      <c r="E9" s="11"/>
      <c r="F9" s="10" t="s">
        <v>9</v>
      </c>
      <c r="G9" s="10"/>
      <c r="H9" s="10"/>
      <c r="I9" s="10"/>
      <c r="J9" s="10"/>
      <c r="K9" s="10"/>
      <c r="L9" s="10"/>
    </row>
    <row r="10" spans="1:12" ht="14.25" customHeight="1">
      <c r="A10" s="17" t="s">
        <v>15</v>
      </c>
      <c r="B10" s="11">
        <f>CALCULOS!B11</f>
        <v>6</v>
      </c>
      <c r="C10" s="11"/>
      <c r="D10" s="11"/>
      <c r="E10" s="11"/>
      <c r="F10" s="10" t="s">
        <v>9</v>
      </c>
      <c r="G10" s="10"/>
      <c r="H10" s="10"/>
      <c r="I10" s="10"/>
      <c r="J10" s="10"/>
      <c r="K10" s="10"/>
      <c r="L10" s="10"/>
    </row>
    <row r="11" spans="1:12" ht="14.25" customHeight="1">
      <c r="A11" s="17" t="s">
        <v>16</v>
      </c>
      <c r="B11" s="9">
        <f>CALCULOS!B12</f>
        <v>46208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</row>
    <row r="12" spans="1:12" ht="14.25" customHeight="1">
      <c r="A12" s="17" t="s">
        <v>17</v>
      </c>
      <c r="B12" s="11" t="str">
        <f>PRUEBAS!B99&amp;" totales · "&amp;PRUEBAS!B100&amp;" aprobadas · "&amp;PRUEBAS!B102&amp;" pendientes"</f>
        <v>90 totales · 88 aprobadas · 2 pendientes</v>
      </c>
      <c r="C12" s="11"/>
      <c r="D12" s="11"/>
      <c r="E12" s="11"/>
      <c r="F12" s="10" t="s">
        <v>9</v>
      </c>
      <c r="G12" s="10"/>
      <c r="H12" s="10"/>
      <c r="I12" s="10"/>
      <c r="J12" s="10"/>
      <c r="K12" s="10"/>
      <c r="L12" s="10"/>
    </row>
    <row r="13" spans="1:12" ht="14.25" customHeight="1">
      <c r="A13" s="17" t="s">
        <v>18</v>
      </c>
      <c r="B13" s="11" t="s">
        <v>19</v>
      </c>
      <c r="C13" s="11"/>
      <c r="D13" s="11"/>
      <c r="E13" s="11"/>
      <c r="F13" s="10" t="s">
        <v>9</v>
      </c>
      <c r="G13" s="10"/>
      <c r="H13" s="10"/>
      <c r="I13" s="10"/>
      <c r="J13" s="10"/>
      <c r="K13" s="10"/>
      <c r="L13" s="10"/>
    </row>
    <row r="15" spans="1:12" ht="19.5" customHeight="1">
      <c r="A15" s="12" t="s">
        <v>20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14.25" customHeight="1">
      <c r="A16" s="10" t="s">
        <v>21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4.25" customHeight="1">
      <c r="A17" s="10" t="s">
        <v>22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4.25" customHeight="1">
      <c r="A18" s="8" t="s">
        <v>23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14.25" customHeight="1">
      <c r="A19" s="8" t="s">
        <v>24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14.25" customHeight="1">
      <c r="A20" s="8" t="s">
        <v>25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14.25" customHeight="1">
      <c r="A21" s="8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3" spans="1:12" ht="19.5" customHeight="1">
      <c r="A23" s="12" t="s">
        <v>27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14.25" customHeight="1">
      <c r="A24" s="10" t="s">
        <v>28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4.25" customHeight="1">
      <c r="A25" s="10" t="s">
        <v>29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4.25" customHeight="1">
      <c r="A26" s="10" t="s">
        <v>30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4.25" customHeight="1">
      <c r="A27" s="10" t="s">
        <v>31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4.25" customHeight="1">
      <c r="A28" s="10" t="s">
        <v>32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4.25" customHeight="1">
      <c r="A29" s="10" t="s">
        <v>33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4.25" customHeight="1">
      <c r="A30" s="10" t="s">
        <v>34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4.25" customHeight="1">
      <c r="A31" s="10" t="s">
        <v>35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4.25" customHeight="1">
      <c r="A32" s="10" t="s">
        <v>36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4.25" customHeight="1">
      <c r="A33" s="10" t="s">
        <v>37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5" spans="1:12" ht="19.5" customHeight="1">
      <c r="A35" s="12" t="s">
        <v>38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14.25" customHeight="1">
      <c r="A36" s="7" t="s">
        <v>39</v>
      </c>
      <c r="B36" s="7"/>
      <c r="C36" s="7"/>
      <c r="D36" s="7" t="s">
        <v>40</v>
      </c>
      <c r="E36" s="7"/>
      <c r="F36" s="7"/>
      <c r="G36" s="6" t="s">
        <v>41</v>
      </c>
      <c r="H36" s="6"/>
      <c r="I36" s="6"/>
      <c r="J36" s="6" t="s">
        <v>42</v>
      </c>
      <c r="K36" s="6"/>
      <c r="L36" s="6"/>
    </row>
    <row r="37" spans="1:12" ht="14.25" customHeight="1">
      <c r="A37" s="7" t="s">
        <v>43</v>
      </c>
      <c r="B37" s="7"/>
      <c r="C37" s="7"/>
      <c r="D37" s="7" t="s">
        <v>44</v>
      </c>
      <c r="E37" s="7"/>
      <c r="F37" s="7"/>
      <c r="G37" s="6" t="s">
        <v>45</v>
      </c>
      <c r="H37" s="6"/>
      <c r="I37" s="6"/>
      <c r="J37" s="6" t="s">
        <v>46</v>
      </c>
      <c r="K37" s="6"/>
      <c r="L37" s="6"/>
    </row>
    <row r="38" spans="1:12" ht="14.25" customHeight="1">
      <c r="A38" s="7" t="s">
        <v>47</v>
      </c>
      <c r="B38" s="7"/>
      <c r="C38" s="7"/>
      <c r="D38" s="7" t="s">
        <v>48</v>
      </c>
      <c r="E38" s="7"/>
      <c r="F38" s="7"/>
      <c r="G38" s="6" t="s">
        <v>49</v>
      </c>
      <c r="H38" s="6"/>
      <c r="I38" s="6"/>
      <c r="J38" s="6" t="s">
        <v>50</v>
      </c>
      <c r="K38" s="6"/>
      <c r="L38" s="6"/>
    </row>
    <row r="39" spans="1:12" ht="14.25" customHeight="1">
      <c r="A39" s="7" t="s">
        <v>51</v>
      </c>
      <c r="B39" s="7"/>
      <c r="C39" s="7"/>
      <c r="D39" s="7" t="s">
        <v>2</v>
      </c>
      <c r="E39" s="7"/>
      <c r="F39" s="7"/>
      <c r="G39" s="6" t="s">
        <v>52</v>
      </c>
      <c r="H39" s="6"/>
      <c r="I39" s="6"/>
      <c r="J39" s="6" t="s">
        <v>53</v>
      </c>
      <c r="K39" s="6"/>
      <c r="L39" s="6"/>
    </row>
    <row r="40" spans="1:12" ht="14.25" customHeight="1">
      <c r="A40" s="7" t="s">
        <v>4</v>
      </c>
      <c r="B40" s="7"/>
      <c r="C40" s="7"/>
      <c r="D40" s="7" t="s">
        <v>3</v>
      </c>
      <c r="E40" s="7"/>
      <c r="F40" s="7"/>
      <c r="G40" s="6" t="s">
        <v>54</v>
      </c>
      <c r="H40" s="6"/>
      <c r="I40" s="6"/>
      <c r="J40" s="6" t="s">
        <v>55</v>
      </c>
      <c r="K40" s="6"/>
      <c r="L40" s="6"/>
    </row>
    <row r="41" spans="1:12" ht="15" customHeight="1">
      <c r="A41" s="18" t="s">
        <v>56</v>
      </c>
      <c r="B41" s="18"/>
      <c r="C41" s="18"/>
      <c r="D41" s="18" t="s">
        <v>57</v>
      </c>
      <c r="E41" s="18"/>
      <c r="F41" s="18"/>
    </row>
    <row r="42" spans="1:12" ht="19.5" customHeight="1">
      <c r="A42" s="12" t="s">
        <v>58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14.25" customHeight="1">
      <c r="A43" s="19" t="s">
        <v>59</v>
      </c>
      <c r="B43" s="19" t="s">
        <v>60</v>
      </c>
      <c r="C43" s="19" t="s">
        <v>61</v>
      </c>
    </row>
    <row r="44" spans="1:12" ht="14.25" customHeight="1">
      <c r="A44" s="17" t="s">
        <v>62</v>
      </c>
      <c r="B44" s="20"/>
      <c r="C44" s="21" t="s">
        <v>63</v>
      </c>
    </row>
    <row r="45" spans="1:12" ht="14.25" customHeight="1">
      <c r="A45" s="17" t="s">
        <v>64</v>
      </c>
      <c r="B45" s="22"/>
      <c r="C45" s="21" t="s">
        <v>65</v>
      </c>
    </row>
    <row r="46" spans="1:12" ht="14.25" customHeight="1">
      <c r="A46" s="17" t="s">
        <v>66</v>
      </c>
      <c r="B46" s="23"/>
      <c r="C46" s="21" t="s">
        <v>67</v>
      </c>
    </row>
    <row r="47" spans="1:12" ht="24" customHeight="1">
      <c r="A47" s="17" t="s">
        <v>68</v>
      </c>
      <c r="B47" s="24"/>
      <c r="C47" s="21" t="s">
        <v>69</v>
      </c>
    </row>
    <row r="48" spans="1:12" ht="14.25" customHeight="1">
      <c r="A48" s="17" t="s">
        <v>70</v>
      </c>
      <c r="B48" s="25"/>
      <c r="C48" s="21" t="s">
        <v>71</v>
      </c>
    </row>
    <row r="50" spans="1:12" ht="45.75" customHeight="1">
      <c r="A50" s="8" t="s">
        <v>72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mergeCells count="60">
    <mergeCell ref="A42:L42"/>
    <mergeCell ref="A50:L50"/>
    <mergeCell ref="A39:C39"/>
    <mergeCell ref="D39:F39"/>
    <mergeCell ref="G39:I39"/>
    <mergeCell ref="J39:L39"/>
    <mergeCell ref="A40:C40"/>
    <mergeCell ref="D40:F40"/>
    <mergeCell ref="G40:I40"/>
    <mergeCell ref="J40:L40"/>
    <mergeCell ref="A37:C37"/>
    <mergeCell ref="D37:F37"/>
    <mergeCell ref="G37:I37"/>
    <mergeCell ref="J37:L37"/>
    <mergeCell ref="A38:C38"/>
    <mergeCell ref="D38:F38"/>
    <mergeCell ref="G38:I38"/>
    <mergeCell ref="J38:L38"/>
    <mergeCell ref="A35:L35"/>
    <mergeCell ref="A36:C36"/>
    <mergeCell ref="D36:F36"/>
    <mergeCell ref="G36:I36"/>
    <mergeCell ref="J36:L36"/>
    <mergeCell ref="A29:L29"/>
    <mergeCell ref="A30:L30"/>
    <mergeCell ref="A31:L31"/>
    <mergeCell ref="A32:L32"/>
    <mergeCell ref="A33:L33"/>
    <mergeCell ref="A24:L24"/>
    <mergeCell ref="A25:L25"/>
    <mergeCell ref="A26:L26"/>
    <mergeCell ref="A27:L27"/>
    <mergeCell ref="A28:L28"/>
    <mergeCell ref="A18:L18"/>
    <mergeCell ref="A19:L19"/>
    <mergeCell ref="A20:L20"/>
    <mergeCell ref="A21:L21"/>
    <mergeCell ref="A23:L23"/>
    <mergeCell ref="B13:E13"/>
    <mergeCell ref="F13:L13"/>
    <mergeCell ref="A15:L15"/>
    <mergeCell ref="A16:L16"/>
    <mergeCell ref="A17:L17"/>
    <mergeCell ref="B10:E10"/>
    <mergeCell ref="F10:L10"/>
    <mergeCell ref="B11:E11"/>
    <mergeCell ref="F11:L11"/>
    <mergeCell ref="B12:E12"/>
    <mergeCell ref="F12:L12"/>
    <mergeCell ref="B7:E7"/>
    <mergeCell ref="F7:L7"/>
    <mergeCell ref="B8:E8"/>
    <mergeCell ref="F8:L8"/>
    <mergeCell ref="B9:E9"/>
    <mergeCell ref="F9:L9"/>
    <mergeCell ref="A1:L1"/>
    <mergeCell ref="A3:L3"/>
    <mergeCell ref="A5:L5"/>
    <mergeCell ref="B6:E6"/>
    <mergeCell ref="F6:L6"/>
  </mergeCells>
  <dataValidations count="1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B9:B12 G36:G40 J36:J40" xr:uid="{00000000-0002-0000-0000-000000000000}">
      <formula1>0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"/>
  <sheetViews>
    <sheetView showGridLines="0" workbookViewId="0">
      <selection sqref="A1:Y1"/>
    </sheetView>
  </sheetViews>
  <sheetFormatPr baseColWidth="10" defaultColWidth="9" defaultRowHeight="15"/>
  <cols>
    <col min="1" max="1" width="14" style="15" customWidth="1"/>
    <col min="2" max="3" width="12" style="15" customWidth="1"/>
    <col min="4" max="4" width="10" style="15" customWidth="1"/>
    <col min="5" max="6" width="18" style="15" customWidth="1"/>
    <col min="7" max="7" width="13" style="15" customWidth="1"/>
    <col min="8" max="8" width="10" style="15" customWidth="1"/>
    <col min="9" max="9" width="19" style="15" customWidth="1"/>
    <col min="10" max="12" width="16" style="15" customWidth="1"/>
    <col min="13" max="13" width="24" style="15" customWidth="1"/>
    <col min="14" max="14" width="22" style="15" customWidth="1"/>
    <col min="15" max="15" width="20" style="15" customWidth="1"/>
    <col min="16" max="16" width="18" style="15" customWidth="1"/>
    <col min="17" max="17" width="24" style="15" customWidth="1"/>
    <col min="18" max="18" width="18" style="15" customWidth="1"/>
    <col min="19" max="19" width="14" style="15" customWidth="1"/>
    <col min="20" max="20" width="18" style="15" customWidth="1"/>
    <col min="21" max="21" width="20" style="15" customWidth="1"/>
    <col min="22" max="22" width="14" style="15" customWidth="1"/>
    <col min="23" max="23" width="20" style="15" customWidth="1"/>
    <col min="24" max="24" width="36" style="15" customWidth="1"/>
    <col min="25" max="25" width="26" style="15" customWidth="1"/>
  </cols>
  <sheetData>
    <row r="1" spans="1:25" ht="27.75" customHeight="1">
      <c r="A1" s="14" t="s">
        <v>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25" ht="30" customHeight="1">
      <c r="A3" s="13" t="s">
        <v>74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5" spans="1:25" ht="19.5" customHeight="1">
      <c r="A5" s="12" t="s">
        <v>75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6" customHeight="1">
      <c r="A6" s="19" t="s">
        <v>76</v>
      </c>
      <c r="B6" s="19" t="s">
        <v>12</v>
      </c>
      <c r="C6" s="19" t="s">
        <v>77</v>
      </c>
      <c r="D6" s="19" t="s">
        <v>78</v>
      </c>
      <c r="E6" s="19" t="s">
        <v>79</v>
      </c>
      <c r="F6" s="19" t="s">
        <v>80</v>
      </c>
      <c r="G6" s="19" t="s">
        <v>81</v>
      </c>
      <c r="H6" s="19" t="s">
        <v>82</v>
      </c>
      <c r="I6" s="19" t="s">
        <v>83</v>
      </c>
      <c r="J6" s="19" t="s">
        <v>84</v>
      </c>
      <c r="K6" s="19" t="s">
        <v>85</v>
      </c>
      <c r="L6" s="19" t="s">
        <v>86</v>
      </c>
      <c r="M6" s="19" t="s">
        <v>87</v>
      </c>
      <c r="N6" s="19" t="s">
        <v>88</v>
      </c>
      <c r="O6" s="19" t="s">
        <v>89</v>
      </c>
      <c r="P6" s="19" t="s">
        <v>90</v>
      </c>
      <c r="Q6" s="19" t="s">
        <v>91</v>
      </c>
      <c r="R6" s="19" t="s">
        <v>92</v>
      </c>
      <c r="S6" s="19" t="s">
        <v>93</v>
      </c>
      <c r="T6" s="19" t="s">
        <v>94</v>
      </c>
      <c r="U6" s="19" t="s">
        <v>95</v>
      </c>
      <c r="V6" s="19" t="s">
        <v>96</v>
      </c>
      <c r="W6" s="19" t="s">
        <v>97</v>
      </c>
      <c r="X6" s="19" t="s">
        <v>98</v>
      </c>
      <c r="Y6" s="19" t="s">
        <v>99</v>
      </c>
    </row>
    <row r="7" spans="1:25" ht="24" customHeight="1">
      <c r="A7" s="26" t="s">
        <v>100</v>
      </c>
      <c r="B7" s="26" t="s">
        <v>101</v>
      </c>
      <c r="C7" s="27">
        <v>46174</v>
      </c>
      <c r="D7" s="26" t="s">
        <v>102</v>
      </c>
      <c r="E7" s="26"/>
      <c r="F7" s="26"/>
      <c r="G7" s="27">
        <v>32975</v>
      </c>
      <c r="H7" s="28">
        <f t="shared" ref="H7:H26" ca="1" si="0">IF(ISNUMBER(G7),YEAR(TODAY())-YEAR(G7)-IF(DATE(YEAR(TODAY()),MONTH(G7),DAY(G7))&gt;TODAY(),1,0),"")</f>
        <v>36</v>
      </c>
      <c r="I7" s="26" t="s">
        <v>103</v>
      </c>
      <c r="J7" s="26"/>
      <c r="K7" s="26"/>
      <c r="L7" s="26"/>
      <c r="M7" s="26"/>
      <c r="N7" s="26" t="s">
        <v>104</v>
      </c>
      <c r="O7" s="26" t="s">
        <v>105</v>
      </c>
      <c r="P7" s="26"/>
      <c r="Q7" s="26"/>
      <c r="R7" s="26" t="s">
        <v>106</v>
      </c>
      <c r="S7" s="27">
        <v>46174</v>
      </c>
      <c r="T7" s="26" t="s">
        <v>107</v>
      </c>
      <c r="U7" s="26" t="s">
        <v>108</v>
      </c>
      <c r="V7" s="27">
        <v>46216</v>
      </c>
      <c r="W7" s="26" t="s">
        <v>109</v>
      </c>
      <c r="X7" s="26" t="s">
        <v>110</v>
      </c>
      <c r="Y7" s="29" t="str">
        <f ca="1">IF(A7="","",IF(COUNTIF($A$7:$A$1006,A7)&gt;1,"✖ PatientID duplicado",IF(AND(ISNUMBER(G7),G7&gt;TODAY()),"✖ Fecha nacimiento futura",IF(AND(M7&lt;&gt;"",COUNTIF(M7,"?*@?*.?*")=0),"▲ Correo básico inválido",IF(COUNTIF(CATALOGOS!$A$7:$A$11,B7)=0,"✖ Estado no permitido",IF(AND(R7="Sí",NOT(ISNUMBER(S7))),"✖ Consentimiento Sí sin fecha",IF(AND(ISNUMBER(H7),OR(H7&lt;CONFIG!$B$36,H7&gt;CONFIG!$B$37)),"▲ Fuera de alcance adulto","✔ Correcto")))))))</f>
        <v>✔ Correcto</v>
      </c>
    </row>
    <row r="8" spans="1:25" ht="24" customHeight="1">
      <c r="A8" s="26" t="s">
        <v>111</v>
      </c>
      <c r="B8" s="26" t="s">
        <v>101</v>
      </c>
      <c r="C8" s="27">
        <v>46143</v>
      </c>
      <c r="D8" s="26" t="s">
        <v>112</v>
      </c>
      <c r="E8" s="26"/>
      <c r="F8" s="26"/>
      <c r="G8" s="27">
        <v>31310</v>
      </c>
      <c r="H8" s="28">
        <f t="shared" ca="1" si="0"/>
        <v>40</v>
      </c>
      <c r="I8" s="26" t="s">
        <v>113</v>
      </c>
      <c r="J8" s="26"/>
      <c r="K8" s="26"/>
      <c r="L8" s="26"/>
      <c r="M8" s="26"/>
      <c r="N8" s="26" t="s">
        <v>104</v>
      </c>
      <c r="O8" s="26" t="s">
        <v>105</v>
      </c>
      <c r="P8" s="26"/>
      <c r="Q8" s="26"/>
      <c r="R8" s="26" t="s">
        <v>106</v>
      </c>
      <c r="S8" s="27">
        <v>46143</v>
      </c>
      <c r="T8" s="26" t="s">
        <v>107</v>
      </c>
      <c r="U8" s="26" t="s">
        <v>108</v>
      </c>
      <c r="V8" s="27">
        <v>46216</v>
      </c>
      <c r="W8" s="26" t="s">
        <v>109</v>
      </c>
      <c r="X8" s="26" t="s">
        <v>110</v>
      </c>
      <c r="Y8" s="29" t="str">
        <f ca="1">IF(A8="","",IF(COUNTIF($A$7:$A$1006,A8)&gt;1,"✖ PatientID duplicado",IF(AND(ISNUMBER(G8),G8&gt;TODAY()),"✖ Fecha nacimiento futura",IF(AND(M8&lt;&gt;"",COUNTIF(M8,"?*@?*.?*")=0),"▲ Correo básico inválido",IF(COUNTIF(CATALOGOS!$A$7:$A$11,B8)=0,"✖ Estado no permitido",IF(AND(R8="Sí",NOT(ISNUMBER(S8))),"✖ Consentimiento Sí sin fecha",IF(AND(ISNUMBER(H8),OR(H8&lt;CONFIG!$B$36,H8&gt;CONFIG!$B$37)),"▲ Fuera de alcance adulto","✔ Correcto")))))))</f>
        <v>✔ Correcto</v>
      </c>
    </row>
    <row r="9" spans="1:25" ht="24" customHeight="1">
      <c r="A9" s="26" t="s">
        <v>114</v>
      </c>
      <c r="B9" s="26" t="s">
        <v>101</v>
      </c>
      <c r="C9" s="27">
        <v>46204</v>
      </c>
      <c r="D9" s="26" t="s">
        <v>115</v>
      </c>
      <c r="E9" s="26"/>
      <c r="F9" s="26"/>
      <c r="G9" s="27">
        <v>36535</v>
      </c>
      <c r="H9" s="28">
        <f t="shared" ca="1" si="0"/>
        <v>26</v>
      </c>
      <c r="I9" s="26" t="s">
        <v>116</v>
      </c>
      <c r="J9" s="26"/>
      <c r="K9" s="26"/>
      <c r="L9" s="26"/>
      <c r="M9" s="26"/>
      <c r="N9" s="26" t="s">
        <v>104</v>
      </c>
      <c r="O9" s="26" t="s">
        <v>105</v>
      </c>
      <c r="P9" s="26"/>
      <c r="Q9" s="26"/>
      <c r="R9" s="26" t="s">
        <v>117</v>
      </c>
      <c r="S9" s="27"/>
      <c r="T9" s="26" t="s">
        <v>107</v>
      </c>
      <c r="U9" s="26" t="s">
        <v>108</v>
      </c>
      <c r="V9" s="27">
        <v>46216</v>
      </c>
      <c r="W9" s="26" t="s">
        <v>118</v>
      </c>
      <c r="X9" s="26" t="s">
        <v>110</v>
      </c>
      <c r="Y9" s="29" t="str">
        <f ca="1">IF(A9="","",IF(COUNTIF($A$7:$A$1006,A9)&gt;1,"✖ PatientID duplicado",IF(AND(ISNUMBER(G9),G9&gt;TODAY()),"✖ Fecha nacimiento futura",IF(AND(M9&lt;&gt;"",COUNTIF(M9,"?*@?*.?*")=0),"▲ Correo básico inválido",IF(COUNTIF(CATALOGOS!$A$7:$A$11,B9)=0,"✖ Estado no permitido",IF(AND(R9="Sí",NOT(ISNUMBER(S9))),"✖ Consentimiento Sí sin fecha",IF(AND(ISNUMBER(H9),OR(H9&lt;CONFIG!$B$36,H9&gt;CONFIG!$B$37)),"▲ Fuera de alcance adulto","✔ Correcto")))))))</f>
        <v>✔ Correcto</v>
      </c>
    </row>
    <row r="10" spans="1:25" ht="24" customHeight="1">
      <c r="A10" s="26" t="s">
        <v>119</v>
      </c>
      <c r="B10" s="26" t="s">
        <v>101</v>
      </c>
      <c r="C10" s="27">
        <v>46183</v>
      </c>
      <c r="D10" s="26" t="s">
        <v>120</v>
      </c>
      <c r="E10" s="26"/>
      <c r="F10" s="26"/>
      <c r="G10" s="27">
        <v>28829</v>
      </c>
      <c r="H10" s="28">
        <f t="shared" ca="1" si="0"/>
        <v>47</v>
      </c>
      <c r="I10" s="26" t="s">
        <v>103</v>
      </c>
      <c r="J10" s="26"/>
      <c r="K10" s="26"/>
      <c r="L10" s="26"/>
      <c r="M10" s="26"/>
      <c r="N10" s="26" t="s">
        <v>104</v>
      </c>
      <c r="O10" s="26" t="s">
        <v>105</v>
      </c>
      <c r="P10" s="26"/>
      <c r="Q10" s="26"/>
      <c r="R10" s="26" t="s">
        <v>106</v>
      </c>
      <c r="S10" s="27">
        <v>46183</v>
      </c>
      <c r="T10" s="26" t="s">
        <v>107</v>
      </c>
      <c r="U10" s="26" t="s">
        <v>108</v>
      </c>
      <c r="V10" s="27">
        <v>46216</v>
      </c>
      <c r="W10" s="26" t="s">
        <v>109</v>
      </c>
      <c r="X10" s="26" t="s">
        <v>110</v>
      </c>
      <c r="Y10" s="29" t="str">
        <f ca="1">IF(A10="","",IF(COUNTIF($A$7:$A$1006,A10)&gt;1,"✖ PatientID duplicado",IF(AND(ISNUMBER(G10),G10&gt;TODAY()),"✖ Fecha nacimiento futura",IF(AND(M10&lt;&gt;"",COUNTIF(M10,"?*@?*.?*")=0),"▲ Correo básico inválido",IF(COUNTIF(CATALOGOS!$A$7:$A$11,B10)=0,"✖ Estado no permitido",IF(AND(R10="Sí",NOT(ISNUMBER(S10))),"✖ Consentimiento Sí sin fecha",IF(AND(ISNUMBER(H10),OR(H10&lt;CONFIG!$B$36,H10&gt;CONFIG!$B$37)),"▲ Fuera de alcance adulto","✔ Correcto")))))))</f>
        <v>✔ Correcto</v>
      </c>
    </row>
    <row r="11" spans="1:25" ht="36" customHeight="1">
      <c r="A11" s="26" t="s">
        <v>121</v>
      </c>
      <c r="B11" s="26" t="s">
        <v>101</v>
      </c>
      <c r="C11" s="27">
        <v>46208</v>
      </c>
      <c r="D11" s="26" t="s">
        <v>122</v>
      </c>
      <c r="E11" s="26"/>
      <c r="F11" s="26"/>
      <c r="G11" s="27">
        <v>34887</v>
      </c>
      <c r="H11" s="28">
        <f t="shared" ca="1" si="0"/>
        <v>31</v>
      </c>
      <c r="I11" s="26" t="s">
        <v>113</v>
      </c>
      <c r="J11" s="26"/>
      <c r="K11" s="26"/>
      <c r="L11" s="26"/>
      <c r="M11" s="26"/>
      <c r="N11" s="26" t="s">
        <v>104</v>
      </c>
      <c r="O11" s="26" t="s">
        <v>105</v>
      </c>
      <c r="P11" s="26"/>
      <c r="Q11" s="26"/>
      <c r="R11" s="26" t="s">
        <v>123</v>
      </c>
      <c r="S11" s="27">
        <v>46215</v>
      </c>
      <c r="T11" s="26" t="s">
        <v>107</v>
      </c>
      <c r="U11" s="26" t="s">
        <v>108</v>
      </c>
      <c r="V11" s="27">
        <v>46216</v>
      </c>
      <c r="W11" s="26" t="s">
        <v>109</v>
      </c>
      <c r="X11" s="26" t="s">
        <v>124</v>
      </c>
      <c r="Y11" s="29" t="str">
        <f ca="1">IF(A11="","",IF(COUNTIF($A$7:$A$1006,A11)&gt;1,"✖ PatientID duplicado",IF(AND(ISNUMBER(G11),G11&gt;TODAY()),"✖ Fecha nacimiento futura",IF(AND(M11&lt;&gt;"",COUNTIF(M11,"?*@?*.?*")=0),"▲ Correo básico inválido",IF(COUNTIF(CATALOGOS!$A$7:$A$11,B11)=0,"✖ Estado no permitido",IF(AND(R11="Sí",NOT(ISNUMBER(S11))),"✖ Consentimiento Sí sin fecha",IF(AND(ISNUMBER(H11),OR(H11&lt;CONFIG!$B$36,H11&gt;CONFIG!$B$37)),"▲ Fuera de alcance adulto","✔ Correcto")))))))</f>
        <v>✔ Correcto</v>
      </c>
    </row>
    <row r="12" spans="1:25" ht="14.25" customHeight="1">
      <c r="A12" s="26"/>
      <c r="B12" s="26"/>
      <c r="C12" s="27"/>
      <c r="D12" s="26"/>
      <c r="E12" s="26"/>
      <c r="F12" s="26"/>
      <c r="G12" s="27"/>
      <c r="H12" s="29" t="str">
        <f t="shared" ca="1" si="0"/>
        <v/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7"/>
      <c r="T12" s="26"/>
      <c r="U12" s="26"/>
      <c r="V12" s="27"/>
      <c r="W12" s="26"/>
      <c r="X12" s="26"/>
      <c r="Y12" s="29" t="str">
        <f ca="1">IF(A12="","",IF(COUNTIF($A$7:$A$26,A12)&gt;1,"✖ PatientID duplicado",IF(AND(ISNUMBER(G12),G12&gt;TODAY()),"✖ Fecha nacimiento futura",IF(AND(M12&lt;&gt;"",COUNTIF(M12,"?*@?*.?*")=0),"▲ Correo básico inválido",IF(COUNTIF(CATALOGOS!$A$7:$A$11,B12)=0,"✖ Estado no permitido",IF(AND(R12="Sí",NOT(ISNUMBER(S12))),"✖ Consentimiento Sí sin fecha",IF(AND(ISNUMBER(H12),OR(H12&lt;CONFIG!$B$36,H12&gt;CONFIG!$B$37)),"▲ Fuera de alcance adulto","✔ Correcto")))))))</f>
        <v/>
      </c>
    </row>
    <row r="13" spans="1:25" ht="14.25" customHeight="1">
      <c r="A13" s="26"/>
      <c r="B13" s="26"/>
      <c r="C13" s="27"/>
      <c r="D13" s="26"/>
      <c r="E13" s="26"/>
      <c r="F13" s="26"/>
      <c r="G13" s="27"/>
      <c r="H13" s="29" t="str">
        <f t="shared" ca="1" si="0"/>
        <v/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7"/>
      <c r="T13" s="26"/>
      <c r="U13" s="26"/>
      <c r="V13" s="27"/>
      <c r="W13" s="26"/>
      <c r="X13" s="26"/>
      <c r="Y13" s="29" t="str">
        <f ca="1">IF(A13="","",IF(COUNTIF($A$7:$A$26,A13)&gt;1,"✖ PatientID duplicado",IF(AND(ISNUMBER(G13),G13&gt;TODAY()),"✖ Fecha nacimiento futura",IF(AND(M13&lt;&gt;"",COUNTIF(M13,"?*@?*.?*")=0),"▲ Correo básico inválido",IF(COUNTIF(CATALOGOS!$A$7:$A$11,B13)=0,"✖ Estado no permitido",IF(AND(R13="Sí",NOT(ISNUMBER(S13))),"✖ Consentimiento Sí sin fecha",IF(AND(ISNUMBER(H13),OR(H13&lt;CONFIG!$B$36,H13&gt;CONFIG!$B$37)),"▲ Fuera de alcance adulto","✔ Correcto")))))))</f>
        <v/>
      </c>
    </row>
    <row r="14" spans="1:25" ht="14.25" customHeight="1">
      <c r="A14" s="26"/>
      <c r="B14" s="26"/>
      <c r="C14" s="27"/>
      <c r="D14" s="26"/>
      <c r="E14" s="26"/>
      <c r="F14" s="26"/>
      <c r="G14" s="27"/>
      <c r="H14" s="29" t="str">
        <f t="shared" ca="1" si="0"/>
        <v/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7"/>
      <c r="T14" s="26"/>
      <c r="U14" s="26"/>
      <c r="V14" s="27"/>
      <c r="W14" s="26"/>
      <c r="X14" s="26"/>
      <c r="Y14" s="29" t="str">
        <f ca="1">IF(A14="","",IF(COUNTIF($A$7:$A$26,A14)&gt;1,"✖ PatientID duplicado",IF(AND(ISNUMBER(G14),G14&gt;TODAY()),"✖ Fecha nacimiento futura",IF(AND(M14&lt;&gt;"",COUNTIF(M14,"?*@?*.?*")=0),"▲ Correo básico inválido",IF(COUNTIF(CATALOGOS!$A$7:$A$11,B14)=0,"✖ Estado no permitido",IF(AND(R14="Sí",NOT(ISNUMBER(S14))),"✖ Consentimiento Sí sin fecha",IF(AND(ISNUMBER(H14),OR(H14&lt;CONFIG!$B$36,H14&gt;CONFIG!$B$37)),"▲ Fuera de alcance adulto","✔ Correcto")))))))</f>
        <v/>
      </c>
    </row>
    <row r="15" spans="1:25" ht="14.25" customHeight="1">
      <c r="A15" s="26"/>
      <c r="B15" s="26"/>
      <c r="C15" s="27"/>
      <c r="D15" s="26"/>
      <c r="E15" s="26"/>
      <c r="F15" s="26"/>
      <c r="G15" s="27"/>
      <c r="H15" s="29" t="str">
        <f t="shared" ca="1" si="0"/>
        <v/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7"/>
      <c r="T15" s="26"/>
      <c r="U15" s="26"/>
      <c r="V15" s="27"/>
      <c r="W15" s="26"/>
      <c r="X15" s="26"/>
      <c r="Y15" s="29" t="str">
        <f ca="1">IF(A15="","",IF(COUNTIF($A$7:$A$26,A15)&gt;1,"✖ PatientID duplicado",IF(AND(ISNUMBER(G15),G15&gt;TODAY()),"✖ Fecha nacimiento futura",IF(AND(M15&lt;&gt;"",COUNTIF(M15,"?*@?*.?*")=0),"▲ Correo básico inválido",IF(COUNTIF(CATALOGOS!$A$7:$A$11,B15)=0,"✖ Estado no permitido",IF(AND(R15="Sí",NOT(ISNUMBER(S15))),"✖ Consentimiento Sí sin fecha",IF(AND(ISNUMBER(H15),OR(H15&lt;CONFIG!$B$36,H15&gt;CONFIG!$B$37)),"▲ Fuera de alcance adulto","✔ Correcto")))))))</f>
        <v/>
      </c>
    </row>
    <row r="16" spans="1:25" ht="14.25" customHeight="1">
      <c r="A16" s="26"/>
      <c r="B16" s="26"/>
      <c r="C16" s="27"/>
      <c r="D16" s="26"/>
      <c r="E16" s="26"/>
      <c r="F16" s="26"/>
      <c r="G16" s="27"/>
      <c r="H16" s="29" t="str">
        <f t="shared" ca="1" si="0"/>
        <v/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7"/>
      <c r="T16" s="26"/>
      <c r="U16" s="26"/>
      <c r="V16" s="27"/>
      <c r="W16" s="26"/>
      <c r="X16" s="26"/>
      <c r="Y16" s="29" t="str">
        <f ca="1">IF(A16="","",IF(COUNTIF($A$7:$A$26,A16)&gt;1,"✖ PatientID duplicado",IF(AND(ISNUMBER(G16),G16&gt;TODAY()),"✖ Fecha nacimiento futura",IF(AND(M16&lt;&gt;"",COUNTIF(M16,"?*@?*.?*")=0),"▲ Correo básico inválido",IF(COUNTIF(CATALOGOS!$A$7:$A$11,B16)=0,"✖ Estado no permitido",IF(AND(R16="Sí",NOT(ISNUMBER(S16))),"✖ Consentimiento Sí sin fecha",IF(AND(ISNUMBER(H16),OR(H16&lt;CONFIG!$B$36,H16&gt;CONFIG!$B$37)),"▲ Fuera de alcance adulto","✔ Correcto")))))))</f>
        <v/>
      </c>
    </row>
    <row r="17" spans="1:25" ht="14.25" customHeight="1">
      <c r="A17" s="26"/>
      <c r="B17" s="26"/>
      <c r="C17" s="27"/>
      <c r="D17" s="26"/>
      <c r="E17" s="26"/>
      <c r="F17" s="26"/>
      <c r="G17" s="27"/>
      <c r="H17" s="29" t="str">
        <f t="shared" ca="1" si="0"/>
        <v/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  <c r="T17" s="26"/>
      <c r="U17" s="26"/>
      <c r="V17" s="27"/>
      <c r="W17" s="26"/>
      <c r="X17" s="26"/>
      <c r="Y17" s="29" t="str">
        <f ca="1">IF(A17="","",IF(COUNTIF($A$7:$A$26,A17)&gt;1,"✖ PatientID duplicado",IF(AND(ISNUMBER(G17),G17&gt;TODAY()),"✖ Fecha nacimiento futura",IF(AND(M17&lt;&gt;"",COUNTIF(M17,"?*@?*.?*")=0),"▲ Correo básico inválido",IF(COUNTIF(CATALOGOS!$A$7:$A$11,B17)=0,"✖ Estado no permitido",IF(AND(R17="Sí",NOT(ISNUMBER(S17))),"✖ Consentimiento Sí sin fecha",IF(AND(ISNUMBER(H17),OR(H17&lt;CONFIG!$B$36,H17&gt;CONFIG!$B$37)),"▲ Fuera de alcance adulto","✔ Correcto")))))))</f>
        <v/>
      </c>
    </row>
    <row r="18" spans="1:25" ht="14.25" customHeight="1">
      <c r="A18" s="26"/>
      <c r="B18" s="26"/>
      <c r="C18" s="27"/>
      <c r="D18" s="26"/>
      <c r="E18" s="26"/>
      <c r="F18" s="26"/>
      <c r="G18" s="27"/>
      <c r="H18" s="29" t="str">
        <f t="shared" ca="1" si="0"/>
        <v/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7"/>
      <c r="T18" s="26"/>
      <c r="U18" s="26"/>
      <c r="V18" s="27"/>
      <c r="W18" s="26"/>
      <c r="X18" s="26"/>
      <c r="Y18" s="29" t="str">
        <f ca="1">IF(A18="","",IF(COUNTIF($A$7:$A$26,A18)&gt;1,"✖ PatientID duplicado",IF(AND(ISNUMBER(G18),G18&gt;TODAY()),"✖ Fecha nacimiento futura",IF(AND(M18&lt;&gt;"",COUNTIF(M18,"?*@?*.?*")=0),"▲ Correo básico inválido",IF(COUNTIF(CATALOGOS!$A$7:$A$11,B18)=0,"✖ Estado no permitido",IF(AND(R18="Sí",NOT(ISNUMBER(S18))),"✖ Consentimiento Sí sin fecha",IF(AND(ISNUMBER(H18),OR(H18&lt;CONFIG!$B$36,H18&gt;CONFIG!$B$37)),"▲ Fuera de alcance adulto","✔ Correcto")))))))</f>
        <v/>
      </c>
    </row>
    <row r="19" spans="1:25" ht="14.25" customHeight="1">
      <c r="A19" s="26"/>
      <c r="B19" s="26"/>
      <c r="C19" s="27"/>
      <c r="D19" s="26"/>
      <c r="E19" s="26"/>
      <c r="F19" s="26"/>
      <c r="G19" s="27"/>
      <c r="H19" s="29" t="str">
        <f t="shared" ca="1" si="0"/>
        <v/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/>
      <c r="T19" s="26"/>
      <c r="U19" s="26"/>
      <c r="V19" s="27"/>
      <c r="W19" s="26"/>
      <c r="X19" s="26"/>
      <c r="Y19" s="29" t="str">
        <f ca="1">IF(A19="","",IF(COUNTIF($A$7:$A$26,A19)&gt;1,"✖ PatientID duplicado",IF(AND(ISNUMBER(G19),G19&gt;TODAY()),"✖ Fecha nacimiento futura",IF(AND(M19&lt;&gt;"",COUNTIF(M19,"?*@?*.?*")=0),"▲ Correo básico inválido",IF(COUNTIF(CATALOGOS!$A$7:$A$11,B19)=0,"✖ Estado no permitido",IF(AND(R19="Sí",NOT(ISNUMBER(S19))),"✖ Consentimiento Sí sin fecha",IF(AND(ISNUMBER(H19),OR(H19&lt;CONFIG!$B$36,H19&gt;CONFIG!$B$37)),"▲ Fuera de alcance adulto","✔ Correcto")))))))</f>
        <v/>
      </c>
    </row>
    <row r="20" spans="1:25" ht="14.25" customHeight="1">
      <c r="A20" s="26"/>
      <c r="B20" s="26"/>
      <c r="C20" s="27"/>
      <c r="D20" s="26"/>
      <c r="E20" s="26"/>
      <c r="F20" s="26"/>
      <c r="G20" s="27"/>
      <c r="H20" s="29" t="str">
        <f t="shared" ca="1" si="0"/>
        <v/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7"/>
      <c r="T20" s="26"/>
      <c r="U20" s="26"/>
      <c r="V20" s="27"/>
      <c r="W20" s="26"/>
      <c r="X20" s="26"/>
      <c r="Y20" s="29" t="str">
        <f ca="1">IF(A20="","",IF(COUNTIF($A$7:$A$26,A20)&gt;1,"✖ PatientID duplicado",IF(AND(ISNUMBER(G20),G20&gt;TODAY()),"✖ Fecha nacimiento futura",IF(AND(M20&lt;&gt;"",COUNTIF(M20,"?*@?*.?*")=0),"▲ Correo básico inválido",IF(COUNTIF(CATALOGOS!$A$7:$A$11,B20)=0,"✖ Estado no permitido",IF(AND(R20="Sí",NOT(ISNUMBER(S20))),"✖ Consentimiento Sí sin fecha",IF(AND(ISNUMBER(H20),OR(H20&lt;CONFIG!$B$36,H20&gt;CONFIG!$B$37)),"▲ Fuera de alcance adulto","✔ Correcto")))))))</f>
        <v/>
      </c>
    </row>
    <row r="21" spans="1:25" ht="14.25" customHeight="1">
      <c r="A21" s="26"/>
      <c r="B21" s="26"/>
      <c r="C21" s="27"/>
      <c r="D21" s="26"/>
      <c r="E21" s="26"/>
      <c r="F21" s="26"/>
      <c r="G21" s="27"/>
      <c r="H21" s="29" t="str">
        <f t="shared" ca="1" si="0"/>
        <v/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7"/>
      <c r="T21" s="26"/>
      <c r="U21" s="26"/>
      <c r="V21" s="27"/>
      <c r="W21" s="26"/>
      <c r="X21" s="26"/>
      <c r="Y21" s="29" t="str">
        <f ca="1">IF(A21="","",IF(COUNTIF($A$7:$A$26,A21)&gt;1,"✖ PatientID duplicado",IF(AND(ISNUMBER(G21),G21&gt;TODAY()),"✖ Fecha nacimiento futura",IF(AND(M21&lt;&gt;"",COUNTIF(M21,"?*@?*.?*")=0),"▲ Correo básico inválido",IF(COUNTIF(CATALOGOS!$A$7:$A$11,B21)=0,"✖ Estado no permitido",IF(AND(R21="Sí",NOT(ISNUMBER(S21))),"✖ Consentimiento Sí sin fecha",IF(AND(ISNUMBER(H21),OR(H21&lt;CONFIG!$B$36,H21&gt;CONFIG!$B$37)),"▲ Fuera de alcance adulto","✔ Correcto")))))))</f>
        <v/>
      </c>
    </row>
    <row r="22" spans="1:25" ht="14.25" customHeight="1">
      <c r="A22" s="26"/>
      <c r="B22" s="26"/>
      <c r="C22" s="27"/>
      <c r="D22" s="26"/>
      <c r="E22" s="26"/>
      <c r="F22" s="26"/>
      <c r="G22" s="27"/>
      <c r="H22" s="29" t="str">
        <f t="shared" ca="1" si="0"/>
        <v/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7"/>
      <c r="T22" s="26"/>
      <c r="U22" s="26"/>
      <c r="V22" s="27"/>
      <c r="W22" s="26"/>
      <c r="X22" s="26"/>
      <c r="Y22" s="29" t="str">
        <f ca="1">IF(A22="","",IF(COUNTIF($A$7:$A$26,A22)&gt;1,"✖ PatientID duplicado",IF(AND(ISNUMBER(G22),G22&gt;TODAY()),"✖ Fecha nacimiento futura",IF(AND(M22&lt;&gt;"",COUNTIF(M22,"?*@?*.?*")=0),"▲ Correo básico inválido",IF(COUNTIF(CATALOGOS!$A$7:$A$11,B22)=0,"✖ Estado no permitido",IF(AND(R22="Sí",NOT(ISNUMBER(S22))),"✖ Consentimiento Sí sin fecha",IF(AND(ISNUMBER(H22),OR(H22&lt;CONFIG!$B$36,H22&gt;CONFIG!$B$37)),"▲ Fuera de alcance adulto","✔ Correcto")))))))</f>
        <v/>
      </c>
    </row>
    <row r="23" spans="1:25" ht="14.25" customHeight="1">
      <c r="A23" s="26"/>
      <c r="B23" s="26"/>
      <c r="C23" s="27"/>
      <c r="D23" s="26"/>
      <c r="E23" s="26"/>
      <c r="F23" s="26"/>
      <c r="G23" s="27"/>
      <c r="H23" s="29" t="str">
        <f t="shared" ca="1" si="0"/>
        <v/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7"/>
      <c r="T23" s="26"/>
      <c r="U23" s="26"/>
      <c r="V23" s="27"/>
      <c r="W23" s="26"/>
      <c r="X23" s="26"/>
      <c r="Y23" s="29" t="str">
        <f ca="1">IF(A23="","",IF(COUNTIF($A$7:$A$26,A23)&gt;1,"✖ PatientID duplicado",IF(AND(ISNUMBER(G23),G23&gt;TODAY()),"✖ Fecha nacimiento futura",IF(AND(M23&lt;&gt;"",COUNTIF(M23,"?*@?*.?*")=0),"▲ Correo básico inválido",IF(COUNTIF(CATALOGOS!$A$7:$A$11,B23)=0,"✖ Estado no permitido",IF(AND(R23="Sí",NOT(ISNUMBER(S23))),"✖ Consentimiento Sí sin fecha",IF(AND(ISNUMBER(H23),OR(H23&lt;CONFIG!$B$36,H23&gt;CONFIG!$B$37)),"▲ Fuera de alcance adulto","✔ Correcto")))))))</f>
        <v/>
      </c>
    </row>
    <row r="24" spans="1:25" ht="14.25" customHeight="1">
      <c r="A24" s="26"/>
      <c r="B24" s="26"/>
      <c r="C24" s="27"/>
      <c r="D24" s="26"/>
      <c r="E24" s="26"/>
      <c r="F24" s="26"/>
      <c r="G24" s="27"/>
      <c r="H24" s="29" t="str">
        <f t="shared" ca="1" si="0"/>
        <v/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/>
      <c r="T24" s="26"/>
      <c r="U24" s="26"/>
      <c r="V24" s="27"/>
      <c r="W24" s="26"/>
      <c r="X24" s="26"/>
      <c r="Y24" s="29" t="str">
        <f ca="1">IF(A24="","",IF(COUNTIF($A$7:$A$26,A24)&gt;1,"✖ PatientID duplicado",IF(AND(ISNUMBER(G24),G24&gt;TODAY()),"✖ Fecha nacimiento futura",IF(AND(M24&lt;&gt;"",COUNTIF(M24,"?*@?*.?*")=0),"▲ Correo básico inválido",IF(COUNTIF(CATALOGOS!$A$7:$A$11,B24)=0,"✖ Estado no permitido",IF(AND(R24="Sí",NOT(ISNUMBER(S24))),"✖ Consentimiento Sí sin fecha",IF(AND(ISNUMBER(H24),OR(H24&lt;CONFIG!$B$36,H24&gt;CONFIG!$B$37)),"▲ Fuera de alcance adulto","✔ Correcto")))))))</f>
        <v/>
      </c>
    </row>
    <row r="25" spans="1:25" ht="14.25" customHeight="1">
      <c r="A25" s="26"/>
      <c r="B25" s="26"/>
      <c r="C25" s="27"/>
      <c r="D25" s="26"/>
      <c r="E25" s="26"/>
      <c r="F25" s="26"/>
      <c r="G25" s="27"/>
      <c r="H25" s="29" t="str">
        <f t="shared" ca="1" si="0"/>
        <v/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6"/>
      <c r="U25" s="26"/>
      <c r="V25" s="27"/>
      <c r="W25" s="26"/>
      <c r="X25" s="26"/>
      <c r="Y25" s="29" t="str">
        <f ca="1">IF(A25="","",IF(COUNTIF($A$7:$A$26,A25)&gt;1,"✖ PatientID duplicado",IF(AND(ISNUMBER(G25),G25&gt;TODAY()),"✖ Fecha nacimiento futura",IF(AND(M25&lt;&gt;"",COUNTIF(M25,"?*@?*.?*")=0),"▲ Correo básico inválido",IF(COUNTIF(CATALOGOS!$A$7:$A$11,B25)=0,"✖ Estado no permitido",IF(AND(R25="Sí",NOT(ISNUMBER(S25))),"✖ Consentimiento Sí sin fecha",IF(AND(ISNUMBER(H25),OR(H25&lt;CONFIG!$B$36,H25&gt;CONFIG!$B$37)),"▲ Fuera de alcance adulto","✔ Correcto")))))))</f>
        <v/>
      </c>
    </row>
    <row r="26" spans="1:25" ht="14.25" customHeight="1">
      <c r="A26" s="26"/>
      <c r="B26" s="26"/>
      <c r="C26" s="27"/>
      <c r="D26" s="26"/>
      <c r="E26" s="26"/>
      <c r="F26" s="26"/>
      <c r="G26" s="27"/>
      <c r="H26" s="29" t="str">
        <f t="shared" ca="1" si="0"/>
        <v/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7"/>
      <c r="T26" s="26"/>
      <c r="U26" s="26"/>
      <c r="V26" s="27"/>
      <c r="W26" s="26"/>
      <c r="X26" s="26"/>
      <c r="Y26" s="29" t="str">
        <f ca="1">IF(A26="","",IF(COUNTIF($A$7:$A$26,A26)&gt;1,"✖ PatientID duplicado",IF(AND(ISNUMBER(G26),G26&gt;TODAY()),"✖ Fecha nacimiento futura",IF(AND(M26&lt;&gt;"",COUNTIF(M26,"?*@?*.?*")=0),"▲ Correo básico inválido",IF(COUNTIF(CATALOGOS!$A$7:$A$11,B26)=0,"✖ Estado no permitido",IF(AND(R26="Sí",NOT(ISNUMBER(S26))),"✖ Consentimiento Sí sin fecha",IF(AND(ISNUMBER(H26),OR(H26&lt;CONFIG!$B$36,H26&gt;CONFIG!$B$37)),"▲ Fuera de alcance adulto","✔ Correcto")))))))</f>
        <v/>
      </c>
    </row>
  </sheetData>
  <mergeCells count="3">
    <mergeCell ref="A1:Y1"/>
    <mergeCell ref="A3:Y3"/>
    <mergeCell ref="A5:Y5"/>
  </mergeCells>
  <conditionalFormatting sqref="Y7:Y26">
    <cfRule type="expression" dxfId="51" priority="2">
      <formula>LEFT(Y7,1)="✖"</formula>
    </cfRule>
    <cfRule type="expression" dxfId="50" priority="3">
      <formula>LEFT(Y7,1)="▲"</formula>
    </cfRule>
    <cfRule type="expression" dxfId="49" priority="4">
      <formula>LEFT(Y7,1)="✔"</formula>
    </cfRule>
  </conditionalFormatting>
  <dataValidations count="7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H7:H11 Y7:Y11" xr:uid="{00000000-0002-0000-0100-000000000000}">
      <formula1>0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B7:B26" xr:uid="{00000000-0002-0000-0100-000001000000}">
      <formula1>Lista_EstadoPaciente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R7:R26" xr:uid="{00000000-0002-0000-0100-000002000000}">
      <formula1>Lista_Consentimiento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W7:W26" xr:uid="{00000000-0002-0000-0100-000003000000}">
      <formula1>Lista_FuenteDato</formula1>
      <formula2>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C7:C26 S7:S26" xr:uid="{00000000-0002-0000-0100-000004000000}">
      <formula1>DATE(1900,1,1)</formula1>
      <formula2>TODAY()+3650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G7:G26" xr:uid="{00000000-0002-0000-0100-000005000000}">
      <formula1>DATE(1900,1,1)</formula1>
      <formula2>TODAY()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I7:I26" xr:uid="{00000000-0002-0000-0100-000006000000}">
      <formula1>"Femenino,Masculino,Intersexual,No informado"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6"/>
  <sheetViews>
    <sheetView showGridLines="0" workbookViewId="0">
      <selection sqref="A1:U1"/>
    </sheetView>
  </sheetViews>
  <sheetFormatPr baseColWidth="10" defaultColWidth="9" defaultRowHeight="15"/>
  <cols>
    <col min="1" max="2" width="14" style="15" customWidth="1"/>
    <col min="3" max="3" width="12" style="15" customWidth="1"/>
    <col min="4" max="4" width="10" style="15" customWidth="1"/>
    <col min="5" max="5" width="15" style="15" customWidth="1"/>
    <col min="6" max="6" width="13" style="15" customWidth="1"/>
    <col min="7" max="7" width="28" style="15" customWidth="1"/>
    <col min="8" max="8" width="20" style="15" customWidth="1"/>
    <col min="9" max="9" width="18" style="15" customWidth="1"/>
    <col min="10" max="11" width="14" style="15" customWidth="1"/>
    <col min="12" max="12" width="18" style="15" customWidth="1"/>
    <col min="13" max="13" width="20" style="15" customWidth="1"/>
    <col min="14" max="15" width="18" style="15" customWidth="1"/>
    <col min="16" max="16" width="34" style="15" customWidth="1"/>
    <col min="17" max="19" width="12" style="15" customWidth="1"/>
    <col min="20" max="20" width="18" style="15" customWidth="1"/>
    <col min="21" max="21" width="26" style="15" customWidth="1"/>
  </cols>
  <sheetData>
    <row r="1" spans="1:21" ht="27.75" customHeight="1">
      <c r="A1" s="14" t="s">
        <v>125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21" ht="30" customHeight="1">
      <c r="A3" s="13" t="s">
        <v>126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5" spans="1:21" ht="19.5" customHeight="1">
      <c r="A5" s="12" t="s">
        <v>127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36" customHeight="1">
      <c r="A6" s="19" t="s">
        <v>128</v>
      </c>
      <c r="B6" s="19" t="s">
        <v>76</v>
      </c>
      <c r="C6" s="19" t="s">
        <v>129</v>
      </c>
      <c r="D6" s="19" t="s">
        <v>130</v>
      </c>
      <c r="E6" s="19" t="s">
        <v>131</v>
      </c>
      <c r="F6" s="19" t="s">
        <v>132</v>
      </c>
      <c r="G6" s="19" t="s">
        <v>133</v>
      </c>
      <c r="H6" s="19" t="s">
        <v>134</v>
      </c>
      <c r="I6" s="19" t="s">
        <v>135</v>
      </c>
      <c r="J6" s="19" t="s">
        <v>12</v>
      </c>
      <c r="K6" s="19" t="s">
        <v>136</v>
      </c>
      <c r="L6" s="19" t="s">
        <v>137</v>
      </c>
      <c r="M6" s="19" t="s">
        <v>138</v>
      </c>
      <c r="N6" s="19" t="s">
        <v>139</v>
      </c>
      <c r="O6" s="19" t="s">
        <v>140</v>
      </c>
      <c r="P6" s="19" t="s">
        <v>98</v>
      </c>
      <c r="Q6" s="19" t="s">
        <v>77</v>
      </c>
      <c r="R6" s="19" t="s">
        <v>96</v>
      </c>
      <c r="S6" s="19" t="s">
        <v>141</v>
      </c>
      <c r="T6" s="19" t="s">
        <v>142</v>
      </c>
      <c r="U6" s="19" t="s">
        <v>99</v>
      </c>
    </row>
    <row r="7" spans="1:21" ht="24" customHeight="1">
      <c r="A7" s="26" t="s">
        <v>143</v>
      </c>
      <c r="B7" s="26" t="s">
        <v>100</v>
      </c>
      <c r="C7" s="27">
        <v>46174</v>
      </c>
      <c r="D7" s="26" t="s">
        <v>144</v>
      </c>
      <c r="E7" s="26" t="s">
        <v>145</v>
      </c>
      <c r="F7" s="26" t="s">
        <v>146</v>
      </c>
      <c r="G7" s="26" t="s">
        <v>147</v>
      </c>
      <c r="H7" s="26" t="s">
        <v>148</v>
      </c>
      <c r="I7" s="26" t="s">
        <v>108</v>
      </c>
      <c r="J7" s="26" t="s">
        <v>149</v>
      </c>
      <c r="K7" s="26">
        <v>60</v>
      </c>
      <c r="L7" s="26" t="s">
        <v>150</v>
      </c>
      <c r="M7" s="26" t="s">
        <v>118</v>
      </c>
      <c r="N7" s="26" t="s">
        <v>151</v>
      </c>
      <c r="O7" s="26"/>
      <c r="P7" s="26" t="s">
        <v>110</v>
      </c>
      <c r="Q7" s="27">
        <v>46174</v>
      </c>
      <c r="R7" s="27">
        <v>46216</v>
      </c>
      <c r="S7" s="28">
        <f>IF(A7="","",COUNTIF($B$7:B7,B7))</f>
        <v>1</v>
      </c>
      <c r="T7" s="28" t="str">
        <f t="shared" ref="T7:T36" si="0">IF(A7="","",B7&amp;"|"&amp;S7)</f>
        <v>P-FICT-A|1</v>
      </c>
      <c r="U7" s="29" t="str">
        <f ca="1">IF(A7="","",IF(COUNTIF($A$7:$A$3006,A7)&gt;1,"✖ EvaluationID duplicado",IF(COUNTIF(PACIENTES!$A$7:$A$1006,B7)=0,"✖ PatientID inexistente",IF(AND(ISNUMBER(C7),C7&gt;TODAY(),CONFIG!$B$31="No"),"✖ Fecha futura",IF(COUNTIF(CATALOGOS!$O$7:$O$12,J7)=0,"✖ Estado no permitido",IF(I7="","▲ Evaluación sin profesional","✔ Correcto"))))))</f>
        <v>✔ Correcto</v>
      </c>
    </row>
    <row r="8" spans="1:21" ht="24" customHeight="1">
      <c r="A8" s="26" t="s">
        <v>152</v>
      </c>
      <c r="B8" s="26" t="s">
        <v>111</v>
      </c>
      <c r="C8" s="27">
        <v>46143</v>
      </c>
      <c r="D8" s="26" t="s">
        <v>153</v>
      </c>
      <c r="E8" s="26" t="s">
        <v>145</v>
      </c>
      <c r="F8" s="26" t="s">
        <v>146</v>
      </c>
      <c r="G8" s="26" t="s">
        <v>147</v>
      </c>
      <c r="H8" s="26" t="s">
        <v>148</v>
      </c>
      <c r="I8" s="26" t="s">
        <v>108</v>
      </c>
      <c r="J8" s="26" t="s">
        <v>149</v>
      </c>
      <c r="K8" s="26">
        <v>60</v>
      </c>
      <c r="L8" s="26" t="s">
        <v>150</v>
      </c>
      <c r="M8" s="26" t="s">
        <v>118</v>
      </c>
      <c r="N8" s="26" t="s">
        <v>151</v>
      </c>
      <c r="O8" s="26"/>
      <c r="P8" s="26" t="s">
        <v>110</v>
      </c>
      <c r="Q8" s="27">
        <v>46143</v>
      </c>
      <c r="R8" s="27">
        <v>46216</v>
      </c>
      <c r="S8" s="28">
        <f>IF(A8="","",COUNTIF($B$7:B8,B8))</f>
        <v>1</v>
      </c>
      <c r="T8" s="28" t="str">
        <f t="shared" si="0"/>
        <v>P-FICT-B|1</v>
      </c>
      <c r="U8" s="29" t="str">
        <f ca="1">IF(A8="","",IF(COUNTIF($A$7:$A$3006,A8)&gt;1,"✖ EvaluationID duplicado",IF(COUNTIF(PACIENTES!$A$7:$A$1006,B8)=0,"✖ PatientID inexistente",IF(AND(ISNUMBER(C8),C8&gt;TODAY(),CONFIG!$B$31="No"),"✖ Fecha futura",IF(COUNTIF(CATALOGOS!$O$7:$O$12,J8)=0,"✖ Estado no permitido",IF(I8="","▲ Evaluación sin profesional","✔ Correcto"))))))</f>
        <v>✔ Correcto</v>
      </c>
    </row>
    <row r="9" spans="1:21" ht="24" customHeight="1">
      <c r="A9" s="26" t="s">
        <v>154</v>
      </c>
      <c r="B9" s="26" t="s">
        <v>111</v>
      </c>
      <c r="C9" s="27">
        <v>46204</v>
      </c>
      <c r="D9" s="26" t="s">
        <v>155</v>
      </c>
      <c r="E9" s="26" t="s">
        <v>99</v>
      </c>
      <c r="F9" s="26" t="s">
        <v>156</v>
      </c>
      <c r="G9" s="26" t="s">
        <v>157</v>
      </c>
      <c r="H9" s="26" t="s">
        <v>148</v>
      </c>
      <c r="I9" s="26" t="s">
        <v>108</v>
      </c>
      <c r="J9" s="26" t="s">
        <v>158</v>
      </c>
      <c r="K9" s="26">
        <v>45</v>
      </c>
      <c r="L9" s="26" t="s">
        <v>150</v>
      </c>
      <c r="M9" s="26" t="s">
        <v>118</v>
      </c>
      <c r="N9" s="26" t="s">
        <v>151</v>
      </c>
      <c r="O9" s="26"/>
      <c r="P9" s="26" t="s">
        <v>110</v>
      </c>
      <c r="Q9" s="27">
        <v>46204</v>
      </c>
      <c r="R9" s="27">
        <v>46216</v>
      </c>
      <c r="S9" s="28">
        <f>IF(A9="","",COUNTIF($B$7:B9,B9))</f>
        <v>2</v>
      </c>
      <c r="T9" s="28" t="str">
        <f t="shared" si="0"/>
        <v>P-FICT-B|2</v>
      </c>
      <c r="U9" s="29" t="str">
        <f ca="1">IF(A9="","",IF(COUNTIF($A$7:$A$3006,A9)&gt;1,"✖ EvaluationID duplicado",IF(COUNTIF(PACIENTES!$A$7:$A$1006,B9)=0,"✖ PatientID inexistente",IF(AND(ISNUMBER(C9),C9&gt;TODAY(),CONFIG!$B$31="No"),"✖ Fecha futura",IF(COUNTIF(CATALOGOS!$O$7:$O$12,J9)=0,"✖ Estado no permitido",IF(I9="","▲ Evaluación sin profesional","✔ Correcto"))))))</f>
        <v>✔ Correcto</v>
      </c>
    </row>
    <row r="10" spans="1:21" ht="24" customHeight="1">
      <c r="A10" s="26" t="s">
        <v>159</v>
      </c>
      <c r="B10" s="26" t="s">
        <v>114</v>
      </c>
      <c r="C10" s="27">
        <v>46205</v>
      </c>
      <c r="D10" s="26" t="s">
        <v>160</v>
      </c>
      <c r="E10" s="26" t="s">
        <v>145</v>
      </c>
      <c r="F10" s="26" t="s">
        <v>146</v>
      </c>
      <c r="G10" s="26" t="s">
        <v>161</v>
      </c>
      <c r="H10" s="26" t="s">
        <v>148</v>
      </c>
      <c r="I10" s="26" t="s">
        <v>108</v>
      </c>
      <c r="J10" s="26" t="s">
        <v>162</v>
      </c>
      <c r="K10" s="26">
        <v>30</v>
      </c>
      <c r="L10" s="26" t="s">
        <v>163</v>
      </c>
      <c r="M10" s="26" t="s">
        <v>118</v>
      </c>
      <c r="N10" s="26" t="s">
        <v>164</v>
      </c>
      <c r="O10" s="26"/>
      <c r="P10" s="26" t="s">
        <v>110</v>
      </c>
      <c r="Q10" s="27">
        <v>46205</v>
      </c>
      <c r="R10" s="27">
        <v>46216</v>
      </c>
      <c r="S10" s="28">
        <f>IF(A10="","",COUNTIF($B$7:B10,B10))</f>
        <v>1</v>
      </c>
      <c r="T10" s="28" t="str">
        <f t="shared" si="0"/>
        <v>P-FICT-C|1</v>
      </c>
      <c r="U10" s="29" t="str">
        <f ca="1">IF(A10="","",IF(COUNTIF($A$7:$A$3006,A10)&gt;1,"✖ EvaluationID duplicado",IF(COUNTIF(PACIENTES!$A$7:$A$1006,B10)=0,"✖ PatientID inexistente",IF(AND(ISNUMBER(C10),C10&gt;TODAY(),CONFIG!$B$31="No"),"✖ Fecha futura",IF(COUNTIF(CATALOGOS!$O$7:$O$12,J10)=0,"✖ Estado no permitido",IF(I10="","▲ Evaluación sin profesional","✔ Correcto"))))))</f>
        <v>✔ Correcto</v>
      </c>
    </row>
    <row r="11" spans="1:21" ht="24" customHeight="1">
      <c r="A11" s="26" t="s">
        <v>165</v>
      </c>
      <c r="B11" s="26" t="s">
        <v>119</v>
      </c>
      <c r="C11" s="27">
        <v>46183</v>
      </c>
      <c r="D11" s="26" t="s">
        <v>166</v>
      </c>
      <c r="E11" s="26" t="s">
        <v>145</v>
      </c>
      <c r="F11" s="26" t="s">
        <v>167</v>
      </c>
      <c r="G11" s="26" t="s">
        <v>168</v>
      </c>
      <c r="H11" s="26" t="s">
        <v>148</v>
      </c>
      <c r="I11" s="26" t="s">
        <v>108</v>
      </c>
      <c r="J11" s="26" t="s">
        <v>158</v>
      </c>
      <c r="K11" s="26">
        <v>60</v>
      </c>
      <c r="L11" s="26" t="s">
        <v>151</v>
      </c>
      <c r="M11" s="26" t="s">
        <v>109</v>
      </c>
      <c r="N11" s="26" t="s">
        <v>150</v>
      </c>
      <c r="O11" s="26"/>
      <c r="P11" s="26" t="s">
        <v>110</v>
      </c>
      <c r="Q11" s="27">
        <v>46183</v>
      </c>
      <c r="R11" s="27">
        <v>46216</v>
      </c>
      <c r="S11" s="28">
        <f>IF(A11="","",COUNTIF($B$7:B11,B11))</f>
        <v>1</v>
      </c>
      <c r="T11" s="28" t="str">
        <f t="shared" si="0"/>
        <v>P-FICT-D|1</v>
      </c>
      <c r="U11" s="29" t="str">
        <f ca="1">IF(A11="","",IF(COUNTIF($A$7:$A$3006,A11)&gt;1,"✖ EvaluationID duplicado",IF(COUNTIF(PACIENTES!$A$7:$A$1006,B11)=0,"✖ PatientID inexistente",IF(AND(ISNUMBER(C11),C11&gt;TODAY(),CONFIG!$B$31="No"),"✖ Fecha futura",IF(COUNTIF(CATALOGOS!$O$7:$O$12,J11)=0,"✖ Estado no permitido",IF(I11="","▲ Evaluación sin profesional","✔ Correcto"))))))</f>
        <v>✔ Correcto</v>
      </c>
    </row>
    <row r="12" spans="1:21" ht="36" customHeight="1">
      <c r="A12" s="26" t="s">
        <v>169</v>
      </c>
      <c r="B12" s="26" t="s">
        <v>121</v>
      </c>
      <c r="C12" s="27">
        <v>46208</v>
      </c>
      <c r="D12" s="26" t="s">
        <v>170</v>
      </c>
      <c r="E12" s="26" t="s">
        <v>145</v>
      </c>
      <c r="F12" s="26" t="s">
        <v>146</v>
      </c>
      <c r="G12" s="26" t="s">
        <v>171</v>
      </c>
      <c r="H12" s="26" t="s">
        <v>148</v>
      </c>
      <c r="I12" s="26" t="s">
        <v>108</v>
      </c>
      <c r="J12" s="26" t="s">
        <v>162</v>
      </c>
      <c r="K12" s="26">
        <v>30</v>
      </c>
      <c r="L12" s="26" t="s">
        <v>150</v>
      </c>
      <c r="M12" s="26" t="s">
        <v>109</v>
      </c>
      <c r="N12" s="26" t="s">
        <v>150</v>
      </c>
      <c r="O12" s="26"/>
      <c r="P12" s="26" t="s">
        <v>172</v>
      </c>
      <c r="Q12" s="27">
        <v>46208</v>
      </c>
      <c r="R12" s="27">
        <v>46216</v>
      </c>
      <c r="S12" s="28">
        <f>IF(A12="","",COUNTIF($B$7:B12,B12))</f>
        <v>1</v>
      </c>
      <c r="T12" s="28" t="str">
        <f t="shared" si="0"/>
        <v>P-FICT-E|1</v>
      </c>
      <c r="U12" s="29" t="str">
        <f ca="1">IF(A12="","",IF(COUNTIF($A$7:$A$3006,A12)&gt;1,"✖ EvaluationID duplicado",IF(COUNTIF(PACIENTES!$A$7:$A$1006,B12)=0,"✖ PatientID inexistente",IF(AND(ISNUMBER(C12),C12&gt;TODAY(),CONFIG!$B$31="No"),"✖ Fecha futura",IF(COUNTIF(CATALOGOS!$O$7:$O$12,J12)=0,"✖ Estado no permitido",IF(I12="","▲ Evaluación sin profesional","✔ Correcto"))))))</f>
        <v>✔ Correcto</v>
      </c>
    </row>
    <row r="13" spans="1:21" ht="14.25" customHeight="1">
      <c r="A13" s="26"/>
      <c r="B13" s="26"/>
      <c r="C13" s="27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27"/>
      <c r="S13" s="29" t="str">
        <f>IF(A13="","",COUNTIF($B$7:B13,B13))</f>
        <v/>
      </c>
      <c r="T13" s="29" t="str">
        <f t="shared" si="0"/>
        <v/>
      </c>
      <c r="U13" s="29" t="str">
        <f ca="1">IF(A13="","",IF(COUNTIF($A$7:$A$36,A13)&gt;1,"✖ EvaluationID duplicado",IF(COUNTIF(PACIENTES!$A$7:$A$26,B13)=0,"✖ PatientID inexistente",IF(AND(ISNUMBER(C13),C13&gt;TODAY(),CONFIG!$B$31="No"),"✖ Fecha futura",IF(COUNTIF(CATALOGOS!$O$7:$O$12,J13)=0,"✖ Estado no permitido",IF(I13="","▲ Evaluación sin profesional","✔ Correcto"))))))</f>
        <v/>
      </c>
    </row>
    <row r="14" spans="1:21" ht="14.25" customHeight="1">
      <c r="A14" s="26"/>
      <c r="B14" s="26"/>
      <c r="C14" s="27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27"/>
      <c r="S14" s="29" t="str">
        <f>IF(A14="","",COUNTIF($B$7:B14,B14))</f>
        <v/>
      </c>
      <c r="T14" s="29" t="str">
        <f t="shared" si="0"/>
        <v/>
      </c>
      <c r="U14" s="29" t="str">
        <f ca="1">IF(A14="","",IF(COUNTIF($A$7:$A$36,A14)&gt;1,"✖ EvaluationID duplicado",IF(COUNTIF(PACIENTES!$A$7:$A$26,B14)=0,"✖ PatientID inexistente",IF(AND(ISNUMBER(C14),C14&gt;TODAY(),CONFIG!$B$31="No"),"✖ Fecha futura",IF(COUNTIF(CATALOGOS!$O$7:$O$12,J14)=0,"✖ Estado no permitido",IF(I14="","▲ Evaluación sin profesional","✔ Correcto"))))))</f>
        <v/>
      </c>
    </row>
    <row r="15" spans="1:21" ht="14.25" customHeight="1">
      <c r="A15" s="26"/>
      <c r="B15" s="26"/>
      <c r="C15" s="27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  <c r="R15" s="27"/>
      <c r="S15" s="29" t="str">
        <f>IF(A15="","",COUNTIF($B$7:B15,B15))</f>
        <v/>
      </c>
      <c r="T15" s="29" t="str">
        <f t="shared" si="0"/>
        <v/>
      </c>
      <c r="U15" s="29" t="str">
        <f ca="1">IF(A15="","",IF(COUNTIF($A$7:$A$36,A15)&gt;1,"✖ EvaluationID duplicado",IF(COUNTIF(PACIENTES!$A$7:$A$26,B15)=0,"✖ PatientID inexistente",IF(AND(ISNUMBER(C15),C15&gt;TODAY(),CONFIG!$B$31="No"),"✖ Fecha futura",IF(COUNTIF(CATALOGOS!$O$7:$O$12,J15)=0,"✖ Estado no permitido",IF(I15="","▲ Evaluación sin profesional","✔ Correcto"))))))</f>
        <v/>
      </c>
    </row>
    <row r="16" spans="1:21" ht="14.25" customHeight="1">
      <c r="A16" s="26"/>
      <c r="B16" s="26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7"/>
      <c r="S16" s="29" t="str">
        <f>IF(A16="","",COUNTIF($B$7:B16,B16))</f>
        <v/>
      </c>
      <c r="T16" s="29" t="str">
        <f t="shared" si="0"/>
        <v/>
      </c>
      <c r="U16" s="29" t="str">
        <f ca="1">IF(A16="","",IF(COUNTIF($A$7:$A$36,A16)&gt;1,"✖ EvaluationID duplicado",IF(COUNTIF(PACIENTES!$A$7:$A$26,B16)=0,"✖ PatientID inexistente",IF(AND(ISNUMBER(C16),C16&gt;TODAY(),CONFIG!$B$31="No"),"✖ Fecha futura",IF(COUNTIF(CATALOGOS!$O$7:$O$12,J16)=0,"✖ Estado no permitido",IF(I16="","▲ Evaluación sin profesional","✔ Correcto"))))))</f>
        <v/>
      </c>
    </row>
    <row r="17" spans="1:21" ht="14.25" customHeight="1">
      <c r="A17" s="26"/>
      <c r="B17" s="26"/>
      <c r="C17" s="27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  <c r="R17" s="27"/>
      <c r="S17" s="29" t="str">
        <f>IF(A17="","",COUNTIF($B$7:B17,B17))</f>
        <v/>
      </c>
      <c r="T17" s="29" t="str">
        <f t="shared" si="0"/>
        <v/>
      </c>
      <c r="U17" s="29" t="str">
        <f ca="1">IF(A17="","",IF(COUNTIF($A$7:$A$36,A17)&gt;1,"✖ EvaluationID duplicado",IF(COUNTIF(PACIENTES!$A$7:$A$26,B17)=0,"✖ PatientID inexistente",IF(AND(ISNUMBER(C17),C17&gt;TODAY(),CONFIG!$B$31="No"),"✖ Fecha futura",IF(COUNTIF(CATALOGOS!$O$7:$O$12,J17)=0,"✖ Estado no permitido",IF(I17="","▲ Evaluación sin profesional","✔ Correcto"))))))</f>
        <v/>
      </c>
    </row>
    <row r="18" spans="1:21" ht="14.25" customHeight="1">
      <c r="A18" s="26"/>
      <c r="B18" s="26"/>
      <c r="C18" s="27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7"/>
      <c r="R18" s="27"/>
      <c r="S18" s="29" t="str">
        <f>IF(A18="","",COUNTIF($B$7:B18,B18))</f>
        <v/>
      </c>
      <c r="T18" s="29" t="str">
        <f t="shared" si="0"/>
        <v/>
      </c>
      <c r="U18" s="29" t="str">
        <f ca="1">IF(A18="","",IF(COUNTIF($A$7:$A$36,A18)&gt;1,"✖ EvaluationID duplicado",IF(COUNTIF(PACIENTES!$A$7:$A$26,B18)=0,"✖ PatientID inexistente",IF(AND(ISNUMBER(C18),C18&gt;TODAY(),CONFIG!$B$31="No"),"✖ Fecha futura",IF(COUNTIF(CATALOGOS!$O$7:$O$12,J18)=0,"✖ Estado no permitido",IF(I18="","▲ Evaluación sin profesional","✔ Correcto"))))))</f>
        <v/>
      </c>
    </row>
    <row r="19" spans="1:21" ht="14.25" customHeight="1">
      <c r="A19" s="26"/>
      <c r="B19" s="26"/>
      <c r="C19" s="27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"/>
      <c r="R19" s="27"/>
      <c r="S19" s="29" t="str">
        <f>IF(A19="","",COUNTIF($B$7:B19,B19))</f>
        <v/>
      </c>
      <c r="T19" s="29" t="str">
        <f t="shared" si="0"/>
        <v/>
      </c>
      <c r="U19" s="29" t="str">
        <f ca="1">IF(A19="","",IF(COUNTIF($A$7:$A$36,A19)&gt;1,"✖ EvaluationID duplicado",IF(COUNTIF(PACIENTES!$A$7:$A$26,B19)=0,"✖ PatientID inexistente",IF(AND(ISNUMBER(C19),C19&gt;TODAY(),CONFIG!$B$31="No"),"✖ Fecha futura",IF(COUNTIF(CATALOGOS!$O$7:$O$12,J19)=0,"✖ Estado no permitido",IF(I19="","▲ Evaluación sin profesional","✔ Correcto"))))))</f>
        <v/>
      </c>
    </row>
    <row r="20" spans="1:21" ht="14.25" customHeight="1">
      <c r="A20" s="26"/>
      <c r="B20" s="26"/>
      <c r="C20" s="27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27"/>
      <c r="S20" s="29" t="str">
        <f>IF(A20="","",COUNTIF($B$7:B20,B20))</f>
        <v/>
      </c>
      <c r="T20" s="29" t="str">
        <f t="shared" si="0"/>
        <v/>
      </c>
      <c r="U20" s="29" t="str">
        <f ca="1">IF(A20="","",IF(COUNTIF($A$7:$A$36,A20)&gt;1,"✖ EvaluationID duplicado",IF(COUNTIF(PACIENTES!$A$7:$A$26,B20)=0,"✖ PatientID inexistente",IF(AND(ISNUMBER(C20),C20&gt;TODAY(),CONFIG!$B$31="No"),"✖ Fecha futura",IF(COUNTIF(CATALOGOS!$O$7:$O$12,J20)=0,"✖ Estado no permitido",IF(I20="","▲ Evaluación sin profesional","✔ Correcto"))))))</f>
        <v/>
      </c>
    </row>
    <row r="21" spans="1:21" ht="14.25" customHeight="1">
      <c r="A21" s="26"/>
      <c r="B21" s="26"/>
      <c r="C21" s="2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"/>
      <c r="R21" s="27"/>
      <c r="S21" s="29" t="str">
        <f>IF(A21="","",COUNTIF($B$7:B21,B21))</f>
        <v/>
      </c>
      <c r="T21" s="29" t="str">
        <f t="shared" si="0"/>
        <v/>
      </c>
      <c r="U21" s="29" t="str">
        <f ca="1">IF(A21="","",IF(COUNTIF($A$7:$A$36,A21)&gt;1,"✖ EvaluationID duplicado",IF(COUNTIF(PACIENTES!$A$7:$A$26,B21)=0,"✖ PatientID inexistente",IF(AND(ISNUMBER(C21),C21&gt;TODAY(),CONFIG!$B$31="No"),"✖ Fecha futura",IF(COUNTIF(CATALOGOS!$O$7:$O$12,J21)=0,"✖ Estado no permitido",IF(I21="","▲ Evaluación sin profesional","✔ Correcto"))))))</f>
        <v/>
      </c>
    </row>
    <row r="22" spans="1:21" ht="14.25" customHeight="1">
      <c r="A22" s="26"/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  <c r="R22" s="27"/>
      <c r="S22" s="29" t="str">
        <f>IF(A22="","",COUNTIF($B$7:B22,B22))</f>
        <v/>
      </c>
      <c r="T22" s="29" t="str">
        <f t="shared" si="0"/>
        <v/>
      </c>
      <c r="U22" s="29" t="str">
        <f ca="1">IF(A22="","",IF(COUNTIF($A$7:$A$36,A22)&gt;1,"✖ EvaluationID duplicado",IF(COUNTIF(PACIENTES!$A$7:$A$26,B22)=0,"✖ PatientID inexistente",IF(AND(ISNUMBER(C22),C22&gt;TODAY(),CONFIG!$B$31="No"),"✖ Fecha futura",IF(COUNTIF(CATALOGOS!$O$7:$O$12,J22)=0,"✖ Estado no permitido",IF(I22="","▲ Evaluación sin profesional","✔ Correcto"))))))</f>
        <v/>
      </c>
    </row>
    <row r="23" spans="1:21" ht="14.25" customHeight="1">
      <c r="A23" s="26"/>
      <c r="B23" s="26"/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/>
      <c r="R23" s="27"/>
      <c r="S23" s="29" t="str">
        <f>IF(A23="","",COUNTIF($B$7:B23,B23))</f>
        <v/>
      </c>
      <c r="T23" s="29" t="str">
        <f t="shared" si="0"/>
        <v/>
      </c>
      <c r="U23" s="29" t="str">
        <f ca="1">IF(A23="","",IF(COUNTIF($A$7:$A$36,A23)&gt;1,"✖ EvaluationID duplicado",IF(COUNTIF(PACIENTES!$A$7:$A$26,B23)=0,"✖ PatientID inexistente",IF(AND(ISNUMBER(C23),C23&gt;TODAY(),CONFIG!$B$31="No"),"✖ Fecha futura",IF(COUNTIF(CATALOGOS!$O$7:$O$12,J23)=0,"✖ Estado no permitido",IF(I23="","▲ Evaluación sin profesional","✔ Correcto"))))))</f>
        <v/>
      </c>
    </row>
    <row r="24" spans="1:21" ht="14.25" customHeight="1">
      <c r="A24" s="26"/>
      <c r="B24" s="26"/>
      <c r="C24" s="2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  <c r="R24" s="27"/>
      <c r="S24" s="29" t="str">
        <f>IF(A24="","",COUNTIF($B$7:B24,B24))</f>
        <v/>
      </c>
      <c r="T24" s="29" t="str">
        <f t="shared" si="0"/>
        <v/>
      </c>
      <c r="U24" s="29" t="str">
        <f ca="1">IF(A24="","",IF(COUNTIF($A$7:$A$36,A24)&gt;1,"✖ EvaluationID duplicado",IF(COUNTIF(PACIENTES!$A$7:$A$26,B24)=0,"✖ PatientID inexistente",IF(AND(ISNUMBER(C24),C24&gt;TODAY(),CONFIG!$B$31="No"),"✖ Fecha futura",IF(COUNTIF(CATALOGOS!$O$7:$O$12,J24)=0,"✖ Estado no permitido",IF(I24="","▲ Evaluación sin profesional","✔ Correcto"))))))</f>
        <v/>
      </c>
    </row>
    <row r="25" spans="1:21" ht="14.25" customHeight="1">
      <c r="A25" s="26"/>
      <c r="B25" s="26"/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7"/>
      <c r="R25" s="27"/>
      <c r="S25" s="29" t="str">
        <f>IF(A25="","",COUNTIF($B$7:B25,B25))</f>
        <v/>
      </c>
      <c r="T25" s="29" t="str">
        <f t="shared" si="0"/>
        <v/>
      </c>
      <c r="U25" s="29" t="str">
        <f ca="1">IF(A25="","",IF(COUNTIF($A$7:$A$36,A25)&gt;1,"✖ EvaluationID duplicado",IF(COUNTIF(PACIENTES!$A$7:$A$26,B25)=0,"✖ PatientID inexistente",IF(AND(ISNUMBER(C25),C25&gt;TODAY(),CONFIG!$B$31="No"),"✖ Fecha futura",IF(COUNTIF(CATALOGOS!$O$7:$O$12,J25)=0,"✖ Estado no permitido",IF(I25="","▲ Evaluación sin profesional","✔ Correcto"))))))</f>
        <v/>
      </c>
    </row>
    <row r="26" spans="1:21" ht="14.25" customHeight="1">
      <c r="A26" s="26"/>
      <c r="B26" s="26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27"/>
      <c r="S26" s="29" t="str">
        <f>IF(A26="","",COUNTIF($B$7:B26,B26))</f>
        <v/>
      </c>
      <c r="T26" s="29" t="str">
        <f t="shared" si="0"/>
        <v/>
      </c>
      <c r="U26" s="29" t="str">
        <f ca="1">IF(A26="","",IF(COUNTIF($A$7:$A$36,A26)&gt;1,"✖ EvaluationID duplicado",IF(COUNTIF(PACIENTES!$A$7:$A$26,B26)=0,"✖ PatientID inexistente",IF(AND(ISNUMBER(C26),C26&gt;TODAY(),CONFIG!$B$31="No"),"✖ Fecha futura",IF(COUNTIF(CATALOGOS!$O$7:$O$12,J26)=0,"✖ Estado no permitido",IF(I26="","▲ Evaluación sin profesional","✔ Correcto"))))))</f>
        <v/>
      </c>
    </row>
    <row r="27" spans="1:21" ht="14.25" customHeight="1">
      <c r="A27" s="26"/>
      <c r="B27" s="26"/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  <c r="R27" s="27"/>
      <c r="S27" s="29" t="str">
        <f>IF(A27="","",COUNTIF($B$7:B27,B27))</f>
        <v/>
      </c>
      <c r="T27" s="29" t="str">
        <f t="shared" si="0"/>
        <v/>
      </c>
      <c r="U27" s="29" t="str">
        <f ca="1">IF(A27="","",IF(COUNTIF($A$7:$A$36,A27)&gt;1,"✖ EvaluationID duplicado",IF(COUNTIF(PACIENTES!$A$7:$A$26,B27)=0,"✖ PatientID inexistente",IF(AND(ISNUMBER(C27),C27&gt;TODAY(),CONFIG!$B$31="No"),"✖ Fecha futura",IF(COUNTIF(CATALOGOS!$O$7:$O$12,J27)=0,"✖ Estado no permitido",IF(I27="","▲ Evaluación sin profesional","✔ Correcto"))))))</f>
        <v/>
      </c>
    </row>
    <row r="28" spans="1:21" ht="14.25" customHeight="1">
      <c r="A28" s="26"/>
      <c r="B28" s="26"/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  <c r="R28" s="27"/>
      <c r="S28" s="29" t="str">
        <f>IF(A28="","",COUNTIF($B$7:B28,B28))</f>
        <v/>
      </c>
      <c r="T28" s="29" t="str">
        <f t="shared" si="0"/>
        <v/>
      </c>
      <c r="U28" s="29" t="str">
        <f ca="1">IF(A28="","",IF(COUNTIF($A$7:$A$36,A28)&gt;1,"✖ EvaluationID duplicado",IF(COUNTIF(PACIENTES!$A$7:$A$26,B28)=0,"✖ PatientID inexistente",IF(AND(ISNUMBER(C28),C28&gt;TODAY(),CONFIG!$B$31="No"),"✖ Fecha futura",IF(COUNTIF(CATALOGOS!$O$7:$O$12,J28)=0,"✖ Estado no permitido",IF(I28="","▲ Evaluación sin profesional","✔ Correcto"))))))</f>
        <v/>
      </c>
    </row>
    <row r="29" spans="1:21" ht="14.25" customHeight="1">
      <c r="A29" s="26"/>
      <c r="B29" s="26"/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/>
      <c r="R29" s="27"/>
      <c r="S29" s="29" t="str">
        <f>IF(A29="","",COUNTIF($B$7:B29,B29))</f>
        <v/>
      </c>
      <c r="T29" s="29" t="str">
        <f t="shared" si="0"/>
        <v/>
      </c>
      <c r="U29" s="29" t="str">
        <f ca="1">IF(A29="","",IF(COUNTIF($A$7:$A$36,A29)&gt;1,"✖ EvaluationID duplicado",IF(COUNTIF(PACIENTES!$A$7:$A$26,B29)=0,"✖ PatientID inexistente",IF(AND(ISNUMBER(C29),C29&gt;TODAY(),CONFIG!$B$31="No"),"✖ Fecha futura",IF(COUNTIF(CATALOGOS!$O$7:$O$12,J29)=0,"✖ Estado no permitido",IF(I29="","▲ Evaluación sin profesional","✔ Correcto"))))))</f>
        <v/>
      </c>
    </row>
    <row r="30" spans="1:21" ht="14.25" customHeight="1">
      <c r="A30" s="26"/>
      <c r="B30" s="26"/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"/>
      <c r="R30" s="27"/>
      <c r="S30" s="29" t="str">
        <f>IF(A30="","",COUNTIF($B$7:B30,B30))</f>
        <v/>
      </c>
      <c r="T30" s="29" t="str">
        <f t="shared" si="0"/>
        <v/>
      </c>
      <c r="U30" s="29" t="str">
        <f ca="1">IF(A30="","",IF(COUNTIF($A$7:$A$36,A30)&gt;1,"✖ EvaluationID duplicado",IF(COUNTIF(PACIENTES!$A$7:$A$26,B30)=0,"✖ PatientID inexistente",IF(AND(ISNUMBER(C30),C30&gt;TODAY(),CONFIG!$B$31="No"),"✖ Fecha futura",IF(COUNTIF(CATALOGOS!$O$7:$O$12,J30)=0,"✖ Estado no permitido",IF(I30="","▲ Evaluación sin profesional","✔ Correcto"))))))</f>
        <v/>
      </c>
    </row>
    <row r="31" spans="1:21" ht="14.25" customHeight="1">
      <c r="A31" s="26"/>
      <c r="B31" s="26"/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  <c r="R31" s="27"/>
      <c r="S31" s="29" t="str">
        <f>IF(A31="","",COUNTIF($B$7:B31,B31))</f>
        <v/>
      </c>
      <c r="T31" s="29" t="str">
        <f t="shared" si="0"/>
        <v/>
      </c>
      <c r="U31" s="29" t="str">
        <f ca="1">IF(A31="","",IF(COUNTIF($A$7:$A$36,A31)&gt;1,"✖ EvaluationID duplicado",IF(COUNTIF(PACIENTES!$A$7:$A$26,B31)=0,"✖ PatientID inexistente",IF(AND(ISNUMBER(C31),C31&gt;TODAY(),CONFIG!$B$31="No"),"✖ Fecha futura",IF(COUNTIF(CATALOGOS!$O$7:$O$12,J31)=0,"✖ Estado no permitido",IF(I31="","▲ Evaluación sin profesional","✔ Correcto"))))))</f>
        <v/>
      </c>
    </row>
    <row r="32" spans="1:21" ht="14.25" customHeight="1">
      <c r="A32" s="26"/>
      <c r="B32" s="26"/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7"/>
      <c r="R32" s="27"/>
      <c r="S32" s="29" t="str">
        <f>IF(A32="","",COUNTIF($B$7:B32,B32))</f>
        <v/>
      </c>
      <c r="T32" s="29" t="str">
        <f t="shared" si="0"/>
        <v/>
      </c>
      <c r="U32" s="29" t="str">
        <f ca="1">IF(A32="","",IF(COUNTIF($A$7:$A$36,A32)&gt;1,"✖ EvaluationID duplicado",IF(COUNTIF(PACIENTES!$A$7:$A$26,B32)=0,"✖ PatientID inexistente",IF(AND(ISNUMBER(C32),C32&gt;TODAY(),CONFIG!$B$31="No"),"✖ Fecha futura",IF(COUNTIF(CATALOGOS!$O$7:$O$12,J32)=0,"✖ Estado no permitido",IF(I32="","▲ Evaluación sin profesional","✔ Correcto"))))))</f>
        <v/>
      </c>
    </row>
    <row r="33" spans="1:21" ht="14.25" customHeight="1">
      <c r="A33" s="26"/>
      <c r="B33" s="26"/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7"/>
      <c r="R33" s="27"/>
      <c r="S33" s="29" t="str">
        <f>IF(A33="","",COUNTIF($B$7:B33,B33))</f>
        <v/>
      </c>
      <c r="T33" s="29" t="str">
        <f t="shared" si="0"/>
        <v/>
      </c>
      <c r="U33" s="29" t="str">
        <f ca="1">IF(A33="","",IF(COUNTIF($A$7:$A$36,A33)&gt;1,"✖ EvaluationID duplicado",IF(COUNTIF(PACIENTES!$A$7:$A$26,B33)=0,"✖ PatientID inexistente",IF(AND(ISNUMBER(C33),C33&gt;TODAY(),CONFIG!$B$31="No"),"✖ Fecha futura",IF(COUNTIF(CATALOGOS!$O$7:$O$12,J33)=0,"✖ Estado no permitido",IF(I33="","▲ Evaluación sin profesional","✔ Correcto"))))))</f>
        <v/>
      </c>
    </row>
    <row r="34" spans="1:21" ht="14.25" customHeight="1">
      <c r="A34" s="26"/>
      <c r="B34" s="26"/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"/>
      <c r="R34" s="27"/>
      <c r="S34" s="29" t="str">
        <f>IF(A34="","",COUNTIF($B$7:B34,B34))</f>
        <v/>
      </c>
      <c r="T34" s="29" t="str">
        <f t="shared" si="0"/>
        <v/>
      </c>
      <c r="U34" s="29" t="str">
        <f ca="1">IF(A34="","",IF(COUNTIF($A$7:$A$36,A34)&gt;1,"✖ EvaluationID duplicado",IF(COUNTIF(PACIENTES!$A$7:$A$26,B34)=0,"✖ PatientID inexistente",IF(AND(ISNUMBER(C34),C34&gt;TODAY(),CONFIG!$B$31="No"),"✖ Fecha futura",IF(COUNTIF(CATALOGOS!$O$7:$O$12,J34)=0,"✖ Estado no permitido",IF(I34="","▲ Evaluación sin profesional","✔ Correcto"))))))</f>
        <v/>
      </c>
    </row>
    <row r="35" spans="1:21" ht="14.25" customHeight="1">
      <c r="A35" s="26"/>
      <c r="B35" s="26"/>
      <c r="C35" s="2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7"/>
      <c r="R35" s="27"/>
      <c r="S35" s="29" t="str">
        <f>IF(A35="","",COUNTIF($B$7:B35,B35))</f>
        <v/>
      </c>
      <c r="T35" s="29" t="str">
        <f t="shared" si="0"/>
        <v/>
      </c>
      <c r="U35" s="29" t="str">
        <f ca="1">IF(A35="","",IF(COUNTIF($A$7:$A$36,A35)&gt;1,"✖ EvaluationID duplicado",IF(COUNTIF(PACIENTES!$A$7:$A$26,B35)=0,"✖ PatientID inexistente",IF(AND(ISNUMBER(C35),C35&gt;TODAY(),CONFIG!$B$31="No"),"✖ Fecha futura",IF(COUNTIF(CATALOGOS!$O$7:$O$12,J35)=0,"✖ Estado no permitido",IF(I35="","▲ Evaluación sin profesional","✔ Correcto"))))))</f>
        <v/>
      </c>
    </row>
    <row r="36" spans="1:21" ht="14.25" customHeight="1">
      <c r="A36" s="26"/>
      <c r="B36" s="26"/>
      <c r="C36" s="27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/>
      <c r="R36" s="27"/>
      <c r="S36" s="29" t="str">
        <f>IF(A36="","",COUNTIF($B$7:B36,B36))</f>
        <v/>
      </c>
      <c r="T36" s="29" t="str">
        <f t="shared" si="0"/>
        <v/>
      </c>
      <c r="U36" s="29" t="str">
        <f ca="1">IF(A36="","",IF(COUNTIF($A$7:$A$36,A36)&gt;1,"✖ EvaluationID duplicado",IF(COUNTIF(PACIENTES!$A$7:$A$26,B36)=0,"✖ PatientID inexistente",IF(AND(ISNUMBER(C36),C36&gt;TODAY(),CONFIG!$B$31="No"),"✖ Fecha futura",IF(COUNTIF(CATALOGOS!$O$7:$O$12,J36)=0,"✖ Estado no permitido",IF(I36="","▲ Evaluación sin profesional","✔ Correcto"))))))</f>
        <v/>
      </c>
    </row>
  </sheetData>
  <mergeCells count="3">
    <mergeCell ref="A1:U1"/>
    <mergeCell ref="A3:U3"/>
    <mergeCell ref="A5:U5"/>
  </mergeCells>
  <conditionalFormatting sqref="U7:U36">
    <cfRule type="expression" dxfId="48" priority="2">
      <formula>LEFT(U7,1)="✖"</formula>
    </cfRule>
    <cfRule type="expression" dxfId="47" priority="3">
      <formula>LEFT(U7,1)="▲"</formula>
    </cfRule>
    <cfRule type="expression" dxfId="46" priority="4">
      <formula>LEFT(U7,1)="✔"</formula>
    </cfRule>
  </conditionalFormatting>
  <dataValidations count="9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S7:U12" xr:uid="{00000000-0002-0000-0200-000000000000}">
      <formula1>0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E7:E36" xr:uid="{00000000-0002-0000-0200-000001000000}">
      <formula1>Lista_TipoEvaluacion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F7:F36" xr:uid="{00000000-0002-0000-0200-000002000000}">
      <formula1>Lista_Modalidad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J7:J36" xr:uid="{00000000-0002-0000-0200-000003000000}">
      <formula1>Lista_EstadoRegistro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L7:L36" xr:uid="{00000000-0002-0000-0200-000004000000}">
      <formula1>Lista_Prioridad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M7:M36" xr:uid="{00000000-0002-0000-0200-000005000000}">
      <formula1>Lista_FuenteDato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N7:N36" xr:uid="{00000000-0002-0000-0200-000006000000}">
      <formula1>Lista_Confiabilidad</formula1>
      <formula2>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C7:C36" xr:uid="{00000000-0002-0000-0200-000007000000}">
      <formula1>DATE(1900,1,1)</formula1>
      <formula2>TODAY()+3650</formula2>
    </dataValidation>
    <dataValidation type="whole" errorStyle="warning" allowBlank="1" showInputMessage="1" showErrorMessage="1" errorTitle="Revise el valor" error="Ingrese un número entero dentro del rango operativo." promptTitle="Duración aproximada" prompt="Ingrese un entero entre 0 y 600." sqref="K7:K36" xr:uid="{00000000-0002-0000-0200-000008000000}">
      <formula1>0</formula1>
      <formula2>600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6"/>
  <sheetViews>
    <sheetView showGridLines="0" workbookViewId="0">
      <selection sqref="A1:P1"/>
    </sheetView>
  </sheetViews>
  <sheetFormatPr baseColWidth="10" defaultColWidth="9" defaultRowHeight="15"/>
  <cols>
    <col min="1" max="2" width="14" style="15" customWidth="1"/>
    <col min="3" max="3" width="22" style="15" customWidth="1"/>
    <col min="4" max="4" width="30" style="15" customWidth="1"/>
    <col min="5" max="5" width="14" style="15" customWidth="1"/>
    <col min="6" max="7" width="12" style="15" customWidth="1"/>
    <col min="8" max="9" width="24" style="15" customWidth="1"/>
    <col min="10" max="10" width="26" style="15" customWidth="1"/>
    <col min="11" max="11" width="20" style="15" customWidth="1"/>
    <col min="12" max="13" width="12" style="15" customWidth="1"/>
    <col min="14" max="14" width="18" style="15" customWidth="1"/>
    <col min="15" max="15" width="34" style="15" customWidth="1"/>
    <col min="16" max="16" width="28" style="15" customWidth="1"/>
  </cols>
  <sheetData>
    <row r="1" spans="1:16" ht="27.75" customHeight="1">
      <c r="A1" s="14" t="s">
        <v>173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6" ht="30" customHeight="1">
      <c r="A3" s="13" t="s">
        <v>174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5" spans="1:16" ht="19.5" customHeight="1">
      <c r="A5" s="12" t="s">
        <v>175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36" customHeight="1">
      <c r="A6" s="19" t="s">
        <v>128</v>
      </c>
      <c r="B6" s="19" t="s">
        <v>76</v>
      </c>
      <c r="C6" s="19" t="s">
        <v>176</v>
      </c>
      <c r="D6" s="19" t="s">
        <v>177</v>
      </c>
      <c r="E6" s="19" t="s">
        <v>12</v>
      </c>
      <c r="F6" s="19" t="s">
        <v>178</v>
      </c>
      <c r="G6" s="19" t="s">
        <v>179</v>
      </c>
      <c r="H6" s="19" t="s">
        <v>180</v>
      </c>
      <c r="I6" s="19" t="s">
        <v>181</v>
      </c>
      <c r="J6" s="19" t="s">
        <v>182</v>
      </c>
      <c r="K6" s="19" t="s">
        <v>97</v>
      </c>
      <c r="L6" s="19" t="s">
        <v>77</v>
      </c>
      <c r="M6" s="19" t="s">
        <v>96</v>
      </c>
      <c r="N6" s="19" t="s">
        <v>135</v>
      </c>
      <c r="O6" s="19" t="s">
        <v>98</v>
      </c>
      <c r="P6" s="19" t="s">
        <v>99</v>
      </c>
    </row>
    <row r="7" spans="1:16" ht="24" customHeight="1">
      <c r="A7" s="26" t="s">
        <v>143</v>
      </c>
      <c r="B7" s="26" t="s">
        <v>100</v>
      </c>
      <c r="C7" s="26" t="s">
        <v>183</v>
      </c>
      <c r="D7" s="26" t="s">
        <v>184</v>
      </c>
      <c r="E7" s="26" t="s">
        <v>101</v>
      </c>
      <c r="F7" s="27">
        <v>45292</v>
      </c>
      <c r="G7" s="27"/>
      <c r="H7" s="26"/>
      <c r="I7" s="26"/>
      <c r="J7" s="26" t="s">
        <v>185</v>
      </c>
      <c r="K7" s="26" t="s">
        <v>109</v>
      </c>
      <c r="L7" s="27">
        <v>46174</v>
      </c>
      <c r="M7" s="27">
        <v>46216</v>
      </c>
      <c r="N7" s="26" t="s">
        <v>108</v>
      </c>
      <c r="O7" s="26" t="s">
        <v>110</v>
      </c>
      <c r="P7" s="29" t="str">
        <f>IF(A7="","",IF(COUNTIF(EVALUACION!$A$7:$A$3006,A7)=0,"✖ EvaluationID inexistente",IF(COUNTIFS(EVALUACION!$A$7:$A$3006,A7,EVALUACION!$B$7:$B$3006,B7)=0,"✖ EvaluationID de otro paciente",IF(AND(ISNUMBER(F7),ISNUMBER(G7),G7&lt;F7),"✖ Fecha término anterior","✔ Correcto"))))</f>
        <v>✔ Correcto</v>
      </c>
    </row>
    <row r="8" spans="1:16" ht="24" customHeight="1">
      <c r="A8" s="26" t="s">
        <v>152</v>
      </c>
      <c r="B8" s="26" t="s">
        <v>111</v>
      </c>
      <c r="C8" s="26" t="s">
        <v>186</v>
      </c>
      <c r="D8" s="26" t="s">
        <v>187</v>
      </c>
      <c r="E8" s="26" t="s">
        <v>188</v>
      </c>
      <c r="F8" s="27"/>
      <c r="G8" s="27"/>
      <c r="H8" s="26"/>
      <c r="I8" s="26"/>
      <c r="J8" s="26" t="s">
        <v>185</v>
      </c>
      <c r="K8" s="26" t="s">
        <v>118</v>
      </c>
      <c r="L8" s="27">
        <v>46143</v>
      </c>
      <c r="M8" s="27">
        <v>46216</v>
      </c>
      <c r="N8" s="26" t="s">
        <v>108</v>
      </c>
      <c r="O8" s="26" t="s">
        <v>110</v>
      </c>
      <c r="P8" s="29" t="str">
        <f>IF(A8="","",IF(COUNTIF(EVALUACION!$A$7:$A$3006,A8)=0,"✖ EvaluationID inexistente",IF(COUNTIFS(EVALUACION!$A$7:$A$3006,A8,EVALUACION!$B$7:$B$3006,B8)=0,"✖ EvaluationID de otro paciente",IF(AND(ISNUMBER(F8),ISNUMBER(G8),G8&lt;F8),"✖ Fecha término anterior","✔ Correcto"))))</f>
        <v>✔ Correcto</v>
      </c>
    </row>
    <row r="9" spans="1:16" ht="24" customHeight="1">
      <c r="A9" s="26" t="s">
        <v>165</v>
      </c>
      <c r="B9" s="26" t="s">
        <v>119</v>
      </c>
      <c r="C9" s="26" t="s">
        <v>189</v>
      </c>
      <c r="D9" s="26" t="s">
        <v>190</v>
      </c>
      <c r="E9" s="26" t="s">
        <v>117</v>
      </c>
      <c r="F9" s="27"/>
      <c r="G9" s="27"/>
      <c r="H9" s="26"/>
      <c r="I9" s="26"/>
      <c r="J9" s="26" t="s">
        <v>191</v>
      </c>
      <c r="K9" s="26" t="s">
        <v>118</v>
      </c>
      <c r="L9" s="27">
        <v>46183</v>
      </c>
      <c r="M9" s="27">
        <v>46216</v>
      </c>
      <c r="N9" s="26" t="s">
        <v>108</v>
      </c>
      <c r="O9" s="26" t="s">
        <v>110</v>
      </c>
      <c r="P9" s="29" t="str">
        <f>IF(A9="","",IF(COUNTIF(EVALUACION!$A$7:$A$3006,A9)=0,"✖ EvaluationID inexistente",IF(COUNTIFS(EVALUACION!$A$7:$A$3006,A9,EVALUACION!$B$7:$B$3006,B9)=0,"✖ EvaluationID de otro paciente",IF(AND(ISNUMBER(F9),ISNUMBER(G9),G9&lt;F9),"✖ Fecha término anterior","✔ Correcto"))))</f>
        <v>✔ Correcto</v>
      </c>
    </row>
    <row r="10" spans="1:16" ht="14.25" customHeight="1">
      <c r="A10" s="26"/>
      <c r="B10" s="26"/>
      <c r="C10" s="26"/>
      <c r="D10" s="26"/>
      <c r="E10" s="26"/>
      <c r="F10" s="27"/>
      <c r="G10" s="27"/>
      <c r="H10" s="26"/>
      <c r="I10" s="26"/>
      <c r="J10" s="26"/>
      <c r="K10" s="26"/>
      <c r="L10" s="27"/>
      <c r="M10" s="27"/>
      <c r="N10" s="26"/>
      <c r="O10" s="26"/>
      <c r="P10" s="29" t="str">
        <f>IF(A10="","",IF(COUNTIF(EVALUACION!$A$7:$A$36,A10)=0,"✖ EvaluationID inexistente",IF(COUNTIFS(EVALUACION!$A$7:$A$36,A10,EVALUACION!$B$7:$B$36,B10)=0,"✖ EvaluationID de otro paciente",IF(AND(ISNUMBER(F10),ISNUMBER(G10),G10&lt;F10),"✖ Fecha término anterior","✔ Correcto"))))</f>
        <v/>
      </c>
    </row>
    <row r="11" spans="1:16" ht="14.25" customHeight="1">
      <c r="A11" s="26"/>
      <c r="B11" s="26"/>
      <c r="C11" s="26"/>
      <c r="D11" s="26"/>
      <c r="E11" s="26"/>
      <c r="F11" s="27"/>
      <c r="G11" s="27"/>
      <c r="H11" s="26"/>
      <c r="I11" s="26"/>
      <c r="J11" s="26"/>
      <c r="K11" s="26"/>
      <c r="L11" s="27"/>
      <c r="M11" s="27"/>
      <c r="N11" s="26"/>
      <c r="O11" s="26"/>
      <c r="P11" s="29" t="str">
        <f>IF(A11="","",IF(COUNTIF(EVALUACION!$A$7:$A$36,A11)=0,"✖ EvaluationID inexistente",IF(COUNTIFS(EVALUACION!$A$7:$A$36,A11,EVALUACION!$B$7:$B$36,B11)=0,"✖ EvaluationID de otro paciente",IF(AND(ISNUMBER(F11),ISNUMBER(G11),G11&lt;F11),"✖ Fecha término anterior","✔ Correcto"))))</f>
        <v/>
      </c>
    </row>
    <row r="12" spans="1:16" ht="14.25" customHeight="1">
      <c r="A12" s="26"/>
      <c r="B12" s="26"/>
      <c r="C12" s="26"/>
      <c r="D12" s="26"/>
      <c r="E12" s="26"/>
      <c r="F12" s="27"/>
      <c r="G12" s="27"/>
      <c r="H12" s="26"/>
      <c r="I12" s="26"/>
      <c r="J12" s="26"/>
      <c r="K12" s="26"/>
      <c r="L12" s="27"/>
      <c r="M12" s="27"/>
      <c r="N12" s="26"/>
      <c r="O12" s="26"/>
      <c r="P12" s="29" t="str">
        <f>IF(A12="","",IF(COUNTIF(EVALUACION!$A$7:$A$36,A12)=0,"✖ EvaluationID inexistente",IF(COUNTIFS(EVALUACION!$A$7:$A$36,A12,EVALUACION!$B$7:$B$36,B12)=0,"✖ EvaluationID de otro paciente",IF(AND(ISNUMBER(F12),ISNUMBER(G12),G12&lt;F12),"✖ Fecha término anterior","✔ Correcto"))))</f>
        <v/>
      </c>
    </row>
    <row r="13" spans="1:16" ht="14.25" customHeight="1">
      <c r="A13" s="26"/>
      <c r="B13" s="26"/>
      <c r="C13" s="26"/>
      <c r="D13" s="26"/>
      <c r="E13" s="26"/>
      <c r="F13" s="27"/>
      <c r="G13" s="27"/>
      <c r="H13" s="26"/>
      <c r="I13" s="26"/>
      <c r="J13" s="26"/>
      <c r="K13" s="26"/>
      <c r="L13" s="27"/>
      <c r="M13" s="27"/>
      <c r="N13" s="26"/>
      <c r="O13" s="26"/>
      <c r="P13" s="29" t="str">
        <f>IF(A13="","",IF(COUNTIF(EVALUACION!$A$7:$A$36,A13)=0,"✖ EvaluationID inexistente",IF(COUNTIFS(EVALUACION!$A$7:$A$36,A13,EVALUACION!$B$7:$B$36,B13)=0,"✖ EvaluationID de otro paciente",IF(AND(ISNUMBER(F13),ISNUMBER(G13),G13&lt;F13),"✖ Fecha término anterior","✔ Correcto"))))</f>
        <v/>
      </c>
    </row>
    <row r="14" spans="1:16" ht="14.25" customHeight="1">
      <c r="A14" s="26"/>
      <c r="B14" s="26"/>
      <c r="C14" s="26"/>
      <c r="D14" s="26"/>
      <c r="E14" s="26"/>
      <c r="F14" s="27"/>
      <c r="G14" s="27"/>
      <c r="H14" s="26"/>
      <c r="I14" s="26"/>
      <c r="J14" s="26"/>
      <c r="K14" s="26"/>
      <c r="L14" s="27"/>
      <c r="M14" s="27"/>
      <c r="N14" s="26"/>
      <c r="O14" s="26"/>
      <c r="P14" s="29" t="str">
        <f>IF(A14="","",IF(COUNTIF(EVALUACION!$A$7:$A$36,A14)=0,"✖ EvaluationID inexistente",IF(COUNTIFS(EVALUACION!$A$7:$A$36,A14,EVALUACION!$B$7:$B$36,B14)=0,"✖ EvaluationID de otro paciente",IF(AND(ISNUMBER(F14),ISNUMBER(G14),G14&lt;F14),"✖ Fecha término anterior","✔ Correcto"))))</f>
        <v/>
      </c>
    </row>
    <row r="15" spans="1:16" ht="14.25" customHeight="1">
      <c r="A15" s="26"/>
      <c r="B15" s="26"/>
      <c r="C15" s="26"/>
      <c r="D15" s="26"/>
      <c r="E15" s="26"/>
      <c r="F15" s="27"/>
      <c r="G15" s="27"/>
      <c r="H15" s="26"/>
      <c r="I15" s="26"/>
      <c r="J15" s="26"/>
      <c r="K15" s="26"/>
      <c r="L15" s="27"/>
      <c r="M15" s="27"/>
      <c r="N15" s="26"/>
      <c r="O15" s="26"/>
      <c r="P15" s="29" t="str">
        <f>IF(A15="","",IF(COUNTIF(EVALUACION!$A$7:$A$36,A15)=0,"✖ EvaluationID inexistente",IF(COUNTIFS(EVALUACION!$A$7:$A$36,A15,EVALUACION!$B$7:$B$36,B15)=0,"✖ EvaluationID de otro paciente",IF(AND(ISNUMBER(F15),ISNUMBER(G15),G15&lt;F15),"✖ Fecha término anterior","✔ Correcto"))))</f>
        <v/>
      </c>
    </row>
    <row r="16" spans="1:16" ht="14.25" customHeight="1">
      <c r="A16" s="26"/>
      <c r="B16" s="26"/>
      <c r="C16" s="26"/>
      <c r="D16" s="26"/>
      <c r="E16" s="26"/>
      <c r="F16" s="27"/>
      <c r="G16" s="27"/>
      <c r="H16" s="26"/>
      <c r="I16" s="26"/>
      <c r="J16" s="26"/>
      <c r="K16" s="26"/>
      <c r="L16" s="27"/>
      <c r="M16" s="27"/>
      <c r="N16" s="26"/>
      <c r="O16" s="26"/>
      <c r="P16" s="29" t="str">
        <f>IF(A16="","",IF(COUNTIF(EVALUACION!$A$7:$A$36,A16)=0,"✖ EvaluationID inexistente",IF(COUNTIFS(EVALUACION!$A$7:$A$36,A16,EVALUACION!$B$7:$B$36,B16)=0,"✖ EvaluationID de otro paciente",IF(AND(ISNUMBER(F16),ISNUMBER(G16),G16&lt;F16),"✖ Fecha término anterior","✔ Correcto"))))</f>
        <v/>
      </c>
    </row>
    <row r="17" spans="1:16" ht="14.25" customHeight="1">
      <c r="A17" s="26"/>
      <c r="B17" s="26"/>
      <c r="C17" s="26"/>
      <c r="D17" s="26"/>
      <c r="E17" s="26"/>
      <c r="F17" s="27"/>
      <c r="G17" s="27"/>
      <c r="H17" s="26"/>
      <c r="I17" s="26"/>
      <c r="J17" s="26"/>
      <c r="K17" s="26"/>
      <c r="L17" s="27"/>
      <c r="M17" s="27"/>
      <c r="N17" s="26"/>
      <c r="O17" s="26"/>
      <c r="P17" s="29" t="str">
        <f>IF(A17="","",IF(COUNTIF(EVALUACION!$A$7:$A$36,A17)=0,"✖ EvaluationID inexistente",IF(COUNTIFS(EVALUACION!$A$7:$A$36,A17,EVALUACION!$B$7:$B$36,B17)=0,"✖ EvaluationID de otro paciente",IF(AND(ISNUMBER(F17),ISNUMBER(G17),G17&lt;F17),"✖ Fecha término anterior","✔ Correcto"))))</f>
        <v/>
      </c>
    </row>
    <row r="18" spans="1:16" ht="14.25" customHeight="1">
      <c r="A18" s="26"/>
      <c r="B18" s="26"/>
      <c r="C18" s="26"/>
      <c r="D18" s="26"/>
      <c r="E18" s="26"/>
      <c r="F18" s="27"/>
      <c r="G18" s="27"/>
      <c r="H18" s="26"/>
      <c r="I18" s="26"/>
      <c r="J18" s="26"/>
      <c r="K18" s="26"/>
      <c r="L18" s="27"/>
      <c r="M18" s="27"/>
      <c r="N18" s="26"/>
      <c r="O18" s="26"/>
      <c r="P18" s="29" t="str">
        <f>IF(A18="","",IF(COUNTIF(EVALUACION!$A$7:$A$36,A18)=0,"✖ EvaluationID inexistente",IF(COUNTIFS(EVALUACION!$A$7:$A$36,A18,EVALUACION!$B$7:$B$36,B18)=0,"✖ EvaluationID de otro paciente",IF(AND(ISNUMBER(F18),ISNUMBER(G18),G18&lt;F18),"✖ Fecha término anterior","✔ Correcto"))))</f>
        <v/>
      </c>
    </row>
    <row r="19" spans="1:16" ht="14.25" customHeight="1">
      <c r="A19" s="26"/>
      <c r="B19" s="26"/>
      <c r="C19" s="26"/>
      <c r="D19" s="26"/>
      <c r="E19" s="26"/>
      <c r="F19" s="27"/>
      <c r="G19" s="27"/>
      <c r="H19" s="26"/>
      <c r="I19" s="26"/>
      <c r="J19" s="26"/>
      <c r="K19" s="26"/>
      <c r="L19" s="27"/>
      <c r="M19" s="27"/>
      <c r="N19" s="26"/>
      <c r="O19" s="26"/>
      <c r="P19" s="29" t="str">
        <f>IF(A19="","",IF(COUNTIF(EVALUACION!$A$7:$A$36,A19)=0,"✖ EvaluationID inexistente",IF(COUNTIFS(EVALUACION!$A$7:$A$36,A19,EVALUACION!$B$7:$B$36,B19)=0,"✖ EvaluationID de otro paciente",IF(AND(ISNUMBER(F19),ISNUMBER(G19),G19&lt;F19),"✖ Fecha término anterior","✔ Correcto"))))</f>
        <v/>
      </c>
    </row>
    <row r="20" spans="1:16" ht="14.25" customHeight="1">
      <c r="A20" s="26"/>
      <c r="B20" s="26"/>
      <c r="C20" s="26"/>
      <c r="D20" s="26"/>
      <c r="E20" s="26"/>
      <c r="F20" s="27"/>
      <c r="G20" s="27"/>
      <c r="H20" s="26"/>
      <c r="I20" s="26"/>
      <c r="J20" s="26"/>
      <c r="K20" s="26"/>
      <c r="L20" s="27"/>
      <c r="M20" s="27"/>
      <c r="N20" s="26"/>
      <c r="O20" s="26"/>
      <c r="P20" s="29" t="str">
        <f>IF(A20="","",IF(COUNTIF(EVALUACION!$A$7:$A$36,A20)=0,"✖ EvaluationID inexistente",IF(COUNTIFS(EVALUACION!$A$7:$A$36,A20,EVALUACION!$B$7:$B$36,B20)=0,"✖ EvaluationID de otro paciente",IF(AND(ISNUMBER(F20),ISNUMBER(G20),G20&lt;F20),"✖ Fecha término anterior","✔ Correcto"))))</f>
        <v/>
      </c>
    </row>
    <row r="21" spans="1:16" ht="14.25" customHeight="1">
      <c r="A21" s="26"/>
      <c r="B21" s="26"/>
      <c r="C21" s="26"/>
      <c r="D21" s="26"/>
      <c r="E21" s="26"/>
      <c r="F21" s="27"/>
      <c r="G21" s="27"/>
      <c r="H21" s="26"/>
      <c r="I21" s="26"/>
      <c r="J21" s="26"/>
      <c r="K21" s="26"/>
      <c r="L21" s="27"/>
      <c r="M21" s="27"/>
      <c r="N21" s="26"/>
      <c r="O21" s="26"/>
      <c r="P21" s="29" t="str">
        <f>IF(A21="","",IF(COUNTIF(EVALUACION!$A$7:$A$36,A21)=0,"✖ EvaluationID inexistente",IF(COUNTIFS(EVALUACION!$A$7:$A$36,A21,EVALUACION!$B$7:$B$36,B21)=0,"✖ EvaluationID de otro paciente",IF(AND(ISNUMBER(F21),ISNUMBER(G21),G21&lt;F21),"✖ Fecha término anterior","✔ Correcto"))))</f>
        <v/>
      </c>
    </row>
    <row r="22" spans="1:16" ht="14.25" customHeight="1">
      <c r="A22" s="26"/>
      <c r="B22" s="26"/>
      <c r="C22" s="26"/>
      <c r="D22" s="26"/>
      <c r="E22" s="26"/>
      <c r="F22" s="27"/>
      <c r="G22" s="27"/>
      <c r="H22" s="26"/>
      <c r="I22" s="26"/>
      <c r="J22" s="26"/>
      <c r="K22" s="26"/>
      <c r="L22" s="27"/>
      <c r="M22" s="27"/>
      <c r="N22" s="26"/>
      <c r="O22" s="26"/>
      <c r="P22" s="29" t="str">
        <f>IF(A22="","",IF(COUNTIF(EVALUACION!$A$7:$A$36,A22)=0,"✖ EvaluationID inexistente",IF(COUNTIFS(EVALUACION!$A$7:$A$36,A22,EVALUACION!$B$7:$B$36,B22)=0,"✖ EvaluationID de otro paciente",IF(AND(ISNUMBER(F22),ISNUMBER(G22),G22&lt;F22),"✖ Fecha término anterior","✔ Correcto"))))</f>
        <v/>
      </c>
    </row>
    <row r="23" spans="1:16" ht="14.25" customHeight="1">
      <c r="A23" s="26"/>
      <c r="B23" s="26"/>
      <c r="C23" s="26"/>
      <c r="D23" s="26"/>
      <c r="E23" s="26"/>
      <c r="F23" s="27"/>
      <c r="G23" s="27"/>
      <c r="H23" s="26"/>
      <c r="I23" s="26"/>
      <c r="J23" s="26"/>
      <c r="K23" s="26"/>
      <c r="L23" s="27"/>
      <c r="M23" s="27"/>
      <c r="N23" s="26"/>
      <c r="O23" s="26"/>
      <c r="P23" s="29" t="str">
        <f>IF(A23="","",IF(COUNTIF(EVALUACION!$A$7:$A$36,A23)=0,"✖ EvaluationID inexistente",IF(COUNTIFS(EVALUACION!$A$7:$A$36,A23,EVALUACION!$B$7:$B$36,B23)=0,"✖ EvaluationID de otro paciente",IF(AND(ISNUMBER(F23),ISNUMBER(G23),G23&lt;F23),"✖ Fecha término anterior","✔ Correcto"))))</f>
        <v/>
      </c>
    </row>
    <row r="24" spans="1:16" ht="14.25" customHeight="1">
      <c r="A24" s="26"/>
      <c r="B24" s="26"/>
      <c r="C24" s="26"/>
      <c r="D24" s="26"/>
      <c r="E24" s="26"/>
      <c r="F24" s="27"/>
      <c r="G24" s="27"/>
      <c r="H24" s="26"/>
      <c r="I24" s="26"/>
      <c r="J24" s="26"/>
      <c r="K24" s="26"/>
      <c r="L24" s="27"/>
      <c r="M24" s="27"/>
      <c r="N24" s="26"/>
      <c r="O24" s="26"/>
      <c r="P24" s="29" t="str">
        <f>IF(A24="","",IF(COUNTIF(EVALUACION!$A$7:$A$36,A24)=0,"✖ EvaluationID inexistente",IF(COUNTIFS(EVALUACION!$A$7:$A$36,A24,EVALUACION!$B$7:$B$36,B24)=0,"✖ EvaluationID de otro paciente",IF(AND(ISNUMBER(F24),ISNUMBER(G24),G24&lt;F24),"✖ Fecha término anterior","✔ Correcto"))))</f>
        <v/>
      </c>
    </row>
    <row r="25" spans="1:16" ht="14.25" customHeight="1">
      <c r="A25" s="26"/>
      <c r="B25" s="26"/>
      <c r="C25" s="26"/>
      <c r="D25" s="26"/>
      <c r="E25" s="26"/>
      <c r="F25" s="27"/>
      <c r="G25" s="27"/>
      <c r="H25" s="26"/>
      <c r="I25" s="26"/>
      <c r="J25" s="26"/>
      <c r="K25" s="26"/>
      <c r="L25" s="27"/>
      <c r="M25" s="27"/>
      <c r="N25" s="26"/>
      <c r="O25" s="26"/>
      <c r="P25" s="29" t="str">
        <f>IF(A25="","",IF(COUNTIF(EVALUACION!$A$7:$A$36,A25)=0,"✖ EvaluationID inexistente",IF(COUNTIFS(EVALUACION!$A$7:$A$36,A25,EVALUACION!$B$7:$B$36,B25)=0,"✖ EvaluationID de otro paciente",IF(AND(ISNUMBER(F25),ISNUMBER(G25),G25&lt;F25),"✖ Fecha término anterior","✔ Correcto"))))</f>
        <v/>
      </c>
    </row>
    <row r="26" spans="1:16" ht="14.25" customHeight="1">
      <c r="A26" s="26"/>
      <c r="B26" s="26"/>
      <c r="C26" s="26"/>
      <c r="D26" s="26"/>
      <c r="E26" s="26"/>
      <c r="F26" s="27"/>
      <c r="G26" s="27"/>
      <c r="H26" s="26"/>
      <c r="I26" s="26"/>
      <c r="J26" s="26"/>
      <c r="K26" s="26"/>
      <c r="L26" s="27"/>
      <c r="M26" s="27"/>
      <c r="N26" s="26"/>
      <c r="O26" s="26"/>
      <c r="P26" s="29" t="str">
        <f>IF(A26="","",IF(COUNTIF(EVALUACION!$A$7:$A$36,A26)=0,"✖ EvaluationID inexistente",IF(COUNTIFS(EVALUACION!$A$7:$A$36,A26,EVALUACION!$B$7:$B$36,B26)=0,"✖ EvaluationID de otro paciente",IF(AND(ISNUMBER(F26),ISNUMBER(G26),G26&lt;F26),"✖ Fecha término anterior","✔ Correcto"))))</f>
        <v/>
      </c>
    </row>
    <row r="27" spans="1:16" ht="14.25" customHeight="1">
      <c r="A27" s="26"/>
      <c r="B27" s="26"/>
      <c r="C27" s="26"/>
      <c r="D27" s="26"/>
      <c r="E27" s="26"/>
      <c r="F27" s="27"/>
      <c r="G27" s="27"/>
      <c r="H27" s="26"/>
      <c r="I27" s="26"/>
      <c r="J27" s="26"/>
      <c r="K27" s="26"/>
      <c r="L27" s="27"/>
      <c r="M27" s="27"/>
      <c r="N27" s="26"/>
      <c r="O27" s="26"/>
      <c r="P27" s="29" t="str">
        <f>IF(A27="","",IF(COUNTIF(EVALUACION!$A$7:$A$36,A27)=0,"✖ EvaluationID inexistente",IF(COUNTIFS(EVALUACION!$A$7:$A$36,A27,EVALUACION!$B$7:$B$36,B27)=0,"✖ EvaluationID de otro paciente",IF(AND(ISNUMBER(F27),ISNUMBER(G27),G27&lt;F27),"✖ Fecha término anterior","✔ Correcto"))))</f>
        <v/>
      </c>
    </row>
    <row r="28" spans="1:16" ht="14.25" customHeight="1">
      <c r="A28" s="26"/>
      <c r="B28" s="26"/>
      <c r="C28" s="26"/>
      <c r="D28" s="26"/>
      <c r="E28" s="26"/>
      <c r="F28" s="27"/>
      <c r="G28" s="27"/>
      <c r="H28" s="26"/>
      <c r="I28" s="26"/>
      <c r="J28" s="26"/>
      <c r="K28" s="26"/>
      <c r="L28" s="27"/>
      <c r="M28" s="27"/>
      <c r="N28" s="26"/>
      <c r="O28" s="26"/>
      <c r="P28" s="29" t="str">
        <f>IF(A28="","",IF(COUNTIF(EVALUACION!$A$7:$A$36,A28)=0,"✖ EvaluationID inexistente",IF(COUNTIFS(EVALUACION!$A$7:$A$36,A28,EVALUACION!$B$7:$B$36,B28)=0,"✖ EvaluationID de otro paciente",IF(AND(ISNUMBER(F28),ISNUMBER(G28),G28&lt;F28),"✖ Fecha término anterior","✔ Correcto"))))</f>
        <v/>
      </c>
    </row>
    <row r="29" spans="1:16" ht="14.25" customHeight="1">
      <c r="A29" s="26"/>
      <c r="B29" s="26"/>
      <c r="C29" s="26"/>
      <c r="D29" s="26"/>
      <c r="E29" s="26"/>
      <c r="F29" s="27"/>
      <c r="G29" s="27"/>
      <c r="H29" s="26"/>
      <c r="I29" s="26"/>
      <c r="J29" s="26"/>
      <c r="K29" s="26"/>
      <c r="L29" s="27"/>
      <c r="M29" s="27"/>
      <c r="N29" s="26"/>
      <c r="O29" s="26"/>
      <c r="P29" s="29" t="str">
        <f>IF(A29="","",IF(COUNTIF(EVALUACION!$A$7:$A$36,A29)=0,"✖ EvaluationID inexistente",IF(COUNTIFS(EVALUACION!$A$7:$A$36,A29,EVALUACION!$B$7:$B$36,B29)=0,"✖ EvaluationID de otro paciente",IF(AND(ISNUMBER(F29),ISNUMBER(G29),G29&lt;F29),"✖ Fecha término anterior","✔ Correcto"))))</f>
        <v/>
      </c>
    </row>
    <row r="30" spans="1:16" ht="14.25" customHeight="1">
      <c r="A30" s="26"/>
      <c r="B30" s="26"/>
      <c r="C30" s="26"/>
      <c r="D30" s="26"/>
      <c r="E30" s="26"/>
      <c r="F30" s="27"/>
      <c r="G30" s="27"/>
      <c r="H30" s="26"/>
      <c r="I30" s="26"/>
      <c r="J30" s="26"/>
      <c r="K30" s="26"/>
      <c r="L30" s="27"/>
      <c r="M30" s="27"/>
      <c r="N30" s="26"/>
      <c r="O30" s="26"/>
      <c r="P30" s="29" t="str">
        <f>IF(A30="","",IF(COUNTIF(EVALUACION!$A$7:$A$36,A30)=0,"✖ EvaluationID inexistente",IF(COUNTIFS(EVALUACION!$A$7:$A$36,A30,EVALUACION!$B$7:$B$36,B30)=0,"✖ EvaluationID de otro paciente",IF(AND(ISNUMBER(F30),ISNUMBER(G30),G30&lt;F30),"✖ Fecha término anterior","✔ Correcto"))))</f>
        <v/>
      </c>
    </row>
    <row r="31" spans="1:16" ht="14.25" customHeight="1">
      <c r="A31" s="26"/>
      <c r="B31" s="26"/>
      <c r="C31" s="26"/>
      <c r="D31" s="26"/>
      <c r="E31" s="26"/>
      <c r="F31" s="27"/>
      <c r="G31" s="27"/>
      <c r="H31" s="26"/>
      <c r="I31" s="26"/>
      <c r="J31" s="26"/>
      <c r="K31" s="26"/>
      <c r="L31" s="27"/>
      <c r="M31" s="27"/>
      <c r="N31" s="26"/>
      <c r="O31" s="26"/>
      <c r="P31" s="29" t="str">
        <f>IF(A31="","",IF(COUNTIF(EVALUACION!$A$7:$A$36,A31)=0,"✖ EvaluationID inexistente",IF(COUNTIFS(EVALUACION!$A$7:$A$36,A31,EVALUACION!$B$7:$B$36,B31)=0,"✖ EvaluationID de otro paciente",IF(AND(ISNUMBER(F31),ISNUMBER(G31),G31&lt;F31),"✖ Fecha término anterior","✔ Correcto"))))</f>
        <v/>
      </c>
    </row>
    <row r="32" spans="1:16" ht="14.25" customHeight="1">
      <c r="A32" s="26"/>
      <c r="B32" s="26"/>
      <c r="C32" s="26"/>
      <c r="D32" s="26"/>
      <c r="E32" s="26"/>
      <c r="F32" s="27"/>
      <c r="G32" s="27"/>
      <c r="H32" s="26"/>
      <c r="I32" s="26"/>
      <c r="J32" s="26"/>
      <c r="K32" s="26"/>
      <c r="L32" s="27"/>
      <c r="M32" s="27"/>
      <c r="N32" s="26"/>
      <c r="O32" s="26"/>
      <c r="P32" s="29" t="str">
        <f>IF(A32="","",IF(COUNTIF(EVALUACION!$A$7:$A$36,A32)=0,"✖ EvaluationID inexistente",IF(COUNTIFS(EVALUACION!$A$7:$A$36,A32,EVALUACION!$B$7:$B$36,B32)=0,"✖ EvaluationID de otro paciente",IF(AND(ISNUMBER(F32),ISNUMBER(G32),G32&lt;F32),"✖ Fecha término anterior","✔ Correcto"))))</f>
        <v/>
      </c>
    </row>
    <row r="33" spans="1:16" ht="14.25" customHeight="1">
      <c r="A33" s="26"/>
      <c r="B33" s="26"/>
      <c r="C33" s="26"/>
      <c r="D33" s="26"/>
      <c r="E33" s="26"/>
      <c r="F33" s="27"/>
      <c r="G33" s="27"/>
      <c r="H33" s="26"/>
      <c r="I33" s="26"/>
      <c r="J33" s="26"/>
      <c r="K33" s="26"/>
      <c r="L33" s="27"/>
      <c r="M33" s="27"/>
      <c r="N33" s="26"/>
      <c r="O33" s="26"/>
      <c r="P33" s="29" t="str">
        <f>IF(A33="","",IF(COUNTIF(EVALUACION!$A$7:$A$36,A33)=0,"✖ EvaluationID inexistente",IF(COUNTIFS(EVALUACION!$A$7:$A$36,A33,EVALUACION!$B$7:$B$36,B33)=0,"✖ EvaluationID de otro paciente",IF(AND(ISNUMBER(F33),ISNUMBER(G33),G33&lt;F33),"✖ Fecha término anterior","✔ Correcto"))))</f>
        <v/>
      </c>
    </row>
    <row r="34" spans="1:16" ht="14.25" customHeight="1">
      <c r="A34" s="26"/>
      <c r="B34" s="26"/>
      <c r="C34" s="26"/>
      <c r="D34" s="26"/>
      <c r="E34" s="26"/>
      <c r="F34" s="27"/>
      <c r="G34" s="27"/>
      <c r="H34" s="26"/>
      <c r="I34" s="26"/>
      <c r="J34" s="26"/>
      <c r="K34" s="26"/>
      <c r="L34" s="27"/>
      <c r="M34" s="27"/>
      <c r="N34" s="26"/>
      <c r="O34" s="26"/>
      <c r="P34" s="29" t="str">
        <f>IF(A34="","",IF(COUNTIF(EVALUACION!$A$7:$A$36,A34)=0,"✖ EvaluationID inexistente",IF(COUNTIFS(EVALUACION!$A$7:$A$36,A34,EVALUACION!$B$7:$B$36,B34)=0,"✖ EvaluationID de otro paciente",IF(AND(ISNUMBER(F34),ISNUMBER(G34),G34&lt;F34),"✖ Fecha término anterior","✔ Correcto"))))</f>
        <v/>
      </c>
    </row>
    <row r="35" spans="1:16" ht="14.25" customHeight="1">
      <c r="A35" s="26"/>
      <c r="B35" s="26"/>
      <c r="C35" s="26"/>
      <c r="D35" s="26"/>
      <c r="E35" s="26"/>
      <c r="F35" s="27"/>
      <c r="G35" s="27"/>
      <c r="H35" s="26"/>
      <c r="I35" s="26"/>
      <c r="J35" s="26"/>
      <c r="K35" s="26"/>
      <c r="L35" s="27"/>
      <c r="M35" s="27"/>
      <c r="N35" s="26"/>
      <c r="O35" s="26"/>
      <c r="P35" s="29" t="str">
        <f>IF(A35="","",IF(COUNTIF(EVALUACION!$A$7:$A$36,A35)=0,"✖ EvaluationID inexistente",IF(COUNTIFS(EVALUACION!$A$7:$A$36,A35,EVALUACION!$B$7:$B$36,B35)=0,"✖ EvaluationID de otro paciente",IF(AND(ISNUMBER(F35),ISNUMBER(G35),G35&lt;F35),"✖ Fecha término anterior","✔ Correcto"))))</f>
        <v/>
      </c>
    </row>
    <row r="36" spans="1:16" ht="14.25" customHeight="1">
      <c r="A36" s="26"/>
      <c r="B36" s="26"/>
      <c r="C36" s="26"/>
      <c r="D36" s="26"/>
      <c r="E36" s="26"/>
      <c r="F36" s="27"/>
      <c r="G36" s="27"/>
      <c r="H36" s="26"/>
      <c r="I36" s="26"/>
      <c r="J36" s="26"/>
      <c r="K36" s="26"/>
      <c r="L36" s="27"/>
      <c r="M36" s="27"/>
      <c r="N36" s="26"/>
      <c r="O36" s="26"/>
      <c r="P36" s="29" t="str">
        <f>IF(A36="","",IF(COUNTIF(EVALUACION!$A$7:$A$36,A36)=0,"✖ EvaluationID inexistente",IF(COUNTIFS(EVALUACION!$A$7:$A$36,A36,EVALUACION!$B$7:$B$36,B36)=0,"✖ EvaluationID de otro paciente",IF(AND(ISNUMBER(F36),ISNUMBER(G36),G36&lt;F36),"✖ Fecha término anterior","✔ Correcto"))))</f>
        <v/>
      </c>
    </row>
    <row r="37" spans="1:16" ht="14.25" customHeight="1">
      <c r="A37" s="26"/>
      <c r="B37" s="26"/>
      <c r="C37" s="26"/>
      <c r="D37" s="26"/>
      <c r="E37" s="26"/>
      <c r="F37" s="27"/>
      <c r="G37" s="27"/>
      <c r="H37" s="26"/>
      <c r="I37" s="26"/>
      <c r="J37" s="26"/>
      <c r="K37" s="26"/>
      <c r="L37" s="27"/>
      <c r="M37" s="27"/>
      <c r="N37" s="26"/>
      <c r="O37" s="26"/>
      <c r="P37" s="29" t="str">
        <f>IF(A37="","",IF(COUNTIF(EVALUACION!$A$7:$A$36,A37)=0,"✖ EvaluationID inexistente",IF(COUNTIFS(EVALUACION!$A$7:$A$36,A37,EVALUACION!$B$7:$B$36,B37)=0,"✖ EvaluationID de otro paciente",IF(AND(ISNUMBER(F37),ISNUMBER(G37),G37&lt;F37),"✖ Fecha término anterior","✔ Correcto"))))</f>
        <v/>
      </c>
    </row>
    <row r="38" spans="1:16" ht="14.25" customHeight="1">
      <c r="A38" s="26"/>
      <c r="B38" s="26"/>
      <c r="C38" s="26"/>
      <c r="D38" s="26"/>
      <c r="E38" s="26"/>
      <c r="F38" s="27"/>
      <c r="G38" s="27"/>
      <c r="H38" s="26"/>
      <c r="I38" s="26"/>
      <c r="J38" s="26"/>
      <c r="K38" s="26"/>
      <c r="L38" s="27"/>
      <c r="M38" s="27"/>
      <c r="N38" s="26"/>
      <c r="O38" s="26"/>
      <c r="P38" s="29" t="str">
        <f>IF(A38="","",IF(COUNTIF(EVALUACION!$A$7:$A$36,A38)=0,"✖ EvaluationID inexistente",IF(COUNTIFS(EVALUACION!$A$7:$A$36,A38,EVALUACION!$B$7:$B$36,B38)=0,"✖ EvaluationID de otro paciente",IF(AND(ISNUMBER(F38),ISNUMBER(G38),G38&lt;F38),"✖ Fecha término anterior","✔ Correcto"))))</f>
        <v/>
      </c>
    </row>
    <row r="39" spans="1:16" ht="14.25" customHeight="1">
      <c r="A39" s="26"/>
      <c r="B39" s="26"/>
      <c r="C39" s="26"/>
      <c r="D39" s="26"/>
      <c r="E39" s="26"/>
      <c r="F39" s="27"/>
      <c r="G39" s="27"/>
      <c r="H39" s="26"/>
      <c r="I39" s="26"/>
      <c r="J39" s="26"/>
      <c r="K39" s="26"/>
      <c r="L39" s="27"/>
      <c r="M39" s="27"/>
      <c r="N39" s="26"/>
      <c r="O39" s="26"/>
      <c r="P39" s="29" t="str">
        <f>IF(A39="","",IF(COUNTIF(EVALUACION!$A$7:$A$36,A39)=0,"✖ EvaluationID inexistente",IF(COUNTIFS(EVALUACION!$A$7:$A$36,A39,EVALUACION!$B$7:$B$36,B39)=0,"✖ EvaluationID de otro paciente",IF(AND(ISNUMBER(F39),ISNUMBER(G39),G39&lt;F39),"✖ Fecha término anterior","✔ Correcto"))))</f>
        <v/>
      </c>
    </row>
    <row r="40" spans="1:16" ht="14.25" customHeight="1">
      <c r="A40" s="26"/>
      <c r="B40" s="26"/>
      <c r="C40" s="26"/>
      <c r="D40" s="26"/>
      <c r="E40" s="26"/>
      <c r="F40" s="27"/>
      <c r="G40" s="27"/>
      <c r="H40" s="26"/>
      <c r="I40" s="26"/>
      <c r="J40" s="26"/>
      <c r="K40" s="26"/>
      <c r="L40" s="27"/>
      <c r="M40" s="27"/>
      <c r="N40" s="26"/>
      <c r="O40" s="26"/>
      <c r="P40" s="29" t="str">
        <f>IF(A40="","",IF(COUNTIF(EVALUACION!$A$7:$A$36,A40)=0,"✖ EvaluationID inexistente",IF(COUNTIFS(EVALUACION!$A$7:$A$36,A40,EVALUACION!$B$7:$B$36,B40)=0,"✖ EvaluationID de otro paciente",IF(AND(ISNUMBER(F40),ISNUMBER(G40),G40&lt;F40),"✖ Fecha término anterior","✔ Correcto"))))</f>
        <v/>
      </c>
    </row>
    <row r="41" spans="1:16" ht="14.25" customHeight="1">
      <c r="A41" s="26"/>
      <c r="B41" s="26"/>
      <c r="C41" s="26"/>
      <c r="D41" s="26"/>
      <c r="E41" s="26"/>
      <c r="F41" s="27"/>
      <c r="G41" s="27"/>
      <c r="H41" s="26"/>
      <c r="I41" s="26"/>
      <c r="J41" s="26"/>
      <c r="K41" s="26"/>
      <c r="L41" s="27"/>
      <c r="M41" s="27"/>
      <c r="N41" s="26"/>
      <c r="O41" s="26"/>
      <c r="P41" s="29" t="str">
        <f>IF(A41="","",IF(COUNTIF(EVALUACION!$A$7:$A$36,A41)=0,"✖ EvaluationID inexistente",IF(COUNTIFS(EVALUACION!$A$7:$A$36,A41,EVALUACION!$B$7:$B$36,B41)=0,"✖ EvaluationID de otro paciente",IF(AND(ISNUMBER(F41),ISNUMBER(G41),G41&lt;F41),"✖ Fecha término anterior","✔ Correcto"))))</f>
        <v/>
      </c>
    </row>
    <row r="42" spans="1:16" ht="14.25" customHeight="1">
      <c r="A42" s="26"/>
      <c r="B42" s="26"/>
      <c r="C42" s="26"/>
      <c r="D42" s="26"/>
      <c r="E42" s="26"/>
      <c r="F42" s="27"/>
      <c r="G42" s="27"/>
      <c r="H42" s="26"/>
      <c r="I42" s="26"/>
      <c r="J42" s="26"/>
      <c r="K42" s="26"/>
      <c r="L42" s="27"/>
      <c r="M42" s="27"/>
      <c r="N42" s="26"/>
      <c r="O42" s="26"/>
      <c r="P42" s="29" t="str">
        <f>IF(A42="","",IF(COUNTIF(EVALUACION!$A$7:$A$36,A42)=0,"✖ EvaluationID inexistente",IF(COUNTIFS(EVALUACION!$A$7:$A$36,A42,EVALUACION!$B$7:$B$36,B42)=0,"✖ EvaluationID de otro paciente",IF(AND(ISNUMBER(F42),ISNUMBER(G42),G42&lt;F42),"✖ Fecha término anterior","✔ Correcto"))))</f>
        <v/>
      </c>
    </row>
    <row r="43" spans="1:16" ht="14.25" customHeight="1">
      <c r="A43" s="26"/>
      <c r="B43" s="26"/>
      <c r="C43" s="26"/>
      <c r="D43" s="26"/>
      <c r="E43" s="26"/>
      <c r="F43" s="27"/>
      <c r="G43" s="27"/>
      <c r="H43" s="26"/>
      <c r="I43" s="26"/>
      <c r="J43" s="26"/>
      <c r="K43" s="26"/>
      <c r="L43" s="27"/>
      <c r="M43" s="27"/>
      <c r="N43" s="26"/>
      <c r="O43" s="26"/>
      <c r="P43" s="29" t="str">
        <f>IF(A43="","",IF(COUNTIF(EVALUACION!$A$7:$A$36,A43)=0,"✖ EvaluationID inexistente",IF(COUNTIFS(EVALUACION!$A$7:$A$36,A43,EVALUACION!$B$7:$B$36,B43)=0,"✖ EvaluationID de otro paciente",IF(AND(ISNUMBER(F43),ISNUMBER(G43),G43&lt;F43),"✖ Fecha término anterior","✔ Correcto"))))</f>
        <v/>
      </c>
    </row>
    <row r="44" spans="1:16" ht="14.25" customHeight="1">
      <c r="A44" s="26"/>
      <c r="B44" s="26"/>
      <c r="C44" s="26"/>
      <c r="D44" s="26"/>
      <c r="E44" s="26"/>
      <c r="F44" s="27"/>
      <c r="G44" s="27"/>
      <c r="H44" s="26"/>
      <c r="I44" s="26"/>
      <c r="J44" s="26"/>
      <c r="K44" s="26"/>
      <c r="L44" s="27"/>
      <c r="M44" s="27"/>
      <c r="N44" s="26"/>
      <c r="O44" s="26"/>
      <c r="P44" s="29" t="str">
        <f>IF(A44="","",IF(COUNTIF(EVALUACION!$A$7:$A$36,A44)=0,"✖ EvaluationID inexistente",IF(COUNTIFS(EVALUACION!$A$7:$A$36,A44,EVALUACION!$B$7:$B$36,B44)=0,"✖ EvaluationID de otro paciente",IF(AND(ISNUMBER(F44),ISNUMBER(G44),G44&lt;F44),"✖ Fecha término anterior","✔ Correcto"))))</f>
        <v/>
      </c>
    </row>
    <row r="45" spans="1:16" ht="14.25" customHeight="1">
      <c r="A45" s="26"/>
      <c r="B45" s="26"/>
      <c r="C45" s="26"/>
      <c r="D45" s="26"/>
      <c r="E45" s="26"/>
      <c r="F45" s="27"/>
      <c r="G45" s="27"/>
      <c r="H45" s="26"/>
      <c r="I45" s="26"/>
      <c r="J45" s="26"/>
      <c r="K45" s="26"/>
      <c r="L45" s="27"/>
      <c r="M45" s="27"/>
      <c r="N45" s="26"/>
      <c r="O45" s="26"/>
      <c r="P45" s="29" t="str">
        <f>IF(A45="","",IF(COUNTIF(EVALUACION!$A$7:$A$36,A45)=0,"✖ EvaluationID inexistente",IF(COUNTIFS(EVALUACION!$A$7:$A$36,A45,EVALUACION!$B$7:$B$36,B45)=0,"✖ EvaluationID de otro paciente",IF(AND(ISNUMBER(F45),ISNUMBER(G45),G45&lt;F45),"✖ Fecha término anterior","✔ Correcto"))))</f>
        <v/>
      </c>
    </row>
    <row r="46" spans="1:16" ht="14.25" customHeight="1">
      <c r="A46" s="26"/>
      <c r="B46" s="26"/>
      <c r="C46" s="26"/>
      <c r="D46" s="26"/>
      <c r="E46" s="26"/>
      <c r="F46" s="27"/>
      <c r="G46" s="27"/>
      <c r="H46" s="26"/>
      <c r="I46" s="26"/>
      <c r="J46" s="26"/>
      <c r="K46" s="26"/>
      <c r="L46" s="27"/>
      <c r="M46" s="27"/>
      <c r="N46" s="26"/>
      <c r="O46" s="26"/>
      <c r="P46" s="29" t="str">
        <f>IF(A46="","",IF(COUNTIF(EVALUACION!$A$7:$A$36,A46)=0,"✖ EvaluationID inexistente",IF(COUNTIFS(EVALUACION!$A$7:$A$36,A46,EVALUACION!$B$7:$B$36,B46)=0,"✖ EvaluationID de otro paciente",IF(AND(ISNUMBER(F46),ISNUMBER(G46),G46&lt;F46),"✖ Fecha término anterior","✔ Correcto"))))</f>
        <v/>
      </c>
    </row>
  </sheetData>
  <mergeCells count="3">
    <mergeCell ref="A1:P1"/>
    <mergeCell ref="A3:P3"/>
    <mergeCell ref="A5:P5"/>
  </mergeCells>
  <conditionalFormatting sqref="P7:P46">
    <cfRule type="expression" dxfId="45" priority="2">
      <formula>LEFT(P7,1)="✖"</formula>
    </cfRule>
    <cfRule type="expression" dxfId="44" priority="3">
      <formula>LEFT(P7,1)="▲"</formula>
    </cfRule>
    <cfRule type="expression" dxfId="43" priority="4">
      <formula>LEFT(P7,1)="✔"</formula>
    </cfRule>
  </conditionalFormatting>
  <dataValidations count="4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P7:P9" xr:uid="{00000000-0002-0000-0300-000000000000}">
      <formula1>0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C7:C46" xr:uid="{00000000-0002-0000-0300-000001000000}">
      <formula1>Lista_CategoriaAntecedente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K7:K46" xr:uid="{00000000-0002-0000-0300-000002000000}">
      <formula1>Lista_FuenteDato</formula1>
      <formula2>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F7:G46" xr:uid="{00000000-0002-0000-0300-000003000000}">
      <formula1>DATE(1900,1,1)</formula1>
      <formula2>TODAY()+3650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6"/>
  <sheetViews>
    <sheetView showGridLines="0" workbookViewId="0">
      <selection activeCell="F12" sqref="F12"/>
    </sheetView>
  </sheetViews>
  <sheetFormatPr baseColWidth="10" defaultColWidth="9" defaultRowHeight="15"/>
  <cols>
    <col min="1" max="2" width="14" style="15" customWidth="1"/>
    <col min="3" max="3" width="12" style="15" customWidth="1"/>
    <col min="4" max="4" width="10" style="15" customWidth="1"/>
    <col min="5" max="5" width="12" style="15" customWidth="1"/>
    <col min="6" max="6" width="10" style="15" customWidth="1"/>
    <col min="7" max="7" width="14" style="15" customWidth="1"/>
    <col min="8" max="9" width="15" style="15" customWidth="1"/>
    <col min="10" max="11" width="12" style="15" customWidth="1"/>
    <col min="12" max="12" width="16" style="15" customWidth="1"/>
    <col min="13" max="13" width="18" style="15" customWidth="1"/>
    <col min="14" max="16" width="11" style="15" customWidth="1"/>
    <col min="17" max="17" width="12" style="15" customWidth="1"/>
    <col min="18" max="18" width="10" style="15" customWidth="1"/>
    <col min="19" max="19" width="13" style="15" customWidth="1"/>
    <col min="20" max="20" width="16" style="15" customWidth="1"/>
    <col min="21" max="21" width="18" style="15" customWidth="1"/>
    <col min="22" max="22" width="14" style="15" customWidth="1"/>
    <col min="23" max="23" width="13" style="15" customWidth="1"/>
    <col min="24" max="24" width="16" style="15" customWidth="1"/>
    <col min="25" max="25" width="11" style="15" customWidth="1"/>
    <col min="26" max="26" width="10" style="15" customWidth="1"/>
    <col min="27" max="27" width="12" style="15" customWidth="1"/>
    <col min="28" max="28" width="16" style="15" customWidth="1"/>
    <col min="29" max="29" width="10" style="15" customWidth="1"/>
    <col min="30" max="30" width="16" style="15" customWidth="1"/>
    <col min="31" max="31" width="24" style="15" customWidth="1"/>
    <col min="32" max="33" width="18" style="15" customWidth="1"/>
    <col min="34" max="34" width="20" style="15" customWidth="1"/>
    <col min="35" max="35" width="36" style="15" customWidth="1"/>
    <col min="36" max="36" width="12" style="15" customWidth="1"/>
    <col min="37" max="37" width="18" style="15" customWidth="1"/>
    <col min="38" max="38" width="30" style="15" customWidth="1"/>
  </cols>
  <sheetData>
    <row r="1" spans="1:38" ht="27.75" customHeight="1">
      <c r="A1" s="14" t="s">
        <v>192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38" ht="30" customHeight="1">
      <c r="A3" s="13" t="s">
        <v>193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5" spans="1:38" ht="19.5" customHeight="1">
      <c r="A5" s="12" t="s">
        <v>194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ht="36" customHeight="1">
      <c r="A6" s="19" t="s">
        <v>128</v>
      </c>
      <c r="B6" s="19" t="s">
        <v>76</v>
      </c>
      <c r="C6" s="19" t="s">
        <v>129</v>
      </c>
      <c r="D6" s="19" t="s">
        <v>195</v>
      </c>
      <c r="E6" s="19" t="s">
        <v>196</v>
      </c>
      <c r="F6" s="19" t="s">
        <v>197</v>
      </c>
      <c r="G6" s="19" t="s">
        <v>198</v>
      </c>
      <c r="H6" s="19" t="s">
        <v>199</v>
      </c>
      <c r="I6" s="19" t="s">
        <v>200</v>
      </c>
      <c r="J6" s="19" t="s">
        <v>201</v>
      </c>
      <c r="K6" s="19" t="s">
        <v>202</v>
      </c>
      <c r="L6" s="19" t="s">
        <v>203</v>
      </c>
      <c r="M6" s="19" t="s">
        <v>204</v>
      </c>
      <c r="N6" s="19" t="s">
        <v>205</v>
      </c>
      <c r="O6" s="19" t="s">
        <v>206</v>
      </c>
      <c r="P6" s="19" t="s">
        <v>207</v>
      </c>
      <c r="Q6" s="19" t="s">
        <v>208</v>
      </c>
      <c r="R6" s="19" t="s">
        <v>209</v>
      </c>
      <c r="S6" s="19" t="s">
        <v>210</v>
      </c>
      <c r="T6" s="19" t="s">
        <v>211</v>
      </c>
      <c r="U6" s="19" t="s">
        <v>212</v>
      </c>
      <c r="V6" s="19" t="s">
        <v>213</v>
      </c>
      <c r="W6" s="19" t="s">
        <v>214</v>
      </c>
      <c r="X6" s="19" t="s">
        <v>215</v>
      </c>
      <c r="Y6" s="19" t="s">
        <v>216</v>
      </c>
      <c r="Z6" s="19" t="s">
        <v>217</v>
      </c>
      <c r="AA6" s="19" t="s">
        <v>218</v>
      </c>
      <c r="AB6" s="19" t="s">
        <v>219</v>
      </c>
      <c r="AC6" s="19" t="s">
        <v>220</v>
      </c>
      <c r="AD6" s="19" t="s">
        <v>221</v>
      </c>
      <c r="AE6" s="19" t="s">
        <v>222</v>
      </c>
      <c r="AF6" s="19" t="s">
        <v>223</v>
      </c>
      <c r="AG6" s="19" t="s">
        <v>135</v>
      </c>
      <c r="AH6" s="19" t="s">
        <v>97</v>
      </c>
      <c r="AI6" s="19" t="s">
        <v>98</v>
      </c>
      <c r="AJ6" s="19" t="s">
        <v>141</v>
      </c>
      <c r="AK6" s="19" t="s">
        <v>142</v>
      </c>
      <c r="AL6" s="19" t="s">
        <v>99</v>
      </c>
    </row>
    <row r="7" spans="1:38" ht="24" customHeight="1">
      <c r="A7" s="26" t="s">
        <v>143</v>
      </c>
      <c r="B7" s="26" t="s">
        <v>100</v>
      </c>
      <c r="C7" s="27">
        <v>46174</v>
      </c>
      <c r="D7" s="26">
        <v>70</v>
      </c>
      <c r="E7" s="26">
        <v>165</v>
      </c>
      <c r="F7" s="28">
        <f t="shared" ref="F7:F36" si="0">IF(AND(ISNUMBER(D7),ISNUMBER(E7),D7&gt;0,E7&gt;0),D7/((E7/100)^2),"")</f>
        <v>25.711662075298442</v>
      </c>
      <c r="G7" s="26">
        <v>72</v>
      </c>
      <c r="H7" s="26">
        <v>68</v>
      </c>
      <c r="I7" s="26">
        <v>75</v>
      </c>
      <c r="J7" s="28">
        <f t="shared" ref="J7:J36" si="1">IF(AND(ISNUMBER(D7),ISNUMBER(G7)),D7-G7,"")</f>
        <v>-2</v>
      </c>
      <c r="K7" s="28">
        <f t="shared" ref="K7:K36" si="2">IF(AND(ISNUMBER(D7),ISNUMBER(G7),G7&lt;&gt;0),(D7-G7)/G7,"")</f>
        <v>-2.7777777777777776E-2</v>
      </c>
      <c r="L7" s="26" t="s">
        <v>224</v>
      </c>
      <c r="M7" s="26" t="s">
        <v>225</v>
      </c>
      <c r="N7" s="26">
        <v>82</v>
      </c>
      <c r="O7" s="26">
        <v>98</v>
      </c>
      <c r="P7" s="26">
        <v>29</v>
      </c>
      <c r="Q7" s="26">
        <v>36</v>
      </c>
      <c r="R7" s="26">
        <v>30</v>
      </c>
      <c r="S7" s="28">
        <f>IF(CONFIG!$B$28="No","",IF(AND(ISNUMBER(D7),ISNUMBER(R7),R7&gt;=0,R7&lt;=100,U7&lt;&gt;""),D7*R7/100,""))</f>
        <v>21</v>
      </c>
      <c r="T7" s="28">
        <f>IF(CONFIG!$B$28="No","",IF(AND(ISNUMBER(D7),ISNUMBER(S7)),D7-S7,""))</f>
        <v>49</v>
      </c>
      <c r="U7" s="26" t="s">
        <v>226</v>
      </c>
      <c r="V7" s="28">
        <f t="shared" ref="V7:V36" si="3">IF(AND(ISNUMBER(N7),ISNUMBER(E7),E7&gt;0),N7/E7,"")</f>
        <v>0.49696969696969695</v>
      </c>
      <c r="W7" s="28">
        <f t="shared" ref="W7:W36" si="4">IF(AND(ISNUMBER(N7),ISNUMBER(O7),O7&gt;0),N7/O7,"")</f>
        <v>0.83673469387755106</v>
      </c>
      <c r="X7" s="26" t="s">
        <v>227</v>
      </c>
      <c r="Y7" s="26" t="s">
        <v>106</v>
      </c>
      <c r="Z7" s="26" t="s">
        <v>144</v>
      </c>
      <c r="AA7" s="26" t="s">
        <v>228</v>
      </c>
      <c r="AB7" s="26" t="s">
        <v>229</v>
      </c>
      <c r="AC7" s="26" t="s">
        <v>229</v>
      </c>
      <c r="AD7" s="26" t="s">
        <v>226</v>
      </c>
      <c r="AE7" s="26" t="s">
        <v>230</v>
      </c>
      <c r="AF7" s="26" t="s">
        <v>231</v>
      </c>
      <c r="AG7" s="26" t="s">
        <v>108</v>
      </c>
      <c r="AH7" s="26" t="s">
        <v>232</v>
      </c>
      <c r="AI7" s="26" t="s">
        <v>110</v>
      </c>
      <c r="AJ7" s="28">
        <f>IF(A7="","",COUNTIF($B$7:B7,B7))</f>
        <v>1</v>
      </c>
      <c r="AK7" s="28" t="str">
        <f t="shared" ref="AK7:AK36" si="5">IF(A7="","",B7&amp;"|"&amp;AJ7)</f>
        <v>P-FICT-A|1</v>
      </c>
      <c r="AL7" s="29" t="str">
        <f>IF(A7="","",IF(COUNTIFS(EVALUACION!$A$7:$A$3006,A7,EVALUACION!$B$7:$B$3006,B7)=0,"✖ Evaluación/paciente inconsistente",IF(OR(D7&lt;0,E7&lt;0,N7&lt;0,O7&lt;0),"✖ Valor negativo",IF(OR(AND(ISNUMBER(D7),OR(D7&lt;CONFIG!$B$38,D7&gt;CONFIG!$B$39)),AND(ISNUMBER(E7),OR(E7&lt;CONFIG!$B$40,E7&gt;CONFIG!$B$41))),"▲ Fuera de límite operativo",IF(AND(ISNUMBER(R7),OR(R7&lt;0,R7&gt;100)),"✖ % grasa fuera de 0–100",IF(AND(ISNUMBER(R7),U7=""),"▲ Falta fuente de % grasa",IF(E7="","▲ Estatura faltante",IF(AC7="Sí","▲ Edema registrado","✔ Correcto"))))))))</f>
        <v>✔ Correcto</v>
      </c>
    </row>
    <row r="8" spans="1:38" ht="24" customHeight="1">
      <c r="A8" s="26" t="s">
        <v>152</v>
      </c>
      <c r="B8" s="26" t="s">
        <v>111</v>
      </c>
      <c r="C8" s="27">
        <v>46143</v>
      </c>
      <c r="D8" s="26">
        <v>90</v>
      </c>
      <c r="E8" s="26">
        <v>180</v>
      </c>
      <c r="F8" s="28">
        <f t="shared" si="0"/>
        <v>27.777777777777775</v>
      </c>
      <c r="G8" s="26">
        <v>92</v>
      </c>
      <c r="H8" s="26">
        <v>88</v>
      </c>
      <c r="I8" s="26">
        <v>95</v>
      </c>
      <c r="J8" s="28">
        <f t="shared" si="1"/>
        <v>-2</v>
      </c>
      <c r="K8" s="28">
        <f t="shared" si="2"/>
        <v>-2.1739130434782608E-2</v>
      </c>
      <c r="L8" s="26" t="s">
        <v>233</v>
      </c>
      <c r="M8" s="26" t="s">
        <v>234</v>
      </c>
      <c r="N8" s="26">
        <v>100</v>
      </c>
      <c r="O8" s="26">
        <v>105</v>
      </c>
      <c r="P8" s="26">
        <v>33</v>
      </c>
      <c r="Q8" s="26">
        <v>40</v>
      </c>
      <c r="R8" s="26">
        <v>25</v>
      </c>
      <c r="S8" s="28">
        <f>IF(CONFIG!$B$28="No","",IF(AND(ISNUMBER(D8),ISNUMBER(R8),R8&gt;=0,R8&lt;=100,U8&lt;&gt;""),D8*R8/100,""))</f>
        <v>22.5</v>
      </c>
      <c r="T8" s="28">
        <f>IF(CONFIG!$B$28="No","",IF(AND(ISNUMBER(D8),ISNUMBER(S8)),D8-S8,""))</f>
        <v>67.5</v>
      </c>
      <c r="U8" s="26" t="s">
        <v>226</v>
      </c>
      <c r="V8" s="28">
        <f t="shared" si="3"/>
        <v>0.55555555555555558</v>
      </c>
      <c r="W8" s="28">
        <f t="shared" si="4"/>
        <v>0.95238095238095233</v>
      </c>
      <c r="X8" s="26" t="s">
        <v>227</v>
      </c>
      <c r="Y8" s="26" t="s">
        <v>106</v>
      </c>
      <c r="Z8" s="26" t="s">
        <v>153</v>
      </c>
      <c r="AA8" s="26" t="s">
        <v>228</v>
      </c>
      <c r="AB8" s="26" t="s">
        <v>229</v>
      </c>
      <c r="AC8" s="26" t="s">
        <v>229</v>
      </c>
      <c r="AD8" s="26" t="s">
        <v>226</v>
      </c>
      <c r="AE8" s="26" t="s">
        <v>230</v>
      </c>
      <c r="AF8" s="26" t="s">
        <v>231</v>
      </c>
      <c r="AG8" s="26" t="s">
        <v>108</v>
      </c>
      <c r="AH8" s="26" t="s">
        <v>232</v>
      </c>
      <c r="AI8" s="26" t="s">
        <v>110</v>
      </c>
      <c r="AJ8" s="28">
        <f>IF(A8="","",COUNTIF($B$7:B8,B8))</f>
        <v>1</v>
      </c>
      <c r="AK8" s="28" t="str">
        <f t="shared" si="5"/>
        <v>P-FICT-B|1</v>
      </c>
      <c r="AL8" s="29" t="str">
        <f>IF(A8="","",IF(COUNTIFS(EVALUACION!$A$7:$A$3006,A8,EVALUACION!$B$7:$B$3006,B8)=0,"✖ Evaluación/paciente inconsistente",IF(OR(D8&lt;0,E8&lt;0,N8&lt;0,O8&lt;0),"✖ Valor negativo",IF(OR(AND(ISNUMBER(D8),OR(D8&lt;CONFIG!$B$38,D8&gt;CONFIG!$B$39)),AND(ISNUMBER(E8),OR(E8&lt;CONFIG!$B$40,E8&gt;CONFIG!$B$41))),"▲ Fuera de límite operativo",IF(AND(ISNUMBER(R8),OR(R8&lt;0,R8&gt;100)),"✖ % grasa fuera de 0–100",IF(AND(ISNUMBER(R8),U8=""),"▲ Falta fuente de % grasa",IF(E8="","▲ Estatura faltante",IF(AC8="Sí","▲ Edema registrado","✔ Correcto"))))))))</f>
        <v>✔ Correcto</v>
      </c>
    </row>
    <row r="9" spans="1:38" ht="24" customHeight="1">
      <c r="A9" s="26" t="s">
        <v>154</v>
      </c>
      <c r="B9" s="26" t="s">
        <v>111</v>
      </c>
      <c r="C9" s="27">
        <v>46204</v>
      </c>
      <c r="D9" s="26">
        <v>87</v>
      </c>
      <c r="E9" s="26">
        <v>180</v>
      </c>
      <c r="F9" s="28">
        <f t="shared" si="0"/>
        <v>26.851851851851851</v>
      </c>
      <c r="G9" s="26">
        <v>92</v>
      </c>
      <c r="H9" s="26">
        <v>87</v>
      </c>
      <c r="I9" s="26">
        <v>95</v>
      </c>
      <c r="J9" s="28">
        <f t="shared" si="1"/>
        <v>-5</v>
      </c>
      <c r="K9" s="28">
        <f t="shared" si="2"/>
        <v>-5.434782608695652E-2</v>
      </c>
      <c r="L9" s="26" t="s">
        <v>233</v>
      </c>
      <c r="M9" s="26" t="s">
        <v>235</v>
      </c>
      <c r="N9" s="26">
        <v>96</v>
      </c>
      <c r="O9" s="26">
        <v>103</v>
      </c>
      <c r="P9" s="26">
        <v>32</v>
      </c>
      <c r="Q9" s="26">
        <v>39</v>
      </c>
      <c r="R9" s="26">
        <v>24</v>
      </c>
      <c r="S9" s="28">
        <f>IF(CONFIG!$B$28="No","",IF(AND(ISNUMBER(D9),ISNUMBER(R9),R9&gt;=0,R9&lt;=100,U9&lt;&gt;""),D9*R9/100,""))</f>
        <v>20.88</v>
      </c>
      <c r="T9" s="28">
        <f>IF(CONFIG!$B$28="No","",IF(AND(ISNUMBER(D9),ISNUMBER(S9)),D9-S9,""))</f>
        <v>66.12</v>
      </c>
      <c r="U9" s="26" t="s">
        <v>226</v>
      </c>
      <c r="V9" s="28">
        <f t="shared" si="3"/>
        <v>0.53333333333333333</v>
      </c>
      <c r="W9" s="28">
        <f t="shared" si="4"/>
        <v>0.93203883495145634</v>
      </c>
      <c r="X9" s="26" t="s">
        <v>227</v>
      </c>
      <c r="Y9" s="26" t="s">
        <v>106</v>
      </c>
      <c r="Z9" s="26" t="s">
        <v>155</v>
      </c>
      <c r="AA9" s="26" t="s">
        <v>228</v>
      </c>
      <c r="AB9" s="26" t="s">
        <v>229</v>
      </c>
      <c r="AC9" s="26" t="s">
        <v>229</v>
      </c>
      <c r="AD9" s="26" t="s">
        <v>226</v>
      </c>
      <c r="AE9" s="26" t="s">
        <v>230</v>
      </c>
      <c r="AF9" s="26" t="s">
        <v>231</v>
      </c>
      <c r="AG9" s="26" t="s">
        <v>108</v>
      </c>
      <c r="AH9" s="26" t="s">
        <v>232</v>
      </c>
      <c r="AI9" s="26" t="s">
        <v>110</v>
      </c>
      <c r="AJ9" s="28">
        <f>IF(A9="","",COUNTIF($B$7:B9,B9))</f>
        <v>2</v>
      </c>
      <c r="AK9" s="28" t="str">
        <f t="shared" si="5"/>
        <v>P-FICT-B|2</v>
      </c>
      <c r="AL9" s="29" t="str">
        <f>IF(A9="","",IF(COUNTIFS(EVALUACION!$A$7:$A$3006,A9,EVALUACION!$B$7:$B$3006,B9)=0,"✖ Evaluación/paciente inconsistente",IF(OR(D9&lt;0,E9&lt;0,N9&lt;0,O9&lt;0),"✖ Valor negativo",IF(OR(AND(ISNUMBER(D9),OR(D9&lt;CONFIG!$B$38,D9&gt;CONFIG!$B$39)),AND(ISNUMBER(E9),OR(E9&lt;CONFIG!$B$40,E9&gt;CONFIG!$B$41))),"▲ Fuera de límite operativo",IF(AND(ISNUMBER(R9),OR(R9&lt;0,R9&gt;100)),"✖ % grasa fuera de 0–100",IF(AND(ISNUMBER(R9),U9=""),"▲ Falta fuente de % grasa",IF(E9="","▲ Estatura faltante",IF(AC9="Sí","▲ Edema registrado","✔ Correcto"))))))))</f>
        <v>✔ Correcto</v>
      </c>
    </row>
    <row r="10" spans="1:38" ht="24" customHeight="1">
      <c r="A10" s="26" t="s">
        <v>159</v>
      </c>
      <c r="B10" s="26" t="s">
        <v>114</v>
      </c>
      <c r="C10" s="27">
        <v>46205</v>
      </c>
      <c r="D10" s="26">
        <v>65</v>
      </c>
      <c r="E10" s="26"/>
      <c r="F10" s="28" t="str">
        <f t="shared" si="0"/>
        <v/>
      </c>
      <c r="G10" s="26">
        <v>65</v>
      </c>
      <c r="H10" s="26">
        <v>64</v>
      </c>
      <c r="I10" s="26">
        <v>66</v>
      </c>
      <c r="J10" s="28">
        <f t="shared" si="1"/>
        <v>0</v>
      </c>
      <c r="K10" s="28">
        <f t="shared" si="2"/>
        <v>0</v>
      </c>
      <c r="L10" s="26"/>
      <c r="M10" s="26" t="s">
        <v>116</v>
      </c>
      <c r="N10" s="26"/>
      <c r="O10" s="26"/>
      <c r="P10" s="26"/>
      <c r="Q10" s="26"/>
      <c r="R10" s="26"/>
      <c r="S10" s="28" t="str">
        <f>IF(CONFIG!$B$28="No","",IF(AND(ISNUMBER(D10),ISNUMBER(R10),R10&gt;=0,R10&lt;=100,U10&lt;&gt;""),D10*R10/100,""))</f>
        <v/>
      </c>
      <c r="T10" s="28" t="str">
        <f>IF(CONFIG!$B$28="No","",IF(AND(ISNUMBER(D10),ISNUMBER(S10)),D10-S10,""))</f>
        <v/>
      </c>
      <c r="U10" s="26"/>
      <c r="V10" s="28" t="str">
        <f t="shared" si="3"/>
        <v/>
      </c>
      <c r="W10" s="28" t="str">
        <f t="shared" si="4"/>
        <v/>
      </c>
      <c r="X10" s="26" t="s">
        <v>117</v>
      </c>
      <c r="Y10" s="26" t="s">
        <v>116</v>
      </c>
      <c r="Z10" s="26" t="s">
        <v>160</v>
      </c>
      <c r="AA10" s="26"/>
      <c r="AB10" s="26" t="s">
        <v>116</v>
      </c>
      <c r="AC10" s="26" t="s">
        <v>116</v>
      </c>
      <c r="AD10" s="26"/>
      <c r="AE10" s="26" t="s">
        <v>236</v>
      </c>
      <c r="AF10" s="26"/>
      <c r="AG10" s="26" t="s">
        <v>108</v>
      </c>
      <c r="AH10" s="26" t="s">
        <v>118</v>
      </c>
      <c r="AI10" s="26" t="s">
        <v>110</v>
      </c>
      <c r="AJ10" s="28">
        <f>IF(A10="","",COUNTIF($B$7:B10,B10))</f>
        <v>1</v>
      </c>
      <c r="AK10" s="28" t="str">
        <f t="shared" si="5"/>
        <v>P-FICT-C|1</v>
      </c>
      <c r="AL10" s="29" t="str">
        <f>IF(A10="","",IF(COUNTIFS(EVALUACION!$A$7:$A$3006,A10,EVALUACION!$B$7:$B$3006,B10)=0,"✖ Evaluación/paciente inconsistente",IF(OR(D10&lt;0,E10&lt;0,N10&lt;0,O10&lt;0),"✖ Valor negativo",IF(OR(AND(ISNUMBER(D10),OR(D10&lt;CONFIG!$B$38,D10&gt;CONFIG!$B$39)),AND(ISNUMBER(E10),OR(E10&lt;CONFIG!$B$40,E10&gt;CONFIG!$B$41))),"▲ Fuera de límite operativo",IF(AND(ISNUMBER(R10),OR(R10&lt;0,R10&gt;100)),"✖ % grasa fuera de 0–100",IF(AND(ISNUMBER(R10),U10=""),"▲ Falta fuente de % grasa",IF(E10="","▲ Estatura faltante",IF(AC10="Sí","▲ Edema registrado","✔ Correcto"))))))))</f>
        <v>▲ Estatura faltante</v>
      </c>
    </row>
    <row r="11" spans="1:38" ht="24" customHeight="1">
      <c r="A11" s="26" t="s">
        <v>165</v>
      </c>
      <c r="B11" s="26" t="s">
        <v>119</v>
      </c>
      <c r="C11" s="27">
        <v>46183</v>
      </c>
      <c r="D11" s="26">
        <v>78</v>
      </c>
      <c r="E11" s="26">
        <v>168</v>
      </c>
      <c r="F11" s="28">
        <f t="shared" si="0"/>
        <v>27.636054421768712</v>
      </c>
      <c r="G11" s="26">
        <v>80</v>
      </c>
      <c r="H11" s="26">
        <v>76</v>
      </c>
      <c r="I11" s="26">
        <v>83</v>
      </c>
      <c r="J11" s="28">
        <f t="shared" si="1"/>
        <v>-2</v>
      </c>
      <c r="K11" s="28">
        <f t="shared" si="2"/>
        <v>-2.5000000000000001E-2</v>
      </c>
      <c r="L11" s="26" t="s">
        <v>237</v>
      </c>
      <c r="M11" s="26" t="s">
        <v>116</v>
      </c>
      <c r="N11" s="26">
        <v>94</v>
      </c>
      <c r="O11" s="26">
        <v>104</v>
      </c>
      <c r="P11" s="26">
        <v>31</v>
      </c>
      <c r="Q11" s="26">
        <v>38</v>
      </c>
      <c r="R11" s="26"/>
      <c r="S11" s="28" t="str">
        <f>IF(CONFIG!$B$28="No","",IF(AND(ISNUMBER(D11),ISNUMBER(R11),R11&gt;=0,R11&lt;=100,U11&lt;&gt;""),D11*R11/100,""))</f>
        <v/>
      </c>
      <c r="T11" s="28" t="str">
        <f>IF(CONFIG!$B$28="No","",IF(AND(ISNUMBER(D11),ISNUMBER(S11)),D11-S11,""))</f>
        <v/>
      </c>
      <c r="U11" s="26"/>
      <c r="V11" s="28">
        <f t="shared" si="3"/>
        <v>0.55952380952380953</v>
      </c>
      <c r="W11" s="28">
        <f t="shared" si="4"/>
        <v>0.90384615384615385</v>
      </c>
      <c r="X11" s="26" t="s">
        <v>227</v>
      </c>
      <c r="Y11" s="26" t="s">
        <v>116</v>
      </c>
      <c r="Z11" s="26" t="s">
        <v>166</v>
      </c>
      <c r="AA11" s="26" t="s">
        <v>228</v>
      </c>
      <c r="AB11" s="26" t="s">
        <v>106</v>
      </c>
      <c r="AC11" s="26" t="s">
        <v>106</v>
      </c>
      <c r="AD11" s="26" t="s">
        <v>238</v>
      </c>
      <c r="AE11" s="26" t="s">
        <v>239</v>
      </c>
      <c r="AF11" s="26" t="s">
        <v>231</v>
      </c>
      <c r="AG11" s="26" t="s">
        <v>108</v>
      </c>
      <c r="AH11" s="26" t="s">
        <v>232</v>
      </c>
      <c r="AI11" s="26" t="s">
        <v>110</v>
      </c>
      <c r="AJ11" s="28">
        <f>IF(A11="","",COUNTIF($B$7:B11,B11))</f>
        <v>1</v>
      </c>
      <c r="AK11" s="28" t="str">
        <f t="shared" si="5"/>
        <v>P-FICT-D|1</v>
      </c>
      <c r="AL11" s="29" t="str">
        <f>IF(A11="","",IF(COUNTIFS(EVALUACION!$A$7:$A$3006,A11,EVALUACION!$B$7:$B$3006,B11)=0,"✖ Evaluación/paciente inconsistente",IF(OR(D11&lt;0,E11&lt;0,N11&lt;0,O11&lt;0),"✖ Valor negativo",IF(OR(AND(ISNUMBER(D11),OR(D11&lt;CONFIG!$B$38,D11&gt;CONFIG!$B$39)),AND(ISNUMBER(E11),OR(E11&lt;CONFIG!$B$40,E11&gt;CONFIG!$B$41))),"▲ Fuera de límite operativo",IF(AND(ISNUMBER(R11),OR(R11&lt;0,R11&gt;100)),"✖ % grasa fuera de 0–100",IF(AND(ISNUMBER(R11),U11=""),"▲ Falta fuente de % grasa",IF(E11="","▲ Estatura faltante",IF(AC11="Sí","▲ Edema registrado","✔ Correcto"))))))))</f>
        <v>▲ Edema registrado</v>
      </c>
    </row>
    <row r="12" spans="1:38" ht="24" customHeight="1">
      <c r="A12" s="26" t="s">
        <v>169</v>
      </c>
      <c r="B12" s="26" t="s">
        <v>121</v>
      </c>
      <c r="C12" s="27">
        <v>46208</v>
      </c>
      <c r="D12" s="26">
        <v>82</v>
      </c>
      <c r="E12" s="26">
        <v>175</v>
      </c>
      <c r="F12" s="28">
        <f t="shared" si="0"/>
        <v>26.775510204081634</v>
      </c>
      <c r="G12" s="26">
        <v>83</v>
      </c>
      <c r="H12" s="26">
        <v>80</v>
      </c>
      <c r="I12" s="26">
        <v>85</v>
      </c>
      <c r="J12" s="28">
        <f t="shared" si="1"/>
        <v>-1</v>
      </c>
      <c r="K12" s="28">
        <f t="shared" si="2"/>
        <v>-1.2048192771084338E-2</v>
      </c>
      <c r="L12" s="26" t="s">
        <v>237</v>
      </c>
      <c r="M12" s="26" t="s">
        <v>116</v>
      </c>
      <c r="N12" s="26">
        <v>90</v>
      </c>
      <c r="O12" s="26">
        <v>100</v>
      </c>
      <c r="P12" s="26">
        <v>32</v>
      </c>
      <c r="Q12" s="26">
        <v>39</v>
      </c>
      <c r="R12" s="26">
        <v>22</v>
      </c>
      <c r="S12" s="28">
        <f>IF(CONFIG!$B$28="No","",IF(AND(ISNUMBER(D12),ISNUMBER(R12),R12&gt;=0,R12&lt;=100,U12&lt;&gt;""),D12*R12/100,""))</f>
        <v>18.04</v>
      </c>
      <c r="T12" s="28">
        <f>IF(CONFIG!$B$28="No","",IF(AND(ISNUMBER(D12),ISNUMBER(S12)),D12-S12,""))</f>
        <v>63.96</v>
      </c>
      <c r="U12" s="26" t="s">
        <v>240</v>
      </c>
      <c r="V12" s="28">
        <f t="shared" si="3"/>
        <v>0.51428571428571423</v>
      </c>
      <c r="W12" s="28">
        <f t="shared" si="4"/>
        <v>0.9</v>
      </c>
      <c r="X12" s="26" t="s">
        <v>227</v>
      </c>
      <c r="Y12" s="26" t="s">
        <v>229</v>
      </c>
      <c r="Z12" s="26" t="s">
        <v>170</v>
      </c>
      <c r="AA12" s="26" t="s">
        <v>228</v>
      </c>
      <c r="AB12" s="26" t="s">
        <v>229</v>
      </c>
      <c r="AC12" s="26" t="s">
        <v>229</v>
      </c>
      <c r="AD12" s="26" t="s">
        <v>241</v>
      </c>
      <c r="AE12" s="26" t="s">
        <v>230</v>
      </c>
      <c r="AF12" s="26" t="s">
        <v>231</v>
      </c>
      <c r="AG12" s="26" t="s">
        <v>108</v>
      </c>
      <c r="AH12" s="26" t="s">
        <v>232</v>
      </c>
      <c r="AI12" s="26" t="s">
        <v>110</v>
      </c>
      <c r="AJ12" s="28">
        <f>IF(A12="","",COUNTIF($B$7:B12,B12))</f>
        <v>1</v>
      </c>
      <c r="AK12" s="28" t="str">
        <f t="shared" si="5"/>
        <v>P-FICT-E|1</v>
      </c>
      <c r="AL12" s="29" t="str">
        <f>IF(A12="","",IF(COUNTIFS(EVALUACION!$A$7:$A$3006,A12,EVALUACION!$B$7:$B$3006,B12)=0,"✖ Evaluación/paciente inconsistente",IF(OR(D12&lt;0,E12&lt;0,N12&lt;0,O12&lt;0),"✖ Valor negativo",IF(OR(AND(ISNUMBER(D12),OR(D12&lt;CONFIG!$B$38,D12&gt;CONFIG!$B$39)),AND(ISNUMBER(E12),OR(E12&lt;CONFIG!$B$40,E12&gt;CONFIG!$B$41))),"▲ Fuera de límite operativo",IF(AND(ISNUMBER(R12),OR(R12&lt;0,R12&gt;100)),"✖ % grasa fuera de 0–100",IF(AND(ISNUMBER(R12),U12=""),"▲ Falta fuente de % grasa",IF(E12="","▲ Estatura faltante",IF(AC12="Sí","▲ Edema registrado","✔ Correcto"))))))))</f>
        <v>✔ Correcto</v>
      </c>
    </row>
    <row r="13" spans="1:38" ht="14.25" customHeight="1">
      <c r="A13" s="26"/>
      <c r="B13" s="26"/>
      <c r="C13" s="27"/>
      <c r="D13" s="26"/>
      <c r="E13" s="26"/>
      <c r="F13" s="29" t="str">
        <f t="shared" si="0"/>
        <v/>
      </c>
      <c r="G13" s="26"/>
      <c r="H13" s="26"/>
      <c r="I13" s="26"/>
      <c r="J13" s="29" t="str">
        <f t="shared" si="1"/>
        <v/>
      </c>
      <c r="K13" s="29" t="str">
        <f t="shared" si="2"/>
        <v/>
      </c>
      <c r="L13" s="26"/>
      <c r="M13" s="26"/>
      <c r="N13" s="26"/>
      <c r="O13" s="26"/>
      <c r="P13" s="26"/>
      <c r="Q13" s="26"/>
      <c r="R13" s="26"/>
      <c r="S13" s="29" t="str">
        <f>IF(CONFIG!$B$28="No","",IF(AND(ISNUMBER(D13),ISNUMBER(R13),R13&gt;=0,R13&lt;=100,U13&lt;&gt;""),D13*R13/100,""))</f>
        <v/>
      </c>
      <c r="T13" s="29" t="str">
        <f>IF(CONFIG!$B$28="No","",IF(AND(ISNUMBER(D13),ISNUMBER(S13)),D13-S13,""))</f>
        <v/>
      </c>
      <c r="U13" s="26"/>
      <c r="V13" s="29" t="str">
        <f t="shared" si="3"/>
        <v/>
      </c>
      <c r="W13" s="29" t="str">
        <f t="shared" si="4"/>
        <v/>
      </c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9" t="str">
        <f>IF(A13="","",COUNTIF($B$7:B13,B13))</f>
        <v/>
      </c>
      <c r="AK13" s="29" t="str">
        <f t="shared" si="5"/>
        <v/>
      </c>
      <c r="AL13" s="29" t="str">
        <f>IF(A13="","",IF(COUNTIFS(EVALUACION!$A$7:$A$36,A13,EVALUACION!$B$7:$B$36,B13)=0,"✖ Evaluación/paciente inconsistente",IF(OR(D13&lt;0,E13&lt;0,N13&lt;0,O13&lt;0),"✖ Valor negativo",IF(OR(AND(ISNUMBER(D13),OR(D13&lt;CONFIG!$B$38,D13&gt;CONFIG!$B$39)),AND(ISNUMBER(E13),OR(E13&lt;CONFIG!$B$40,E13&gt;CONFIG!$B$41))),"▲ Fuera de límite operativo",IF(AND(ISNUMBER(R13),OR(R13&lt;0,R13&gt;100)),"✖ % grasa fuera de 0–100",IF(AND(ISNUMBER(R13),U13=""),"▲ Falta fuente de % grasa",IF(E13="","▲ Estatura faltante",IF(AC13="Sí","▲ Edema registrado","✔ Correcto"))))))))</f>
        <v/>
      </c>
    </row>
    <row r="14" spans="1:38" ht="14.25" customHeight="1">
      <c r="A14" s="26"/>
      <c r="B14" s="26"/>
      <c r="C14" s="27"/>
      <c r="D14" s="26"/>
      <c r="E14" s="26"/>
      <c r="F14" s="29" t="str">
        <f t="shared" si="0"/>
        <v/>
      </c>
      <c r="G14" s="26"/>
      <c r="H14" s="26"/>
      <c r="I14" s="26"/>
      <c r="J14" s="29" t="str">
        <f t="shared" si="1"/>
        <v/>
      </c>
      <c r="K14" s="29" t="str">
        <f t="shared" si="2"/>
        <v/>
      </c>
      <c r="L14" s="26"/>
      <c r="M14" s="26"/>
      <c r="N14" s="26"/>
      <c r="O14" s="26"/>
      <c r="P14" s="26"/>
      <c r="Q14" s="26"/>
      <c r="R14" s="26"/>
      <c r="S14" s="29" t="str">
        <f>IF(CONFIG!$B$28="No","",IF(AND(ISNUMBER(D14),ISNUMBER(R14),R14&gt;=0,R14&lt;=100,U14&lt;&gt;""),D14*R14/100,""))</f>
        <v/>
      </c>
      <c r="T14" s="29" t="str">
        <f>IF(CONFIG!$B$28="No","",IF(AND(ISNUMBER(D14),ISNUMBER(S14)),D14-S14,""))</f>
        <v/>
      </c>
      <c r="U14" s="26"/>
      <c r="V14" s="29" t="str">
        <f t="shared" si="3"/>
        <v/>
      </c>
      <c r="W14" s="29" t="str">
        <f t="shared" si="4"/>
        <v/>
      </c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9" t="str">
        <f>IF(A14="","",COUNTIF($B$7:B14,B14))</f>
        <v/>
      </c>
      <c r="AK14" s="29" t="str">
        <f t="shared" si="5"/>
        <v/>
      </c>
      <c r="AL14" s="29" t="str">
        <f>IF(A14="","",IF(COUNTIFS(EVALUACION!$A$7:$A$36,A14,EVALUACION!$B$7:$B$36,B14)=0,"✖ Evaluación/paciente inconsistente",IF(OR(D14&lt;0,E14&lt;0,N14&lt;0,O14&lt;0),"✖ Valor negativo",IF(OR(AND(ISNUMBER(D14),OR(D14&lt;CONFIG!$B$38,D14&gt;CONFIG!$B$39)),AND(ISNUMBER(E14),OR(E14&lt;CONFIG!$B$40,E14&gt;CONFIG!$B$41))),"▲ Fuera de límite operativo",IF(AND(ISNUMBER(R14),OR(R14&lt;0,R14&gt;100)),"✖ % grasa fuera de 0–100",IF(AND(ISNUMBER(R14),U14=""),"▲ Falta fuente de % grasa",IF(E14="","▲ Estatura faltante",IF(AC14="Sí","▲ Edema registrado","✔ Correcto"))))))))</f>
        <v/>
      </c>
    </row>
    <row r="15" spans="1:38" ht="14.25" customHeight="1">
      <c r="A15" s="26"/>
      <c r="B15" s="26"/>
      <c r="C15" s="27"/>
      <c r="D15" s="26"/>
      <c r="E15" s="26"/>
      <c r="F15" s="29" t="str">
        <f t="shared" si="0"/>
        <v/>
      </c>
      <c r="G15" s="26"/>
      <c r="H15" s="26"/>
      <c r="I15" s="26"/>
      <c r="J15" s="29" t="str">
        <f t="shared" si="1"/>
        <v/>
      </c>
      <c r="K15" s="29" t="str">
        <f t="shared" si="2"/>
        <v/>
      </c>
      <c r="L15" s="26"/>
      <c r="M15" s="26"/>
      <c r="N15" s="26"/>
      <c r="O15" s="26"/>
      <c r="P15" s="26"/>
      <c r="Q15" s="26"/>
      <c r="R15" s="26"/>
      <c r="S15" s="29" t="str">
        <f>IF(CONFIG!$B$28="No","",IF(AND(ISNUMBER(D15),ISNUMBER(R15),R15&gt;=0,R15&lt;=100,U15&lt;&gt;""),D15*R15/100,""))</f>
        <v/>
      </c>
      <c r="T15" s="29" t="str">
        <f>IF(CONFIG!$B$28="No","",IF(AND(ISNUMBER(D15),ISNUMBER(S15)),D15-S15,""))</f>
        <v/>
      </c>
      <c r="U15" s="26"/>
      <c r="V15" s="29" t="str">
        <f t="shared" si="3"/>
        <v/>
      </c>
      <c r="W15" s="29" t="str">
        <f t="shared" si="4"/>
        <v/>
      </c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9" t="str">
        <f>IF(A15="","",COUNTIF($B$7:B15,B15))</f>
        <v/>
      </c>
      <c r="AK15" s="29" t="str">
        <f t="shared" si="5"/>
        <v/>
      </c>
      <c r="AL15" s="29" t="str">
        <f>IF(A15="","",IF(COUNTIFS(EVALUACION!$A$7:$A$36,A15,EVALUACION!$B$7:$B$36,B15)=0,"✖ Evaluación/paciente inconsistente",IF(OR(D15&lt;0,E15&lt;0,N15&lt;0,O15&lt;0),"✖ Valor negativo",IF(OR(AND(ISNUMBER(D15),OR(D15&lt;CONFIG!$B$38,D15&gt;CONFIG!$B$39)),AND(ISNUMBER(E15),OR(E15&lt;CONFIG!$B$40,E15&gt;CONFIG!$B$41))),"▲ Fuera de límite operativo",IF(AND(ISNUMBER(R15),OR(R15&lt;0,R15&gt;100)),"✖ % grasa fuera de 0–100",IF(AND(ISNUMBER(R15),U15=""),"▲ Falta fuente de % grasa",IF(E15="","▲ Estatura faltante",IF(AC15="Sí","▲ Edema registrado","✔ Correcto"))))))))</f>
        <v/>
      </c>
    </row>
    <row r="16" spans="1:38" ht="14.25" customHeight="1">
      <c r="A16" s="26"/>
      <c r="B16" s="26"/>
      <c r="C16" s="27"/>
      <c r="D16" s="26"/>
      <c r="E16" s="26"/>
      <c r="F16" s="29" t="str">
        <f t="shared" si="0"/>
        <v/>
      </c>
      <c r="G16" s="26"/>
      <c r="H16" s="26"/>
      <c r="I16" s="26"/>
      <c r="J16" s="29" t="str">
        <f t="shared" si="1"/>
        <v/>
      </c>
      <c r="K16" s="29" t="str">
        <f t="shared" si="2"/>
        <v/>
      </c>
      <c r="L16" s="26"/>
      <c r="M16" s="26"/>
      <c r="N16" s="26"/>
      <c r="O16" s="26"/>
      <c r="P16" s="26"/>
      <c r="Q16" s="26"/>
      <c r="R16" s="26"/>
      <c r="S16" s="29" t="str">
        <f>IF(CONFIG!$B$28="No","",IF(AND(ISNUMBER(D16),ISNUMBER(R16),R16&gt;=0,R16&lt;=100,U16&lt;&gt;""),D16*R16/100,""))</f>
        <v/>
      </c>
      <c r="T16" s="29" t="str">
        <f>IF(CONFIG!$B$28="No","",IF(AND(ISNUMBER(D16),ISNUMBER(S16)),D16-S16,""))</f>
        <v/>
      </c>
      <c r="U16" s="26"/>
      <c r="V16" s="29" t="str">
        <f t="shared" si="3"/>
        <v/>
      </c>
      <c r="W16" s="29" t="str">
        <f t="shared" si="4"/>
        <v/>
      </c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9" t="str">
        <f>IF(A16="","",COUNTIF($B$7:B16,B16))</f>
        <v/>
      </c>
      <c r="AK16" s="29" t="str">
        <f t="shared" si="5"/>
        <v/>
      </c>
      <c r="AL16" s="29" t="str">
        <f>IF(A16="","",IF(COUNTIFS(EVALUACION!$A$7:$A$36,A16,EVALUACION!$B$7:$B$36,B16)=0,"✖ Evaluación/paciente inconsistente",IF(OR(D16&lt;0,E16&lt;0,N16&lt;0,O16&lt;0),"✖ Valor negativo",IF(OR(AND(ISNUMBER(D16),OR(D16&lt;CONFIG!$B$38,D16&gt;CONFIG!$B$39)),AND(ISNUMBER(E16),OR(E16&lt;CONFIG!$B$40,E16&gt;CONFIG!$B$41))),"▲ Fuera de límite operativo",IF(AND(ISNUMBER(R16),OR(R16&lt;0,R16&gt;100)),"✖ % grasa fuera de 0–100",IF(AND(ISNUMBER(R16),U16=""),"▲ Falta fuente de % grasa",IF(E16="","▲ Estatura faltante",IF(AC16="Sí","▲ Edema registrado","✔ Correcto"))))))))</f>
        <v/>
      </c>
    </row>
    <row r="17" spans="1:38" ht="14.25" customHeight="1">
      <c r="A17" s="26"/>
      <c r="B17" s="26"/>
      <c r="C17" s="27"/>
      <c r="D17" s="26"/>
      <c r="E17" s="26"/>
      <c r="F17" s="29" t="str">
        <f t="shared" si="0"/>
        <v/>
      </c>
      <c r="G17" s="26"/>
      <c r="H17" s="26"/>
      <c r="I17" s="26"/>
      <c r="J17" s="29" t="str">
        <f t="shared" si="1"/>
        <v/>
      </c>
      <c r="K17" s="29" t="str">
        <f t="shared" si="2"/>
        <v/>
      </c>
      <c r="L17" s="26"/>
      <c r="M17" s="26"/>
      <c r="N17" s="26"/>
      <c r="O17" s="26"/>
      <c r="P17" s="26"/>
      <c r="Q17" s="26"/>
      <c r="R17" s="26"/>
      <c r="S17" s="29" t="str">
        <f>IF(CONFIG!$B$28="No","",IF(AND(ISNUMBER(D17),ISNUMBER(R17),R17&gt;=0,R17&lt;=100,U17&lt;&gt;""),D17*R17/100,""))</f>
        <v/>
      </c>
      <c r="T17" s="29" t="str">
        <f>IF(CONFIG!$B$28="No","",IF(AND(ISNUMBER(D17),ISNUMBER(S17)),D17-S17,""))</f>
        <v/>
      </c>
      <c r="U17" s="26"/>
      <c r="V17" s="29" t="str">
        <f t="shared" si="3"/>
        <v/>
      </c>
      <c r="W17" s="29" t="str">
        <f t="shared" si="4"/>
        <v/>
      </c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9" t="str">
        <f>IF(A17="","",COUNTIF($B$7:B17,B17))</f>
        <v/>
      </c>
      <c r="AK17" s="29" t="str">
        <f t="shared" si="5"/>
        <v/>
      </c>
      <c r="AL17" s="29" t="str">
        <f>IF(A17="","",IF(COUNTIFS(EVALUACION!$A$7:$A$36,A17,EVALUACION!$B$7:$B$36,B17)=0,"✖ Evaluación/paciente inconsistente",IF(OR(D17&lt;0,E17&lt;0,N17&lt;0,O17&lt;0),"✖ Valor negativo",IF(OR(AND(ISNUMBER(D17),OR(D17&lt;CONFIG!$B$38,D17&gt;CONFIG!$B$39)),AND(ISNUMBER(E17),OR(E17&lt;CONFIG!$B$40,E17&gt;CONFIG!$B$41))),"▲ Fuera de límite operativo",IF(AND(ISNUMBER(R17),OR(R17&lt;0,R17&gt;100)),"✖ % grasa fuera de 0–100",IF(AND(ISNUMBER(R17),U17=""),"▲ Falta fuente de % grasa",IF(E17="","▲ Estatura faltante",IF(AC17="Sí","▲ Edema registrado","✔ Correcto"))))))))</f>
        <v/>
      </c>
    </row>
    <row r="18" spans="1:38" ht="14.25" customHeight="1">
      <c r="A18" s="26"/>
      <c r="B18" s="26"/>
      <c r="C18" s="27"/>
      <c r="D18" s="26"/>
      <c r="E18" s="26"/>
      <c r="F18" s="29" t="str">
        <f t="shared" si="0"/>
        <v/>
      </c>
      <c r="G18" s="26"/>
      <c r="H18" s="26"/>
      <c r="I18" s="26"/>
      <c r="J18" s="29" t="str">
        <f t="shared" si="1"/>
        <v/>
      </c>
      <c r="K18" s="29" t="str">
        <f t="shared" si="2"/>
        <v/>
      </c>
      <c r="L18" s="26"/>
      <c r="M18" s="26"/>
      <c r="N18" s="26"/>
      <c r="O18" s="26"/>
      <c r="P18" s="26"/>
      <c r="Q18" s="26"/>
      <c r="R18" s="26"/>
      <c r="S18" s="29" t="str">
        <f>IF(CONFIG!$B$28="No","",IF(AND(ISNUMBER(D18),ISNUMBER(R18),R18&gt;=0,R18&lt;=100,U18&lt;&gt;""),D18*R18/100,""))</f>
        <v/>
      </c>
      <c r="T18" s="29" t="str">
        <f>IF(CONFIG!$B$28="No","",IF(AND(ISNUMBER(D18),ISNUMBER(S18)),D18-S18,""))</f>
        <v/>
      </c>
      <c r="U18" s="26"/>
      <c r="V18" s="29" t="str">
        <f t="shared" si="3"/>
        <v/>
      </c>
      <c r="W18" s="29" t="str">
        <f t="shared" si="4"/>
        <v/>
      </c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9" t="str">
        <f>IF(A18="","",COUNTIF($B$7:B18,B18))</f>
        <v/>
      </c>
      <c r="AK18" s="29" t="str">
        <f t="shared" si="5"/>
        <v/>
      </c>
      <c r="AL18" s="29" t="str">
        <f>IF(A18="","",IF(COUNTIFS(EVALUACION!$A$7:$A$36,A18,EVALUACION!$B$7:$B$36,B18)=0,"✖ Evaluación/paciente inconsistente",IF(OR(D18&lt;0,E18&lt;0,N18&lt;0,O18&lt;0),"✖ Valor negativo",IF(OR(AND(ISNUMBER(D18),OR(D18&lt;CONFIG!$B$38,D18&gt;CONFIG!$B$39)),AND(ISNUMBER(E18),OR(E18&lt;CONFIG!$B$40,E18&gt;CONFIG!$B$41))),"▲ Fuera de límite operativo",IF(AND(ISNUMBER(R18),OR(R18&lt;0,R18&gt;100)),"✖ % grasa fuera de 0–100",IF(AND(ISNUMBER(R18),U18=""),"▲ Falta fuente de % grasa",IF(E18="","▲ Estatura faltante",IF(AC18="Sí","▲ Edema registrado","✔ Correcto"))))))))</f>
        <v/>
      </c>
    </row>
    <row r="19" spans="1:38" ht="14.25" customHeight="1">
      <c r="A19" s="26"/>
      <c r="B19" s="26"/>
      <c r="C19" s="27"/>
      <c r="D19" s="26"/>
      <c r="E19" s="26"/>
      <c r="F19" s="29" t="str">
        <f t="shared" si="0"/>
        <v/>
      </c>
      <c r="G19" s="26"/>
      <c r="H19" s="26"/>
      <c r="I19" s="26"/>
      <c r="J19" s="29" t="str">
        <f t="shared" si="1"/>
        <v/>
      </c>
      <c r="K19" s="29" t="str">
        <f t="shared" si="2"/>
        <v/>
      </c>
      <c r="L19" s="26"/>
      <c r="M19" s="26"/>
      <c r="N19" s="26"/>
      <c r="O19" s="26"/>
      <c r="P19" s="26"/>
      <c r="Q19" s="26"/>
      <c r="R19" s="26"/>
      <c r="S19" s="29" t="str">
        <f>IF(CONFIG!$B$28="No","",IF(AND(ISNUMBER(D19),ISNUMBER(R19),R19&gt;=0,R19&lt;=100,U19&lt;&gt;""),D19*R19/100,""))</f>
        <v/>
      </c>
      <c r="T19" s="29" t="str">
        <f>IF(CONFIG!$B$28="No","",IF(AND(ISNUMBER(D19),ISNUMBER(S19)),D19-S19,""))</f>
        <v/>
      </c>
      <c r="U19" s="26"/>
      <c r="V19" s="29" t="str">
        <f t="shared" si="3"/>
        <v/>
      </c>
      <c r="W19" s="29" t="str">
        <f t="shared" si="4"/>
        <v/>
      </c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9" t="str">
        <f>IF(A19="","",COUNTIF($B$7:B19,B19))</f>
        <v/>
      </c>
      <c r="AK19" s="29" t="str">
        <f t="shared" si="5"/>
        <v/>
      </c>
      <c r="AL19" s="29" t="str">
        <f>IF(A19="","",IF(COUNTIFS(EVALUACION!$A$7:$A$36,A19,EVALUACION!$B$7:$B$36,B19)=0,"✖ Evaluación/paciente inconsistente",IF(OR(D19&lt;0,E19&lt;0,N19&lt;0,O19&lt;0),"✖ Valor negativo",IF(OR(AND(ISNUMBER(D19),OR(D19&lt;CONFIG!$B$38,D19&gt;CONFIG!$B$39)),AND(ISNUMBER(E19),OR(E19&lt;CONFIG!$B$40,E19&gt;CONFIG!$B$41))),"▲ Fuera de límite operativo",IF(AND(ISNUMBER(R19),OR(R19&lt;0,R19&gt;100)),"✖ % grasa fuera de 0–100",IF(AND(ISNUMBER(R19),U19=""),"▲ Falta fuente de % grasa",IF(E19="","▲ Estatura faltante",IF(AC19="Sí","▲ Edema registrado","✔ Correcto"))))))))</f>
        <v/>
      </c>
    </row>
    <row r="20" spans="1:38" ht="14.25" customHeight="1">
      <c r="A20" s="26"/>
      <c r="B20" s="26"/>
      <c r="C20" s="27"/>
      <c r="D20" s="26"/>
      <c r="E20" s="26"/>
      <c r="F20" s="29" t="str">
        <f t="shared" si="0"/>
        <v/>
      </c>
      <c r="G20" s="26"/>
      <c r="H20" s="26"/>
      <c r="I20" s="26"/>
      <c r="J20" s="29" t="str">
        <f t="shared" si="1"/>
        <v/>
      </c>
      <c r="K20" s="29" t="str">
        <f t="shared" si="2"/>
        <v/>
      </c>
      <c r="L20" s="26"/>
      <c r="M20" s="26"/>
      <c r="N20" s="26"/>
      <c r="O20" s="26"/>
      <c r="P20" s="26"/>
      <c r="Q20" s="26"/>
      <c r="R20" s="26"/>
      <c r="S20" s="29" t="str">
        <f>IF(CONFIG!$B$28="No","",IF(AND(ISNUMBER(D20),ISNUMBER(R20),R20&gt;=0,R20&lt;=100,U20&lt;&gt;""),D20*R20/100,""))</f>
        <v/>
      </c>
      <c r="T20" s="29" t="str">
        <f>IF(CONFIG!$B$28="No","",IF(AND(ISNUMBER(D20),ISNUMBER(S20)),D20-S20,""))</f>
        <v/>
      </c>
      <c r="U20" s="26"/>
      <c r="V20" s="29" t="str">
        <f t="shared" si="3"/>
        <v/>
      </c>
      <c r="W20" s="29" t="str">
        <f t="shared" si="4"/>
        <v/>
      </c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9" t="str">
        <f>IF(A20="","",COUNTIF($B$7:B20,B20))</f>
        <v/>
      </c>
      <c r="AK20" s="29" t="str">
        <f t="shared" si="5"/>
        <v/>
      </c>
      <c r="AL20" s="29" t="str">
        <f>IF(A20="","",IF(COUNTIFS(EVALUACION!$A$7:$A$36,A20,EVALUACION!$B$7:$B$36,B20)=0,"✖ Evaluación/paciente inconsistente",IF(OR(D20&lt;0,E20&lt;0,N20&lt;0,O20&lt;0),"✖ Valor negativo",IF(OR(AND(ISNUMBER(D20),OR(D20&lt;CONFIG!$B$38,D20&gt;CONFIG!$B$39)),AND(ISNUMBER(E20),OR(E20&lt;CONFIG!$B$40,E20&gt;CONFIG!$B$41))),"▲ Fuera de límite operativo",IF(AND(ISNUMBER(R20),OR(R20&lt;0,R20&gt;100)),"✖ % grasa fuera de 0–100",IF(AND(ISNUMBER(R20),U20=""),"▲ Falta fuente de % grasa",IF(E20="","▲ Estatura faltante",IF(AC20="Sí","▲ Edema registrado","✔ Correcto"))))))))</f>
        <v/>
      </c>
    </row>
    <row r="21" spans="1:38" ht="14.25" customHeight="1">
      <c r="A21" s="26"/>
      <c r="B21" s="26"/>
      <c r="C21" s="27"/>
      <c r="D21" s="26"/>
      <c r="E21" s="26"/>
      <c r="F21" s="29" t="str">
        <f t="shared" si="0"/>
        <v/>
      </c>
      <c r="G21" s="26"/>
      <c r="H21" s="26"/>
      <c r="I21" s="26"/>
      <c r="J21" s="29" t="str">
        <f t="shared" si="1"/>
        <v/>
      </c>
      <c r="K21" s="29" t="str">
        <f t="shared" si="2"/>
        <v/>
      </c>
      <c r="L21" s="26"/>
      <c r="M21" s="26"/>
      <c r="N21" s="26"/>
      <c r="O21" s="26"/>
      <c r="P21" s="26"/>
      <c r="Q21" s="26"/>
      <c r="R21" s="26"/>
      <c r="S21" s="29" t="str">
        <f>IF(CONFIG!$B$28="No","",IF(AND(ISNUMBER(D21),ISNUMBER(R21),R21&gt;=0,R21&lt;=100,U21&lt;&gt;""),D21*R21/100,""))</f>
        <v/>
      </c>
      <c r="T21" s="29" t="str">
        <f>IF(CONFIG!$B$28="No","",IF(AND(ISNUMBER(D21),ISNUMBER(S21)),D21-S21,""))</f>
        <v/>
      </c>
      <c r="U21" s="26"/>
      <c r="V21" s="29" t="str">
        <f t="shared" si="3"/>
        <v/>
      </c>
      <c r="W21" s="29" t="str">
        <f t="shared" si="4"/>
        <v/>
      </c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9" t="str">
        <f>IF(A21="","",COUNTIF($B$7:B21,B21))</f>
        <v/>
      </c>
      <c r="AK21" s="29" t="str">
        <f t="shared" si="5"/>
        <v/>
      </c>
      <c r="AL21" s="29" t="str">
        <f>IF(A21="","",IF(COUNTIFS(EVALUACION!$A$7:$A$36,A21,EVALUACION!$B$7:$B$36,B21)=0,"✖ Evaluación/paciente inconsistente",IF(OR(D21&lt;0,E21&lt;0,N21&lt;0,O21&lt;0),"✖ Valor negativo",IF(OR(AND(ISNUMBER(D21),OR(D21&lt;CONFIG!$B$38,D21&gt;CONFIG!$B$39)),AND(ISNUMBER(E21),OR(E21&lt;CONFIG!$B$40,E21&gt;CONFIG!$B$41))),"▲ Fuera de límite operativo",IF(AND(ISNUMBER(R21),OR(R21&lt;0,R21&gt;100)),"✖ % grasa fuera de 0–100",IF(AND(ISNUMBER(R21),U21=""),"▲ Falta fuente de % grasa",IF(E21="","▲ Estatura faltante",IF(AC21="Sí","▲ Edema registrado","✔ Correcto"))))))))</f>
        <v/>
      </c>
    </row>
    <row r="22" spans="1:38" ht="14.25" customHeight="1">
      <c r="A22" s="26"/>
      <c r="B22" s="26"/>
      <c r="C22" s="27"/>
      <c r="D22" s="26"/>
      <c r="E22" s="26"/>
      <c r="F22" s="29" t="str">
        <f t="shared" si="0"/>
        <v/>
      </c>
      <c r="G22" s="26"/>
      <c r="H22" s="26"/>
      <c r="I22" s="26"/>
      <c r="J22" s="29" t="str">
        <f t="shared" si="1"/>
        <v/>
      </c>
      <c r="K22" s="29" t="str">
        <f t="shared" si="2"/>
        <v/>
      </c>
      <c r="L22" s="26"/>
      <c r="M22" s="26"/>
      <c r="N22" s="26"/>
      <c r="O22" s="26"/>
      <c r="P22" s="26"/>
      <c r="Q22" s="26"/>
      <c r="R22" s="26"/>
      <c r="S22" s="29" t="str">
        <f>IF(CONFIG!$B$28="No","",IF(AND(ISNUMBER(D22),ISNUMBER(R22),R22&gt;=0,R22&lt;=100,U22&lt;&gt;""),D22*R22/100,""))</f>
        <v/>
      </c>
      <c r="T22" s="29" t="str">
        <f>IF(CONFIG!$B$28="No","",IF(AND(ISNUMBER(D22),ISNUMBER(S22)),D22-S22,""))</f>
        <v/>
      </c>
      <c r="U22" s="26"/>
      <c r="V22" s="29" t="str">
        <f t="shared" si="3"/>
        <v/>
      </c>
      <c r="W22" s="29" t="str">
        <f t="shared" si="4"/>
        <v/>
      </c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9" t="str">
        <f>IF(A22="","",COUNTIF($B$7:B22,B22))</f>
        <v/>
      </c>
      <c r="AK22" s="29" t="str">
        <f t="shared" si="5"/>
        <v/>
      </c>
      <c r="AL22" s="29" t="str">
        <f>IF(A22="","",IF(COUNTIFS(EVALUACION!$A$7:$A$36,A22,EVALUACION!$B$7:$B$36,B22)=0,"✖ Evaluación/paciente inconsistente",IF(OR(D22&lt;0,E22&lt;0,N22&lt;0,O22&lt;0),"✖ Valor negativo",IF(OR(AND(ISNUMBER(D22),OR(D22&lt;CONFIG!$B$38,D22&gt;CONFIG!$B$39)),AND(ISNUMBER(E22),OR(E22&lt;CONFIG!$B$40,E22&gt;CONFIG!$B$41))),"▲ Fuera de límite operativo",IF(AND(ISNUMBER(R22),OR(R22&lt;0,R22&gt;100)),"✖ % grasa fuera de 0–100",IF(AND(ISNUMBER(R22),U22=""),"▲ Falta fuente de % grasa",IF(E22="","▲ Estatura faltante",IF(AC22="Sí","▲ Edema registrado","✔ Correcto"))))))))</f>
        <v/>
      </c>
    </row>
    <row r="23" spans="1:38" ht="14.25" customHeight="1">
      <c r="A23" s="26"/>
      <c r="B23" s="26"/>
      <c r="C23" s="27"/>
      <c r="D23" s="26"/>
      <c r="E23" s="26"/>
      <c r="F23" s="29" t="str">
        <f t="shared" si="0"/>
        <v/>
      </c>
      <c r="G23" s="26"/>
      <c r="H23" s="26"/>
      <c r="I23" s="26"/>
      <c r="J23" s="29" t="str">
        <f t="shared" si="1"/>
        <v/>
      </c>
      <c r="K23" s="29" t="str">
        <f t="shared" si="2"/>
        <v/>
      </c>
      <c r="L23" s="26"/>
      <c r="M23" s="26"/>
      <c r="N23" s="26"/>
      <c r="O23" s="26"/>
      <c r="P23" s="26"/>
      <c r="Q23" s="26"/>
      <c r="R23" s="26"/>
      <c r="S23" s="29" t="str">
        <f>IF(CONFIG!$B$28="No","",IF(AND(ISNUMBER(D23),ISNUMBER(R23),R23&gt;=0,R23&lt;=100,U23&lt;&gt;""),D23*R23/100,""))</f>
        <v/>
      </c>
      <c r="T23" s="29" t="str">
        <f>IF(CONFIG!$B$28="No","",IF(AND(ISNUMBER(D23),ISNUMBER(S23)),D23-S23,""))</f>
        <v/>
      </c>
      <c r="U23" s="26"/>
      <c r="V23" s="29" t="str">
        <f t="shared" si="3"/>
        <v/>
      </c>
      <c r="W23" s="29" t="str">
        <f t="shared" si="4"/>
        <v/>
      </c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9" t="str">
        <f>IF(A23="","",COUNTIF($B$7:B23,B23))</f>
        <v/>
      </c>
      <c r="AK23" s="29" t="str">
        <f t="shared" si="5"/>
        <v/>
      </c>
      <c r="AL23" s="29" t="str">
        <f>IF(A23="","",IF(COUNTIFS(EVALUACION!$A$7:$A$36,A23,EVALUACION!$B$7:$B$36,B23)=0,"✖ Evaluación/paciente inconsistente",IF(OR(D23&lt;0,E23&lt;0,N23&lt;0,O23&lt;0),"✖ Valor negativo",IF(OR(AND(ISNUMBER(D23),OR(D23&lt;CONFIG!$B$38,D23&gt;CONFIG!$B$39)),AND(ISNUMBER(E23),OR(E23&lt;CONFIG!$B$40,E23&gt;CONFIG!$B$41))),"▲ Fuera de límite operativo",IF(AND(ISNUMBER(R23),OR(R23&lt;0,R23&gt;100)),"✖ % grasa fuera de 0–100",IF(AND(ISNUMBER(R23),U23=""),"▲ Falta fuente de % grasa",IF(E23="","▲ Estatura faltante",IF(AC23="Sí","▲ Edema registrado","✔ Correcto"))))))))</f>
        <v/>
      </c>
    </row>
    <row r="24" spans="1:38" ht="14.25" customHeight="1">
      <c r="A24" s="26"/>
      <c r="B24" s="26"/>
      <c r="C24" s="27"/>
      <c r="D24" s="26"/>
      <c r="E24" s="26"/>
      <c r="F24" s="29" t="str">
        <f t="shared" si="0"/>
        <v/>
      </c>
      <c r="G24" s="26"/>
      <c r="H24" s="26"/>
      <c r="I24" s="26"/>
      <c r="J24" s="29" t="str">
        <f t="shared" si="1"/>
        <v/>
      </c>
      <c r="K24" s="29" t="str">
        <f t="shared" si="2"/>
        <v/>
      </c>
      <c r="L24" s="26"/>
      <c r="M24" s="26"/>
      <c r="N24" s="26"/>
      <c r="O24" s="26"/>
      <c r="P24" s="26"/>
      <c r="Q24" s="26"/>
      <c r="R24" s="26"/>
      <c r="S24" s="29" t="str">
        <f>IF(CONFIG!$B$28="No","",IF(AND(ISNUMBER(D24),ISNUMBER(R24),R24&gt;=0,R24&lt;=100,U24&lt;&gt;""),D24*R24/100,""))</f>
        <v/>
      </c>
      <c r="T24" s="29" t="str">
        <f>IF(CONFIG!$B$28="No","",IF(AND(ISNUMBER(D24),ISNUMBER(S24)),D24-S24,""))</f>
        <v/>
      </c>
      <c r="U24" s="26"/>
      <c r="V24" s="29" t="str">
        <f t="shared" si="3"/>
        <v/>
      </c>
      <c r="W24" s="29" t="str">
        <f t="shared" si="4"/>
        <v/>
      </c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9" t="str">
        <f>IF(A24="","",COUNTIF($B$7:B24,B24))</f>
        <v/>
      </c>
      <c r="AK24" s="29" t="str">
        <f t="shared" si="5"/>
        <v/>
      </c>
      <c r="AL24" s="29" t="str">
        <f>IF(A24="","",IF(COUNTIFS(EVALUACION!$A$7:$A$36,A24,EVALUACION!$B$7:$B$36,B24)=0,"✖ Evaluación/paciente inconsistente",IF(OR(D24&lt;0,E24&lt;0,N24&lt;0,O24&lt;0),"✖ Valor negativo",IF(OR(AND(ISNUMBER(D24),OR(D24&lt;CONFIG!$B$38,D24&gt;CONFIG!$B$39)),AND(ISNUMBER(E24),OR(E24&lt;CONFIG!$B$40,E24&gt;CONFIG!$B$41))),"▲ Fuera de límite operativo",IF(AND(ISNUMBER(R24),OR(R24&lt;0,R24&gt;100)),"✖ % grasa fuera de 0–100",IF(AND(ISNUMBER(R24),U24=""),"▲ Falta fuente de % grasa",IF(E24="","▲ Estatura faltante",IF(AC24="Sí","▲ Edema registrado","✔ Correcto"))))))))</f>
        <v/>
      </c>
    </row>
    <row r="25" spans="1:38" ht="14.25" customHeight="1">
      <c r="A25" s="26"/>
      <c r="B25" s="26"/>
      <c r="C25" s="27"/>
      <c r="D25" s="26"/>
      <c r="E25" s="26"/>
      <c r="F25" s="29" t="str">
        <f t="shared" si="0"/>
        <v/>
      </c>
      <c r="G25" s="26"/>
      <c r="H25" s="26"/>
      <c r="I25" s="26"/>
      <c r="J25" s="29" t="str">
        <f t="shared" si="1"/>
        <v/>
      </c>
      <c r="K25" s="29" t="str">
        <f t="shared" si="2"/>
        <v/>
      </c>
      <c r="L25" s="26"/>
      <c r="M25" s="26"/>
      <c r="N25" s="26"/>
      <c r="O25" s="26"/>
      <c r="P25" s="26"/>
      <c r="Q25" s="26"/>
      <c r="R25" s="26"/>
      <c r="S25" s="29" t="str">
        <f>IF(CONFIG!$B$28="No","",IF(AND(ISNUMBER(D25),ISNUMBER(R25),R25&gt;=0,R25&lt;=100,U25&lt;&gt;""),D25*R25/100,""))</f>
        <v/>
      </c>
      <c r="T25" s="29" t="str">
        <f>IF(CONFIG!$B$28="No","",IF(AND(ISNUMBER(D25),ISNUMBER(S25)),D25-S25,""))</f>
        <v/>
      </c>
      <c r="U25" s="26"/>
      <c r="V25" s="29" t="str">
        <f t="shared" si="3"/>
        <v/>
      </c>
      <c r="W25" s="29" t="str">
        <f t="shared" si="4"/>
        <v/>
      </c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9" t="str">
        <f>IF(A25="","",COUNTIF($B$7:B25,B25))</f>
        <v/>
      </c>
      <c r="AK25" s="29" t="str">
        <f t="shared" si="5"/>
        <v/>
      </c>
      <c r="AL25" s="29" t="str">
        <f>IF(A25="","",IF(COUNTIFS(EVALUACION!$A$7:$A$36,A25,EVALUACION!$B$7:$B$36,B25)=0,"✖ Evaluación/paciente inconsistente",IF(OR(D25&lt;0,E25&lt;0,N25&lt;0,O25&lt;0),"✖ Valor negativo",IF(OR(AND(ISNUMBER(D25),OR(D25&lt;CONFIG!$B$38,D25&gt;CONFIG!$B$39)),AND(ISNUMBER(E25),OR(E25&lt;CONFIG!$B$40,E25&gt;CONFIG!$B$41))),"▲ Fuera de límite operativo",IF(AND(ISNUMBER(R25),OR(R25&lt;0,R25&gt;100)),"✖ % grasa fuera de 0–100",IF(AND(ISNUMBER(R25),U25=""),"▲ Falta fuente de % grasa",IF(E25="","▲ Estatura faltante",IF(AC25="Sí","▲ Edema registrado","✔ Correcto"))))))))</f>
        <v/>
      </c>
    </row>
    <row r="26" spans="1:38" ht="14.25" customHeight="1">
      <c r="A26" s="26"/>
      <c r="B26" s="26"/>
      <c r="C26" s="27"/>
      <c r="D26" s="26"/>
      <c r="E26" s="26"/>
      <c r="F26" s="29" t="str">
        <f t="shared" si="0"/>
        <v/>
      </c>
      <c r="G26" s="26"/>
      <c r="H26" s="26"/>
      <c r="I26" s="26"/>
      <c r="J26" s="29" t="str">
        <f t="shared" si="1"/>
        <v/>
      </c>
      <c r="K26" s="29" t="str">
        <f t="shared" si="2"/>
        <v/>
      </c>
      <c r="L26" s="26"/>
      <c r="M26" s="26"/>
      <c r="N26" s="26"/>
      <c r="O26" s="26"/>
      <c r="P26" s="26"/>
      <c r="Q26" s="26"/>
      <c r="R26" s="26"/>
      <c r="S26" s="29" t="str">
        <f>IF(CONFIG!$B$28="No","",IF(AND(ISNUMBER(D26),ISNUMBER(R26),R26&gt;=0,R26&lt;=100,U26&lt;&gt;""),D26*R26/100,""))</f>
        <v/>
      </c>
      <c r="T26" s="29" t="str">
        <f>IF(CONFIG!$B$28="No","",IF(AND(ISNUMBER(D26),ISNUMBER(S26)),D26-S26,""))</f>
        <v/>
      </c>
      <c r="U26" s="26"/>
      <c r="V26" s="29" t="str">
        <f t="shared" si="3"/>
        <v/>
      </c>
      <c r="W26" s="29" t="str">
        <f t="shared" si="4"/>
        <v/>
      </c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9" t="str">
        <f>IF(A26="","",COUNTIF($B$7:B26,B26))</f>
        <v/>
      </c>
      <c r="AK26" s="29" t="str">
        <f t="shared" si="5"/>
        <v/>
      </c>
      <c r="AL26" s="29" t="str">
        <f>IF(A26="","",IF(COUNTIFS(EVALUACION!$A$7:$A$36,A26,EVALUACION!$B$7:$B$36,B26)=0,"✖ Evaluación/paciente inconsistente",IF(OR(D26&lt;0,E26&lt;0,N26&lt;0,O26&lt;0),"✖ Valor negativo",IF(OR(AND(ISNUMBER(D26),OR(D26&lt;CONFIG!$B$38,D26&gt;CONFIG!$B$39)),AND(ISNUMBER(E26),OR(E26&lt;CONFIG!$B$40,E26&gt;CONFIG!$B$41))),"▲ Fuera de límite operativo",IF(AND(ISNUMBER(R26),OR(R26&lt;0,R26&gt;100)),"✖ % grasa fuera de 0–100",IF(AND(ISNUMBER(R26),U26=""),"▲ Falta fuente de % grasa",IF(E26="","▲ Estatura faltante",IF(AC26="Sí","▲ Edema registrado","✔ Correcto"))))))))</f>
        <v/>
      </c>
    </row>
    <row r="27" spans="1:38" ht="14.25" customHeight="1">
      <c r="A27" s="26"/>
      <c r="B27" s="26"/>
      <c r="C27" s="27"/>
      <c r="D27" s="26"/>
      <c r="E27" s="26"/>
      <c r="F27" s="29" t="str">
        <f t="shared" si="0"/>
        <v/>
      </c>
      <c r="G27" s="26"/>
      <c r="H27" s="26"/>
      <c r="I27" s="26"/>
      <c r="J27" s="29" t="str">
        <f t="shared" si="1"/>
        <v/>
      </c>
      <c r="K27" s="29" t="str">
        <f t="shared" si="2"/>
        <v/>
      </c>
      <c r="L27" s="26"/>
      <c r="M27" s="26"/>
      <c r="N27" s="26"/>
      <c r="O27" s="26"/>
      <c r="P27" s="26"/>
      <c r="Q27" s="26"/>
      <c r="R27" s="26"/>
      <c r="S27" s="29" t="str">
        <f>IF(CONFIG!$B$28="No","",IF(AND(ISNUMBER(D27),ISNUMBER(R27),R27&gt;=0,R27&lt;=100,U27&lt;&gt;""),D27*R27/100,""))</f>
        <v/>
      </c>
      <c r="T27" s="29" t="str">
        <f>IF(CONFIG!$B$28="No","",IF(AND(ISNUMBER(D27),ISNUMBER(S27)),D27-S27,""))</f>
        <v/>
      </c>
      <c r="U27" s="26"/>
      <c r="V27" s="29" t="str">
        <f t="shared" si="3"/>
        <v/>
      </c>
      <c r="W27" s="29" t="str">
        <f t="shared" si="4"/>
        <v/>
      </c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9" t="str">
        <f>IF(A27="","",COUNTIF($B$7:B27,B27))</f>
        <v/>
      </c>
      <c r="AK27" s="29" t="str">
        <f t="shared" si="5"/>
        <v/>
      </c>
      <c r="AL27" s="29" t="str">
        <f>IF(A27="","",IF(COUNTIFS(EVALUACION!$A$7:$A$36,A27,EVALUACION!$B$7:$B$36,B27)=0,"✖ Evaluación/paciente inconsistente",IF(OR(D27&lt;0,E27&lt;0,N27&lt;0,O27&lt;0),"✖ Valor negativo",IF(OR(AND(ISNUMBER(D27),OR(D27&lt;CONFIG!$B$38,D27&gt;CONFIG!$B$39)),AND(ISNUMBER(E27),OR(E27&lt;CONFIG!$B$40,E27&gt;CONFIG!$B$41))),"▲ Fuera de límite operativo",IF(AND(ISNUMBER(R27),OR(R27&lt;0,R27&gt;100)),"✖ % grasa fuera de 0–100",IF(AND(ISNUMBER(R27),U27=""),"▲ Falta fuente de % grasa",IF(E27="","▲ Estatura faltante",IF(AC27="Sí","▲ Edema registrado","✔ Correcto"))))))))</f>
        <v/>
      </c>
    </row>
    <row r="28" spans="1:38" ht="14.25" customHeight="1">
      <c r="A28" s="26"/>
      <c r="B28" s="26"/>
      <c r="C28" s="27"/>
      <c r="D28" s="26"/>
      <c r="E28" s="26"/>
      <c r="F28" s="29" t="str">
        <f t="shared" si="0"/>
        <v/>
      </c>
      <c r="G28" s="26"/>
      <c r="H28" s="26"/>
      <c r="I28" s="26"/>
      <c r="J28" s="29" t="str">
        <f t="shared" si="1"/>
        <v/>
      </c>
      <c r="K28" s="29" t="str">
        <f t="shared" si="2"/>
        <v/>
      </c>
      <c r="L28" s="26"/>
      <c r="M28" s="26"/>
      <c r="N28" s="26"/>
      <c r="O28" s="26"/>
      <c r="P28" s="26"/>
      <c r="Q28" s="26"/>
      <c r="R28" s="26"/>
      <c r="S28" s="29" t="str">
        <f>IF(CONFIG!$B$28="No","",IF(AND(ISNUMBER(D28),ISNUMBER(R28),R28&gt;=0,R28&lt;=100,U28&lt;&gt;""),D28*R28/100,""))</f>
        <v/>
      </c>
      <c r="T28" s="29" t="str">
        <f>IF(CONFIG!$B$28="No","",IF(AND(ISNUMBER(D28),ISNUMBER(S28)),D28-S28,""))</f>
        <v/>
      </c>
      <c r="U28" s="26"/>
      <c r="V28" s="29" t="str">
        <f t="shared" si="3"/>
        <v/>
      </c>
      <c r="W28" s="29" t="str">
        <f t="shared" si="4"/>
        <v/>
      </c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9" t="str">
        <f>IF(A28="","",COUNTIF($B$7:B28,B28))</f>
        <v/>
      </c>
      <c r="AK28" s="29" t="str">
        <f t="shared" si="5"/>
        <v/>
      </c>
      <c r="AL28" s="29" t="str">
        <f>IF(A28="","",IF(COUNTIFS(EVALUACION!$A$7:$A$36,A28,EVALUACION!$B$7:$B$36,B28)=0,"✖ Evaluación/paciente inconsistente",IF(OR(D28&lt;0,E28&lt;0,N28&lt;0,O28&lt;0),"✖ Valor negativo",IF(OR(AND(ISNUMBER(D28),OR(D28&lt;CONFIG!$B$38,D28&gt;CONFIG!$B$39)),AND(ISNUMBER(E28),OR(E28&lt;CONFIG!$B$40,E28&gt;CONFIG!$B$41))),"▲ Fuera de límite operativo",IF(AND(ISNUMBER(R28),OR(R28&lt;0,R28&gt;100)),"✖ % grasa fuera de 0–100",IF(AND(ISNUMBER(R28),U28=""),"▲ Falta fuente de % grasa",IF(E28="","▲ Estatura faltante",IF(AC28="Sí","▲ Edema registrado","✔ Correcto"))))))))</f>
        <v/>
      </c>
    </row>
    <row r="29" spans="1:38" ht="14.25" customHeight="1">
      <c r="A29" s="26"/>
      <c r="B29" s="26"/>
      <c r="C29" s="27"/>
      <c r="D29" s="26"/>
      <c r="E29" s="26"/>
      <c r="F29" s="29" t="str">
        <f t="shared" si="0"/>
        <v/>
      </c>
      <c r="G29" s="26"/>
      <c r="H29" s="26"/>
      <c r="I29" s="26"/>
      <c r="J29" s="29" t="str">
        <f t="shared" si="1"/>
        <v/>
      </c>
      <c r="K29" s="29" t="str">
        <f t="shared" si="2"/>
        <v/>
      </c>
      <c r="L29" s="26"/>
      <c r="M29" s="26"/>
      <c r="N29" s="26"/>
      <c r="O29" s="26"/>
      <c r="P29" s="26"/>
      <c r="Q29" s="26"/>
      <c r="R29" s="26"/>
      <c r="S29" s="29" t="str">
        <f>IF(CONFIG!$B$28="No","",IF(AND(ISNUMBER(D29),ISNUMBER(R29),R29&gt;=0,R29&lt;=100,U29&lt;&gt;""),D29*R29/100,""))</f>
        <v/>
      </c>
      <c r="T29" s="29" t="str">
        <f>IF(CONFIG!$B$28="No","",IF(AND(ISNUMBER(D29),ISNUMBER(S29)),D29-S29,""))</f>
        <v/>
      </c>
      <c r="U29" s="26"/>
      <c r="V29" s="29" t="str">
        <f t="shared" si="3"/>
        <v/>
      </c>
      <c r="W29" s="29" t="str">
        <f t="shared" si="4"/>
        <v/>
      </c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9" t="str">
        <f>IF(A29="","",COUNTIF($B$7:B29,B29))</f>
        <v/>
      </c>
      <c r="AK29" s="29" t="str">
        <f t="shared" si="5"/>
        <v/>
      </c>
      <c r="AL29" s="29" t="str">
        <f>IF(A29="","",IF(COUNTIFS(EVALUACION!$A$7:$A$36,A29,EVALUACION!$B$7:$B$36,B29)=0,"✖ Evaluación/paciente inconsistente",IF(OR(D29&lt;0,E29&lt;0,N29&lt;0,O29&lt;0),"✖ Valor negativo",IF(OR(AND(ISNUMBER(D29),OR(D29&lt;CONFIG!$B$38,D29&gt;CONFIG!$B$39)),AND(ISNUMBER(E29),OR(E29&lt;CONFIG!$B$40,E29&gt;CONFIG!$B$41))),"▲ Fuera de límite operativo",IF(AND(ISNUMBER(R29),OR(R29&lt;0,R29&gt;100)),"✖ % grasa fuera de 0–100",IF(AND(ISNUMBER(R29),U29=""),"▲ Falta fuente de % grasa",IF(E29="","▲ Estatura faltante",IF(AC29="Sí","▲ Edema registrado","✔ Correcto"))))))))</f>
        <v/>
      </c>
    </row>
    <row r="30" spans="1:38" ht="14.25" customHeight="1">
      <c r="A30" s="26"/>
      <c r="B30" s="26"/>
      <c r="C30" s="27"/>
      <c r="D30" s="26"/>
      <c r="E30" s="26"/>
      <c r="F30" s="29" t="str">
        <f t="shared" si="0"/>
        <v/>
      </c>
      <c r="G30" s="26"/>
      <c r="H30" s="26"/>
      <c r="I30" s="26"/>
      <c r="J30" s="29" t="str">
        <f t="shared" si="1"/>
        <v/>
      </c>
      <c r="K30" s="29" t="str">
        <f t="shared" si="2"/>
        <v/>
      </c>
      <c r="L30" s="26"/>
      <c r="M30" s="26"/>
      <c r="N30" s="26"/>
      <c r="O30" s="26"/>
      <c r="P30" s="26"/>
      <c r="Q30" s="26"/>
      <c r="R30" s="26"/>
      <c r="S30" s="29" t="str">
        <f>IF(CONFIG!$B$28="No","",IF(AND(ISNUMBER(D30),ISNUMBER(R30),R30&gt;=0,R30&lt;=100,U30&lt;&gt;""),D30*R30/100,""))</f>
        <v/>
      </c>
      <c r="T30" s="29" t="str">
        <f>IF(CONFIG!$B$28="No","",IF(AND(ISNUMBER(D30),ISNUMBER(S30)),D30-S30,""))</f>
        <v/>
      </c>
      <c r="U30" s="26"/>
      <c r="V30" s="29" t="str">
        <f t="shared" si="3"/>
        <v/>
      </c>
      <c r="W30" s="29" t="str">
        <f t="shared" si="4"/>
        <v/>
      </c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9" t="str">
        <f>IF(A30="","",COUNTIF($B$7:B30,B30))</f>
        <v/>
      </c>
      <c r="AK30" s="29" t="str">
        <f t="shared" si="5"/>
        <v/>
      </c>
      <c r="AL30" s="29" t="str">
        <f>IF(A30="","",IF(COUNTIFS(EVALUACION!$A$7:$A$36,A30,EVALUACION!$B$7:$B$36,B30)=0,"✖ Evaluación/paciente inconsistente",IF(OR(D30&lt;0,E30&lt;0,N30&lt;0,O30&lt;0),"✖ Valor negativo",IF(OR(AND(ISNUMBER(D30),OR(D30&lt;CONFIG!$B$38,D30&gt;CONFIG!$B$39)),AND(ISNUMBER(E30),OR(E30&lt;CONFIG!$B$40,E30&gt;CONFIG!$B$41))),"▲ Fuera de límite operativo",IF(AND(ISNUMBER(R30),OR(R30&lt;0,R30&gt;100)),"✖ % grasa fuera de 0–100",IF(AND(ISNUMBER(R30),U30=""),"▲ Falta fuente de % grasa",IF(E30="","▲ Estatura faltante",IF(AC30="Sí","▲ Edema registrado","✔ Correcto"))))))))</f>
        <v/>
      </c>
    </row>
    <row r="31" spans="1:38" ht="14.25" customHeight="1">
      <c r="A31" s="26"/>
      <c r="B31" s="26"/>
      <c r="C31" s="27"/>
      <c r="D31" s="26"/>
      <c r="E31" s="26"/>
      <c r="F31" s="29" t="str">
        <f t="shared" si="0"/>
        <v/>
      </c>
      <c r="G31" s="26"/>
      <c r="H31" s="26"/>
      <c r="I31" s="26"/>
      <c r="J31" s="29" t="str">
        <f t="shared" si="1"/>
        <v/>
      </c>
      <c r="K31" s="29" t="str">
        <f t="shared" si="2"/>
        <v/>
      </c>
      <c r="L31" s="26"/>
      <c r="M31" s="26"/>
      <c r="N31" s="26"/>
      <c r="O31" s="26"/>
      <c r="P31" s="26"/>
      <c r="Q31" s="26"/>
      <c r="R31" s="26"/>
      <c r="S31" s="29" t="str">
        <f>IF(CONFIG!$B$28="No","",IF(AND(ISNUMBER(D31),ISNUMBER(R31),R31&gt;=0,R31&lt;=100,U31&lt;&gt;""),D31*R31/100,""))</f>
        <v/>
      </c>
      <c r="T31" s="29" t="str">
        <f>IF(CONFIG!$B$28="No","",IF(AND(ISNUMBER(D31),ISNUMBER(S31)),D31-S31,""))</f>
        <v/>
      </c>
      <c r="U31" s="26"/>
      <c r="V31" s="29" t="str">
        <f t="shared" si="3"/>
        <v/>
      </c>
      <c r="W31" s="29" t="str">
        <f t="shared" si="4"/>
        <v/>
      </c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9" t="str">
        <f>IF(A31="","",COUNTIF($B$7:B31,B31))</f>
        <v/>
      </c>
      <c r="AK31" s="29" t="str">
        <f t="shared" si="5"/>
        <v/>
      </c>
      <c r="AL31" s="29" t="str">
        <f>IF(A31="","",IF(COUNTIFS(EVALUACION!$A$7:$A$36,A31,EVALUACION!$B$7:$B$36,B31)=0,"✖ Evaluación/paciente inconsistente",IF(OR(D31&lt;0,E31&lt;0,N31&lt;0,O31&lt;0),"✖ Valor negativo",IF(OR(AND(ISNUMBER(D31),OR(D31&lt;CONFIG!$B$38,D31&gt;CONFIG!$B$39)),AND(ISNUMBER(E31),OR(E31&lt;CONFIG!$B$40,E31&gt;CONFIG!$B$41))),"▲ Fuera de límite operativo",IF(AND(ISNUMBER(R31),OR(R31&lt;0,R31&gt;100)),"✖ % grasa fuera de 0–100",IF(AND(ISNUMBER(R31),U31=""),"▲ Falta fuente de % grasa",IF(E31="","▲ Estatura faltante",IF(AC31="Sí","▲ Edema registrado","✔ Correcto"))))))))</f>
        <v/>
      </c>
    </row>
    <row r="32" spans="1:38" ht="14.25" customHeight="1">
      <c r="A32" s="26"/>
      <c r="B32" s="26"/>
      <c r="C32" s="27"/>
      <c r="D32" s="26"/>
      <c r="E32" s="26"/>
      <c r="F32" s="29" t="str">
        <f t="shared" si="0"/>
        <v/>
      </c>
      <c r="G32" s="26"/>
      <c r="H32" s="26"/>
      <c r="I32" s="26"/>
      <c r="J32" s="29" t="str">
        <f t="shared" si="1"/>
        <v/>
      </c>
      <c r="K32" s="29" t="str">
        <f t="shared" si="2"/>
        <v/>
      </c>
      <c r="L32" s="26"/>
      <c r="M32" s="26"/>
      <c r="N32" s="26"/>
      <c r="O32" s="26"/>
      <c r="P32" s="26"/>
      <c r="Q32" s="26"/>
      <c r="R32" s="26"/>
      <c r="S32" s="29" t="str">
        <f>IF(CONFIG!$B$28="No","",IF(AND(ISNUMBER(D32),ISNUMBER(R32),R32&gt;=0,R32&lt;=100,U32&lt;&gt;""),D32*R32/100,""))</f>
        <v/>
      </c>
      <c r="T32" s="29" t="str">
        <f>IF(CONFIG!$B$28="No","",IF(AND(ISNUMBER(D32),ISNUMBER(S32)),D32-S32,""))</f>
        <v/>
      </c>
      <c r="U32" s="26"/>
      <c r="V32" s="29" t="str">
        <f t="shared" si="3"/>
        <v/>
      </c>
      <c r="W32" s="29" t="str">
        <f t="shared" si="4"/>
        <v/>
      </c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9" t="str">
        <f>IF(A32="","",COUNTIF($B$7:B32,B32))</f>
        <v/>
      </c>
      <c r="AK32" s="29" t="str">
        <f t="shared" si="5"/>
        <v/>
      </c>
      <c r="AL32" s="29" t="str">
        <f>IF(A32="","",IF(COUNTIFS(EVALUACION!$A$7:$A$36,A32,EVALUACION!$B$7:$B$36,B32)=0,"✖ Evaluación/paciente inconsistente",IF(OR(D32&lt;0,E32&lt;0,N32&lt;0,O32&lt;0),"✖ Valor negativo",IF(OR(AND(ISNUMBER(D32),OR(D32&lt;CONFIG!$B$38,D32&gt;CONFIG!$B$39)),AND(ISNUMBER(E32),OR(E32&lt;CONFIG!$B$40,E32&gt;CONFIG!$B$41))),"▲ Fuera de límite operativo",IF(AND(ISNUMBER(R32),OR(R32&lt;0,R32&gt;100)),"✖ % grasa fuera de 0–100",IF(AND(ISNUMBER(R32),U32=""),"▲ Falta fuente de % grasa",IF(E32="","▲ Estatura faltante",IF(AC32="Sí","▲ Edema registrado","✔ Correcto"))))))))</f>
        <v/>
      </c>
    </row>
    <row r="33" spans="1:38" ht="14.25" customHeight="1">
      <c r="A33" s="26"/>
      <c r="B33" s="26"/>
      <c r="C33" s="27"/>
      <c r="D33" s="26"/>
      <c r="E33" s="26"/>
      <c r="F33" s="29" t="str">
        <f t="shared" si="0"/>
        <v/>
      </c>
      <c r="G33" s="26"/>
      <c r="H33" s="26"/>
      <c r="I33" s="26"/>
      <c r="J33" s="29" t="str">
        <f t="shared" si="1"/>
        <v/>
      </c>
      <c r="K33" s="29" t="str">
        <f t="shared" si="2"/>
        <v/>
      </c>
      <c r="L33" s="26"/>
      <c r="M33" s="26"/>
      <c r="N33" s="26"/>
      <c r="O33" s="26"/>
      <c r="P33" s="26"/>
      <c r="Q33" s="26"/>
      <c r="R33" s="26"/>
      <c r="S33" s="29" t="str">
        <f>IF(CONFIG!$B$28="No","",IF(AND(ISNUMBER(D33),ISNUMBER(R33),R33&gt;=0,R33&lt;=100,U33&lt;&gt;""),D33*R33/100,""))</f>
        <v/>
      </c>
      <c r="T33" s="29" t="str">
        <f>IF(CONFIG!$B$28="No","",IF(AND(ISNUMBER(D33),ISNUMBER(S33)),D33-S33,""))</f>
        <v/>
      </c>
      <c r="U33" s="26"/>
      <c r="V33" s="29" t="str">
        <f t="shared" si="3"/>
        <v/>
      </c>
      <c r="W33" s="29" t="str">
        <f t="shared" si="4"/>
        <v/>
      </c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9" t="str">
        <f>IF(A33="","",COUNTIF($B$7:B33,B33))</f>
        <v/>
      </c>
      <c r="AK33" s="29" t="str">
        <f t="shared" si="5"/>
        <v/>
      </c>
      <c r="AL33" s="29" t="str">
        <f>IF(A33="","",IF(COUNTIFS(EVALUACION!$A$7:$A$36,A33,EVALUACION!$B$7:$B$36,B33)=0,"✖ Evaluación/paciente inconsistente",IF(OR(D33&lt;0,E33&lt;0,N33&lt;0,O33&lt;0),"✖ Valor negativo",IF(OR(AND(ISNUMBER(D33),OR(D33&lt;CONFIG!$B$38,D33&gt;CONFIG!$B$39)),AND(ISNUMBER(E33),OR(E33&lt;CONFIG!$B$40,E33&gt;CONFIG!$B$41))),"▲ Fuera de límite operativo",IF(AND(ISNUMBER(R33),OR(R33&lt;0,R33&gt;100)),"✖ % grasa fuera de 0–100",IF(AND(ISNUMBER(R33),U33=""),"▲ Falta fuente de % grasa",IF(E33="","▲ Estatura faltante",IF(AC33="Sí","▲ Edema registrado","✔ Correcto"))))))))</f>
        <v/>
      </c>
    </row>
    <row r="34" spans="1:38" ht="14.25" customHeight="1">
      <c r="A34" s="26"/>
      <c r="B34" s="26"/>
      <c r="C34" s="27"/>
      <c r="D34" s="26"/>
      <c r="E34" s="26"/>
      <c r="F34" s="29" t="str">
        <f t="shared" si="0"/>
        <v/>
      </c>
      <c r="G34" s="26"/>
      <c r="H34" s="26"/>
      <c r="I34" s="26"/>
      <c r="J34" s="29" t="str">
        <f t="shared" si="1"/>
        <v/>
      </c>
      <c r="K34" s="29" t="str">
        <f t="shared" si="2"/>
        <v/>
      </c>
      <c r="L34" s="26"/>
      <c r="M34" s="26"/>
      <c r="N34" s="26"/>
      <c r="O34" s="26"/>
      <c r="P34" s="26"/>
      <c r="Q34" s="26"/>
      <c r="R34" s="26"/>
      <c r="S34" s="29" t="str">
        <f>IF(CONFIG!$B$28="No","",IF(AND(ISNUMBER(D34),ISNUMBER(R34),R34&gt;=0,R34&lt;=100,U34&lt;&gt;""),D34*R34/100,""))</f>
        <v/>
      </c>
      <c r="T34" s="29" t="str">
        <f>IF(CONFIG!$B$28="No","",IF(AND(ISNUMBER(D34),ISNUMBER(S34)),D34-S34,""))</f>
        <v/>
      </c>
      <c r="U34" s="26"/>
      <c r="V34" s="29" t="str">
        <f t="shared" si="3"/>
        <v/>
      </c>
      <c r="W34" s="29" t="str">
        <f t="shared" si="4"/>
        <v/>
      </c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9" t="str">
        <f>IF(A34="","",COUNTIF($B$7:B34,B34))</f>
        <v/>
      </c>
      <c r="AK34" s="29" t="str">
        <f t="shared" si="5"/>
        <v/>
      </c>
      <c r="AL34" s="29" t="str">
        <f>IF(A34="","",IF(COUNTIFS(EVALUACION!$A$7:$A$36,A34,EVALUACION!$B$7:$B$36,B34)=0,"✖ Evaluación/paciente inconsistente",IF(OR(D34&lt;0,E34&lt;0,N34&lt;0,O34&lt;0),"✖ Valor negativo",IF(OR(AND(ISNUMBER(D34),OR(D34&lt;CONFIG!$B$38,D34&gt;CONFIG!$B$39)),AND(ISNUMBER(E34),OR(E34&lt;CONFIG!$B$40,E34&gt;CONFIG!$B$41))),"▲ Fuera de límite operativo",IF(AND(ISNUMBER(R34),OR(R34&lt;0,R34&gt;100)),"✖ % grasa fuera de 0–100",IF(AND(ISNUMBER(R34),U34=""),"▲ Falta fuente de % grasa",IF(E34="","▲ Estatura faltante",IF(AC34="Sí","▲ Edema registrado","✔ Correcto"))))))))</f>
        <v/>
      </c>
    </row>
    <row r="35" spans="1:38" ht="14.25" customHeight="1">
      <c r="A35" s="26"/>
      <c r="B35" s="26"/>
      <c r="C35" s="27"/>
      <c r="D35" s="26"/>
      <c r="E35" s="26"/>
      <c r="F35" s="29" t="str">
        <f t="shared" si="0"/>
        <v/>
      </c>
      <c r="G35" s="26"/>
      <c r="H35" s="26"/>
      <c r="I35" s="26"/>
      <c r="J35" s="29" t="str">
        <f t="shared" si="1"/>
        <v/>
      </c>
      <c r="K35" s="29" t="str">
        <f t="shared" si="2"/>
        <v/>
      </c>
      <c r="L35" s="26"/>
      <c r="M35" s="26"/>
      <c r="N35" s="26"/>
      <c r="O35" s="26"/>
      <c r="P35" s="26"/>
      <c r="Q35" s="26"/>
      <c r="R35" s="26"/>
      <c r="S35" s="29" t="str">
        <f>IF(CONFIG!$B$28="No","",IF(AND(ISNUMBER(D35),ISNUMBER(R35),R35&gt;=0,R35&lt;=100,U35&lt;&gt;""),D35*R35/100,""))</f>
        <v/>
      </c>
      <c r="T35" s="29" t="str">
        <f>IF(CONFIG!$B$28="No","",IF(AND(ISNUMBER(D35),ISNUMBER(S35)),D35-S35,""))</f>
        <v/>
      </c>
      <c r="U35" s="26"/>
      <c r="V35" s="29" t="str">
        <f t="shared" si="3"/>
        <v/>
      </c>
      <c r="W35" s="29" t="str">
        <f t="shared" si="4"/>
        <v/>
      </c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9" t="str">
        <f>IF(A35="","",COUNTIF($B$7:B35,B35))</f>
        <v/>
      </c>
      <c r="AK35" s="29" t="str">
        <f t="shared" si="5"/>
        <v/>
      </c>
      <c r="AL35" s="29" t="str">
        <f>IF(A35="","",IF(COUNTIFS(EVALUACION!$A$7:$A$36,A35,EVALUACION!$B$7:$B$36,B35)=0,"✖ Evaluación/paciente inconsistente",IF(OR(D35&lt;0,E35&lt;0,N35&lt;0,O35&lt;0),"✖ Valor negativo",IF(OR(AND(ISNUMBER(D35),OR(D35&lt;CONFIG!$B$38,D35&gt;CONFIG!$B$39)),AND(ISNUMBER(E35),OR(E35&lt;CONFIG!$B$40,E35&gt;CONFIG!$B$41))),"▲ Fuera de límite operativo",IF(AND(ISNUMBER(R35),OR(R35&lt;0,R35&gt;100)),"✖ % grasa fuera de 0–100",IF(AND(ISNUMBER(R35),U35=""),"▲ Falta fuente de % grasa",IF(E35="","▲ Estatura faltante",IF(AC35="Sí","▲ Edema registrado","✔ Correcto"))))))))</f>
        <v/>
      </c>
    </row>
    <row r="36" spans="1:38" ht="14.25" customHeight="1">
      <c r="A36" s="26"/>
      <c r="B36" s="26"/>
      <c r="C36" s="27"/>
      <c r="D36" s="26"/>
      <c r="E36" s="26"/>
      <c r="F36" s="29" t="str">
        <f t="shared" si="0"/>
        <v/>
      </c>
      <c r="G36" s="26"/>
      <c r="H36" s="26"/>
      <c r="I36" s="26"/>
      <c r="J36" s="29" t="str">
        <f t="shared" si="1"/>
        <v/>
      </c>
      <c r="K36" s="29" t="str">
        <f t="shared" si="2"/>
        <v/>
      </c>
      <c r="L36" s="26"/>
      <c r="M36" s="26"/>
      <c r="N36" s="26"/>
      <c r="O36" s="26"/>
      <c r="P36" s="26"/>
      <c r="Q36" s="26"/>
      <c r="R36" s="26"/>
      <c r="S36" s="29" t="str">
        <f>IF(CONFIG!$B$28="No","",IF(AND(ISNUMBER(D36),ISNUMBER(R36),R36&gt;=0,R36&lt;=100,U36&lt;&gt;""),D36*R36/100,""))</f>
        <v/>
      </c>
      <c r="T36" s="29" t="str">
        <f>IF(CONFIG!$B$28="No","",IF(AND(ISNUMBER(D36),ISNUMBER(S36)),D36-S36,""))</f>
        <v/>
      </c>
      <c r="U36" s="26"/>
      <c r="V36" s="29" t="str">
        <f t="shared" si="3"/>
        <v/>
      </c>
      <c r="W36" s="29" t="str">
        <f t="shared" si="4"/>
        <v/>
      </c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9" t="str">
        <f>IF(A36="","",COUNTIF($B$7:B36,B36))</f>
        <v/>
      </c>
      <c r="AK36" s="29" t="str">
        <f t="shared" si="5"/>
        <v/>
      </c>
      <c r="AL36" s="29" t="str">
        <f>IF(A36="","",IF(COUNTIFS(EVALUACION!$A$7:$A$36,A36,EVALUACION!$B$7:$B$36,B36)=0,"✖ Evaluación/paciente inconsistente",IF(OR(D36&lt;0,E36&lt;0,N36&lt;0,O36&lt;0),"✖ Valor negativo",IF(OR(AND(ISNUMBER(D36),OR(D36&lt;CONFIG!$B$38,D36&gt;CONFIG!$B$39)),AND(ISNUMBER(E36),OR(E36&lt;CONFIG!$B$40,E36&gt;CONFIG!$B$41))),"▲ Fuera de límite operativo",IF(AND(ISNUMBER(R36),OR(R36&lt;0,R36&gt;100)),"✖ % grasa fuera de 0–100",IF(AND(ISNUMBER(R36),U36=""),"▲ Falta fuente de % grasa",IF(E36="","▲ Estatura faltante",IF(AC36="Sí","▲ Edema registrado","✔ Correcto"))))))))</f>
        <v/>
      </c>
    </row>
  </sheetData>
  <mergeCells count="3">
    <mergeCell ref="A1:AL1"/>
    <mergeCell ref="A3:AL3"/>
    <mergeCell ref="A5:AL5"/>
  </mergeCells>
  <conditionalFormatting sqref="AL7:AL36">
    <cfRule type="expression" dxfId="42" priority="2">
      <formula>LEFT(AL7,1)="✖"</formula>
    </cfRule>
    <cfRule type="expression" dxfId="41" priority="3">
      <formula>LEFT(AL7,1)="▲"</formula>
    </cfRule>
    <cfRule type="expression" dxfId="40" priority="4">
      <formula>LEFT(AL7,1)="✔"</formula>
    </cfRule>
  </conditionalFormatting>
  <dataValidations count="8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F7:F12 J7:K12 S7:T12 V7:W12 AJ7:AL12" xr:uid="{00000000-0002-0000-0400-000000000000}">
      <formula1>0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Y7:Y36" xr:uid="{00000000-0002-0000-0400-000001000000}">
      <formula1>Lista_SiNoNA</formula1>
      <formula2>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350. Los límites son operativos." sqref="D7:D36 G7:I36 O7:O36" xr:uid="{00000000-0002-0000-0400-000002000000}">
      <formula1>0</formula1>
      <formula2>350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250. Los límites son operativos." sqref="E7:E36" xr:uid="{00000000-0002-0000-0400-000003000000}">
      <formula1>0</formula1>
      <formula2>250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300. Los límites son operativos." sqref="N7:N36" xr:uid="{00000000-0002-0000-0400-000004000000}">
      <formula1>0</formula1>
      <formula2>300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100. Los límites son operativos." sqref="P7:R36" xr:uid="{00000000-0002-0000-0400-000005000000}">
      <formula1>0</formula1>
      <formula2>100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C7:C36" xr:uid="{00000000-0002-0000-0400-000006000000}">
      <formula1>DATE(1900,1,1)</formula1>
      <formula2>TODAY()+3650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AG7:AG36" xr:uid="{00000000-0002-0000-0400-000007000000}">
      <formula1>Lista_FuenteDato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6"/>
  <sheetViews>
    <sheetView showGridLines="0" workbookViewId="0">
      <selection sqref="A1:X1"/>
    </sheetView>
  </sheetViews>
  <sheetFormatPr baseColWidth="10" defaultColWidth="9" defaultRowHeight="15"/>
  <cols>
    <col min="1" max="2" width="14" style="15" customWidth="1"/>
    <col min="3" max="3" width="12" style="15" customWidth="1"/>
    <col min="4" max="4" width="24" style="15" customWidth="1"/>
    <col min="5" max="5" width="14" style="15" customWidth="1"/>
    <col min="6" max="6" width="20" style="15" customWidth="1"/>
    <col min="7" max="7" width="12" style="15" customWidth="1"/>
    <col min="8" max="9" width="14" style="15" customWidth="1"/>
    <col min="10" max="10" width="22" style="15" customWidth="1"/>
    <col min="11" max="11" width="18" style="15" customWidth="1"/>
    <col min="12" max="12" width="22" style="15" customWidth="1"/>
    <col min="13" max="13" width="20" style="15" customWidth="1"/>
    <col min="14" max="14" width="24" style="15" customWidth="1"/>
    <col min="15" max="15" width="30" style="15" customWidth="1"/>
    <col min="16" max="16" width="16" style="15" customWidth="1"/>
    <col min="17" max="18" width="12" style="15" customWidth="1"/>
    <col min="19" max="19" width="18" style="15" customWidth="1"/>
    <col min="20" max="20" width="20" style="15" customWidth="1"/>
    <col min="21" max="21" width="34" style="15" customWidth="1"/>
    <col min="22" max="22" width="12" style="15" customWidth="1"/>
    <col min="23" max="23" width="20" style="15" customWidth="1"/>
    <col min="24" max="24" width="30" style="15" customWidth="1"/>
  </cols>
  <sheetData>
    <row r="1" spans="1:24" ht="27.75" customHeight="1">
      <c r="A1" s="14" t="s">
        <v>242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24" ht="30" customHeight="1">
      <c r="A3" s="8" t="s">
        <v>243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5" spans="1:24" ht="19.5" customHeight="1">
      <c r="A5" s="12" t="s">
        <v>244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36" customHeight="1">
      <c r="A6" s="19" t="s">
        <v>128</v>
      </c>
      <c r="B6" s="19" t="s">
        <v>76</v>
      </c>
      <c r="C6" s="19" t="s">
        <v>245</v>
      </c>
      <c r="D6" s="19" t="s">
        <v>246</v>
      </c>
      <c r="E6" s="19" t="s">
        <v>247</v>
      </c>
      <c r="F6" s="19" t="s">
        <v>248</v>
      </c>
      <c r="G6" s="19" t="s">
        <v>249</v>
      </c>
      <c r="H6" s="19" t="s">
        <v>250</v>
      </c>
      <c r="I6" s="19" t="s">
        <v>251</v>
      </c>
      <c r="J6" s="19" t="s">
        <v>252</v>
      </c>
      <c r="K6" s="19" t="s">
        <v>253</v>
      </c>
      <c r="L6" s="19" t="s">
        <v>254</v>
      </c>
      <c r="M6" s="19" t="s">
        <v>255</v>
      </c>
      <c r="N6" s="19" t="s">
        <v>256</v>
      </c>
      <c r="O6" s="19" t="s">
        <v>257</v>
      </c>
      <c r="P6" s="19" t="s">
        <v>258</v>
      </c>
      <c r="Q6" s="19" t="s">
        <v>77</v>
      </c>
      <c r="R6" s="19" t="s">
        <v>96</v>
      </c>
      <c r="S6" s="19" t="s">
        <v>135</v>
      </c>
      <c r="T6" s="19" t="s">
        <v>97</v>
      </c>
      <c r="U6" s="19" t="s">
        <v>98</v>
      </c>
      <c r="V6" s="19" t="s">
        <v>259</v>
      </c>
      <c r="W6" s="19" t="s">
        <v>260</v>
      </c>
      <c r="X6" s="19" t="s">
        <v>99</v>
      </c>
    </row>
    <row r="7" spans="1:24" ht="24" customHeight="1">
      <c r="A7" s="26" t="s">
        <v>143</v>
      </c>
      <c r="B7" s="26" t="s">
        <v>100</v>
      </c>
      <c r="C7" s="27">
        <v>46170</v>
      </c>
      <c r="D7" s="26" t="s">
        <v>261</v>
      </c>
      <c r="E7" s="26">
        <v>100</v>
      </c>
      <c r="F7" s="26"/>
      <c r="G7" s="26" t="s">
        <v>262</v>
      </c>
      <c r="H7" s="26">
        <v>70</v>
      </c>
      <c r="I7" s="26">
        <v>110</v>
      </c>
      <c r="J7" s="26" t="s">
        <v>263</v>
      </c>
      <c r="K7" s="28" t="str">
        <f>IF(CONFIG!$B$23="No","Módulo desactivado",IF(D7="","No evaluable",IF(AND(E7="",F7&lt;&gt;""),"No evaluable",IF(NOT(ISNUMBER(E7)),"No evaluable",IF(OR(H7="",I7=""),"No evaluable",IF(H7&gt;I7,"No evaluable",IF(E7&lt;H7,"Bajo",IF(E7&gt;I7,"Alto","Dentro de rango"))))))))</f>
        <v>Dentro de rango</v>
      </c>
      <c r="L7" s="26" t="s">
        <v>264</v>
      </c>
      <c r="M7" s="26" t="s">
        <v>265</v>
      </c>
      <c r="N7" s="26" t="s">
        <v>266</v>
      </c>
      <c r="O7" s="26" t="s">
        <v>267</v>
      </c>
      <c r="P7" s="26" t="s">
        <v>149</v>
      </c>
      <c r="Q7" s="27">
        <v>46174</v>
      </c>
      <c r="R7" s="27">
        <v>46216</v>
      </c>
      <c r="S7" s="26" t="s">
        <v>108</v>
      </c>
      <c r="T7" s="26" t="s">
        <v>109</v>
      </c>
      <c r="U7" s="26" t="s">
        <v>110</v>
      </c>
      <c r="V7" s="28" t="str">
        <f>IF(AND(A7&lt;&gt;"",OR(K7="Bajo",K7="Alto",K7="No evaluable")),COUNTIFS($A$7:A7,A7,$K$7:K7,"Bajo")+COUNTIFS($A$7:A7,A7,$K$7:K7,"Alto")+COUNTIFS($A$7:A7,A7,$K$7:K7,"No evaluable"),"")</f>
        <v/>
      </c>
      <c r="W7" s="28" t="str">
        <f t="shared" ref="W7:W38" si="0">IF(V7="","",A7&amp;"|FLAG|"&amp;V7)</f>
        <v/>
      </c>
      <c r="X7" s="29" t="str">
        <f>IF(A7="","",IF(CONFIG!$B$23="No","▲ Módulo desactivado",IF(COUNTIFS(EVALUACION!$A$7:$A$3006,A7,EVALUACION!$B$7:$B$3006,B7)=0,"✖ Evaluación/paciente inconsistente",IF(D7="","✖ Analito vacío",IF(AND(E7&lt;&gt;"",F7&lt;&gt;""),"▲ Resultado numérico y cualitativo simultáneos",IF(AND(E7="",F7=""),"✖ Falta resultado",IF(AND(ISNUMBER(H7),ISNUMBER(I7),H7&gt;I7),"✖ Límite inferior mayor",IF(AND(E7&lt;&gt;"",G7=""),"▲ Unidad vacía","✔ Revisar clínicamente"))))))))</f>
        <v>✔ Revisar clínicamente</v>
      </c>
    </row>
    <row r="8" spans="1:24" ht="24" customHeight="1">
      <c r="A8" s="26" t="s">
        <v>143</v>
      </c>
      <c r="B8" s="26" t="s">
        <v>100</v>
      </c>
      <c r="C8" s="27">
        <v>46170</v>
      </c>
      <c r="D8" s="26" t="s">
        <v>268</v>
      </c>
      <c r="E8" s="26">
        <v>130</v>
      </c>
      <c r="F8" s="26"/>
      <c r="G8" s="26" t="s">
        <v>262</v>
      </c>
      <c r="H8" s="26">
        <v>70</v>
      </c>
      <c r="I8" s="26">
        <v>110</v>
      </c>
      <c r="J8" s="26" t="s">
        <v>263</v>
      </c>
      <c r="K8" s="28" t="str">
        <f>IF(CONFIG!$B$23="No","Módulo desactivado",IF(D8="","No evaluable",IF(AND(E8="",F8&lt;&gt;""),"No evaluable",IF(NOT(ISNUMBER(E8)),"No evaluable",IF(OR(H8="",I8=""),"No evaluable",IF(H8&gt;I8,"No evaluable",IF(E8&lt;H8,"Bajo",IF(E8&gt;I8,"Alto","Dentro de rango"))))))))</f>
        <v>Alto</v>
      </c>
      <c r="L8" s="26" t="s">
        <v>264</v>
      </c>
      <c r="M8" s="26" t="s">
        <v>265</v>
      </c>
      <c r="N8" s="26" t="s">
        <v>266</v>
      </c>
      <c r="O8" s="26" t="s">
        <v>269</v>
      </c>
      <c r="P8" s="26" t="s">
        <v>149</v>
      </c>
      <c r="Q8" s="27">
        <v>46174</v>
      </c>
      <c r="R8" s="27">
        <v>46216</v>
      </c>
      <c r="S8" s="26" t="s">
        <v>108</v>
      </c>
      <c r="T8" s="26" t="s">
        <v>109</v>
      </c>
      <c r="U8" s="26" t="s">
        <v>110</v>
      </c>
      <c r="V8" s="28">
        <f>IF(AND(A8&lt;&gt;"",OR(K8="Bajo",K8="Alto",K8="No evaluable")),COUNTIFS($A$7:A8,A8,$K$7:K8,"Bajo")+COUNTIFS($A$7:A8,A8,$K$7:K8,"Alto")+COUNTIFS($A$7:A8,A8,$K$7:K8,"No evaluable"),"")</f>
        <v>1</v>
      </c>
      <c r="W8" s="28" t="str">
        <f t="shared" si="0"/>
        <v>E-A-01|FLAG|1</v>
      </c>
      <c r="X8" s="29" t="str">
        <f>IF(A8="","",IF(CONFIG!$B$23="No","▲ Módulo desactivado",IF(COUNTIFS(EVALUACION!$A$7:$A$3006,A8,EVALUACION!$B$7:$B$3006,B8)=0,"✖ Evaluación/paciente inconsistente",IF(D8="","✖ Analito vacío",IF(AND(E8&lt;&gt;"",F8&lt;&gt;""),"▲ Resultado numérico y cualitativo simultáneos",IF(AND(E8="",F8=""),"✖ Falta resultado",IF(AND(ISNUMBER(H8),ISNUMBER(I8),H8&gt;I8),"✖ Límite inferior mayor",IF(AND(E8&lt;&gt;"",G8=""),"▲ Unidad vacía","✔ Revisar clínicamente"))))))))</f>
        <v>✔ Revisar clínicamente</v>
      </c>
    </row>
    <row r="9" spans="1:24" ht="24" customHeight="1">
      <c r="A9" s="26" t="s">
        <v>165</v>
      </c>
      <c r="B9" s="26" t="s">
        <v>119</v>
      </c>
      <c r="C9" s="27">
        <v>46178</v>
      </c>
      <c r="D9" s="26" t="s">
        <v>261</v>
      </c>
      <c r="E9" s="26">
        <v>90</v>
      </c>
      <c r="F9" s="26"/>
      <c r="G9" s="26" t="s">
        <v>262</v>
      </c>
      <c r="H9" s="26"/>
      <c r="I9" s="26"/>
      <c r="J9" s="26"/>
      <c r="K9" s="28" t="str">
        <f>IF(CONFIG!$B$23="No","Módulo desactivado",IF(D9="","No evaluable",IF(AND(E9="",F9&lt;&gt;""),"No evaluable",IF(NOT(ISNUMBER(E9)),"No evaluable",IF(OR(H9="",I9=""),"No evaluable",IF(H9&gt;I9,"No evaluable",IF(E9&lt;H9,"Bajo",IF(E9&gt;I9,"Alto","Dentro de rango"))))))))</f>
        <v>No evaluable</v>
      </c>
      <c r="L9" s="26" t="s">
        <v>264</v>
      </c>
      <c r="M9" s="26" t="s">
        <v>116</v>
      </c>
      <c r="N9" s="26"/>
      <c r="O9" s="26" t="s">
        <v>270</v>
      </c>
      <c r="P9" s="26" t="s">
        <v>117</v>
      </c>
      <c r="Q9" s="27">
        <v>46183</v>
      </c>
      <c r="R9" s="27">
        <v>46216</v>
      </c>
      <c r="S9" s="26" t="s">
        <v>108</v>
      </c>
      <c r="T9" s="26" t="s">
        <v>109</v>
      </c>
      <c r="U9" s="26" t="s">
        <v>110</v>
      </c>
      <c r="V9" s="28">
        <f>IF(AND(A9&lt;&gt;"",OR(K9="Bajo",K9="Alto",K9="No evaluable")),COUNTIFS($A$7:A9,A9,$K$7:K9,"Bajo")+COUNTIFS($A$7:A9,A9,$K$7:K9,"Alto")+COUNTIFS($A$7:A9,A9,$K$7:K9,"No evaluable"),"")</f>
        <v>1</v>
      </c>
      <c r="W9" s="28" t="str">
        <f t="shared" si="0"/>
        <v>E-D-01|FLAG|1</v>
      </c>
      <c r="X9" s="29" t="str">
        <f>IF(A9="","",IF(CONFIG!$B$23="No","▲ Módulo desactivado",IF(COUNTIFS(EVALUACION!$A$7:$A$3006,A9,EVALUACION!$B$7:$B$3006,B9)=0,"✖ Evaluación/paciente inconsistente",IF(D9="","✖ Analito vacío",IF(AND(E9&lt;&gt;"",F9&lt;&gt;""),"▲ Resultado numérico y cualitativo simultáneos",IF(AND(E9="",F9=""),"✖ Falta resultado",IF(AND(ISNUMBER(H9),ISNUMBER(I9),H9&gt;I9),"✖ Límite inferior mayor",IF(AND(E9&lt;&gt;"",G9=""),"▲ Unidad vacía","✔ Revisar clínicamente"))))))))</f>
        <v>✔ Revisar clínicamente</v>
      </c>
    </row>
    <row r="10" spans="1:24" ht="24" customHeight="1">
      <c r="A10" s="26" t="s">
        <v>165</v>
      </c>
      <c r="B10" s="26" t="s">
        <v>119</v>
      </c>
      <c r="C10" s="27">
        <v>46178</v>
      </c>
      <c r="D10" s="26" t="s">
        <v>271</v>
      </c>
      <c r="E10" s="26"/>
      <c r="F10" s="26" t="s">
        <v>272</v>
      </c>
      <c r="G10" s="26" t="s">
        <v>273</v>
      </c>
      <c r="H10" s="26"/>
      <c r="I10" s="26"/>
      <c r="J10" s="26" t="s">
        <v>248</v>
      </c>
      <c r="K10" s="28" t="str">
        <f>IF(CONFIG!$B$23="No","Módulo desactivado",IF(D10="","No evaluable",IF(AND(E10="",F10&lt;&gt;""),"No evaluable",IF(NOT(ISNUMBER(E10)),"No evaluable",IF(OR(H10="",I10=""),"No evaluable",IF(H10&gt;I10,"No evaluable",IF(E10&lt;H10,"Bajo",IF(E10&gt;I10,"Alto","Dentro de rango"))))))))</f>
        <v>No evaluable</v>
      </c>
      <c r="L10" s="26" t="s">
        <v>264</v>
      </c>
      <c r="M10" s="26" t="s">
        <v>116</v>
      </c>
      <c r="N10" s="26" t="s">
        <v>266</v>
      </c>
      <c r="O10" s="26" t="s">
        <v>274</v>
      </c>
      <c r="P10" s="26" t="s">
        <v>117</v>
      </c>
      <c r="Q10" s="27">
        <v>46183</v>
      </c>
      <c r="R10" s="27">
        <v>46216</v>
      </c>
      <c r="S10" s="26" t="s">
        <v>108</v>
      </c>
      <c r="T10" s="26" t="s">
        <v>109</v>
      </c>
      <c r="U10" s="26" t="s">
        <v>110</v>
      </c>
      <c r="V10" s="28">
        <f>IF(AND(A10&lt;&gt;"",OR(K10="Bajo",K10="Alto",K10="No evaluable")),COUNTIFS($A$7:A10,A10,$K$7:K10,"Bajo")+COUNTIFS($A$7:A10,A10,$K$7:K10,"Alto")+COUNTIFS($A$7:A10,A10,$K$7:K10,"No evaluable"),"")</f>
        <v>2</v>
      </c>
      <c r="W10" s="28" t="str">
        <f t="shared" si="0"/>
        <v>E-D-01|FLAG|2</v>
      </c>
      <c r="X10" s="29" t="str">
        <f>IF(A10="","",IF(CONFIG!$B$23="No","▲ Módulo desactivado",IF(COUNTIFS(EVALUACION!$A$7:$A$3006,A10,EVALUACION!$B$7:$B$3006,B10)=0,"✖ Evaluación/paciente inconsistente",IF(D10="","✖ Analito vacío",IF(AND(E10&lt;&gt;"",F10&lt;&gt;""),"▲ Resultado numérico y cualitativo simultáneos",IF(AND(E10="",F10=""),"✖ Falta resultado",IF(AND(ISNUMBER(H10),ISNUMBER(I10),H10&gt;I10),"✖ Límite inferior mayor",IF(AND(E10&lt;&gt;"",G10=""),"▲ Unidad vacía","✔ Revisar clínicamente"))))))))</f>
        <v>✔ Revisar clínicamente</v>
      </c>
    </row>
    <row r="11" spans="1:24" ht="14.25" customHeight="1">
      <c r="A11" s="26"/>
      <c r="B11" s="26"/>
      <c r="C11" s="27"/>
      <c r="D11" s="26"/>
      <c r="E11" s="26"/>
      <c r="F11" s="26"/>
      <c r="G11" s="26"/>
      <c r="H11" s="26"/>
      <c r="I11" s="26"/>
      <c r="J11" s="26"/>
      <c r="K11" s="28" t="str">
        <f>IF(CONFIG!$B$23="No","Módulo desactivado",IF(D11="","No evaluable",IF(AND(E11="",F11&lt;&gt;""),"No evaluable",IF(NOT(ISNUMBER(E11)),"No evaluable",IF(OR(H11="",I11=""),"No evaluable",IF(H11&gt;I11,"No evaluable",IF(E11&lt;H11,"Bajo",IF(E11&gt;I11,"Alto","Dentro de rango"))))))))</f>
        <v>No evaluable</v>
      </c>
      <c r="L11" s="26"/>
      <c r="M11" s="26"/>
      <c r="N11" s="26"/>
      <c r="O11" s="26"/>
      <c r="P11" s="26"/>
      <c r="Q11" s="27"/>
      <c r="R11" s="27"/>
      <c r="S11" s="26"/>
      <c r="T11" s="26"/>
      <c r="U11" s="26"/>
      <c r="V11" s="28" t="str">
        <f>IF(AND(A11&lt;&gt;"",OR(K11="Bajo",K11="Alto",K11="No evaluable")),COUNTIFS($A$7:A11,A11,$K$7:K11,"Bajo")+COUNTIFS($A$7:A11,A11,$K$7:K11,"Alto")+COUNTIFS($A$7:A11,A11,$K$7:K11,"No evaluable"),"")</f>
        <v/>
      </c>
      <c r="W11" s="28" t="str">
        <f t="shared" si="0"/>
        <v/>
      </c>
      <c r="X11" s="29" t="str">
        <f>IF(A11="","",IF(CONFIG!$B$23="No","▲ Módulo desactivado",IF(COUNTIFS(EVALUACION!$A$7:$A$3006,A11,EVALUACION!$B$7:$B$3006,B11)=0,"✖ Evaluación/paciente inconsistente",IF(D11="","✖ Analito vacío",IF(AND(E11&lt;&gt;"",F11&lt;&gt;""),"▲ Resultado numérico y cualitativo simultáneos",IF(AND(E11="",F11=""),"✖ Falta resultado",IF(AND(ISNUMBER(H11),ISNUMBER(I11),H11&gt;I11),"✖ Límite inferior mayor",IF(AND(E11&lt;&gt;"",G11=""),"▲ Unidad vacía","✔ Revisar clínicamente"))))))))</f>
        <v/>
      </c>
    </row>
    <row r="12" spans="1:24" ht="14.25" customHeight="1">
      <c r="A12" s="26"/>
      <c r="B12" s="26"/>
      <c r="C12" s="27"/>
      <c r="D12" s="26"/>
      <c r="E12" s="26"/>
      <c r="F12" s="26"/>
      <c r="G12" s="26"/>
      <c r="H12" s="26"/>
      <c r="I12" s="26"/>
      <c r="J12" s="26"/>
      <c r="K12" s="28" t="str">
        <f>IF(CONFIG!$B$23="No","Módulo desactivado",IF(D12="","No evaluable",IF(AND(E12="",F12&lt;&gt;""),"No evaluable",IF(NOT(ISNUMBER(E12)),"No evaluable",IF(OR(H12="",I12=""),"No evaluable",IF(H12&gt;I12,"No evaluable",IF(E12&lt;H12,"Bajo",IF(E12&gt;I12,"Alto","Dentro de rango"))))))))</f>
        <v>No evaluable</v>
      </c>
      <c r="L12" s="26"/>
      <c r="M12" s="26"/>
      <c r="N12" s="26"/>
      <c r="O12" s="26"/>
      <c r="P12" s="26"/>
      <c r="Q12" s="27"/>
      <c r="R12" s="27"/>
      <c r="S12" s="26"/>
      <c r="T12" s="26"/>
      <c r="U12" s="26"/>
      <c r="V12" s="28" t="str">
        <f>IF(AND(A12&lt;&gt;"",OR(K12="Bajo",K12="Alto",K12="No evaluable")),COUNTIFS($A$7:A12,A12,$K$7:K12,"Bajo")+COUNTIFS($A$7:A12,A12,$K$7:K12,"Alto")+COUNTIFS($A$7:A12,A12,$K$7:K12,"No evaluable"),"")</f>
        <v/>
      </c>
      <c r="W12" s="28" t="str">
        <f t="shared" si="0"/>
        <v/>
      </c>
      <c r="X12" s="29" t="str">
        <f>IF(A12="","",IF(CONFIG!$B$23="No","▲ Módulo desactivado",IF(COUNTIFS(EVALUACION!$A$7:$A$3006,A12,EVALUACION!$B$7:$B$3006,B12)=0,"✖ Evaluación/paciente inconsistente",IF(D12="","✖ Analito vacío",IF(AND(E12&lt;&gt;"",F12&lt;&gt;""),"▲ Resultado numérico y cualitativo simultáneos",IF(AND(E12="",F12=""),"✖ Falta resultado",IF(AND(ISNUMBER(H12),ISNUMBER(I12),H12&gt;I12),"✖ Límite inferior mayor",IF(AND(E12&lt;&gt;"",G12=""),"▲ Unidad vacía","✔ Revisar clínicamente"))))))))</f>
        <v/>
      </c>
    </row>
    <row r="13" spans="1:24" ht="14.25" customHeight="1">
      <c r="A13" s="26"/>
      <c r="B13" s="26"/>
      <c r="C13" s="27"/>
      <c r="D13" s="26"/>
      <c r="E13" s="26"/>
      <c r="F13" s="26"/>
      <c r="G13" s="26"/>
      <c r="H13" s="26"/>
      <c r="I13" s="26"/>
      <c r="J13" s="26"/>
      <c r="K13" s="28" t="str">
        <f>IF(CONFIG!$B$23="No","Módulo desactivado",IF(D13="","No evaluable",IF(AND(E13="",F13&lt;&gt;""),"No evaluable",IF(NOT(ISNUMBER(E13)),"No evaluable",IF(OR(H13="",I13=""),"No evaluable",IF(H13&gt;I13,"No evaluable",IF(E13&lt;H13,"Bajo",IF(E13&gt;I13,"Alto","Dentro de rango"))))))))</f>
        <v>No evaluable</v>
      </c>
      <c r="L13" s="26"/>
      <c r="M13" s="26"/>
      <c r="N13" s="26"/>
      <c r="O13" s="26"/>
      <c r="P13" s="26"/>
      <c r="Q13" s="27"/>
      <c r="R13" s="27"/>
      <c r="S13" s="26"/>
      <c r="T13" s="26"/>
      <c r="U13" s="26"/>
      <c r="V13" s="28" t="str">
        <f>IF(AND(A13&lt;&gt;"",OR(K13="Bajo",K13="Alto",K13="No evaluable")),COUNTIFS($A$7:A13,A13,$K$7:K13,"Bajo")+COUNTIFS($A$7:A13,A13,$K$7:K13,"Alto")+COUNTIFS($A$7:A13,A13,$K$7:K13,"No evaluable"),"")</f>
        <v/>
      </c>
      <c r="W13" s="28" t="str">
        <f t="shared" si="0"/>
        <v/>
      </c>
      <c r="X13" s="29" t="str">
        <f>IF(A13="","",IF(CONFIG!$B$23="No","▲ Módulo desactivado",IF(COUNTIFS(EVALUACION!$A$7:$A$3006,A13,EVALUACION!$B$7:$B$3006,B13)=0,"✖ Evaluación/paciente inconsistente",IF(D13="","✖ Analito vacío",IF(AND(E13&lt;&gt;"",F13&lt;&gt;""),"▲ Resultado numérico y cualitativo simultáneos",IF(AND(E13="",F13=""),"✖ Falta resultado",IF(AND(ISNUMBER(H13),ISNUMBER(I13),H13&gt;I13),"✖ Límite inferior mayor",IF(AND(E13&lt;&gt;"",G13=""),"▲ Unidad vacía","✔ Revisar clínicamente"))))))))</f>
        <v/>
      </c>
    </row>
    <row r="14" spans="1:24" ht="14.25" customHeight="1">
      <c r="A14" s="26"/>
      <c r="B14" s="26"/>
      <c r="C14" s="27"/>
      <c r="D14" s="26"/>
      <c r="E14" s="26"/>
      <c r="F14" s="26"/>
      <c r="G14" s="26"/>
      <c r="H14" s="26"/>
      <c r="I14" s="26"/>
      <c r="J14" s="26"/>
      <c r="K14" s="28" t="str">
        <f>IF(CONFIG!$B$23="No","Módulo desactivado",IF(D14="","No evaluable",IF(AND(E14="",F14&lt;&gt;""),"No evaluable",IF(NOT(ISNUMBER(E14)),"No evaluable",IF(OR(H14="",I14=""),"No evaluable",IF(H14&gt;I14,"No evaluable",IF(E14&lt;H14,"Bajo",IF(E14&gt;I14,"Alto","Dentro de rango"))))))))</f>
        <v>No evaluable</v>
      </c>
      <c r="L14" s="26"/>
      <c r="M14" s="26"/>
      <c r="N14" s="26"/>
      <c r="O14" s="26"/>
      <c r="P14" s="26"/>
      <c r="Q14" s="27"/>
      <c r="R14" s="27"/>
      <c r="S14" s="26"/>
      <c r="T14" s="26"/>
      <c r="U14" s="26"/>
      <c r="V14" s="28" t="str">
        <f>IF(AND(A14&lt;&gt;"",OR(K14="Bajo",K14="Alto",K14="No evaluable")),COUNTIFS($A$7:A14,A14,$K$7:K14,"Bajo")+COUNTIFS($A$7:A14,A14,$K$7:K14,"Alto")+COUNTIFS($A$7:A14,A14,$K$7:K14,"No evaluable"),"")</f>
        <v/>
      </c>
      <c r="W14" s="28" t="str">
        <f t="shared" si="0"/>
        <v/>
      </c>
      <c r="X14" s="29" t="str">
        <f>IF(A14="","",IF(CONFIG!$B$23="No","▲ Módulo desactivado",IF(COUNTIFS(EVALUACION!$A$7:$A$3006,A14,EVALUACION!$B$7:$B$3006,B14)=0,"✖ Evaluación/paciente inconsistente",IF(D14="","✖ Analito vacío",IF(AND(E14&lt;&gt;"",F14&lt;&gt;""),"▲ Resultado numérico y cualitativo simultáneos",IF(AND(E14="",F14=""),"✖ Falta resultado",IF(AND(ISNUMBER(H14),ISNUMBER(I14),H14&gt;I14),"✖ Límite inferior mayor",IF(AND(E14&lt;&gt;"",G14=""),"▲ Unidad vacía","✔ Revisar clínicamente"))))))))</f>
        <v/>
      </c>
    </row>
    <row r="15" spans="1:24" ht="14.25" customHeight="1">
      <c r="A15" s="26"/>
      <c r="B15" s="26"/>
      <c r="C15" s="27"/>
      <c r="D15" s="26"/>
      <c r="E15" s="26"/>
      <c r="F15" s="26"/>
      <c r="G15" s="26"/>
      <c r="H15" s="26"/>
      <c r="I15" s="26"/>
      <c r="J15" s="26"/>
      <c r="K15" s="28" t="str">
        <f>IF(CONFIG!$B$23="No","Módulo desactivado",IF(D15="","No evaluable",IF(AND(E15="",F15&lt;&gt;""),"No evaluable",IF(NOT(ISNUMBER(E15)),"No evaluable",IF(OR(H15="",I15=""),"No evaluable",IF(H15&gt;I15,"No evaluable",IF(E15&lt;H15,"Bajo",IF(E15&gt;I15,"Alto","Dentro de rango"))))))))</f>
        <v>No evaluable</v>
      </c>
      <c r="L15" s="26"/>
      <c r="M15" s="26"/>
      <c r="N15" s="26"/>
      <c r="O15" s="26"/>
      <c r="P15" s="26"/>
      <c r="Q15" s="27"/>
      <c r="R15" s="27"/>
      <c r="S15" s="26"/>
      <c r="T15" s="26"/>
      <c r="U15" s="26"/>
      <c r="V15" s="28" t="str">
        <f>IF(AND(A15&lt;&gt;"",OR(K15="Bajo",K15="Alto",K15="No evaluable")),COUNTIFS($A$7:A15,A15,$K$7:K15,"Bajo")+COUNTIFS($A$7:A15,A15,$K$7:K15,"Alto")+COUNTIFS($A$7:A15,A15,$K$7:K15,"No evaluable"),"")</f>
        <v/>
      </c>
      <c r="W15" s="28" t="str">
        <f t="shared" si="0"/>
        <v/>
      </c>
      <c r="X15" s="29" t="str">
        <f>IF(A15="","",IF(CONFIG!$B$23="No","▲ Módulo desactivado",IF(COUNTIFS(EVALUACION!$A$7:$A$3006,A15,EVALUACION!$B$7:$B$3006,B15)=0,"✖ Evaluación/paciente inconsistente",IF(D15="","✖ Analito vacío",IF(AND(E15&lt;&gt;"",F15&lt;&gt;""),"▲ Resultado numérico y cualitativo simultáneos",IF(AND(E15="",F15=""),"✖ Falta resultado",IF(AND(ISNUMBER(H15),ISNUMBER(I15),H15&gt;I15),"✖ Límite inferior mayor",IF(AND(E15&lt;&gt;"",G15=""),"▲ Unidad vacía","✔ Revisar clínicamente"))))))))</f>
        <v/>
      </c>
    </row>
    <row r="16" spans="1:24" ht="14.25" customHeight="1">
      <c r="A16" s="26"/>
      <c r="B16" s="26"/>
      <c r="C16" s="27"/>
      <c r="D16" s="26"/>
      <c r="E16" s="26"/>
      <c r="F16" s="26"/>
      <c r="G16" s="26"/>
      <c r="H16" s="26"/>
      <c r="I16" s="26"/>
      <c r="J16" s="26"/>
      <c r="K16" s="29" t="str">
        <f>IF(CONFIG!$B$23="No","Módulo desactivado",IF(D16="","No evaluable",IF(AND(E16="",F16&lt;&gt;""),"No evaluable",IF(NOT(ISNUMBER(E16)),"No evaluable",IF(OR(H16="",I16=""),"No evaluable",IF(H16&gt;I16,"No evaluable",IF(E16&lt;H16,"Bajo",IF(E16&gt;I16,"Alto","Dentro de rango"))))))))</f>
        <v>No evaluable</v>
      </c>
      <c r="L16" s="26"/>
      <c r="M16" s="26"/>
      <c r="N16" s="26"/>
      <c r="O16" s="26"/>
      <c r="P16" s="26"/>
      <c r="Q16" s="27"/>
      <c r="R16" s="27"/>
      <c r="S16" s="26"/>
      <c r="T16" s="26"/>
      <c r="U16" s="26"/>
      <c r="V16" s="29" t="str">
        <f>IF(AND(A16&lt;&gt;"",OR(K16="Bajo",K16="Alto",K16="No evaluable")),COUNTIFS($A$7:A16,A16,$K$7:K16,"Bajo")+COUNTIFS($A$7:A16,A16,$K$7:K16,"Alto")+COUNTIFS($A$7:A16,A16,$K$7:K16,"No evaluable"),"")</f>
        <v/>
      </c>
      <c r="W16" s="29" t="str">
        <f t="shared" si="0"/>
        <v/>
      </c>
      <c r="X16" s="29" t="str">
        <f>IF(A16="","",IF(CONFIG!$B$23="No","▲ Módulo desactivado",IF(COUNTIFS(EVALUACION!$A$7:$A$36,A16,EVALUACION!$B$7:$B$36,B16)=0,"✖ Evaluación/paciente inconsistente",IF(D16="","✖ Analito vacío",IF(AND(E16&lt;&gt;"",F16&lt;&gt;""),"▲ Resultado numérico y cualitativo simultáneos",IF(AND(E16="",F16=""),"✖ Falta resultado",IF(AND(ISNUMBER(H16),ISNUMBER(I16),H16&gt;I16),"✖ Límite inferior mayor",IF(AND(E16&lt;&gt;"",G16=""),"▲ Unidad vacía","✔ Revisar clínicamente"))))))))</f>
        <v/>
      </c>
    </row>
    <row r="17" spans="1:24" ht="14.25" customHeight="1">
      <c r="A17" s="26"/>
      <c r="B17" s="26"/>
      <c r="C17" s="27"/>
      <c r="D17" s="26"/>
      <c r="E17" s="26"/>
      <c r="F17" s="26"/>
      <c r="G17" s="26"/>
      <c r="H17" s="26"/>
      <c r="I17" s="26"/>
      <c r="J17" s="26"/>
      <c r="K17" s="29" t="str">
        <f>IF(CONFIG!$B$23="No","Módulo desactivado",IF(D17="","No evaluable",IF(AND(E17="",F17&lt;&gt;""),"No evaluable",IF(NOT(ISNUMBER(E17)),"No evaluable",IF(OR(H17="",I17=""),"No evaluable",IF(H17&gt;I17,"No evaluable",IF(E17&lt;H17,"Bajo",IF(E17&gt;I17,"Alto","Dentro de rango"))))))))</f>
        <v>No evaluable</v>
      </c>
      <c r="L17" s="26"/>
      <c r="M17" s="26"/>
      <c r="N17" s="26"/>
      <c r="O17" s="26"/>
      <c r="P17" s="26"/>
      <c r="Q17" s="27"/>
      <c r="R17" s="27"/>
      <c r="S17" s="26"/>
      <c r="T17" s="26"/>
      <c r="U17" s="26"/>
      <c r="V17" s="29" t="str">
        <f>IF(AND(A17&lt;&gt;"",OR(K17="Bajo",K17="Alto",K17="No evaluable")),COUNTIFS($A$7:A17,A17,$K$7:K17,"Bajo")+COUNTIFS($A$7:A17,A17,$K$7:K17,"Alto")+COUNTIFS($A$7:A17,A17,$K$7:K17,"No evaluable"),"")</f>
        <v/>
      </c>
      <c r="W17" s="29" t="str">
        <f t="shared" si="0"/>
        <v/>
      </c>
      <c r="X17" s="29" t="str">
        <f>IF(A17="","",IF(CONFIG!$B$23="No","▲ Módulo desactivado",IF(COUNTIFS(EVALUACION!$A$7:$A$36,A17,EVALUACION!$B$7:$B$36,B17)=0,"✖ Evaluación/paciente inconsistente",IF(D17="","✖ Analito vacío",IF(AND(E17&lt;&gt;"",F17&lt;&gt;""),"▲ Resultado numérico y cualitativo simultáneos",IF(AND(E17="",F17=""),"✖ Falta resultado",IF(AND(ISNUMBER(H17),ISNUMBER(I17),H17&gt;I17),"✖ Límite inferior mayor",IF(AND(E17&lt;&gt;"",G17=""),"▲ Unidad vacía","✔ Revisar clínicamente"))))))))</f>
        <v/>
      </c>
    </row>
    <row r="18" spans="1:24" ht="14.25" customHeight="1">
      <c r="A18" s="26"/>
      <c r="B18" s="26"/>
      <c r="C18" s="27"/>
      <c r="D18" s="26"/>
      <c r="E18" s="26"/>
      <c r="F18" s="26"/>
      <c r="G18" s="26"/>
      <c r="H18" s="26"/>
      <c r="I18" s="26"/>
      <c r="J18" s="26"/>
      <c r="K18" s="29" t="str">
        <f>IF(CONFIG!$B$23="No","Módulo desactivado",IF(D18="","No evaluable",IF(AND(E18="",F18&lt;&gt;""),"No evaluable",IF(NOT(ISNUMBER(E18)),"No evaluable",IF(OR(H18="",I18=""),"No evaluable",IF(H18&gt;I18,"No evaluable",IF(E18&lt;H18,"Bajo",IF(E18&gt;I18,"Alto","Dentro de rango"))))))))</f>
        <v>No evaluable</v>
      </c>
      <c r="L18" s="26"/>
      <c r="M18" s="26"/>
      <c r="N18" s="26"/>
      <c r="O18" s="26"/>
      <c r="P18" s="26"/>
      <c r="Q18" s="27"/>
      <c r="R18" s="27"/>
      <c r="S18" s="26"/>
      <c r="T18" s="26"/>
      <c r="U18" s="26"/>
      <c r="V18" s="29" t="str">
        <f>IF(AND(A18&lt;&gt;"",OR(K18="Bajo",K18="Alto",K18="No evaluable")),COUNTIFS($A$7:A18,A18,$K$7:K18,"Bajo")+COUNTIFS($A$7:A18,A18,$K$7:K18,"Alto")+COUNTIFS($A$7:A18,A18,$K$7:K18,"No evaluable"),"")</f>
        <v/>
      </c>
      <c r="W18" s="29" t="str">
        <f t="shared" si="0"/>
        <v/>
      </c>
      <c r="X18" s="29" t="str">
        <f>IF(A18="","",IF(CONFIG!$B$23="No","▲ Módulo desactivado",IF(COUNTIFS(EVALUACION!$A$7:$A$36,A18,EVALUACION!$B$7:$B$36,B18)=0,"✖ Evaluación/paciente inconsistente",IF(D18="","✖ Analito vacío",IF(AND(E18&lt;&gt;"",F18&lt;&gt;""),"▲ Resultado numérico y cualitativo simultáneos",IF(AND(E18="",F18=""),"✖ Falta resultado",IF(AND(ISNUMBER(H18),ISNUMBER(I18),H18&gt;I18),"✖ Límite inferior mayor",IF(AND(E18&lt;&gt;"",G18=""),"▲ Unidad vacía","✔ Revisar clínicamente"))))))))</f>
        <v/>
      </c>
    </row>
    <row r="19" spans="1:24" ht="14.25" customHeight="1">
      <c r="A19" s="26"/>
      <c r="B19" s="26"/>
      <c r="C19" s="27"/>
      <c r="D19" s="26"/>
      <c r="E19" s="26"/>
      <c r="F19" s="26"/>
      <c r="G19" s="26"/>
      <c r="H19" s="26"/>
      <c r="I19" s="26"/>
      <c r="J19" s="26"/>
      <c r="K19" s="29" t="str">
        <f>IF(CONFIG!$B$23="No","Módulo desactivado",IF(D19="","No evaluable",IF(AND(E19="",F19&lt;&gt;""),"No evaluable",IF(NOT(ISNUMBER(E19)),"No evaluable",IF(OR(H19="",I19=""),"No evaluable",IF(H19&gt;I19,"No evaluable",IF(E19&lt;H19,"Bajo",IF(E19&gt;I19,"Alto","Dentro de rango"))))))))</f>
        <v>No evaluable</v>
      </c>
      <c r="L19" s="26"/>
      <c r="M19" s="26"/>
      <c r="N19" s="26"/>
      <c r="O19" s="26"/>
      <c r="P19" s="26"/>
      <c r="Q19" s="27"/>
      <c r="R19" s="27"/>
      <c r="S19" s="26"/>
      <c r="T19" s="26"/>
      <c r="U19" s="26"/>
      <c r="V19" s="29" t="str">
        <f>IF(AND(A19&lt;&gt;"",OR(K19="Bajo",K19="Alto",K19="No evaluable")),COUNTIFS($A$7:A19,A19,$K$7:K19,"Bajo")+COUNTIFS($A$7:A19,A19,$K$7:K19,"Alto")+COUNTIFS($A$7:A19,A19,$K$7:K19,"No evaluable"),"")</f>
        <v/>
      </c>
      <c r="W19" s="29" t="str">
        <f t="shared" si="0"/>
        <v/>
      </c>
      <c r="X19" s="29" t="str">
        <f>IF(A19="","",IF(CONFIG!$B$23="No","▲ Módulo desactivado",IF(COUNTIFS(EVALUACION!$A$7:$A$36,A19,EVALUACION!$B$7:$B$36,B19)=0,"✖ Evaluación/paciente inconsistente",IF(D19="","✖ Analito vacío",IF(AND(E19&lt;&gt;"",F19&lt;&gt;""),"▲ Resultado numérico y cualitativo simultáneos",IF(AND(E19="",F19=""),"✖ Falta resultado",IF(AND(ISNUMBER(H19),ISNUMBER(I19),H19&gt;I19),"✖ Límite inferior mayor",IF(AND(E19&lt;&gt;"",G19=""),"▲ Unidad vacía","✔ Revisar clínicamente"))))))))</f>
        <v/>
      </c>
    </row>
    <row r="20" spans="1:24" ht="14.25" customHeight="1">
      <c r="A20" s="26"/>
      <c r="B20" s="26"/>
      <c r="C20" s="27"/>
      <c r="D20" s="26"/>
      <c r="E20" s="26"/>
      <c r="F20" s="26"/>
      <c r="G20" s="26"/>
      <c r="H20" s="26"/>
      <c r="I20" s="26"/>
      <c r="J20" s="26"/>
      <c r="K20" s="29" t="str">
        <f>IF(CONFIG!$B$23="No","Módulo desactivado",IF(D20="","No evaluable",IF(AND(E20="",F20&lt;&gt;""),"No evaluable",IF(NOT(ISNUMBER(E20)),"No evaluable",IF(OR(H20="",I20=""),"No evaluable",IF(H20&gt;I20,"No evaluable",IF(E20&lt;H20,"Bajo",IF(E20&gt;I20,"Alto","Dentro de rango"))))))))</f>
        <v>No evaluable</v>
      </c>
      <c r="L20" s="26"/>
      <c r="M20" s="26"/>
      <c r="N20" s="26"/>
      <c r="O20" s="26"/>
      <c r="P20" s="26"/>
      <c r="Q20" s="27"/>
      <c r="R20" s="27"/>
      <c r="S20" s="26"/>
      <c r="T20" s="26"/>
      <c r="U20" s="26"/>
      <c r="V20" s="29" t="str">
        <f>IF(AND(A20&lt;&gt;"",OR(K20="Bajo",K20="Alto",K20="No evaluable")),COUNTIFS($A$7:A20,A20,$K$7:K20,"Bajo")+COUNTIFS($A$7:A20,A20,$K$7:K20,"Alto")+COUNTIFS($A$7:A20,A20,$K$7:K20,"No evaluable"),"")</f>
        <v/>
      </c>
      <c r="W20" s="29" t="str">
        <f t="shared" si="0"/>
        <v/>
      </c>
      <c r="X20" s="29" t="str">
        <f>IF(A20="","",IF(CONFIG!$B$23="No","▲ Módulo desactivado",IF(COUNTIFS(EVALUACION!$A$7:$A$36,A20,EVALUACION!$B$7:$B$36,B20)=0,"✖ Evaluación/paciente inconsistente",IF(D20="","✖ Analito vacío",IF(AND(E20&lt;&gt;"",F20&lt;&gt;""),"▲ Resultado numérico y cualitativo simultáneos",IF(AND(E20="",F20=""),"✖ Falta resultado",IF(AND(ISNUMBER(H20),ISNUMBER(I20),H20&gt;I20),"✖ Límite inferior mayor",IF(AND(E20&lt;&gt;"",G20=""),"▲ Unidad vacía","✔ Revisar clínicamente"))))))))</f>
        <v/>
      </c>
    </row>
    <row r="21" spans="1:24" ht="14.25" customHeight="1">
      <c r="A21" s="26"/>
      <c r="B21" s="26"/>
      <c r="C21" s="27"/>
      <c r="D21" s="26"/>
      <c r="E21" s="26"/>
      <c r="F21" s="26"/>
      <c r="G21" s="26"/>
      <c r="H21" s="26"/>
      <c r="I21" s="26"/>
      <c r="J21" s="26"/>
      <c r="K21" s="29" t="str">
        <f>IF(CONFIG!$B$23="No","Módulo desactivado",IF(D21="","No evaluable",IF(AND(E21="",F21&lt;&gt;""),"No evaluable",IF(NOT(ISNUMBER(E21)),"No evaluable",IF(OR(H21="",I21=""),"No evaluable",IF(H21&gt;I21,"No evaluable",IF(E21&lt;H21,"Bajo",IF(E21&gt;I21,"Alto","Dentro de rango"))))))))</f>
        <v>No evaluable</v>
      </c>
      <c r="L21" s="26"/>
      <c r="M21" s="26"/>
      <c r="N21" s="26"/>
      <c r="O21" s="26"/>
      <c r="P21" s="26"/>
      <c r="Q21" s="27"/>
      <c r="R21" s="27"/>
      <c r="S21" s="26"/>
      <c r="T21" s="26"/>
      <c r="U21" s="26"/>
      <c r="V21" s="29" t="str">
        <f>IF(AND(A21&lt;&gt;"",OR(K21="Bajo",K21="Alto",K21="No evaluable")),COUNTIFS($A$7:A21,A21,$K$7:K21,"Bajo")+COUNTIFS($A$7:A21,A21,$K$7:K21,"Alto")+COUNTIFS($A$7:A21,A21,$K$7:K21,"No evaluable"),"")</f>
        <v/>
      </c>
      <c r="W21" s="29" t="str">
        <f t="shared" si="0"/>
        <v/>
      </c>
      <c r="X21" s="29" t="str">
        <f>IF(A21="","",IF(CONFIG!$B$23="No","▲ Módulo desactivado",IF(COUNTIFS(EVALUACION!$A$7:$A$36,A21,EVALUACION!$B$7:$B$36,B21)=0,"✖ Evaluación/paciente inconsistente",IF(D21="","✖ Analito vacío",IF(AND(E21&lt;&gt;"",F21&lt;&gt;""),"▲ Resultado numérico y cualitativo simultáneos",IF(AND(E21="",F21=""),"✖ Falta resultado",IF(AND(ISNUMBER(H21),ISNUMBER(I21),H21&gt;I21),"✖ Límite inferior mayor",IF(AND(E21&lt;&gt;"",G21=""),"▲ Unidad vacía","✔ Revisar clínicamente"))))))))</f>
        <v/>
      </c>
    </row>
    <row r="22" spans="1:24" ht="14.25" customHeight="1">
      <c r="A22" s="26"/>
      <c r="B22" s="26"/>
      <c r="C22" s="27"/>
      <c r="D22" s="26"/>
      <c r="E22" s="26"/>
      <c r="F22" s="26"/>
      <c r="G22" s="26"/>
      <c r="H22" s="26"/>
      <c r="I22" s="26"/>
      <c r="J22" s="26"/>
      <c r="K22" s="29" t="str">
        <f>IF(CONFIG!$B$23="No","Módulo desactivado",IF(D22="","No evaluable",IF(AND(E22="",F22&lt;&gt;""),"No evaluable",IF(NOT(ISNUMBER(E22)),"No evaluable",IF(OR(H22="",I22=""),"No evaluable",IF(H22&gt;I22,"No evaluable",IF(E22&lt;H22,"Bajo",IF(E22&gt;I22,"Alto","Dentro de rango"))))))))</f>
        <v>No evaluable</v>
      </c>
      <c r="L22" s="26"/>
      <c r="M22" s="26"/>
      <c r="N22" s="26"/>
      <c r="O22" s="26"/>
      <c r="P22" s="26"/>
      <c r="Q22" s="27"/>
      <c r="R22" s="27"/>
      <c r="S22" s="26"/>
      <c r="T22" s="26"/>
      <c r="U22" s="26"/>
      <c r="V22" s="29" t="str">
        <f>IF(AND(A22&lt;&gt;"",OR(K22="Bajo",K22="Alto",K22="No evaluable")),COUNTIFS($A$7:A22,A22,$K$7:K22,"Bajo")+COUNTIFS($A$7:A22,A22,$K$7:K22,"Alto")+COUNTIFS($A$7:A22,A22,$K$7:K22,"No evaluable"),"")</f>
        <v/>
      </c>
      <c r="W22" s="29" t="str">
        <f t="shared" si="0"/>
        <v/>
      </c>
      <c r="X22" s="29" t="str">
        <f>IF(A22="","",IF(CONFIG!$B$23="No","▲ Módulo desactivado",IF(COUNTIFS(EVALUACION!$A$7:$A$36,A22,EVALUACION!$B$7:$B$36,B22)=0,"✖ Evaluación/paciente inconsistente",IF(D22="","✖ Analito vacío",IF(AND(E22&lt;&gt;"",F22&lt;&gt;""),"▲ Resultado numérico y cualitativo simultáneos",IF(AND(E22="",F22=""),"✖ Falta resultado",IF(AND(ISNUMBER(H22),ISNUMBER(I22),H22&gt;I22),"✖ Límite inferior mayor",IF(AND(E22&lt;&gt;"",G22=""),"▲ Unidad vacía","✔ Revisar clínicamente"))))))))</f>
        <v/>
      </c>
    </row>
    <row r="23" spans="1:24" ht="14.25" customHeight="1">
      <c r="A23" s="26"/>
      <c r="B23" s="26"/>
      <c r="C23" s="27"/>
      <c r="D23" s="26"/>
      <c r="E23" s="26"/>
      <c r="F23" s="26"/>
      <c r="G23" s="26"/>
      <c r="H23" s="26"/>
      <c r="I23" s="26"/>
      <c r="J23" s="26"/>
      <c r="K23" s="29" t="str">
        <f>IF(CONFIG!$B$23="No","Módulo desactivado",IF(D23="","No evaluable",IF(AND(E23="",F23&lt;&gt;""),"No evaluable",IF(NOT(ISNUMBER(E23)),"No evaluable",IF(OR(H23="",I23=""),"No evaluable",IF(H23&gt;I23,"No evaluable",IF(E23&lt;H23,"Bajo",IF(E23&gt;I23,"Alto","Dentro de rango"))))))))</f>
        <v>No evaluable</v>
      </c>
      <c r="L23" s="26"/>
      <c r="M23" s="26"/>
      <c r="N23" s="26"/>
      <c r="O23" s="26"/>
      <c r="P23" s="26"/>
      <c r="Q23" s="27"/>
      <c r="R23" s="27"/>
      <c r="S23" s="26"/>
      <c r="T23" s="26"/>
      <c r="U23" s="26"/>
      <c r="V23" s="29" t="str">
        <f>IF(AND(A23&lt;&gt;"",OR(K23="Bajo",K23="Alto",K23="No evaluable")),COUNTIFS($A$7:A23,A23,$K$7:K23,"Bajo")+COUNTIFS($A$7:A23,A23,$K$7:K23,"Alto")+COUNTIFS($A$7:A23,A23,$K$7:K23,"No evaluable"),"")</f>
        <v/>
      </c>
      <c r="W23" s="29" t="str">
        <f t="shared" si="0"/>
        <v/>
      </c>
      <c r="X23" s="29" t="str">
        <f>IF(A23="","",IF(CONFIG!$B$23="No","▲ Módulo desactivado",IF(COUNTIFS(EVALUACION!$A$7:$A$36,A23,EVALUACION!$B$7:$B$36,B23)=0,"✖ Evaluación/paciente inconsistente",IF(D23="","✖ Analito vacío",IF(AND(E23&lt;&gt;"",F23&lt;&gt;""),"▲ Resultado numérico y cualitativo simultáneos",IF(AND(E23="",F23=""),"✖ Falta resultado",IF(AND(ISNUMBER(H23),ISNUMBER(I23),H23&gt;I23),"✖ Límite inferior mayor",IF(AND(E23&lt;&gt;"",G23=""),"▲ Unidad vacía","✔ Revisar clínicamente"))))))))</f>
        <v/>
      </c>
    </row>
    <row r="24" spans="1:24" ht="14.25" customHeight="1">
      <c r="A24" s="26"/>
      <c r="B24" s="26"/>
      <c r="C24" s="27"/>
      <c r="D24" s="26"/>
      <c r="E24" s="26"/>
      <c r="F24" s="26"/>
      <c r="G24" s="26"/>
      <c r="H24" s="26"/>
      <c r="I24" s="26"/>
      <c r="J24" s="26"/>
      <c r="K24" s="29" t="str">
        <f>IF(CONFIG!$B$23="No","Módulo desactivado",IF(D24="","No evaluable",IF(AND(E24="",F24&lt;&gt;""),"No evaluable",IF(NOT(ISNUMBER(E24)),"No evaluable",IF(OR(H24="",I24=""),"No evaluable",IF(H24&gt;I24,"No evaluable",IF(E24&lt;H24,"Bajo",IF(E24&gt;I24,"Alto","Dentro de rango"))))))))</f>
        <v>No evaluable</v>
      </c>
      <c r="L24" s="26"/>
      <c r="M24" s="26"/>
      <c r="N24" s="26"/>
      <c r="O24" s="26"/>
      <c r="P24" s="26"/>
      <c r="Q24" s="27"/>
      <c r="R24" s="27"/>
      <c r="S24" s="26"/>
      <c r="T24" s="26"/>
      <c r="U24" s="26"/>
      <c r="V24" s="29" t="str">
        <f>IF(AND(A24&lt;&gt;"",OR(K24="Bajo",K24="Alto",K24="No evaluable")),COUNTIFS($A$7:A24,A24,$K$7:K24,"Bajo")+COUNTIFS($A$7:A24,A24,$K$7:K24,"Alto")+COUNTIFS($A$7:A24,A24,$K$7:K24,"No evaluable"),"")</f>
        <v/>
      </c>
      <c r="W24" s="29" t="str">
        <f t="shared" si="0"/>
        <v/>
      </c>
      <c r="X24" s="29" t="str">
        <f>IF(A24="","",IF(CONFIG!$B$23="No","▲ Módulo desactivado",IF(COUNTIFS(EVALUACION!$A$7:$A$36,A24,EVALUACION!$B$7:$B$36,B24)=0,"✖ Evaluación/paciente inconsistente",IF(D24="","✖ Analito vacío",IF(AND(E24&lt;&gt;"",F24&lt;&gt;""),"▲ Resultado numérico y cualitativo simultáneos",IF(AND(E24="",F24=""),"✖ Falta resultado",IF(AND(ISNUMBER(H24),ISNUMBER(I24),H24&gt;I24),"✖ Límite inferior mayor",IF(AND(E24&lt;&gt;"",G24=""),"▲ Unidad vacía","✔ Revisar clínicamente"))))))))</f>
        <v/>
      </c>
    </row>
    <row r="25" spans="1:24" ht="14.25" customHeight="1">
      <c r="A25" s="26"/>
      <c r="B25" s="26"/>
      <c r="C25" s="27"/>
      <c r="D25" s="26"/>
      <c r="E25" s="26"/>
      <c r="F25" s="26"/>
      <c r="G25" s="26"/>
      <c r="H25" s="26"/>
      <c r="I25" s="26"/>
      <c r="J25" s="26"/>
      <c r="K25" s="29" t="str">
        <f>IF(CONFIG!$B$23="No","Módulo desactivado",IF(D25="","No evaluable",IF(AND(E25="",F25&lt;&gt;""),"No evaluable",IF(NOT(ISNUMBER(E25)),"No evaluable",IF(OR(H25="",I25=""),"No evaluable",IF(H25&gt;I25,"No evaluable",IF(E25&lt;H25,"Bajo",IF(E25&gt;I25,"Alto","Dentro de rango"))))))))</f>
        <v>No evaluable</v>
      </c>
      <c r="L25" s="26"/>
      <c r="M25" s="26"/>
      <c r="N25" s="26"/>
      <c r="O25" s="26"/>
      <c r="P25" s="26"/>
      <c r="Q25" s="27"/>
      <c r="R25" s="27"/>
      <c r="S25" s="26"/>
      <c r="T25" s="26"/>
      <c r="U25" s="26"/>
      <c r="V25" s="29" t="str">
        <f>IF(AND(A25&lt;&gt;"",OR(K25="Bajo",K25="Alto",K25="No evaluable")),COUNTIFS($A$7:A25,A25,$K$7:K25,"Bajo")+COUNTIFS($A$7:A25,A25,$K$7:K25,"Alto")+COUNTIFS($A$7:A25,A25,$K$7:K25,"No evaluable"),"")</f>
        <v/>
      </c>
      <c r="W25" s="29" t="str">
        <f t="shared" si="0"/>
        <v/>
      </c>
      <c r="X25" s="29" t="str">
        <f>IF(A25="","",IF(CONFIG!$B$23="No","▲ Módulo desactivado",IF(COUNTIFS(EVALUACION!$A$7:$A$36,A25,EVALUACION!$B$7:$B$36,B25)=0,"✖ Evaluación/paciente inconsistente",IF(D25="","✖ Analito vacío",IF(AND(E25&lt;&gt;"",F25&lt;&gt;""),"▲ Resultado numérico y cualitativo simultáneos",IF(AND(E25="",F25=""),"✖ Falta resultado",IF(AND(ISNUMBER(H25),ISNUMBER(I25),H25&gt;I25),"✖ Límite inferior mayor",IF(AND(E25&lt;&gt;"",G25=""),"▲ Unidad vacía","✔ Revisar clínicamente"))))))))</f>
        <v/>
      </c>
    </row>
    <row r="26" spans="1:24" ht="14.25" customHeight="1">
      <c r="A26" s="26"/>
      <c r="B26" s="26"/>
      <c r="C26" s="27"/>
      <c r="D26" s="26"/>
      <c r="E26" s="26"/>
      <c r="F26" s="26"/>
      <c r="G26" s="26"/>
      <c r="H26" s="26"/>
      <c r="I26" s="26"/>
      <c r="J26" s="26"/>
      <c r="K26" s="29" t="str">
        <f>IF(CONFIG!$B$23="No","Módulo desactivado",IF(D26="","No evaluable",IF(AND(E26="",F26&lt;&gt;""),"No evaluable",IF(NOT(ISNUMBER(E26)),"No evaluable",IF(OR(H26="",I26=""),"No evaluable",IF(H26&gt;I26,"No evaluable",IF(E26&lt;H26,"Bajo",IF(E26&gt;I26,"Alto","Dentro de rango"))))))))</f>
        <v>No evaluable</v>
      </c>
      <c r="L26" s="26"/>
      <c r="M26" s="26"/>
      <c r="N26" s="26"/>
      <c r="O26" s="26"/>
      <c r="P26" s="26"/>
      <c r="Q26" s="27"/>
      <c r="R26" s="27"/>
      <c r="S26" s="26"/>
      <c r="T26" s="26"/>
      <c r="U26" s="26"/>
      <c r="V26" s="29" t="str">
        <f>IF(AND(A26&lt;&gt;"",OR(K26="Bajo",K26="Alto",K26="No evaluable")),COUNTIFS($A$7:A26,A26,$K$7:K26,"Bajo")+COUNTIFS($A$7:A26,A26,$K$7:K26,"Alto")+COUNTIFS($A$7:A26,A26,$K$7:K26,"No evaluable"),"")</f>
        <v/>
      </c>
      <c r="W26" s="29" t="str">
        <f t="shared" si="0"/>
        <v/>
      </c>
      <c r="X26" s="29" t="str">
        <f>IF(A26="","",IF(CONFIG!$B$23="No","▲ Módulo desactivado",IF(COUNTIFS(EVALUACION!$A$7:$A$36,A26,EVALUACION!$B$7:$B$36,B26)=0,"✖ Evaluación/paciente inconsistente",IF(D26="","✖ Analito vacío",IF(AND(E26&lt;&gt;"",F26&lt;&gt;""),"▲ Resultado numérico y cualitativo simultáneos",IF(AND(E26="",F26=""),"✖ Falta resultado",IF(AND(ISNUMBER(H26),ISNUMBER(I26),H26&gt;I26),"✖ Límite inferior mayor",IF(AND(E26&lt;&gt;"",G26=""),"▲ Unidad vacía","✔ Revisar clínicamente"))))))))</f>
        <v/>
      </c>
    </row>
    <row r="27" spans="1:24" ht="14.25" customHeight="1">
      <c r="A27" s="26"/>
      <c r="B27" s="26"/>
      <c r="C27" s="27"/>
      <c r="D27" s="26"/>
      <c r="E27" s="26"/>
      <c r="F27" s="26"/>
      <c r="G27" s="26"/>
      <c r="H27" s="26"/>
      <c r="I27" s="26"/>
      <c r="J27" s="26"/>
      <c r="K27" s="29" t="str">
        <f>IF(CONFIG!$B$23="No","Módulo desactivado",IF(D27="","No evaluable",IF(AND(E27="",F27&lt;&gt;""),"No evaluable",IF(NOT(ISNUMBER(E27)),"No evaluable",IF(OR(H27="",I27=""),"No evaluable",IF(H27&gt;I27,"No evaluable",IF(E27&lt;H27,"Bajo",IF(E27&gt;I27,"Alto","Dentro de rango"))))))))</f>
        <v>No evaluable</v>
      </c>
      <c r="L27" s="26"/>
      <c r="M27" s="26"/>
      <c r="N27" s="26"/>
      <c r="O27" s="26"/>
      <c r="P27" s="26"/>
      <c r="Q27" s="27"/>
      <c r="R27" s="27"/>
      <c r="S27" s="26"/>
      <c r="T27" s="26"/>
      <c r="U27" s="26"/>
      <c r="V27" s="29" t="str">
        <f>IF(AND(A27&lt;&gt;"",OR(K27="Bajo",K27="Alto",K27="No evaluable")),COUNTIFS($A$7:A27,A27,$K$7:K27,"Bajo")+COUNTIFS($A$7:A27,A27,$K$7:K27,"Alto")+COUNTIFS($A$7:A27,A27,$K$7:K27,"No evaluable"),"")</f>
        <v/>
      </c>
      <c r="W27" s="29" t="str">
        <f t="shared" si="0"/>
        <v/>
      </c>
      <c r="X27" s="29" t="str">
        <f>IF(A27="","",IF(CONFIG!$B$23="No","▲ Módulo desactivado",IF(COUNTIFS(EVALUACION!$A$7:$A$36,A27,EVALUACION!$B$7:$B$36,B27)=0,"✖ Evaluación/paciente inconsistente",IF(D27="","✖ Analito vacío",IF(AND(E27&lt;&gt;"",F27&lt;&gt;""),"▲ Resultado numérico y cualitativo simultáneos",IF(AND(E27="",F27=""),"✖ Falta resultado",IF(AND(ISNUMBER(H27),ISNUMBER(I27),H27&gt;I27),"✖ Límite inferior mayor",IF(AND(E27&lt;&gt;"",G27=""),"▲ Unidad vacía","✔ Revisar clínicamente"))))))))</f>
        <v/>
      </c>
    </row>
    <row r="28" spans="1:24" ht="14.25" customHeight="1">
      <c r="A28" s="26"/>
      <c r="B28" s="26"/>
      <c r="C28" s="27"/>
      <c r="D28" s="26"/>
      <c r="E28" s="26"/>
      <c r="F28" s="26"/>
      <c r="G28" s="26"/>
      <c r="H28" s="26"/>
      <c r="I28" s="26"/>
      <c r="J28" s="26"/>
      <c r="K28" s="29" t="str">
        <f>IF(CONFIG!$B$23="No","Módulo desactivado",IF(D28="","No evaluable",IF(AND(E28="",F28&lt;&gt;""),"No evaluable",IF(NOT(ISNUMBER(E28)),"No evaluable",IF(OR(H28="",I28=""),"No evaluable",IF(H28&gt;I28,"No evaluable",IF(E28&lt;H28,"Bajo",IF(E28&gt;I28,"Alto","Dentro de rango"))))))))</f>
        <v>No evaluable</v>
      </c>
      <c r="L28" s="26"/>
      <c r="M28" s="26"/>
      <c r="N28" s="26"/>
      <c r="O28" s="26"/>
      <c r="P28" s="26"/>
      <c r="Q28" s="27"/>
      <c r="R28" s="27"/>
      <c r="S28" s="26"/>
      <c r="T28" s="26"/>
      <c r="U28" s="26"/>
      <c r="V28" s="29" t="str">
        <f>IF(AND(A28&lt;&gt;"",OR(K28="Bajo",K28="Alto",K28="No evaluable")),COUNTIFS($A$7:A28,A28,$K$7:K28,"Bajo")+COUNTIFS($A$7:A28,A28,$K$7:K28,"Alto")+COUNTIFS($A$7:A28,A28,$K$7:K28,"No evaluable"),"")</f>
        <v/>
      </c>
      <c r="W28" s="29" t="str">
        <f t="shared" si="0"/>
        <v/>
      </c>
      <c r="X28" s="29" t="str">
        <f>IF(A28="","",IF(CONFIG!$B$23="No","▲ Módulo desactivado",IF(COUNTIFS(EVALUACION!$A$7:$A$36,A28,EVALUACION!$B$7:$B$36,B28)=0,"✖ Evaluación/paciente inconsistente",IF(D28="","✖ Analito vacío",IF(AND(E28&lt;&gt;"",F28&lt;&gt;""),"▲ Resultado numérico y cualitativo simultáneos",IF(AND(E28="",F28=""),"✖ Falta resultado",IF(AND(ISNUMBER(H28),ISNUMBER(I28),H28&gt;I28),"✖ Límite inferior mayor",IF(AND(E28&lt;&gt;"",G28=""),"▲ Unidad vacía","✔ Revisar clínicamente"))))))))</f>
        <v/>
      </c>
    </row>
    <row r="29" spans="1:24" ht="14.25" customHeight="1">
      <c r="A29" s="26"/>
      <c r="B29" s="26"/>
      <c r="C29" s="27"/>
      <c r="D29" s="26"/>
      <c r="E29" s="26"/>
      <c r="F29" s="26"/>
      <c r="G29" s="26"/>
      <c r="H29" s="26"/>
      <c r="I29" s="26"/>
      <c r="J29" s="26"/>
      <c r="K29" s="29" t="str">
        <f>IF(CONFIG!$B$23="No","Módulo desactivado",IF(D29="","No evaluable",IF(AND(E29="",F29&lt;&gt;""),"No evaluable",IF(NOT(ISNUMBER(E29)),"No evaluable",IF(OR(H29="",I29=""),"No evaluable",IF(H29&gt;I29,"No evaluable",IF(E29&lt;H29,"Bajo",IF(E29&gt;I29,"Alto","Dentro de rango"))))))))</f>
        <v>No evaluable</v>
      </c>
      <c r="L29" s="26"/>
      <c r="M29" s="26"/>
      <c r="N29" s="26"/>
      <c r="O29" s="26"/>
      <c r="P29" s="26"/>
      <c r="Q29" s="27"/>
      <c r="R29" s="27"/>
      <c r="S29" s="26"/>
      <c r="T29" s="26"/>
      <c r="U29" s="26"/>
      <c r="V29" s="29" t="str">
        <f>IF(AND(A29&lt;&gt;"",OR(K29="Bajo",K29="Alto",K29="No evaluable")),COUNTIFS($A$7:A29,A29,$K$7:K29,"Bajo")+COUNTIFS($A$7:A29,A29,$K$7:K29,"Alto")+COUNTIFS($A$7:A29,A29,$K$7:K29,"No evaluable"),"")</f>
        <v/>
      </c>
      <c r="W29" s="29" t="str">
        <f t="shared" si="0"/>
        <v/>
      </c>
      <c r="X29" s="29" t="str">
        <f>IF(A29="","",IF(CONFIG!$B$23="No","▲ Módulo desactivado",IF(COUNTIFS(EVALUACION!$A$7:$A$36,A29,EVALUACION!$B$7:$B$36,B29)=0,"✖ Evaluación/paciente inconsistente",IF(D29="","✖ Analito vacío",IF(AND(E29&lt;&gt;"",F29&lt;&gt;""),"▲ Resultado numérico y cualitativo simultáneos",IF(AND(E29="",F29=""),"✖ Falta resultado",IF(AND(ISNUMBER(H29),ISNUMBER(I29),H29&gt;I29),"✖ Límite inferior mayor",IF(AND(E29&lt;&gt;"",G29=""),"▲ Unidad vacía","✔ Revisar clínicamente"))))))))</f>
        <v/>
      </c>
    </row>
    <row r="30" spans="1:24" ht="14.25" customHeight="1">
      <c r="A30" s="26"/>
      <c r="B30" s="26"/>
      <c r="C30" s="27"/>
      <c r="D30" s="26"/>
      <c r="E30" s="26"/>
      <c r="F30" s="26"/>
      <c r="G30" s="26"/>
      <c r="H30" s="26"/>
      <c r="I30" s="26"/>
      <c r="J30" s="26"/>
      <c r="K30" s="29" t="str">
        <f>IF(CONFIG!$B$23="No","Módulo desactivado",IF(D30="","No evaluable",IF(AND(E30="",F30&lt;&gt;""),"No evaluable",IF(NOT(ISNUMBER(E30)),"No evaluable",IF(OR(H30="",I30=""),"No evaluable",IF(H30&gt;I30,"No evaluable",IF(E30&lt;H30,"Bajo",IF(E30&gt;I30,"Alto","Dentro de rango"))))))))</f>
        <v>No evaluable</v>
      </c>
      <c r="L30" s="26"/>
      <c r="M30" s="26"/>
      <c r="N30" s="26"/>
      <c r="O30" s="26"/>
      <c r="P30" s="26"/>
      <c r="Q30" s="27"/>
      <c r="R30" s="27"/>
      <c r="S30" s="26"/>
      <c r="T30" s="26"/>
      <c r="U30" s="26"/>
      <c r="V30" s="29" t="str">
        <f>IF(AND(A30&lt;&gt;"",OR(K30="Bajo",K30="Alto",K30="No evaluable")),COUNTIFS($A$7:A30,A30,$K$7:K30,"Bajo")+COUNTIFS($A$7:A30,A30,$K$7:K30,"Alto")+COUNTIFS($A$7:A30,A30,$K$7:K30,"No evaluable"),"")</f>
        <v/>
      </c>
      <c r="W30" s="29" t="str">
        <f t="shared" si="0"/>
        <v/>
      </c>
      <c r="X30" s="29" t="str">
        <f>IF(A30="","",IF(CONFIG!$B$23="No","▲ Módulo desactivado",IF(COUNTIFS(EVALUACION!$A$7:$A$36,A30,EVALUACION!$B$7:$B$36,B30)=0,"✖ Evaluación/paciente inconsistente",IF(D30="","✖ Analito vacío",IF(AND(E30&lt;&gt;"",F30&lt;&gt;""),"▲ Resultado numérico y cualitativo simultáneos",IF(AND(E30="",F30=""),"✖ Falta resultado",IF(AND(ISNUMBER(H30),ISNUMBER(I30),H30&gt;I30),"✖ Límite inferior mayor",IF(AND(E30&lt;&gt;"",G30=""),"▲ Unidad vacía","✔ Revisar clínicamente"))))))))</f>
        <v/>
      </c>
    </row>
    <row r="31" spans="1:24" ht="14.25" customHeight="1">
      <c r="A31" s="26"/>
      <c r="B31" s="26"/>
      <c r="C31" s="27"/>
      <c r="D31" s="26"/>
      <c r="E31" s="26"/>
      <c r="F31" s="26"/>
      <c r="G31" s="26"/>
      <c r="H31" s="26"/>
      <c r="I31" s="26"/>
      <c r="J31" s="26"/>
      <c r="K31" s="29" t="str">
        <f>IF(CONFIG!$B$23="No","Módulo desactivado",IF(D31="","No evaluable",IF(AND(E31="",F31&lt;&gt;""),"No evaluable",IF(NOT(ISNUMBER(E31)),"No evaluable",IF(OR(H31="",I31=""),"No evaluable",IF(H31&gt;I31,"No evaluable",IF(E31&lt;H31,"Bajo",IF(E31&gt;I31,"Alto","Dentro de rango"))))))))</f>
        <v>No evaluable</v>
      </c>
      <c r="L31" s="26"/>
      <c r="M31" s="26"/>
      <c r="N31" s="26"/>
      <c r="O31" s="26"/>
      <c r="P31" s="26"/>
      <c r="Q31" s="27"/>
      <c r="R31" s="27"/>
      <c r="S31" s="26"/>
      <c r="T31" s="26"/>
      <c r="U31" s="26"/>
      <c r="V31" s="29" t="str">
        <f>IF(AND(A31&lt;&gt;"",OR(K31="Bajo",K31="Alto",K31="No evaluable")),COUNTIFS($A$7:A31,A31,$K$7:K31,"Bajo")+COUNTIFS($A$7:A31,A31,$K$7:K31,"Alto")+COUNTIFS($A$7:A31,A31,$K$7:K31,"No evaluable"),"")</f>
        <v/>
      </c>
      <c r="W31" s="29" t="str">
        <f t="shared" si="0"/>
        <v/>
      </c>
      <c r="X31" s="29" t="str">
        <f>IF(A31="","",IF(CONFIG!$B$23="No","▲ Módulo desactivado",IF(COUNTIFS(EVALUACION!$A$7:$A$36,A31,EVALUACION!$B$7:$B$36,B31)=0,"✖ Evaluación/paciente inconsistente",IF(D31="","✖ Analito vacío",IF(AND(E31&lt;&gt;"",F31&lt;&gt;""),"▲ Resultado numérico y cualitativo simultáneos",IF(AND(E31="",F31=""),"✖ Falta resultado",IF(AND(ISNUMBER(H31),ISNUMBER(I31),H31&gt;I31),"✖ Límite inferior mayor",IF(AND(E31&lt;&gt;"",G31=""),"▲ Unidad vacía","✔ Revisar clínicamente"))))))))</f>
        <v/>
      </c>
    </row>
    <row r="32" spans="1:24" ht="14.25" customHeight="1">
      <c r="A32" s="26"/>
      <c r="B32" s="26"/>
      <c r="C32" s="27"/>
      <c r="D32" s="26"/>
      <c r="E32" s="26"/>
      <c r="F32" s="26"/>
      <c r="G32" s="26"/>
      <c r="H32" s="26"/>
      <c r="I32" s="26"/>
      <c r="J32" s="26"/>
      <c r="K32" s="29" t="str">
        <f>IF(CONFIG!$B$23="No","Módulo desactivado",IF(D32="","No evaluable",IF(AND(E32="",F32&lt;&gt;""),"No evaluable",IF(NOT(ISNUMBER(E32)),"No evaluable",IF(OR(H32="",I32=""),"No evaluable",IF(H32&gt;I32,"No evaluable",IF(E32&lt;H32,"Bajo",IF(E32&gt;I32,"Alto","Dentro de rango"))))))))</f>
        <v>No evaluable</v>
      </c>
      <c r="L32" s="26"/>
      <c r="M32" s="26"/>
      <c r="N32" s="26"/>
      <c r="O32" s="26"/>
      <c r="P32" s="26"/>
      <c r="Q32" s="27"/>
      <c r="R32" s="27"/>
      <c r="S32" s="26"/>
      <c r="T32" s="26"/>
      <c r="U32" s="26"/>
      <c r="V32" s="29" t="str">
        <f>IF(AND(A32&lt;&gt;"",OR(K32="Bajo",K32="Alto",K32="No evaluable")),COUNTIFS($A$7:A32,A32,$K$7:K32,"Bajo")+COUNTIFS($A$7:A32,A32,$K$7:K32,"Alto")+COUNTIFS($A$7:A32,A32,$K$7:K32,"No evaluable"),"")</f>
        <v/>
      </c>
      <c r="W32" s="29" t="str">
        <f t="shared" si="0"/>
        <v/>
      </c>
      <c r="X32" s="29" t="str">
        <f>IF(A32="","",IF(CONFIG!$B$23="No","▲ Módulo desactivado",IF(COUNTIFS(EVALUACION!$A$7:$A$36,A32,EVALUACION!$B$7:$B$36,B32)=0,"✖ Evaluación/paciente inconsistente",IF(D32="","✖ Analito vacío",IF(AND(E32&lt;&gt;"",F32&lt;&gt;""),"▲ Resultado numérico y cualitativo simultáneos",IF(AND(E32="",F32=""),"✖ Falta resultado",IF(AND(ISNUMBER(H32),ISNUMBER(I32),H32&gt;I32),"✖ Límite inferior mayor",IF(AND(E32&lt;&gt;"",G32=""),"▲ Unidad vacía","✔ Revisar clínicamente"))))))))</f>
        <v/>
      </c>
    </row>
    <row r="33" spans="1:24" ht="14.25" customHeight="1">
      <c r="A33" s="26"/>
      <c r="B33" s="26"/>
      <c r="C33" s="27"/>
      <c r="D33" s="26"/>
      <c r="E33" s="26"/>
      <c r="F33" s="26"/>
      <c r="G33" s="26"/>
      <c r="H33" s="26"/>
      <c r="I33" s="26"/>
      <c r="J33" s="26"/>
      <c r="K33" s="29" t="str">
        <f>IF(CONFIG!$B$23="No","Módulo desactivado",IF(D33="","No evaluable",IF(AND(E33="",F33&lt;&gt;""),"No evaluable",IF(NOT(ISNUMBER(E33)),"No evaluable",IF(OR(H33="",I33=""),"No evaluable",IF(H33&gt;I33,"No evaluable",IF(E33&lt;H33,"Bajo",IF(E33&gt;I33,"Alto","Dentro de rango"))))))))</f>
        <v>No evaluable</v>
      </c>
      <c r="L33" s="26"/>
      <c r="M33" s="26"/>
      <c r="N33" s="26"/>
      <c r="O33" s="26"/>
      <c r="P33" s="26"/>
      <c r="Q33" s="27"/>
      <c r="R33" s="27"/>
      <c r="S33" s="26"/>
      <c r="T33" s="26"/>
      <c r="U33" s="26"/>
      <c r="V33" s="29" t="str">
        <f>IF(AND(A33&lt;&gt;"",OR(K33="Bajo",K33="Alto",K33="No evaluable")),COUNTIFS($A$7:A33,A33,$K$7:K33,"Bajo")+COUNTIFS($A$7:A33,A33,$K$7:K33,"Alto")+COUNTIFS($A$7:A33,A33,$K$7:K33,"No evaluable"),"")</f>
        <v/>
      </c>
      <c r="W33" s="29" t="str">
        <f t="shared" si="0"/>
        <v/>
      </c>
      <c r="X33" s="29" t="str">
        <f>IF(A33="","",IF(CONFIG!$B$23="No","▲ Módulo desactivado",IF(COUNTIFS(EVALUACION!$A$7:$A$36,A33,EVALUACION!$B$7:$B$36,B33)=0,"✖ Evaluación/paciente inconsistente",IF(D33="","✖ Analito vacío",IF(AND(E33&lt;&gt;"",F33&lt;&gt;""),"▲ Resultado numérico y cualitativo simultáneos",IF(AND(E33="",F33=""),"✖ Falta resultado",IF(AND(ISNUMBER(H33),ISNUMBER(I33),H33&gt;I33),"✖ Límite inferior mayor",IF(AND(E33&lt;&gt;"",G33=""),"▲ Unidad vacía","✔ Revisar clínicamente"))))))))</f>
        <v/>
      </c>
    </row>
    <row r="34" spans="1:24" ht="14.25" customHeight="1">
      <c r="A34" s="26"/>
      <c r="B34" s="26"/>
      <c r="C34" s="27"/>
      <c r="D34" s="26"/>
      <c r="E34" s="26"/>
      <c r="F34" s="26"/>
      <c r="G34" s="26"/>
      <c r="H34" s="26"/>
      <c r="I34" s="26"/>
      <c r="J34" s="26"/>
      <c r="K34" s="29" t="str">
        <f>IF(CONFIG!$B$23="No","Módulo desactivado",IF(D34="","No evaluable",IF(AND(E34="",F34&lt;&gt;""),"No evaluable",IF(NOT(ISNUMBER(E34)),"No evaluable",IF(OR(H34="",I34=""),"No evaluable",IF(H34&gt;I34,"No evaluable",IF(E34&lt;H34,"Bajo",IF(E34&gt;I34,"Alto","Dentro de rango"))))))))</f>
        <v>No evaluable</v>
      </c>
      <c r="L34" s="26"/>
      <c r="M34" s="26"/>
      <c r="N34" s="26"/>
      <c r="O34" s="26"/>
      <c r="P34" s="26"/>
      <c r="Q34" s="27"/>
      <c r="R34" s="27"/>
      <c r="S34" s="26"/>
      <c r="T34" s="26"/>
      <c r="U34" s="26"/>
      <c r="V34" s="29" t="str">
        <f>IF(AND(A34&lt;&gt;"",OR(K34="Bajo",K34="Alto",K34="No evaluable")),COUNTIFS($A$7:A34,A34,$K$7:K34,"Bajo")+COUNTIFS($A$7:A34,A34,$K$7:K34,"Alto")+COUNTIFS($A$7:A34,A34,$K$7:K34,"No evaluable"),"")</f>
        <v/>
      </c>
      <c r="W34" s="29" t="str">
        <f t="shared" si="0"/>
        <v/>
      </c>
      <c r="X34" s="29" t="str">
        <f>IF(A34="","",IF(CONFIG!$B$23="No","▲ Módulo desactivado",IF(COUNTIFS(EVALUACION!$A$7:$A$36,A34,EVALUACION!$B$7:$B$36,B34)=0,"✖ Evaluación/paciente inconsistente",IF(D34="","✖ Analito vacío",IF(AND(E34&lt;&gt;"",F34&lt;&gt;""),"▲ Resultado numérico y cualitativo simultáneos",IF(AND(E34="",F34=""),"✖ Falta resultado",IF(AND(ISNUMBER(H34),ISNUMBER(I34),H34&gt;I34),"✖ Límite inferior mayor",IF(AND(E34&lt;&gt;"",G34=""),"▲ Unidad vacía","✔ Revisar clínicamente"))))))))</f>
        <v/>
      </c>
    </row>
    <row r="35" spans="1:24" ht="14.25" customHeight="1">
      <c r="A35" s="26"/>
      <c r="B35" s="26"/>
      <c r="C35" s="27"/>
      <c r="D35" s="26"/>
      <c r="E35" s="26"/>
      <c r="F35" s="26"/>
      <c r="G35" s="26"/>
      <c r="H35" s="26"/>
      <c r="I35" s="26"/>
      <c r="J35" s="26"/>
      <c r="K35" s="29" t="str">
        <f>IF(CONFIG!$B$23="No","Módulo desactivado",IF(D35="","No evaluable",IF(AND(E35="",F35&lt;&gt;""),"No evaluable",IF(NOT(ISNUMBER(E35)),"No evaluable",IF(OR(H35="",I35=""),"No evaluable",IF(H35&gt;I35,"No evaluable",IF(E35&lt;H35,"Bajo",IF(E35&gt;I35,"Alto","Dentro de rango"))))))))</f>
        <v>No evaluable</v>
      </c>
      <c r="L35" s="26"/>
      <c r="M35" s="26"/>
      <c r="N35" s="26"/>
      <c r="O35" s="26"/>
      <c r="P35" s="26"/>
      <c r="Q35" s="27"/>
      <c r="R35" s="27"/>
      <c r="S35" s="26"/>
      <c r="T35" s="26"/>
      <c r="U35" s="26"/>
      <c r="V35" s="29" t="str">
        <f>IF(AND(A35&lt;&gt;"",OR(K35="Bajo",K35="Alto",K35="No evaluable")),COUNTIFS($A$7:A35,A35,$K$7:K35,"Bajo")+COUNTIFS($A$7:A35,A35,$K$7:K35,"Alto")+COUNTIFS($A$7:A35,A35,$K$7:K35,"No evaluable"),"")</f>
        <v/>
      </c>
      <c r="W35" s="29" t="str">
        <f t="shared" si="0"/>
        <v/>
      </c>
      <c r="X35" s="29" t="str">
        <f>IF(A35="","",IF(CONFIG!$B$23="No","▲ Módulo desactivado",IF(COUNTIFS(EVALUACION!$A$7:$A$36,A35,EVALUACION!$B$7:$B$36,B35)=0,"✖ Evaluación/paciente inconsistente",IF(D35="","✖ Analito vacío",IF(AND(E35&lt;&gt;"",F35&lt;&gt;""),"▲ Resultado numérico y cualitativo simultáneos",IF(AND(E35="",F35=""),"✖ Falta resultado",IF(AND(ISNUMBER(H35),ISNUMBER(I35),H35&gt;I35),"✖ Límite inferior mayor",IF(AND(E35&lt;&gt;"",G35=""),"▲ Unidad vacía","✔ Revisar clínicamente"))))))))</f>
        <v/>
      </c>
    </row>
    <row r="36" spans="1:24" ht="14.25" customHeight="1">
      <c r="A36" s="26"/>
      <c r="B36" s="26"/>
      <c r="C36" s="27"/>
      <c r="D36" s="26"/>
      <c r="E36" s="26"/>
      <c r="F36" s="26"/>
      <c r="G36" s="26"/>
      <c r="H36" s="26"/>
      <c r="I36" s="26"/>
      <c r="J36" s="26"/>
      <c r="K36" s="29" t="str">
        <f>IF(CONFIG!$B$23="No","Módulo desactivado",IF(D36="","No evaluable",IF(AND(E36="",F36&lt;&gt;""),"No evaluable",IF(NOT(ISNUMBER(E36)),"No evaluable",IF(OR(H36="",I36=""),"No evaluable",IF(H36&gt;I36,"No evaluable",IF(E36&lt;H36,"Bajo",IF(E36&gt;I36,"Alto","Dentro de rango"))))))))</f>
        <v>No evaluable</v>
      </c>
      <c r="L36" s="26"/>
      <c r="M36" s="26"/>
      <c r="N36" s="26"/>
      <c r="O36" s="26"/>
      <c r="P36" s="26"/>
      <c r="Q36" s="27"/>
      <c r="R36" s="27"/>
      <c r="S36" s="26"/>
      <c r="T36" s="26"/>
      <c r="U36" s="26"/>
      <c r="V36" s="29" t="str">
        <f>IF(AND(A36&lt;&gt;"",OR(K36="Bajo",K36="Alto",K36="No evaluable")),COUNTIFS($A$7:A36,A36,$K$7:K36,"Bajo")+COUNTIFS($A$7:A36,A36,$K$7:K36,"Alto")+COUNTIFS($A$7:A36,A36,$K$7:K36,"No evaluable"),"")</f>
        <v/>
      </c>
      <c r="W36" s="29" t="str">
        <f t="shared" si="0"/>
        <v/>
      </c>
      <c r="X36" s="29" t="str">
        <f>IF(A36="","",IF(CONFIG!$B$23="No","▲ Módulo desactivado",IF(COUNTIFS(EVALUACION!$A$7:$A$36,A36,EVALUACION!$B$7:$B$36,B36)=0,"✖ Evaluación/paciente inconsistente",IF(D36="","✖ Analito vacío",IF(AND(E36&lt;&gt;"",F36&lt;&gt;""),"▲ Resultado numérico y cualitativo simultáneos",IF(AND(E36="",F36=""),"✖ Falta resultado",IF(AND(ISNUMBER(H36),ISNUMBER(I36),H36&gt;I36),"✖ Límite inferior mayor",IF(AND(E36&lt;&gt;"",G36=""),"▲ Unidad vacía","✔ Revisar clínicamente"))))))))</f>
        <v/>
      </c>
    </row>
    <row r="37" spans="1:24" ht="14.25" customHeight="1">
      <c r="A37" s="26"/>
      <c r="B37" s="26"/>
      <c r="C37" s="27"/>
      <c r="D37" s="26"/>
      <c r="E37" s="26"/>
      <c r="F37" s="26"/>
      <c r="G37" s="26"/>
      <c r="H37" s="26"/>
      <c r="I37" s="26"/>
      <c r="J37" s="26"/>
      <c r="K37" s="29" t="str">
        <f>IF(CONFIG!$B$23="No","Módulo desactivado",IF(D37="","No evaluable",IF(AND(E37="",F37&lt;&gt;""),"No evaluable",IF(NOT(ISNUMBER(E37)),"No evaluable",IF(OR(H37="",I37=""),"No evaluable",IF(H37&gt;I37,"No evaluable",IF(E37&lt;H37,"Bajo",IF(E37&gt;I37,"Alto","Dentro de rango"))))))))</f>
        <v>No evaluable</v>
      </c>
      <c r="L37" s="26"/>
      <c r="M37" s="26"/>
      <c r="N37" s="26"/>
      <c r="O37" s="26"/>
      <c r="P37" s="26"/>
      <c r="Q37" s="27"/>
      <c r="R37" s="27"/>
      <c r="S37" s="26"/>
      <c r="T37" s="26"/>
      <c r="U37" s="26"/>
      <c r="V37" s="29" t="str">
        <f>IF(AND(A37&lt;&gt;"",OR(K37="Bajo",K37="Alto",K37="No evaluable")),COUNTIFS($A$7:A37,A37,$K$7:K37,"Bajo")+COUNTIFS($A$7:A37,A37,$K$7:K37,"Alto")+COUNTIFS($A$7:A37,A37,$K$7:K37,"No evaluable"),"")</f>
        <v/>
      </c>
      <c r="W37" s="29" t="str">
        <f t="shared" si="0"/>
        <v/>
      </c>
      <c r="X37" s="29" t="str">
        <f>IF(A37="","",IF(CONFIG!$B$23="No","▲ Módulo desactivado",IF(COUNTIFS(EVALUACION!$A$7:$A$36,A37,EVALUACION!$B$7:$B$36,B37)=0,"✖ Evaluación/paciente inconsistente",IF(D37="","✖ Analito vacío",IF(AND(E37&lt;&gt;"",F37&lt;&gt;""),"▲ Resultado numérico y cualitativo simultáneos",IF(AND(E37="",F37=""),"✖ Falta resultado",IF(AND(ISNUMBER(H37),ISNUMBER(I37),H37&gt;I37),"✖ Límite inferior mayor",IF(AND(E37&lt;&gt;"",G37=""),"▲ Unidad vacía","✔ Revisar clínicamente"))))))))</f>
        <v/>
      </c>
    </row>
    <row r="38" spans="1:24" ht="14.25" customHeight="1">
      <c r="A38" s="26"/>
      <c r="B38" s="26"/>
      <c r="C38" s="27"/>
      <c r="D38" s="26"/>
      <c r="E38" s="26"/>
      <c r="F38" s="26"/>
      <c r="G38" s="26"/>
      <c r="H38" s="26"/>
      <c r="I38" s="26"/>
      <c r="J38" s="26"/>
      <c r="K38" s="29" t="str">
        <f>IF(CONFIG!$B$23="No","Módulo desactivado",IF(D38="","No evaluable",IF(AND(E38="",F38&lt;&gt;""),"No evaluable",IF(NOT(ISNUMBER(E38)),"No evaluable",IF(OR(H38="",I38=""),"No evaluable",IF(H38&gt;I38,"No evaluable",IF(E38&lt;H38,"Bajo",IF(E38&gt;I38,"Alto","Dentro de rango"))))))))</f>
        <v>No evaluable</v>
      </c>
      <c r="L38" s="26"/>
      <c r="M38" s="26"/>
      <c r="N38" s="26"/>
      <c r="O38" s="26"/>
      <c r="P38" s="26"/>
      <c r="Q38" s="27"/>
      <c r="R38" s="27"/>
      <c r="S38" s="26"/>
      <c r="T38" s="26"/>
      <c r="U38" s="26"/>
      <c r="V38" s="29" t="str">
        <f>IF(AND(A38&lt;&gt;"",OR(K38="Bajo",K38="Alto",K38="No evaluable")),COUNTIFS($A$7:A38,A38,$K$7:K38,"Bajo")+COUNTIFS($A$7:A38,A38,$K$7:K38,"Alto")+COUNTIFS($A$7:A38,A38,$K$7:K38,"No evaluable"),"")</f>
        <v/>
      </c>
      <c r="W38" s="29" t="str">
        <f t="shared" si="0"/>
        <v/>
      </c>
      <c r="X38" s="29" t="str">
        <f>IF(A38="","",IF(CONFIG!$B$23="No","▲ Módulo desactivado",IF(COUNTIFS(EVALUACION!$A$7:$A$36,A38,EVALUACION!$B$7:$B$36,B38)=0,"✖ Evaluación/paciente inconsistente",IF(D38="","✖ Analito vacío",IF(AND(E38&lt;&gt;"",F38&lt;&gt;""),"▲ Resultado numérico y cualitativo simultáneos",IF(AND(E38="",F38=""),"✖ Falta resultado",IF(AND(ISNUMBER(H38),ISNUMBER(I38),H38&gt;I38),"✖ Límite inferior mayor",IF(AND(E38&lt;&gt;"",G38=""),"▲ Unidad vacía","✔ Revisar clínicamente"))))))))</f>
        <v/>
      </c>
    </row>
    <row r="39" spans="1:24" ht="14.25" customHeight="1">
      <c r="A39" s="26"/>
      <c r="B39" s="26"/>
      <c r="C39" s="27"/>
      <c r="D39" s="26"/>
      <c r="E39" s="26"/>
      <c r="F39" s="26"/>
      <c r="G39" s="26"/>
      <c r="H39" s="26"/>
      <c r="I39" s="26"/>
      <c r="J39" s="26"/>
      <c r="K39" s="29" t="str">
        <f>IF(CONFIG!$B$23="No","Módulo desactivado",IF(D39="","No evaluable",IF(AND(E39="",F39&lt;&gt;""),"No evaluable",IF(NOT(ISNUMBER(E39)),"No evaluable",IF(OR(H39="",I39=""),"No evaluable",IF(H39&gt;I39,"No evaluable",IF(E39&lt;H39,"Bajo",IF(E39&gt;I39,"Alto","Dentro de rango"))))))))</f>
        <v>No evaluable</v>
      </c>
      <c r="L39" s="26"/>
      <c r="M39" s="26"/>
      <c r="N39" s="26"/>
      <c r="O39" s="26"/>
      <c r="P39" s="26"/>
      <c r="Q39" s="27"/>
      <c r="R39" s="27"/>
      <c r="S39" s="26"/>
      <c r="T39" s="26"/>
      <c r="U39" s="26"/>
      <c r="V39" s="29" t="str">
        <f>IF(AND(A39&lt;&gt;"",OR(K39="Bajo",K39="Alto",K39="No evaluable")),COUNTIFS($A$7:A39,A39,$K$7:K39,"Bajo")+COUNTIFS($A$7:A39,A39,$K$7:K39,"Alto")+COUNTIFS($A$7:A39,A39,$K$7:K39,"No evaluable"),"")</f>
        <v/>
      </c>
      <c r="W39" s="29" t="str">
        <f t="shared" ref="W39:W70" si="1">IF(V39="","",A39&amp;"|FLAG|"&amp;V39)</f>
        <v/>
      </c>
      <c r="X39" s="29" t="str">
        <f>IF(A39="","",IF(CONFIG!$B$23="No","▲ Módulo desactivado",IF(COUNTIFS(EVALUACION!$A$7:$A$36,A39,EVALUACION!$B$7:$B$36,B39)=0,"✖ Evaluación/paciente inconsistente",IF(D39="","✖ Analito vacío",IF(AND(E39&lt;&gt;"",F39&lt;&gt;""),"▲ Resultado numérico y cualitativo simultáneos",IF(AND(E39="",F39=""),"✖ Falta resultado",IF(AND(ISNUMBER(H39),ISNUMBER(I39),H39&gt;I39),"✖ Límite inferior mayor",IF(AND(E39&lt;&gt;"",G39=""),"▲ Unidad vacía","✔ Revisar clínicamente"))))))))</f>
        <v/>
      </c>
    </row>
    <row r="40" spans="1:24" ht="14.25" customHeight="1">
      <c r="A40" s="26"/>
      <c r="B40" s="26"/>
      <c r="C40" s="27"/>
      <c r="D40" s="26"/>
      <c r="E40" s="26"/>
      <c r="F40" s="26"/>
      <c r="G40" s="26"/>
      <c r="H40" s="26"/>
      <c r="I40" s="26"/>
      <c r="J40" s="26"/>
      <c r="K40" s="29" t="str">
        <f>IF(CONFIG!$B$23="No","Módulo desactivado",IF(D40="","No evaluable",IF(AND(E40="",F40&lt;&gt;""),"No evaluable",IF(NOT(ISNUMBER(E40)),"No evaluable",IF(OR(H40="",I40=""),"No evaluable",IF(H40&gt;I40,"No evaluable",IF(E40&lt;H40,"Bajo",IF(E40&gt;I40,"Alto","Dentro de rango"))))))))</f>
        <v>No evaluable</v>
      </c>
      <c r="L40" s="26"/>
      <c r="M40" s="26"/>
      <c r="N40" s="26"/>
      <c r="O40" s="26"/>
      <c r="P40" s="26"/>
      <c r="Q40" s="27"/>
      <c r="R40" s="27"/>
      <c r="S40" s="26"/>
      <c r="T40" s="26"/>
      <c r="U40" s="26"/>
      <c r="V40" s="29" t="str">
        <f>IF(AND(A40&lt;&gt;"",OR(K40="Bajo",K40="Alto",K40="No evaluable")),COUNTIFS($A$7:A40,A40,$K$7:K40,"Bajo")+COUNTIFS($A$7:A40,A40,$K$7:K40,"Alto")+COUNTIFS($A$7:A40,A40,$K$7:K40,"No evaluable"),"")</f>
        <v/>
      </c>
      <c r="W40" s="29" t="str">
        <f t="shared" si="1"/>
        <v/>
      </c>
      <c r="X40" s="29" t="str">
        <f>IF(A40="","",IF(CONFIG!$B$23="No","▲ Módulo desactivado",IF(COUNTIFS(EVALUACION!$A$7:$A$36,A40,EVALUACION!$B$7:$B$36,B40)=0,"✖ Evaluación/paciente inconsistente",IF(D40="","✖ Analito vacío",IF(AND(E40&lt;&gt;"",F40&lt;&gt;""),"▲ Resultado numérico y cualitativo simultáneos",IF(AND(E40="",F40=""),"✖ Falta resultado",IF(AND(ISNUMBER(H40),ISNUMBER(I40),H40&gt;I40),"✖ Límite inferior mayor",IF(AND(E40&lt;&gt;"",G40=""),"▲ Unidad vacía","✔ Revisar clínicamente"))))))))</f>
        <v/>
      </c>
    </row>
    <row r="41" spans="1:24" ht="14.25" customHeight="1">
      <c r="A41" s="26"/>
      <c r="B41" s="26"/>
      <c r="C41" s="27"/>
      <c r="D41" s="26"/>
      <c r="E41" s="26"/>
      <c r="F41" s="26"/>
      <c r="G41" s="26"/>
      <c r="H41" s="26"/>
      <c r="I41" s="26"/>
      <c r="J41" s="26"/>
      <c r="K41" s="29" t="str">
        <f>IF(CONFIG!$B$23="No","Módulo desactivado",IF(D41="","No evaluable",IF(AND(E41="",F41&lt;&gt;""),"No evaluable",IF(NOT(ISNUMBER(E41)),"No evaluable",IF(OR(H41="",I41=""),"No evaluable",IF(H41&gt;I41,"No evaluable",IF(E41&lt;H41,"Bajo",IF(E41&gt;I41,"Alto","Dentro de rango"))))))))</f>
        <v>No evaluable</v>
      </c>
      <c r="L41" s="26"/>
      <c r="M41" s="26"/>
      <c r="N41" s="26"/>
      <c r="O41" s="26"/>
      <c r="P41" s="26"/>
      <c r="Q41" s="27"/>
      <c r="R41" s="27"/>
      <c r="S41" s="26"/>
      <c r="T41" s="26"/>
      <c r="U41" s="26"/>
      <c r="V41" s="29" t="str">
        <f>IF(AND(A41&lt;&gt;"",OR(K41="Bajo",K41="Alto",K41="No evaluable")),COUNTIFS($A$7:A41,A41,$K$7:K41,"Bajo")+COUNTIFS($A$7:A41,A41,$K$7:K41,"Alto")+COUNTIFS($A$7:A41,A41,$K$7:K41,"No evaluable"),"")</f>
        <v/>
      </c>
      <c r="W41" s="29" t="str">
        <f t="shared" si="1"/>
        <v/>
      </c>
      <c r="X41" s="29" t="str">
        <f>IF(A41="","",IF(CONFIG!$B$23="No","▲ Módulo desactivado",IF(COUNTIFS(EVALUACION!$A$7:$A$36,A41,EVALUACION!$B$7:$B$36,B41)=0,"✖ Evaluación/paciente inconsistente",IF(D41="","✖ Analito vacío",IF(AND(E41&lt;&gt;"",F41&lt;&gt;""),"▲ Resultado numérico y cualitativo simultáneos",IF(AND(E41="",F41=""),"✖ Falta resultado",IF(AND(ISNUMBER(H41),ISNUMBER(I41),H41&gt;I41),"✖ Límite inferior mayor",IF(AND(E41&lt;&gt;"",G41=""),"▲ Unidad vacía","✔ Revisar clínicamente"))))))))</f>
        <v/>
      </c>
    </row>
    <row r="42" spans="1:24" ht="14.25" customHeight="1">
      <c r="A42" s="26"/>
      <c r="B42" s="26"/>
      <c r="C42" s="27"/>
      <c r="D42" s="26"/>
      <c r="E42" s="26"/>
      <c r="F42" s="26"/>
      <c r="G42" s="26"/>
      <c r="H42" s="26"/>
      <c r="I42" s="26"/>
      <c r="J42" s="26"/>
      <c r="K42" s="29" t="str">
        <f>IF(CONFIG!$B$23="No","Módulo desactivado",IF(D42="","No evaluable",IF(AND(E42="",F42&lt;&gt;""),"No evaluable",IF(NOT(ISNUMBER(E42)),"No evaluable",IF(OR(H42="",I42=""),"No evaluable",IF(H42&gt;I42,"No evaluable",IF(E42&lt;H42,"Bajo",IF(E42&gt;I42,"Alto","Dentro de rango"))))))))</f>
        <v>No evaluable</v>
      </c>
      <c r="L42" s="26"/>
      <c r="M42" s="26"/>
      <c r="N42" s="26"/>
      <c r="O42" s="26"/>
      <c r="P42" s="26"/>
      <c r="Q42" s="27"/>
      <c r="R42" s="27"/>
      <c r="S42" s="26"/>
      <c r="T42" s="26"/>
      <c r="U42" s="26"/>
      <c r="V42" s="29" t="str">
        <f>IF(AND(A42&lt;&gt;"",OR(K42="Bajo",K42="Alto",K42="No evaluable")),COUNTIFS($A$7:A42,A42,$K$7:K42,"Bajo")+COUNTIFS($A$7:A42,A42,$K$7:K42,"Alto")+COUNTIFS($A$7:A42,A42,$K$7:K42,"No evaluable"),"")</f>
        <v/>
      </c>
      <c r="W42" s="29" t="str">
        <f t="shared" si="1"/>
        <v/>
      </c>
      <c r="X42" s="29" t="str">
        <f>IF(A42="","",IF(CONFIG!$B$23="No","▲ Módulo desactivado",IF(COUNTIFS(EVALUACION!$A$7:$A$36,A42,EVALUACION!$B$7:$B$36,B42)=0,"✖ Evaluación/paciente inconsistente",IF(D42="","✖ Analito vacío",IF(AND(E42&lt;&gt;"",F42&lt;&gt;""),"▲ Resultado numérico y cualitativo simultáneos",IF(AND(E42="",F42=""),"✖ Falta resultado",IF(AND(ISNUMBER(H42),ISNUMBER(I42),H42&gt;I42),"✖ Límite inferior mayor",IF(AND(E42&lt;&gt;"",G42=""),"▲ Unidad vacía","✔ Revisar clínicamente"))))))))</f>
        <v/>
      </c>
    </row>
    <row r="43" spans="1:24" ht="14.25" customHeight="1">
      <c r="A43" s="26"/>
      <c r="B43" s="26"/>
      <c r="C43" s="27"/>
      <c r="D43" s="26"/>
      <c r="E43" s="26"/>
      <c r="F43" s="26"/>
      <c r="G43" s="26"/>
      <c r="H43" s="26"/>
      <c r="I43" s="26"/>
      <c r="J43" s="26"/>
      <c r="K43" s="29" t="str">
        <f>IF(CONFIG!$B$23="No","Módulo desactivado",IF(D43="","No evaluable",IF(AND(E43="",F43&lt;&gt;""),"No evaluable",IF(NOT(ISNUMBER(E43)),"No evaluable",IF(OR(H43="",I43=""),"No evaluable",IF(H43&gt;I43,"No evaluable",IF(E43&lt;H43,"Bajo",IF(E43&gt;I43,"Alto","Dentro de rango"))))))))</f>
        <v>No evaluable</v>
      </c>
      <c r="L43" s="26"/>
      <c r="M43" s="26"/>
      <c r="N43" s="26"/>
      <c r="O43" s="26"/>
      <c r="P43" s="26"/>
      <c r="Q43" s="27"/>
      <c r="R43" s="27"/>
      <c r="S43" s="26"/>
      <c r="T43" s="26"/>
      <c r="U43" s="26"/>
      <c r="V43" s="29" t="str">
        <f>IF(AND(A43&lt;&gt;"",OR(K43="Bajo",K43="Alto",K43="No evaluable")),COUNTIFS($A$7:A43,A43,$K$7:K43,"Bajo")+COUNTIFS($A$7:A43,A43,$K$7:K43,"Alto")+COUNTIFS($A$7:A43,A43,$K$7:K43,"No evaluable"),"")</f>
        <v/>
      </c>
      <c r="W43" s="29" t="str">
        <f t="shared" si="1"/>
        <v/>
      </c>
      <c r="X43" s="29" t="str">
        <f>IF(A43="","",IF(CONFIG!$B$23="No","▲ Módulo desactivado",IF(COUNTIFS(EVALUACION!$A$7:$A$36,A43,EVALUACION!$B$7:$B$36,B43)=0,"✖ Evaluación/paciente inconsistente",IF(D43="","✖ Analito vacío",IF(AND(E43&lt;&gt;"",F43&lt;&gt;""),"▲ Resultado numérico y cualitativo simultáneos",IF(AND(E43="",F43=""),"✖ Falta resultado",IF(AND(ISNUMBER(H43),ISNUMBER(I43),H43&gt;I43),"✖ Límite inferior mayor",IF(AND(E43&lt;&gt;"",G43=""),"▲ Unidad vacía","✔ Revisar clínicamente"))))))))</f>
        <v/>
      </c>
    </row>
    <row r="44" spans="1:24" ht="14.25" customHeight="1">
      <c r="A44" s="26"/>
      <c r="B44" s="26"/>
      <c r="C44" s="27"/>
      <c r="D44" s="26"/>
      <c r="E44" s="26"/>
      <c r="F44" s="26"/>
      <c r="G44" s="26"/>
      <c r="H44" s="26"/>
      <c r="I44" s="26"/>
      <c r="J44" s="26"/>
      <c r="K44" s="29" t="str">
        <f>IF(CONFIG!$B$23="No","Módulo desactivado",IF(D44="","No evaluable",IF(AND(E44="",F44&lt;&gt;""),"No evaluable",IF(NOT(ISNUMBER(E44)),"No evaluable",IF(OR(H44="",I44=""),"No evaluable",IF(H44&gt;I44,"No evaluable",IF(E44&lt;H44,"Bajo",IF(E44&gt;I44,"Alto","Dentro de rango"))))))))</f>
        <v>No evaluable</v>
      </c>
      <c r="L44" s="26"/>
      <c r="M44" s="26"/>
      <c r="N44" s="26"/>
      <c r="O44" s="26"/>
      <c r="P44" s="26"/>
      <c r="Q44" s="27"/>
      <c r="R44" s="27"/>
      <c r="S44" s="26"/>
      <c r="T44" s="26"/>
      <c r="U44" s="26"/>
      <c r="V44" s="29" t="str">
        <f>IF(AND(A44&lt;&gt;"",OR(K44="Bajo",K44="Alto",K44="No evaluable")),COUNTIFS($A$7:A44,A44,$K$7:K44,"Bajo")+COUNTIFS($A$7:A44,A44,$K$7:K44,"Alto")+COUNTIFS($A$7:A44,A44,$K$7:K44,"No evaluable"),"")</f>
        <v/>
      </c>
      <c r="W44" s="29" t="str">
        <f t="shared" si="1"/>
        <v/>
      </c>
      <c r="X44" s="29" t="str">
        <f>IF(A44="","",IF(CONFIG!$B$23="No","▲ Módulo desactivado",IF(COUNTIFS(EVALUACION!$A$7:$A$36,A44,EVALUACION!$B$7:$B$36,B44)=0,"✖ Evaluación/paciente inconsistente",IF(D44="","✖ Analito vacío",IF(AND(E44&lt;&gt;"",F44&lt;&gt;""),"▲ Resultado numérico y cualitativo simultáneos",IF(AND(E44="",F44=""),"✖ Falta resultado",IF(AND(ISNUMBER(H44),ISNUMBER(I44),H44&gt;I44),"✖ Límite inferior mayor",IF(AND(E44&lt;&gt;"",G44=""),"▲ Unidad vacía","✔ Revisar clínicamente"))))))))</f>
        <v/>
      </c>
    </row>
    <row r="45" spans="1:24" ht="14.25" customHeight="1">
      <c r="A45" s="26"/>
      <c r="B45" s="26"/>
      <c r="C45" s="27"/>
      <c r="D45" s="26"/>
      <c r="E45" s="26"/>
      <c r="F45" s="26"/>
      <c r="G45" s="26"/>
      <c r="H45" s="26"/>
      <c r="I45" s="26"/>
      <c r="J45" s="26"/>
      <c r="K45" s="29" t="str">
        <f>IF(CONFIG!$B$23="No","Módulo desactivado",IF(D45="","No evaluable",IF(AND(E45="",F45&lt;&gt;""),"No evaluable",IF(NOT(ISNUMBER(E45)),"No evaluable",IF(OR(H45="",I45=""),"No evaluable",IF(H45&gt;I45,"No evaluable",IF(E45&lt;H45,"Bajo",IF(E45&gt;I45,"Alto","Dentro de rango"))))))))</f>
        <v>No evaluable</v>
      </c>
      <c r="L45" s="26"/>
      <c r="M45" s="26"/>
      <c r="N45" s="26"/>
      <c r="O45" s="26"/>
      <c r="P45" s="26"/>
      <c r="Q45" s="27"/>
      <c r="R45" s="27"/>
      <c r="S45" s="26"/>
      <c r="T45" s="26"/>
      <c r="U45" s="26"/>
      <c r="V45" s="29" t="str">
        <f>IF(AND(A45&lt;&gt;"",OR(K45="Bajo",K45="Alto",K45="No evaluable")),COUNTIFS($A$7:A45,A45,$K$7:K45,"Bajo")+COUNTIFS($A$7:A45,A45,$K$7:K45,"Alto")+COUNTIFS($A$7:A45,A45,$K$7:K45,"No evaluable"),"")</f>
        <v/>
      </c>
      <c r="W45" s="29" t="str">
        <f t="shared" si="1"/>
        <v/>
      </c>
      <c r="X45" s="29" t="str">
        <f>IF(A45="","",IF(CONFIG!$B$23="No","▲ Módulo desactivado",IF(COUNTIFS(EVALUACION!$A$7:$A$36,A45,EVALUACION!$B$7:$B$36,B45)=0,"✖ Evaluación/paciente inconsistente",IF(D45="","✖ Analito vacío",IF(AND(E45&lt;&gt;"",F45&lt;&gt;""),"▲ Resultado numérico y cualitativo simultáneos",IF(AND(E45="",F45=""),"✖ Falta resultado",IF(AND(ISNUMBER(H45),ISNUMBER(I45),H45&gt;I45),"✖ Límite inferior mayor",IF(AND(E45&lt;&gt;"",G45=""),"▲ Unidad vacía","✔ Revisar clínicamente"))))))))</f>
        <v/>
      </c>
    </row>
    <row r="46" spans="1:24" ht="14.25" customHeight="1">
      <c r="A46" s="26"/>
      <c r="B46" s="26"/>
      <c r="C46" s="27"/>
      <c r="D46" s="26"/>
      <c r="E46" s="26"/>
      <c r="F46" s="26"/>
      <c r="G46" s="26"/>
      <c r="H46" s="26"/>
      <c r="I46" s="26"/>
      <c r="J46" s="26"/>
      <c r="K46" s="29" t="str">
        <f>IF(CONFIG!$B$23="No","Módulo desactivado",IF(D46="","No evaluable",IF(AND(E46="",F46&lt;&gt;""),"No evaluable",IF(NOT(ISNUMBER(E46)),"No evaluable",IF(OR(H46="",I46=""),"No evaluable",IF(H46&gt;I46,"No evaluable",IF(E46&lt;H46,"Bajo",IF(E46&gt;I46,"Alto","Dentro de rango"))))))))</f>
        <v>No evaluable</v>
      </c>
      <c r="L46" s="26"/>
      <c r="M46" s="26"/>
      <c r="N46" s="26"/>
      <c r="O46" s="26"/>
      <c r="P46" s="26"/>
      <c r="Q46" s="27"/>
      <c r="R46" s="27"/>
      <c r="S46" s="26"/>
      <c r="T46" s="26"/>
      <c r="U46" s="26"/>
      <c r="V46" s="29" t="str">
        <f>IF(AND(A46&lt;&gt;"",OR(K46="Bajo",K46="Alto",K46="No evaluable")),COUNTIFS($A$7:A46,A46,$K$7:K46,"Bajo")+COUNTIFS($A$7:A46,A46,$K$7:K46,"Alto")+COUNTIFS($A$7:A46,A46,$K$7:K46,"No evaluable"),"")</f>
        <v/>
      </c>
      <c r="W46" s="29" t="str">
        <f t="shared" si="1"/>
        <v/>
      </c>
      <c r="X46" s="29" t="str">
        <f>IF(A46="","",IF(CONFIG!$B$23="No","▲ Módulo desactivado",IF(COUNTIFS(EVALUACION!$A$7:$A$36,A46,EVALUACION!$B$7:$B$36,B46)=0,"✖ Evaluación/paciente inconsistente",IF(D46="","✖ Analito vacío",IF(AND(E46&lt;&gt;"",F46&lt;&gt;""),"▲ Resultado numérico y cualitativo simultáneos",IF(AND(E46="",F46=""),"✖ Falta resultado",IF(AND(ISNUMBER(H46),ISNUMBER(I46),H46&gt;I46),"✖ Límite inferior mayor",IF(AND(E46&lt;&gt;"",G46=""),"▲ Unidad vacía","✔ Revisar clínicamente"))))))))</f>
        <v/>
      </c>
    </row>
    <row r="47" spans="1:24" ht="14.25" customHeight="1">
      <c r="A47" s="26"/>
      <c r="B47" s="26"/>
      <c r="C47" s="27"/>
      <c r="D47" s="26"/>
      <c r="E47" s="26"/>
      <c r="F47" s="26"/>
      <c r="G47" s="26"/>
      <c r="H47" s="26"/>
      <c r="I47" s="26"/>
      <c r="J47" s="26"/>
      <c r="K47" s="29" t="str">
        <f>IF(CONFIG!$B$23="No","Módulo desactivado",IF(D47="","No evaluable",IF(AND(E47="",F47&lt;&gt;""),"No evaluable",IF(NOT(ISNUMBER(E47)),"No evaluable",IF(OR(H47="",I47=""),"No evaluable",IF(H47&gt;I47,"No evaluable",IF(E47&lt;H47,"Bajo",IF(E47&gt;I47,"Alto","Dentro de rango"))))))))</f>
        <v>No evaluable</v>
      </c>
      <c r="L47" s="26"/>
      <c r="M47" s="26"/>
      <c r="N47" s="26"/>
      <c r="O47" s="26"/>
      <c r="P47" s="26"/>
      <c r="Q47" s="27"/>
      <c r="R47" s="27"/>
      <c r="S47" s="26"/>
      <c r="T47" s="26"/>
      <c r="U47" s="26"/>
      <c r="V47" s="29" t="str">
        <f>IF(AND(A47&lt;&gt;"",OR(K47="Bajo",K47="Alto",K47="No evaluable")),COUNTIFS($A$7:A47,A47,$K$7:K47,"Bajo")+COUNTIFS($A$7:A47,A47,$K$7:K47,"Alto")+COUNTIFS($A$7:A47,A47,$K$7:K47,"No evaluable"),"")</f>
        <v/>
      </c>
      <c r="W47" s="29" t="str">
        <f t="shared" si="1"/>
        <v/>
      </c>
      <c r="X47" s="29" t="str">
        <f>IF(A47="","",IF(CONFIG!$B$23="No","▲ Módulo desactivado",IF(COUNTIFS(EVALUACION!$A$7:$A$36,A47,EVALUACION!$B$7:$B$36,B47)=0,"✖ Evaluación/paciente inconsistente",IF(D47="","✖ Analito vacío",IF(AND(E47&lt;&gt;"",F47&lt;&gt;""),"▲ Resultado numérico y cualitativo simultáneos",IF(AND(E47="",F47=""),"✖ Falta resultado",IF(AND(ISNUMBER(H47),ISNUMBER(I47),H47&gt;I47),"✖ Límite inferior mayor",IF(AND(E47&lt;&gt;"",G47=""),"▲ Unidad vacía","✔ Revisar clínicamente"))))))))</f>
        <v/>
      </c>
    </row>
    <row r="48" spans="1:24" ht="14.25" customHeight="1">
      <c r="A48" s="26"/>
      <c r="B48" s="26"/>
      <c r="C48" s="27"/>
      <c r="D48" s="26"/>
      <c r="E48" s="26"/>
      <c r="F48" s="26"/>
      <c r="G48" s="26"/>
      <c r="H48" s="26"/>
      <c r="I48" s="26"/>
      <c r="J48" s="26"/>
      <c r="K48" s="29" t="str">
        <f>IF(CONFIG!$B$23="No","Módulo desactivado",IF(D48="","No evaluable",IF(AND(E48="",F48&lt;&gt;""),"No evaluable",IF(NOT(ISNUMBER(E48)),"No evaluable",IF(OR(H48="",I48=""),"No evaluable",IF(H48&gt;I48,"No evaluable",IF(E48&lt;H48,"Bajo",IF(E48&gt;I48,"Alto","Dentro de rango"))))))))</f>
        <v>No evaluable</v>
      </c>
      <c r="L48" s="26"/>
      <c r="M48" s="26"/>
      <c r="N48" s="26"/>
      <c r="O48" s="26"/>
      <c r="P48" s="26"/>
      <c r="Q48" s="27"/>
      <c r="R48" s="27"/>
      <c r="S48" s="26"/>
      <c r="T48" s="26"/>
      <c r="U48" s="26"/>
      <c r="V48" s="29" t="str">
        <f>IF(AND(A48&lt;&gt;"",OR(K48="Bajo",K48="Alto",K48="No evaluable")),COUNTIFS($A$7:A48,A48,$K$7:K48,"Bajo")+COUNTIFS($A$7:A48,A48,$K$7:K48,"Alto")+COUNTIFS($A$7:A48,A48,$K$7:K48,"No evaluable"),"")</f>
        <v/>
      </c>
      <c r="W48" s="29" t="str">
        <f t="shared" si="1"/>
        <v/>
      </c>
      <c r="X48" s="29" t="str">
        <f>IF(A48="","",IF(CONFIG!$B$23="No","▲ Módulo desactivado",IF(COUNTIFS(EVALUACION!$A$7:$A$36,A48,EVALUACION!$B$7:$B$36,B48)=0,"✖ Evaluación/paciente inconsistente",IF(D48="","✖ Analito vacío",IF(AND(E48&lt;&gt;"",F48&lt;&gt;""),"▲ Resultado numérico y cualitativo simultáneos",IF(AND(E48="",F48=""),"✖ Falta resultado",IF(AND(ISNUMBER(H48),ISNUMBER(I48),H48&gt;I48),"✖ Límite inferior mayor",IF(AND(E48&lt;&gt;"",G48=""),"▲ Unidad vacía","✔ Revisar clínicamente"))))))))</f>
        <v/>
      </c>
    </row>
    <row r="49" spans="1:24" ht="14.25" customHeight="1">
      <c r="A49" s="26"/>
      <c r="B49" s="26"/>
      <c r="C49" s="27"/>
      <c r="D49" s="26"/>
      <c r="E49" s="26"/>
      <c r="F49" s="26"/>
      <c r="G49" s="26"/>
      <c r="H49" s="26"/>
      <c r="I49" s="26"/>
      <c r="J49" s="26"/>
      <c r="K49" s="29" t="str">
        <f>IF(CONFIG!$B$23="No","Módulo desactivado",IF(D49="","No evaluable",IF(AND(E49="",F49&lt;&gt;""),"No evaluable",IF(NOT(ISNUMBER(E49)),"No evaluable",IF(OR(H49="",I49=""),"No evaluable",IF(H49&gt;I49,"No evaluable",IF(E49&lt;H49,"Bajo",IF(E49&gt;I49,"Alto","Dentro de rango"))))))))</f>
        <v>No evaluable</v>
      </c>
      <c r="L49" s="26"/>
      <c r="M49" s="26"/>
      <c r="N49" s="26"/>
      <c r="O49" s="26"/>
      <c r="P49" s="26"/>
      <c r="Q49" s="27"/>
      <c r="R49" s="27"/>
      <c r="S49" s="26"/>
      <c r="T49" s="26"/>
      <c r="U49" s="26"/>
      <c r="V49" s="29" t="str">
        <f>IF(AND(A49&lt;&gt;"",OR(K49="Bajo",K49="Alto",K49="No evaluable")),COUNTIFS($A$7:A49,A49,$K$7:K49,"Bajo")+COUNTIFS($A$7:A49,A49,$K$7:K49,"Alto")+COUNTIFS($A$7:A49,A49,$K$7:K49,"No evaluable"),"")</f>
        <v/>
      </c>
      <c r="W49" s="29" t="str">
        <f t="shared" si="1"/>
        <v/>
      </c>
      <c r="X49" s="29" t="str">
        <f>IF(A49="","",IF(CONFIG!$B$23="No","▲ Módulo desactivado",IF(COUNTIFS(EVALUACION!$A$7:$A$36,A49,EVALUACION!$B$7:$B$36,B49)=0,"✖ Evaluación/paciente inconsistente",IF(D49="","✖ Analito vacío",IF(AND(E49&lt;&gt;"",F49&lt;&gt;""),"▲ Resultado numérico y cualitativo simultáneos",IF(AND(E49="",F49=""),"✖ Falta resultado",IF(AND(ISNUMBER(H49),ISNUMBER(I49),H49&gt;I49),"✖ Límite inferior mayor",IF(AND(E49&lt;&gt;"",G49=""),"▲ Unidad vacía","✔ Revisar clínicamente"))))))))</f>
        <v/>
      </c>
    </row>
    <row r="50" spans="1:24" ht="14.25" customHeight="1">
      <c r="A50" s="26"/>
      <c r="B50" s="26"/>
      <c r="C50" s="27"/>
      <c r="D50" s="26"/>
      <c r="E50" s="26"/>
      <c r="F50" s="26"/>
      <c r="G50" s="26"/>
      <c r="H50" s="26"/>
      <c r="I50" s="26"/>
      <c r="J50" s="26"/>
      <c r="K50" s="29" t="str">
        <f>IF(CONFIG!$B$23="No","Módulo desactivado",IF(D50="","No evaluable",IF(AND(E50="",F50&lt;&gt;""),"No evaluable",IF(NOT(ISNUMBER(E50)),"No evaluable",IF(OR(H50="",I50=""),"No evaluable",IF(H50&gt;I50,"No evaluable",IF(E50&lt;H50,"Bajo",IF(E50&gt;I50,"Alto","Dentro de rango"))))))))</f>
        <v>No evaluable</v>
      </c>
      <c r="L50" s="26"/>
      <c r="M50" s="26"/>
      <c r="N50" s="26"/>
      <c r="O50" s="26"/>
      <c r="P50" s="26"/>
      <c r="Q50" s="27"/>
      <c r="R50" s="27"/>
      <c r="S50" s="26"/>
      <c r="T50" s="26"/>
      <c r="U50" s="26"/>
      <c r="V50" s="29" t="str">
        <f>IF(AND(A50&lt;&gt;"",OR(K50="Bajo",K50="Alto",K50="No evaluable")),COUNTIFS($A$7:A50,A50,$K$7:K50,"Bajo")+COUNTIFS($A$7:A50,A50,$K$7:K50,"Alto")+COUNTIFS($A$7:A50,A50,$K$7:K50,"No evaluable"),"")</f>
        <v/>
      </c>
      <c r="W50" s="29" t="str">
        <f t="shared" si="1"/>
        <v/>
      </c>
      <c r="X50" s="29" t="str">
        <f>IF(A50="","",IF(CONFIG!$B$23="No","▲ Módulo desactivado",IF(COUNTIFS(EVALUACION!$A$7:$A$36,A50,EVALUACION!$B$7:$B$36,B50)=0,"✖ Evaluación/paciente inconsistente",IF(D50="","✖ Analito vacío",IF(AND(E50&lt;&gt;"",F50&lt;&gt;""),"▲ Resultado numérico y cualitativo simultáneos",IF(AND(E50="",F50=""),"✖ Falta resultado",IF(AND(ISNUMBER(H50),ISNUMBER(I50),H50&gt;I50),"✖ Límite inferior mayor",IF(AND(E50&lt;&gt;"",G50=""),"▲ Unidad vacía","✔ Revisar clínicamente"))))))))</f>
        <v/>
      </c>
    </row>
    <row r="51" spans="1:24" ht="14.25" customHeight="1">
      <c r="A51" s="26"/>
      <c r="B51" s="26"/>
      <c r="C51" s="27"/>
      <c r="D51" s="26"/>
      <c r="E51" s="26"/>
      <c r="F51" s="26"/>
      <c r="G51" s="26"/>
      <c r="H51" s="26"/>
      <c r="I51" s="26"/>
      <c r="J51" s="26"/>
      <c r="K51" s="29" t="str">
        <f>IF(CONFIG!$B$23="No","Módulo desactivado",IF(D51="","No evaluable",IF(AND(E51="",F51&lt;&gt;""),"No evaluable",IF(NOT(ISNUMBER(E51)),"No evaluable",IF(OR(H51="",I51=""),"No evaluable",IF(H51&gt;I51,"No evaluable",IF(E51&lt;H51,"Bajo",IF(E51&gt;I51,"Alto","Dentro de rango"))))))))</f>
        <v>No evaluable</v>
      </c>
      <c r="L51" s="26"/>
      <c r="M51" s="26"/>
      <c r="N51" s="26"/>
      <c r="O51" s="26"/>
      <c r="P51" s="26"/>
      <c r="Q51" s="27"/>
      <c r="R51" s="27"/>
      <c r="S51" s="26"/>
      <c r="T51" s="26"/>
      <c r="U51" s="26"/>
      <c r="V51" s="29" t="str">
        <f>IF(AND(A51&lt;&gt;"",OR(K51="Bajo",K51="Alto",K51="No evaluable")),COUNTIFS($A$7:A51,A51,$K$7:K51,"Bajo")+COUNTIFS($A$7:A51,A51,$K$7:K51,"Alto")+COUNTIFS($A$7:A51,A51,$K$7:K51,"No evaluable"),"")</f>
        <v/>
      </c>
      <c r="W51" s="29" t="str">
        <f t="shared" si="1"/>
        <v/>
      </c>
      <c r="X51" s="29" t="str">
        <f>IF(A51="","",IF(CONFIG!$B$23="No","▲ Módulo desactivado",IF(COUNTIFS(EVALUACION!$A$7:$A$36,A51,EVALUACION!$B$7:$B$36,B51)=0,"✖ Evaluación/paciente inconsistente",IF(D51="","✖ Analito vacío",IF(AND(E51&lt;&gt;"",F51&lt;&gt;""),"▲ Resultado numérico y cualitativo simultáneos",IF(AND(E51="",F51=""),"✖ Falta resultado",IF(AND(ISNUMBER(H51),ISNUMBER(I51),H51&gt;I51),"✖ Límite inferior mayor",IF(AND(E51&lt;&gt;"",G51=""),"▲ Unidad vacía","✔ Revisar clínicamente"))))))))</f>
        <v/>
      </c>
    </row>
    <row r="52" spans="1:24" ht="14.25" customHeight="1">
      <c r="A52" s="26"/>
      <c r="B52" s="26"/>
      <c r="C52" s="27"/>
      <c r="D52" s="26"/>
      <c r="E52" s="26"/>
      <c r="F52" s="26"/>
      <c r="G52" s="26"/>
      <c r="H52" s="26"/>
      <c r="I52" s="26"/>
      <c r="J52" s="26"/>
      <c r="K52" s="29" t="str">
        <f>IF(CONFIG!$B$23="No","Módulo desactivado",IF(D52="","No evaluable",IF(AND(E52="",F52&lt;&gt;""),"No evaluable",IF(NOT(ISNUMBER(E52)),"No evaluable",IF(OR(H52="",I52=""),"No evaluable",IF(H52&gt;I52,"No evaluable",IF(E52&lt;H52,"Bajo",IF(E52&gt;I52,"Alto","Dentro de rango"))))))))</f>
        <v>No evaluable</v>
      </c>
      <c r="L52" s="26"/>
      <c r="M52" s="26"/>
      <c r="N52" s="26"/>
      <c r="O52" s="26"/>
      <c r="P52" s="26"/>
      <c r="Q52" s="27"/>
      <c r="R52" s="27"/>
      <c r="S52" s="26"/>
      <c r="T52" s="26"/>
      <c r="U52" s="26"/>
      <c r="V52" s="29" t="str">
        <f>IF(AND(A52&lt;&gt;"",OR(K52="Bajo",K52="Alto",K52="No evaluable")),COUNTIFS($A$7:A52,A52,$K$7:K52,"Bajo")+COUNTIFS($A$7:A52,A52,$K$7:K52,"Alto")+COUNTIFS($A$7:A52,A52,$K$7:K52,"No evaluable"),"")</f>
        <v/>
      </c>
      <c r="W52" s="29" t="str">
        <f t="shared" si="1"/>
        <v/>
      </c>
      <c r="X52" s="29" t="str">
        <f>IF(A52="","",IF(CONFIG!$B$23="No","▲ Módulo desactivado",IF(COUNTIFS(EVALUACION!$A$7:$A$36,A52,EVALUACION!$B$7:$B$36,B52)=0,"✖ Evaluación/paciente inconsistente",IF(D52="","✖ Analito vacío",IF(AND(E52&lt;&gt;"",F52&lt;&gt;""),"▲ Resultado numérico y cualitativo simultáneos",IF(AND(E52="",F52=""),"✖ Falta resultado",IF(AND(ISNUMBER(H52),ISNUMBER(I52),H52&gt;I52),"✖ Límite inferior mayor",IF(AND(E52&lt;&gt;"",G52=""),"▲ Unidad vacía","✔ Revisar clínicamente"))))))))</f>
        <v/>
      </c>
    </row>
    <row r="53" spans="1:24" ht="14.25" customHeight="1">
      <c r="A53" s="26"/>
      <c r="B53" s="26"/>
      <c r="C53" s="27"/>
      <c r="D53" s="26"/>
      <c r="E53" s="26"/>
      <c r="F53" s="26"/>
      <c r="G53" s="26"/>
      <c r="H53" s="26"/>
      <c r="I53" s="26"/>
      <c r="J53" s="26"/>
      <c r="K53" s="29" t="str">
        <f>IF(CONFIG!$B$23="No","Módulo desactivado",IF(D53="","No evaluable",IF(AND(E53="",F53&lt;&gt;""),"No evaluable",IF(NOT(ISNUMBER(E53)),"No evaluable",IF(OR(H53="",I53=""),"No evaluable",IF(H53&gt;I53,"No evaluable",IF(E53&lt;H53,"Bajo",IF(E53&gt;I53,"Alto","Dentro de rango"))))))))</f>
        <v>No evaluable</v>
      </c>
      <c r="L53" s="26"/>
      <c r="M53" s="26"/>
      <c r="N53" s="26"/>
      <c r="O53" s="26"/>
      <c r="P53" s="26"/>
      <c r="Q53" s="27"/>
      <c r="R53" s="27"/>
      <c r="S53" s="26"/>
      <c r="T53" s="26"/>
      <c r="U53" s="26"/>
      <c r="V53" s="29" t="str">
        <f>IF(AND(A53&lt;&gt;"",OR(K53="Bajo",K53="Alto",K53="No evaluable")),COUNTIFS($A$7:A53,A53,$K$7:K53,"Bajo")+COUNTIFS($A$7:A53,A53,$K$7:K53,"Alto")+COUNTIFS($A$7:A53,A53,$K$7:K53,"No evaluable"),"")</f>
        <v/>
      </c>
      <c r="W53" s="29" t="str">
        <f t="shared" si="1"/>
        <v/>
      </c>
      <c r="X53" s="29" t="str">
        <f>IF(A53="","",IF(CONFIG!$B$23="No","▲ Módulo desactivado",IF(COUNTIFS(EVALUACION!$A$7:$A$36,A53,EVALUACION!$B$7:$B$36,B53)=0,"✖ Evaluación/paciente inconsistente",IF(D53="","✖ Analito vacío",IF(AND(E53&lt;&gt;"",F53&lt;&gt;""),"▲ Resultado numérico y cualitativo simultáneos",IF(AND(E53="",F53=""),"✖ Falta resultado",IF(AND(ISNUMBER(H53),ISNUMBER(I53),H53&gt;I53),"✖ Límite inferior mayor",IF(AND(E53&lt;&gt;"",G53=""),"▲ Unidad vacía","✔ Revisar clínicamente"))))))))</f>
        <v/>
      </c>
    </row>
    <row r="54" spans="1:24" ht="14.25" customHeight="1">
      <c r="A54" s="26"/>
      <c r="B54" s="26"/>
      <c r="C54" s="27"/>
      <c r="D54" s="26"/>
      <c r="E54" s="26"/>
      <c r="F54" s="26"/>
      <c r="G54" s="26"/>
      <c r="H54" s="26"/>
      <c r="I54" s="26"/>
      <c r="J54" s="26"/>
      <c r="K54" s="29" t="str">
        <f>IF(CONFIG!$B$23="No","Módulo desactivado",IF(D54="","No evaluable",IF(AND(E54="",F54&lt;&gt;""),"No evaluable",IF(NOT(ISNUMBER(E54)),"No evaluable",IF(OR(H54="",I54=""),"No evaluable",IF(H54&gt;I54,"No evaluable",IF(E54&lt;H54,"Bajo",IF(E54&gt;I54,"Alto","Dentro de rango"))))))))</f>
        <v>No evaluable</v>
      </c>
      <c r="L54" s="26"/>
      <c r="M54" s="26"/>
      <c r="N54" s="26"/>
      <c r="O54" s="26"/>
      <c r="P54" s="26"/>
      <c r="Q54" s="27"/>
      <c r="R54" s="27"/>
      <c r="S54" s="26"/>
      <c r="T54" s="26"/>
      <c r="U54" s="26"/>
      <c r="V54" s="29" t="str">
        <f>IF(AND(A54&lt;&gt;"",OR(K54="Bajo",K54="Alto",K54="No evaluable")),COUNTIFS($A$7:A54,A54,$K$7:K54,"Bajo")+COUNTIFS($A$7:A54,A54,$K$7:K54,"Alto")+COUNTIFS($A$7:A54,A54,$K$7:K54,"No evaluable"),"")</f>
        <v/>
      </c>
      <c r="W54" s="29" t="str">
        <f t="shared" si="1"/>
        <v/>
      </c>
      <c r="X54" s="29" t="str">
        <f>IF(A54="","",IF(CONFIG!$B$23="No","▲ Módulo desactivado",IF(COUNTIFS(EVALUACION!$A$7:$A$36,A54,EVALUACION!$B$7:$B$36,B54)=0,"✖ Evaluación/paciente inconsistente",IF(D54="","✖ Analito vacío",IF(AND(E54&lt;&gt;"",F54&lt;&gt;""),"▲ Resultado numérico y cualitativo simultáneos",IF(AND(E54="",F54=""),"✖ Falta resultado",IF(AND(ISNUMBER(H54),ISNUMBER(I54),H54&gt;I54),"✖ Límite inferior mayor",IF(AND(E54&lt;&gt;"",G54=""),"▲ Unidad vacía","✔ Revisar clínicamente"))))))))</f>
        <v/>
      </c>
    </row>
    <row r="55" spans="1:24" ht="14.25" customHeight="1">
      <c r="A55" s="26"/>
      <c r="B55" s="26"/>
      <c r="C55" s="27"/>
      <c r="D55" s="26"/>
      <c r="E55" s="26"/>
      <c r="F55" s="26"/>
      <c r="G55" s="26"/>
      <c r="H55" s="26"/>
      <c r="I55" s="26"/>
      <c r="J55" s="26"/>
      <c r="K55" s="29" t="str">
        <f>IF(CONFIG!$B$23="No","Módulo desactivado",IF(D55="","No evaluable",IF(AND(E55="",F55&lt;&gt;""),"No evaluable",IF(NOT(ISNUMBER(E55)),"No evaluable",IF(OR(H55="",I55=""),"No evaluable",IF(H55&gt;I55,"No evaluable",IF(E55&lt;H55,"Bajo",IF(E55&gt;I55,"Alto","Dentro de rango"))))))))</f>
        <v>No evaluable</v>
      </c>
      <c r="L55" s="26"/>
      <c r="M55" s="26"/>
      <c r="N55" s="26"/>
      <c r="O55" s="26"/>
      <c r="P55" s="26"/>
      <c r="Q55" s="27"/>
      <c r="R55" s="27"/>
      <c r="S55" s="26"/>
      <c r="T55" s="26"/>
      <c r="U55" s="26"/>
      <c r="V55" s="29" t="str">
        <f>IF(AND(A55&lt;&gt;"",OR(K55="Bajo",K55="Alto",K55="No evaluable")),COUNTIFS($A$7:A55,A55,$K$7:K55,"Bajo")+COUNTIFS($A$7:A55,A55,$K$7:K55,"Alto")+COUNTIFS($A$7:A55,A55,$K$7:K55,"No evaluable"),"")</f>
        <v/>
      </c>
      <c r="W55" s="29" t="str">
        <f t="shared" si="1"/>
        <v/>
      </c>
      <c r="X55" s="29" t="str">
        <f>IF(A55="","",IF(CONFIG!$B$23="No","▲ Módulo desactivado",IF(COUNTIFS(EVALUACION!$A$7:$A$36,A55,EVALUACION!$B$7:$B$36,B55)=0,"✖ Evaluación/paciente inconsistente",IF(D55="","✖ Analito vacío",IF(AND(E55&lt;&gt;"",F55&lt;&gt;""),"▲ Resultado numérico y cualitativo simultáneos",IF(AND(E55="",F55=""),"✖ Falta resultado",IF(AND(ISNUMBER(H55),ISNUMBER(I55),H55&gt;I55),"✖ Límite inferior mayor",IF(AND(E55&lt;&gt;"",G55=""),"▲ Unidad vacía","✔ Revisar clínicamente"))))))))</f>
        <v/>
      </c>
    </row>
    <row r="56" spans="1:24" ht="14.25" customHeight="1">
      <c r="A56" s="26"/>
      <c r="B56" s="26"/>
      <c r="C56" s="27"/>
      <c r="D56" s="26"/>
      <c r="E56" s="26"/>
      <c r="F56" s="26"/>
      <c r="G56" s="26"/>
      <c r="H56" s="26"/>
      <c r="I56" s="26"/>
      <c r="J56" s="26"/>
      <c r="K56" s="29" t="str">
        <f>IF(CONFIG!$B$23="No","Módulo desactivado",IF(D56="","No evaluable",IF(AND(E56="",F56&lt;&gt;""),"No evaluable",IF(NOT(ISNUMBER(E56)),"No evaluable",IF(OR(H56="",I56=""),"No evaluable",IF(H56&gt;I56,"No evaluable",IF(E56&lt;H56,"Bajo",IF(E56&gt;I56,"Alto","Dentro de rango"))))))))</f>
        <v>No evaluable</v>
      </c>
      <c r="L56" s="26"/>
      <c r="M56" s="26"/>
      <c r="N56" s="26"/>
      <c r="O56" s="26"/>
      <c r="P56" s="26"/>
      <c r="Q56" s="27"/>
      <c r="R56" s="27"/>
      <c r="S56" s="26"/>
      <c r="T56" s="26"/>
      <c r="U56" s="26"/>
      <c r="V56" s="29" t="str">
        <f>IF(AND(A56&lt;&gt;"",OR(K56="Bajo",K56="Alto",K56="No evaluable")),COUNTIFS($A$7:A56,A56,$K$7:K56,"Bajo")+COUNTIFS($A$7:A56,A56,$K$7:K56,"Alto")+COUNTIFS($A$7:A56,A56,$K$7:K56,"No evaluable"),"")</f>
        <v/>
      </c>
      <c r="W56" s="29" t="str">
        <f t="shared" si="1"/>
        <v/>
      </c>
      <c r="X56" s="29" t="str">
        <f>IF(A56="","",IF(CONFIG!$B$23="No","▲ Módulo desactivado",IF(COUNTIFS(EVALUACION!$A$7:$A$36,A56,EVALUACION!$B$7:$B$36,B56)=0,"✖ Evaluación/paciente inconsistente",IF(D56="","✖ Analito vacío",IF(AND(E56&lt;&gt;"",F56&lt;&gt;""),"▲ Resultado numérico y cualitativo simultáneos",IF(AND(E56="",F56=""),"✖ Falta resultado",IF(AND(ISNUMBER(H56),ISNUMBER(I56),H56&gt;I56),"✖ Límite inferior mayor",IF(AND(E56&lt;&gt;"",G56=""),"▲ Unidad vacía","✔ Revisar clínicamente"))))))))</f>
        <v/>
      </c>
    </row>
  </sheetData>
  <mergeCells count="3">
    <mergeCell ref="A1:X1"/>
    <mergeCell ref="A3:X3"/>
    <mergeCell ref="A5:X5"/>
  </mergeCells>
  <conditionalFormatting sqref="X7:X56">
    <cfRule type="expression" dxfId="39" priority="2">
      <formula>LEFT(X7,1)="✖"</formula>
    </cfRule>
    <cfRule type="expression" dxfId="38" priority="3">
      <formula>LEFT(X7,1)="▲"</formula>
    </cfRule>
    <cfRule type="expression" dxfId="37" priority="4">
      <formula>LEFT(X7,1)="✔"</formula>
    </cfRule>
  </conditionalFormatting>
  <dataValidations count="5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K7:K15 V7:X15" xr:uid="{00000000-0002-0000-0500-000000000000}">
      <formula1>0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T7:T56" xr:uid="{00000000-0002-0000-0500-000001000000}">
      <formula1>Lista_FuenteDato</formula1>
      <formula2>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C7:C56" xr:uid="{00000000-0002-0000-0500-000002000000}">
      <formula1>DATE(1900,1,1)</formula1>
      <formula2>TODAY()+3650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-1000000 y 1000000. Los límites son operativos." sqref="E7:E56 H7:I56" xr:uid="{00000000-0002-0000-0500-000003000000}">
      <formula1>-1000000</formula1>
      <formula2>1000000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P7:P56" xr:uid="{00000000-0002-0000-0500-000004000000}">
      <formula1>Lista_EstadoBio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6"/>
  <sheetViews>
    <sheetView showGridLines="0" workbookViewId="0">
      <selection sqref="A1:R1"/>
    </sheetView>
  </sheetViews>
  <sheetFormatPr baseColWidth="10" defaultColWidth="9" defaultRowHeight="15"/>
  <cols>
    <col min="1" max="2" width="14" style="15" customWidth="1"/>
    <col min="3" max="3" width="22" style="15" customWidth="1"/>
    <col min="4" max="4" width="26" style="15" customWidth="1"/>
    <col min="5" max="6" width="14" style="15" customWidth="1"/>
    <col min="7" max="8" width="16" style="15" customWidth="1"/>
    <col min="9" max="9" width="20" style="15" customWidth="1"/>
    <col min="10" max="10" width="26" style="15" customWidth="1"/>
    <col min="11" max="13" width="20" style="15" customWidth="1"/>
    <col min="14" max="15" width="12" style="15" customWidth="1"/>
    <col min="16" max="16" width="18" style="15" customWidth="1"/>
    <col min="17" max="17" width="34" style="15" customWidth="1"/>
    <col min="18" max="18" width="28" style="15" customWidth="1"/>
  </cols>
  <sheetData>
    <row r="1" spans="1:18" ht="27.75" customHeight="1">
      <c r="A1" s="14" t="s">
        <v>275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8" ht="30" customHeight="1">
      <c r="A3" s="13" t="s">
        <v>276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5" spans="1:18" ht="19.5" customHeight="1">
      <c r="A5" s="12" t="s">
        <v>277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36" customHeight="1">
      <c r="A6" s="19" t="s">
        <v>128</v>
      </c>
      <c r="B6" s="19" t="s">
        <v>76</v>
      </c>
      <c r="C6" s="19" t="s">
        <v>278</v>
      </c>
      <c r="D6" s="19" t="s">
        <v>279</v>
      </c>
      <c r="E6" s="19" t="s">
        <v>280</v>
      </c>
      <c r="F6" s="19" t="s">
        <v>281</v>
      </c>
      <c r="G6" s="19" t="s">
        <v>282</v>
      </c>
      <c r="H6" s="19" t="s">
        <v>283</v>
      </c>
      <c r="I6" s="19" t="s">
        <v>284</v>
      </c>
      <c r="J6" s="19" t="s">
        <v>285</v>
      </c>
      <c r="K6" s="19" t="s">
        <v>286</v>
      </c>
      <c r="L6" s="19" t="s">
        <v>97</v>
      </c>
      <c r="M6" s="19" t="s">
        <v>287</v>
      </c>
      <c r="N6" s="19" t="s">
        <v>77</v>
      </c>
      <c r="O6" s="19" t="s">
        <v>96</v>
      </c>
      <c r="P6" s="19" t="s">
        <v>135</v>
      </c>
      <c r="Q6" s="19" t="s">
        <v>98</v>
      </c>
      <c r="R6" s="19" t="s">
        <v>99</v>
      </c>
    </row>
    <row r="7" spans="1:18" ht="24" customHeight="1">
      <c r="A7" s="26" t="s">
        <v>143</v>
      </c>
      <c r="B7" s="26" t="s">
        <v>100</v>
      </c>
      <c r="C7" s="26" t="s">
        <v>288</v>
      </c>
      <c r="D7" s="26" t="s">
        <v>289</v>
      </c>
      <c r="E7" s="26" t="s">
        <v>229</v>
      </c>
      <c r="F7" s="26" t="s">
        <v>164</v>
      </c>
      <c r="G7" s="26"/>
      <c r="H7" s="26"/>
      <c r="I7" s="26"/>
      <c r="J7" s="26"/>
      <c r="K7" s="26" t="s">
        <v>290</v>
      </c>
      <c r="L7" s="26" t="s">
        <v>118</v>
      </c>
      <c r="M7" s="26" t="s">
        <v>229</v>
      </c>
      <c r="N7" s="27">
        <v>46174</v>
      </c>
      <c r="O7" s="27">
        <v>46216</v>
      </c>
      <c r="P7" s="26" t="s">
        <v>108</v>
      </c>
      <c r="Q7" s="26" t="s">
        <v>110</v>
      </c>
      <c r="R7" s="29" t="str">
        <f>IF(A7="","",IF(COUNTIFS(EVALUACION!$A$7:$A$3006,A7,EVALUACION!$B$7:$B$3006,B7)=0,"✖ Evaluación/paciente inconsistente",IF(D7="","✖ Signo o síntoma vacío",IF(COUNTIF(CATALOGOS!$R$7:$R$10,E7)=0,"✖ Presencia no permitida",IF(M7="Sí","▲ Derivación manual marcada","✔ Correcto")))))</f>
        <v>✔ Correcto</v>
      </c>
    </row>
    <row r="8" spans="1:18" ht="24" customHeight="1">
      <c r="A8" s="26" t="s">
        <v>165</v>
      </c>
      <c r="B8" s="26" t="s">
        <v>119</v>
      </c>
      <c r="C8" s="26" t="s">
        <v>220</v>
      </c>
      <c r="D8" s="26" t="s">
        <v>291</v>
      </c>
      <c r="E8" s="26" t="s">
        <v>106</v>
      </c>
      <c r="F8" s="26" t="s">
        <v>292</v>
      </c>
      <c r="G8" s="26" t="s">
        <v>293</v>
      </c>
      <c r="H8" s="26" t="s">
        <v>294</v>
      </c>
      <c r="I8" s="26" t="s">
        <v>295</v>
      </c>
      <c r="J8" s="26" t="s">
        <v>296</v>
      </c>
      <c r="K8" s="26" t="s">
        <v>297</v>
      </c>
      <c r="L8" s="26" t="s">
        <v>298</v>
      </c>
      <c r="M8" s="26" t="s">
        <v>106</v>
      </c>
      <c r="N8" s="27">
        <v>46183</v>
      </c>
      <c r="O8" s="27">
        <v>46216</v>
      </c>
      <c r="P8" s="26" t="s">
        <v>108</v>
      </c>
      <c r="Q8" s="26" t="s">
        <v>110</v>
      </c>
      <c r="R8" s="29" t="str">
        <f>IF(A8="","",IF(COUNTIFS(EVALUACION!$A$7:$A$3006,A8,EVALUACION!$B$7:$B$3006,B8)=0,"✖ Evaluación/paciente inconsistente",IF(D8="","✖ Signo o síntoma vacío",IF(COUNTIF(CATALOGOS!$R$7:$R$10,E8)=0,"✖ Presencia no permitida",IF(M8="Sí","▲ Derivación manual marcada","✔ Correcto")))))</f>
        <v>▲ Derivación manual marcada</v>
      </c>
    </row>
    <row r="9" spans="1:18" ht="14.2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O9" s="27"/>
      <c r="P9" s="26"/>
      <c r="Q9" s="26"/>
      <c r="R9" s="29" t="str">
        <f>IF(A9="","",IF(COUNTIFS(EVALUACION!$A$7:$A$36,A9,EVALUACION!$B$7:$B$36,B9)=0,"✖ Evaluación/paciente inconsistente",IF(D9="","✖ Signo o síntoma vacío",IF(COUNTIF(CATALOGOS!$R$7:$R$10,E9)=0,"✖ Presencia no permitida",IF(M9="Sí","▲ Derivación manual marcada","✔ Correcto")))))</f>
        <v/>
      </c>
    </row>
    <row r="10" spans="1:18" ht="14.2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27"/>
      <c r="P10" s="26"/>
      <c r="Q10" s="26"/>
      <c r="R10" s="29" t="str">
        <f>IF(A10="","",IF(COUNTIFS(EVALUACION!$A$7:$A$36,A10,EVALUACION!$B$7:$B$36,B10)=0,"✖ Evaluación/paciente inconsistente",IF(D10="","✖ Signo o síntoma vacío",IF(COUNTIF(CATALOGOS!$R$7:$R$10,E10)=0,"✖ Presencia no permitida",IF(M10="Sí","▲ Derivación manual marcada","✔ Correcto")))))</f>
        <v/>
      </c>
    </row>
    <row r="11" spans="1:18" ht="14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  <c r="O11" s="27"/>
      <c r="P11" s="26"/>
      <c r="Q11" s="26"/>
      <c r="R11" s="29" t="str">
        <f>IF(A11="","",IF(COUNTIFS(EVALUACION!$A$7:$A$36,A11,EVALUACION!$B$7:$B$36,B11)=0,"✖ Evaluación/paciente inconsistente",IF(D11="","✖ Signo o síntoma vacío",IF(COUNTIF(CATALOGOS!$R$7:$R$10,E11)=0,"✖ Presencia no permitida",IF(M11="Sí","▲ Derivación manual marcada","✔ Correcto")))))</f>
        <v/>
      </c>
    </row>
    <row r="12" spans="1:18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  <c r="O12" s="27"/>
      <c r="P12" s="26"/>
      <c r="Q12" s="26"/>
      <c r="R12" s="29" t="str">
        <f>IF(A12="","",IF(COUNTIFS(EVALUACION!$A$7:$A$36,A12,EVALUACION!$B$7:$B$36,B12)=0,"✖ Evaluación/paciente inconsistente",IF(D12="","✖ Signo o síntoma vacío",IF(COUNTIF(CATALOGOS!$R$7:$R$10,E12)=0,"✖ Presencia no permitida",IF(M12="Sí","▲ Derivación manual marcada","✔ Correcto")))))</f>
        <v/>
      </c>
    </row>
    <row r="13" spans="1:18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7"/>
      <c r="O13" s="27"/>
      <c r="P13" s="26"/>
      <c r="Q13" s="26"/>
      <c r="R13" s="29" t="str">
        <f>IF(A13="","",IF(COUNTIFS(EVALUACION!$A$7:$A$36,A13,EVALUACION!$B$7:$B$36,B13)=0,"✖ Evaluación/paciente inconsistente",IF(D13="","✖ Signo o síntoma vacío",IF(COUNTIF(CATALOGOS!$R$7:$R$10,E13)=0,"✖ Presencia no permitida",IF(M13="Sí","▲ Derivación manual marcada","✔ Correcto")))))</f>
        <v/>
      </c>
    </row>
    <row r="14" spans="1:18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7"/>
      <c r="O14" s="27"/>
      <c r="P14" s="26"/>
      <c r="Q14" s="26"/>
      <c r="R14" s="29" t="str">
        <f>IF(A14="","",IF(COUNTIFS(EVALUACION!$A$7:$A$36,A14,EVALUACION!$B$7:$B$36,B14)=0,"✖ Evaluación/paciente inconsistente",IF(D14="","✖ Signo o síntoma vacío",IF(COUNTIF(CATALOGOS!$R$7:$R$10,E14)=0,"✖ Presencia no permitida",IF(M14="Sí","▲ Derivación manual marcada","✔ Correcto")))))</f>
        <v/>
      </c>
    </row>
    <row r="15" spans="1:18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7"/>
      <c r="O15" s="27"/>
      <c r="P15" s="26"/>
      <c r="Q15" s="26"/>
      <c r="R15" s="29" t="str">
        <f>IF(A15="","",IF(COUNTIFS(EVALUACION!$A$7:$A$36,A15,EVALUACION!$B$7:$B$36,B15)=0,"✖ Evaluación/paciente inconsistente",IF(D15="","✖ Signo o síntoma vacío",IF(COUNTIF(CATALOGOS!$R$7:$R$10,E15)=0,"✖ Presencia no permitida",IF(M15="Sí","▲ Derivación manual marcada","✔ Correcto")))))</f>
        <v/>
      </c>
    </row>
    <row r="16" spans="1:18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27"/>
      <c r="P16" s="26"/>
      <c r="Q16" s="26"/>
      <c r="R16" s="29" t="str">
        <f>IF(A16="","",IF(COUNTIFS(EVALUACION!$A$7:$A$36,A16,EVALUACION!$B$7:$B$36,B16)=0,"✖ Evaluación/paciente inconsistente",IF(D16="","✖ Signo o síntoma vacío",IF(COUNTIF(CATALOGOS!$R$7:$R$10,E16)=0,"✖ Presencia no permitida",IF(M16="Sí","▲ Derivación manual marcada","✔ Correcto")))))</f>
        <v/>
      </c>
    </row>
    <row r="17" spans="1:18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  <c r="O17" s="27"/>
      <c r="P17" s="26"/>
      <c r="Q17" s="26"/>
      <c r="R17" s="29" t="str">
        <f>IF(A17="","",IF(COUNTIFS(EVALUACION!$A$7:$A$36,A17,EVALUACION!$B$7:$B$36,B17)=0,"✖ Evaluación/paciente inconsistente",IF(D17="","✖ Signo o síntoma vacío",IF(COUNTIF(CATALOGOS!$R$7:$R$10,E17)=0,"✖ Presencia no permitida",IF(M17="Sí","▲ Derivación manual marcada","✔ Correcto")))))</f>
        <v/>
      </c>
    </row>
    <row r="18" spans="1:18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  <c r="O18" s="27"/>
      <c r="P18" s="26"/>
      <c r="Q18" s="26"/>
      <c r="R18" s="29" t="str">
        <f>IF(A18="","",IF(COUNTIFS(EVALUACION!$A$7:$A$36,A18,EVALUACION!$B$7:$B$36,B18)=0,"✖ Evaluación/paciente inconsistente",IF(D18="","✖ Signo o síntoma vacío",IF(COUNTIF(CATALOGOS!$R$7:$R$10,E18)=0,"✖ Presencia no permitida",IF(M18="Sí","▲ Derivación manual marcada","✔ Correcto")))))</f>
        <v/>
      </c>
    </row>
    <row r="19" spans="1:18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  <c r="O19" s="27"/>
      <c r="P19" s="26"/>
      <c r="Q19" s="26"/>
      <c r="R19" s="29" t="str">
        <f>IF(A19="","",IF(COUNTIFS(EVALUACION!$A$7:$A$36,A19,EVALUACION!$B$7:$B$36,B19)=0,"✖ Evaluación/paciente inconsistente",IF(D19="","✖ Signo o síntoma vacío",IF(COUNTIF(CATALOGOS!$R$7:$R$10,E19)=0,"✖ Presencia no permitida",IF(M19="Sí","▲ Derivación manual marcada","✔ Correcto")))))</f>
        <v/>
      </c>
    </row>
    <row r="20" spans="1:18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27"/>
      <c r="P20" s="26"/>
      <c r="Q20" s="26"/>
      <c r="R20" s="29" t="str">
        <f>IF(A20="","",IF(COUNTIFS(EVALUACION!$A$7:$A$36,A20,EVALUACION!$B$7:$B$36,B20)=0,"✖ Evaluación/paciente inconsistente",IF(D20="","✖ Signo o síntoma vacío",IF(COUNTIF(CATALOGOS!$R$7:$R$10,E20)=0,"✖ Presencia no permitida",IF(M20="Sí","▲ Derivación manual marcada","✔ Correcto")))))</f>
        <v/>
      </c>
    </row>
    <row r="21" spans="1:18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  <c r="O21" s="27"/>
      <c r="P21" s="26"/>
      <c r="Q21" s="26"/>
      <c r="R21" s="29" t="str">
        <f>IF(A21="","",IF(COUNTIFS(EVALUACION!$A$7:$A$36,A21,EVALUACION!$B$7:$B$36,B21)=0,"✖ Evaluación/paciente inconsistente",IF(D21="","✖ Signo o síntoma vacío",IF(COUNTIF(CATALOGOS!$R$7:$R$10,E21)=0,"✖ Presencia no permitida",IF(M21="Sí","▲ Derivación manual marcada","✔ Correcto")))))</f>
        <v/>
      </c>
    </row>
    <row r="22" spans="1:18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7"/>
      <c r="O22" s="27"/>
      <c r="P22" s="26"/>
      <c r="Q22" s="26"/>
      <c r="R22" s="29" t="str">
        <f>IF(A22="","",IF(COUNTIFS(EVALUACION!$A$7:$A$36,A22,EVALUACION!$B$7:$B$36,B22)=0,"✖ Evaluación/paciente inconsistente",IF(D22="","✖ Signo o síntoma vacío",IF(COUNTIF(CATALOGOS!$R$7:$R$10,E22)=0,"✖ Presencia no permitida",IF(M22="Sí","▲ Derivación manual marcada","✔ Correcto")))))</f>
        <v/>
      </c>
    </row>
    <row r="23" spans="1:18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/>
      <c r="O23" s="27"/>
      <c r="P23" s="26"/>
      <c r="Q23" s="26"/>
      <c r="R23" s="29" t="str">
        <f>IF(A23="","",IF(COUNTIFS(EVALUACION!$A$7:$A$36,A23,EVALUACION!$B$7:$B$36,B23)=0,"✖ Evaluación/paciente inconsistente",IF(D23="","✖ Signo o síntoma vacío",IF(COUNTIF(CATALOGOS!$R$7:$R$10,E23)=0,"✖ Presencia no permitida",IF(M23="Sí","▲ Derivación manual marcada","✔ Correcto")))))</f>
        <v/>
      </c>
    </row>
    <row r="24" spans="1:18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27"/>
      <c r="P24" s="26"/>
      <c r="Q24" s="26"/>
      <c r="R24" s="29" t="str">
        <f>IF(A24="","",IF(COUNTIFS(EVALUACION!$A$7:$A$36,A24,EVALUACION!$B$7:$B$36,B24)=0,"✖ Evaluación/paciente inconsistente",IF(D24="","✖ Signo o síntoma vacío",IF(COUNTIF(CATALOGOS!$R$7:$R$10,E24)=0,"✖ Presencia no permitida",IF(M24="Sí","▲ Derivación manual marcada","✔ Correcto")))))</f>
        <v/>
      </c>
    </row>
    <row r="25" spans="1:18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/>
      <c r="O25" s="27"/>
      <c r="P25" s="26"/>
      <c r="Q25" s="26"/>
      <c r="R25" s="29" t="str">
        <f>IF(A25="","",IF(COUNTIFS(EVALUACION!$A$7:$A$36,A25,EVALUACION!$B$7:$B$36,B25)=0,"✖ Evaluación/paciente inconsistente",IF(D25="","✖ Signo o síntoma vacío",IF(COUNTIF(CATALOGOS!$R$7:$R$10,E25)=0,"✖ Presencia no permitida",IF(M25="Sí","▲ Derivación manual marcada","✔ Correcto")))))</f>
        <v/>
      </c>
    </row>
    <row r="26" spans="1:18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/>
      <c r="O26" s="27"/>
      <c r="P26" s="26"/>
      <c r="Q26" s="26"/>
      <c r="R26" s="29" t="str">
        <f>IF(A26="","",IF(COUNTIFS(EVALUACION!$A$7:$A$36,A26,EVALUACION!$B$7:$B$36,B26)=0,"✖ Evaluación/paciente inconsistente",IF(D26="","✖ Signo o síntoma vacío",IF(COUNTIF(CATALOGOS!$R$7:$R$10,E26)=0,"✖ Presencia no permitida",IF(M26="Sí","▲ Derivación manual marcada","✔ Correcto")))))</f>
        <v/>
      </c>
    </row>
    <row r="27" spans="1:18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/>
      <c r="O27" s="27"/>
      <c r="P27" s="26"/>
      <c r="Q27" s="26"/>
      <c r="R27" s="29" t="str">
        <f>IF(A27="","",IF(COUNTIFS(EVALUACION!$A$7:$A$36,A27,EVALUACION!$B$7:$B$36,B27)=0,"✖ Evaluación/paciente inconsistente",IF(D27="","✖ Signo o síntoma vacío",IF(COUNTIF(CATALOGOS!$R$7:$R$10,E27)=0,"✖ Presencia no permitida",IF(M27="Sí","▲ Derivación manual marcada","✔ Correcto")))))</f>
        <v/>
      </c>
    </row>
    <row r="28" spans="1:1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7"/>
      <c r="O28" s="27"/>
      <c r="P28" s="26"/>
      <c r="Q28" s="26"/>
      <c r="R28" s="29" t="str">
        <f>IF(A28="","",IF(COUNTIFS(EVALUACION!$A$7:$A$36,A28,EVALUACION!$B$7:$B$36,B28)=0,"✖ Evaluación/paciente inconsistente",IF(D28="","✖ Signo o síntoma vacío",IF(COUNTIF(CATALOGOS!$R$7:$R$10,E28)=0,"✖ Presencia no permitida",IF(M28="Sí","▲ Derivación manual marcada","✔ Correcto")))))</f>
        <v/>
      </c>
    </row>
    <row r="29" spans="1:18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/>
      <c r="O29" s="27"/>
      <c r="P29" s="26"/>
      <c r="Q29" s="26"/>
      <c r="R29" s="29" t="str">
        <f>IF(A29="","",IF(COUNTIFS(EVALUACION!$A$7:$A$36,A29,EVALUACION!$B$7:$B$36,B29)=0,"✖ Evaluación/paciente inconsistente",IF(D29="","✖ Signo o síntoma vacío",IF(COUNTIF(CATALOGOS!$R$7:$R$10,E29)=0,"✖ Presencia no permitida",IF(M29="Sí","▲ Derivación manual marcada","✔ Correcto")))))</f>
        <v/>
      </c>
    </row>
    <row r="30" spans="1:18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/>
      <c r="O30" s="27"/>
      <c r="P30" s="26"/>
      <c r="Q30" s="26"/>
      <c r="R30" s="29" t="str">
        <f>IF(A30="","",IF(COUNTIFS(EVALUACION!$A$7:$A$36,A30,EVALUACION!$B$7:$B$36,B30)=0,"✖ Evaluación/paciente inconsistente",IF(D30="","✖ Signo o síntoma vacío",IF(COUNTIF(CATALOGOS!$R$7:$R$10,E30)=0,"✖ Presencia no permitida",IF(M30="Sí","▲ Derivación manual marcada","✔ Correcto")))))</f>
        <v/>
      </c>
    </row>
    <row r="31" spans="1:18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7"/>
      <c r="O31" s="27"/>
      <c r="P31" s="26"/>
      <c r="Q31" s="26"/>
      <c r="R31" s="29" t="str">
        <f>IF(A31="","",IF(COUNTIFS(EVALUACION!$A$7:$A$36,A31,EVALUACION!$B$7:$B$36,B31)=0,"✖ Evaluación/paciente inconsistente",IF(D31="","✖ Signo o síntoma vacío",IF(COUNTIF(CATALOGOS!$R$7:$R$10,E31)=0,"✖ Presencia no permitida",IF(M31="Sí","▲ Derivación manual marcada","✔ Correcto")))))</f>
        <v/>
      </c>
    </row>
    <row r="32" spans="1:18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7"/>
      <c r="O32" s="27"/>
      <c r="P32" s="26"/>
      <c r="Q32" s="26"/>
      <c r="R32" s="29" t="str">
        <f>IF(A32="","",IF(COUNTIFS(EVALUACION!$A$7:$A$36,A32,EVALUACION!$B$7:$B$36,B32)=0,"✖ Evaluación/paciente inconsistente",IF(D32="","✖ Signo o síntoma vacío",IF(COUNTIF(CATALOGOS!$R$7:$R$10,E32)=0,"✖ Presencia no permitida",IF(M32="Sí","▲ Derivación manual marcada","✔ Correcto")))))</f>
        <v/>
      </c>
    </row>
    <row r="33" spans="1:18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7"/>
      <c r="O33" s="27"/>
      <c r="P33" s="26"/>
      <c r="Q33" s="26"/>
      <c r="R33" s="29" t="str">
        <f>IF(A33="","",IF(COUNTIFS(EVALUACION!$A$7:$A$36,A33,EVALUACION!$B$7:$B$36,B33)=0,"✖ Evaluación/paciente inconsistente",IF(D33="","✖ Signo o síntoma vacío",IF(COUNTIF(CATALOGOS!$R$7:$R$10,E33)=0,"✖ Presencia no permitida",IF(M33="Sí","▲ Derivación manual marcada","✔ Correcto")))))</f>
        <v/>
      </c>
    </row>
    <row r="34" spans="1:18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7"/>
      <c r="O34" s="27"/>
      <c r="P34" s="26"/>
      <c r="Q34" s="26"/>
      <c r="R34" s="29" t="str">
        <f>IF(A34="","",IF(COUNTIFS(EVALUACION!$A$7:$A$36,A34,EVALUACION!$B$7:$B$36,B34)=0,"✖ Evaluación/paciente inconsistente",IF(D34="","✖ Signo o síntoma vacío",IF(COUNTIF(CATALOGOS!$R$7:$R$10,E34)=0,"✖ Presencia no permitida",IF(M34="Sí","▲ Derivación manual marcada","✔ Correcto")))))</f>
        <v/>
      </c>
    </row>
    <row r="35" spans="1:18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7"/>
      <c r="P35" s="26"/>
      <c r="Q35" s="26"/>
      <c r="R35" s="29" t="str">
        <f>IF(A35="","",IF(COUNTIFS(EVALUACION!$A$7:$A$36,A35,EVALUACION!$B$7:$B$36,B35)=0,"✖ Evaluación/paciente inconsistente",IF(D35="","✖ Signo o síntoma vacío",IF(COUNTIF(CATALOGOS!$R$7:$R$10,E35)=0,"✖ Presencia no permitida",IF(M35="Sí","▲ Derivación manual marcada","✔ Correcto")))))</f>
        <v/>
      </c>
    </row>
    <row r="36" spans="1:18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27"/>
      <c r="P36" s="26"/>
      <c r="Q36" s="26"/>
      <c r="R36" s="29" t="str">
        <f>IF(A36="","",IF(COUNTIFS(EVALUACION!$A$7:$A$36,A36,EVALUACION!$B$7:$B$36,B36)=0,"✖ Evaluación/paciente inconsistente",IF(D36="","✖ Signo o síntoma vacío",IF(COUNTIF(CATALOGOS!$R$7:$R$10,E36)=0,"✖ Presencia no permitida",IF(M36="Sí","▲ Derivación manual marcada","✔ Correcto")))))</f>
        <v/>
      </c>
    </row>
    <row r="37" spans="1:18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  <c r="O37" s="27"/>
      <c r="P37" s="26"/>
      <c r="Q37" s="26"/>
      <c r="R37" s="29" t="str">
        <f>IF(A37="","",IF(COUNTIFS(EVALUACION!$A$7:$A$36,A37,EVALUACION!$B$7:$B$36,B37)=0,"✖ Evaluación/paciente inconsistente",IF(D37="","✖ Signo o síntoma vacío",IF(COUNTIF(CATALOGOS!$R$7:$R$10,E37)=0,"✖ Presencia no permitida",IF(M37="Sí","▲ Derivación manual marcada","✔ Correcto")))))</f>
        <v/>
      </c>
    </row>
    <row r="38" spans="1:18" ht="14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/>
      <c r="O38" s="27"/>
      <c r="P38" s="26"/>
      <c r="Q38" s="26"/>
      <c r="R38" s="29" t="str">
        <f>IF(A38="","",IF(COUNTIFS(EVALUACION!$A$7:$A$36,A38,EVALUACION!$B$7:$B$36,B38)=0,"✖ Evaluación/paciente inconsistente",IF(D38="","✖ Signo o síntoma vacío",IF(COUNTIF(CATALOGOS!$R$7:$R$10,E38)=0,"✖ Presencia no permitida",IF(M38="Sí","▲ Derivación manual marcada","✔ Correcto")))))</f>
        <v/>
      </c>
    </row>
    <row r="39" spans="1:18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7"/>
      <c r="O39" s="27"/>
      <c r="P39" s="26"/>
      <c r="Q39" s="26"/>
      <c r="R39" s="29" t="str">
        <f>IF(A39="","",IF(COUNTIFS(EVALUACION!$A$7:$A$36,A39,EVALUACION!$B$7:$B$36,B39)=0,"✖ Evaluación/paciente inconsistente",IF(D39="","✖ Signo o síntoma vacío",IF(COUNTIF(CATALOGOS!$R$7:$R$10,E39)=0,"✖ Presencia no permitida",IF(M39="Sí","▲ Derivación manual marcada","✔ Correcto")))))</f>
        <v/>
      </c>
    </row>
    <row r="40" spans="1:18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7"/>
      <c r="O40" s="27"/>
      <c r="P40" s="26"/>
      <c r="Q40" s="26"/>
      <c r="R40" s="29" t="str">
        <f>IF(A40="","",IF(COUNTIFS(EVALUACION!$A$7:$A$36,A40,EVALUACION!$B$7:$B$36,B40)=0,"✖ Evaluación/paciente inconsistente",IF(D40="","✖ Signo o síntoma vacío",IF(COUNTIF(CATALOGOS!$R$7:$R$10,E40)=0,"✖ Presencia no permitida",IF(M40="Sí","▲ Derivación manual marcada","✔ Correcto")))))</f>
        <v/>
      </c>
    </row>
    <row r="41" spans="1:18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  <c r="O41" s="27"/>
      <c r="P41" s="26"/>
      <c r="Q41" s="26"/>
      <c r="R41" s="29" t="str">
        <f>IF(A41="","",IF(COUNTIFS(EVALUACION!$A$7:$A$36,A41,EVALUACION!$B$7:$B$36,B41)=0,"✖ Evaluación/paciente inconsistente",IF(D41="","✖ Signo o síntoma vacío",IF(COUNTIF(CATALOGOS!$R$7:$R$10,E41)=0,"✖ Presencia no permitida",IF(M41="Sí","▲ Derivación manual marcada","✔ Correcto")))))</f>
        <v/>
      </c>
    </row>
    <row r="42" spans="1:18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7"/>
      <c r="O42" s="27"/>
      <c r="P42" s="26"/>
      <c r="Q42" s="26"/>
      <c r="R42" s="29" t="str">
        <f>IF(A42="","",IF(COUNTIFS(EVALUACION!$A$7:$A$36,A42,EVALUACION!$B$7:$B$36,B42)=0,"✖ Evaluación/paciente inconsistente",IF(D42="","✖ Signo o síntoma vacío",IF(COUNTIF(CATALOGOS!$R$7:$R$10,E42)=0,"✖ Presencia no permitida",IF(M42="Sí","▲ Derivación manual marcada","✔ Correcto")))))</f>
        <v/>
      </c>
    </row>
    <row r="43" spans="1:18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7"/>
      <c r="O43" s="27"/>
      <c r="P43" s="26"/>
      <c r="Q43" s="26"/>
      <c r="R43" s="29" t="str">
        <f>IF(A43="","",IF(COUNTIFS(EVALUACION!$A$7:$A$36,A43,EVALUACION!$B$7:$B$36,B43)=0,"✖ Evaluación/paciente inconsistente",IF(D43="","✖ Signo o síntoma vacío",IF(COUNTIF(CATALOGOS!$R$7:$R$10,E43)=0,"✖ Presencia no permitida",IF(M43="Sí","▲ Derivación manual marcada","✔ Correcto")))))</f>
        <v/>
      </c>
    </row>
    <row r="44" spans="1:18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  <c r="O44" s="27"/>
      <c r="P44" s="26"/>
      <c r="Q44" s="26"/>
      <c r="R44" s="29" t="str">
        <f>IF(A44="","",IF(COUNTIFS(EVALUACION!$A$7:$A$36,A44,EVALUACION!$B$7:$B$36,B44)=0,"✖ Evaluación/paciente inconsistente",IF(D44="","✖ Signo o síntoma vacío",IF(COUNTIF(CATALOGOS!$R$7:$R$10,E44)=0,"✖ Presencia no permitida",IF(M44="Sí","▲ Derivación manual marcada","✔ Correcto")))))</f>
        <v/>
      </c>
    </row>
    <row r="45" spans="1:18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7"/>
      <c r="O45" s="27"/>
      <c r="P45" s="26"/>
      <c r="Q45" s="26"/>
      <c r="R45" s="29" t="str">
        <f>IF(A45="","",IF(COUNTIFS(EVALUACION!$A$7:$A$36,A45,EVALUACION!$B$7:$B$36,B45)=0,"✖ Evaluación/paciente inconsistente",IF(D45="","✖ Signo o síntoma vacío",IF(COUNTIF(CATALOGOS!$R$7:$R$10,E45)=0,"✖ Presencia no permitida",IF(M45="Sí","▲ Derivación manual marcada","✔ Correcto")))))</f>
        <v/>
      </c>
    </row>
    <row r="46" spans="1:18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/>
      <c r="O46" s="27"/>
      <c r="P46" s="26"/>
      <c r="Q46" s="26"/>
      <c r="R46" s="29" t="str">
        <f>IF(A46="","",IF(COUNTIFS(EVALUACION!$A$7:$A$36,A46,EVALUACION!$B$7:$B$36,B46)=0,"✖ Evaluación/paciente inconsistente",IF(D46="","✖ Signo o síntoma vacío",IF(COUNTIF(CATALOGOS!$R$7:$R$10,E46)=0,"✖ Presencia no permitida",IF(M46="Sí","▲ Derivación manual marcada","✔ Correcto")))))</f>
        <v/>
      </c>
    </row>
    <row r="47" spans="1:18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  <c r="O47" s="27"/>
      <c r="P47" s="26"/>
      <c r="Q47" s="26"/>
      <c r="R47" s="29" t="str">
        <f>IF(A47="","",IF(COUNTIFS(EVALUACION!$A$7:$A$36,A47,EVALUACION!$B$7:$B$36,B47)=0,"✖ Evaluación/paciente inconsistente",IF(D47="","✖ Signo o síntoma vacío",IF(COUNTIF(CATALOGOS!$R$7:$R$10,E47)=0,"✖ Presencia no permitida",IF(M47="Sí","▲ Derivación manual marcada","✔ Correcto")))))</f>
        <v/>
      </c>
    </row>
    <row r="48" spans="1:18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  <c r="O48" s="27"/>
      <c r="P48" s="26"/>
      <c r="Q48" s="26"/>
      <c r="R48" s="29" t="str">
        <f>IF(A48="","",IF(COUNTIFS(EVALUACION!$A$7:$A$36,A48,EVALUACION!$B$7:$B$36,B48)=0,"✖ Evaluación/paciente inconsistente",IF(D48="","✖ Signo o síntoma vacío",IF(COUNTIF(CATALOGOS!$R$7:$R$10,E48)=0,"✖ Presencia no permitida",IF(M48="Sí","▲ Derivación manual marcada","✔ Correcto")))))</f>
        <v/>
      </c>
    </row>
    <row r="49" spans="1:18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  <c r="O49" s="27"/>
      <c r="P49" s="26"/>
      <c r="Q49" s="26"/>
      <c r="R49" s="29" t="str">
        <f>IF(A49="","",IF(COUNTIFS(EVALUACION!$A$7:$A$36,A49,EVALUACION!$B$7:$B$36,B49)=0,"✖ Evaluación/paciente inconsistente",IF(D49="","✖ Signo o síntoma vacío",IF(COUNTIF(CATALOGOS!$R$7:$R$10,E49)=0,"✖ Presencia no permitida",IF(M49="Sí","▲ Derivación manual marcada","✔ Correcto")))))</f>
        <v/>
      </c>
    </row>
    <row r="50" spans="1:18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  <c r="O50" s="27"/>
      <c r="P50" s="26"/>
      <c r="Q50" s="26"/>
      <c r="R50" s="29" t="str">
        <f>IF(A50="","",IF(COUNTIFS(EVALUACION!$A$7:$A$36,A50,EVALUACION!$B$7:$B$36,B50)=0,"✖ Evaluación/paciente inconsistente",IF(D50="","✖ Signo o síntoma vacío",IF(COUNTIF(CATALOGOS!$R$7:$R$10,E50)=0,"✖ Presencia no permitida",IF(M50="Sí","▲ Derivación manual marcada","✔ Correcto")))))</f>
        <v/>
      </c>
    </row>
    <row r="51" spans="1:18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  <c r="O51" s="27"/>
      <c r="P51" s="26"/>
      <c r="Q51" s="26"/>
      <c r="R51" s="29" t="str">
        <f>IF(A51="","",IF(COUNTIFS(EVALUACION!$A$7:$A$36,A51,EVALUACION!$B$7:$B$36,B51)=0,"✖ Evaluación/paciente inconsistente",IF(D51="","✖ Signo o síntoma vacío",IF(COUNTIF(CATALOGOS!$R$7:$R$10,E51)=0,"✖ Presencia no permitida",IF(M51="Sí","▲ Derivación manual marcada","✔ Correcto")))))</f>
        <v/>
      </c>
    </row>
    <row r="52" spans="1:18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  <c r="O52" s="27"/>
      <c r="P52" s="26"/>
      <c r="Q52" s="26"/>
      <c r="R52" s="29" t="str">
        <f>IF(A52="","",IF(COUNTIFS(EVALUACION!$A$7:$A$36,A52,EVALUACION!$B$7:$B$36,B52)=0,"✖ Evaluación/paciente inconsistente",IF(D52="","✖ Signo o síntoma vacío",IF(COUNTIF(CATALOGOS!$R$7:$R$10,E52)=0,"✖ Presencia no permitida",IF(M52="Sí","▲ Derivación manual marcada","✔ Correcto")))))</f>
        <v/>
      </c>
    </row>
    <row r="53" spans="1:18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  <c r="O53" s="27"/>
      <c r="P53" s="26"/>
      <c r="Q53" s="26"/>
      <c r="R53" s="29" t="str">
        <f>IF(A53="","",IF(COUNTIFS(EVALUACION!$A$7:$A$36,A53,EVALUACION!$B$7:$B$36,B53)=0,"✖ Evaluación/paciente inconsistente",IF(D53="","✖ Signo o síntoma vacío",IF(COUNTIF(CATALOGOS!$R$7:$R$10,E53)=0,"✖ Presencia no permitida",IF(M53="Sí","▲ Derivación manual marcada","✔ Correcto")))))</f>
        <v/>
      </c>
    </row>
    <row r="54" spans="1:18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  <c r="O54" s="27"/>
      <c r="P54" s="26"/>
      <c r="Q54" s="26"/>
      <c r="R54" s="29" t="str">
        <f>IF(A54="","",IF(COUNTIFS(EVALUACION!$A$7:$A$36,A54,EVALUACION!$B$7:$B$36,B54)=0,"✖ Evaluación/paciente inconsistente",IF(D54="","✖ Signo o síntoma vacío",IF(COUNTIF(CATALOGOS!$R$7:$R$10,E54)=0,"✖ Presencia no permitida",IF(M54="Sí","▲ Derivación manual marcada","✔ Correcto")))))</f>
        <v/>
      </c>
    </row>
    <row r="55" spans="1:18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  <c r="O55" s="27"/>
      <c r="P55" s="26"/>
      <c r="Q55" s="26"/>
      <c r="R55" s="29" t="str">
        <f>IF(A55="","",IF(COUNTIFS(EVALUACION!$A$7:$A$36,A55,EVALUACION!$B$7:$B$36,B55)=0,"✖ Evaluación/paciente inconsistente",IF(D55="","✖ Signo o síntoma vacío",IF(COUNTIF(CATALOGOS!$R$7:$R$10,E55)=0,"✖ Presencia no permitida",IF(M55="Sí","▲ Derivación manual marcada","✔ Correcto")))))</f>
        <v/>
      </c>
    </row>
    <row r="56" spans="1:18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  <c r="O56" s="27"/>
      <c r="P56" s="26"/>
      <c r="Q56" s="26"/>
      <c r="R56" s="29" t="str">
        <f>IF(A56="","",IF(COUNTIFS(EVALUACION!$A$7:$A$36,A56,EVALUACION!$B$7:$B$36,B56)=0,"✖ Evaluación/paciente inconsistente",IF(D56="","✖ Signo o síntoma vacío",IF(COUNTIF(CATALOGOS!$R$7:$R$10,E56)=0,"✖ Presencia no permitida",IF(M56="Sí","▲ Derivación manual marcada","✔ Correcto")))))</f>
        <v/>
      </c>
    </row>
  </sheetData>
  <mergeCells count="3">
    <mergeCell ref="A1:R1"/>
    <mergeCell ref="A3:R3"/>
    <mergeCell ref="A5:R5"/>
  </mergeCells>
  <conditionalFormatting sqref="R7:R56">
    <cfRule type="expression" dxfId="36" priority="2">
      <formula>LEFT(R7,1)="✖"</formula>
    </cfRule>
    <cfRule type="expression" dxfId="35" priority="3">
      <formula>LEFT(R7,1)="▲"</formula>
    </cfRule>
    <cfRule type="expression" dxfId="34" priority="4">
      <formula>LEFT(R7,1)="✔"</formula>
    </cfRule>
  </conditionalFormatting>
  <dataValidations count="6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R7:R8" xr:uid="{00000000-0002-0000-0600-000000000000}">
      <formula1>0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C7:C56" xr:uid="{00000000-0002-0000-0600-000001000000}">
      <formula1>Lista_SistemaClinico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E7:E56" xr:uid="{00000000-0002-0000-0600-000002000000}">
      <formula1>Lista_Presencia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F7:F56" xr:uid="{00000000-0002-0000-0600-000003000000}">
      <formula1>Lista_Intensidad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L7:L56" xr:uid="{00000000-0002-0000-0600-000004000000}">
      <formula1>Lista_FuenteDato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M7:M56" xr:uid="{00000000-0002-0000-0600-000005000000}">
      <formula1>Lista_SiNoNA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71"/>
  <sheetViews>
    <sheetView showGridLines="0" workbookViewId="0">
      <selection sqref="A1:T1"/>
    </sheetView>
  </sheetViews>
  <sheetFormatPr baseColWidth="10" defaultColWidth="9" defaultRowHeight="15"/>
  <cols>
    <col min="1" max="2" width="14" style="15" customWidth="1"/>
    <col min="3" max="3" width="13" style="15" customWidth="1"/>
    <col min="4" max="4" width="14" style="15" customWidth="1"/>
    <col min="5" max="5" width="18" style="15" customWidth="1"/>
    <col min="6" max="6" width="10" style="15" customWidth="1"/>
    <col min="7" max="7" width="18" style="15" customWidth="1"/>
    <col min="8" max="8" width="30" style="15" customWidth="1"/>
    <col min="9" max="9" width="10" style="15" customWidth="1"/>
    <col min="10" max="10" width="16" style="15" customWidth="1"/>
    <col min="11" max="11" width="12" style="15" customWidth="1"/>
    <col min="12" max="13" width="14" style="15" customWidth="1"/>
    <col min="14" max="14" width="16" style="15" customWidth="1"/>
    <col min="15" max="15" width="14" style="15" customWidth="1"/>
    <col min="16" max="16" width="12" style="15" customWidth="1"/>
    <col min="17" max="17" width="26" style="15" customWidth="1"/>
    <col min="18" max="18" width="20" style="15" customWidth="1"/>
    <col min="19" max="19" width="34" style="15" customWidth="1"/>
    <col min="20" max="20" width="28" style="15" customWidth="1"/>
  </cols>
  <sheetData>
    <row r="1" spans="1:20" ht="27.75" customHeight="1">
      <c r="A1" s="14" t="s">
        <v>299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20" ht="30" customHeight="1">
      <c r="A3" s="13" t="s">
        <v>300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5" spans="1:20" ht="19.5" customHeight="1">
      <c r="A5" s="12" t="s">
        <v>301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20" ht="36" customHeight="1">
      <c r="A6" s="19" t="s">
        <v>128</v>
      </c>
      <c r="B6" s="19" t="s">
        <v>76</v>
      </c>
      <c r="C6" s="19" t="s">
        <v>176</v>
      </c>
      <c r="D6" s="19" t="s">
        <v>302</v>
      </c>
      <c r="E6" s="19" t="s">
        <v>303</v>
      </c>
      <c r="F6" s="19" t="s">
        <v>282</v>
      </c>
      <c r="G6" s="19" t="s">
        <v>304</v>
      </c>
      <c r="H6" s="19" t="s">
        <v>249</v>
      </c>
      <c r="I6" s="19" t="s">
        <v>97</v>
      </c>
      <c r="J6" s="19" t="s">
        <v>257</v>
      </c>
      <c r="K6" s="19" t="s">
        <v>77</v>
      </c>
      <c r="L6" s="19" t="s">
        <v>135</v>
      </c>
      <c r="M6" s="19" t="s">
        <v>99</v>
      </c>
    </row>
    <row r="7" spans="1:20" ht="24" customHeight="1">
      <c r="A7" s="26" t="s">
        <v>143</v>
      </c>
      <c r="B7" s="26" t="s">
        <v>100</v>
      </c>
      <c r="C7" s="26" t="s">
        <v>305</v>
      </c>
      <c r="D7" s="26" t="s">
        <v>306</v>
      </c>
      <c r="E7" s="26" t="s">
        <v>307</v>
      </c>
      <c r="F7" s="26" t="s">
        <v>308</v>
      </c>
      <c r="G7" s="26"/>
      <c r="H7" s="26" t="s">
        <v>262</v>
      </c>
      <c r="I7" s="26" t="s">
        <v>118</v>
      </c>
      <c r="J7" s="26" t="s">
        <v>309</v>
      </c>
      <c r="K7" s="27">
        <v>46174</v>
      </c>
      <c r="L7" s="26" t="s">
        <v>108</v>
      </c>
      <c r="M7" s="29" t="str">
        <f>IF(A7="","",IF(COUNTIFS(EVALUACION!$A$7:$A$3006,A7,EVALUACION!$B$7:$B$3006,B7)=0,"✖ Evaluación/paciente inconsistente",IF(D7="","✖ Variable vacía",IF(AND(ISNUMBER(G7),G7&lt;0),"✖ Cantidad negativa","✔ Correcto"))))</f>
        <v>✔ Correcto</v>
      </c>
    </row>
    <row r="8" spans="1:20" ht="24" customHeight="1">
      <c r="A8" s="26" t="s">
        <v>143</v>
      </c>
      <c r="B8" s="26" t="s">
        <v>100</v>
      </c>
      <c r="C8" s="26" t="s">
        <v>310</v>
      </c>
      <c r="D8" s="26" t="s">
        <v>311</v>
      </c>
      <c r="E8" s="26" t="s">
        <v>312</v>
      </c>
      <c r="F8" s="26" t="s">
        <v>308</v>
      </c>
      <c r="G8" s="26">
        <v>6</v>
      </c>
      <c r="H8" s="26" t="s">
        <v>262</v>
      </c>
      <c r="I8" s="26" t="s">
        <v>118</v>
      </c>
      <c r="J8" s="26" t="s">
        <v>309</v>
      </c>
      <c r="K8" s="27">
        <v>46174</v>
      </c>
      <c r="L8" s="26" t="s">
        <v>108</v>
      </c>
      <c r="M8" s="29" t="str">
        <f>IF(A8="","",IF(COUNTIFS(EVALUACION!$A$7:$A$3006,A8,EVALUACION!$B$7:$B$3006,B8)=0,"✖ Evaluación/paciente inconsistente",IF(D8="","✖ Variable vacía",IF(AND(ISNUMBER(G8),G8&lt;0),"✖ Cantidad negativa","✔ Correcto"))))</f>
        <v>✔ Correcto</v>
      </c>
    </row>
    <row r="9" spans="1:20" ht="24" customHeight="1">
      <c r="A9" s="26" t="s">
        <v>152</v>
      </c>
      <c r="B9" s="26" t="s">
        <v>111</v>
      </c>
      <c r="C9" s="26" t="s">
        <v>313</v>
      </c>
      <c r="D9" s="26" t="s">
        <v>314</v>
      </c>
      <c r="E9" s="26" t="s">
        <v>315</v>
      </c>
      <c r="F9" s="26" t="s">
        <v>308</v>
      </c>
      <c r="G9" s="26"/>
      <c r="H9" s="26"/>
      <c r="I9" s="26" t="s">
        <v>118</v>
      </c>
      <c r="J9" s="26" t="s">
        <v>309</v>
      </c>
      <c r="K9" s="27">
        <v>46143</v>
      </c>
      <c r="L9" s="26" t="s">
        <v>108</v>
      </c>
      <c r="M9" s="29" t="str">
        <f>IF(A9="","",IF(COUNTIFS(EVALUACION!$A$7:$A$3006,A9,EVALUACION!$B$7:$B$3006,B9)=0,"✖ Evaluación/paciente inconsistente",IF(D9="","✖ Variable vacía",IF(AND(ISNUMBER(G9),G9&lt;0),"✖ Cantidad negativa","✔ Correcto"))))</f>
        <v>✔ Correcto</v>
      </c>
    </row>
    <row r="10" spans="1:20" ht="24" customHeight="1">
      <c r="A10" s="26" t="s">
        <v>165</v>
      </c>
      <c r="B10" s="26" t="s">
        <v>119</v>
      </c>
      <c r="C10" s="26" t="s">
        <v>316</v>
      </c>
      <c r="D10" s="26" t="s">
        <v>317</v>
      </c>
      <c r="E10" s="26" t="s">
        <v>116</v>
      </c>
      <c r="F10" s="26"/>
      <c r="G10" s="26"/>
      <c r="H10" s="26"/>
      <c r="I10" s="26" t="s">
        <v>118</v>
      </c>
      <c r="J10" s="26" t="s">
        <v>318</v>
      </c>
      <c r="K10" s="27">
        <v>46183</v>
      </c>
      <c r="L10" s="26" t="s">
        <v>108</v>
      </c>
      <c r="M10" s="29" t="str">
        <f>IF(A10="","",IF(COUNTIFS(EVALUACION!$A$7:$A$3006,A10,EVALUACION!$B$7:$B$3006,B10)=0,"✖ Evaluación/paciente inconsistente",IF(D10="","✖ Variable vacía",IF(AND(ISNUMBER(G10),G10&lt;0),"✖ Cantidad negativa","✔ Correcto"))))</f>
        <v>✔ Correcto</v>
      </c>
    </row>
    <row r="11" spans="1:20" ht="14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7"/>
      <c r="L11" s="26"/>
      <c r="M11" s="29" t="str">
        <f>IF(A11="","",IF(COUNTIFS(EVALUACION!$A$7:$A$3006,A11,EVALUACION!$B$7:$B$3006,B11)=0,"✖ Evaluación/paciente inconsistente",IF(D11="","✖ Variable vacía",IF(AND(ISNUMBER(G11),G11&lt;0),"✖ Cantidad negativa","✔ Correcto"))))</f>
        <v/>
      </c>
    </row>
    <row r="12" spans="1:20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7"/>
      <c r="L12" s="26"/>
      <c r="M12" s="29" t="str">
        <f>IF(A12="","",IF(COUNTIFS(EVALUACION!$A$7:$A$3006,A12,EVALUACION!$B$7:$B$3006,B12)=0,"✖ Evaluación/paciente inconsistente",IF(D12="","✖ Variable vacía",IF(AND(ISNUMBER(G12),G12&lt;0),"✖ Cantidad negativa","✔ Correcto"))))</f>
        <v/>
      </c>
    </row>
    <row r="13" spans="1:20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7"/>
      <c r="L13" s="26"/>
      <c r="M13" s="29" t="str">
        <f>IF(A13="","",IF(COUNTIFS(EVALUACION!$A$7:$A$3006,A13,EVALUACION!$B$7:$B$3006,B13)=0,"✖ Evaluación/paciente inconsistente",IF(D13="","✖ Variable vacía",IF(AND(ISNUMBER(G13),G13&lt;0),"✖ Cantidad negativa","✔ Correcto"))))</f>
        <v/>
      </c>
    </row>
    <row r="14" spans="1:20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7"/>
      <c r="L14" s="26"/>
      <c r="M14" s="29" t="str">
        <f>IF(A14="","",IF(COUNTIFS(EVALUACION!$A$7:$A$3006,A14,EVALUACION!$B$7:$B$3006,B14)=0,"✖ Evaluación/paciente inconsistente",IF(D14="","✖ Variable vacía",IF(AND(ISNUMBER(G14),G14&lt;0),"✖ Cantidad negativa","✔ Correcto"))))</f>
        <v/>
      </c>
    </row>
    <row r="15" spans="1:20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26"/>
      <c r="M15" s="29" t="str">
        <f>IF(A15="","",IF(COUNTIFS(EVALUACION!$A$7:$A$3006,A15,EVALUACION!$B$7:$B$3006,B15)=0,"✖ Evaluación/paciente inconsistente",IF(D15="","✖ Variable vacía",IF(AND(ISNUMBER(G15),G15&lt;0),"✖ Cantidad negativa","✔ Correcto"))))</f>
        <v/>
      </c>
    </row>
    <row r="16" spans="1:20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7"/>
      <c r="L16" s="26"/>
      <c r="M16" s="29" t="str">
        <f>IF(A16="","",IF(COUNTIFS(EVALUACION!$A$7:$A$3006,A16,EVALUACION!$B$7:$B$3006,B16)=0,"✖ Evaluación/paciente inconsistente",IF(D16="","✖ Variable vacía",IF(AND(ISNUMBER(G16),G16&lt;0),"✖ Cantidad negativa","✔ Correcto"))))</f>
        <v/>
      </c>
    </row>
    <row r="17" spans="1:13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7"/>
      <c r="L17" s="26"/>
      <c r="M17" s="29" t="str">
        <f>IF(A17="","",IF(COUNTIFS(EVALUACION!$A$7:$A$3006,A17,EVALUACION!$B$7:$B$3006,B17)=0,"✖ Evaluación/paciente inconsistente",IF(D17="","✖ Variable vacía",IF(AND(ISNUMBER(G17),G17&lt;0),"✖ Cantidad negativa","✔ Correcto"))))</f>
        <v/>
      </c>
    </row>
    <row r="18" spans="1:13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7"/>
      <c r="L18" s="26"/>
      <c r="M18" s="29" t="str">
        <f>IF(A18="","",IF(COUNTIFS(EVALUACION!$A$7:$A$3006,A18,EVALUACION!$B$7:$B$3006,B18)=0,"✖ Evaluación/paciente inconsistente",IF(D18="","✖ Variable vacía",IF(AND(ISNUMBER(G18),G18&lt;0),"✖ Cantidad negativa","✔ Correcto"))))</f>
        <v/>
      </c>
    </row>
    <row r="19" spans="1:13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7"/>
      <c r="L19" s="26"/>
      <c r="M19" s="29" t="str">
        <f>IF(A19="","",IF(COUNTIFS(EVALUACION!$A$7:$A$3006,A19,EVALUACION!$B$7:$B$3006,B19)=0,"✖ Evaluación/paciente inconsistente",IF(D19="","✖ Variable vacía",IF(AND(ISNUMBER(G19),G19&lt;0),"✖ Cantidad negativa","✔ Correcto"))))</f>
        <v/>
      </c>
    </row>
    <row r="20" spans="1:13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7"/>
      <c r="L20" s="26"/>
      <c r="M20" s="29" t="str">
        <f>IF(A20="","",IF(COUNTIFS(EVALUACION!$A$7:$A$3006,A20,EVALUACION!$B$7:$B$3006,B20)=0,"✖ Evaluación/paciente inconsistente",IF(D20="","✖ Variable vacía",IF(AND(ISNUMBER(G20),G20&lt;0),"✖ Cantidad negativa","✔ Correcto"))))</f>
        <v/>
      </c>
    </row>
    <row r="21" spans="1:13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7"/>
      <c r="L21" s="26"/>
      <c r="M21" s="29" t="str">
        <f>IF(A21="","",IF(COUNTIFS(EVALUACION!$A$7:$A$3006,A21,EVALUACION!$B$7:$B$3006,B21)=0,"✖ Evaluación/paciente inconsistente",IF(D21="","✖ Variable vacía",IF(AND(ISNUMBER(G21),G21&lt;0),"✖ Cantidad negativa","✔ Correcto"))))</f>
        <v/>
      </c>
    </row>
    <row r="22" spans="1:13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7"/>
      <c r="L22" s="26"/>
      <c r="M22" s="29" t="str">
        <f>IF(A22="","",IF(COUNTIFS(EVALUACION!$A$7:$A$3006,A22,EVALUACION!$B$7:$B$3006,B22)=0,"✖ Evaluación/paciente inconsistente",IF(D22="","✖ Variable vacía",IF(AND(ISNUMBER(G22),G22&lt;0),"✖ Cantidad negativa","✔ Correcto"))))</f>
        <v/>
      </c>
    </row>
    <row r="23" spans="1:13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7"/>
      <c r="L23" s="26"/>
      <c r="M23" s="29" t="str">
        <f>IF(A23="","",IF(COUNTIFS(EVALUACION!$A$7:$A$3006,A23,EVALUACION!$B$7:$B$3006,B23)=0,"✖ Evaluación/paciente inconsistente",IF(D23="","✖ Variable vacía",IF(AND(ISNUMBER(G23),G23&lt;0),"✖ Cantidad negativa","✔ Correcto"))))</f>
        <v/>
      </c>
    </row>
    <row r="24" spans="1:13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7"/>
      <c r="L24" s="26"/>
      <c r="M24" s="29" t="str">
        <f>IF(A24="","",IF(COUNTIFS(EVALUACION!$A$7:$A$3006,A24,EVALUACION!$B$7:$B$3006,B24)=0,"✖ Evaluación/paciente inconsistente",IF(D24="","✖ Variable vacía",IF(AND(ISNUMBER(G24),G24&lt;0),"✖ Cantidad negativa","✔ Correcto"))))</f>
        <v/>
      </c>
    </row>
    <row r="25" spans="1:13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7"/>
      <c r="L25" s="26"/>
      <c r="M25" s="29" t="str">
        <f>IF(A25="","",IF(COUNTIFS(EVALUACION!$A$7:$A$3006,A25,EVALUACION!$B$7:$B$3006,B25)=0,"✖ Evaluación/paciente inconsistente",IF(D25="","✖ Variable vacía",IF(AND(ISNUMBER(G25),G25&lt;0),"✖ Cantidad negativa","✔ Correcto"))))</f>
        <v/>
      </c>
    </row>
    <row r="26" spans="1:13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7"/>
      <c r="L26" s="26"/>
      <c r="M26" s="29" t="str">
        <f>IF(A26="","",IF(COUNTIFS(EVALUACION!$A$7:$A$3006,A26,EVALUACION!$B$7:$B$3006,B26)=0,"✖ Evaluación/paciente inconsistente",IF(D26="","✖ Variable vacía",IF(AND(ISNUMBER(G26),G26&lt;0),"✖ Cantidad negativa","✔ Correcto"))))</f>
        <v/>
      </c>
    </row>
    <row r="110" spans="1:20" ht="19.5" customHeight="1">
      <c r="A110" s="12" t="s">
        <v>319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spans="1:20" ht="36" customHeight="1">
      <c r="A111" s="19" t="s">
        <v>128</v>
      </c>
      <c r="B111" s="19" t="s">
        <v>76</v>
      </c>
      <c r="C111" s="19" t="s">
        <v>320</v>
      </c>
      <c r="D111" s="19" t="s">
        <v>321</v>
      </c>
      <c r="E111" s="19" t="s">
        <v>322</v>
      </c>
      <c r="F111" s="19" t="s">
        <v>323</v>
      </c>
      <c r="G111" s="19" t="s">
        <v>324</v>
      </c>
      <c r="H111" s="19" t="s">
        <v>325</v>
      </c>
      <c r="I111" s="19" t="s">
        <v>304</v>
      </c>
      <c r="J111" s="19" t="s">
        <v>326</v>
      </c>
      <c r="K111" s="19" t="s">
        <v>327</v>
      </c>
      <c r="L111" s="19" t="s">
        <v>328</v>
      </c>
      <c r="M111" s="19" t="s">
        <v>329</v>
      </c>
      <c r="N111" s="19" t="s">
        <v>330</v>
      </c>
      <c r="O111" s="19" t="s">
        <v>331</v>
      </c>
      <c r="P111" s="19" t="s">
        <v>332</v>
      </c>
      <c r="Q111" s="19" t="s">
        <v>333</v>
      </c>
      <c r="R111" s="19" t="s">
        <v>334</v>
      </c>
      <c r="S111" s="19" t="s">
        <v>98</v>
      </c>
      <c r="T111" s="19" t="s">
        <v>99</v>
      </c>
    </row>
    <row r="112" spans="1:20" ht="24" customHeight="1">
      <c r="A112" s="26" t="s">
        <v>143</v>
      </c>
      <c r="B112" s="26" t="s">
        <v>100</v>
      </c>
      <c r="C112" s="27">
        <v>46173</v>
      </c>
      <c r="D112" s="26" t="s">
        <v>335</v>
      </c>
      <c r="E112" s="26" t="s">
        <v>336</v>
      </c>
      <c r="F112" s="30">
        <v>0.33333333333333298</v>
      </c>
      <c r="G112" s="26" t="s">
        <v>337</v>
      </c>
      <c r="H112" s="26" t="s">
        <v>338</v>
      </c>
      <c r="I112" s="26">
        <v>1</v>
      </c>
      <c r="J112" s="26" t="s">
        <v>339</v>
      </c>
      <c r="K112" s="26">
        <v>200</v>
      </c>
      <c r="L112" s="26">
        <v>350</v>
      </c>
      <c r="M112" s="26">
        <v>18</v>
      </c>
      <c r="N112" s="26">
        <v>45</v>
      </c>
      <c r="O112" s="26">
        <v>10</v>
      </c>
      <c r="P112" s="26">
        <v>6</v>
      </c>
      <c r="Q112" s="26" t="s">
        <v>340</v>
      </c>
      <c r="R112" s="26" t="s">
        <v>341</v>
      </c>
      <c r="S112" s="26" t="s">
        <v>110</v>
      </c>
      <c r="T112" s="29" t="str">
        <f>IF(A112="","",IF(CONFIG!$B$24="No","▲ Módulo desactivado",IF(COUNTIFS(EVALUACION!$A$7:$A$3006,A112,EVALUACION!$B$7:$B$3006,B112)=0,"✖ Evaluación/paciente inconsistente",IF(H112="","✖ Preparación vacía",IF(OR(AND(ISNUMBER(I112),I112&lt;0),AND(ISNUMBER(K112),K112&lt;0),AND(ISNUMBER(L112),L112&lt;0),AND(ISNUMBER(M112),M112&lt;0),AND(ISNUMBER(N112),N112&lt;0),AND(ISNUMBER(O112),O112&lt;0),AND(ISNUMBER(P112),P112&lt;0)),"✖ Cantidad o nutriente negativo",IF(AND(L112&lt;&gt;"",COUNT(M112:P112)=0),"▲ Energía sin macros",IF(AND(L112="",COUNT(M112:P112)&gt;0),"▲ Macros sin energía","✔ Correcto")))))))</f>
        <v>✔ Correcto</v>
      </c>
    </row>
    <row r="113" spans="1:20" ht="24" customHeight="1">
      <c r="A113" s="26" t="s">
        <v>143</v>
      </c>
      <c r="B113" s="26" t="s">
        <v>100</v>
      </c>
      <c r="C113" s="27">
        <v>46173</v>
      </c>
      <c r="D113" s="26" t="s">
        <v>335</v>
      </c>
      <c r="E113" s="26" t="s">
        <v>342</v>
      </c>
      <c r="F113" s="30">
        <v>0.54166666666666696</v>
      </c>
      <c r="G113" s="26" t="s">
        <v>337</v>
      </c>
      <c r="H113" s="26" t="s">
        <v>343</v>
      </c>
      <c r="I113" s="26">
        <v>1</v>
      </c>
      <c r="J113" s="26" t="s">
        <v>339</v>
      </c>
      <c r="K113" s="26">
        <v>400</v>
      </c>
      <c r="L113" s="26">
        <v>650</v>
      </c>
      <c r="M113" s="26">
        <v>32</v>
      </c>
      <c r="N113" s="26">
        <v>75</v>
      </c>
      <c r="O113" s="26">
        <v>22</v>
      </c>
      <c r="P113" s="26">
        <v>10</v>
      </c>
      <c r="Q113" s="26" t="s">
        <v>340</v>
      </c>
      <c r="R113" s="26" t="s">
        <v>341</v>
      </c>
      <c r="S113" s="26" t="s">
        <v>110</v>
      </c>
      <c r="T113" s="29" t="str">
        <f>IF(A113="","",IF(CONFIG!$B$24="No","▲ Módulo desactivado",IF(COUNTIFS(EVALUACION!$A$7:$A$3006,A113,EVALUACION!$B$7:$B$3006,B113)=0,"✖ Evaluación/paciente inconsistente",IF(H113="","✖ Preparación vacía",IF(OR(AND(ISNUMBER(I113),I113&lt;0),AND(ISNUMBER(K113),K113&lt;0),AND(ISNUMBER(L113),L113&lt;0),AND(ISNUMBER(M113),M113&lt;0),AND(ISNUMBER(N113),N113&lt;0),AND(ISNUMBER(O113),O113&lt;0),AND(ISNUMBER(P113),P113&lt;0)),"✖ Cantidad o nutriente negativo",IF(AND(L113&lt;&gt;"",COUNT(M113:P113)=0),"▲ Energía sin macros",IF(AND(L113="",COUNT(M113:P113)&gt;0),"▲ Macros sin energía","✔ Correcto")))))))</f>
        <v>✔ Correcto</v>
      </c>
    </row>
    <row r="114" spans="1:20" ht="24" customHeight="1">
      <c r="A114" s="26" t="s">
        <v>143</v>
      </c>
      <c r="B114" s="26" t="s">
        <v>100</v>
      </c>
      <c r="C114" s="27">
        <v>46173</v>
      </c>
      <c r="D114" s="26" t="s">
        <v>335</v>
      </c>
      <c r="E114" s="26" t="s">
        <v>344</v>
      </c>
      <c r="F114" s="30">
        <v>0.83333333333333304</v>
      </c>
      <c r="G114" s="26" t="s">
        <v>337</v>
      </c>
      <c r="H114" s="26" t="s">
        <v>345</v>
      </c>
      <c r="I114" s="26">
        <v>1</v>
      </c>
      <c r="J114" s="26" t="s">
        <v>339</v>
      </c>
      <c r="K114" s="26">
        <v>300</v>
      </c>
      <c r="L114" s="26">
        <v>500</v>
      </c>
      <c r="M114" s="26">
        <v>25</v>
      </c>
      <c r="N114" s="26">
        <v>55</v>
      </c>
      <c r="O114" s="26">
        <v>18</v>
      </c>
      <c r="P114" s="26">
        <v>8</v>
      </c>
      <c r="Q114" s="26" t="s">
        <v>340</v>
      </c>
      <c r="R114" s="26" t="s">
        <v>341</v>
      </c>
      <c r="S114" s="26" t="s">
        <v>110</v>
      </c>
      <c r="T114" s="29" t="str">
        <f>IF(A114="","",IF(CONFIG!$B$24="No","▲ Módulo desactivado",IF(COUNTIFS(EVALUACION!$A$7:$A$3006,A114,EVALUACION!$B$7:$B$3006,B114)=0,"✖ Evaluación/paciente inconsistente",IF(H114="","✖ Preparación vacía",IF(OR(AND(ISNUMBER(I114),I114&lt;0),AND(ISNUMBER(K114),K114&lt;0),AND(ISNUMBER(L114),L114&lt;0),AND(ISNUMBER(M114),M114&lt;0),AND(ISNUMBER(N114),N114&lt;0),AND(ISNUMBER(O114),O114&lt;0),AND(ISNUMBER(P114),P114&lt;0)),"✖ Cantidad o nutriente negativo",IF(AND(L114&lt;&gt;"",COUNT(M114:P114)=0),"▲ Energía sin macros",IF(AND(L114="",COUNT(M114:P114)&gt;0),"▲ Macros sin energía","✔ Correcto")))))))</f>
        <v>✔ Correcto</v>
      </c>
    </row>
    <row r="115" spans="1:20" ht="24" customHeight="1">
      <c r="A115" s="26" t="s">
        <v>152</v>
      </c>
      <c r="B115" s="26" t="s">
        <v>111</v>
      </c>
      <c r="C115" s="27">
        <v>46142</v>
      </c>
      <c r="D115" s="26" t="s">
        <v>346</v>
      </c>
      <c r="E115" s="26" t="s">
        <v>336</v>
      </c>
      <c r="F115" s="30">
        <v>0.375</v>
      </c>
      <c r="G115" s="26" t="s">
        <v>347</v>
      </c>
      <c r="H115" s="26" t="s">
        <v>348</v>
      </c>
      <c r="I115" s="26">
        <v>1</v>
      </c>
      <c r="J115" s="26" t="s">
        <v>339</v>
      </c>
      <c r="K115" s="26">
        <v>250</v>
      </c>
      <c r="L115" s="26">
        <v>400</v>
      </c>
      <c r="M115" s="26">
        <v>15</v>
      </c>
      <c r="N115" s="26">
        <v>50</v>
      </c>
      <c r="O115" s="26">
        <v>15</v>
      </c>
      <c r="P115" s="26">
        <v>5</v>
      </c>
      <c r="Q115" s="26" t="s">
        <v>340</v>
      </c>
      <c r="R115" s="26" t="s">
        <v>341</v>
      </c>
      <c r="S115" s="26" t="s">
        <v>110</v>
      </c>
      <c r="T115" s="29" t="str">
        <f>IF(A115="","",IF(CONFIG!$B$24="No","▲ Módulo desactivado",IF(COUNTIFS(EVALUACION!$A$7:$A$3006,A115,EVALUACION!$B$7:$B$3006,B115)=0,"✖ Evaluación/paciente inconsistente",IF(H115="","✖ Preparación vacía",IF(OR(AND(ISNUMBER(I115),I115&lt;0),AND(ISNUMBER(K115),K115&lt;0),AND(ISNUMBER(L115),L115&lt;0),AND(ISNUMBER(M115),M115&lt;0),AND(ISNUMBER(N115),N115&lt;0),AND(ISNUMBER(O115),O115&lt;0),AND(ISNUMBER(P115),P115&lt;0)),"✖ Cantidad o nutriente negativo",IF(AND(L115&lt;&gt;"",COUNT(M115:P115)=0),"▲ Energía sin macros",IF(AND(L115="",COUNT(M115:P115)&gt;0),"▲ Macros sin energía","✔ Correcto")))))))</f>
        <v>✔ Correcto</v>
      </c>
    </row>
    <row r="116" spans="1:20" ht="24" customHeight="1">
      <c r="A116" s="26" t="s">
        <v>152</v>
      </c>
      <c r="B116" s="26" t="s">
        <v>111</v>
      </c>
      <c r="C116" s="27">
        <v>46142</v>
      </c>
      <c r="D116" s="26" t="s">
        <v>346</v>
      </c>
      <c r="E116" s="26" t="s">
        <v>344</v>
      </c>
      <c r="F116" s="30">
        <v>0.89583333333333304</v>
      </c>
      <c r="G116" s="26" t="s">
        <v>337</v>
      </c>
      <c r="H116" s="26" t="s">
        <v>349</v>
      </c>
      <c r="I116" s="26">
        <v>1</v>
      </c>
      <c r="J116" s="26" t="s">
        <v>339</v>
      </c>
      <c r="K116" s="26">
        <v>450</v>
      </c>
      <c r="L116" s="26">
        <v>800</v>
      </c>
      <c r="M116" s="26">
        <v>35</v>
      </c>
      <c r="N116" s="26">
        <v>90</v>
      </c>
      <c r="O116" s="26">
        <v>30</v>
      </c>
      <c r="P116" s="26">
        <v>7</v>
      </c>
      <c r="Q116" s="26" t="s">
        <v>340</v>
      </c>
      <c r="R116" s="26" t="s">
        <v>341</v>
      </c>
      <c r="S116" s="26" t="s">
        <v>110</v>
      </c>
      <c r="T116" s="29" t="str">
        <f>IF(A116="","",IF(CONFIG!$B$24="No","▲ Módulo desactivado",IF(COUNTIFS(EVALUACION!$A$7:$A$3006,A116,EVALUACION!$B$7:$B$3006,B116)=0,"✖ Evaluación/paciente inconsistente",IF(H116="","✖ Preparación vacía",IF(OR(AND(ISNUMBER(I116),I116&lt;0),AND(ISNUMBER(K116),K116&lt;0),AND(ISNUMBER(L116),L116&lt;0),AND(ISNUMBER(M116),M116&lt;0),AND(ISNUMBER(N116),N116&lt;0),AND(ISNUMBER(O116),O116&lt;0),AND(ISNUMBER(P116),P116&lt;0)),"✖ Cantidad o nutriente negativo",IF(AND(L116&lt;&gt;"",COUNT(M116:P116)=0),"▲ Energía sin macros",IF(AND(L116="",COUNT(M116:P116)&gt;0),"▲ Macros sin energía","✔ Correcto")))))))</f>
        <v>✔ Correcto</v>
      </c>
    </row>
    <row r="117" spans="1:20" ht="24" customHeight="1">
      <c r="A117" s="26" t="s">
        <v>154</v>
      </c>
      <c r="B117" s="26" t="s">
        <v>111</v>
      </c>
      <c r="C117" s="27">
        <v>46203</v>
      </c>
      <c r="D117" s="26" t="s">
        <v>335</v>
      </c>
      <c r="E117" s="26" t="s">
        <v>342</v>
      </c>
      <c r="F117" s="30">
        <v>0.5625</v>
      </c>
      <c r="G117" s="26" t="s">
        <v>337</v>
      </c>
      <c r="H117" s="26" t="s">
        <v>350</v>
      </c>
      <c r="I117" s="26">
        <v>1</v>
      </c>
      <c r="J117" s="26" t="s">
        <v>339</v>
      </c>
      <c r="K117" s="26">
        <v>350</v>
      </c>
      <c r="L117" s="26">
        <v>600</v>
      </c>
      <c r="M117" s="26">
        <v>30</v>
      </c>
      <c r="N117" s="26">
        <v>65</v>
      </c>
      <c r="O117" s="26">
        <v>20</v>
      </c>
      <c r="P117" s="26">
        <v>9</v>
      </c>
      <c r="Q117" s="26" t="s">
        <v>340</v>
      </c>
      <c r="R117" s="26" t="s">
        <v>341</v>
      </c>
      <c r="S117" s="26" t="s">
        <v>110</v>
      </c>
      <c r="T117" s="29" t="str">
        <f>IF(A117="","",IF(CONFIG!$B$24="No","▲ Módulo desactivado",IF(COUNTIFS(EVALUACION!$A$7:$A$3006,A117,EVALUACION!$B$7:$B$3006,B117)=0,"✖ Evaluación/paciente inconsistente",IF(H117="","✖ Preparación vacía",IF(OR(AND(ISNUMBER(I117),I117&lt;0),AND(ISNUMBER(K117),K117&lt;0),AND(ISNUMBER(L117),L117&lt;0),AND(ISNUMBER(M117),M117&lt;0),AND(ISNUMBER(N117),N117&lt;0),AND(ISNUMBER(O117),O117&lt;0),AND(ISNUMBER(P117),P117&lt;0)),"✖ Cantidad o nutriente negativo",IF(AND(L117&lt;&gt;"",COUNT(M117:P117)=0),"▲ Energía sin macros",IF(AND(L117="",COUNT(M117:P117)&gt;0),"▲ Macros sin energía","✔ Correcto")))))))</f>
        <v>✔ Correcto</v>
      </c>
    </row>
    <row r="118" spans="1:20" ht="14.25" customHeight="1">
      <c r="A118" s="26"/>
      <c r="B118" s="26"/>
      <c r="C118" s="27"/>
      <c r="D118" s="26"/>
      <c r="E118" s="26"/>
      <c r="F118" s="30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9" t="str">
        <f>IF(A118="","",IF(CONFIG!$B$24="No","▲ Módulo desactivado",IF(COUNTIFS(EVALUACION!$A$7:$A$36,A118,EVALUACION!$B$7:$B$36,B118)=0,"✖ Evaluación/paciente inconsistente",IF(H118="","✖ Preparación vacía",IF(OR(AND(ISNUMBER(I118),I118&lt;0),AND(ISNUMBER(K118),K118&lt;0),AND(ISNUMBER(L118),L118&lt;0),AND(ISNUMBER(M118),M118&lt;0),AND(ISNUMBER(N118),N118&lt;0),AND(ISNUMBER(O118),O118&lt;0),AND(ISNUMBER(P118),P118&lt;0)),"✖ Cantidad o nutriente negativo",IF(AND(L118&lt;&gt;"",COUNT(M118:P118)=0),"▲ Energía sin macros",IF(AND(L118="",COUNT(M118:P118)&gt;0),"▲ Macros sin energía","✔ Correcto")))))))</f>
        <v/>
      </c>
    </row>
    <row r="119" spans="1:20" ht="14.25" customHeight="1">
      <c r="A119" s="26"/>
      <c r="B119" s="26"/>
      <c r="C119" s="27"/>
      <c r="D119" s="26"/>
      <c r="E119" s="26"/>
      <c r="F119" s="30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9" t="str">
        <f>IF(A119="","",IF(CONFIG!$B$24="No","▲ Módulo desactivado",IF(COUNTIFS(EVALUACION!$A$7:$A$36,A119,EVALUACION!$B$7:$B$36,B119)=0,"✖ Evaluación/paciente inconsistente",IF(H119="","✖ Preparación vacía",IF(OR(AND(ISNUMBER(I119),I119&lt;0),AND(ISNUMBER(K119),K119&lt;0),AND(ISNUMBER(L119),L119&lt;0),AND(ISNUMBER(M119),M119&lt;0),AND(ISNUMBER(N119),N119&lt;0),AND(ISNUMBER(O119),O119&lt;0),AND(ISNUMBER(P119),P119&lt;0)),"✖ Cantidad o nutriente negativo",IF(AND(L119&lt;&gt;"",COUNT(M119:P119)=0),"▲ Energía sin macros",IF(AND(L119="",COUNT(M119:P119)&gt;0),"▲ Macros sin energía","✔ Correcto")))))))</f>
        <v/>
      </c>
    </row>
    <row r="120" spans="1:20" ht="14.25" customHeight="1">
      <c r="A120" s="26"/>
      <c r="B120" s="26"/>
      <c r="C120" s="27"/>
      <c r="D120" s="26"/>
      <c r="E120" s="26"/>
      <c r="F120" s="30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9" t="str">
        <f>IF(A120="","",IF(CONFIG!$B$24="No","▲ Módulo desactivado",IF(COUNTIFS(EVALUACION!$A$7:$A$36,A120,EVALUACION!$B$7:$B$36,B120)=0,"✖ Evaluación/paciente inconsistente",IF(H120="","✖ Preparación vacía",IF(OR(AND(ISNUMBER(I120),I120&lt;0),AND(ISNUMBER(K120),K120&lt;0),AND(ISNUMBER(L120),L120&lt;0),AND(ISNUMBER(M120),M120&lt;0),AND(ISNUMBER(N120),N120&lt;0),AND(ISNUMBER(O120),O120&lt;0),AND(ISNUMBER(P120),P120&lt;0)),"✖ Cantidad o nutriente negativo",IF(AND(L120&lt;&gt;"",COUNT(M120:P120)=0),"▲ Energía sin macros",IF(AND(L120="",COUNT(M120:P120)&gt;0),"▲ Macros sin energía","✔ Correcto")))))))</f>
        <v/>
      </c>
    </row>
    <row r="121" spans="1:20" ht="14.25" customHeight="1">
      <c r="A121" s="26"/>
      <c r="B121" s="26"/>
      <c r="C121" s="27"/>
      <c r="D121" s="26"/>
      <c r="E121" s="26"/>
      <c r="F121" s="30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9" t="str">
        <f>IF(A121="","",IF(CONFIG!$B$24="No","▲ Módulo desactivado",IF(COUNTIFS(EVALUACION!$A$7:$A$36,A121,EVALUACION!$B$7:$B$36,B121)=0,"✖ Evaluación/paciente inconsistente",IF(H121="","✖ Preparación vacía",IF(OR(AND(ISNUMBER(I121),I121&lt;0),AND(ISNUMBER(K121),K121&lt;0),AND(ISNUMBER(L121),L121&lt;0),AND(ISNUMBER(M121),M121&lt;0),AND(ISNUMBER(N121),N121&lt;0),AND(ISNUMBER(O121),O121&lt;0),AND(ISNUMBER(P121),P121&lt;0)),"✖ Cantidad o nutriente negativo",IF(AND(L121&lt;&gt;"",COUNT(M121:P121)=0),"▲ Energía sin macros",IF(AND(L121="",COUNT(M121:P121)&gt;0),"▲ Macros sin energía","✔ Correcto")))))))</f>
        <v/>
      </c>
    </row>
    <row r="122" spans="1:20" ht="14.25" customHeight="1">
      <c r="A122" s="26"/>
      <c r="B122" s="26"/>
      <c r="C122" s="27"/>
      <c r="D122" s="26"/>
      <c r="E122" s="26"/>
      <c r="F122" s="30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9" t="str">
        <f>IF(A122="","",IF(CONFIG!$B$24="No","▲ Módulo desactivado",IF(COUNTIFS(EVALUACION!$A$7:$A$36,A122,EVALUACION!$B$7:$B$36,B122)=0,"✖ Evaluación/paciente inconsistente",IF(H122="","✖ Preparación vacía",IF(OR(AND(ISNUMBER(I122),I122&lt;0),AND(ISNUMBER(K122),K122&lt;0),AND(ISNUMBER(L122),L122&lt;0),AND(ISNUMBER(M122),M122&lt;0),AND(ISNUMBER(N122),N122&lt;0),AND(ISNUMBER(O122),O122&lt;0),AND(ISNUMBER(P122),P122&lt;0)),"✖ Cantidad o nutriente negativo",IF(AND(L122&lt;&gt;"",COUNT(M122:P122)=0),"▲ Energía sin macros",IF(AND(L122="",COUNT(M122:P122)&gt;0),"▲ Macros sin energía","✔ Correcto")))))))</f>
        <v/>
      </c>
    </row>
    <row r="123" spans="1:20" ht="14.25" customHeight="1">
      <c r="A123" s="26"/>
      <c r="B123" s="26"/>
      <c r="C123" s="27"/>
      <c r="D123" s="26"/>
      <c r="E123" s="26"/>
      <c r="F123" s="30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9" t="str">
        <f>IF(A123="","",IF(CONFIG!$B$24="No","▲ Módulo desactivado",IF(COUNTIFS(EVALUACION!$A$7:$A$36,A123,EVALUACION!$B$7:$B$36,B123)=0,"✖ Evaluación/paciente inconsistente",IF(H123="","✖ Preparación vacía",IF(OR(AND(ISNUMBER(I123),I123&lt;0),AND(ISNUMBER(K123),K123&lt;0),AND(ISNUMBER(L123),L123&lt;0),AND(ISNUMBER(M123),M123&lt;0),AND(ISNUMBER(N123),N123&lt;0),AND(ISNUMBER(O123),O123&lt;0),AND(ISNUMBER(P123),P123&lt;0)),"✖ Cantidad o nutriente negativo",IF(AND(L123&lt;&gt;"",COUNT(M123:P123)=0),"▲ Energía sin macros",IF(AND(L123="",COUNT(M123:P123)&gt;0),"▲ Macros sin energía","✔ Correcto")))))))</f>
        <v/>
      </c>
    </row>
    <row r="124" spans="1:20" ht="14.25" customHeight="1">
      <c r="A124" s="26"/>
      <c r="B124" s="26"/>
      <c r="C124" s="27"/>
      <c r="D124" s="26"/>
      <c r="E124" s="26"/>
      <c r="F124" s="30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9" t="str">
        <f>IF(A124="","",IF(CONFIG!$B$24="No","▲ Módulo desactivado",IF(COUNTIFS(EVALUACION!$A$7:$A$36,A124,EVALUACION!$B$7:$B$36,B124)=0,"✖ Evaluación/paciente inconsistente",IF(H124="","✖ Preparación vacía",IF(OR(AND(ISNUMBER(I124),I124&lt;0),AND(ISNUMBER(K124),K124&lt;0),AND(ISNUMBER(L124),L124&lt;0),AND(ISNUMBER(M124),M124&lt;0),AND(ISNUMBER(N124),N124&lt;0),AND(ISNUMBER(O124),O124&lt;0),AND(ISNUMBER(P124),P124&lt;0)),"✖ Cantidad o nutriente negativo",IF(AND(L124&lt;&gt;"",COUNT(M124:P124)=0),"▲ Energía sin macros",IF(AND(L124="",COUNT(M124:P124)&gt;0),"▲ Macros sin energía","✔ Correcto")))))))</f>
        <v/>
      </c>
    </row>
    <row r="125" spans="1:20" ht="14.25" customHeight="1">
      <c r="A125" s="26"/>
      <c r="B125" s="26"/>
      <c r="C125" s="27"/>
      <c r="D125" s="26"/>
      <c r="E125" s="26"/>
      <c r="F125" s="30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9" t="str">
        <f>IF(A125="","",IF(CONFIG!$B$24="No","▲ Módulo desactivado",IF(COUNTIFS(EVALUACION!$A$7:$A$36,A125,EVALUACION!$B$7:$B$36,B125)=0,"✖ Evaluación/paciente inconsistente",IF(H125="","✖ Preparación vacía",IF(OR(AND(ISNUMBER(I125),I125&lt;0),AND(ISNUMBER(K125),K125&lt;0),AND(ISNUMBER(L125),L125&lt;0),AND(ISNUMBER(M125),M125&lt;0),AND(ISNUMBER(N125),N125&lt;0),AND(ISNUMBER(O125),O125&lt;0),AND(ISNUMBER(P125),P125&lt;0)),"✖ Cantidad o nutriente negativo",IF(AND(L125&lt;&gt;"",COUNT(M125:P125)=0),"▲ Energía sin macros",IF(AND(L125="",COUNT(M125:P125)&gt;0),"▲ Macros sin energía","✔ Correcto")))))))</f>
        <v/>
      </c>
    </row>
    <row r="126" spans="1:20" ht="14.25" customHeight="1">
      <c r="A126" s="26"/>
      <c r="B126" s="26"/>
      <c r="C126" s="27"/>
      <c r="D126" s="26"/>
      <c r="E126" s="26"/>
      <c r="F126" s="30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9" t="str">
        <f>IF(A126="","",IF(CONFIG!$B$24="No","▲ Módulo desactivado",IF(COUNTIFS(EVALUACION!$A$7:$A$36,A126,EVALUACION!$B$7:$B$36,B126)=0,"✖ Evaluación/paciente inconsistente",IF(H126="","✖ Preparación vacía",IF(OR(AND(ISNUMBER(I126),I126&lt;0),AND(ISNUMBER(K126),K126&lt;0),AND(ISNUMBER(L126),L126&lt;0),AND(ISNUMBER(M126),M126&lt;0),AND(ISNUMBER(N126),N126&lt;0),AND(ISNUMBER(O126),O126&lt;0),AND(ISNUMBER(P126),P126&lt;0)),"✖ Cantidad o nutriente negativo",IF(AND(L126&lt;&gt;"",COUNT(M126:P126)=0),"▲ Energía sin macros",IF(AND(L126="",COUNT(M126:P126)&gt;0),"▲ Macros sin energía","✔ Correcto")))))))</f>
        <v/>
      </c>
    </row>
    <row r="127" spans="1:20" ht="14.25" customHeight="1">
      <c r="A127" s="26"/>
      <c r="B127" s="26"/>
      <c r="C127" s="27"/>
      <c r="D127" s="26"/>
      <c r="E127" s="26"/>
      <c r="F127" s="30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9" t="str">
        <f>IF(A127="","",IF(CONFIG!$B$24="No","▲ Módulo desactivado",IF(COUNTIFS(EVALUACION!$A$7:$A$36,A127,EVALUACION!$B$7:$B$36,B127)=0,"✖ Evaluación/paciente inconsistente",IF(H127="","✖ Preparación vacía",IF(OR(AND(ISNUMBER(I127),I127&lt;0),AND(ISNUMBER(K127),K127&lt;0),AND(ISNUMBER(L127),L127&lt;0),AND(ISNUMBER(M127),M127&lt;0),AND(ISNUMBER(N127),N127&lt;0),AND(ISNUMBER(O127),O127&lt;0),AND(ISNUMBER(P127),P127&lt;0)),"✖ Cantidad o nutriente negativo",IF(AND(L127&lt;&gt;"",COUNT(M127:P127)=0),"▲ Energía sin macros",IF(AND(L127="",COUNT(M127:P127)&gt;0),"▲ Macros sin energía","✔ Correcto")))))))</f>
        <v/>
      </c>
    </row>
    <row r="128" spans="1:20" ht="14.25" customHeight="1">
      <c r="A128" s="26"/>
      <c r="B128" s="26"/>
      <c r="C128" s="27"/>
      <c r="D128" s="26"/>
      <c r="E128" s="26"/>
      <c r="F128" s="30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9" t="str">
        <f>IF(A128="","",IF(CONFIG!$B$24="No","▲ Módulo desactivado",IF(COUNTIFS(EVALUACION!$A$7:$A$36,A128,EVALUACION!$B$7:$B$36,B128)=0,"✖ Evaluación/paciente inconsistente",IF(H128="","✖ Preparación vacía",IF(OR(AND(ISNUMBER(I128),I128&lt;0),AND(ISNUMBER(K128),K128&lt;0),AND(ISNUMBER(L128),L128&lt;0),AND(ISNUMBER(M128),M128&lt;0),AND(ISNUMBER(N128),N128&lt;0),AND(ISNUMBER(O128),O128&lt;0),AND(ISNUMBER(P128),P128&lt;0)),"✖ Cantidad o nutriente negativo",IF(AND(L128&lt;&gt;"",COUNT(M128:P128)=0),"▲ Energía sin macros",IF(AND(L128="",COUNT(M128:P128)&gt;0),"▲ Macros sin energía","✔ Correcto")))))))</f>
        <v/>
      </c>
    </row>
    <row r="129" spans="1:20" ht="14.25" customHeight="1">
      <c r="A129" s="26"/>
      <c r="B129" s="26"/>
      <c r="C129" s="27"/>
      <c r="D129" s="26"/>
      <c r="E129" s="26"/>
      <c r="F129" s="30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9" t="str">
        <f>IF(A129="","",IF(CONFIG!$B$24="No","▲ Módulo desactivado",IF(COUNTIFS(EVALUACION!$A$7:$A$36,A129,EVALUACION!$B$7:$B$36,B129)=0,"✖ Evaluación/paciente inconsistente",IF(H129="","✖ Preparación vacía",IF(OR(AND(ISNUMBER(I129),I129&lt;0),AND(ISNUMBER(K129),K129&lt;0),AND(ISNUMBER(L129),L129&lt;0),AND(ISNUMBER(M129),M129&lt;0),AND(ISNUMBER(N129),N129&lt;0),AND(ISNUMBER(O129),O129&lt;0),AND(ISNUMBER(P129),P129&lt;0)),"✖ Cantidad o nutriente negativo",IF(AND(L129&lt;&gt;"",COUNT(M129:P129)=0),"▲ Energía sin macros",IF(AND(L129="",COUNT(M129:P129)&gt;0),"▲ Macros sin energía","✔ Correcto")))))))</f>
        <v/>
      </c>
    </row>
    <row r="130" spans="1:20" ht="14.25" customHeight="1">
      <c r="A130" s="26"/>
      <c r="B130" s="26"/>
      <c r="C130" s="27"/>
      <c r="D130" s="26"/>
      <c r="E130" s="26"/>
      <c r="F130" s="30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9" t="str">
        <f>IF(A130="","",IF(CONFIG!$B$24="No","▲ Módulo desactivado",IF(COUNTIFS(EVALUACION!$A$7:$A$36,A130,EVALUACION!$B$7:$B$36,B130)=0,"✖ Evaluación/paciente inconsistente",IF(H130="","✖ Preparación vacía",IF(OR(AND(ISNUMBER(I130),I130&lt;0),AND(ISNUMBER(K130),K130&lt;0),AND(ISNUMBER(L130),L130&lt;0),AND(ISNUMBER(M130),M130&lt;0),AND(ISNUMBER(N130),N130&lt;0),AND(ISNUMBER(O130),O130&lt;0),AND(ISNUMBER(P130),P130&lt;0)),"✖ Cantidad o nutriente negativo",IF(AND(L130&lt;&gt;"",COUNT(M130:P130)=0),"▲ Energía sin macros",IF(AND(L130="",COUNT(M130:P130)&gt;0),"▲ Macros sin energía","✔ Correcto")))))))</f>
        <v/>
      </c>
    </row>
    <row r="131" spans="1:20" ht="14.25" customHeight="1">
      <c r="A131" s="26"/>
      <c r="B131" s="26"/>
      <c r="C131" s="27"/>
      <c r="D131" s="26"/>
      <c r="E131" s="26"/>
      <c r="F131" s="30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9" t="str">
        <f>IF(A131="","",IF(CONFIG!$B$24="No","▲ Módulo desactivado",IF(COUNTIFS(EVALUACION!$A$7:$A$36,A131,EVALUACION!$B$7:$B$36,B131)=0,"✖ Evaluación/paciente inconsistente",IF(H131="","✖ Preparación vacía",IF(OR(AND(ISNUMBER(I131),I131&lt;0),AND(ISNUMBER(K131),K131&lt;0),AND(ISNUMBER(L131),L131&lt;0),AND(ISNUMBER(M131),M131&lt;0),AND(ISNUMBER(N131),N131&lt;0),AND(ISNUMBER(O131),O131&lt;0),AND(ISNUMBER(P131),P131&lt;0)),"✖ Cantidad o nutriente negativo",IF(AND(L131&lt;&gt;"",COUNT(M131:P131)=0),"▲ Energía sin macros",IF(AND(L131="",COUNT(M131:P131)&gt;0),"▲ Macros sin energía","✔ Correcto")))))))</f>
        <v/>
      </c>
    </row>
    <row r="132" spans="1:20" ht="14.25" customHeight="1">
      <c r="A132" s="26"/>
      <c r="B132" s="26"/>
      <c r="C132" s="27"/>
      <c r="D132" s="26"/>
      <c r="E132" s="26"/>
      <c r="F132" s="30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9" t="str">
        <f>IF(A132="","",IF(CONFIG!$B$24="No","▲ Módulo desactivado",IF(COUNTIFS(EVALUACION!$A$7:$A$36,A132,EVALUACION!$B$7:$B$36,B132)=0,"✖ Evaluación/paciente inconsistente",IF(H132="","✖ Preparación vacía",IF(OR(AND(ISNUMBER(I132),I132&lt;0),AND(ISNUMBER(K132),K132&lt;0),AND(ISNUMBER(L132),L132&lt;0),AND(ISNUMBER(M132),M132&lt;0),AND(ISNUMBER(N132),N132&lt;0),AND(ISNUMBER(O132),O132&lt;0),AND(ISNUMBER(P132),P132&lt;0)),"✖ Cantidad o nutriente negativo",IF(AND(L132&lt;&gt;"",COUNT(M132:P132)=0),"▲ Energía sin macros",IF(AND(L132="",COUNT(M132:P132)&gt;0),"▲ Macros sin energía","✔ Correcto")))))))</f>
        <v/>
      </c>
    </row>
    <row r="133" spans="1:20" ht="14.25" customHeight="1">
      <c r="A133" s="26"/>
      <c r="B133" s="26"/>
      <c r="C133" s="27"/>
      <c r="D133" s="26"/>
      <c r="E133" s="26"/>
      <c r="F133" s="30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9" t="str">
        <f>IF(A133="","",IF(CONFIG!$B$24="No","▲ Módulo desactivado",IF(COUNTIFS(EVALUACION!$A$7:$A$36,A133,EVALUACION!$B$7:$B$36,B133)=0,"✖ Evaluación/paciente inconsistente",IF(H133="","✖ Preparación vacía",IF(OR(AND(ISNUMBER(I133),I133&lt;0),AND(ISNUMBER(K133),K133&lt;0),AND(ISNUMBER(L133),L133&lt;0),AND(ISNUMBER(M133),M133&lt;0),AND(ISNUMBER(N133),N133&lt;0),AND(ISNUMBER(O133),O133&lt;0),AND(ISNUMBER(P133),P133&lt;0)),"✖ Cantidad o nutriente negativo",IF(AND(L133&lt;&gt;"",COUNT(M133:P133)=0),"▲ Energía sin macros",IF(AND(L133="",COUNT(M133:P133)&gt;0),"▲ Macros sin energía","✔ Correcto")))))))</f>
        <v/>
      </c>
    </row>
    <row r="134" spans="1:20" ht="14.25" customHeight="1">
      <c r="A134" s="26"/>
      <c r="B134" s="26"/>
      <c r="C134" s="27"/>
      <c r="D134" s="26"/>
      <c r="E134" s="26"/>
      <c r="F134" s="30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9" t="str">
        <f>IF(A134="","",IF(CONFIG!$B$24="No","▲ Módulo desactivado",IF(COUNTIFS(EVALUACION!$A$7:$A$36,A134,EVALUACION!$B$7:$B$36,B134)=0,"✖ Evaluación/paciente inconsistente",IF(H134="","✖ Preparación vacía",IF(OR(AND(ISNUMBER(I134),I134&lt;0),AND(ISNUMBER(K134),K134&lt;0),AND(ISNUMBER(L134),L134&lt;0),AND(ISNUMBER(M134),M134&lt;0),AND(ISNUMBER(N134),N134&lt;0),AND(ISNUMBER(O134),O134&lt;0),AND(ISNUMBER(P134),P134&lt;0)),"✖ Cantidad o nutriente negativo",IF(AND(L134&lt;&gt;"",COUNT(M134:P134)=0),"▲ Energía sin macros",IF(AND(L134="",COUNT(M134:P134)&gt;0),"▲ Macros sin energía","✔ Correcto")))))))</f>
        <v/>
      </c>
    </row>
    <row r="135" spans="1:20" ht="14.25" customHeight="1">
      <c r="A135" s="26"/>
      <c r="B135" s="26"/>
      <c r="C135" s="27"/>
      <c r="D135" s="26"/>
      <c r="E135" s="26"/>
      <c r="F135" s="30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9" t="str">
        <f>IF(A135="","",IF(CONFIG!$B$24="No","▲ Módulo desactivado",IF(COUNTIFS(EVALUACION!$A$7:$A$36,A135,EVALUACION!$B$7:$B$36,B135)=0,"✖ Evaluación/paciente inconsistente",IF(H135="","✖ Preparación vacía",IF(OR(AND(ISNUMBER(I135),I135&lt;0),AND(ISNUMBER(K135),K135&lt;0),AND(ISNUMBER(L135),L135&lt;0),AND(ISNUMBER(M135),M135&lt;0),AND(ISNUMBER(N135),N135&lt;0),AND(ISNUMBER(O135),O135&lt;0),AND(ISNUMBER(P135),P135&lt;0)),"✖ Cantidad o nutriente negativo",IF(AND(L135&lt;&gt;"",COUNT(M135:P135)=0),"▲ Energía sin macros",IF(AND(L135="",COUNT(M135:P135)&gt;0),"▲ Macros sin energía","✔ Correcto")))))))</f>
        <v/>
      </c>
    </row>
    <row r="136" spans="1:20" ht="14.25" customHeight="1">
      <c r="A136" s="26"/>
      <c r="B136" s="26"/>
      <c r="C136" s="27"/>
      <c r="D136" s="26"/>
      <c r="E136" s="26"/>
      <c r="F136" s="30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9" t="str">
        <f>IF(A136="","",IF(CONFIG!$B$24="No","▲ Módulo desactivado",IF(COUNTIFS(EVALUACION!$A$7:$A$36,A136,EVALUACION!$B$7:$B$36,B136)=0,"✖ Evaluación/paciente inconsistente",IF(H136="","✖ Preparación vacía",IF(OR(AND(ISNUMBER(I136),I136&lt;0),AND(ISNUMBER(K136),K136&lt;0),AND(ISNUMBER(L136),L136&lt;0),AND(ISNUMBER(M136),M136&lt;0),AND(ISNUMBER(N136),N136&lt;0),AND(ISNUMBER(O136),O136&lt;0),AND(ISNUMBER(P136),P136&lt;0)),"✖ Cantidad o nutriente negativo",IF(AND(L136&lt;&gt;"",COUNT(M136:P136)=0),"▲ Energía sin macros",IF(AND(L136="",COUNT(M136:P136)&gt;0),"▲ Macros sin energía","✔ Correcto")))))))</f>
        <v/>
      </c>
    </row>
    <row r="137" spans="1:20" ht="14.25" customHeight="1">
      <c r="A137" s="26"/>
      <c r="B137" s="26"/>
      <c r="C137" s="27"/>
      <c r="D137" s="26"/>
      <c r="E137" s="26"/>
      <c r="F137" s="30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9" t="str">
        <f>IF(A137="","",IF(CONFIG!$B$24="No","▲ Módulo desactivado",IF(COUNTIFS(EVALUACION!$A$7:$A$36,A137,EVALUACION!$B$7:$B$36,B137)=0,"✖ Evaluación/paciente inconsistente",IF(H137="","✖ Preparación vacía",IF(OR(AND(ISNUMBER(I137),I137&lt;0),AND(ISNUMBER(K137),K137&lt;0),AND(ISNUMBER(L137),L137&lt;0),AND(ISNUMBER(M137),M137&lt;0),AND(ISNUMBER(N137),N137&lt;0),AND(ISNUMBER(O137),O137&lt;0),AND(ISNUMBER(P137),P137&lt;0)),"✖ Cantidad o nutriente negativo",IF(AND(L137&lt;&gt;"",COUNT(M137:P137)=0),"▲ Energía sin macros",IF(AND(L137="",COUNT(M137:P137)&gt;0),"▲ Macros sin energía","✔ Correcto")))))))</f>
        <v/>
      </c>
    </row>
    <row r="138" spans="1:20" ht="14.25" customHeight="1">
      <c r="A138" s="26"/>
      <c r="B138" s="26"/>
      <c r="C138" s="27"/>
      <c r="D138" s="26"/>
      <c r="E138" s="26"/>
      <c r="F138" s="30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9" t="str">
        <f>IF(A138="","",IF(CONFIG!$B$24="No","▲ Módulo desactivado",IF(COUNTIFS(EVALUACION!$A$7:$A$36,A138,EVALUACION!$B$7:$B$36,B138)=0,"✖ Evaluación/paciente inconsistente",IF(H138="","✖ Preparación vacía",IF(OR(AND(ISNUMBER(I138),I138&lt;0),AND(ISNUMBER(K138),K138&lt;0),AND(ISNUMBER(L138),L138&lt;0),AND(ISNUMBER(M138),M138&lt;0),AND(ISNUMBER(N138),N138&lt;0),AND(ISNUMBER(O138),O138&lt;0),AND(ISNUMBER(P138),P138&lt;0)),"✖ Cantidad o nutriente negativo",IF(AND(L138&lt;&gt;"",COUNT(M138:P138)=0),"▲ Energía sin macros",IF(AND(L138="",COUNT(M138:P138)&gt;0),"▲ Macros sin energía","✔ Correcto")))))))</f>
        <v/>
      </c>
    </row>
    <row r="139" spans="1:20" ht="14.25" customHeight="1">
      <c r="A139" s="26"/>
      <c r="B139" s="26"/>
      <c r="C139" s="27"/>
      <c r="D139" s="26"/>
      <c r="E139" s="26"/>
      <c r="F139" s="30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9" t="str">
        <f>IF(A139="","",IF(CONFIG!$B$24="No","▲ Módulo desactivado",IF(COUNTIFS(EVALUACION!$A$7:$A$36,A139,EVALUACION!$B$7:$B$36,B139)=0,"✖ Evaluación/paciente inconsistente",IF(H139="","✖ Preparación vacía",IF(OR(AND(ISNUMBER(I139),I139&lt;0),AND(ISNUMBER(K139),K139&lt;0),AND(ISNUMBER(L139),L139&lt;0),AND(ISNUMBER(M139),M139&lt;0),AND(ISNUMBER(N139),N139&lt;0),AND(ISNUMBER(O139),O139&lt;0),AND(ISNUMBER(P139),P139&lt;0)),"✖ Cantidad o nutriente negativo",IF(AND(L139&lt;&gt;"",COUNT(M139:P139)=0),"▲ Energía sin macros",IF(AND(L139="",COUNT(M139:P139)&gt;0),"▲ Macros sin energía","✔ Correcto")))))))</f>
        <v/>
      </c>
    </row>
    <row r="140" spans="1:20" ht="14.25" customHeight="1">
      <c r="A140" s="26"/>
      <c r="B140" s="26"/>
      <c r="C140" s="27"/>
      <c r="D140" s="26"/>
      <c r="E140" s="26"/>
      <c r="F140" s="30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9" t="str">
        <f>IF(A140="","",IF(CONFIG!$B$24="No","▲ Módulo desactivado",IF(COUNTIFS(EVALUACION!$A$7:$A$36,A140,EVALUACION!$B$7:$B$36,B140)=0,"✖ Evaluación/paciente inconsistente",IF(H140="","✖ Preparación vacía",IF(OR(AND(ISNUMBER(I140),I140&lt;0),AND(ISNUMBER(K140),K140&lt;0),AND(ISNUMBER(L140),L140&lt;0),AND(ISNUMBER(M140),M140&lt;0),AND(ISNUMBER(N140),N140&lt;0),AND(ISNUMBER(O140),O140&lt;0),AND(ISNUMBER(P140),P140&lt;0)),"✖ Cantidad o nutriente negativo",IF(AND(L140&lt;&gt;"",COUNT(M140:P140)=0),"▲ Energía sin macros",IF(AND(L140="",COUNT(M140:P140)&gt;0),"▲ Macros sin energía","✔ Correcto")))))))</f>
        <v/>
      </c>
    </row>
    <row r="141" spans="1:20" ht="14.25" customHeight="1">
      <c r="A141" s="26"/>
      <c r="B141" s="26"/>
      <c r="C141" s="27"/>
      <c r="D141" s="26"/>
      <c r="E141" s="26"/>
      <c r="F141" s="30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9" t="str">
        <f>IF(A141="","",IF(CONFIG!$B$24="No","▲ Módulo desactivado",IF(COUNTIFS(EVALUACION!$A$7:$A$36,A141,EVALUACION!$B$7:$B$36,B141)=0,"✖ Evaluación/paciente inconsistente",IF(H141="","✖ Preparación vacía",IF(OR(AND(ISNUMBER(I141),I141&lt;0),AND(ISNUMBER(K141),K141&lt;0),AND(ISNUMBER(L141),L141&lt;0),AND(ISNUMBER(M141),M141&lt;0),AND(ISNUMBER(N141),N141&lt;0),AND(ISNUMBER(O141),O141&lt;0),AND(ISNUMBER(P141),P141&lt;0)),"✖ Cantidad o nutriente negativo",IF(AND(L141&lt;&gt;"",COUNT(M141:P141)=0),"▲ Energía sin macros",IF(AND(L141="",COUNT(M141:P141)&gt;0),"▲ Macros sin energía","✔ Correcto")))))))</f>
        <v/>
      </c>
    </row>
    <row r="142" spans="1:20" ht="14.25" customHeight="1">
      <c r="A142" s="26"/>
      <c r="B142" s="26"/>
      <c r="C142" s="27"/>
      <c r="D142" s="26"/>
      <c r="E142" s="26"/>
      <c r="F142" s="30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9" t="str">
        <f>IF(A142="","",IF(CONFIG!$B$24="No","▲ Módulo desactivado",IF(COUNTIFS(EVALUACION!$A$7:$A$36,A142,EVALUACION!$B$7:$B$36,B142)=0,"✖ Evaluación/paciente inconsistente",IF(H142="","✖ Preparación vacía",IF(OR(AND(ISNUMBER(I142),I142&lt;0),AND(ISNUMBER(K142),K142&lt;0),AND(ISNUMBER(L142),L142&lt;0),AND(ISNUMBER(M142),M142&lt;0),AND(ISNUMBER(N142),N142&lt;0),AND(ISNUMBER(O142),O142&lt;0),AND(ISNUMBER(P142),P142&lt;0)),"✖ Cantidad o nutriente negativo",IF(AND(L142&lt;&gt;"",COUNT(M142:P142)=0),"▲ Energía sin macros",IF(AND(L142="",COUNT(M142:P142)&gt;0),"▲ Macros sin energía","✔ Correcto")))))))</f>
        <v/>
      </c>
    </row>
    <row r="143" spans="1:20" ht="14.25" customHeight="1">
      <c r="A143" s="26"/>
      <c r="B143" s="26"/>
      <c r="C143" s="27"/>
      <c r="D143" s="26"/>
      <c r="E143" s="26"/>
      <c r="F143" s="30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9" t="str">
        <f>IF(A143="","",IF(CONFIG!$B$24="No","▲ Módulo desactivado",IF(COUNTIFS(EVALUACION!$A$7:$A$36,A143,EVALUACION!$B$7:$B$36,B143)=0,"✖ Evaluación/paciente inconsistente",IF(H143="","✖ Preparación vacía",IF(OR(AND(ISNUMBER(I143),I143&lt;0),AND(ISNUMBER(K143),K143&lt;0),AND(ISNUMBER(L143),L143&lt;0),AND(ISNUMBER(M143),M143&lt;0),AND(ISNUMBER(N143),N143&lt;0),AND(ISNUMBER(O143),O143&lt;0),AND(ISNUMBER(P143),P143&lt;0)),"✖ Cantidad o nutriente negativo",IF(AND(L143&lt;&gt;"",COUNT(M143:P143)=0),"▲ Energía sin macros",IF(AND(L143="",COUNT(M143:P143)&gt;0),"▲ Macros sin energía","✔ Correcto")))))))</f>
        <v/>
      </c>
    </row>
    <row r="144" spans="1:20" ht="14.25" customHeight="1">
      <c r="A144" s="26"/>
      <c r="B144" s="26"/>
      <c r="C144" s="27"/>
      <c r="D144" s="26"/>
      <c r="E144" s="26"/>
      <c r="F144" s="30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9" t="str">
        <f>IF(A144="","",IF(CONFIG!$B$24="No","▲ Módulo desactivado",IF(COUNTIFS(EVALUACION!$A$7:$A$36,A144,EVALUACION!$B$7:$B$36,B144)=0,"✖ Evaluación/paciente inconsistente",IF(H144="","✖ Preparación vacía",IF(OR(AND(ISNUMBER(I144),I144&lt;0),AND(ISNUMBER(K144),K144&lt;0),AND(ISNUMBER(L144),L144&lt;0),AND(ISNUMBER(M144),M144&lt;0),AND(ISNUMBER(N144),N144&lt;0),AND(ISNUMBER(O144),O144&lt;0),AND(ISNUMBER(P144),P144&lt;0)),"✖ Cantidad o nutriente negativo",IF(AND(L144&lt;&gt;"",COUNT(M144:P144)=0),"▲ Energía sin macros",IF(AND(L144="",COUNT(M144:P144)&gt;0),"▲ Macros sin energía","✔ Correcto")))))))</f>
        <v/>
      </c>
    </row>
    <row r="145" spans="1:20" ht="14.25" customHeight="1">
      <c r="A145" s="26"/>
      <c r="B145" s="26"/>
      <c r="C145" s="27"/>
      <c r="D145" s="26"/>
      <c r="E145" s="26"/>
      <c r="F145" s="30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9" t="str">
        <f>IF(A145="","",IF(CONFIG!$B$24="No","▲ Módulo desactivado",IF(COUNTIFS(EVALUACION!$A$7:$A$36,A145,EVALUACION!$B$7:$B$36,B145)=0,"✖ Evaluación/paciente inconsistente",IF(H145="","✖ Preparación vacía",IF(OR(AND(ISNUMBER(I145),I145&lt;0),AND(ISNUMBER(K145),K145&lt;0),AND(ISNUMBER(L145),L145&lt;0),AND(ISNUMBER(M145),M145&lt;0),AND(ISNUMBER(N145),N145&lt;0),AND(ISNUMBER(O145),O145&lt;0),AND(ISNUMBER(P145),P145&lt;0)),"✖ Cantidad o nutriente negativo",IF(AND(L145&lt;&gt;"",COUNT(M145:P145)=0),"▲ Energía sin macros",IF(AND(L145="",COUNT(M145:P145)&gt;0),"▲ Macros sin energía","✔ Correcto")))))))</f>
        <v/>
      </c>
    </row>
    <row r="146" spans="1:20" ht="14.25" customHeight="1">
      <c r="A146" s="26"/>
      <c r="B146" s="26"/>
      <c r="C146" s="27"/>
      <c r="D146" s="26"/>
      <c r="E146" s="26"/>
      <c r="F146" s="30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9" t="str">
        <f>IF(A146="","",IF(CONFIG!$B$24="No","▲ Módulo desactivado",IF(COUNTIFS(EVALUACION!$A$7:$A$36,A146,EVALUACION!$B$7:$B$36,B146)=0,"✖ Evaluación/paciente inconsistente",IF(H146="","✖ Preparación vacía",IF(OR(AND(ISNUMBER(I146),I146&lt;0),AND(ISNUMBER(K146),K146&lt;0),AND(ISNUMBER(L146),L146&lt;0),AND(ISNUMBER(M146),M146&lt;0),AND(ISNUMBER(N146),N146&lt;0),AND(ISNUMBER(O146),O146&lt;0),AND(ISNUMBER(P146),P146&lt;0)),"✖ Cantidad o nutriente negativo",IF(AND(L146&lt;&gt;"",COUNT(M146:P146)=0),"▲ Energía sin macros",IF(AND(L146="",COUNT(M146:P146)&gt;0),"▲ Macros sin energía","✔ Correcto")))))))</f>
        <v/>
      </c>
    </row>
    <row r="147" spans="1:20" ht="14.25" customHeight="1">
      <c r="A147" s="26"/>
      <c r="B147" s="26"/>
      <c r="C147" s="27"/>
      <c r="D147" s="26"/>
      <c r="E147" s="26"/>
      <c r="F147" s="30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9" t="str">
        <f>IF(A147="","",IF(CONFIG!$B$24="No","▲ Módulo desactivado",IF(COUNTIFS(EVALUACION!$A$7:$A$36,A147,EVALUACION!$B$7:$B$36,B147)=0,"✖ Evaluación/paciente inconsistente",IF(H147="","✖ Preparación vacía",IF(OR(AND(ISNUMBER(I147),I147&lt;0),AND(ISNUMBER(K147),K147&lt;0),AND(ISNUMBER(L147),L147&lt;0),AND(ISNUMBER(M147),M147&lt;0),AND(ISNUMBER(N147),N147&lt;0),AND(ISNUMBER(O147),O147&lt;0),AND(ISNUMBER(P147),P147&lt;0)),"✖ Cantidad o nutriente negativo",IF(AND(L147&lt;&gt;"",COUNT(M147:P147)=0),"▲ Energía sin macros",IF(AND(L147="",COUNT(M147:P147)&gt;0),"▲ Macros sin energía","✔ Correcto")))))))</f>
        <v/>
      </c>
    </row>
    <row r="148" spans="1:20" ht="14.25" customHeight="1">
      <c r="A148" s="26"/>
      <c r="B148" s="26"/>
      <c r="C148" s="27"/>
      <c r="D148" s="26"/>
      <c r="E148" s="26"/>
      <c r="F148" s="30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9" t="str">
        <f>IF(A148="","",IF(CONFIG!$B$24="No","▲ Módulo desactivado",IF(COUNTIFS(EVALUACION!$A$7:$A$36,A148,EVALUACION!$B$7:$B$36,B148)=0,"✖ Evaluación/paciente inconsistente",IF(H148="","✖ Preparación vacía",IF(OR(AND(ISNUMBER(I148),I148&lt;0),AND(ISNUMBER(K148),K148&lt;0),AND(ISNUMBER(L148),L148&lt;0),AND(ISNUMBER(M148),M148&lt;0),AND(ISNUMBER(N148),N148&lt;0),AND(ISNUMBER(O148),O148&lt;0),AND(ISNUMBER(P148),P148&lt;0)),"✖ Cantidad o nutriente negativo",IF(AND(L148&lt;&gt;"",COUNT(M148:P148)=0),"▲ Energía sin macros",IF(AND(L148="",COUNT(M148:P148)&gt;0),"▲ Macros sin energía","✔ Correcto")))))))</f>
        <v/>
      </c>
    </row>
    <row r="149" spans="1:20" ht="14.25" customHeight="1">
      <c r="A149" s="26"/>
      <c r="B149" s="26"/>
      <c r="C149" s="27"/>
      <c r="D149" s="26"/>
      <c r="E149" s="26"/>
      <c r="F149" s="30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9" t="str">
        <f>IF(A149="","",IF(CONFIG!$B$24="No","▲ Módulo desactivado",IF(COUNTIFS(EVALUACION!$A$7:$A$36,A149,EVALUACION!$B$7:$B$36,B149)=0,"✖ Evaluación/paciente inconsistente",IF(H149="","✖ Preparación vacía",IF(OR(AND(ISNUMBER(I149),I149&lt;0),AND(ISNUMBER(K149),K149&lt;0),AND(ISNUMBER(L149),L149&lt;0),AND(ISNUMBER(M149),M149&lt;0),AND(ISNUMBER(N149),N149&lt;0),AND(ISNUMBER(O149),O149&lt;0),AND(ISNUMBER(P149),P149&lt;0)),"✖ Cantidad o nutriente negativo",IF(AND(L149&lt;&gt;"",COUNT(M149:P149)=0),"▲ Energía sin macros",IF(AND(L149="",COUNT(M149:P149)&gt;0),"▲ Macros sin energía","✔ Correcto")))))))</f>
        <v/>
      </c>
    </row>
    <row r="150" spans="1:20" ht="14.25" customHeight="1">
      <c r="A150" s="26"/>
      <c r="B150" s="26"/>
      <c r="C150" s="27"/>
      <c r="D150" s="26"/>
      <c r="E150" s="26"/>
      <c r="F150" s="30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9" t="str">
        <f>IF(A150="","",IF(CONFIG!$B$24="No","▲ Módulo desactivado",IF(COUNTIFS(EVALUACION!$A$7:$A$36,A150,EVALUACION!$B$7:$B$36,B150)=0,"✖ Evaluación/paciente inconsistente",IF(H150="","✖ Preparación vacía",IF(OR(AND(ISNUMBER(I150),I150&lt;0),AND(ISNUMBER(K150),K150&lt;0),AND(ISNUMBER(L150),L150&lt;0),AND(ISNUMBER(M150),M150&lt;0),AND(ISNUMBER(N150),N150&lt;0),AND(ISNUMBER(O150),O150&lt;0),AND(ISNUMBER(P150),P150&lt;0)),"✖ Cantidad o nutriente negativo",IF(AND(L150&lt;&gt;"",COUNT(M150:P150)=0),"▲ Energía sin macros",IF(AND(L150="",COUNT(M150:P150)&gt;0),"▲ Macros sin energía","✔ Correcto")))))))</f>
        <v/>
      </c>
    </row>
    <row r="151" spans="1:20" ht="14.25" customHeight="1">
      <c r="A151" s="26"/>
      <c r="B151" s="26"/>
      <c r="C151" s="27"/>
      <c r="D151" s="26"/>
      <c r="E151" s="26"/>
      <c r="F151" s="30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9" t="str">
        <f>IF(A151="","",IF(CONFIG!$B$24="No","▲ Módulo desactivado",IF(COUNTIFS(EVALUACION!$A$7:$A$36,A151,EVALUACION!$B$7:$B$36,B151)=0,"✖ Evaluación/paciente inconsistente",IF(H151="","✖ Preparación vacía",IF(OR(AND(ISNUMBER(I151),I151&lt;0),AND(ISNUMBER(K151),K151&lt;0),AND(ISNUMBER(L151),L151&lt;0),AND(ISNUMBER(M151),M151&lt;0),AND(ISNUMBER(N151),N151&lt;0),AND(ISNUMBER(O151),O151&lt;0),AND(ISNUMBER(P151),P151&lt;0)),"✖ Cantidad o nutriente negativo",IF(AND(L151&lt;&gt;"",COUNT(M151:P151)=0),"▲ Energía sin macros",IF(AND(L151="",COUNT(M151:P151)&gt;0),"▲ Macros sin energía","✔ Correcto")))))))</f>
        <v/>
      </c>
    </row>
    <row r="152" spans="1:20" ht="14.25" customHeight="1">
      <c r="A152" s="26"/>
      <c r="B152" s="26"/>
      <c r="C152" s="27"/>
      <c r="D152" s="26"/>
      <c r="E152" s="26"/>
      <c r="F152" s="30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9" t="str">
        <f>IF(A152="","",IF(CONFIG!$B$24="No","▲ Módulo desactivado",IF(COUNTIFS(EVALUACION!$A$7:$A$36,A152,EVALUACION!$B$7:$B$36,B152)=0,"✖ Evaluación/paciente inconsistente",IF(H152="","✖ Preparación vacía",IF(OR(AND(ISNUMBER(I152),I152&lt;0),AND(ISNUMBER(K152),K152&lt;0),AND(ISNUMBER(L152),L152&lt;0),AND(ISNUMBER(M152),M152&lt;0),AND(ISNUMBER(N152),N152&lt;0),AND(ISNUMBER(O152),O152&lt;0),AND(ISNUMBER(P152),P152&lt;0)),"✖ Cantidad o nutriente negativo",IF(AND(L152&lt;&gt;"",COUNT(M152:P152)=0),"▲ Energía sin macros",IF(AND(L152="",COUNT(M152:P152)&gt;0),"▲ Macros sin energía","✔ Correcto")))))))</f>
        <v/>
      </c>
    </row>
    <row r="153" spans="1:20" ht="14.25" customHeight="1">
      <c r="A153" s="26"/>
      <c r="B153" s="26"/>
      <c r="C153" s="27"/>
      <c r="D153" s="26"/>
      <c r="E153" s="26"/>
      <c r="F153" s="30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9" t="str">
        <f>IF(A153="","",IF(CONFIG!$B$24="No","▲ Módulo desactivado",IF(COUNTIFS(EVALUACION!$A$7:$A$36,A153,EVALUACION!$B$7:$B$36,B153)=0,"✖ Evaluación/paciente inconsistente",IF(H153="","✖ Preparación vacía",IF(OR(AND(ISNUMBER(I153),I153&lt;0),AND(ISNUMBER(K153),K153&lt;0),AND(ISNUMBER(L153),L153&lt;0),AND(ISNUMBER(M153),M153&lt;0),AND(ISNUMBER(N153),N153&lt;0),AND(ISNUMBER(O153),O153&lt;0),AND(ISNUMBER(P153),P153&lt;0)),"✖ Cantidad o nutriente negativo",IF(AND(L153&lt;&gt;"",COUNT(M153:P153)=0),"▲ Energía sin macros",IF(AND(L153="",COUNT(M153:P153)&gt;0),"▲ Macros sin energía","✔ Correcto")))))))</f>
        <v/>
      </c>
    </row>
    <row r="154" spans="1:20" ht="14.25" customHeight="1">
      <c r="A154" s="26"/>
      <c r="B154" s="26"/>
      <c r="C154" s="27"/>
      <c r="D154" s="26"/>
      <c r="E154" s="26"/>
      <c r="F154" s="30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9" t="str">
        <f>IF(A154="","",IF(CONFIG!$B$24="No","▲ Módulo desactivado",IF(COUNTIFS(EVALUACION!$A$7:$A$36,A154,EVALUACION!$B$7:$B$36,B154)=0,"✖ Evaluación/paciente inconsistente",IF(H154="","✖ Preparación vacía",IF(OR(AND(ISNUMBER(I154),I154&lt;0),AND(ISNUMBER(K154),K154&lt;0),AND(ISNUMBER(L154),L154&lt;0),AND(ISNUMBER(M154),M154&lt;0),AND(ISNUMBER(N154),N154&lt;0),AND(ISNUMBER(O154),O154&lt;0),AND(ISNUMBER(P154),P154&lt;0)),"✖ Cantidad o nutriente negativo",IF(AND(L154&lt;&gt;"",COUNT(M154:P154)=0),"▲ Energía sin macros",IF(AND(L154="",COUNT(M154:P154)&gt;0),"▲ Macros sin energía","✔ Correcto")))))))</f>
        <v/>
      </c>
    </row>
    <row r="155" spans="1:20" ht="14.25" customHeight="1">
      <c r="A155" s="26"/>
      <c r="B155" s="26"/>
      <c r="C155" s="27"/>
      <c r="D155" s="26"/>
      <c r="E155" s="26"/>
      <c r="F155" s="30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9" t="str">
        <f>IF(A155="","",IF(CONFIG!$B$24="No","▲ Módulo desactivado",IF(COUNTIFS(EVALUACION!$A$7:$A$36,A155,EVALUACION!$B$7:$B$36,B155)=0,"✖ Evaluación/paciente inconsistente",IF(H155="","✖ Preparación vacía",IF(OR(AND(ISNUMBER(I155),I155&lt;0),AND(ISNUMBER(K155),K155&lt;0),AND(ISNUMBER(L155),L155&lt;0),AND(ISNUMBER(M155),M155&lt;0),AND(ISNUMBER(N155),N155&lt;0),AND(ISNUMBER(O155),O155&lt;0),AND(ISNUMBER(P155),P155&lt;0)),"✖ Cantidad o nutriente negativo",IF(AND(L155&lt;&gt;"",COUNT(M155:P155)=0),"▲ Energía sin macros",IF(AND(L155="",COUNT(M155:P155)&gt;0),"▲ Macros sin energía","✔ Correcto")))))))</f>
        <v/>
      </c>
    </row>
    <row r="156" spans="1:20" ht="14.25" customHeight="1">
      <c r="A156" s="26"/>
      <c r="B156" s="26"/>
      <c r="C156" s="27"/>
      <c r="D156" s="26"/>
      <c r="E156" s="26"/>
      <c r="F156" s="30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9" t="str">
        <f>IF(A156="","",IF(CONFIG!$B$24="No","▲ Módulo desactivado",IF(COUNTIFS(EVALUACION!$A$7:$A$36,A156,EVALUACION!$B$7:$B$36,B156)=0,"✖ Evaluación/paciente inconsistente",IF(H156="","✖ Preparación vacía",IF(OR(AND(ISNUMBER(I156),I156&lt;0),AND(ISNUMBER(K156),K156&lt;0),AND(ISNUMBER(L156),L156&lt;0),AND(ISNUMBER(M156),M156&lt;0),AND(ISNUMBER(N156),N156&lt;0),AND(ISNUMBER(O156),O156&lt;0),AND(ISNUMBER(P156),P156&lt;0)),"✖ Cantidad o nutriente negativo",IF(AND(L156&lt;&gt;"",COUNT(M156:P156)=0),"▲ Energía sin macros",IF(AND(L156="",COUNT(M156:P156)&gt;0),"▲ Macros sin energía","✔ Correcto")))))))</f>
        <v/>
      </c>
    </row>
    <row r="157" spans="1:20" ht="14.25" customHeight="1">
      <c r="A157" s="26"/>
      <c r="B157" s="26"/>
      <c r="C157" s="27"/>
      <c r="D157" s="26"/>
      <c r="E157" s="26"/>
      <c r="F157" s="30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9" t="str">
        <f>IF(A157="","",IF(CONFIG!$B$24="No","▲ Módulo desactivado",IF(COUNTIFS(EVALUACION!$A$7:$A$36,A157,EVALUACION!$B$7:$B$36,B157)=0,"✖ Evaluación/paciente inconsistente",IF(H157="","✖ Preparación vacía",IF(OR(AND(ISNUMBER(I157),I157&lt;0),AND(ISNUMBER(K157),K157&lt;0),AND(ISNUMBER(L157),L157&lt;0),AND(ISNUMBER(M157),M157&lt;0),AND(ISNUMBER(N157),N157&lt;0),AND(ISNUMBER(O157),O157&lt;0),AND(ISNUMBER(P157),P157&lt;0)),"✖ Cantidad o nutriente negativo",IF(AND(L157&lt;&gt;"",COUNT(M157:P157)=0),"▲ Energía sin macros",IF(AND(L157="",COUNT(M157:P157)&gt;0),"▲ Macros sin energía","✔ Correcto")))))))</f>
        <v/>
      </c>
    </row>
    <row r="158" spans="1:20" ht="14.25" customHeight="1">
      <c r="A158" s="26"/>
      <c r="B158" s="26"/>
      <c r="C158" s="27"/>
      <c r="D158" s="26"/>
      <c r="E158" s="26"/>
      <c r="F158" s="30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9" t="str">
        <f>IF(A158="","",IF(CONFIG!$B$24="No","▲ Módulo desactivado",IF(COUNTIFS(EVALUACION!$A$7:$A$36,A158,EVALUACION!$B$7:$B$36,B158)=0,"✖ Evaluación/paciente inconsistente",IF(H158="","✖ Preparación vacía",IF(OR(AND(ISNUMBER(I158),I158&lt;0),AND(ISNUMBER(K158),K158&lt;0),AND(ISNUMBER(L158),L158&lt;0),AND(ISNUMBER(M158),M158&lt;0),AND(ISNUMBER(N158),N158&lt;0),AND(ISNUMBER(O158),O158&lt;0),AND(ISNUMBER(P158),P158&lt;0)),"✖ Cantidad o nutriente negativo",IF(AND(L158&lt;&gt;"",COUNT(M158:P158)=0),"▲ Energía sin macros",IF(AND(L158="",COUNT(M158:P158)&gt;0),"▲ Macros sin energía","✔ Correcto")))))))</f>
        <v/>
      </c>
    </row>
    <row r="159" spans="1:20" ht="14.25" customHeight="1">
      <c r="A159" s="26"/>
      <c r="B159" s="26"/>
      <c r="C159" s="27"/>
      <c r="D159" s="26"/>
      <c r="E159" s="26"/>
      <c r="F159" s="30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9" t="str">
        <f>IF(A159="","",IF(CONFIG!$B$24="No","▲ Módulo desactivado",IF(COUNTIFS(EVALUACION!$A$7:$A$36,A159,EVALUACION!$B$7:$B$36,B159)=0,"✖ Evaluación/paciente inconsistente",IF(H159="","✖ Preparación vacía",IF(OR(AND(ISNUMBER(I159),I159&lt;0),AND(ISNUMBER(K159),K159&lt;0),AND(ISNUMBER(L159),L159&lt;0),AND(ISNUMBER(M159),M159&lt;0),AND(ISNUMBER(N159),N159&lt;0),AND(ISNUMBER(O159),O159&lt;0),AND(ISNUMBER(P159),P159&lt;0)),"✖ Cantidad o nutriente negativo",IF(AND(L159&lt;&gt;"",COUNT(M159:P159)=0),"▲ Energía sin macros",IF(AND(L159="",COUNT(M159:P159)&gt;0),"▲ Macros sin energía","✔ Correcto")))))))</f>
        <v/>
      </c>
    </row>
    <row r="160" spans="1:20" ht="14.25" customHeight="1">
      <c r="A160" s="26"/>
      <c r="B160" s="26"/>
      <c r="C160" s="27"/>
      <c r="D160" s="26"/>
      <c r="E160" s="26"/>
      <c r="F160" s="30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9" t="str">
        <f>IF(A160="","",IF(CONFIG!$B$24="No","▲ Módulo desactivado",IF(COUNTIFS(EVALUACION!$A$7:$A$36,A160,EVALUACION!$B$7:$B$36,B160)=0,"✖ Evaluación/paciente inconsistente",IF(H160="","✖ Preparación vacía",IF(OR(AND(ISNUMBER(I160),I160&lt;0),AND(ISNUMBER(K160),K160&lt;0),AND(ISNUMBER(L160),L160&lt;0),AND(ISNUMBER(M160),M160&lt;0),AND(ISNUMBER(N160),N160&lt;0),AND(ISNUMBER(O160),O160&lt;0),AND(ISNUMBER(P160),P160&lt;0)),"✖ Cantidad o nutriente negativo",IF(AND(L160&lt;&gt;"",COUNT(M160:P160)=0),"▲ Energía sin macros",IF(AND(L160="",COUNT(M160:P160)&gt;0),"▲ Macros sin energía","✔ Correcto")))))))</f>
        <v/>
      </c>
    </row>
    <row r="161" spans="1:20" ht="14.25" customHeight="1">
      <c r="A161" s="26"/>
      <c r="B161" s="26"/>
      <c r="C161" s="27"/>
      <c r="D161" s="26"/>
      <c r="E161" s="26"/>
      <c r="F161" s="30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9" t="str">
        <f>IF(A161="","",IF(CONFIG!$B$24="No","▲ Módulo desactivado",IF(COUNTIFS(EVALUACION!$A$7:$A$36,A161,EVALUACION!$B$7:$B$36,B161)=0,"✖ Evaluación/paciente inconsistente",IF(H161="","✖ Preparación vacía",IF(OR(AND(ISNUMBER(I161),I161&lt;0),AND(ISNUMBER(K161),K161&lt;0),AND(ISNUMBER(L161),L161&lt;0),AND(ISNUMBER(M161),M161&lt;0),AND(ISNUMBER(N161),N161&lt;0),AND(ISNUMBER(O161),O161&lt;0),AND(ISNUMBER(P161),P161&lt;0)),"✖ Cantidad o nutriente negativo",IF(AND(L161&lt;&gt;"",COUNT(M161:P161)=0),"▲ Energía sin macros",IF(AND(L161="",COUNT(M161:P161)&gt;0),"▲ Macros sin energía","✔ Correcto")))))))</f>
        <v/>
      </c>
    </row>
    <row r="162" spans="1:20" ht="14.25" customHeight="1">
      <c r="A162" s="26"/>
      <c r="B162" s="26"/>
      <c r="C162" s="27"/>
      <c r="D162" s="26"/>
      <c r="E162" s="26"/>
      <c r="F162" s="30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9" t="str">
        <f>IF(A162="","",IF(CONFIG!$B$24="No","▲ Módulo desactivado",IF(COUNTIFS(EVALUACION!$A$7:$A$36,A162,EVALUACION!$B$7:$B$36,B162)=0,"✖ Evaluación/paciente inconsistente",IF(H162="","✖ Preparación vacía",IF(OR(AND(ISNUMBER(I162),I162&lt;0),AND(ISNUMBER(K162),K162&lt;0),AND(ISNUMBER(L162),L162&lt;0),AND(ISNUMBER(M162),M162&lt;0),AND(ISNUMBER(N162),N162&lt;0),AND(ISNUMBER(O162),O162&lt;0),AND(ISNUMBER(P162),P162&lt;0)),"✖ Cantidad o nutriente negativo",IF(AND(L162&lt;&gt;"",COUNT(M162:P162)=0),"▲ Energía sin macros",IF(AND(L162="",COUNT(M162:P162)&gt;0),"▲ Macros sin energía","✔ Correcto")))))))</f>
        <v/>
      </c>
    </row>
    <row r="163" spans="1:20" ht="14.25" customHeight="1">
      <c r="A163" s="26"/>
      <c r="B163" s="26"/>
      <c r="C163" s="27"/>
      <c r="D163" s="26"/>
      <c r="E163" s="26"/>
      <c r="F163" s="30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9" t="str">
        <f>IF(A163="","",IF(CONFIG!$B$24="No","▲ Módulo desactivado",IF(COUNTIFS(EVALUACION!$A$7:$A$36,A163,EVALUACION!$B$7:$B$36,B163)=0,"✖ Evaluación/paciente inconsistente",IF(H163="","✖ Preparación vacía",IF(OR(AND(ISNUMBER(I163),I163&lt;0),AND(ISNUMBER(K163),K163&lt;0),AND(ISNUMBER(L163),L163&lt;0),AND(ISNUMBER(M163),M163&lt;0),AND(ISNUMBER(N163),N163&lt;0),AND(ISNUMBER(O163),O163&lt;0),AND(ISNUMBER(P163),P163&lt;0)),"✖ Cantidad o nutriente negativo",IF(AND(L163&lt;&gt;"",COUNT(M163:P163)=0),"▲ Energía sin macros",IF(AND(L163="",COUNT(M163:P163)&gt;0),"▲ Macros sin energía","✔ Correcto")))))))</f>
        <v/>
      </c>
    </row>
    <row r="164" spans="1:20" ht="14.25" customHeight="1">
      <c r="A164" s="26"/>
      <c r="B164" s="26"/>
      <c r="C164" s="27"/>
      <c r="D164" s="26"/>
      <c r="E164" s="26"/>
      <c r="F164" s="30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9" t="str">
        <f>IF(A164="","",IF(CONFIG!$B$24="No","▲ Módulo desactivado",IF(COUNTIFS(EVALUACION!$A$7:$A$36,A164,EVALUACION!$B$7:$B$36,B164)=0,"✖ Evaluación/paciente inconsistente",IF(H164="","✖ Preparación vacía",IF(OR(AND(ISNUMBER(I164),I164&lt;0),AND(ISNUMBER(K164),K164&lt;0),AND(ISNUMBER(L164),L164&lt;0),AND(ISNUMBER(M164),M164&lt;0),AND(ISNUMBER(N164),N164&lt;0),AND(ISNUMBER(O164),O164&lt;0),AND(ISNUMBER(P164),P164&lt;0)),"✖ Cantidad o nutriente negativo",IF(AND(L164&lt;&gt;"",COUNT(M164:P164)=0),"▲ Energía sin macros",IF(AND(L164="",COUNT(M164:P164)&gt;0),"▲ Macros sin energía","✔ Correcto")))))))</f>
        <v/>
      </c>
    </row>
    <row r="165" spans="1:20" ht="14.25" customHeight="1">
      <c r="A165" s="26"/>
      <c r="B165" s="26"/>
      <c r="C165" s="27"/>
      <c r="D165" s="26"/>
      <c r="E165" s="26"/>
      <c r="F165" s="30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9" t="str">
        <f>IF(A165="","",IF(CONFIG!$B$24="No","▲ Módulo desactivado",IF(COUNTIFS(EVALUACION!$A$7:$A$36,A165,EVALUACION!$B$7:$B$36,B165)=0,"✖ Evaluación/paciente inconsistente",IF(H165="","✖ Preparación vacía",IF(OR(AND(ISNUMBER(I165),I165&lt;0),AND(ISNUMBER(K165),K165&lt;0),AND(ISNUMBER(L165),L165&lt;0),AND(ISNUMBER(M165),M165&lt;0),AND(ISNUMBER(N165),N165&lt;0),AND(ISNUMBER(O165),O165&lt;0),AND(ISNUMBER(P165),P165&lt;0)),"✖ Cantidad o nutriente negativo",IF(AND(L165&lt;&gt;"",COUNT(M165:P165)=0),"▲ Energía sin macros",IF(AND(L165="",COUNT(M165:P165)&gt;0),"▲ Macros sin energía","✔ Correcto")))))))</f>
        <v/>
      </c>
    </row>
    <row r="166" spans="1:20" ht="14.25" customHeight="1">
      <c r="A166" s="26"/>
      <c r="B166" s="26"/>
      <c r="C166" s="27"/>
      <c r="D166" s="26"/>
      <c r="E166" s="26"/>
      <c r="F166" s="30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9" t="str">
        <f>IF(A166="","",IF(CONFIG!$B$24="No","▲ Módulo desactivado",IF(COUNTIFS(EVALUACION!$A$7:$A$36,A166,EVALUACION!$B$7:$B$36,B166)=0,"✖ Evaluación/paciente inconsistente",IF(H166="","✖ Preparación vacía",IF(OR(AND(ISNUMBER(I166),I166&lt;0),AND(ISNUMBER(K166),K166&lt;0),AND(ISNUMBER(L166),L166&lt;0),AND(ISNUMBER(M166),M166&lt;0),AND(ISNUMBER(N166),N166&lt;0),AND(ISNUMBER(O166),O166&lt;0),AND(ISNUMBER(P166),P166&lt;0)),"✖ Cantidad o nutriente negativo",IF(AND(L166&lt;&gt;"",COUNT(M166:P166)=0),"▲ Energía sin macros",IF(AND(L166="",COUNT(M166:P166)&gt;0),"▲ Macros sin energía","✔ Correcto")))))))</f>
        <v/>
      </c>
    </row>
    <row r="167" spans="1:20" ht="14.25" customHeight="1">
      <c r="A167" s="26"/>
      <c r="B167" s="26"/>
      <c r="C167" s="27"/>
      <c r="D167" s="26"/>
      <c r="E167" s="26"/>
      <c r="F167" s="30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9" t="str">
        <f>IF(A167="","",IF(CONFIG!$B$24="No","▲ Módulo desactivado",IF(COUNTIFS(EVALUACION!$A$7:$A$36,A167,EVALUACION!$B$7:$B$36,B167)=0,"✖ Evaluación/paciente inconsistente",IF(H167="","✖ Preparación vacía",IF(OR(AND(ISNUMBER(I167),I167&lt;0),AND(ISNUMBER(K167),K167&lt;0),AND(ISNUMBER(L167),L167&lt;0),AND(ISNUMBER(M167),M167&lt;0),AND(ISNUMBER(N167),N167&lt;0),AND(ISNUMBER(O167),O167&lt;0),AND(ISNUMBER(P167),P167&lt;0)),"✖ Cantidad o nutriente negativo",IF(AND(L167&lt;&gt;"",COUNT(M167:P167)=0),"▲ Energía sin macros",IF(AND(L167="",COUNT(M167:P167)&gt;0),"▲ Macros sin energía","✔ Correcto")))))))</f>
        <v/>
      </c>
    </row>
    <row r="168" spans="1:20" ht="14.25" customHeight="1">
      <c r="A168" s="26"/>
      <c r="B168" s="26"/>
      <c r="C168" s="27"/>
      <c r="D168" s="26"/>
      <c r="E168" s="26"/>
      <c r="F168" s="30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9" t="str">
        <f>IF(A168="","",IF(CONFIG!$B$24="No","▲ Módulo desactivado",IF(COUNTIFS(EVALUACION!$A$7:$A$36,A168,EVALUACION!$B$7:$B$36,B168)=0,"✖ Evaluación/paciente inconsistente",IF(H168="","✖ Preparación vacía",IF(OR(AND(ISNUMBER(I168),I168&lt;0),AND(ISNUMBER(K168),K168&lt;0),AND(ISNUMBER(L168),L168&lt;0),AND(ISNUMBER(M168),M168&lt;0),AND(ISNUMBER(N168),N168&lt;0),AND(ISNUMBER(O168),O168&lt;0),AND(ISNUMBER(P168),P168&lt;0)),"✖ Cantidad o nutriente negativo",IF(AND(L168&lt;&gt;"",COUNT(M168:P168)=0),"▲ Energía sin macros",IF(AND(L168="",COUNT(M168:P168)&gt;0),"▲ Macros sin energía","✔ Correcto")))))))</f>
        <v/>
      </c>
    </row>
    <row r="169" spans="1:20" ht="14.25" customHeight="1">
      <c r="A169" s="26"/>
      <c r="B169" s="26"/>
      <c r="C169" s="27"/>
      <c r="D169" s="26"/>
      <c r="E169" s="26"/>
      <c r="F169" s="30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9" t="str">
        <f>IF(A169="","",IF(CONFIG!$B$24="No","▲ Módulo desactivado",IF(COUNTIFS(EVALUACION!$A$7:$A$36,A169,EVALUACION!$B$7:$B$36,B169)=0,"✖ Evaluación/paciente inconsistente",IF(H169="","✖ Preparación vacía",IF(OR(AND(ISNUMBER(I169),I169&lt;0),AND(ISNUMBER(K169),K169&lt;0),AND(ISNUMBER(L169),L169&lt;0),AND(ISNUMBER(M169),M169&lt;0),AND(ISNUMBER(N169),N169&lt;0),AND(ISNUMBER(O169),O169&lt;0),AND(ISNUMBER(P169),P169&lt;0)),"✖ Cantidad o nutriente negativo",IF(AND(L169&lt;&gt;"",COUNT(M169:P169)=0),"▲ Energía sin macros",IF(AND(L169="",COUNT(M169:P169)&gt;0),"▲ Macros sin energía","✔ Correcto")))))))</f>
        <v/>
      </c>
    </row>
    <row r="170" spans="1:20" ht="14.25" customHeight="1">
      <c r="A170" s="26"/>
      <c r="B170" s="26"/>
      <c r="C170" s="27"/>
      <c r="D170" s="26"/>
      <c r="E170" s="26"/>
      <c r="F170" s="30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9" t="str">
        <f>IF(A170="","",IF(CONFIG!$B$24="No","▲ Módulo desactivado",IF(COUNTIFS(EVALUACION!$A$7:$A$36,A170,EVALUACION!$B$7:$B$36,B170)=0,"✖ Evaluación/paciente inconsistente",IF(H170="","✖ Preparación vacía",IF(OR(AND(ISNUMBER(I170),I170&lt;0),AND(ISNUMBER(K170),K170&lt;0),AND(ISNUMBER(L170),L170&lt;0),AND(ISNUMBER(M170),M170&lt;0),AND(ISNUMBER(N170),N170&lt;0),AND(ISNUMBER(O170),O170&lt;0),AND(ISNUMBER(P170),P170&lt;0)),"✖ Cantidad o nutriente negativo",IF(AND(L170&lt;&gt;"",COUNT(M170:P170)=0),"▲ Energía sin macros",IF(AND(L170="",COUNT(M170:P170)&gt;0),"▲ Macros sin energía","✔ Correcto")))))))</f>
        <v/>
      </c>
    </row>
    <row r="171" spans="1:20" ht="14.25" customHeight="1">
      <c r="A171" s="26"/>
      <c r="B171" s="26"/>
      <c r="C171" s="27"/>
      <c r="D171" s="26"/>
      <c r="E171" s="26"/>
      <c r="F171" s="30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9" t="str">
        <f>IF(A171="","",IF(CONFIG!$B$24="No","▲ Módulo desactivado",IF(COUNTIFS(EVALUACION!$A$7:$A$36,A171,EVALUACION!$B$7:$B$36,B171)=0,"✖ Evaluación/paciente inconsistente",IF(H171="","✖ Preparación vacía",IF(OR(AND(ISNUMBER(I171),I171&lt;0),AND(ISNUMBER(K171),K171&lt;0),AND(ISNUMBER(L171),L171&lt;0),AND(ISNUMBER(M171),M171&lt;0),AND(ISNUMBER(N171),N171&lt;0),AND(ISNUMBER(O171),O171&lt;0),AND(ISNUMBER(P171),P171&lt;0)),"✖ Cantidad o nutriente negativo",IF(AND(L171&lt;&gt;"",COUNT(M171:P171)=0),"▲ Energía sin macros",IF(AND(L171="",COUNT(M171:P171)&gt;0),"▲ Macros sin energía","✔ Correcto")))))))</f>
        <v/>
      </c>
    </row>
  </sheetData>
  <mergeCells count="4">
    <mergeCell ref="A1:T1"/>
    <mergeCell ref="A3:T3"/>
    <mergeCell ref="A5:M5"/>
    <mergeCell ref="A110:T110"/>
  </mergeCells>
  <conditionalFormatting sqref="M7:M26">
    <cfRule type="expression" dxfId="33" priority="2">
      <formula>LEFT(M7,1)="✖"</formula>
    </cfRule>
    <cfRule type="expression" dxfId="32" priority="3">
      <formula>LEFT(M7,1)="▲"</formula>
    </cfRule>
    <cfRule type="expression" dxfId="31" priority="4">
      <formula>LEFT(M7,1)="✔"</formula>
    </cfRule>
  </conditionalFormatting>
  <conditionalFormatting sqref="T112:T171">
    <cfRule type="expression" dxfId="30" priority="5">
      <formula>LEFT(T112,1)="✖"</formula>
    </cfRule>
    <cfRule type="expression" dxfId="29" priority="6">
      <formula>LEFT(T112,1)="▲"</formula>
    </cfRule>
    <cfRule type="expression" dxfId="28" priority="7">
      <formula>LEFT(T112,1)="✔"</formula>
    </cfRule>
  </conditionalFormatting>
  <dataValidations count="10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M7:M26 T112:T117" xr:uid="{00000000-0002-0000-0700-000000000000}">
      <formula1>0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I7:I26" xr:uid="{00000000-0002-0000-0700-000001000000}">
      <formula1>Lista_FuenteDato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D112:D171" xr:uid="{00000000-0002-0000-0700-000002000000}">
      <formula1>Lista_TipoDia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E112:E171" xr:uid="{00000000-0002-0000-0700-000003000000}">
      <formula1>Lista_TiempoComida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J112:J171" xr:uid="{00000000-0002-0000-0700-000004000000}">
      <formula1>Lista_Unidad</formula1>
      <formula2>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100000. Los límites son operativos." sqref="I112:I171 K112:K171" xr:uid="{00000000-0002-0000-0700-000005000000}">
      <formula1>0</formula1>
      <formula2>100000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20000. Los límites son operativos." sqref="L112:L171" xr:uid="{00000000-0002-0000-0700-000006000000}">
      <formula1>0</formula1>
      <formula2>20000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2000. Los límites son operativos." sqref="M112:M171 O112:O171" xr:uid="{00000000-0002-0000-0700-000007000000}">
      <formula1>0</formula1>
      <formula2>2000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5000. Los límites son operativos." sqref="N112:N171" xr:uid="{00000000-0002-0000-0700-000008000000}">
      <formula1>0</formula1>
      <formula2>5000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1000. Los límites son operativos." sqref="P112:P171" xr:uid="{00000000-0002-0000-0700-000009000000}">
      <formula1>0</formula1>
      <formula2>1000</formula2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6"/>
  <sheetViews>
    <sheetView showGridLines="0" workbookViewId="0">
      <selection sqref="A1:R1"/>
    </sheetView>
  </sheetViews>
  <sheetFormatPr baseColWidth="10" defaultColWidth="9" defaultRowHeight="15"/>
  <cols>
    <col min="1" max="2" width="14" style="15" customWidth="1"/>
    <col min="3" max="3" width="24" style="15" customWidth="1"/>
    <col min="4" max="4" width="20" style="15" customWidth="1"/>
    <col min="5" max="5" width="16" style="15" customWidth="1"/>
    <col min="6" max="6" width="14" style="15" customWidth="1"/>
    <col min="7" max="7" width="18" style="15" customWidth="1"/>
    <col min="8" max="8" width="12" style="15" customWidth="1"/>
    <col min="9" max="9" width="32" style="15" customWidth="1"/>
    <col min="10" max="10" width="12" style="15" customWidth="1"/>
    <col min="11" max="11" width="18" style="15" customWidth="1"/>
    <col min="12" max="13" width="16" style="15" customWidth="1"/>
    <col min="14" max="14" width="22" style="15" customWidth="1"/>
    <col min="15" max="15" width="24" style="15" customWidth="1"/>
    <col min="16" max="16" width="12" style="15" customWidth="1"/>
    <col min="17" max="17" width="34" style="15" customWidth="1"/>
    <col min="18" max="18" width="28" style="15" customWidth="1"/>
  </cols>
  <sheetData>
    <row r="1" spans="1:18" ht="27.75" customHeight="1">
      <c r="A1" s="14" t="s">
        <v>351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8" ht="30" customHeight="1">
      <c r="A3" s="13" t="s">
        <v>352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5" spans="1:18" ht="19.5" customHeight="1">
      <c r="A5" s="12" t="s">
        <v>353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36" customHeight="1">
      <c r="A6" s="19" t="s">
        <v>128</v>
      </c>
      <c r="B6" s="19" t="s">
        <v>76</v>
      </c>
      <c r="C6" s="19" t="s">
        <v>354</v>
      </c>
      <c r="D6" s="19" t="s">
        <v>59</v>
      </c>
      <c r="E6" s="19" t="s">
        <v>355</v>
      </c>
      <c r="F6" s="19" t="s">
        <v>356</v>
      </c>
      <c r="G6" s="19" t="s">
        <v>357</v>
      </c>
      <c r="H6" s="19" t="s">
        <v>358</v>
      </c>
      <c r="I6" s="19" t="s">
        <v>359</v>
      </c>
      <c r="J6" s="19" t="s">
        <v>360</v>
      </c>
      <c r="K6" s="19" t="s">
        <v>361</v>
      </c>
      <c r="L6" s="19" t="s">
        <v>362</v>
      </c>
      <c r="M6" s="19" t="s">
        <v>363</v>
      </c>
      <c r="N6" s="19" t="s">
        <v>364</v>
      </c>
      <c r="O6" s="19" t="s">
        <v>365</v>
      </c>
      <c r="P6" s="19" t="s">
        <v>77</v>
      </c>
      <c r="Q6" s="19" t="s">
        <v>98</v>
      </c>
      <c r="R6" s="19" t="s">
        <v>99</v>
      </c>
    </row>
    <row r="7" spans="1:18" ht="24" customHeight="1">
      <c r="A7" s="26" t="s">
        <v>143</v>
      </c>
      <c r="B7" s="26" t="s">
        <v>100</v>
      </c>
      <c r="C7" s="26" t="s">
        <v>366</v>
      </c>
      <c r="D7" s="26" t="s">
        <v>367</v>
      </c>
      <c r="E7" s="26">
        <v>4</v>
      </c>
      <c r="F7" s="26">
        <v>30</v>
      </c>
      <c r="G7" s="26" t="s">
        <v>292</v>
      </c>
      <c r="H7" s="26"/>
      <c r="I7" s="26"/>
      <c r="J7" s="26">
        <v>7000</v>
      </c>
      <c r="K7" s="26" t="s">
        <v>368</v>
      </c>
      <c r="L7" s="26" t="s">
        <v>369</v>
      </c>
      <c r="M7" s="26">
        <v>7</v>
      </c>
      <c r="N7" s="26" t="s">
        <v>370</v>
      </c>
      <c r="O7" s="26" t="s">
        <v>371</v>
      </c>
      <c r="P7" s="27">
        <v>46174</v>
      </c>
      <c r="Q7" s="26" t="s">
        <v>110</v>
      </c>
      <c r="R7" s="29" t="str">
        <f>IF(A7="","",IF(CONFIG!$B$25="No","▲ Módulo desactivado",IF(COUNTIFS(EVALUACION!$A$7:$A$3006,A7,EVALUACION!$B$7:$B$3006,B7)=0,"✖ Evaluación/paciente inconsistente",IF(AND(ISNUMBER(F7),F7&lt;0),"✖ Duración negativa",IF(AND(ISNUMBER(H7),I7=""),"▲ MET sin fuente","✔ Correcto")))))</f>
        <v>✔ Correcto</v>
      </c>
    </row>
    <row r="8" spans="1:18" ht="24" customHeight="1">
      <c r="A8" s="26" t="s">
        <v>152</v>
      </c>
      <c r="B8" s="26" t="s">
        <v>111</v>
      </c>
      <c r="C8" s="26" t="s">
        <v>372</v>
      </c>
      <c r="D8" s="26" t="s">
        <v>373</v>
      </c>
      <c r="E8" s="26">
        <v>3</v>
      </c>
      <c r="F8" s="26">
        <v>45</v>
      </c>
      <c r="G8" s="26" t="s">
        <v>292</v>
      </c>
      <c r="H8" s="26">
        <v>5</v>
      </c>
      <c r="I8" s="26" t="s">
        <v>374</v>
      </c>
      <c r="J8" s="26">
        <v>8000</v>
      </c>
      <c r="K8" s="26" t="s">
        <v>369</v>
      </c>
      <c r="L8" s="26" t="s">
        <v>369</v>
      </c>
      <c r="M8" s="26">
        <v>6</v>
      </c>
      <c r="N8" s="26" t="s">
        <v>375</v>
      </c>
      <c r="O8" s="26" t="s">
        <v>371</v>
      </c>
      <c r="P8" s="27">
        <v>46143</v>
      </c>
      <c r="Q8" s="26" t="s">
        <v>110</v>
      </c>
      <c r="R8" s="29" t="str">
        <f>IF(A8="","",IF(CONFIG!$B$25="No","▲ Módulo desactivado",IF(COUNTIFS(EVALUACION!$A$7:$A$3006,A8,EVALUACION!$B$7:$B$3006,B8)=0,"✖ Evaluación/paciente inconsistente",IF(AND(ISNUMBER(F8),F8&lt;0),"✖ Duración negativa",IF(AND(ISNUMBER(H8),I8=""),"▲ MET sin fuente","✔ Correcto")))))</f>
        <v>✔ Correcto</v>
      </c>
    </row>
    <row r="9" spans="1:18" ht="14.2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7"/>
      <c r="Q9" s="26"/>
      <c r="R9" s="29" t="str">
        <f>IF(A9="","",IF(CONFIG!$B$25="No","▲ Módulo desactivado",IF(COUNTIFS(EVALUACION!$A$7:$A$36,A9,EVALUACION!$B$7:$B$36,B9)=0,"✖ Evaluación/paciente inconsistente",IF(AND(ISNUMBER(F9),F9&lt;0),"✖ Duración negativa",IF(AND(ISNUMBER(H9),I9=""),"▲ MET sin fuente","✔ Correcto")))))</f>
        <v/>
      </c>
    </row>
    <row r="10" spans="1:18" ht="14.2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/>
      <c r="Q10" s="26"/>
      <c r="R10" s="29" t="str">
        <f>IF(A10="","",IF(CONFIG!$B$25="No","▲ Módulo desactivado",IF(COUNTIFS(EVALUACION!$A$7:$A$36,A10,EVALUACION!$B$7:$B$36,B10)=0,"✖ Evaluación/paciente inconsistente",IF(AND(ISNUMBER(F10),F10&lt;0),"✖ Duración negativa",IF(AND(ISNUMBER(H10),I10=""),"▲ MET sin fuente","✔ Correcto")))))</f>
        <v/>
      </c>
    </row>
    <row r="11" spans="1:18" ht="14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6"/>
      <c r="R11" s="29" t="str">
        <f>IF(A11="","",IF(CONFIG!$B$25="No","▲ Módulo desactivado",IF(COUNTIFS(EVALUACION!$A$7:$A$36,A11,EVALUACION!$B$7:$B$36,B11)=0,"✖ Evaluación/paciente inconsistente",IF(AND(ISNUMBER(F11),F11&lt;0),"✖ Duración negativa",IF(AND(ISNUMBER(H11),I11=""),"▲ MET sin fuente","✔ Correcto")))))</f>
        <v/>
      </c>
    </row>
    <row r="12" spans="1:18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6"/>
      <c r="R12" s="29" t="str">
        <f>IF(A12="","",IF(CONFIG!$B$25="No","▲ Módulo desactivado",IF(COUNTIFS(EVALUACION!$A$7:$A$36,A12,EVALUACION!$B$7:$B$36,B12)=0,"✖ Evaluación/paciente inconsistente",IF(AND(ISNUMBER(F12),F12&lt;0),"✖ Duración negativa",IF(AND(ISNUMBER(H12),I12=""),"▲ MET sin fuente","✔ Correcto")))))</f>
        <v/>
      </c>
    </row>
    <row r="13" spans="1:18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6"/>
      <c r="R13" s="29" t="str">
        <f>IF(A13="","",IF(CONFIG!$B$25="No","▲ Módulo desactivado",IF(COUNTIFS(EVALUACION!$A$7:$A$36,A13,EVALUACION!$B$7:$B$36,B13)=0,"✖ Evaluación/paciente inconsistente",IF(AND(ISNUMBER(F13),F13&lt;0),"✖ Duración negativa",IF(AND(ISNUMBER(H13),I13=""),"▲ MET sin fuente","✔ Correcto")))))</f>
        <v/>
      </c>
    </row>
    <row r="14" spans="1:18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6"/>
      <c r="R14" s="29" t="str">
        <f>IF(A14="","",IF(CONFIG!$B$25="No","▲ Módulo desactivado",IF(COUNTIFS(EVALUACION!$A$7:$A$36,A14,EVALUACION!$B$7:$B$36,B14)=0,"✖ Evaluación/paciente inconsistente",IF(AND(ISNUMBER(F14),F14&lt;0),"✖ Duración negativa",IF(AND(ISNUMBER(H14),I14=""),"▲ MET sin fuente","✔ Correcto")))))</f>
        <v/>
      </c>
    </row>
    <row r="15" spans="1:18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6"/>
      <c r="R15" s="29" t="str">
        <f>IF(A15="","",IF(CONFIG!$B$25="No","▲ Módulo desactivado",IF(COUNTIFS(EVALUACION!$A$7:$A$36,A15,EVALUACION!$B$7:$B$36,B15)=0,"✖ Evaluación/paciente inconsistente",IF(AND(ISNUMBER(F15),F15&lt;0),"✖ Duración negativa",IF(AND(ISNUMBER(H15),I15=""),"▲ MET sin fuente","✔ Correcto")))))</f>
        <v/>
      </c>
    </row>
    <row r="16" spans="1:18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6"/>
      <c r="R16" s="29" t="str">
        <f>IF(A16="","",IF(CONFIG!$B$25="No","▲ Módulo desactivado",IF(COUNTIFS(EVALUACION!$A$7:$A$36,A16,EVALUACION!$B$7:$B$36,B16)=0,"✖ Evaluación/paciente inconsistente",IF(AND(ISNUMBER(F16),F16&lt;0),"✖ Duración negativa",IF(AND(ISNUMBER(H16),I16=""),"▲ MET sin fuente","✔ Correcto")))))</f>
        <v/>
      </c>
    </row>
    <row r="17" spans="1:18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6"/>
      <c r="R17" s="29" t="str">
        <f>IF(A17="","",IF(CONFIG!$B$25="No","▲ Módulo desactivado",IF(COUNTIFS(EVALUACION!$A$7:$A$36,A17,EVALUACION!$B$7:$B$36,B17)=0,"✖ Evaluación/paciente inconsistente",IF(AND(ISNUMBER(F17),F17&lt;0),"✖ Duración negativa",IF(AND(ISNUMBER(H17),I17=""),"▲ MET sin fuente","✔ Correcto")))))</f>
        <v/>
      </c>
    </row>
    <row r="18" spans="1:18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6"/>
      <c r="R18" s="29" t="str">
        <f>IF(A18="","",IF(CONFIG!$B$25="No","▲ Módulo desactivado",IF(COUNTIFS(EVALUACION!$A$7:$A$36,A18,EVALUACION!$B$7:$B$36,B18)=0,"✖ Evaluación/paciente inconsistente",IF(AND(ISNUMBER(F18),F18&lt;0),"✖ Duración negativa",IF(AND(ISNUMBER(H18),I18=""),"▲ MET sin fuente","✔ Correcto")))))</f>
        <v/>
      </c>
    </row>
    <row r="19" spans="1:18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6"/>
      <c r="R19" s="29" t="str">
        <f>IF(A19="","",IF(CONFIG!$B$25="No","▲ Módulo desactivado",IF(COUNTIFS(EVALUACION!$A$7:$A$36,A19,EVALUACION!$B$7:$B$36,B19)=0,"✖ Evaluación/paciente inconsistente",IF(AND(ISNUMBER(F19),F19&lt;0),"✖ Duración negativa",IF(AND(ISNUMBER(H19),I19=""),"▲ MET sin fuente","✔ Correcto")))))</f>
        <v/>
      </c>
    </row>
    <row r="20" spans="1:18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6"/>
      <c r="R20" s="29" t="str">
        <f>IF(A20="","",IF(CONFIG!$B$25="No","▲ Módulo desactivado",IF(COUNTIFS(EVALUACION!$A$7:$A$36,A20,EVALUACION!$B$7:$B$36,B20)=0,"✖ Evaluación/paciente inconsistente",IF(AND(ISNUMBER(F20),F20&lt;0),"✖ Duración negativa",IF(AND(ISNUMBER(H20),I20=""),"▲ MET sin fuente","✔ Correcto")))))</f>
        <v/>
      </c>
    </row>
    <row r="21" spans="1:18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6"/>
      <c r="R21" s="29" t="str">
        <f>IF(A21="","",IF(CONFIG!$B$25="No","▲ Módulo desactivado",IF(COUNTIFS(EVALUACION!$A$7:$A$36,A21,EVALUACION!$B$7:$B$36,B21)=0,"✖ Evaluación/paciente inconsistente",IF(AND(ISNUMBER(F21),F21&lt;0),"✖ Duración negativa",IF(AND(ISNUMBER(H21),I21=""),"▲ MET sin fuente","✔ Correcto")))))</f>
        <v/>
      </c>
    </row>
    <row r="22" spans="1:18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6"/>
      <c r="R22" s="29" t="str">
        <f>IF(A22="","",IF(CONFIG!$B$25="No","▲ Módulo desactivado",IF(COUNTIFS(EVALUACION!$A$7:$A$36,A22,EVALUACION!$B$7:$B$36,B22)=0,"✖ Evaluación/paciente inconsistente",IF(AND(ISNUMBER(F22),F22&lt;0),"✖ Duración negativa",IF(AND(ISNUMBER(H22),I22=""),"▲ MET sin fuente","✔ Correcto")))))</f>
        <v/>
      </c>
    </row>
    <row r="23" spans="1:18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6"/>
      <c r="R23" s="29" t="str">
        <f>IF(A23="","",IF(CONFIG!$B$25="No","▲ Módulo desactivado",IF(COUNTIFS(EVALUACION!$A$7:$A$36,A23,EVALUACION!$B$7:$B$36,B23)=0,"✖ Evaluación/paciente inconsistente",IF(AND(ISNUMBER(F23),F23&lt;0),"✖ Duración negativa",IF(AND(ISNUMBER(H23),I23=""),"▲ MET sin fuente","✔ Correcto")))))</f>
        <v/>
      </c>
    </row>
    <row r="24" spans="1:18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6"/>
      <c r="R24" s="29" t="str">
        <f>IF(A24="","",IF(CONFIG!$B$25="No","▲ Módulo desactivado",IF(COUNTIFS(EVALUACION!$A$7:$A$36,A24,EVALUACION!$B$7:$B$36,B24)=0,"✖ Evaluación/paciente inconsistente",IF(AND(ISNUMBER(F24),F24&lt;0),"✖ Duración negativa",IF(AND(ISNUMBER(H24),I24=""),"▲ MET sin fuente","✔ Correcto")))))</f>
        <v/>
      </c>
    </row>
    <row r="25" spans="1:18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26"/>
      <c r="R25" s="29" t="str">
        <f>IF(A25="","",IF(CONFIG!$B$25="No","▲ Módulo desactivado",IF(COUNTIFS(EVALUACION!$A$7:$A$36,A25,EVALUACION!$B$7:$B$36,B25)=0,"✖ Evaluación/paciente inconsistente",IF(AND(ISNUMBER(F25),F25&lt;0),"✖ Duración negativa",IF(AND(ISNUMBER(H25),I25=""),"▲ MET sin fuente","✔ Correcto")))))</f>
        <v/>
      </c>
    </row>
    <row r="26" spans="1:18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6"/>
      <c r="R26" s="29" t="str">
        <f>IF(A26="","",IF(CONFIG!$B$25="No","▲ Módulo desactivado",IF(COUNTIFS(EVALUACION!$A$7:$A$36,A26,EVALUACION!$B$7:$B$36,B26)=0,"✖ Evaluación/paciente inconsistente",IF(AND(ISNUMBER(F26),F26&lt;0),"✖ Duración negativa",IF(AND(ISNUMBER(H26),I26=""),"▲ MET sin fuente","✔ Correcto")))))</f>
        <v/>
      </c>
    </row>
    <row r="27" spans="1:18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7"/>
      <c r="Q27" s="26"/>
      <c r="R27" s="29" t="str">
        <f>IF(A27="","",IF(CONFIG!$B$25="No","▲ Módulo desactivado",IF(COUNTIFS(EVALUACION!$A$7:$A$36,A27,EVALUACION!$B$7:$B$36,B27)=0,"✖ Evaluación/paciente inconsistente",IF(AND(ISNUMBER(F27),F27&lt;0),"✖ Duración negativa",IF(AND(ISNUMBER(H27),I27=""),"▲ MET sin fuente","✔ Correcto")))))</f>
        <v/>
      </c>
    </row>
    <row r="28" spans="1:1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7"/>
      <c r="Q28" s="26"/>
      <c r="R28" s="29" t="str">
        <f>IF(A28="","",IF(CONFIG!$B$25="No","▲ Módulo desactivado",IF(COUNTIFS(EVALUACION!$A$7:$A$36,A28,EVALUACION!$B$7:$B$36,B28)=0,"✖ Evaluación/paciente inconsistente",IF(AND(ISNUMBER(F28),F28&lt;0),"✖ Duración negativa",IF(AND(ISNUMBER(H28),I28=""),"▲ MET sin fuente","✔ Correcto")))))</f>
        <v/>
      </c>
    </row>
    <row r="29" spans="1:18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26"/>
      <c r="R29" s="29" t="str">
        <f>IF(A29="","",IF(CONFIG!$B$25="No","▲ Módulo desactivado",IF(COUNTIFS(EVALUACION!$A$7:$A$36,A29,EVALUACION!$B$7:$B$36,B29)=0,"✖ Evaluación/paciente inconsistente",IF(AND(ISNUMBER(F29),F29&lt;0),"✖ Duración negativa",IF(AND(ISNUMBER(H29),I29=""),"▲ MET sin fuente","✔ Correcto")))))</f>
        <v/>
      </c>
    </row>
    <row r="30" spans="1:18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6"/>
      <c r="R30" s="29" t="str">
        <f>IF(A30="","",IF(CONFIG!$B$25="No","▲ Módulo desactivado",IF(COUNTIFS(EVALUACION!$A$7:$A$36,A30,EVALUACION!$B$7:$B$36,B30)=0,"✖ Evaluación/paciente inconsistente",IF(AND(ISNUMBER(F30),F30&lt;0),"✖ Duración negativa",IF(AND(ISNUMBER(H30),I30=""),"▲ MET sin fuente","✔ Correcto")))))</f>
        <v/>
      </c>
    </row>
    <row r="31" spans="1:18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/>
      <c r="R31" s="29" t="str">
        <f>IF(A31="","",IF(CONFIG!$B$25="No","▲ Módulo desactivado",IF(COUNTIFS(EVALUACION!$A$7:$A$36,A31,EVALUACION!$B$7:$B$36,B31)=0,"✖ Evaluación/paciente inconsistente",IF(AND(ISNUMBER(F31),F31&lt;0),"✖ Duración negativa",IF(AND(ISNUMBER(H31),I31=""),"▲ MET sin fuente","✔ Correcto")))))</f>
        <v/>
      </c>
    </row>
    <row r="32" spans="1:18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/>
      <c r="R32" s="29" t="str">
        <f>IF(A32="","",IF(CONFIG!$B$25="No","▲ Módulo desactivado",IF(COUNTIFS(EVALUACION!$A$7:$A$36,A32,EVALUACION!$B$7:$B$36,B32)=0,"✖ Evaluación/paciente inconsistente",IF(AND(ISNUMBER(F32),F32&lt;0),"✖ Duración negativa",IF(AND(ISNUMBER(H32),I32=""),"▲ MET sin fuente","✔ Correcto")))))</f>
        <v/>
      </c>
    </row>
    <row r="33" spans="1:18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6"/>
      <c r="R33" s="29" t="str">
        <f>IF(A33="","",IF(CONFIG!$B$25="No","▲ Módulo desactivado",IF(COUNTIFS(EVALUACION!$A$7:$A$36,A33,EVALUACION!$B$7:$B$36,B33)=0,"✖ Evaluación/paciente inconsistente",IF(AND(ISNUMBER(F33),F33&lt;0),"✖ Duración negativa",IF(AND(ISNUMBER(H33),I33=""),"▲ MET sin fuente","✔ Correcto")))))</f>
        <v/>
      </c>
    </row>
    <row r="34" spans="1:18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6"/>
      <c r="R34" s="29" t="str">
        <f>IF(A34="","",IF(CONFIG!$B$25="No","▲ Módulo desactivado",IF(COUNTIFS(EVALUACION!$A$7:$A$36,A34,EVALUACION!$B$7:$B$36,B34)=0,"✖ Evaluación/paciente inconsistente",IF(AND(ISNUMBER(F34),F34&lt;0),"✖ Duración negativa",IF(AND(ISNUMBER(H34),I34=""),"▲ MET sin fuente","✔ Correcto")))))</f>
        <v/>
      </c>
    </row>
    <row r="35" spans="1:18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6"/>
      <c r="R35" s="29" t="str">
        <f>IF(A35="","",IF(CONFIG!$B$25="No","▲ Módulo desactivado",IF(COUNTIFS(EVALUACION!$A$7:$A$36,A35,EVALUACION!$B$7:$B$36,B35)=0,"✖ Evaluación/paciente inconsistente",IF(AND(ISNUMBER(F35),F35&lt;0),"✖ Duración negativa",IF(AND(ISNUMBER(H35),I35=""),"▲ MET sin fuente","✔ Correcto")))))</f>
        <v/>
      </c>
    </row>
    <row r="36" spans="1:18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26"/>
      <c r="R36" s="29" t="str">
        <f>IF(A36="","",IF(CONFIG!$B$25="No","▲ Módulo desactivado",IF(COUNTIFS(EVALUACION!$A$7:$A$36,A36,EVALUACION!$B$7:$B$36,B36)=0,"✖ Evaluación/paciente inconsistente",IF(AND(ISNUMBER(F36),F36&lt;0),"✖ Duración negativa",IF(AND(ISNUMBER(H36),I36=""),"▲ MET sin fuente","✔ Correcto")))))</f>
        <v/>
      </c>
    </row>
  </sheetData>
  <mergeCells count="3">
    <mergeCell ref="A1:R1"/>
    <mergeCell ref="A3:R3"/>
    <mergeCell ref="A5:R5"/>
  </mergeCells>
  <conditionalFormatting sqref="R7:R36">
    <cfRule type="expression" dxfId="27" priority="2">
      <formula>LEFT(R7,1)="✖"</formula>
    </cfRule>
    <cfRule type="expression" dxfId="26" priority="3">
      <formula>LEFT(R7,1)="▲"</formula>
    </cfRule>
    <cfRule type="expression" dxfId="25" priority="4">
      <formula>LEFT(R7,1)="✔"</formula>
    </cfRule>
  </conditionalFormatting>
  <dataValidations count="8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R7:R8" xr:uid="{00000000-0002-0000-0800-000000000000}">
      <formula1>0</formula1>
      <formula2>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100000. Los límites son operativos." sqref="J7:J36" xr:uid="{00000000-0002-0000-0800-000001000000}">
      <formula1>0</formula1>
      <formula2>100000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D7:D36" xr:uid="{00000000-0002-0000-0800-000002000000}">
      <formula1>Lista_TipoActividad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G7:G36" xr:uid="{00000000-0002-0000-0800-000003000000}">
      <formula1>Lista_Intensidad</formula1>
      <formula2>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14. Los límites son operativos." sqref="E7:E36" xr:uid="{00000000-0002-0000-0800-000004000000}">
      <formula1>0</formula1>
      <formula2>14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1440. Los límites son operativos." sqref="F7:F36" xr:uid="{00000000-0002-0000-0800-000005000000}">
      <formula1>0</formula1>
      <formula2>1440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30. Los límites son operativos." sqref="H7:H36" xr:uid="{00000000-0002-0000-0800-000006000000}">
      <formula1>0</formula1>
      <formula2>30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24. Los límites son operativos." sqref="M7:M36" xr:uid="{00000000-0002-0000-0800-000007000000}">
      <formula1>0</formula1>
      <formula2>24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41"/>
  <sheetViews>
    <sheetView showGridLines="0" workbookViewId="0">
      <selection sqref="A1:R1"/>
    </sheetView>
  </sheetViews>
  <sheetFormatPr baseColWidth="10" defaultColWidth="9" defaultRowHeight="15"/>
  <cols>
    <col min="1" max="2" width="14" style="15" customWidth="1"/>
    <col min="3" max="3" width="24" style="15" customWidth="1"/>
    <col min="4" max="4" width="22" style="15" customWidth="1"/>
    <col min="5" max="6" width="12" style="15" customWidth="1"/>
    <col min="7" max="7" width="16" style="15" customWidth="1"/>
    <col min="8" max="8" width="14" style="15" customWidth="1"/>
    <col min="9" max="9" width="18" style="15" customWidth="1"/>
    <col min="10" max="10" width="22" style="15" customWidth="1"/>
    <col min="11" max="12" width="12" style="15" customWidth="1"/>
    <col min="13" max="14" width="24" style="15" customWidth="1"/>
    <col min="15" max="15" width="34" style="15" customWidth="1"/>
    <col min="16" max="17" width="18" style="15" customWidth="1"/>
    <col min="18" max="18" width="28" style="15" customWidth="1"/>
  </cols>
  <sheetData>
    <row r="1" spans="1:18" ht="27.75" customHeight="1">
      <c r="A1" s="14" t="s">
        <v>376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8" ht="30" customHeight="1">
      <c r="A3" s="8" t="s">
        <v>377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5" spans="1:18" ht="19.5" customHeight="1">
      <c r="A5" s="12" t="s">
        <v>378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36" customHeight="1">
      <c r="A6" s="19" t="s">
        <v>128</v>
      </c>
      <c r="B6" s="19" t="s">
        <v>76</v>
      </c>
      <c r="C6" s="19" t="s">
        <v>379</v>
      </c>
      <c r="D6" s="19" t="s">
        <v>380</v>
      </c>
      <c r="E6" s="19" t="s">
        <v>381</v>
      </c>
      <c r="F6" s="19" t="s">
        <v>249</v>
      </c>
      <c r="G6" s="19" t="s">
        <v>282</v>
      </c>
      <c r="H6" s="19" t="s">
        <v>217</v>
      </c>
      <c r="I6" s="19" t="s">
        <v>382</v>
      </c>
      <c r="J6" s="19" t="s">
        <v>383</v>
      </c>
      <c r="K6" s="19" t="s">
        <v>178</v>
      </c>
      <c r="L6" s="19" t="s">
        <v>179</v>
      </c>
      <c r="M6" s="19" t="s">
        <v>384</v>
      </c>
      <c r="N6" s="19" t="s">
        <v>385</v>
      </c>
      <c r="O6" s="19" t="s">
        <v>386</v>
      </c>
      <c r="P6" s="19" t="s">
        <v>387</v>
      </c>
      <c r="Q6" s="19" t="s">
        <v>98</v>
      </c>
      <c r="R6" s="19" t="s">
        <v>99</v>
      </c>
    </row>
    <row r="7" spans="1:18" ht="48" customHeight="1">
      <c r="A7" s="26" t="s">
        <v>143</v>
      </c>
      <c r="B7" s="26" t="s">
        <v>100</v>
      </c>
      <c r="C7" s="26" t="s">
        <v>388</v>
      </c>
      <c r="D7" s="26" t="s">
        <v>389</v>
      </c>
      <c r="E7" s="26">
        <v>1</v>
      </c>
      <c r="F7" s="26" t="s">
        <v>262</v>
      </c>
      <c r="G7" s="26" t="s">
        <v>308</v>
      </c>
      <c r="H7" s="26" t="s">
        <v>390</v>
      </c>
      <c r="I7" s="26" t="s">
        <v>391</v>
      </c>
      <c r="J7" s="26" t="s">
        <v>392</v>
      </c>
      <c r="K7" s="27">
        <v>46023</v>
      </c>
      <c r="L7" s="27"/>
      <c r="M7" s="26" t="s">
        <v>393</v>
      </c>
      <c r="N7" s="26" t="s">
        <v>394</v>
      </c>
      <c r="O7" s="26"/>
      <c r="P7" s="26"/>
      <c r="Q7" s="26" t="s">
        <v>110</v>
      </c>
      <c r="R7" s="29" t="str">
        <f>IF(A7="","",IF(CONFIG!$B$26="No","▲ Módulo desactivado",IF(COUNTIFS(EVALUACION!$A$7:$A$3006,A7,EVALUACION!$B$7:$B$3006,B7)=0,"✖ Evaluación/paciente inconsistente",IF(C7="","✖ Medicamento sin nombre",IF(E7="","▲ Medicamento sin dosis",IF(AND(ISNUMBER(K7),ISNUMBER(L7),L7&lt;K7),"✖ Fecha término anterior",IF(AND(O7&lt;&gt;"",P7=""),"▲ Interacción sin fuente","✔ Correcto")))))))</f>
        <v>✔ Correcto</v>
      </c>
    </row>
    <row r="8" spans="1:18" ht="48" customHeight="1">
      <c r="A8" s="26" t="s">
        <v>165</v>
      </c>
      <c r="B8" s="26" t="s">
        <v>119</v>
      </c>
      <c r="C8" s="26" t="s">
        <v>395</v>
      </c>
      <c r="D8" s="26"/>
      <c r="E8" s="26"/>
      <c r="F8" s="26" t="s">
        <v>262</v>
      </c>
      <c r="G8" s="26" t="s">
        <v>308</v>
      </c>
      <c r="H8" s="26" t="s">
        <v>144</v>
      </c>
      <c r="I8" s="26" t="s">
        <v>391</v>
      </c>
      <c r="J8" s="26" t="s">
        <v>392</v>
      </c>
      <c r="K8" s="27">
        <v>46174</v>
      </c>
      <c r="L8" s="27"/>
      <c r="M8" s="26" t="s">
        <v>393</v>
      </c>
      <c r="N8" s="26" t="s">
        <v>164</v>
      </c>
      <c r="O8" s="26" t="s">
        <v>396</v>
      </c>
      <c r="P8" s="26"/>
      <c r="Q8" s="26" t="s">
        <v>110</v>
      </c>
      <c r="R8" s="29" t="str">
        <f>IF(A8="","",IF(CONFIG!$B$26="No","▲ Módulo desactivado",IF(COUNTIFS(EVALUACION!$A$7:$A$3006,A8,EVALUACION!$B$7:$B$3006,B8)=0,"✖ Evaluación/paciente inconsistente",IF(C8="","✖ Medicamento sin nombre",IF(E8="","▲ Medicamento sin dosis",IF(AND(ISNUMBER(K8),ISNUMBER(L8),L8&lt;K8),"✖ Fecha término anterior",IF(AND(O8&lt;&gt;"",P8=""),"▲ Interacción sin fuente","✔ Correcto")))))))</f>
        <v>▲ Medicamento sin dosis</v>
      </c>
    </row>
    <row r="9" spans="1:18" ht="14.2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7"/>
      <c r="L9" s="27"/>
      <c r="M9" s="26"/>
      <c r="N9" s="26"/>
      <c r="O9" s="26"/>
      <c r="P9" s="26"/>
      <c r="Q9" s="26"/>
      <c r="R9" s="29" t="str">
        <f>IF(A9="","",IF(CONFIG!$B$26="No","▲ Módulo desactivado",IF(COUNTIFS(EVALUACION!$A$7:$A$3006,A9,EVALUACION!$B$7:$B$3006,B9)=0,"✖ Evaluación/paciente inconsistente",IF(C9="","✖ Medicamento sin nombre",IF(E9="","▲ Medicamento sin dosis",IF(AND(ISNUMBER(K9),ISNUMBER(L9),L9&lt;K9),"✖ Fecha término anterior",IF(AND(O9&lt;&gt;"",P9=""),"▲ Interacción sin fuente","✔ Correcto")))))))</f>
        <v/>
      </c>
    </row>
    <row r="10" spans="1:18" ht="14.2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7"/>
      <c r="L10" s="27"/>
      <c r="M10" s="26"/>
      <c r="N10" s="26"/>
      <c r="O10" s="26"/>
      <c r="P10" s="26"/>
      <c r="Q10" s="26"/>
      <c r="R10" s="29" t="str">
        <f>IF(A10="","",IF(CONFIG!$B$26="No","▲ Módulo desactivado",IF(COUNTIFS(EVALUACION!$A$7:$A$3006,A10,EVALUACION!$B$7:$B$3006,B10)=0,"✖ Evaluación/paciente inconsistente",IF(C10="","✖ Medicamento sin nombre",IF(E10="","▲ Medicamento sin dosis",IF(AND(ISNUMBER(K10),ISNUMBER(L10),L10&lt;K10),"✖ Fecha término anterior",IF(AND(O10&lt;&gt;"",P10=""),"▲ Interacción sin fuente","✔ Correcto")))))))</f>
        <v/>
      </c>
    </row>
    <row r="11" spans="1:18" ht="14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7"/>
      <c r="L11" s="27"/>
      <c r="M11" s="26"/>
      <c r="N11" s="26"/>
      <c r="O11" s="26"/>
      <c r="P11" s="26"/>
      <c r="Q11" s="26"/>
      <c r="R11" s="29" t="str">
        <f>IF(A11="","",IF(CONFIG!$B$26="No","▲ Módulo desactivado",IF(COUNTIFS(EVALUACION!$A$7:$A$3006,A11,EVALUACION!$B$7:$B$3006,B11)=0,"✖ Evaluación/paciente inconsistente",IF(C11="","✖ Medicamento sin nombre",IF(E11="","▲ Medicamento sin dosis",IF(AND(ISNUMBER(K11),ISNUMBER(L11),L11&lt;K11),"✖ Fecha término anterior",IF(AND(O11&lt;&gt;"",P11=""),"▲ Interacción sin fuente","✔ Correcto")))))))</f>
        <v/>
      </c>
    </row>
    <row r="12" spans="1:18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7"/>
      <c r="L12" s="27"/>
      <c r="M12" s="26"/>
      <c r="N12" s="26"/>
      <c r="O12" s="26"/>
      <c r="P12" s="26"/>
      <c r="Q12" s="26"/>
      <c r="R12" s="29" t="str">
        <f>IF(A12="","",IF(CONFIG!$B$26="No","▲ Módulo desactivado",IF(COUNTIFS(EVALUACION!$A$7:$A$3006,A12,EVALUACION!$B$7:$B$3006,B12)=0,"✖ Evaluación/paciente inconsistente",IF(C12="","✖ Medicamento sin nombre",IF(E12="","▲ Medicamento sin dosis",IF(AND(ISNUMBER(K12),ISNUMBER(L12),L12&lt;K12),"✖ Fecha término anterior",IF(AND(O12&lt;&gt;"",P12=""),"▲ Interacción sin fuente","✔ Correcto")))))))</f>
        <v/>
      </c>
    </row>
    <row r="13" spans="1:18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7"/>
      <c r="L13" s="27"/>
      <c r="M13" s="26"/>
      <c r="N13" s="26"/>
      <c r="O13" s="26"/>
      <c r="P13" s="26"/>
      <c r="Q13" s="26"/>
      <c r="R13" s="29" t="str">
        <f>IF(A13="","",IF(CONFIG!$B$26="No","▲ Módulo desactivado",IF(COUNTIFS(EVALUACION!$A$7:$A$3006,A13,EVALUACION!$B$7:$B$3006,B13)=0,"✖ Evaluación/paciente inconsistente",IF(C13="","✖ Medicamento sin nombre",IF(E13="","▲ Medicamento sin dosis",IF(AND(ISNUMBER(K13),ISNUMBER(L13),L13&lt;K13),"✖ Fecha término anterior",IF(AND(O13&lt;&gt;"",P13=""),"▲ Interacción sin fuente","✔ Correcto")))))))</f>
        <v/>
      </c>
    </row>
    <row r="14" spans="1:18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7"/>
      <c r="L14" s="27"/>
      <c r="M14" s="26"/>
      <c r="N14" s="26"/>
      <c r="O14" s="26"/>
      <c r="P14" s="26"/>
      <c r="Q14" s="26"/>
      <c r="R14" s="29" t="str">
        <f>IF(A14="","",IF(CONFIG!$B$26="No","▲ Módulo desactivado",IF(COUNTIFS(EVALUACION!$A$7:$A$3006,A14,EVALUACION!$B$7:$B$3006,B14)=0,"✖ Evaluación/paciente inconsistente",IF(C14="","✖ Medicamento sin nombre",IF(E14="","▲ Medicamento sin dosis",IF(AND(ISNUMBER(K14),ISNUMBER(L14),L14&lt;K14),"✖ Fecha término anterior",IF(AND(O14&lt;&gt;"",P14=""),"▲ Interacción sin fuente","✔ Correcto")))))))</f>
        <v/>
      </c>
    </row>
    <row r="15" spans="1:18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27"/>
      <c r="M15" s="26"/>
      <c r="N15" s="26"/>
      <c r="O15" s="26"/>
      <c r="P15" s="26"/>
      <c r="Q15" s="26"/>
      <c r="R15" s="29" t="str">
        <f>IF(A15="","",IF(CONFIG!$B$26="No","▲ Módulo desactivado",IF(COUNTIFS(EVALUACION!$A$7:$A$3006,A15,EVALUACION!$B$7:$B$3006,B15)=0,"✖ Evaluación/paciente inconsistente",IF(C15="","✖ Medicamento sin nombre",IF(E15="","▲ Medicamento sin dosis",IF(AND(ISNUMBER(K15),ISNUMBER(L15),L15&lt;K15),"✖ Fecha término anterior",IF(AND(O15&lt;&gt;"",P15=""),"▲ Interacción sin fuente","✔ Correcto")))))))</f>
        <v/>
      </c>
    </row>
    <row r="16" spans="1:18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7"/>
      <c r="L16" s="27"/>
      <c r="M16" s="26"/>
      <c r="N16" s="26"/>
      <c r="O16" s="26"/>
      <c r="P16" s="26"/>
      <c r="Q16" s="26"/>
      <c r="R16" s="29" t="str">
        <f>IF(A16="","",IF(CONFIG!$B$26="No","▲ Módulo desactivado",IF(COUNTIFS(EVALUACION!$A$7:$A$3006,A16,EVALUACION!$B$7:$B$3006,B16)=0,"✖ Evaluación/paciente inconsistente",IF(C16="","✖ Medicamento sin nombre",IF(E16="","▲ Medicamento sin dosis",IF(AND(ISNUMBER(K16),ISNUMBER(L16),L16&lt;K16),"✖ Fecha término anterior",IF(AND(O16&lt;&gt;"",P16=""),"▲ Interacción sin fuente","✔ Correcto")))))))</f>
        <v/>
      </c>
    </row>
    <row r="17" spans="1:18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7"/>
      <c r="L17" s="27"/>
      <c r="M17" s="26"/>
      <c r="N17" s="26"/>
      <c r="O17" s="26"/>
      <c r="P17" s="26"/>
      <c r="Q17" s="26"/>
      <c r="R17" s="29" t="str">
        <f>IF(A17="","",IF(CONFIG!$B$26="No","▲ Módulo desactivado",IF(COUNTIFS(EVALUACION!$A$7:$A$3006,A17,EVALUACION!$B$7:$B$3006,B17)=0,"✖ Evaluación/paciente inconsistente",IF(C17="","✖ Medicamento sin nombre",IF(E17="","▲ Medicamento sin dosis",IF(AND(ISNUMBER(K17),ISNUMBER(L17),L17&lt;K17),"✖ Fecha término anterior",IF(AND(O17&lt;&gt;"",P17=""),"▲ Interacción sin fuente","✔ Correcto")))))))</f>
        <v/>
      </c>
    </row>
    <row r="18" spans="1:18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7"/>
      <c r="L18" s="27"/>
      <c r="M18" s="26"/>
      <c r="N18" s="26"/>
      <c r="O18" s="26"/>
      <c r="P18" s="26"/>
      <c r="Q18" s="26"/>
      <c r="R18" s="29" t="str">
        <f>IF(A18="","",IF(CONFIG!$B$26="No","▲ Módulo desactivado",IF(COUNTIFS(EVALUACION!$A$7:$A$3006,A18,EVALUACION!$B$7:$B$3006,B18)=0,"✖ Evaluación/paciente inconsistente",IF(C18="","✖ Medicamento sin nombre",IF(E18="","▲ Medicamento sin dosis",IF(AND(ISNUMBER(K18),ISNUMBER(L18),L18&lt;K18),"✖ Fecha término anterior",IF(AND(O18&lt;&gt;"",P18=""),"▲ Interacción sin fuente","✔ Correcto")))))))</f>
        <v/>
      </c>
    </row>
    <row r="19" spans="1:18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7"/>
      <c r="L19" s="27"/>
      <c r="M19" s="26"/>
      <c r="N19" s="26"/>
      <c r="O19" s="26"/>
      <c r="P19" s="26"/>
      <c r="Q19" s="26"/>
      <c r="R19" s="29" t="str">
        <f>IF(A19="","",IF(CONFIG!$B$26="No","▲ Módulo desactivado",IF(COUNTIFS(EVALUACION!$A$7:$A$3006,A19,EVALUACION!$B$7:$B$3006,B19)=0,"✖ Evaluación/paciente inconsistente",IF(C19="","✖ Medicamento sin nombre",IF(E19="","▲ Medicamento sin dosis",IF(AND(ISNUMBER(K19),ISNUMBER(L19),L19&lt;K19),"✖ Fecha término anterior",IF(AND(O19&lt;&gt;"",P19=""),"▲ Interacción sin fuente","✔ Correcto")))))))</f>
        <v/>
      </c>
    </row>
    <row r="20" spans="1:18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7"/>
      <c r="L20" s="27"/>
      <c r="M20" s="26"/>
      <c r="N20" s="26"/>
      <c r="O20" s="26"/>
      <c r="P20" s="26"/>
      <c r="Q20" s="26"/>
      <c r="R20" s="29" t="str">
        <f>IF(A20="","",IF(CONFIG!$B$26="No","▲ Módulo desactivado",IF(COUNTIFS(EVALUACION!$A$7:$A$3006,A20,EVALUACION!$B$7:$B$3006,B20)=0,"✖ Evaluación/paciente inconsistente",IF(C20="","✖ Medicamento sin nombre",IF(E20="","▲ Medicamento sin dosis",IF(AND(ISNUMBER(K20),ISNUMBER(L20),L20&lt;K20),"✖ Fecha término anterior",IF(AND(O20&lt;&gt;"",P20=""),"▲ Interacción sin fuente","✔ Correcto")))))))</f>
        <v/>
      </c>
    </row>
    <row r="21" spans="1:18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7"/>
      <c r="L21" s="27"/>
      <c r="M21" s="26"/>
      <c r="N21" s="26"/>
      <c r="O21" s="26"/>
      <c r="P21" s="26"/>
      <c r="Q21" s="26"/>
      <c r="R21" s="29" t="str">
        <f>IF(A21="","",IF(CONFIG!$B$26="No","▲ Módulo desactivado",IF(COUNTIFS(EVALUACION!$A$7:$A$3006,A21,EVALUACION!$B$7:$B$3006,B21)=0,"✖ Evaluación/paciente inconsistente",IF(C21="","✖ Medicamento sin nombre",IF(E21="","▲ Medicamento sin dosis",IF(AND(ISNUMBER(K21),ISNUMBER(L21),L21&lt;K21),"✖ Fecha término anterior",IF(AND(O21&lt;&gt;"",P21=""),"▲ Interacción sin fuente","✔ Correcto")))))))</f>
        <v/>
      </c>
    </row>
    <row r="22" spans="1:18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7"/>
      <c r="L22" s="27"/>
      <c r="M22" s="26"/>
      <c r="N22" s="26"/>
      <c r="O22" s="26"/>
      <c r="P22" s="26"/>
      <c r="Q22" s="26"/>
      <c r="R22" s="29" t="str">
        <f>IF(A22="","",IF(CONFIG!$B$26="No","▲ Módulo desactivado",IF(COUNTIFS(EVALUACION!$A$7:$A$3006,A22,EVALUACION!$B$7:$B$3006,B22)=0,"✖ Evaluación/paciente inconsistente",IF(C22="","✖ Medicamento sin nombre",IF(E22="","▲ Medicamento sin dosis",IF(AND(ISNUMBER(K22),ISNUMBER(L22),L22&lt;K22),"✖ Fecha término anterior",IF(AND(O22&lt;&gt;"",P22=""),"▲ Interacción sin fuente","✔ Correcto")))))))</f>
        <v/>
      </c>
    </row>
    <row r="23" spans="1:18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7"/>
      <c r="L23" s="27"/>
      <c r="M23" s="26"/>
      <c r="N23" s="26"/>
      <c r="O23" s="26"/>
      <c r="P23" s="26"/>
      <c r="Q23" s="26"/>
      <c r="R23" s="29" t="str">
        <f>IF(A23="","",IF(CONFIG!$B$26="No","▲ Módulo desactivado",IF(COUNTIFS(EVALUACION!$A$7:$A$3006,A23,EVALUACION!$B$7:$B$3006,B23)=0,"✖ Evaluación/paciente inconsistente",IF(C23="","✖ Medicamento sin nombre",IF(E23="","▲ Medicamento sin dosis",IF(AND(ISNUMBER(K23),ISNUMBER(L23),L23&lt;K23),"✖ Fecha término anterior",IF(AND(O23&lt;&gt;"",P23=""),"▲ Interacción sin fuente","✔ Correcto")))))))</f>
        <v/>
      </c>
    </row>
    <row r="24" spans="1:18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7"/>
      <c r="L24" s="27"/>
      <c r="M24" s="26"/>
      <c r="N24" s="26"/>
      <c r="O24" s="26"/>
      <c r="P24" s="26"/>
      <c r="Q24" s="26"/>
      <c r="R24" s="29" t="str">
        <f>IF(A24="","",IF(CONFIG!$B$26="No","▲ Módulo desactivado",IF(COUNTIFS(EVALUACION!$A$7:$A$3006,A24,EVALUACION!$B$7:$B$3006,B24)=0,"✖ Evaluación/paciente inconsistente",IF(C24="","✖ Medicamento sin nombre",IF(E24="","▲ Medicamento sin dosis",IF(AND(ISNUMBER(K24),ISNUMBER(L24),L24&lt;K24),"✖ Fecha término anterior",IF(AND(O24&lt;&gt;"",P24=""),"▲ Interacción sin fuente","✔ Correcto")))))))</f>
        <v/>
      </c>
    </row>
    <row r="25" spans="1:18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7"/>
      <c r="L25" s="27"/>
      <c r="M25" s="26"/>
      <c r="N25" s="26"/>
      <c r="O25" s="26"/>
      <c r="P25" s="26"/>
      <c r="Q25" s="26"/>
      <c r="R25" s="29" t="str">
        <f>IF(A25="","",IF(CONFIG!$B$26="No","▲ Módulo desactivado",IF(COUNTIFS(EVALUACION!$A$7:$A$3006,A25,EVALUACION!$B$7:$B$3006,B25)=0,"✖ Evaluación/paciente inconsistente",IF(C25="","✖ Medicamento sin nombre",IF(E25="","▲ Medicamento sin dosis",IF(AND(ISNUMBER(K25),ISNUMBER(L25),L25&lt;K25),"✖ Fecha término anterior",IF(AND(O25&lt;&gt;"",P25=""),"▲ Interacción sin fuente","✔ Correcto")))))))</f>
        <v/>
      </c>
    </row>
    <row r="26" spans="1:18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7"/>
      <c r="L26" s="27"/>
      <c r="M26" s="26"/>
      <c r="N26" s="26"/>
      <c r="O26" s="26"/>
      <c r="P26" s="26"/>
      <c r="Q26" s="26"/>
      <c r="R26" s="29" t="str">
        <f>IF(A26="","",IF(CONFIG!$B$26="No","▲ Módulo desactivado",IF(COUNTIFS(EVALUACION!$A$7:$A$3006,A26,EVALUACION!$B$7:$B$3006,B26)=0,"✖ Evaluación/paciente inconsistente",IF(C26="","✖ Medicamento sin nombre",IF(E26="","▲ Medicamento sin dosis",IF(AND(ISNUMBER(K26),ISNUMBER(L26),L26&lt;K26),"✖ Fecha término anterior",IF(AND(O26&lt;&gt;"",P26=""),"▲ Interacción sin fuente","✔ Correcto")))))))</f>
        <v/>
      </c>
    </row>
    <row r="27" spans="1:18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7"/>
      <c r="L27" s="27"/>
      <c r="M27" s="26"/>
      <c r="N27" s="26"/>
      <c r="O27" s="26"/>
      <c r="P27" s="26"/>
      <c r="Q27" s="26"/>
      <c r="R27" s="29" t="str">
        <f>IF(A27="","",IF(CONFIG!$B$26="No","▲ Módulo desactivado",IF(COUNTIFS(EVALUACION!$A$7:$A$3006,A27,EVALUACION!$B$7:$B$3006,B27)=0,"✖ Evaluación/paciente inconsistente",IF(C27="","✖ Medicamento sin nombre",IF(E27="","▲ Medicamento sin dosis",IF(AND(ISNUMBER(K27),ISNUMBER(L27),L27&lt;K27),"✖ Fecha término anterior",IF(AND(O27&lt;&gt;"",P27=""),"▲ Interacción sin fuente","✔ Correcto")))))))</f>
        <v/>
      </c>
    </row>
    <row r="28" spans="1:1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7"/>
      <c r="L28" s="27"/>
      <c r="M28" s="26"/>
      <c r="N28" s="26"/>
      <c r="O28" s="26"/>
      <c r="P28" s="26"/>
      <c r="Q28" s="26"/>
      <c r="R28" s="29" t="str">
        <f>IF(A28="","",IF(CONFIG!$B$26="No","▲ Módulo desactivado",IF(COUNTIFS(EVALUACION!$A$7:$A$3006,A28,EVALUACION!$B$7:$B$3006,B28)=0,"✖ Evaluación/paciente inconsistente",IF(C28="","✖ Medicamento sin nombre",IF(E28="","▲ Medicamento sin dosis",IF(AND(ISNUMBER(K28),ISNUMBER(L28),L28&lt;K28),"✖ Fecha término anterior",IF(AND(O28&lt;&gt;"",P28=""),"▲ Interacción sin fuente","✔ Correcto")))))))</f>
        <v/>
      </c>
    </row>
    <row r="29" spans="1:18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7"/>
      <c r="L29" s="27"/>
      <c r="M29" s="26"/>
      <c r="N29" s="26"/>
      <c r="O29" s="26"/>
      <c r="P29" s="26"/>
      <c r="Q29" s="26"/>
      <c r="R29" s="29" t="str">
        <f>IF(A29="","",IF(CONFIG!$B$26="No","▲ Módulo desactivado",IF(COUNTIFS(EVALUACION!$A$7:$A$3006,A29,EVALUACION!$B$7:$B$3006,B29)=0,"✖ Evaluación/paciente inconsistente",IF(C29="","✖ Medicamento sin nombre",IF(E29="","▲ Medicamento sin dosis",IF(AND(ISNUMBER(K29),ISNUMBER(L29),L29&lt;K29),"✖ Fecha término anterior",IF(AND(O29&lt;&gt;"",P29=""),"▲ Interacción sin fuente","✔ Correcto")))))))</f>
        <v/>
      </c>
    </row>
    <row r="30" spans="1:18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7"/>
      <c r="L30" s="27"/>
      <c r="M30" s="26"/>
      <c r="N30" s="26"/>
      <c r="O30" s="26"/>
      <c r="P30" s="26"/>
      <c r="Q30" s="26"/>
      <c r="R30" s="29" t="str">
        <f>IF(A30="","",IF(CONFIG!$B$26="No","▲ Módulo desactivado",IF(COUNTIFS(EVALUACION!$A$7:$A$3006,A30,EVALUACION!$B$7:$B$3006,B30)=0,"✖ Evaluación/paciente inconsistente",IF(C30="","✖ Medicamento sin nombre",IF(E30="","▲ Medicamento sin dosis",IF(AND(ISNUMBER(K30),ISNUMBER(L30),L30&lt;K30),"✖ Fecha término anterior",IF(AND(O30&lt;&gt;"",P30=""),"▲ Interacción sin fuente","✔ Correcto")))))))</f>
        <v/>
      </c>
    </row>
    <row r="31" spans="1:18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7"/>
      <c r="L31" s="27"/>
      <c r="M31" s="26"/>
      <c r="N31" s="26"/>
      <c r="O31" s="26"/>
      <c r="P31" s="26"/>
      <c r="Q31" s="26"/>
      <c r="R31" s="29" t="str">
        <f>IF(A31="","",IF(CONFIG!$B$26="No","▲ Módulo desactivado",IF(COUNTIFS(EVALUACION!$A$7:$A$3006,A31,EVALUACION!$B$7:$B$3006,B31)=0,"✖ Evaluación/paciente inconsistente",IF(C31="","✖ Medicamento sin nombre",IF(E31="","▲ Medicamento sin dosis",IF(AND(ISNUMBER(K31),ISNUMBER(L31),L31&lt;K31),"✖ Fecha término anterior",IF(AND(O31&lt;&gt;"",P31=""),"▲ Interacción sin fuente","✔ Correcto")))))))</f>
        <v/>
      </c>
    </row>
    <row r="32" spans="1:18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7"/>
      <c r="L32" s="27"/>
      <c r="M32" s="26"/>
      <c r="N32" s="26"/>
      <c r="O32" s="26"/>
      <c r="P32" s="26"/>
      <c r="Q32" s="26"/>
      <c r="R32" s="29" t="str">
        <f>IF(A32="","",IF(CONFIG!$B$26="No","▲ Módulo desactivado",IF(COUNTIFS(EVALUACION!$A$7:$A$36,A32,EVALUACION!$B$7:$B$36,B32)=0,"✖ Evaluación/paciente inconsistente",IF(C32="","✖ Medicamento sin nombre",IF(E32="","▲ Medicamento sin dosis",IF(AND(ISNUMBER(K32),ISNUMBER(L32),L32&lt;K32),"✖ Fecha término anterior",IF(AND(O32&lt;&gt;"",P32=""),"▲ Interacción sin fuente","✔ Correcto")))))))</f>
        <v/>
      </c>
    </row>
    <row r="33" spans="1:18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7"/>
      <c r="L33" s="27"/>
      <c r="M33" s="26"/>
      <c r="N33" s="26"/>
      <c r="O33" s="26"/>
      <c r="P33" s="26"/>
      <c r="Q33" s="26"/>
      <c r="R33" s="29" t="str">
        <f>IF(A33="","",IF(CONFIG!$B$26="No","▲ Módulo desactivado",IF(COUNTIFS(EVALUACION!$A$7:$A$36,A33,EVALUACION!$B$7:$B$36,B33)=0,"✖ Evaluación/paciente inconsistente",IF(C33="","✖ Medicamento sin nombre",IF(E33="","▲ Medicamento sin dosis",IF(AND(ISNUMBER(K33),ISNUMBER(L33),L33&lt;K33),"✖ Fecha término anterior",IF(AND(O33&lt;&gt;"",P33=""),"▲ Interacción sin fuente","✔ Correcto")))))))</f>
        <v/>
      </c>
    </row>
    <row r="34" spans="1:18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7"/>
      <c r="L34" s="27"/>
      <c r="M34" s="26"/>
      <c r="N34" s="26"/>
      <c r="O34" s="26"/>
      <c r="P34" s="26"/>
      <c r="Q34" s="26"/>
      <c r="R34" s="29" t="str">
        <f>IF(A34="","",IF(CONFIG!$B$26="No","▲ Módulo desactivado",IF(COUNTIFS(EVALUACION!$A$7:$A$36,A34,EVALUACION!$B$7:$B$36,B34)=0,"✖ Evaluación/paciente inconsistente",IF(C34="","✖ Medicamento sin nombre",IF(E34="","▲ Medicamento sin dosis",IF(AND(ISNUMBER(K34),ISNUMBER(L34),L34&lt;K34),"✖ Fecha término anterior",IF(AND(O34&lt;&gt;"",P34=""),"▲ Interacción sin fuente","✔ Correcto")))))))</f>
        <v/>
      </c>
    </row>
    <row r="35" spans="1:18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7"/>
      <c r="L35" s="27"/>
      <c r="M35" s="26"/>
      <c r="N35" s="26"/>
      <c r="O35" s="26"/>
      <c r="P35" s="26"/>
      <c r="Q35" s="26"/>
      <c r="R35" s="29" t="str">
        <f>IF(A35="","",IF(CONFIG!$B$26="No","▲ Módulo desactivado",IF(COUNTIFS(EVALUACION!$A$7:$A$36,A35,EVALUACION!$B$7:$B$36,B35)=0,"✖ Evaluación/paciente inconsistente",IF(C35="","✖ Medicamento sin nombre",IF(E35="","▲ Medicamento sin dosis",IF(AND(ISNUMBER(K35),ISNUMBER(L35),L35&lt;K35),"✖ Fecha término anterior",IF(AND(O35&lt;&gt;"",P35=""),"▲ Interacción sin fuente","✔ Correcto")))))))</f>
        <v/>
      </c>
    </row>
    <row r="36" spans="1:18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7"/>
      <c r="L36" s="27"/>
      <c r="M36" s="26"/>
      <c r="N36" s="26"/>
      <c r="O36" s="26"/>
      <c r="P36" s="26"/>
      <c r="Q36" s="26"/>
      <c r="R36" s="29" t="str">
        <f>IF(A36="","",IF(CONFIG!$B$26="No","▲ Módulo desactivado",IF(COUNTIFS(EVALUACION!$A$7:$A$36,A36,EVALUACION!$B$7:$B$36,B36)=0,"✖ Evaluación/paciente inconsistente",IF(C36="","✖ Medicamento sin nombre",IF(E36="","▲ Medicamento sin dosis",IF(AND(ISNUMBER(K36),ISNUMBER(L36),L36&lt;K36),"✖ Fecha término anterior",IF(AND(O36&lt;&gt;"",P36=""),"▲ Interacción sin fuente","✔ Correcto")))))))</f>
        <v/>
      </c>
    </row>
    <row r="310" spans="1:18" ht="19.5" customHeight="1">
      <c r="A310" s="12" t="s">
        <v>397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spans="1:18" ht="36" customHeight="1">
      <c r="A311" s="19" t="s">
        <v>128</v>
      </c>
      <c r="B311" s="19" t="s">
        <v>76</v>
      </c>
      <c r="C311" s="19" t="s">
        <v>398</v>
      </c>
      <c r="D311" s="19" t="s">
        <v>399</v>
      </c>
      <c r="E311" s="19" t="s">
        <v>381</v>
      </c>
      <c r="F311" s="19" t="s">
        <v>249</v>
      </c>
      <c r="G311" s="19" t="s">
        <v>282</v>
      </c>
      <c r="H311" s="19" t="s">
        <v>400</v>
      </c>
      <c r="I311" s="19" t="s">
        <v>401</v>
      </c>
      <c r="J311" s="19" t="s">
        <v>402</v>
      </c>
      <c r="K311" s="19" t="s">
        <v>178</v>
      </c>
      <c r="L311" s="19" t="s">
        <v>179</v>
      </c>
      <c r="M311" s="19" t="s">
        <v>386</v>
      </c>
      <c r="N311" s="19" t="s">
        <v>387</v>
      </c>
      <c r="O311" s="19" t="s">
        <v>98</v>
      </c>
      <c r="P311" s="19" t="s">
        <v>258</v>
      </c>
      <c r="Q311" s="19" t="s">
        <v>135</v>
      </c>
      <c r="R311" s="19" t="s">
        <v>99</v>
      </c>
    </row>
    <row r="312" spans="1:18" ht="24" customHeight="1">
      <c r="A312" s="26" t="s">
        <v>143</v>
      </c>
      <c r="B312" s="26" t="s">
        <v>100</v>
      </c>
      <c r="C312" s="26" t="s">
        <v>403</v>
      </c>
      <c r="D312" s="26" t="s">
        <v>404</v>
      </c>
      <c r="E312" s="26">
        <v>1</v>
      </c>
      <c r="F312" s="26" t="s">
        <v>262</v>
      </c>
      <c r="G312" s="26" t="s">
        <v>308</v>
      </c>
      <c r="H312" s="26"/>
      <c r="I312" s="26" t="s">
        <v>392</v>
      </c>
      <c r="J312" s="26" t="s">
        <v>116</v>
      </c>
      <c r="K312" s="27">
        <v>46054</v>
      </c>
      <c r="L312" s="27"/>
      <c r="M312" s="26"/>
      <c r="N312" s="26"/>
      <c r="O312" s="26" t="s">
        <v>110</v>
      </c>
      <c r="P312" s="26" t="s">
        <v>117</v>
      </c>
      <c r="Q312" s="26" t="s">
        <v>108</v>
      </c>
      <c r="R312" s="29" t="str">
        <f>IF(A312="","",IF(CONFIG!$B$27="No","▲ Módulo desactivado",IF(COUNTIFS(EVALUACION!$A$7:$A$36,A312,EVALUACION!$B$7:$B$36,B312)=0,"✖ Evaluación/paciente inconsistente",IF(C312="","✖ Suplemento sin producto",IF(E312="","▲ Suplemento sin dosis",IF(AND(ISNUMBER(K312),ISNUMBER(L312),L312&lt;K312),"✖ Fecha término anterior",IF(AND(M312&lt;&gt;"",N312=""),"▲ Interacción sin fuente","✔ Correcto")))))))</f>
        <v>✔ Correcto</v>
      </c>
    </row>
    <row r="313" spans="1:18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7"/>
      <c r="L313" s="27"/>
      <c r="M313" s="26"/>
      <c r="N313" s="26"/>
      <c r="O313" s="26"/>
      <c r="P313" s="26"/>
      <c r="Q313" s="26"/>
      <c r="R313" s="29" t="str">
        <f>IF(A313="","",IF(CONFIG!$B$27="No","▲ Módulo desactivado",IF(COUNTIFS(EVALUACION!$A$7:$A$36,A313,EVALUACION!$B$7:$B$36,B313)=0,"✖ Evaluación/paciente inconsistente",IF(C313="","✖ Suplemento sin producto",IF(E313="","▲ Suplemento sin dosis",IF(AND(ISNUMBER(K313),ISNUMBER(L313),L313&lt;K313),"✖ Fecha término anterior",IF(AND(M313&lt;&gt;"",N313=""),"▲ Interacción sin fuente","✔ Correcto")))))))</f>
        <v/>
      </c>
    </row>
    <row r="314" spans="1:18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7"/>
      <c r="L314" s="27"/>
      <c r="M314" s="26"/>
      <c r="N314" s="26"/>
      <c r="O314" s="26"/>
      <c r="P314" s="26"/>
      <c r="Q314" s="26"/>
      <c r="R314" s="29" t="str">
        <f>IF(A314="","",IF(CONFIG!$B$27="No","▲ Módulo desactivado",IF(COUNTIFS(EVALUACION!$A$7:$A$36,A314,EVALUACION!$B$7:$B$36,B314)=0,"✖ Evaluación/paciente inconsistente",IF(C314="","✖ Suplemento sin producto",IF(E314="","▲ Suplemento sin dosis",IF(AND(ISNUMBER(K314),ISNUMBER(L314),L314&lt;K314),"✖ Fecha término anterior",IF(AND(M314&lt;&gt;"",N314=""),"▲ Interacción sin fuente","✔ Correcto")))))))</f>
        <v/>
      </c>
    </row>
    <row r="315" spans="1:18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7"/>
      <c r="L315" s="27"/>
      <c r="M315" s="26"/>
      <c r="N315" s="26"/>
      <c r="O315" s="26"/>
      <c r="P315" s="26"/>
      <c r="Q315" s="26"/>
      <c r="R315" s="29" t="str">
        <f>IF(A315="","",IF(CONFIG!$B$27="No","▲ Módulo desactivado",IF(COUNTIFS(EVALUACION!$A$7:$A$36,A315,EVALUACION!$B$7:$B$36,B315)=0,"✖ Evaluación/paciente inconsistente",IF(C315="","✖ Suplemento sin producto",IF(E315="","▲ Suplemento sin dosis",IF(AND(ISNUMBER(K315),ISNUMBER(L315),L315&lt;K315),"✖ Fecha término anterior",IF(AND(M315&lt;&gt;"",N315=""),"▲ Interacción sin fuente","✔ Correcto")))))))</f>
        <v/>
      </c>
    </row>
    <row r="316" spans="1:18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7"/>
      <c r="L316" s="27"/>
      <c r="M316" s="26"/>
      <c r="N316" s="26"/>
      <c r="O316" s="26"/>
      <c r="P316" s="26"/>
      <c r="Q316" s="26"/>
      <c r="R316" s="29" t="str">
        <f>IF(A316="","",IF(CONFIG!$B$27="No","▲ Módulo desactivado",IF(COUNTIFS(EVALUACION!$A$7:$A$36,A316,EVALUACION!$B$7:$B$36,B316)=0,"✖ Evaluación/paciente inconsistente",IF(C316="","✖ Suplemento sin producto",IF(E316="","▲ Suplemento sin dosis",IF(AND(ISNUMBER(K316),ISNUMBER(L316),L316&lt;K316),"✖ Fecha término anterior",IF(AND(M316&lt;&gt;"",N316=""),"▲ Interacción sin fuente","✔ Correcto")))))))</f>
        <v/>
      </c>
    </row>
    <row r="317" spans="1:18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7"/>
      <c r="L317" s="27"/>
      <c r="M317" s="26"/>
      <c r="N317" s="26"/>
      <c r="O317" s="26"/>
      <c r="P317" s="26"/>
      <c r="Q317" s="26"/>
      <c r="R317" s="29" t="str">
        <f>IF(A317="","",IF(CONFIG!$B$27="No","▲ Módulo desactivado",IF(COUNTIFS(EVALUACION!$A$7:$A$36,A317,EVALUACION!$B$7:$B$36,B317)=0,"✖ Evaluación/paciente inconsistente",IF(C317="","✖ Suplemento sin producto",IF(E317="","▲ Suplemento sin dosis",IF(AND(ISNUMBER(K317),ISNUMBER(L317),L317&lt;K317),"✖ Fecha término anterior",IF(AND(M317&lt;&gt;"",N317=""),"▲ Interacción sin fuente","✔ Correcto")))))))</f>
        <v/>
      </c>
    </row>
    <row r="318" spans="1: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7"/>
      <c r="L318" s="27"/>
      <c r="M318" s="26"/>
      <c r="N318" s="26"/>
      <c r="O318" s="26"/>
      <c r="P318" s="26"/>
      <c r="Q318" s="26"/>
      <c r="R318" s="29" t="str">
        <f>IF(A318="","",IF(CONFIG!$B$27="No","▲ Módulo desactivado",IF(COUNTIFS(EVALUACION!$A$7:$A$36,A318,EVALUACION!$B$7:$B$36,B318)=0,"✖ Evaluación/paciente inconsistente",IF(C318="","✖ Suplemento sin producto",IF(E318="","▲ Suplemento sin dosis",IF(AND(ISNUMBER(K318),ISNUMBER(L318),L318&lt;K318),"✖ Fecha término anterior",IF(AND(M318&lt;&gt;"",N318=""),"▲ Interacción sin fuente","✔ Correcto")))))))</f>
        <v/>
      </c>
    </row>
    <row r="319" spans="1:18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7"/>
      <c r="L319" s="27"/>
      <c r="M319" s="26"/>
      <c r="N319" s="26"/>
      <c r="O319" s="26"/>
      <c r="P319" s="26"/>
      <c r="Q319" s="26"/>
      <c r="R319" s="29" t="str">
        <f>IF(A319="","",IF(CONFIG!$B$27="No","▲ Módulo desactivado",IF(COUNTIFS(EVALUACION!$A$7:$A$36,A319,EVALUACION!$B$7:$B$36,B319)=0,"✖ Evaluación/paciente inconsistente",IF(C319="","✖ Suplemento sin producto",IF(E319="","▲ Suplemento sin dosis",IF(AND(ISNUMBER(K319),ISNUMBER(L319),L319&lt;K319),"✖ Fecha término anterior",IF(AND(M319&lt;&gt;"",N319=""),"▲ Interacción sin fuente","✔ Correcto")))))))</f>
        <v/>
      </c>
    </row>
    <row r="320" spans="1:18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7"/>
      <c r="L320" s="27"/>
      <c r="M320" s="26"/>
      <c r="N320" s="26"/>
      <c r="O320" s="26"/>
      <c r="P320" s="26"/>
      <c r="Q320" s="26"/>
      <c r="R320" s="29" t="str">
        <f>IF(A320="","",IF(CONFIG!$B$27="No","▲ Módulo desactivado",IF(COUNTIFS(EVALUACION!$A$7:$A$36,A320,EVALUACION!$B$7:$B$36,B320)=0,"✖ Evaluación/paciente inconsistente",IF(C320="","✖ Suplemento sin producto",IF(E320="","▲ Suplemento sin dosis",IF(AND(ISNUMBER(K320),ISNUMBER(L320),L320&lt;K320),"✖ Fecha término anterior",IF(AND(M320&lt;&gt;"",N320=""),"▲ Interacción sin fuente","✔ Correcto")))))))</f>
        <v/>
      </c>
    </row>
    <row r="321" spans="1:18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7"/>
      <c r="L321" s="27"/>
      <c r="M321" s="26"/>
      <c r="N321" s="26"/>
      <c r="O321" s="26"/>
      <c r="P321" s="26"/>
      <c r="Q321" s="26"/>
      <c r="R321" s="29" t="str">
        <f>IF(A321="","",IF(CONFIG!$B$27="No","▲ Módulo desactivado",IF(COUNTIFS(EVALUACION!$A$7:$A$36,A321,EVALUACION!$B$7:$B$36,B321)=0,"✖ Evaluación/paciente inconsistente",IF(C321="","✖ Suplemento sin producto",IF(E321="","▲ Suplemento sin dosis",IF(AND(ISNUMBER(K321),ISNUMBER(L321),L321&lt;K321),"✖ Fecha término anterior",IF(AND(M321&lt;&gt;"",N321=""),"▲ Interacción sin fuente","✔ Correcto")))))))</f>
        <v/>
      </c>
    </row>
    <row r="322" spans="1:18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7"/>
      <c r="L322" s="27"/>
      <c r="M322" s="26"/>
      <c r="N322" s="26"/>
      <c r="O322" s="26"/>
      <c r="P322" s="26"/>
      <c r="Q322" s="26"/>
      <c r="R322" s="29" t="str">
        <f>IF(A322="","",IF(CONFIG!$B$27="No","▲ Módulo desactivado",IF(COUNTIFS(EVALUACION!$A$7:$A$36,A322,EVALUACION!$B$7:$B$36,B322)=0,"✖ Evaluación/paciente inconsistente",IF(C322="","✖ Suplemento sin producto",IF(E322="","▲ Suplemento sin dosis",IF(AND(ISNUMBER(K322),ISNUMBER(L322),L322&lt;K322),"✖ Fecha término anterior",IF(AND(M322&lt;&gt;"",N322=""),"▲ Interacción sin fuente","✔ Correcto")))))))</f>
        <v/>
      </c>
    </row>
    <row r="323" spans="1:18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7"/>
      <c r="L323" s="27"/>
      <c r="M323" s="26"/>
      <c r="N323" s="26"/>
      <c r="O323" s="26"/>
      <c r="P323" s="26"/>
      <c r="Q323" s="26"/>
      <c r="R323" s="29" t="str">
        <f>IF(A323="","",IF(CONFIG!$B$27="No","▲ Módulo desactivado",IF(COUNTIFS(EVALUACION!$A$7:$A$36,A323,EVALUACION!$B$7:$B$36,B323)=0,"✖ Evaluación/paciente inconsistente",IF(C323="","✖ Suplemento sin producto",IF(E323="","▲ Suplemento sin dosis",IF(AND(ISNUMBER(K323),ISNUMBER(L323),L323&lt;K323),"✖ Fecha término anterior",IF(AND(M323&lt;&gt;"",N323=""),"▲ Interacción sin fuente","✔ Correcto")))))))</f>
        <v/>
      </c>
    </row>
    <row r="324" spans="1:18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7"/>
      <c r="L324" s="27"/>
      <c r="M324" s="26"/>
      <c r="N324" s="26"/>
      <c r="O324" s="26"/>
      <c r="P324" s="26"/>
      <c r="Q324" s="26"/>
      <c r="R324" s="29" t="str">
        <f>IF(A324="","",IF(CONFIG!$B$27="No","▲ Módulo desactivado",IF(COUNTIFS(EVALUACION!$A$7:$A$36,A324,EVALUACION!$B$7:$B$36,B324)=0,"✖ Evaluación/paciente inconsistente",IF(C324="","✖ Suplemento sin producto",IF(E324="","▲ Suplemento sin dosis",IF(AND(ISNUMBER(K324),ISNUMBER(L324),L324&lt;K324),"✖ Fecha término anterior",IF(AND(M324&lt;&gt;"",N324=""),"▲ Interacción sin fuente","✔ Correcto")))))))</f>
        <v/>
      </c>
    </row>
    <row r="325" spans="1:18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7"/>
      <c r="L325" s="27"/>
      <c r="M325" s="26"/>
      <c r="N325" s="26"/>
      <c r="O325" s="26"/>
      <c r="P325" s="26"/>
      <c r="Q325" s="26"/>
      <c r="R325" s="29" t="str">
        <f>IF(A325="","",IF(CONFIG!$B$27="No","▲ Módulo desactivado",IF(COUNTIFS(EVALUACION!$A$7:$A$36,A325,EVALUACION!$B$7:$B$36,B325)=0,"✖ Evaluación/paciente inconsistente",IF(C325="","✖ Suplemento sin producto",IF(E325="","▲ Suplemento sin dosis",IF(AND(ISNUMBER(K325),ISNUMBER(L325),L325&lt;K325),"✖ Fecha término anterior",IF(AND(M325&lt;&gt;"",N325=""),"▲ Interacción sin fuente","✔ Correcto")))))))</f>
        <v/>
      </c>
    </row>
    <row r="326" spans="1:18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7"/>
      <c r="L326" s="27"/>
      <c r="M326" s="26"/>
      <c r="N326" s="26"/>
      <c r="O326" s="26"/>
      <c r="P326" s="26"/>
      <c r="Q326" s="26"/>
      <c r="R326" s="29" t="str">
        <f>IF(A326="","",IF(CONFIG!$B$27="No","▲ Módulo desactivado",IF(COUNTIFS(EVALUACION!$A$7:$A$36,A326,EVALUACION!$B$7:$B$36,B326)=0,"✖ Evaluación/paciente inconsistente",IF(C326="","✖ Suplemento sin producto",IF(E326="","▲ Suplemento sin dosis",IF(AND(ISNUMBER(K326),ISNUMBER(L326),L326&lt;K326),"✖ Fecha término anterior",IF(AND(M326&lt;&gt;"",N326=""),"▲ Interacción sin fuente","✔ Correcto")))))))</f>
        <v/>
      </c>
    </row>
    <row r="327" spans="1:18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7"/>
      <c r="L327" s="27"/>
      <c r="M327" s="26"/>
      <c r="N327" s="26"/>
      <c r="O327" s="26"/>
      <c r="P327" s="26"/>
      <c r="Q327" s="26"/>
      <c r="R327" s="29" t="str">
        <f>IF(A327="","",IF(CONFIG!$B$27="No","▲ Módulo desactivado",IF(COUNTIFS(EVALUACION!$A$7:$A$36,A327,EVALUACION!$B$7:$B$36,B327)=0,"✖ Evaluación/paciente inconsistente",IF(C327="","✖ Suplemento sin producto",IF(E327="","▲ Suplemento sin dosis",IF(AND(ISNUMBER(K327),ISNUMBER(L327),L327&lt;K327),"✖ Fecha término anterior",IF(AND(M327&lt;&gt;"",N327=""),"▲ Interacción sin fuente","✔ Correcto")))))))</f>
        <v/>
      </c>
    </row>
    <row r="328" spans="1:1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7"/>
      <c r="L328" s="27"/>
      <c r="M328" s="26"/>
      <c r="N328" s="26"/>
      <c r="O328" s="26"/>
      <c r="P328" s="26"/>
      <c r="Q328" s="26"/>
      <c r="R328" s="29" t="str">
        <f>IF(A328="","",IF(CONFIG!$B$27="No","▲ Módulo desactivado",IF(COUNTIFS(EVALUACION!$A$7:$A$36,A328,EVALUACION!$B$7:$B$36,B328)=0,"✖ Evaluación/paciente inconsistente",IF(C328="","✖ Suplemento sin producto",IF(E328="","▲ Suplemento sin dosis",IF(AND(ISNUMBER(K328),ISNUMBER(L328),L328&lt;K328),"✖ Fecha término anterior",IF(AND(M328&lt;&gt;"",N328=""),"▲ Interacción sin fuente","✔ Correcto")))))))</f>
        <v/>
      </c>
    </row>
    <row r="329" spans="1:18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7"/>
      <c r="L329" s="27"/>
      <c r="M329" s="26"/>
      <c r="N329" s="26"/>
      <c r="O329" s="26"/>
      <c r="P329" s="26"/>
      <c r="Q329" s="26"/>
      <c r="R329" s="29" t="str">
        <f>IF(A329="","",IF(CONFIG!$B$27="No","▲ Módulo desactivado",IF(COUNTIFS(EVALUACION!$A$7:$A$36,A329,EVALUACION!$B$7:$B$36,B329)=0,"✖ Evaluación/paciente inconsistente",IF(C329="","✖ Suplemento sin producto",IF(E329="","▲ Suplemento sin dosis",IF(AND(ISNUMBER(K329),ISNUMBER(L329),L329&lt;K329),"✖ Fecha término anterior",IF(AND(M329&lt;&gt;"",N329=""),"▲ Interacción sin fuente","✔ Correcto")))))))</f>
        <v/>
      </c>
    </row>
    <row r="330" spans="1:18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7"/>
      <c r="L330" s="27"/>
      <c r="M330" s="26"/>
      <c r="N330" s="26"/>
      <c r="O330" s="26"/>
      <c r="P330" s="26"/>
      <c r="Q330" s="26"/>
      <c r="R330" s="29" t="str">
        <f>IF(A330="","",IF(CONFIG!$B$27="No","▲ Módulo desactivado",IF(COUNTIFS(EVALUACION!$A$7:$A$36,A330,EVALUACION!$B$7:$B$36,B330)=0,"✖ Evaluación/paciente inconsistente",IF(C330="","✖ Suplemento sin producto",IF(E330="","▲ Suplemento sin dosis",IF(AND(ISNUMBER(K330),ISNUMBER(L330),L330&lt;K330),"✖ Fecha término anterior",IF(AND(M330&lt;&gt;"",N330=""),"▲ Interacción sin fuente","✔ Correcto")))))))</f>
        <v/>
      </c>
    </row>
    <row r="331" spans="1:18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7"/>
      <c r="L331" s="27"/>
      <c r="M331" s="26"/>
      <c r="N331" s="26"/>
      <c r="O331" s="26"/>
      <c r="P331" s="26"/>
      <c r="Q331" s="26"/>
      <c r="R331" s="29" t="str">
        <f>IF(A331="","",IF(CONFIG!$B$27="No","▲ Módulo desactivado",IF(COUNTIFS(EVALUACION!$A$7:$A$36,A331,EVALUACION!$B$7:$B$36,B331)=0,"✖ Evaluación/paciente inconsistente",IF(C331="","✖ Suplemento sin producto",IF(E331="","▲ Suplemento sin dosis",IF(AND(ISNUMBER(K331),ISNUMBER(L331),L331&lt;K331),"✖ Fecha término anterior",IF(AND(M331&lt;&gt;"",N331=""),"▲ Interacción sin fuente","✔ Correcto")))))))</f>
        <v/>
      </c>
    </row>
    <row r="332" spans="1:18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7"/>
      <c r="L332" s="27"/>
      <c r="M332" s="26"/>
      <c r="N332" s="26"/>
      <c r="O332" s="26"/>
      <c r="P332" s="26"/>
      <c r="Q332" s="26"/>
      <c r="R332" s="29" t="str">
        <f>IF(A332="","",IF(CONFIG!$B$27="No","▲ Módulo desactivado",IF(COUNTIFS(EVALUACION!$A$7:$A$36,A332,EVALUACION!$B$7:$B$36,B332)=0,"✖ Evaluación/paciente inconsistente",IF(C332="","✖ Suplemento sin producto",IF(E332="","▲ Suplemento sin dosis",IF(AND(ISNUMBER(K332),ISNUMBER(L332),L332&lt;K332),"✖ Fecha término anterior",IF(AND(M332&lt;&gt;"",N332=""),"▲ Interacción sin fuente","✔ Correcto")))))))</f>
        <v/>
      </c>
    </row>
    <row r="333" spans="1:18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7"/>
      <c r="L333" s="27"/>
      <c r="M333" s="26"/>
      <c r="N333" s="26"/>
      <c r="O333" s="26"/>
      <c r="P333" s="26"/>
      <c r="Q333" s="26"/>
      <c r="R333" s="29" t="str">
        <f>IF(A333="","",IF(CONFIG!$B$27="No","▲ Módulo desactivado",IF(COUNTIFS(EVALUACION!$A$7:$A$36,A333,EVALUACION!$B$7:$B$36,B333)=0,"✖ Evaluación/paciente inconsistente",IF(C333="","✖ Suplemento sin producto",IF(E333="","▲ Suplemento sin dosis",IF(AND(ISNUMBER(K333),ISNUMBER(L333),L333&lt;K333),"✖ Fecha término anterior",IF(AND(M333&lt;&gt;"",N333=""),"▲ Interacción sin fuente","✔ Correcto")))))))</f>
        <v/>
      </c>
    </row>
    <row r="334" spans="1:18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7"/>
      <c r="L334" s="27"/>
      <c r="M334" s="26"/>
      <c r="N334" s="26"/>
      <c r="O334" s="26"/>
      <c r="P334" s="26"/>
      <c r="Q334" s="26"/>
      <c r="R334" s="29" t="str">
        <f>IF(A334="","",IF(CONFIG!$B$27="No","▲ Módulo desactivado",IF(COUNTIFS(EVALUACION!$A$7:$A$36,A334,EVALUACION!$B$7:$B$36,B334)=0,"✖ Evaluación/paciente inconsistente",IF(C334="","✖ Suplemento sin producto",IF(E334="","▲ Suplemento sin dosis",IF(AND(ISNUMBER(K334),ISNUMBER(L334),L334&lt;K334),"✖ Fecha término anterior",IF(AND(M334&lt;&gt;"",N334=""),"▲ Interacción sin fuente","✔ Correcto")))))))</f>
        <v/>
      </c>
    </row>
    <row r="335" spans="1:18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7"/>
      <c r="L335" s="27"/>
      <c r="M335" s="26"/>
      <c r="N335" s="26"/>
      <c r="O335" s="26"/>
      <c r="P335" s="26"/>
      <c r="Q335" s="26"/>
      <c r="R335" s="29" t="str">
        <f>IF(A335="","",IF(CONFIG!$B$27="No","▲ Módulo desactivado",IF(COUNTIFS(EVALUACION!$A$7:$A$36,A335,EVALUACION!$B$7:$B$36,B335)=0,"✖ Evaluación/paciente inconsistente",IF(C335="","✖ Suplemento sin producto",IF(E335="","▲ Suplemento sin dosis",IF(AND(ISNUMBER(K335),ISNUMBER(L335),L335&lt;K335),"✖ Fecha término anterior",IF(AND(M335&lt;&gt;"",N335=""),"▲ Interacción sin fuente","✔ Correcto")))))))</f>
        <v/>
      </c>
    </row>
    <row r="336" spans="1:18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7"/>
      <c r="L336" s="27"/>
      <c r="M336" s="26"/>
      <c r="N336" s="26"/>
      <c r="O336" s="26"/>
      <c r="P336" s="26"/>
      <c r="Q336" s="26"/>
      <c r="R336" s="29" t="str">
        <f>IF(A336="","",IF(CONFIG!$B$27="No","▲ Módulo desactivado",IF(COUNTIFS(EVALUACION!$A$7:$A$36,A336,EVALUACION!$B$7:$B$36,B336)=0,"✖ Evaluación/paciente inconsistente",IF(C336="","✖ Suplemento sin producto",IF(E336="","▲ Suplemento sin dosis",IF(AND(ISNUMBER(K336),ISNUMBER(L336),L336&lt;K336),"✖ Fecha término anterior",IF(AND(M336&lt;&gt;"",N336=""),"▲ Interacción sin fuente","✔ Correcto")))))))</f>
        <v/>
      </c>
    </row>
    <row r="337" spans="1:18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7"/>
      <c r="L337" s="27"/>
      <c r="M337" s="26"/>
      <c r="N337" s="26"/>
      <c r="O337" s="26"/>
      <c r="P337" s="26"/>
      <c r="Q337" s="26"/>
      <c r="R337" s="29" t="str">
        <f>IF(A337="","",IF(CONFIG!$B$27="No","▲ Módulo desactivado",IF(COUNTIFS(EVALUACION!$A$7:$A$36,A337,EVALUACION!$B$7:$B$36,B337)=0,"✖ Evaluación/paciente inconsistente",IF(C337="","✖ Suplemento sin producto",IF(E337="","▲ Suplemento sin dosis",IF(AND(ISNUMBER(K337),ISNUMBER(L337),L337&lt;K337),"✖ Fecha término anterior",IF(AND(M337&lt;&gt;"",N337=""),"▲ Interacción sin fuente","✔ Correcto")))))))</f>
        <v/>
      </c>
    </row>
    <row r="338" spans="1:1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7"/>
      <c r="L338" s="27"/>
      <c r="M338" s="26"/>
      <c r="N338" s="26"/>
      <c r="O338" s="26"/>
      <c r="P338" s="26"/>
      <c r="Q338" s="26"/>
      <c r="R338" s="29" t="str">
        <f>IF(A338="","",IF(CONFIG!$B$27="No","▲ Módulo desactivado",IF(COUNTIFS(EVALUACION!$A$7:$A$36,A338,EVALUACION!$B$7:$B$36,B338)=0,"✖ Evaluación/paciente inconsistente",IF(C338="","✖ Suplemento sin producto",IF(E338="","▲ Suplemento sin dosis",IF(AND(ISNUMBER(K338),ISNUMBER(L338),L338&lt;K338),"✖ Fecha término anterior",IF(AND(M338&lt;&gt;"",N338=""),"▲ Interacción sin fuente","✔ Correcto")))))))</f>
        <v/>
      </c>
    </row>
    <row r="339" spans="1:18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7"/>
      <c r="L339" s="27"/>
      <c r="M339" s="26"/>
      <c r="N339" s="26"/>
      <c r="O339" s="26"/>
      <c r="P339" s="26"/>
      <c r="Q339" s="26"/>
      <c r="R339" s="29" t="str">
        <f>IF(A339="","",IF(CONFIG!$B$27="No","▲ Módulo desactivado",IF(COUNTIFS(EVALUACION!$A$7:$A$36,A339,EVALUACION!$B$7:$B$36,B339)=0,"✖ Evaluación/paciente inconsistente",IF(C339="","✖ Suplemento sin producto",IF(E339="","▲ Suplemento sin dosis",IF(AND(ISNUMBER(K339),ISNUMBER(L339),L339&lt;K339),"✖ Fecha término anterior",IF(AND(M339&lt;&gt;"",N339=""),"▲ Interacción sin fuente","✔ Correcto")))))))</f>
        <v/>
      </c>
    </row>
    <row r="340" spans="1:18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7"/>
      <c r="L340" s="27"/>
      <c r="M340" s="26"/>
      <c r="N340" s="26"/>
      <c r="O340" s="26"/>
      <c r="P340" s="26"/>
      <c r="Q340" s="26"/>
      <c r="R340" s="29" t="str">
        <f>IF(A340="","",IF(CONFIG!$B$27="No","▲ Módulo desactivado",IF(COUNTIFS(EVALUACION!$A$7:$A$36,A340,EVALUACION!$B$7:$B$36,B340)=0,"✖ Evaluación/paciente inconsistente",IF(C340="","✖ Suplemento sin producto",IF(E340="","▲ Suplemento sin dosis",IF(AND(ISNUMBER(K340),ISNUMBER(L340),L340&lt;K340),"✖ Fecha término anterior",IF(AND(M340&lt;&gt;"",N340=""),"▲ Interacción sin fuente","✔ Correcto")))))))</f>
        <v/>
      </c>
    </row>
    <row r="341" spans="1:18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7"/>
      <c r="L341" s="27"/>
      <c r="M341" s="26"/>
      <c r="N341" s="26"/>
      <c r="O341" s="26"/>
      <c r="P341" s="26"/>
      <c r="Q341" s="26"/>
      <c r="R341" s="29" t="str">
        <f>IF(A341="","",IF(CONFIG!$B$27="No","▲ Módulo desactivado",IF(COUNTIFS(EVALUACION!$A$7:$A$36,A341,EVALUACION!$B$7:$B$36,B341)=0,"✖ Evaluación/paciente inconsistente",IF(C341="","✖ Suplemento sin producto",IF(E341="","▲ Suplemento sin dosis",IF(AND(ISNUMBER(K341),ISNUMBER(L341),L341&lt;K341),"✖ Fecha término anterior",IF(AND(M341&lt;&gt;"",N341=""),"▲ Interacción sin fuente","✔ Correcto")))))))</f>
        <v/>
      </c>
    </row>
  </sheetData>
  <mergeCells count="4">
    <mergeCell ref="A1:R1"/>
    <mergeCell ref="A3:R3"/>
    <mergeCell ref="A5:R5"/>
    <mergeCell ref="A310:R310"/>
  </mergeCells>
  <conditionalFormatting sqref="R7:R36">
    <cfRule type="expression" dxfId="24" priority="2">
      <formula>LEFT(R7,1)="✖"</formula>
    </cfRule>
    <cfRule type="expression" dxfId="23" priority="3">
      <formula>LEFT(R7,1)="▲"</formula>
    </cfRule>
    <cfRule type="expression" dxfId="22" priority="4">
      <formula>LEFT(R7,1)="✔"</formula>
    </cfRule>
  </conditionalFormatting>
  <conditionalFormatting sqref="R312:R341">
    <cfRule type="expression" dxfId="21" priority="5">
      <formula>LEFT(R312,1)="✖"</formula>
    </cfRule>
    <cfRule type="expression" dxfId="20" priority="6">
      <formula>LEFT(R312,1)="▲"</formula>
    </cfRule>
    <cfRule type="expression" dxfId="19" priority="7">
      <formula>LEFT(R312,1)="✔"</formula>
    </cfRule>
  </conditionalFormatting>
  <dataValidations count="4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R7:R31" xr:uid="{00000000-0002-0000-0900-000000000000}">
      <formula1>0</formula1>
      <formula2>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100000. Los límites son operativos." sqref="E7:E36 E312:E341" xr:uid="{00000000-0002-0000-0900-000001000000}">
      <formula1>0</formula1>
      <formula2>100000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F7:F36 F312:F341" xr:uid="{00000000-0002-0000-0900-000002000000}">
      <formula1>Lista_Unidad</formula1>
      <formula2>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K7:L36 K312:L341" xr:uid="{00000000-0002-0000-0900-000003000000}">
      <formula1>DATE(1900,1,1)</formula1>
      <formula2>TODAY()+3650</formula2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6"/>
  <sheetViews>
    <sheetView showGridLines="0" workbookViewId="0">
      <selection sqref="A1:S1"/>
    </sheetView>
  </sheetViews>
  <sheetFormatPr baseColWidth="10" defaultColWidth="9" defaultRowHeight="15"/>
  <cols>
    <col min="1" max="2" width="14" style="15" customWidth="1"/>
    <col min="3" max="3" width="12" style="15" customWidth="1"/>
    <col min="4" max="4" width="16" style="15" customWidth="1"/>
    <col min="5" max="5" width="24" style="15" customWidth="1"/>
    <col min="6" max="7" width="28" style="15" customWidth="1"/>
    <col min="8" max="9" width="42" style="15" customWidth="1"/>
    <col min="10" max="10" width="12" style="15" customWidth="1"/>
    <col min="11" max="11" width="14" style="15" customWidth="1"/>
    <col min="12" max="12" width="24" style="15" customWidth="1"/>
    <col min="13" max="13" width="18" style="15" customWidth="1"/>
    <col min="14" max="14" width="12" style="15" customWidth="1"/>
    <col min="15" max="15" width="24" style="15" customWidth="1"/>
    <col min="16" max="16" width="12" style="15" customWidth="1"/>
    <col min="17" max="17" width="18" style="15" customWidth="1"/>
    <col min="18" max="18" width="34" style="15" customWidth="1"/>
    <col min="19" max="19" width="30" style="15" customWidth="1"/>
  </cols>
  <sheetData>
    <row r="1" spans="1:19" ht="27.75" customHeight="1">
      <c r="A1" s="14" t="s">
        <v>405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9" ht="30" customHeight="1">
      <c r="A3" s="8" t="s">
        <v>406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5" spans="1:19" ht="19.5" customHeight="1">
      <c r="A5" s="12" t="s">
        <v>407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36" customHeight="1">
      <c r="A6" s="19" t="s">
        <v>128</v>
      </c>
      <c r="B6" s="19" t="s">
        <v>76</v>
      </c>
      <c r="C6" s="19" t="s">
        <v>129</v>
      </c>
      <c r="D6" s="19" t="s">
        <v>408</v>
      </c>
      <c r="E6" s="19" t="s">
        <v>409</v>
      </c>
      <c r="F6" s="19" t="s">
        <v>410</v>
      </c>
      <c r="G6" s="19" t="s">
        <v>411</v>
      </c>
      <c r="H6" s="19" t="s">
        <v>412</v>
      </c>
      <c r="I6" s="19" t="s">
        <v>413</v>
      </c>
      <c r="J6" s="19" t="s">
        <v>414</v>
      </c>
      <c r="K6" s="19" t="s">
        <v>12</v>
      </c>
      <c r="L6" s="19" t="s">
        <v>415</v>
      </c>
      <c r="M6" s="19" t="s">
        <v>416</v>
      </c>
      <c r="N6" s="19" t="s">
        <v>417</v>
      </c>
      <c r="O6" s="19" t="s">
        <v>418</v>
      </c>
      <c r="P6" s="19" t="s">
        <v>77</v>
      </c>
      <c r="Q6" s="19" t="s">
        <v>135</v>
      </c>
      <c r="R6" s="19" t="s">
        <v>98</v>
      </c>
      <c r="S6" s="19" t="s">
        <v>99</v>
      </c>
    </row>
    <row r="7" spans="1:19" ht="24" customHeight="1">
      <c r="A7" s="26" t="s">
        <v>143</v>
      </c>
      <c r="B7" s="26" t="s">
        <v>100</v>
      </c>
      <c r="C7" s="27">
        <v>46174</v>
      </c>
      <c r="D7" s="26" t="s">
        <v>419</v>
      </c>
      <c r="E7" s="26" t="s">
        <v>420</v>
      </c>
      <c r="F7" s="26" t="s">
        <v>421</v>
      </c>
      <c r="G7" s="26" t="s">
        <v>422</v>
      </c>
      <c r="H7" s="28" t="str">
        <f t="shared" ref="H7:H36" si="0">IF(E7="","",E7&amp;IF(F7&lt;&gt;""," relacionado con "&amp;F7,"")&amp;IF(G7&lt;&gt;""," evidenciado por "&amp;G7,""))</f>
        <v>Problema ficticio A relacionado con Etiología ficticia A evidenciado por Signos ficticios A</v>
      </c>
      <c r="I7" s="26" t="s">
        <v>423</v>
      </c>
      <c r="J7" s="26" t="s">
        <v>150</v>
      </c>
      <c r="K7" s="26" t="s">
        <v>149</v>
      </c>
      <c r="L7" s="26" t="s">
        <v>424</v>
      </c>
      <c r="M7" s="26" t="s">
        <v>106</v>
      </c>
      <c r="N7" s="27"/>
      <c r="O7" s="26"/>
      <c r="P7" s="27">
        <v>46174</v>
      </c>
      <c r="Q7" s="26" t="s">
        <v>108</v>
      </c>
      <c r="R7" s="26" t="s">
        <v>110</v>
      </c>
      <c r="S7" s="29" t="str">
        <f>IF(A7="","",IF(COUNTIFS(EVALUACION!$A$7:$A$3006,A7,EVALUACION!$B$7:$B$3006,B7)=0,"✖ Evaluación/paciente inconsistente",IF(AND(K7="Revisado",E7=""),"✖ Revisado sin problema",IF(E7="","▲ Problema vacío",IF(F7="","▲ Etiología pendiente",IF(G7="","▲ Signos pendientes",IF(AND(K7="Cerrado",NOT(ISNUMBER(N7))),"▲ Cierre sin fecha","✔ Revisión profesional requerida")))))))</f>
        <v>✔ Revisión profesional requerida</v>
      </c>
    </row>
    <row r="8" spans="1:19" ht="24" customHeight="1">
      <c r="A8" s="26" t="s">
        <v>152</v>
      </c>
      <c r="B8" s="26" t="s">
        <v>111</v>
      </c>
      <c r="C8" s="27">
        <v>46143</v>
      </c>
      <c r="D8" s="26" t="s">
        <v>419</v>
      </c>
      <c r="E8" s="26" t="s">
        <v>425</v>
      </c>
      <c r="F8" s="26" t="s">
        <v>426</v>
      </c>
      <c r="G8" s="26" t="s">
        <v>427</v>
      </c>
      <c r="H8" s="28" t="str">
        <f t="shared" si="0"/>
        <v>Problema ficticio B relacionado con Etiología ficticia B evidenciado por Signos ficticios B</v>
      </c>
      <c r="I8" s="26" t="s">
        <v>428</v>
      </c>
      <c r="J8" s="26" t="s">
        <v>150</v>
      </c>
      <c r="K8" s="26" t="s">
        <v>101</v>
      </c>
      <c r="L8" s="26" t="s">
        <v>424</v>
      </c>
      <c r="M8" s="26" t="s">
        <v>106</v>
      </c>
      <c r="N8" s="27"/>
      <c r="O8" s="26"/>
      <c r="P8" s="27">
        <v>46143</v>
      </c>
      <c r="Q8" s="26" t="s">
        <v>108</v>
      </c>
      <c r="R8" s="26" t="s">
        <v>110</v>
      </c>
      <c r="S8" s="29" t="str">
        <f>IF(A8="","",IF(COUNTIFS(EVALUACION!$A$7:$A$3006,A8,EVALUACION!$B$7:$B$3006,B8)=0,"✖ Evaluación/paciente inconsistente",IF(AND(K8="Revisado",E8=""),"✖ Revisado sin problema",IF(E8="","▲ Problema vacío",IF(F8="","▲ Etiología pendiente",IF(G8="","▲ Signos pendientes",IF(AND(K8="Cerrado",NOT(ISNUMBER(N8))),"▲ Cierre sin fecha","✔ Revisión profesional requerida")))))))</f>
        <v>✔ Revisión profesional requerida</v>
      </c>
    </row>
    <row r="9" spans="1:19" ht="14.25" customHeight="1">
      <c r="A9" s="26"/>
      <c r="B9" s="26"/>
      <c r="C9" s="27"/>
      <c r="D9" s="26"/>
      <c r="E9" s="26"/>
      <c r="F9" s="26"/>
      <c r="G9" s="26"/>
      <c r="H9" s="29" t="str">
        <f t="shared" si="0"/>
        <v/>
      </c>
      <c r="I9" s="26"/>
      <c r="J9" s="26"/>
      <c r="K9" s="26"/>
      <c r="L9" s="26"/>
      <c r="M9" s="26"/>
      <c r="N9" s="27"/>
      <c r="O9" s="26"/>
      <c r="P9" s="27"/>
      <c r="Q9" s="26"/>
      <c r="R9" s="26"/>
      <c r="S9" s="29" t="str">
        <f>IF(A9="","",IF(COUNTIFS(EVALUACION!$A$7:$A$36,A9,EVALUACION!$B$7:$B$36,B9)=0,"✖ Evaluación/paciente inconsistente",IF(AND(K9="Revisado",E9=""),"✖ Revisado sin problema",IF(E9="","▲ Problema vacío",IF(F9="","▲ Etiología pendiente",IF(G9="","▲ Signos pendientes",IF(AND(K9="Cerrado",NOT(ISNUMBER(N9))),"▲ Cierre sin fecha","✔ Revisión profesional requerida")))))))</f>
        <v/>
      </c>
    </row>
    <row r="10" spans="1:19" ht="14.25" customHeight="1">
      <c r="A10" s="26"/>
      <c r="B10" s="26"/>
      <c r="C10" s="27"/>
      <c r="D10" s="26"/>
      <c r="E10" s="26"/>
      <c r="F10" s="26"/>
      <c r="G10" s="26"/>
      <c r="H10" s="29" t="str">
        <f t="shared" si="0"/>
        <v/>
      </c>
      <c r="I10" s="26"/>
      <c r="J10" s="26"/>
      <c r="K10" s="26"/>
      <c r="L10" s="26"/>
      <c r="M10" s="26"/>
      <c r="N10" s="27"/>
      <c r="O10" s="26"/>
      <c r="P10" s="27"/>
      <c r="Q10" s="26"/>
      <c r="R10" s="26"/>
      <c r="S10" s="29" t="str">
        <f>IF(A10="","",IF(COUNTIFS(EVALUACION!$A$7:$A$36,A10,EVALUACION!$B$7:$B$36,B10)=0,"✖ Evaluación/paciente inconsistente",IF(AND(K10="Revisado",E10=""),"✖ Revisado sin problema",IF(E10="","▲ Problema vacío",IF(F10="","▲ Etiología pendiente",IF(G10="","▲ Signos pendientes",IF(AND(K10="Cerrado",NOT(ISNUMBER(N10))),"▲ Cierre sin fecha","✔ Revisión profesional requerida")))))))</f>
        <v/>
      </c>
    </row>
    <row r="11" spans="1:19" ht="14.25" customHeight="1">
      <c r="A11" s="26"/>
      <c r="B11" s="26"/>
      <c r="C11" s="27"/>
      <c r="D11" s="26"/>
      <c r="E11" s="26"/>
      <c r="F11" s="26"/>
      <c r="G11" s="26"/>
      <c r="H11" s="29" t="str">
        <f t="shared" si="0"/>
        <v/>
      </c>
      <c r="I11" s="26"/>
      <c r="J11" s="26"/>
      <c r="K11" s="26"/>
      <c r="L11" s="26"/>
      <c r="M11" s="26"/>
      <c r="N11" s="27"/>
      <c r="O11" s="26"/>
      <c r="P11" s="27"/>
      <c r="Q11" s="26"/>
      <c r="R11" s="26"/>
      <c r="S11" s="29" t="str">
        <f>IF(A11="","",IF(COUNTIFS(EVALUACION!$A$7:$A$36,A11,EVALUACION!$B$7:$B$36,B11)=0,"✖ Evaluación/paciente inconsistente",IF(AND(K11="Revisado",E11=""),"✖ Revisado sin problema",IF(E11="","▲ Problema vacío",IF(F11="","▲ Etiología pendiente",IF(G11="","▲ Signos pendientes",IF(AND(K11="Cerrado",NOT(ISNUMBER(N11))),"▲ Cierre sin fecha","✔ Revisión profesional requerida")))))))</f>
        <v/>
      </c>
    </row>
    <row r="12" spans="1:19" ht="14.25" customHeight="1">
      <c r="A12" s="26"/>
      <c r="B12" s="26"/>
      <c r="C12" s="27"/>
      <c r="D12" s="26"/>
      <c r="E12" s="26"/>
      <c r="F12" s="26"/>
      <c r="G12" s="26"/>
      <c r="H12" s="29" t="str">
        <f t="shared" si="0"/>
        <v/>
      </c>
      <c r="I12" s="26"/>
      <c r="J12" s="26"/>
      <c r="K12" s="26"/>
      <c r="L12" s="26"/>
      <c r="M12" s="26"/>
      <c r="N12" s="27"/>
      <c r="O12" s="26"/>
      <c r="P12" s="27"/>
      <c r="Q12" s="26"/>
      <c r="R12" s="26"/>
      <c r="S12" s="29" t="str">
        <f>IF(A12="","",IF(COUNTIFS(EVALUACION!$A$7:$A$36,A12,EVALUACION!$B$7:$B$36,B12)=0,"✖ Evaluación/paciente inconsistente",IF(AND(K12="Revisado",E12=""),"✖ Revisado sin problema",IF(E12="","▲ Problema vacío",IF(F12="","▲ Etiología pendiente",IF(G12="","▲ Signos pendientes",IF(AND(K12="Cerrado",NOT(ISNUMBER(N12))),"▲ Cierre sin fecha","✔ Revisión profesional requerida")))))))</f>
        <v/>
      </c>
    </row>
    <row r="13" spans="1:19" ht="14.25" customHeight="1">
      <c r="A13" s="26"/>
      <c r="B13" s="26"/>
      <c r="C13" s="27"/>
      <c r="D13" s="26"/>
      <c r="E13" s="26"/>
      <c r="F13" s="26"/>
      <c r="G13" s="26"/>
      <c r="H13" s="29" t="str">
        <f t="shared" si="0"/>
        <v/>
      </c>
      <c r="I13" s="26"/>
      <c r="J13" s="26"/>
      <c r="K13" s="26"/>
      <c r="L13" s="26"/>
      <c r="M13" s="26"/>
      <c r="N13" s="27"/>
      <c r="O13" s="26"/>
      <c r="P13" s="27"/>
      <c r="Q13" s="26"/>
      <c r="R13" s="26"/>
      <c r="S13" s="29" t="str">
        <f>IF(A13="","",IF(COUNTIFS(EVALUACION!$A$7:$A$36,A13,EVALUACION!$B$7:$B$36,B13)=0,"✖ Evaluación/paciente inconsistente",IF(AND(K13="Revisado",E13=""),"✖ Revisado sin problema",IF(E13="","▲ Problema vacío",IF(F13="","▲ Etiología pendiente",IF(G13="","▲ Signos pendientes",IF(AND(K13="Cerrado",NOT(ISNUMBER(N13))),"▲ Cierre sin fecha","✔ Revisión profesional requerida")))))))</f>
        <v/>
      </c>
    </row>
    <row r="14" spans="1:19" ht="14.25" customHeight="1">
      <c r="A14" s="26"/>
      <c r="B14" s="26"/>
      <c r="C14" s="27"/>
      <c r="D14" s="26"/>
      <c r="E14" s="26"/>
      <c r="F14" s="26"/>
      <c r="G14" s="26"/>
      <c r="H14" s="29" t="str">
        <f t="shared" si="0"/>
        <v/>
      </c>
      <c r="I14" s="26"/>
      <c r="J14" s="26"/>
      <c r="K14" s="26"/>
      <c r="L14" s="26"/>
      <c r="M14" s="26"/>
      <c r="N14" s="27"/>
      <c r="O14" s="26"/>
      <c r="P14" s="27"/>
      <c r="Q14" s="26"/>
      <c r="R14" s="26"/>
      <c r="S14" s="29" t="str">
        <f>IF(A14="","",IF(COUNTIFS(EVALUACION!$A$7:$A$36,A14,EVALUACION!$B$7:$B$36,B14)=0,"✖ Evaluación/paciente inconsistente",IF(AND(K14="Revisado",E14=""),"✖ Revisado sin problema",IF(E14="","▲ Problema vacío",IF(F14="","▲ Etiología pendiente",IF(G14="","▲ Signos pendientes",IF(AND(K14="Cerrado",NOT(ISNUMBER(N14))),"▲ Cierre sin fecha","✔ Revisión profesional requerida")))))))</f>
        <v/>
      </c>
    </row>
    <row r="15" spans="1:19" ht="14.25" customHeight="1">
      <c r="A15" s="26"/>
      <c r="B15" s="26"/>
      <c r="C15" s="27"/>
      <c r="D15" s="26"/>
      <c r="E15" s="26"/>
      <c r="F15" s="26"/>
      <c r="G15" s="26"/>
      <c r="H15" s="29" t="str">
        <f t="shared" si="0"/>
        <v/>
      </c>
      <c r="I15" s="26"/>
      <c r="J15" s="26"/>
      <c r="K15" s="26"/>
      <c r="L15" s="26"/>
      <c r="M15" s="26"/>
      <c r="N15" s="27"/>
      <c r="O15" s="26"/>
      <c r="P15" s="27"/>
      <c r="Q15" s="26"/>
      <c r="R15" s="26"/>
      <c r="S15" s="29" t="str">
        <f>IF(A15="","",IF(COUNTIFS(EVALUACION!$A$7:$A$36,A15,EVALUACION!$B$7:$B$36,B15)=0,"✖ Evaluación/paciente inconsistente",IF(AND(K15="Revisado",E15=""),"✖ Revisado sin problema",IF(E15="","▲ Problema vacío",IF(F15="","▲ Etiología pendiente",IF(G15="","▲ Signos pendientes",IF(AND(K15="Cerrado",NOT(ISNUMBER(N15))),"▲ Cierre sin fecha","✔ Revisión profesional requerida")))))))</f>
        <v/>
      </c>
    </row>
    <row r="16" spans="1:19" ht="14.25" customHeight="1">
      <c r="A16" s="26"/>
      <c r="B16" s="26"/>
      <c r="C16" s="27"/>
      <c r="D16" s="26"/>
      <c r="E16" s="26"/>
      <c r="F16" s="26"/>
      <c r="G16" s="26"/>
      <c r="H16" s="29" t="str">
        <f t="shared" si="0"/>
        <v/>
      </c>
      <c r="I16" s="26"/>
      <c r="J16" s="26"/>
      <c r="K16" s="26"/>
      <c r="L16" s="26"/>
      <c r="M16" s="26"/>
      <c r="N16" s="27"/>
      <c r="O16" s="26"/>
      <c r="P16" s="27"/>
      <c r="Q16" s="26"/>
      <c r="R16" s="26"/>
      <c r="S16" s="29" t="str">
        <f>IF(A16="","",IF(COUNTIFS(EVALUACION!$A$7:$A$36,A16,EVALUACION!$B$7:$B$36,B16)=0,"✖ Evaluación/paciente inconsistente",IF(AND(K16="Revisado",E16=""),"✖ Revisado sin problema",IF(E16="","▲ Problema vacío",IF(F16="","▲ Etiología pendiente",IF(G16="","▲ Signos pendientes",IF(AND(K16="Cerrado",NOT(ISNUMBER(N16))),"▲ Cierre sin fecha","✔ Revisión profesional requerida")))))))</f>
        <v/>
      </c>
    </row>
    <row r="17" spans="1:19" ht="14.25" customHeight="1">
      <c r="A17" s="26"/>
      <c r="B17" s="26"/>
      <c r="C17" s="27"/>
      <c r="D17" s="26"/>
      <c r="E17" s="26"/>
      <c r="F17" s="26"/>
      <c r="G17" s="26"/>
      <c r="H17" s="29" t="str">
        <f t="shared" si="0"/>
        <v/>
      </c>
      <c r="I17" s="26"/>
      <c r="J17" s="26"/>
      <c r="K17" s="26"/>
      <c r="L17" s="26"/>
      <c r="M17" s="26"/>
      <c r="N17" s="27"/>
      <c r="O17" s="26"/>
      <c r="P17" s="27"/>
      <c r="Q17" s="26"/>
      <c r="R17" s="26"/>
      <c r="S17" s="29" t="str">
        <f>IF(A17="","",IF(COUNTIFS(EVALUACION!$A$7:$A$36,A17,EVALUACION!$B$7:$B$36,B17)=0,"✖ Evaluación/paciente inconsistente",IF(AND(K17="Revisado",E17=""),"✖ Revisado sin problema",IF(E17="","▲ Problema vacío",IF(F17="","▲ Etiología pendiente",IF(G17="","▲ Signos pendientes",IF(AND(K17="Cerrado",NOT(ISNUMBER(N17))),"▲ Cierre sin fecha","✔ Revisión profesional requerida")))))))</f>
        <v/>
      </c>
    </row>
    <row r="18" spans="1:19" ht="14.25" customHeight="1">
      <c r="A18" s="26"/>
      <c r="B18" s="26"/>
      <c r="C18" s="27"/>
      <c r="D18" s="26"/>
      <c r="E18" s="26"/>
      <c r="F18" s="26"/>
      <c r="G18" s="26"/>
      <c r="H18" s="29" t="str">
        <f t="shared" si="0"/>
        <v/>
      </c>
      <c r="I18" s="26"/>
      <c r="J18" s="26"/>
      <c r="K18" s="26"/>
      <c r="L18" s="26"/>
      <c r="M18" s="26"/>
      <c r="N18" s="27"/>
      <c r="O18" s="26"/>
      <c r="P18" s="27"/>
      <c r="Q18" s="26"/>
      <c r="R18" s="26"/>
      <c r="S18" s="29" t="str">
        <f>IF(A18="","",IF(COUNTIFS(EVALUACION!$A$7:$A$36,A18,EVALUACION!$B$7:$B$36,B18)=0,"✖ Evaluación/paciente inconsistente",IF(AND(K18="Revisado",E18=""),"✖ Revisado sin problema",IF(E18="","▲ Problema vacío",IF(F18="","▲ Etiología pendiente",IF(G18="","▲ Signos pendientes",IF(AND(K18="Cerrado",NOT(ISNUMBER(N18))),"▲ Cierre sin fecha","✔ Revisión profesional requerida")))))))</f>
        <v/>
      </c>
    </row>
    <row r="19" spans="1:19" ht="14.25" customHeight="1">
      <c r="A19" s="26"/>
      <c r="B19" s="26"/>
      <c r="C19" s="27"/>
      <c r="D19" s="26"/>
      <c r="E19" s="26"/>
      <c r="F19" s="26"/>
      <c r="G19" s="26"/>
      <c r="H19" s="29" t="str">
        <f t="shared" si="0"/>
        <v/>
      </c>
      <c r="I19" s="26"/>
      <c r="J19" s="26"/>
      <c r="K19" s="26"/>
      <c r="L19" s="26"/>
      <c r="M19" s="26"/>
      <c r="N19" s="27"/>
      <c r="O19" s="26"/>
      <c r="P19" s="27"/>
      <c r="Q19" s="26"/>
      <c r="R19" s="26"/>
      <c r="S19" s="29" t="str">
        <f>IF(A19="","",IF(COUNTIFS(EVALUACION!$A$7:$A$36,A19,EVALUACION!$B$7:$B$36,B19)=0,"✖ Evaluación/paciente inconsistente",IF(AND(K19="Revisado",E19=""),"✖ Revisado sin problema",IF(E19="","▲ Problema vacío",IF(F19="","▲ Etiología pendiente",IF(G19="","▲ Signos pendientes",IF(AND(K19="Cerrado",NOT(ISNUMBER(N19))),"▲ Cierre sin fecha","✔ Revisión profesional requerida")))))))</f>
        <v/>
      </c>
    </row>
    <row r="20" spans="1:19" ht="14.25" customHeight="1">
      <c r="A20" s="26"/>
      <c r="B20" s="26"/>
      <c r="C20" s="27"/>
      <c r="D20" s="26"/>
      <c r="E20" s="26"/>
      <c r="F20" s="26"/>
      <c r="G20" s="26"/>
      <c r="H20" s="29" t="str">
        <f t="shared" si="0"/>
        <v/>
      </c>
      <c r="I20" s="26"/>
      <c r="J20" s="26"/>
      <c r="K20" s="26"/>
      <c r="L20" s="26"/>
      <c r="M20" s="26"/>
      <c r="N20" s="27"/>
      <c r="O20" s="26"/>
      <c r="P20" s="27"/>
      <c r="Q20" s="26"/>
      <c r="R20" s="26"/>
      <c r="S20" s="29" t="str">
        <f>IF(A20="","",IF(COUNTIFS(EVALUACION!$A$7:$A$36,A20,EVALUACION!$B$7:$B$36,B20)=0,"✖ Evaluación/paciente inconsistente",IF(AND(K20="Revisado",E20=""),"✖ Revisado sin problema",IF(E20="","▲ Problema vacío",IF(F20="","▲ Etiología pendiente",IF(G20="","▲ Signos pendientes",IF(AND(K20="Cerrado",NOT(ISNUMBER(N20))),"▲ Cierre sin fecha","✔ Revisión profesional requerida")))))))</f>
        <v/>
      </c>
    </row>
    <row r="21" spans="1:19" ht="14.25" customHeight="1">
      <c r="A21" s="26"/>
      <c r="B21" s="26"/>
      <c r="C21" s="27"/>
      <c r="D21" s="26"/>
      <c r="E21" s="26"/>
      <c r="F21" s="26"/>
      <c r="G21" s="26"/>
      <c r="H21" s="29" t="str">
        <f t="shared" si="0"/>
        <v/>
      </c>
      <c r="I21" s="26"/>
      <c r="J21" s="26"/>
      <c r="K21" s="26"/>
      <c r="L21" s="26"/>
      <c r="M21" s="26"/>
      <c r="N21" s="27"/>
      <c r="O21" s="26"/>
      <c r="P21" s="27"/>
      <c r="Q21" s="26"/>
      <c r="R21" s="26"/>
      <c r="S21" s="29" t="str">
        <f>IF(A21="","",IF(COUNTIFS(EVALUACION!$A$7:$A$36,A21,EVALUACION!$B$7:$B$36,B21)=0,"✖ Evaluación/paciente inconsistente",IF(AND(K21="Revisado",E21=""),"✖ Revisado sin problema",IF(E21="","▲ Problema vacío",IF(F21="","▲ Etiología pendiente",IF(G21="","▲ Signos pendientes",IF(AND(K21="Cerrado",NOT(ISNUMBER(N21))),"▲ Cierre sin fecha","✔ Revisión profesional requerida")))))))</f>
        <v/>
      </c>
    </row>
    <row r="22" spans="1:19" ht="14.25" customHeight="1">
      <c r="A22" s="26"/>
      <c r="B22" s="26"/>
      <c r="C22" s="27"/>
      <c r="D22" s="26"/>
      <c r="E22" s="26"/>
      <c r="F22" s="26"/>
      <c r="G22" s="26"/>
      <c r="H22" s="29" t="str">
        <f t="shared" si="0"/>
        <v/>
      </c>
      <c r="I22" s="26"/>
      <c r="J22" s="26"/>
      <c r="K22" s="26"/>
      <c r="L22" s="26"/>
      <c r="M22" s="26"/>
      <c r="N22" s="27"/>
      <c r="O22" s="26"/>
      <c r="P22" s="27"/>
      <c r="Q22" s="26"/>
      <c r="R22" s="26"/>
      <c r="S22" s="29" t="str">
        <f>IF(A22="","",IF(COUNTIFS(EVALUACION!$A$7:$A$36,A22,EVALUACION!$B$7:$B$36,B22)=0,"✖ Evaluación/paciente inconsistente",IF(AND(K22="Revisado",E22=""),"✖ Revisado sin problema",IF(E22="","▲ Problema vacío",IF(F22="","▲ Etiología pendiente",IF(G22="","▲ Signos pendientes",IF(AND(K22="Cerrado",NOT(ISNUMBER(N22))),"▲ Cierre sin fecha","✔ Revisión profesional requerida")))))))</f>
        <v/>
      </c>
    </row>
    <row r="23" spans="1:19" ht="14.25" customHeight="1">
      <c r="A23" s="26"/>
      <c r="B23" s="26"/>
      <c r="C23" s="27"/>
      <c r="D23" s="26"/>
      <c r="E23" s="26"/>
      <c r="F23" s="26"/>
      <c r="G23" s="26"/>
      <c r="H23" s="29" t="str">
        <f t="shared" si="0"/>
        <v/>
      </c>
      <c r="I23" s="26"/>
      <c r="J23" s="26"/>
      <c r="K23" s="26"/>
      <c r="L23" s="26"/>
      <c r="M23" s="26"/>
      <c r="N23" s="27"/>
      <c r="O23" s="26"/>
      <c r="P23" s="27"/>
      <c r="Q23" s="26"/>
      <c r="R23" s="26"/>
      <c r="S23" s="29" t="str">
        <f>IF(A23="","",IF(COUNTIFS(EVALUACION!$A$7:$A$36,A23,EVALUACION!$B$7:$B$36,B23)=0,"✖ Evaluación/paciente inconsistente",IF(AND(K23="Revisado",E23=""),"✖ Revisado sin problema",IF(E23="","▲ Problema vacío",IF(F23="","▲ Etiología pendiente",IF(G23="","▲ Signos pendientes",IF(AND(K23="Cerrado",NOT(ISNUMBER(N23))),"▲ Cierre sin fecha","✔ Revisión profesional requerida")))))))</f>
        <v/>
      </c>
    </row>
    <row r="24" spans="1:19" ht="14.25" customHeight="1">
      <c r="A24" s="26"/>
      <c r="B24" s="26"/>
      <c r="C24" s="27"/>
      <c r="D24" s="26"/>
      <c r="E24" s="26"/>
      <c r="F24" s="26"/>
      <c r="G24" s="26"/>
      <c r="H24" s="29" t="str">
        <f t="shared" si="0"/>
        <v/>
      </c>
      <c r="I24" s="26"/>
      <c r="J24" s="26"/>
      <c r="K24" s="26"/>
      <c r="L24" s="26"/>
      <c r="M24" s="26"/>
      <c r="N24" s="27"/>
      <c r="O24" s="26"/>
      <c r="P24" s="27"/>
      <c r="Q24" s="26"/>
      <c r="R24" s="26"/>
      <c r="S24" s="29" t="str">
        <f>IF(A24="","",IF(COUNTIFS(EVALUACION!$A$7:$A$36,A24,EVALUACION!$B$7:$B$36,B24)=0,"✖ Evaluación/paciente inconsistente",IF(AND(K24="Revisado",E24=""),"✖ Revisado sin problema",IF(E24="","▲ Problema vacío",IF(F24="","▲ Etiología pendiente",IF(G24="","▲ Signos pendientes",IF(AND(K24="Cerrado",NOT(ISNUMBER(N24))),"▲ Cierre sin fecha","✔ Revisión profesional requerida")))))))</f>
        <v/>
      </c>
    </row>
    <row r="25" spans="1:19" ht="14.25" customHeight="1">
      <c r="A25" s="26"/>
      <c r="B25" s="26"/>
      <c r="C25" s="27"/>
      <c r="D25" s="26"/>
      <c r="E25" s="26"/>
      <c r="F25" s="26"/>
      <c r="G25" s="26"/>
      <c r="H25" s="29" t="str">
        <f t="shared" si="0"/>
        <v/>
      </c>
      <c r="I25" s="26"/>
      <c r="J25" s="26"/>
      <c r="K25" s="26"/>
      <c r="L25" s="26"/>
      <c r="M25" s="26"/>
      <c r="N25" s="27"/>
      <c r="O25" s="26"/>
      <c r="P25" s="27"/>
      <c r="Q25" s="26"/>
      <c r="R25" s="26"/>
      <c r="S25" s="29" t="str">
        <f>IF(A25="","",IF(COUNTIFS(EVALUACION!$A$7:$A$36,A25,EVALUACION!$B$7:$B$36,B25)=0,"✖ Evaluación/paciente inconsistente",IF(AND(K25="Revisado",E25=""),"✖ Revisado sin problema",IF(E25="","▲ Problema vacío",IF(F25="","▲ Etiología pendiente",IF(G25="","▲ Signos pendientes",IF(AND(K25="Cerrado",NOT(ISNUMBER(N25))),"▲ Cierre sin fecha","✔ Revisión profesional requerida")))))))</f>
        <v/>
      </c>
    </row>
    <row r="26" spans="1:19" ht="14.25" customHeight="1">
      <c r="A26" s="26"/>
      <c r="B26" s="26"/>
      <c r="C26" s="27"/>
      <c r="D26" s="26"/>
      <c r="E26" s="26"/>
      <c r="F26" s="26"/>
      <c r="G26" s="26"/>
      <c r="H26" s="29" t="str">
        <f t="shared" si="0"/>
        <v/>
      </c>
      <c r="I26" s="26"/>
      <c r="J26" s="26"/>
      <c r="K26" s="26"/>
      <c r="L26" s="26"/>
      <c r="M26" s="26"/>
      <c r="N26" s="27"/>
      <c r="O26" s="26"/>
      <c r="P26" s="27"/>
      <c r="Q26" s="26"/>
      <c r="R26" s="26"/>
      <c r="S26" s="29" t="str">
        <f>IF(A26="","",IF(COUNTIFS(EVALUACION!$A$7:$A$36,A26,EVALUACION!$B$7:$B$36,B26)=0,"✖ Evaluación/paciente inconsistente",IF(AND(K26="Revisado",E26=""),"✖ Revisado sin problema",IF(E26="","▲ Problema vacío",IF(F26="","▲ Etiología pendiente",IF(G26="","▲ Signos pendientes",IF(AND(K26="Cerrado",NOT(ISNUMBER(N26))),"▲ Cierre sin fecha","✔ Revisión profesional requerida")))))))</f>
        <v/>
      </c>
    </row>
    <row r="27" spans="1:19" ht="14.25" customHeight="1">
      <c r="A27" s="26"/>
      <c r="B27" s="26"/>
      <c r="C27" s="27"/>
      <c r="D27" s="26"/>
      <c r="E27" s="26"/>
      <c r="F27" s="26"/>
      <c r="G27" s="26"/>
      <c r="H27" s="29" t="str">
        <f t="shared" si="0"/>
        <v/>
      </c>
      <c r="I27" s="26"/>
      <c r="J27" s="26"/>
      <c r="K27" s="26"/>
      <c r="L27" s="26"/>
      <c r="M27" s="26"/>
      <c r="N27" s="27"/>
      <c r="O27" s="26"/>
      <c r="P27" s="27"/>
      <c r="Q27" s="26"/>
      <c r="R27" s="26"/>
      <c r="S27" s="29" t="str">
        <f>IF(A27="","",IF(COUNTIFS(EVALUACION!$A$7:$A$36,A27,EVALUACION!$B$7:$B$36,B27)=0,"✖ Evaluación/paciente inconsistente",IF(AND(K27="Revisado",E27=""),"✖ Revisado sin problema",IF(E27="","▲ Problema vacío",IF(F27="","▲ Etiología pendiente",IF(G27="","▲ Signos pendientes",IF(AND(K27="Cerrado",NOT(ISNUMBER(N27))),"▲ Cierre sin fecha","✔ Revisión profesional requerida")))))))</f>
        <v/>
      </c>
    </row>
    <row r="28" spans="1:19" ht="14.25" customHeight="1">
      <c r="A28" s="26"/>
      <c r="B28" s="26"/>
      <c r="C28" s="27"/>
      <c r="D28" s="26"/>
      <c r="E28" s="26"/>
      <c r="F28" s="26"/>
      <c r="G28" s="26"/>
      <c r="H28" s="29" t="str">
        <f t="shared" si="0"/>
        <v/>
      </c>
      <c r="I28" s="26"/>
      <c r="J28" s="26"/>
      <c r="K28" s="26"/>
      <c r="L28" s="26"/>
      <c r="M28" s="26"/>
      <c r="N28" s="27"/>
      <c r="O28" s="26"/>
      <c r="P28" s="27"/>
      <c r="Q28" s="26"/>
      <c r="R28" s="26"/>
      <c r="S28" s="29" t="str">
        <f>IF(A28="","",IF(COUNTIFS(EVALUACION!$A$7:$A$36,A28,EVALUACION!$B$7:$B$36,B28)=0,"✖ Evaluación/paciente inconsistente",IF(AND(K28="Revisado",E28=""),"✖ Revisado sin problema",IF(E28="","▲ Problema vacío",IF(F28="","▲ Etiología pendiente",IF(G28="","▲ Signos pendientes",IF(AND(K28="Cerrado",NOT(ISNUMBER(N28))),"▲ Cierre sin fecha","✔ Revisión profesional requerida")))))))</f>
        <v/>
      </c>
    </row>
    <row r="29" spans="1:19" ht="14.25" customHeight="1">
      <c r="A29" s="26"/>
      <c r="B29" s="26"/>
      <c r="C29" s="27"/>
      <c r="D29" s="26"/>
      <c r="E29" s="26"/>
      <c r="F29" s="26"/>
      <c r="G29" s="26"/>
      <c r="H29" s="29" t="str">
        <f t="shared" si="0"/>
        <v/>
      </c>
      <c r="I29" s="26"/>
      <c r="J29" s="26"/>
      <c r="K29" s="26"/>
      <c r="L29" s="26"/>
      <c r="M29" s="26"/>
      <c r="N29" s="27"/>
      <c r="O29" s="26"/>
      <c r="P29" s="27"/>
      <c r="Q29" s="26"/>
      <c r="R29" s="26"/>
      <c r="S29" s="29" t="str">
        <f>IF(A29="","",IF(COUNTIFS(EVALUACION!$A$7:$A$36,A29,EVALUACION!$B$7:$B$36,B29)=0,"✖ Evaluación/paciente inconsistente",IF(AND(K29="Revisado",E29=""),"✖ Revisado sin problema",IF(E29="","▲ Problema vacío",IF(F29="","▲ Etiología pendiente",IF(G29="","▲ Signos pendientes",IF(AND(K29="Cerrado",NOT(ISNUMBER(N29))),"▲ Cierre sin fecha","✔ Revisión profesional requerida")))))))</f>
        <v/>
      </c>
    </row>
    <row r="30" spans="1:19" ht="14.25" customHeight="1">
      <c r="A30" s="26"/>
      <c r="B30" s="26"/>
      <c r="C30" s="27"/>
      <c r="D30" s="26"/>
      <c r="E30" s="26"/>
      <c r="F30" s="26"/>
      <c r="G30" s="26"/>
      <c r="H30" s="29" t="str">
        <f t="shared" si="0"/>
        <v/>
      </c>
      <c r="I30" s="26"/>
      <c r="J30" s="26"/>
      <c r="K30" s="26"/>
      <c r="L30" s="26"/>
      <c r="M30" s="26"/>
      <c r="N30" s="27"/>
      <c r="O30" s="26"/>
      <c r="P30" s="27"/>
      <c r="Q30" s="26"/>
      <c r="R30" s="26"/>
      <c r="S30" s="29" t="str">
        <f>IF(A30="","",IF(COUNTIFS(EVALUACION!$A$7:$A$36,A30,EVALUACION!$B$7:$B$36,B30)=0,"✖ Evaluación/paciente inconsistente",IF(AND(K30="Revisado",E30=""),"✖ Revisado sin problema",IF(E30="","▲ Problema vacío",IF(F30="","▲ Etiología pendiente",IF(G30="","▲ Signos pendientes",IF(AND(K30="Cerrado",NOT(ISNUMBER(N30))),"▲ Cierre sin fecha","✔ Revisión profesional requerida")))))))</f>
        <v/>
      </c>
    </row>
    <row r="31" spans="1:19" ht="14.25" customHeight="1">
      <c r="A31" s="26"/>
      <c r="B31" s="26"/>
      <c r="C31" s="27"/>
      <c r="D31" s="26"/>
      <c r="E31" s="26"/>
      <c r="F31" s="26"/>
      <c r="G31" s="26"/>
      <c r="H31" s="29" t="str">
        <f t="shared" si="0"/>
        <v/>
      </c>
      <c r="I31" s="26"/>
      <c r="J31" s="26"/>
      <c r="K31" s="26"/>
      <c r="L31" s="26"/>
      <c r="M31" s="26"/>
      <c r="N31" s="27"/>
      <c r="O31" s="26"/>
      <c r="P31" s="27"/>
      <c r="Q31" s="26"/>
      <c r="R31" s="26"/>
      <c r="S31" s="29" t="str">
        <f>IF(A31="","",IF(COUNTIFS(EVALUACION!$A$7:$A$36,A31,EVALUACION!$B$7:$B$36,B31)=0,"✖ Evaluación/paciente inconsistente",IF(AND(K31="Revisado",E31=""),"✖ Revisado sin problema",IF(E31="","▲ Problema vacío",IF(F31="","▲ Etiología pendiente",IF(G31="","▲ Signos pendientes",IF(AND(K31="Cerrado",NOT(ISNUMBER(N31))),"▲ Cierre sin fecha","✔ Revisión profesional requerida")))))))</f>
        <v/>
      </c>
    </row>
    <row r="32" spans="1:19" ht="14.25" customHeight="1">
      <c r="A32" s="26"/>
      <c r="B32" s="26"/>
      <c r="C32" s="27"/>
      <c r="D32" s="26"/>
      <c r="E32" s="26"/>
      <c r="F32" s="26"/>
      <c r="G32" s="26"/>
      <c r="H32" s="29" t="str">
        <f t="shared" si="0"/>
        <v/>
      </c>
      <c r="I32" s="26"/>
      <c r="J32" s="26"/>
      <c r="K32" s="26"/>
      <c r="L32" s="26"/>
      <c r="M32" s="26"/>
      <c r="N32" s="27"/>
      <c r="O32" s="26"/>
      <c r="P32" s="27"/>
      <c r="Q32" s="26"/>
      <c r="R32" s="26"/>
      <c r="S32" s="29" t="str">
        <f>IF(A32="","",IF(COUNTIFS(EVALUACION!$A$7:$A$36,A32,EVALUACION!$B$7:$B$36,B32)=0,"✖ Evaluación/paciente inconsistente",IF(AND(K32="Revisado",E32=""),"✖ Revisado sin problema",IF(E32="","▲ Problema vacío",IF(F32="","▲ Etiología pendiente",IF(G32="","▲ Signos pendientes",IF(AND(K32="Cerrado",NOT(ISNUMBER(N32))),"▲ Cierre sin fecha","✔ Revisión profesional requerida")))))))</f>
        <v/>
      </c>
    </row>
    <row r="33" spans="1:19" ht="14.25" customHeight="1">
      <c r="A33" s="26"/>
      <c r="B33" s="26"/>
      <c r="C33" s="27"/>
      <c r="D33" s="26"/>
      <c r="E33" s="26"/>
      <c r="F33" s="26"/>
      <c r="G33" s="26"/>
      <c r="H33" s="29" t="str">
        <f t="shared" si="0"/>
        <v/>
      </c>
      <c r="I33" s="26"/>
      <c r="J33" s="26"/>
      <c r="K33" s="26"/>
      <c r="L33" s="26"/>
      <c r="M33" s="26"/>
      <c r="N33" s="27"/>
      <c r="O33" s="26"/>
      <c r="P33" s="27"/>
      <c r="Q33" s="26"/>
      <c r="R33" s="26"/>
      <c r="S33" s="29" t="str">
        <f>IF(A33="","",IF(COUNTIFS(EVALUACION!$A$7:$A$36,A33,EVALUACION!$B$7:$B$36,B33)=0,"✖ Evaluación/paciente inconsistente",IF(AND(K33="Revisado",E33=""),"✖ Revisado sin problema",IF(E33="","▲ Problema vacío",IF(F33="","▲ Etiología pendiente",IF(G33="","▲ Signos pendientes",IF(AND(K33="Cerrado",NOT(ISNUMBER(N33))),"▲ Cierre sin fecha","✔ Revisión profesional requerida")))))))</f>
        <v/>
      </c>
    </row>
    <row r="34" spans="1:19" ht="14.25" customHeight="1">
      <c r="A34" s="26"/>
      <c r="B34" s="26"/>
      <c r="C34" s="27"/>
      <c r="D34" s="26"/>
      <c r="E34" s="26"/>
      <c r="F34" s="26"/>
      <c r="G34" s="26"/>
      <c r="H34" s="29" t="str">
        <f t="shared" si="0"/>
        <v/>
      </c>
      <c r="I34" s="26"/>
      <c r="J34" s="26"/>
      <c r="K34" s="26"/>
      <c r="L34" s="26"/>
      <c r="M34" s="26"/>
      <c r="N34" s="27"/>
      <c r="O34" s="26"/>
      <c r="P34" s="27"/>
      <c r="Q34" s="26"/>
      <c r="R34" s="26"/>
      <c r="S34" s="29" t="str">
        <f>IF(A34="","",IF(COUNTIFS(EVALUACION!$A$7:$A$36,A34,EVALUACION!$B$7:$B$36,B34)=0,"✖ Evaluación/paciente inconsistente",IF(AND(K34="Revisado",E34=""),"✖ Revisado sin problema",IF(E34="","▲ Problema vacío",IF(F34="","▲ Etiología pendiente",IF(G34="","▲ Signos pendientes",IF(AND(K34="Cerrado",NOT(ISNUMBER(N34))),"▲ Cierre sin fecha","✔ Revisión profesional requerida")))))))</f>
        <v/>
      </c>
    </row>
    <row r="35" spans="1:19" ht="14.25" customHeight="1">
      <c r="A35" s="26"/>
      <c r="B35" s="26"/>
      <c r="C35" s="27"/>
      <c r="D35" s="26"/>
      <c r="E35" s="26"/>
      <c r="F35" s="26"/>
      <c r="G35" s="26"/>
      <c r="H35" s="29" t="str">
        <f t="shared" si="0"/>
        <v/>
      </c>
      <c r="I35" s="26"/>
      <c r="J35" s="26"/>
      <c r="K35" s="26"/>
      <c r="L35" s="26"/>
      <c r="M35" s="26"/>
      <c r="N35" s="27"/>
      <c r="O35" s="26"/>
      <c r="P35" s="27"/>
      <c r="Q35" s="26"/>
      <c r="R35" s="26"/>
      <c r="S35" s="29" t="str">
        <f>IF(A35="","",IF(COUNTIFS(EVALUACION!$A$7:$A$36,A35,EVALUACION!$B$7:$B$36,B35)=0,"✖ Evaluación/paciente inconsistente",IF(AND(K35="Revisado",E35=""),"✖ Revisado sin problema",IF(E35="","▲ Problema vacío",IF(F35="","▲ Etiología pendiente",IF(G35="","▲ Signos pendientes",IF(AND(K35="Cerrado",NOT(ISNUMBER(N35))),"▲ Cierre sin fecha","✔ Revisión profesional requerida")))))))</f>
        <v/>
      </c>
    </row>
    <row r="36" spans="1:19" ht="14.25" customHeight="1">
      <c r="A36" s="26"/>
      <c r="B36" s="26"/>
      <c r="C36" s="27"/>
      <c r="D36" s="26"/>
      <c r="E36" s="26"/>
      <c r="F36" s="26"/>
      <c r="G36" s="26"/>
      <c r="H36" s="29" t="str">
        <f t="shared" si="0"/>
        <v/>
      </c>
      <c r="I36" s="26"/>
      <c r="J36" s="26"/>
      <c r="K36" s="26"/>
      <c r="L36" s="26"/>
      <c r="M36" s="26"/>
      <c r="N36" s="27"/>
      <c r="O36" s="26"/>
      <c r="P36" s="27"/>
      <c r="Q36" s="26"/>
      <c r="R36" s="26"/>
      <c r="S36" s="29" t="str">
        <f>IF(A36="","",IF(COUNTIFS(EVALUACION!$A$7:$A$36,A36,EVALUACION!$B$7:$B$36,B36)=0,"✖ Evaluación/paciente inconsistente",IF(AND(K36="Revisado",E36=""),"✖ Revisado sin problema",IF(E36="","▲ Problema vacío",IF(F36="","▲ Etiología pendiente",IF(G36="","▲ Signos pendientes",IF(AND(K36="Cerrado",NOT(ISNUMBER(N36))),"▲ Cierre sin fecha","✔ Revisión profesional requerida")))))))</f>
        <v/>
      </c>
    </row>
  </sheetData>
  <mergeCells count="3">
    <mergeCell ref="A1:S1"/>
    <mergeCell ref="A3:S3"/>
    <mergeCell ref="A5:S5"/>
  </mergeCells>
  <conditionalFormatting sqref="S7:S36">
    <cfRule type="expression" dxfId="18" priority="2">
      <formula>LEFT(S7,1)="✖"</formula>
    </cfRule>
    <cfRule type="expression" dxfId="17" priority="3">
      <formula>LEFT(S7,1)="▲"</formula>
    </cfRule>
    <cfRule type="expression" dxfId="16" priority="4">
      <formula>LEFT(S7,1)="✔"</formula>
    </cfRule>
  </conditionalFormatting>
  <dataValidations count="4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H7:H8 S7:S8" xr:uid="{00000000-0002-0000-0A00-000000000000}">
      <formula1>0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J7:J36" xr:uid="{00000000-0002-0000-0A00-000001000000}">
      <formula1>Lista_Prioridad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K7:K36" xr:uid="{00000000-0002-0000-0A00-000002000000}">
      <formula1>Lista_EstadoDiagnostico</formula1>
      <formula2>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C7:C36 N7:N36" xr:uid="{00000000-0002-0000-0A00-000003000000}">
      <formula1>DATE(1900,1,1)</formula1>
      <formula2>TODAY()+3650</formula2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6"/>
  <sheetViews>
    <sheetView showGridLines="0" workbookViewId="0">
      <selection sqref="A1:U1"/>
    </sheetView>
  </sheetViews>
  <sheetFormatPr baseColWidth="10" defaultColWidth="9" defaultRowHeight="15"/>
  <cols>
    <col min="1" max="3" width="14" style="15" customWidth="1"/>
    <col min="4" max="4" width="20" style="15" customWidth="1"/>
    <col min="5" max="5" width="30" style="15" customWidth="1"/>
    <col min="6" max="6" width="22" style="15" customWidth="1"/>
    <col min="7" max="8" width="12" style="15" customWidth="1"/>
    <col min="9" max="9" width="14" style="15" customWidth="1"/>
    <col min="10" max="12" width="12" style="15" customWidth="1"/>
    <col min="13" max="13" width="18" style="15" customWidth="1"/>
    <col min="14" max="15" width="14" style="15" customWidth="1"/>
    <col min="16" max="16" width="24" style="15" customWidth="1"/>
    <col min="17" max="18" width="22" style="15" customWidth="1"/>
    <col min="19" max="19" width="34" style="15" customWidth="1"/>
    <col min="20" max="20" width="20" style="15" customWidth="1"/>
    <col min="21" max="21" width="28" style="15" customWidth="1"/>
  </cols>
  <sheetData>
    <row r="1" spans="1:21" ht="27.75" customHeight="1">
      <c r="A1" s="14" t="s">
        <v>429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21" ht="30" customHeight="1">
      <c r="A3" s="13" t="s">
        <v>430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5" spans="1:21" ht="19.5" customHeight="1">
      <c r="A5" s="12" t="s">
        <v>431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36" customHeight="1">
      <c r="A6" s="19" t="s">
        <v>128</v>
      </c>
      <c r="B6" s="19" t="s">
        <v>76</v>
      </c>
      <c r="C6" s="19" t="s">
        <v>432</v>
      </c>
      <c r="D6" s="19" t="s">
        <v>176</v>
      </c>
      <c r="E6" s="19" t="s">
        <v>433</v>
      </c>
      <c r="F6" s="19" t="s">
        <v>434</v>
      </c>
      <c r="G6" s="19" t="s">
        <v>435</v>
      </c>
      <c r="H6" s="19" t="s">
        <v>436</v>
      </c>
      <c r="I6" s="19" t="s">
        <v>249</v>
      </c>
      <c r="J6" s="19" t="s">
        <v>178</v>
      </c>
      <c r="K6" s="19" t="s">
        <v>437</v>
      </c>
      <c r="L6" s="19" t="s">
        <v>414</v>
      </c>
      <c r="M6" s="19" t="s">
        <v>438</v>
      </c>
      <c r="N6" s="19" t="s">
        <v>12</v>
      </c>
      <c r="O6" s="19" t="s">
        <v>439</v>
      </c>
      <c r="P6" s="19" t="s">
        <v>440</v>
      </c>
      <c r="Q6" s="19" t="s">
        <v>441</v>
      </c>
      <c r="R6" s="19" t="s">
        <v>442</v>
      </c>
      <c r="S6" s="19" t="s">
        <v>98</v>
      </c>
      <c r="T6" s="19" t="s">
        <v>443</v>
      </c>
      <c r="U6" s="19" t="s">
        <v>99</v>
      </c>
    </row>
    <row r="7" spans="1:21" ht="24" customHeight="1">
      <c r="A7" s="26" t="s">
        <v>143</v>
      </c>
      <c r="B7" s="26" t="s">
        <v>100</v>
      </c>
      <c r="C7" s="26" t="s">
        <v>444</v>
      </c>
      <c r="D7" s="26" t="s">
        <v>445</v>
      </c>
      <c r="E7" s="26" t="s">
        <v>446</v>
      </c>
      <c r="F7" s="26" t="s">
        <v>305</v>
      </c>
      <c r="G7" s="26">
        <v>3</v>
      </c>
      <c r="H7" s="26">
        <v>4</v>
      </c>
      <c r="I7" s="26" t="s">
        <v>262</v>
      </c>
      <c r="J7" s="27">
        <v>46174</v>
      </c>
      <c r="K7" s="27">
        <v>46235</v>
      </c>
      <c r="L7" s="26" t="s">
        <v>150</v>
      </c>
      <c r="M7" s="26" t="s">
        <v>108</v>
      </c>
      <c r="N7" s="26" t="s">
        <v>101</v>
      </c>
      <c r="O7" s="31">
        <v>50</v>
      </c>
      <c r="P7" s="26" t="s">
        <v>447</v>
      </c>
      <c r="Q7" s="26" t="s">
        <v>313</v>
      </c>
      <c r="R7" s="26" t="s">
        <v>448</v>
      </c>
      <c r="S7" s="26" t="s">
        <v>110</v>
      </c>
      <c r="T7" s="28" t="str">
        <f t="shared" ref="T7:T36" si="0">IF(C7="","",B7&amp;"|"&amp;C7)</f>
        <v>P-FICT-A|O-A-01</v>
      </c>
      <c r="U7" s="29" t="str">
        <f>IF(A7="","",IF(COUNTIFS(EVALUACION!$A$7:$A$3006,A7,EVALUACION!$B$7:$B$3006,B7)=0,"✖ Evaluación/paciente inconsistente",IF(C7="","✖ ObjetivoID vacío",IF(COUNTIF($C$7:$C$3006,C7)&gt;1,"✖ ObjetivoID duplicado",IF(E7="","✖ Descripción vacía",IF(H7="","▲ Meta vacía",IF(OR(O7&lt;0,O7&gt;100),"✖ Avance fuera de 0–100",IF(AND(ISNUMBER(J7),ISNUMBER(K7),K7&lt;J7),"✖ Fecha objetivo anterior","✔ Correcto"))))))))</f>
        <v>✔ Correcto</v>
      </c>
    </row>
    <row r="8" spans="1:21" ht="24" customHeight="1">
      <c r="A8" s="26" t="s">
        <v>152</v>
      </c>
      <c r="B8" s="26" t="s">
        <v>111</v>
      </c>
      <c r="C8" s="26" t="s">
        <v>449</v>
      </c>
      <c r="D8" s="26" t="s">
        <v>450</v>
      </c>
      <c r="E8" s="26" t="s">
        <v>451</v>
      </c>
      <c r="F8" s="26" t="s">
        <v>452</v>
      </c>
      <c r="G8" s="26">
        <v>2</v>
      </c>
      <c r="H8" s="26">
        <v>3</v>
      </c>
      <c r="I8" s="26" t="s">
        <v>453</v>
      </c>
      <c r="J8" s="27">
        <v>46143</v>
      </c>
      <c r="K8" s="27">
        <v>46204</v>
      </c>
      <c r="L8" s="26" t="s">
        <v>150</v>
      </c>
      <c r="M8" s="26" t="s">
        <v>108</v>
      </c>
      <c r="N8" s="26" t="s">
        <v>454</v>
      </c>
      <c r="O8" s="31">
        <v>100</v>
      </c>
      <c r="P8" s="26" t="s">
        <v>447</v>
      </c>
      <c r="Q8" s="26" t="s">
        <v>455</v>
      </c>
      <c r="R8" s="26" t="s">
        <v>456</v>
      </c>
      <c r="S8" s="26" t="s">
        <v>110</v>
      </c>
      <c r="T8" s="28" t="str">
        <f t="shared" si="0"/>
        <v>P-FICT-B|O-B-01</v>
      </c>
      <c r="U8" s="29" t="str">
        <f>IF(A8="","",IF(COUNTIFS(EVALUACION!$A$7:$A$3006,A8,EVALUACION!$B$7:$B$3006,B8)=0,"✖ Evaluación/paciente inconsistente",IF(C8="","✖ ObjetivoID vacío",IF(COUNTIF($C$7:$C$3006,C8)&gt;1,"✖ ObjetivoID duplicado",IF(E8="","✖ Descripción vacía",IF(H8="","▲ Meta vacía",IF(OR(O8&lt;0,O8&gt;100),"✖ Avance fuera de 0–100",IF(AND(ISNUMBER(J8),ISNUMBER(K8),K8&lt;J8),"✖ Fecha objetivo anterior","✔ Correcto"))))))))</f>
        <v>✔ Correcto</v>
      </c>
    </row>
    <row r="9" spans="1:21" ht="24" customHeight="1">
      <c r="A9" s="26" t="s">
        <v>154</v>
      </c>
      <c r="B9" s="26" t="s">
        <v>111</v>
      </c>
      <c r="C9" s="26" t="s">
        <v>457</v>
      </c>
      <c r="D9" s="26" t="s">
        <v>445</v>
      </c>
      <c r="E9" s="26" t="s">
        <v>458</v>
      </c>
      <c r="F9" s="26" t="s">
        <v>459</v>
      </c>
      <c r="G9" s="26">
        <v>0</v>
      </c>
      <c r="H9" s="26">
        <v>1</v>
      </c>
      <c r="I9" s="26" t="s">
        <v>262</v>
      </c>
      <c r="J9" s="27">
        <v>46204</v>
      </c>
      <c r="K9" s="27">
        <v>46235</v>
      </c>
      <c r="L9" s="26" t="s">
        <v>150</v>
      </c>
      <c r="M9" s="26" t="s">
        <v>108</v>
      </c>
      <c r="N9" s="26" t="s">
        <v>101</v>
      </c>
      <c r="O9" s="31">
        <v>25</v>
      </c>
      <c r="P9" s="26" t="s">
        <v>447</v>
      </c>
      <c r="Q9" s="26" t="s">
        <v>460</v>
      </c>
      <c r="R9" s="26" t="s">
        <v>448</v>
      </c>
      <c r="S9" s="26" t="s">
        <v>110</v>
      </c>
      <c r="T9" s="28" t="str">
        <f t="shared" si="0"/>
        <v>P-FICT-B|O-B-02</v>
      </c>
      <c r="U9" s="29" t="str">
        <f>IF(A9="","",IF(COUNTIFS(EVALUACION!$A$7:$A$3006,A9,EVALUACION!$B$7:$B$3006,B9)=0,"✖ Evaluación/paciente inconsistente",IF(C9="","✖ ObjetivoID vacío",IF(COUNTIF($C$7:$C$3006,C9)&gt;1,"✖ ObjetivoID duplicado",IF(E9="","✖ Descripción vacía",IF(H9="","▲ Meta vacía",IF(OR(O9&lt;0,O9&gt;100),"✖ Avance fuera de 0–100",IF(AND(ISNUMBER(J9),ISNUMBER(K9),K9&lt;J9),"✖ Fecha objetivo anterior","✔ Correcto"))))))))</f>
        <v>✔ Correcto</v>
      </c>
    </row>
    <row r="10" spans="1:21" ht="14.25" customHeight="1">
      <c r="A10" s="26"/>
      <c r="B10" s="26"/>
      <c r="C10" s="26"/>
      <c r="D10" s="26"/>
      <c r="E10" s="26"/>
      <c r="F10" s="26"/>
      <c r="G10" s="26"/>
      <c r="H10" s="26"/>
      <c r="I10" s="26"/>
      <c r="J10" s="27"/>
      <c r="K10" s="27"/>
      <c r="L10" s="26"/>
      <c r="M10" s="26"/>
      <c r="N10" s="26"/>
      <c r="O10" s="31"/>
      <c r="P10" s="26"/>
      <c r="Q10" s="26"/>
      <c r="R10" s="26"/>
      <c r="S10" s="26"/>
      <c r="T10" s="29" t="str">
        <f t="shared" si="0"/>
        <v/>
      </c>
      <c r="U10" s="29" t="str">
        <f>IF(A10="","",IF(COUNTIFS(EVALUACION!$A$7:$A$36,A10,EVALUACION!$B$7:$B$36,B10)=0,"✖ Evaluación/paciente inconsistente",IF(C10="","✖ ObjetivoID vacío",IF(COUNTIF($C$7:$C$36,C10)&gt;1,"✖ ObjetivoID duplicado",IF(E10="","✖ Descripción vacía",IF(H10="","▲ Meta vacía",IF(OR(O10&lt;0,O10&gt;100),"✖ Avance fuera de 0–100",IF(AND(ISNUMBER(J10),ISNUMBER(K10),K10&lt;J10),"✖ Fecha objetivo anterior","✔ Correcto"))))))))</f>
        <v/>
      </c>
    </row>
    <row r="11" spans="1:21" ht="14.25" customHeight="1">
      <c r="A11" s="26"/>
      <c r="B11" s="26"/>
      <c r="C11" s="26"/>
      <c r="D11" s="26"/>
      <c r="E11" s="26"/>
      <c r="F11" s="26"/>
      <c r="G11" s="26"/>
      <c r="H11" s="26"/>
      <c r="I11" s="26"/>
      <c r="J11" s="27"/>
      <c r="K11" s="27"/>
      <c r="L11" s="26"/>
      <c r="M11" s="26"/>
      <c r="N11" s="26"/>
      <c r="O11" s="31"/>
      <c r="P11" s="26"/>
      <c r="Q11" s="26"/>
      <c r="R11" s="26"/>
      <c r="S11" s="26"/>
      <c r="T11" s="29" t="str">
        <f t="shared" si="0"/>
        <v/>
      </c>
      <c r="U11" s="29" t="str">
        <f>IF(A11="","",IF(COUNTIFS(EVALUACION!$A$7:$A$36,A11,EVALUACION!$B$7:$B$36,B11)=0,"✖ Evaluación/paciente inconsistente",IF(C11="","✖ ObjetivoID vacío",IF(COUNTIF($C$7:$C$36,C11)&gt;1,"✖ ObjetivoID duplicado",IF(E11="","✖ Descripción vacía",IF(H11="","▲ Meta vacía",IF(OR(O11&lt;0,O11&gt;100),"✖ Avance fuera de 0–100",IF(AND(ISNUMBER(J11),ISNUMBER(K11),K11&lt;J11),"✖ Fecha objetivo anterior","✔ Correcto"))))))))</f>
        <v/>
      </c>
    </row>
    <row r="12" spans="1:21" ht="14.25" customHeight="1">
      <c r="A12" s="26"/>
      <c r="B12" s="26"/>
      <c r="C12" s="26"/>
      <c r="D12" s="26"/>
      <c r="E12" s="26"/>
      <c r="F12" s="26"/>
      <c r="G12" s="26"/>
      <c r="H12" s="26"/>
      <c r="I12" s="26"/>
      <c r="J12" s="27"/>
      <c r="K12" s="27"/>
      <c r="L12" s="26"/>
      <c r="M12" s="26"/>
      <c r="N12" s="26"/>
      <c r="O12" s="31"/>
      <c r="P12" s="26"/>
      <c r="Q12" s="26"/>
      <c r="R12" s="26"/>
      <c r="S12" s="26"/>
      <c r="T12" s="29" t="str">
        <f t="shared" si="0"/>
        <v/>
      </c>
      <c r="U12" s="29" t="str">
        <f>IF(A12="","",IF(COUNTIFS(EVALUACION!$A$7:$A$36,A12,EVALUACION!$B$7:$B$36,B12)=0,"✖ Evaluación/paciente inconsistente",IF(C12="","✖ ObjetivoID vacío",IF(COUNTIF($C$7:$C$36,C12)&gt;1,"✖ ObjetivoID duplicado",IF(E12="","✖ Descripción vacía",IF(H12="","▲ Meta vacía",IF(OR(O12&lt;0,O12&gt;100),"✖ Avance fuera de 0–100",IF(AND(ISNUMBER(J12),ISNUMBER(K12),K12&lt;J12),"✖ Fecha objetivo anterior","✔ Correcto"))))))))</f>
        <v/>
      </c>
    </row>
    <row r="13" spans="1:21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7"/>
      <c r="K13" s="27"/>
      <c r="L13" s="26"/>
      <c r="M13" s="26"/>
      <c r="N13" s="26"/>
      <c r="O13" s="31"/>
      <c r="P13" s="26"/>
      <c r="Q13" s="26"/>
      <c r="R13" s="26"/>
      <c r="S13" s="26"/>
      <c r="T13" s="29" t="str">
        <f t="shared" si="0"/>
        <v/>
      </c>
      <c r="U13" s="29" t="str">
        <f>IF(A13="","",IF(COUNTIFS(EVALUACION!$A$7:$A$36,A13,EVALUACION!$B$7:$B$36,B13)=0,"✖ Evaluación/paciente inconsistente",IF(C13="","✖ ObjetivoID vacío",IF(COUNTIF($C$7:$C$36,C13)&gt;1,"✖ ObjetivoID duplicado",IF(E13="","✖ Descripción vacía",IF(H13="","▲ Meta vacía",IF(OR(O13&lt;0,O13&gt;100),"✖ Avance fuera de 0–100",IF(AND(ISNUMBER(J13),ISNUMBER(K13),K13&lt;J13),"✖ Fecha objetivo anterior","✔ Correcto"))))))))</f>
        <v/>
      </c>
    </row>
    <row r="14" spans="1:21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7"/>
      <c r="K14" s="27"/>
      <c r="L14" s="26"/>
      <c r="M14" s="26"/>
      <c r="N14" s="26"/>
      <c r="O14" s="31"/>
      <c r="P14" s="26"/>
      <c r="Q14" s="26"/>
      <c r="R14" s="26"/>
      <c r="S14" s="26"/>
      <c r="T14" s="29" t="str">
        <f t="shared" si="0"/>
        <v/>
      </c>
      <c r="U14" s="29" t="str">
        <f>IF(A14="","",IF(COUNTIFS(EVALUACION!$A$7:$A$36,A14,EVALUACION!$B$7:$B$36,B14)=0,"✖ Evaluación/paciente inconsistente",IF(C14="","✖ ObjetivoID vacío",IF(COUNTIF($C$7:$C$36,C14)&gt;1,"✖ ObjetivoID duplicado",IF(E14="","✖ Descripción vacía",IF(H14="","▲ Meta vacía",IF(OR(O14&lt;0,O14&gt;100),"✖ Avance fuera de 0–100",IF(AND(ISNUMBER(J14),ISNUMBER(K14),K14&lt;J14),"✖ Fecha objetivo anterior","✔ Correcto"))))))))</f>
        <v/>
      </c>
    </row>
    <row r="15" spans="1:21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7"/>
      <c r="K15" s="27"/>
      <c r="L15" s="26"/>
      <c r="M15" s="26"/>
      <c r="N15" s="26"/>
      <c r="O15" s="31"/>
      <c r="P15" s="26"/>
      <c r="Q15" s="26"/>
      <c r="R15" s="26"/>
      <c r="S15" s="26"/>
      <c r="T15" s="29" t="str">
        <f t="shared" si="0"/>
        <v/>
      </c>
      <c r="U15" s="29" t="str">
        <f>IF(A15="","",IF(COUNTIFS(EVALUACION!$A$7:$A$36,A15,EVALUACION!$B$7:$B$36,B15)=0,"✖ Evaluación/paciente inconsistente",IF(C15="","✖ ObjetivoID vacío",IF(COUNTIF($C$7:$C$36,C15)&gt;1,"✖ ObjetivoID duplicado",IF(E15="","✖ Descripción vacía",IF(H15="","▲ Meta vacía",IF(OR(O15&lt;0,O15&gt;100),"✖ Avance fuera de 0–100",IF(AND(ISNUMBER(J15),ISNUMBER(K15),K15&lt;J15),"✖ Fecha objetivo anterior","✔ Correcto"))))))))</f>
        <v/>
      </c>
    </row>
    <row r="16" spans="1:21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7"/>
      <c r="K16" s="27"/>
      <c r="L16" s="26"/>
      <c r="M16" s="26"/>
      <c r="N16" s="26"/>
      <c r="O16" s="31"/>
      <c r="P16" s="26"/>
      <c r="Q16" s="26"/>
      <c r="R16" s="26"/>
      <c r="S16" s="26"/>
      <c r="T16" s="29" t="str">
        <f t="shared" si="0"/>
        <v/>
      </c>
      <c r="U16" s="29" t="str">
        <f>IF(A16="","",IF(COUNTIFS(EVALUACION!$A$7:$A$36,A16,EVALUACION!$B$7:$B$36,B16)=0,"✖ Evaluación/paciente inconsistente",IF(C16="","✖ ObjetivoID vacío",IF(COUNTIF($C$7:$C$36,C16)&gt;1,"✖ ObjetivoID duplicado",IF(E16="","✖ Descripción vacía",IF(H16="","▲ Meta vacía",IF(OR(O16&lt;0,O16&gt;100),"✖ Avance fuera de 0–100",IF(AND(ISNUMBER(J16),ISNUMBER(K16),K16&lt;J16),"✖ Fecha objetivo anterior","✔ Correcto"))))))))</f>
        <v/>
      </c>
    </row>
    <row r="17" spans="1:21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7"/>
      <c r="K17" s="27"/>
      <c r="L17" s="26"/>
      <c r="M17" s="26"/>
      <c r="N17" s="26"/>
      <c r="O17" s="31"/>
      <c r="P17" s="26"/>
      <c r="Q17" s="26"/>
      <c r="R17" s="26"/>
      <c r="S17" s="26"/>
      <c r="T17" s="29" t="str">
        <f t="shared" si="0"/>
        <v/>
      </c>
      <c r="U17" s="29" t="str">
        <f>IF(A17="","",IF(COUNTIFS(EVALUACION!$A$7:$A$36,A17,EVALUACION!$B$7:$B$36,B17)=0,"✖ Evaluación/paciente inconsistente",IF(C17="","✖ ObjetivoID vacío",IF(COUNTIF($C$7:$C$36,C17)&gt;1,"✖ ObjetivoID duplicado",IF(E17="","✖ Descripción vacía",IF(H17="","▲ Meta vacía",IF(OR(O17&lt;0,O17&gt;100),"✖ Avance fuera de 0–100",IF(AND(ISNUMBER(J17),ISNUMBER(K17),K17&lt;J17),"✖ Fecha objetivo anterior","✔ Correcto"))))))))</f>
        <v/>
      </c>
    </row>
    <row r="18" spans="1:21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7"/>
      <c r="K18" s="27"/>
      <c r="L18" s="26"/>
      <c r="M18" s="26"/>
      <c r="N18" s="26"/>
      <c r="O18" s="31"/>
      <c r="P18" s="26"/>
      <c r="Q18" s="26"/>
      <c r="R18" s="26"/>
      <c r="S18" s="26"/>
      <c r="T18" s="29" t="str">
        <f t="shared" si="0"/>
        <v/>
      </c>
      <c r="U18" s="29" t="str">
        <f>IF(A18="","",IF(COUNTIFS(EVALUACION!$A$7:$A$36,A18,EVALUACION!$B$7:$B$36,B18)=0,"✖ Evaluación/paciente inconsistente",IF(C18="","✖ ObjetivoID vacío",IF(COUNTIF($C$7:$C$36,C18)&gt;1,"✖ ObjetivoID duplicado",IF(E18="","✖ Descripción vacía",IF(H18="","▲ Meta vacía",IF(OR(O18&lt;0,O18&gt;100),"✖ Avance fuera de 0–100",IF(AND(ISNUMBER(J18),ISNUMBER(K18),K18&lt;J18),"✖ Fecha objetivo anterior","✔ Correcto"))))))))</f>
        <v/>
      </c>
    </row>
    <row r="19" spans="1:21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7"/>
      <c r="K19" s="27"/>
      <c r="L19" s="26"/>
      <c r="M19" s="26"/>
      <c r="N19" s="26"/>
      <c r="O19" s="31"/>
      <c r="P19" s="26"/>
      <c r="Q19" s="26"/>
      <c r="R19" s="26"/>
      <c r="S19" s="26"/>
      <c r="T19" s="29" t="str">
        <f t="shared" si="0"/>
        <v/>
      </c>
      <c r="U19" s="29" t="str">
        <f>IF(A19="","",IF(COUNTIFS(EVALUACION!$A$7:$A$36,A19,EVALUACION!$B$7:$B$36,B19)=0,"✖ Evaluación/paciente inconsistente",IF(C19="","✖ ObjetivoID vacío",IF(COUNTIF($C$7:$C$36,C19)&gt;1,"✖ ObjetivoID duplicado",IF(E19="","✖ Descripción vacía",IF(H19="","▲ Meta vacía",IF(OR(O19&lt;0,O19&gt;100),"✖ Avance fuera de 0–100",IF(AND(ISNUMBER(J19),ISNUMBER(K19),K19&lt;J19),"✖ Fecha objetivo anterior","✔ Correcto"))))))))</f>
        <v/>
      </c>
    </row>
    <row r="20" spans="1:21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7"/>
      <c r="K20" s="27"/>
      <c r="L20" s="26"/>
      <c r="M20" s="26"/>
      <c r="N20" s="26"/>
      <c r="O20" s="31"/>
      <c r="P20" s="26"/>
      <c r="Q20" s="26"/>
      <c r="R20" s="26"/>
      <c r="S20" s="26"/>
      <c r="T20" s="29" t="str">
        <f t="shared" si="0"/>
        <v/>
      </c>
      <c r="U20" s="29" t="str">
        <f>IF(A20="","",IF(COUNTIFS(EVALUACION!$A$7:$A$36,A20,EVALUACION!$B$7:$B$36,B20)=0,"✖ Evaluación/paciente inconsistente",IF(C20="","✖ ObjetivoID vacío",IF(COUNTIF($C$7:$C$36,C20)&gt;1,"✖ ObjetivoID duplicado",IF(E20="","✖ Descripción vacía",IF(H20="","▲ Meta vacía",IF(OR(O20&lt;0,O20&gt;100),"✖ Avance fuera de 0–100",IF(AND(ISNUMBER(J20),ISNUMBER(K20),K20&lt;J20),"✖ Fecha objetivo anterior","✔ Correcto"))))))))</f>
        <v/>
      </c>
    </row>
    <row r="21" spans="1:21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7"/>
      <c r="L21" s="26"/>
      <c r="M21" s="26"/>
      <c r="N21" s="26"/>
      <c r="O21" s="31"/>
      <c r="P21" s="26"/>
      <c r="Q21" s="26"/>
      <c r="R21" s="26"/>
      <c r="S21" s="26"/>
      <c r="T21" s="29" t="str">
        <f t="shared" si="0"/>
        <v/>
      </c>
      <c r="U21" s="29" t="str">
        <f>IF(A21="","",IF(COUNTIFS(EVALUACION!$A$7:$A$36,A21,EVALUACION!$B$7:$B$36,B21)=0,"✖ Evaluación/paciente inconsistente",IF(C21="","✖ ObjetivoID vacío",IF(COUNTIF($C$7:$C$36,C21)&gt;1,"✖ ObjetivoID duplicado",IF(E21="","✖ Descripción vacía",IF(H21="","▲ Meta vacía",IF(OR(O21&lt;0,O21&gt;100),"✖ Avance fuera de 0–100",IF(AND(ISNUMBER(J21),ISNUMBER(K21),K21&lt;J21),"✖ Fecha objetivo anterior","✔ Correcto"))))))))</f>
        <v/>
      </c>
    </row>
    <row r="22" spans="1:21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7"/>
      <c r="K22" s="27"/>
      <c r="L22" s="26"/>
      <c r="M22" s="26"/>
      <c r="N22" s="26"/>
      <c r="O22" s="31"/>
      <c r="P22" s="26"/>
      <c r="Q22" s="26"/>
      <c r="R22" s="26"/>
      <c r="S22" s="26"/>
      <c r="T22" s="29" t="str">
        <f t="shared" si="0"/>
        <v/>
      </c>
      <c r="U22" s="29" t="str">
        <f>IF(A22="","",IF(COUNTIFS(EVALUACION!$A$7:$A$36,A22,EVALUACION!$B$7:$B$36,B22)=0,"✖ Evaluación/paciente inconsistente",IF(C22="","✖ ObjetivoID vacío",IF(COUNTIF($C$7:$C$36,C22)&gt;1,"✖ ObjetivoID duplicado",IF(E22="","✖ Descripción vacía",IF(H22="","▲ Meta vacía",IF(OR(O22&lt;0,O22&gt;100),"✖ Avance fuera de 0–100",IF(AND(ISNUMBER(J22),ISNUMBER(K22),K22&lt;J22),"✖ Fecha objetivo anterior","✔ Correcto"))))))))</f>
        <v/>
      </c>
    </row>
    <row r="23" spans="1:21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7"/>
      <c r="K23" s="27"/>
      <c r="L23" s="26"/>
      <c r="M23" s="26"/>
      <c r="N23" s="26"/>
      <c r="O23" s="31"/>
      <c r="P23" s="26"/>
      <c r="Q23" s="26"/>
      <c r="R23" s="26"/>
      <c r="S23" s="26"/>
      <c r="T23" s="29" t="str">
        <f t="shared" si="0"/>
        <v/>
      </c>
      <c r="U23" s="29" t="str">
        <f>IF(A23="","",IF(COUNTIFS(EVALUACION!$A$7:$A$36,A23,EVALUACION!$B$7:$B$36,B23)=0,"✖ Evaluación/paciente inconsistente",IF(C23="","✖ ObjetivoID vacío",IF(COUNTIF($C$7:$C$36,C23)&gt;1,"✖ ObjetivoID duplicado",IF(E23="","✖ Descripción vacía",IF(H23="","▲ Meta vacía",IF(OR(O23&lt;0,O23&gt;100),"✖ Avance fuera de 0–100",IF(AND(ISNUMBER(J23),ISNUMBER(K23),K23&lt;J23),"✖ Fecha objetivo anterior","✔ Correcto"))))))))</f>
        <v/>
      </c>
    </row>
    <row r="24" spans="1:21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7"/>
      <c r="K24" s="27"/>
      <c r="L24" s="26"/>
      <c r="M24" s="26"/>
      <c r="N24" s="26"/>
      <c r="O24" s="31"/>
      <c r="P24" s="26"/>
      <c r="Q24" s="26"/>
      <c r="R24" s="26"/>
      <c r="S24" s="26"/>
      <c r="T24" s="29" t="str">
        <f t="shared" si="0"/>
        <v/>
      </c>
      <c r="U24" s="29" t="str">
        <f>IF(A24="","",IF(COUNTIFS(EVALUACION!$A$7:$A$36,A24,EVALUACION!$B$7:$B$36,B24)=0,"✖ Evaluación/paciente inconsistente",IF(C24="","✖ ObjetivoID vacío",IF(COUNTIF($C$7:$C$36,C24)&gt;1,"✖ ObjetivoID duplicado",IF(E24="","✖ Descripción vacía",IF(H24="","▲ Meta vacía",IF(OR(O24&lt;0,O24&gt;100),"✖ Avance fuera de 0–100",IF(AND(ISNUMBER(J24),ISNUMBER(K24),K24&lt;J24),"✖ Fecha objetivo anterior","✔ Correcto"))))))))</f>
        <v/>
      </c>
    </row>
    <row r="25" spans="1:21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7"/>
      <c r="K25" s="27"/>
      <c r="L25" s="26"/>
      <c r="M25" s="26"/>
      <c r="N25" s="26"/>
      <c r="O25" s="31"/>
      <c r="P25" s="26"/>
      <c r="Q25" s="26"/>
      <c r="R25" s="26"/>
      <c r="S25" s="26"/>
      <c r="T25" s="29" t="str">
        <f t="shared" si="0"/>
        <v/>
      </c>
      <c r="U25" s="29" t="str">
        <f>IF(A25="","",IF(COUNTIFS(EVALUACION!$A$7:$A$36,A25,EVALUACION!$B$7:$B$36,B25)=0,"✖ Evaluación/paciente inconsistente",IF(C25="","✖ ObjetivoID vacío",IF(COUNTIF($C$7:$C$36,C25)&gt;1,"✖ ObjetivoID duplicado",IF(E25="","✖ Descripción vacía",IF(H25="","▲ Meta vacía",IF(OR(O25&lt;0,O25&gt;100),"✖ Avance fuera de 0–100",IF(AND(ISNUMBER(J25),ISNUMBER(K25),K25&lt;J25),"✖ Fecha objetivo anterior","✔ Correcto"))))))))</f>
        <v/>
      </c>
    </row>
    <row r="26" spans="1:21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7"/>
      <c r="K26" s="27"/>
      <c r="L26" s="26"/>
      <c r="M26" s="26"/>
      <c r="N26" s="26"/>
      <c r="O26" s="31"/>
      <c r="P26" s="26"/>
      <c r="Q26" s="26"/>
      <c r="R26" s="26"/>
      <c r="S26" s="26"/>
      <c r="T26" s="29" t="str">
        <f t="shared" si="0"/>
        <v/>
      </c>
      <c r="U26" s="29" t="str">
        <f>IF(A26="","",IF(COUNTIFS(EVALUACION!$A$7:$A$36,A26,EVALUACION!$B$7:$B$36,B26)=0,"✖ Evaluación/paciente inconsistente",IF(C26="","✖ ObjetivoID vacío",IF(COUNTIF($C$7:$C$36,C26)&gt;1,"✖ ObjetivoID duplicado",IF(E26="","✖ Descripción vacía",IF(H26="","▲ Meta vacía",IF(OR(O26&lt;0,O26&gt;100),"✖ Avance fuera de 0–100",IF(AND(ISNUMBER(J26),ISNUMBER(K26),K26&lt;J26),"✖ Fecha objetivo anterior","✔ Correcto"))))))))</f>
        <v/>
      </c>
    </row>
    <row r="27" spans="1:21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7"/>
      <c r="K27" s="27"/>
      <c r="L27" s="26"/>
      <c r="M27" s="26"/>
      <c r="N27" s="26"/>
      <c r="O27" s="31"/>
      <c r="P27" s="26"/>
      <c r="Q27" s="26"/>
      <c r="R27" s="26"/>
      <c r="S27" s="26"/>
      <c r="T27" s="29" t="str">
        <f t="shared" si="0"/>
        <v/>
      </c>
      <c r="U27" s="29" t="str">
        <f>IF(A27="","",IF(COUNTIFS(EVALUACION!$A$7:$A$36,A27,EVALUACION!$B$7:$B$36,B27)=0,"✖ Evaluación/paciente inconsistente",IF(C27="","✖ ObjetivoID vacío",IF(COUNTIF($C$7:$C$36,C27)&gt;1,"✖ ObjetivoID duplicado",IF(E27="","✖ Descripción vacía",IF(H27="","▲ Meta vacía",IF(OR(O27&lt;0,O27&gt;100),"✖ Avance fuera de 0–100",IF(AND(ISNUMBER(J27),ISNUMBER(K27),K27&lt;J27),"✖ Fecha objetivo anterior","✔ Correcto"))))))))</f>
        <v/>
      </c>
    </row>
    <row r="28" spans="1:21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7"/>
      <c r="K28" s="27"/>
      <c r="L28" s="26"/>
      <c r="M28" s="26"/>
      <c r="N28" s="26"/>
      <c r="O28" s="31"/>
      <c r="P28" s="26"/>
      <c r="Q28" s="26"/>
      <c r="R28" s="26"/>
      <c r="S28" s="26"/>
      <c r="T28" s="29" t="str">
        <f t="shared" si="0"/>
        <v/>
      </c>
      <c r="U28" s="29" t="str">
        <f>IF(A28="","",IF(COUNTIFS(EVALUACION!$A$7:$A$36,A28,EVALUACION!$B$7:$B$36,B28)=0,"✖ Evaluación/paciente inconsistente",IF(C28="","✖ ObjetivoID vacío",IF(COUNTIF($C$7:$C$36,C28)&gt;1,"✖ ObjetivoID duplicado",IF(E28="","✖ Descripción vacía",IF(H28="","▲ Meta vacía",IF(OR(O28&lt;0,O28&gt;100),"✖ Avance fuera de 0–100",IF(AND(ISNUMBER(J28),ISNUMBER(K28),K28&lt;J28),"✖ Fecha objetivo anterior","✔ Correcto"))))))))</f>
        <v/>
      </c>
    </row>
    <row r="29" spans="1:21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7"/>
      <c r="K29" s="27"/>
      <c r="L29" s="26"/>
      <c r="M29" s="26"/>
      <c r="N29" s="26"/>
      <c r="O29" s="31"/>
      <c r="P29" s="26"/>
      <c r="Q29" s="26"/>
      <c r="R29" s="26"/>
      <c r="S29" s="26"/>
      <c r="T29" s="29" t="str">
        <f t="shared" si="0"/>
        <v/>
      </c>
      <c r="U29" s="29" t="str">
        <f>IF(A29="","",IF(COUNTIFS(EVALUACION!$A$7:$A$36,A29,EVALUACION!$B$7:$B$36,B29)=0,"✖ Evaluación/paciente inconsistente",IF(C29="","✖ ObjetivoID vacío",IF(COUNTIF($C$7:$C$36,C29)&gt;1,"✖ ObjetivoID duplicado",IF(E29="","✖ Descripción vacía",IF(H29="","▲ Meta vacía",IF(OR(O29&lt;0,O29&gt;100),"✖ Avance fuera de 0–100",IF(AND(ISNUMBER(J29),ISNUMBER(K29),K29&lt;J29),"✖ Fecha objetivo anterior","✔ Correcto"))))))))</f>
        <v/>
      </c>
    </row>
    <row r="30" spans="1:21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7"/>
      <c r="K30" s="27"/>
      <c r="L30" s="26"/>
      <c r="M30" s="26"/>
      <c r="N30" s="26"/>
      <c r="O30" s="31"/>
      <c r="P30" s="26"/>
      <c r="Q30" s="26"/>
      <c r="R30" s="26"/>
      <c r="S30" s="26"/>
      <c r="T30" s="29" t="str">
        <f t="shared" si="0"/>
        <v/>
      </c>
      <c r="U30" s="29" t="str">
        <f>IF(A30="","",IF(COUNTIFS(EVALUACION!$A$7:$A$36,A30,EVALUACION!$B$7:$B$36,B30)=0,"✖ Evaluación/paciente inconsistente",IF(C30="","✖ ObjetivoID vacío",IF(COUNTIF($C$7:$C$36,C30)&gt;1,"✖ ObjetivoID duplicado",IF(E30="","✖ Descripción vacía",IF(H30="","▲ Meta vacía",IF(OR(O30&lt;0,O30&gt;100),"✖ Avance fuera de 0–100",IF(AND(ISNUMBER(J30),ISNUMBER(K30),K30&lt;J30),"✖ Fecha objetivo anterior","✔ Correcto"))))))))</f>
        <v/>
      </c>
    </row>
    <row r="31" spans="1:21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7"/>
      <c r="K31" s="27"/>
      <c r="L31" s="26"/>
      <c r="M31" s="26"/>
      <c r="N31" s="26"/>
      <c r="O31" s="31"/>
      <c r="P31" s="26"/>
      <c r="Q31" s="26"/>
      <c r="R31" s="26"/>
      <c r="S31" s="26"/>
      <c r="T31" s="29" t="str">
        <f t="shared" si="0"/>
        <v/>
      </c>
      <c r="U31" s="29" t="str">
        <f>IF(A31="","",IF(COUNTIFS(EVALUACION!$A$7:$A$36,A31,EVALUACION!$B$7:$B$36,B31)=0,"✖ Evaluación/paciente inconsistente",IF(C31="","✖ ObjetivoID vacío",IF(COUNTIF($C$7:$C$36,C31)&gt;1,"✖ ObjetivoID duplicado",IF(E31="","✖ Descripción vacía",IF(H31="","▲ Meta vacía",IF(OR(O31&lt;0,O31&gt;100),"✖ Avance fuera de 0–100",IF(AND(ISNUMBER(J31),ISNUMBER(K31),K31&lt;J31),"✖ Fecha objetivo anterior","✔ Correcto"))))))))</f>
        <v/>
      </c>
    </row>
    <row r="32" spans="1:21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7"/>
      <c r="K32" s="27"/>
      <c r="L32" s="26"/>
      <c r="M32" s="26"/>
      <c r="N32" s="26"/>
      <c r="O32" s="31"/>
      <c r="P32" s="26"/>
      <c r="Q32" s="26"/>
      <c r="R32" s="26"/>
      <c r="S32" s="26"/>
      <c r="T32" s="29" t="str">
        <f t="shared" si="0"/>
        <v/>
      </c>
      <c r="U32" s="29" t="str">
        <f>IF(A32="","",IF(COUNTIFS(EVALUACION!$A$7:$A$36,A32,EVALUACION!$B$7:$B$36,B32)=0,"✖ Evaluación/paciente inconsistente",IF(C32="","✖ ObjetivoID vacío",IF(COUNTIF($C$7:$C$36,C32)&gt;1,"✖ ObjetivoID duplicado",IF(E32="","✖ Descripción vacía",IF(H32="","▲ Meta vacía",IF(OR(O32&lt;0,O32&gt;100),"✖ Avance fuera de 0–100",IF(AND(ISNUMBER(J32),ISNUMBER(K32),K32&lt;J32),"✖ Fecha objetivo anterior","✔ Correcto"))))))))</f>
        <v/>
      </c>
    </row>
    <row r="33" spans="1:21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7"/>
      <c r="K33" s="27"/>
      <c r="L33" s="26"/>
      <c r="M33" s="26"/>
      <c r="N33" s="26"/>
      <c r="O33" s="31"/>
      <c r="P33" s="26"/>
      <c r="Q33" s="26"/>
      <c r="R33" s="26"/>
      <c r="S33" s="26"/>
      <c r="T33" s="29" t="str">
        <f t="shared" si="0"/>
        <v/>
      </c>
      <c r="U33" s="29" t="str">
        <f>IF(A33="","",IF(COUNTIFS(EVALUACION!$A$7:$A$36,A33,EVALUACION!$B$7:$B$36,B33)=0,"✖ Evaluación/paciente inconsistente",IF(C33="","✖ ObjetivoID vacío",IF(COUNTIF($C$7:$C$36,C33)&gt;1,"✖ ObjetivoID duplicado",IF(E33="","✖ Descripción vacía",IF(H33="","▲ Meta vacía",IF(OR(O33&lt;0,O33&gt;100),"✖ Avance fuera de 0–100",IF(AND(ISNUMBER(J33),ISNUMBER(K33),K33&lt;J33),"✖ Fecha objetivo anterior","✔ Correcto"))))))))</f>
        <v/>
      </c>
    </row>
    <row r="34" spans="1:21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7"/>
      <c r="K34" s="27"/>
      <c r="L34" s="26"/>
      <c r="M34" s="26"/>
      <c r="N34" s="26"/>
      <c r="O34" s="31"/>
      <c r="P34" s="26"/>
      <c r="Q34" s="26"/>
      <c r="R34" s="26"/>
      <c r="S34" s="26"/>
      <c r="T34" s="29" t="str">
        <f t="shared" si="0"/>
        <v/>
      </c>
      <c r="U34" s="29" t="str">
        <f>IF(A34="","",IF(COUNTIFS(EVALUACION!$A$7:$A$36,A34,EVALUACION!$B$7:$B$36,B34)=0,"✖ Evaluación/paciente inconsistente",IF(C34="","✖ ObjetivoID vacío",IF(COUNTIF($C$7:$C$36,C34)&gt;1,"✖ ObjetivoID duplicado",IF(E34="","✖ Descripción vacía",IF(H34="","▲ Meta vacía",IF(OR(O34&lt;0,O34&gt;100),"✖ Avance fuera de 0–100",IF(AND(ISNUMBER(J34),ISNUMBER(K34),K34&lt;J34),"✖ Fecha objetivo anterior","✔ Correcto"))))))))</f>
        <v/>
      </c>
    </row>
    <row r="35" spans="1:21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7"/>
      <c r="K35" s="27"/>
      <c r="L35" s="26"/>
      <c r="M35" s="26"/>
      <c r="N35" s="26"/>
      <c r="O35" s="31"/>
      <c r="P35" s="26"/>
      <c r="Q35" s="26"/>
      <c r="R35" s="26"/>
      <c r="S35" s="26"/>
      <c r="T35" s="29" t="str">
        <f t="shared" si="0"/>
        <v/>
      </c>
      <c r="U35" s="29" t="str">
        <f>IF(A35="","",IF(COUNTIFS(EVALUACION!$A$7:$A$36,A35,EVALUACION!$B$7:$B$36,B35)=0,"✖ Evaluación/paciente inconsistente",IF(C35="","✖ ObjetivoID vacío",IF(COUNTIF($C$7:$C$36,C35)&gt;1,"✖ ObjetivoID duplicado",IF(E35="","✖ Descripción vacía",IF(H35="","▲ Meta vacía",IF(OR(O35&lt;0,O35&gt;100),"✖ Avance fuera de 0–100",IF(AND(ISNUMBER(J35),ISNUMBER(K35),K35&lt;J35),"✖ Fecha objetivo anterior","✔ Correcto"))))))))</f>
        <v/>
      </c>
    </row>
    <row r="36" spans="1:21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7"/>
      <c r="K36" s="27"/>
      <c r="L36" s="26"/>
      <c r="M36" s="26"/>
      <c r="N36" s="26"/>
      <c r="O36" s="31"/>
      <c r="P36" s="26"/>
      <c r="Q36" s="26"/>
      <c r="R36" s="26"/>
      <c r="S36" s="26"/>
      <c r="T36" s="29" t="str">
        <f t="shared" si="0"/>
        <v/>
      </c>
      <c r="U36" s="29" t="str">
        <f>IF(A36="","",IF(COUNTIFS(EVALUACION!$A$7:$A$36,A36,EVALUACION!$B$7:$B$36,B36)=0,"✖ Evaluación/paciente inconsistente",IF(C36="","✖ ObjetivoID vacío",IF(COUNTIF($C$7:$C$36,C36)&gt;1,"✖ ObjetivoID duplicado",IF(E36="","✖ Descripción vacía",IF(H36="","▲ Meta vacía",IF(OR(O36&lt;0,O36&gt;100),"✖ Avance fuera de 0–100",IF(AND(ISNUMBER(J36),ISNUMBER(K36),K36&lt;J36),"✖ Fecha objetivo anterior","✔ Correcto"))))))))</f>
        <v/>
      </c>
    </row>
  </sheetData>
  <mergeCells count="3">
    <mergeCell ref="A1:U1"/>
    <mergeCell ref="A3:U3"/>
    <mergeCell ref="A5:U5"/>
  </mergeCells>
  <conditionalFormatting sqref="U7:U36">
    <cfRule type="expression" dxfId="15" priority="2">
      <formula>LEFT(U7,1)="✖"</formula>
    </cfRule>
    <cfRule type="expression" dxfId="14" priority="3">
      <formula>LEFT(U7,1)="▲"</formula>
    </cfRule>
    <cfRule type="expression" dxfId="13" priority="4">
      <formula>LEFT(U7,1)="✔"</formula>
    </cfRule>
  </conditionalFormatting>
  <dataValidations count="6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T7:U9" xr:uid="{00000000-0002-0000-0B00-000000000000}">
      <formula1>0</formula1>
      <formula2>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100. Los límites son operativos." sqref="O7:O36" xr:uid="{00000000-0002-0000-0B00-000001000000}">
      <formula1>0</formula1>
      <formula2>100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I7:I36" xr:uid="{00000000-0002-0000-0B00-000002000000}">
      <formula1>Lista_Unidad</formula1>
      <formula2>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J7:K36" xr:uid="{00000000-0002-0000-0B00-000003000000}">
      <formula1>DATE(1900,1,1)</formula1>
      <formula2>TODAY()+3650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L7:L36" xr:uid="{00000000-0002-0000-0B00-000004000000}">
      <formula1>Lista_Prioridad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N7:N36" xr:uid="{00000000-0002-0000-0B00-000005000000}">
      <formula1>Lista_EstadoObjetivo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6"/>
  <sheetViews>
    <sheetView showGridLines="0" workbookViewId="0">
      <selection sqref="A1:Q1"/>
    </sheetView>
  </sheetViews>
  <sheetFormatPr baseColWidth="10" defaultColWidth="9" defaultRowHeight="15"/>
  <cols>
    <col min="1" max="2" width="14" style="15" customWidth="1"/>
    <col min="3" max="3" width="12" style="15" customWidth="1"/>
    <col min="4" max="4" width="24" style="15" customWidth="1"/>
    <col min="5" max="5" width="32" style="15" customWidth="1"/>
    <col min="6" max="6" width="28" style="15" customWidth="1"/>
    <col min="7" max="8" width="18" style="15" customWidth="1"/>
    <col min="9" max="9" width="16" style="15" customWidth="1"/>
    <col min="10" max="10" width="24" style="15" customWidth="1"/>
    <col min="11" max="11" width="28" style="15" customWidth="1"/>
    <col min="12" max="12" width="14" style="15" customWidth="1"/>
    <col min="13" max="14" width="12" style="15" customWidth="1"/>
    <col min="15" max="15" width="18" style="15" customWidth="1"/>
    <col min="16" max="16" width="34" style="15" customWidth="1"/>
    <col min="17" max="17" width="28" style="15" customWidth="1"/>
  </cols>
  <sheetData>
    <row r="1" spans="1:17" ht="27.75" customHeight="1">
      <c r="A1" s="14" t="s">
        <v>461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7" ht="30" customHeight="1">
      <c r="A3" s="8" t="s">
        <v>462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5" spans="1:17" ht="19.5" customHeight="1">
      <c r="A5" s="12" t="s">
        <v>463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36" customHeight="1">
      <c r="A6" s="19" t="s">
        <v>128</v>
      </c>
      <c r="B6" s="19" t="s">
        <v>76</v>
      </c>
      <c r="C6" s="19" t="s">
        <v>129</v>
      </c>
      <c r="D6" s="19" t="s">
        <v>176</v>
      </c>
      <c r="E6" s="19" t="s">
        <v>464</v>
      </c>
      <c r="F6" s="19" t="s">
        <v>465</v>
      </c>
      <c r="G6" s="19" t="s">
        <v>466</v>
      </c>
      <c r="H6" s="19" t="s">
        <v>438</v>
      </c>
      <c r="I6" s="19" t="s">
        <v>282</v>
      </c>
      <c r="J6" s="19" t="s">
        <v>467</v>
      </c>
      <c r="K6" s="19" t="s">
        <v>468</v>
      </c>
      <c r="L6" s="19" t="s">
        <v>12</v>
      </c>
      <c r="M6" s="19" t="s">
        <v>469</v>
      </c>
      <c r="N6" s="19" t="s">
        <v>77</v>
      </c>
      <c r="O6" s="19" t="s">
        <v>135</v>
      </c>
      <c r="P6" s="19" t="s">
        <v>98</v>
      </c>
      <c r="Q6" s="19" t="s">
        <v>99</v>
      </c>
    </row>
    <row r="7" spans="1:17" ht="24" customHeight="1">
      <c r="A7" s="26" t="s">
        <v>143</v>
      </c>
      <c r="B7" s="26" t="s">
        <v>100</v>
      </c>
      <c r="C7" s="27">
        <v>46174</v>
      </c>
      <c r="D7" s="26" t="s">
        <v>470</v>
      </c>
      <c r="E7" s="26" t="s">
        <v>471</v>
      </c>
      <c r="F7" s="26" t="s">
        <v>472</v>
      </c>
      <c r="G7" s="26" t="s">
        <v>444</v>
      </c>
      <c r="H7" s="26" t="s">
        <v>108</v>
      </c>
      <c r="I7" s="26" t="s">
        <v>473</v>
      </c>
      <c r="J7" s="26" t="s">
        <v>474</v>
      </c>
      <c r="K7" s="26" t="s">
        <v>475</v>
      </c>
      <c r="L7" s="26" t="s">
        <v>101</v>
      </c>
      <c r="M7" s="27">
        <v>46204</v>
      </c>
      <c r="N7" s="27">
        <v>46174</v>
      </c>
      <c r="O7" s="26" t="s">
        <v>108</v>
      </c>
      <c r="P7" s="26" t="s">
        <v>110</v>
      </c>
      <c r="Q7" s="29" t="str">
        <f>IF(A7="","",IF(COUNTIFS(EVALUACION!$A$7:$A$3006,A7,EVALUACION!$B$7:$B$3006,B7)=0,"✖ Evaluación/paciente inconsistente",IF(E7="","✖ Intervención vacía",IF(AND(G7&lt;&gt;"",COUNTIF(OBJETIVOS!$C$7:$C$3006,G7)=0),"▲ Objetivo inexistente","✔ Correcto"))))</f>
        <v>✔ Correcto</v>
      </c>
    </row>
    <row r="8" spans="1:17" ht="24" customHeight="1">
      <c r="A8" s="26" t="s">
        <v>152</v>
      </c>
      <c r="B8" s="26" t="s">
        <v>111</v>
      </c>
      <c r="C8" s="27">
        <v>46143</v>
      </c>
      <c r="D8" s="26" t="s">
        <v>450</v>
      </c>
      <c r="E8" s="26" t="s">
        <v>476</v>
      </c>
      <c r="F8" s="26" t="s">
        <v>472</v>
      </c>
      <c r="G8" s="26" t="s">
        <v>449</v>
      </c>
      <c r="H8" s="26" t="s">
        <v>108</v>
      </c>
      <c r="I8" s="26" t="s">
        <v>473</v>
      </c>
      <c r="J8" s="26" t="s">
        <v>474</v>
      </c>
      <c r="K8" s="26" t="s">
        <v>475</v>
      </c>
      <c r="L8" s="26" t="s">
        <v>158</v>
      </c>
      <c r="M8" s="27">
        <v>46204</v>
      </c>
      <c r="N8" s="27">
        <v>46143</v>
      </c>
      <c r="O8" s="26" t="s">
        <v>108</v>
      </c>
      <c r="P8" s="26" t="s">
        <v>110</v>
      </c>
      <c r="Q8" s="29" t="str">
        <f>IF(A8="","",IF(COUNTIFS(EVALUACION!$A$7:$A$3006,A8,EVALUACION!$B$7:$B$3006,B8)=0,"✖ Evaluación/paciente inconsistente",IF(E8="","✖ Intervención vacía",IF(AND(G8&lt;&gt;"",COUNTIF(OBJETIVOS!$C$7:$C$3006,G8)=0),"▲ Objetivo inexistente","✔ Correcto"))))</f>
        <v>✔ Correcto</v>
      </c>
    </row>
    <row r="9" spans="1:17" ht="14.25" customHeight="1">
      <c r="A9" s="26"/>
      <c r="B9" s="26"/>
      <c r="C9" s="27"/>
      <c r="D9" s="26"/>
      <c r="E9" s="26"/>
      <c r="F9" s="26"/>
      <c r="G9" s="26"/>
      <c r="H9" s="26"/>
      <c r="I9" s="26"/>
      <c r="J9" s="26"/>
      <c r="K9" s="26"/>
      <c r="L9" s="26"/>
      <c r="M9" s="27"/>
      <c r="N9" s="27"/>
      <c r="O9" s="26"/>
      <c r="P9" s="26"/>
      <c r="Q9" s="29" t="str">
        <f>IF(A9="","",IF(COUNTIFS(EVALUACION!$A$7:$A$36,A9,EVALUACION!$B$7:$B$36,B9)=0,"✖ Evaluación/paciente inconsistente",IF(E9="","✖ Intervención vacía",IF(AND(G9&lt;&gt;"",COUNTIF(OBJETIVOS!$C$7:$C$36,G9)=0),"▲ Objetivo inexistente","✔ Correcto"))))</f>
        <v/>
      </c>
    </row>
    <row r="10" spans="1:17" ht="14.25" customHeight="1">
      <c r="A10" s="26"/>
      <c r="B10" s="26"/>
      <c r="C10" s="27"/>
      <c r="D10" s="26"/>
      <c r="E10" s="26"/>
      <c r="F10" s="26"/>
      <c r="G10" s="26"/>
      <c r="H10" s="26"/>
      <c r="I10" s="26"/>
      <c r="J10" s="26"/>
      <c r="K10" s="26"/>
      <c r="L10" s="26"/>
      <c r="M10" s="27"/>
      <c r="N10" s="27"/>
      <c r="O10" s="26"/>
      <c r="P10" s="26"/>
      <c r="Q10" s="29" t="str">
        <f>IF(A10="","",IF(COUNTIFS(EVALUACION!$A$7:$A$36,A10,EVALUACION!$B$7:$B$36,B10)=0,"✖ Evaluación/paciente inconsistente",IF(E10="","✖ Intervención vacía",IF(AND(G10&lt;&gt;"",COUNTIF(OBJETIVOS!$C$7:$C$36,G10)=0),"▲ Objetivo inexistente","✔ Correcto"))))</f>
        <v/>
      </c>
    </row>
    <row r="11" spans="1:17" ht="14.25" customHeight="1">
      <c r="A11" s="26"/>
      <c r="B11" s="26"/>
      <c r="C11" s="27"/>
      <c r="D11" s="26"/>
      <c r="E11" s="26"/>
      <c r="F11" s="26"/>
      <c r="G11" s="26"/>
      <c r="H11" s="26"/>
      <c r="I11" s="26"/>
      <c r="J11" s="26"/>
      <c r="K11" s="26"/>
      <c r="L11" s="26"/>
      <c r="M11" s="27"/>
      <c r="N11" s="27"/>
      <c r="O11" s="26"/>
      <c r="P11" s="26"/>
      <c r="Q11" s="29" t="str">
        <f>IF(A11="","",IF(COUNTIFS(EVALUACION!$A$7:$A$36,A11,EVALUACION!$B$7:$B$36,B11)=0,"✖ Evaluación/paciente inconsistente",IF(E11="","✖ Intervención vacía",IF(AND(G11&lt;&gt;"",COUNTIF(OBJETIVOS!$C$7:$C$36,G11)=0),"▲ Objetivo inexistente","✔ Correcto"))))</f>
        <v/>
      </c>
    </row>
    <row r="12" spans="1:17" ht="14.25" customHeight="1">
      <c r="A12" s="26"/>
      <c r="B12" s="26"/>
      <c r="C12" s="27"/>
      <c r="D12" s="26"/>
      <c r="E12" s="26"/>
      <c r="F12" s="26"/>
      <c r="G12" s="26"/>
      <c r="H12" s="26"/>
      <c r="I12" s="26"/>
      <c r="J12" s="26"/>
      <c r="K12" s="26"/>
      <c r="L12" s="26"/>
      <c r="M12" s="27"/>
      <c r="N12" s="27"/>
      <c r="O12" s="26"/>
      <c r="P12" s="26"/>
      <c r="Q12" s="29" t="str">
        <f>IF(A12="","",IF(COUNTIFS(EVALUACION!$A$7:$A$36,A12,EVALUACION!$B$7:$B$36,B12)=0,"✖ Evaluación/paciente inconsistente",IF(E12="","✖ Intervención vacía",IF(AND(G12&lt;&gt;"",COUNTIF(OBJETIVOS!$C$7:$C$36,G12)=0),"▲ Objetivo inexistente","✔ Correcto"))))</f>
        <v/>
      </c>
    </row>
    <row r="13" spans="1:17" ht="14.25" customHeight="1">
      <c r="A13" s="26"/>
      <c r="B13" s="26"/>
      <c r="C13" s="27"/>
      <c r="D13" s="26"/>
      <c r="E13" s="26"/>
      <c r="F13" s="26"/>
      <c r="G13" s="26"/>
      <c r="H13" s="26"/>
      <c r="I13" s="26"/>
      <c r="J13" s="26"/>
      <c r="K13" s="26"/>
      <c r="L13" s="26"/>
      <c r="M13" s="27"/>
      <c r="N13" s="27"/>
      <c r="O13" s="26"/>
      <c r="P13" s="26"/>
      <c r="Q13" s="29" t="str">
        <f>IF(A13="","",IF(COUNTIFS(EVALUACION!$A$7:$A$36,A13,EVALUACION!$B$7:$B$36,B13)=0,"✖ Evaluación/paciente inconsistente",IF(E13="","✖ Intervención vacía",IF(AND(G13&lt;&gt;"",COUNTIF(OBJETIVOS!$C$7:$C$36,G13)=0),"▲ Objetivo inexistente","✔ Correcto"))))</f>
        <v/>
      </c>
    </row>
    <row r="14" spans="1:17" ht="14.25" customHeight="1">
      <c r="A14" s="26"/>
      <c r="B14" s="26"/>
      <c r="C14" s="27"/>
      <c r="D14" s="26"/>
      <c r="E14" s="26"/>
      <c r="F14" s="26"/>
      <c r="G14" s="26"/>
      <c r="H14" s="26"/>
      <c r="I14" s="26"/>
      <c r="J14" s="26"/>
      <c r="K14" s="26"/>
      <c r="L14" s="26"/>
      <c r="M14" s="27"/>
      <c r="N14" s="27"/>
      <c r="O14" s="26"/>
      <c r="P14" s="26"/>
      <c r="Q14" s="29" t="str">
        <f>IF(A14="","",IF(COUNTIFS(EVALUACION!$A$7:$A$36,A14,EVALUACION!$B$7:$B$36,B14)=0,"✖ Evaluación/paciente inconsistente",IF(E14="","✖ Intervención vacía",IF(AND(G14&lt;&gt;"",COUNTIF(OBJETIVOS!$C$7:$C$36,G14)=0),"▲ Objetivo inexistente","✔ Correcto"))))</f>
        <v/>
      </c>
    </row>
    <row r="15" spans="1:17" ht="14.25" customHeight="1">
      <c r="A15" s="26"/>
      <c r="B15" s="26"/>
      <c r="C15" s="27"/>
      <c r="D15" s="26"/>
      <c r="E15" s="26"/>
      <c r="F15" s="26"/>
      <c r="G15" s="26"/>
      <c r="H15" s="26"/>
      <c r="I15" s="26"/>
      <c r="J15" s="26"/>
      <c r="K15" s="26"/>
      <c r="L15" s="26"/>
      <c r="M15" s="27"/>
      <c r="N15" s="27"/>
      <c r="O15" s="26"/>
      <c r="P15" s="26"/>
      <c r="Q15" s="29" t="str">
        <f>IF(A15="","",IF(COUNTIFS(EVALUACION!$A$7:$A$36,A15,EVALUACION!$B$7:$B$36,B15)=0,"✖ Evaluación/paciente inconsistente",IF(E15="","✖ Intervención vacía",IF(AND(G15&lt;&gt;"",COUNTIF(OBJETIVOS!$C$7:$C$36,G15)=0),"▲ Objetivo inexistente","✔ Correcto"))))</f>
        <v/>
      </c>
    </row>
    <row r="16" spans="1:17" ht="14.25" customHeight="1">
      <c r="A16" s="26"/>
      <c r="B16" s="26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27"/>
      <c r="O16" s="26"/>
      <c r="P16" s="26"/>
      <c r="Q16" s="29" t="str">
        <f>IF(A16="","",IF(COUNTIFS(EVALUACION!$A$7:$A$36,A16,EVALUACION!$B$7:$B$36,B16)=0,"✖ Evaluación/paciente inconsistente",IF(E16="","✖ Intervención vacía",IF(AND(G16&lt;&gt;"",COUNTIF(OBJETIVOS!$C$7:$C$36,G16)=0),"▲ Objetivo inexistente","✔ Correcto"))))</f>
        <v/>
      </c>
    </row>
    <row r="17" spans="1:17" ht="14.25" customHeight="1">
      <c r="A17" s="26"/>
      <c r="B17" s="26"/>
      <c r="C17" s="27"/>
      <c r="D17" s="26"/>
      <c r="E17" s="26"/>
      <c r="F17" s="26"/>
      <c r="G17" s="26"/>
      <c r="H17" s="26"/>
      <c r="I17" s="26"/>
      <c r="J17" s="26"/>
      <c r="K17" s="26"/>
      <c r="L17" s="26"/>
      <c r="M17" s="27"/>
      <c r="N17" s="27"/>
      <c r="O17" s="26"/>
      <c r="P17" s="26"/>
      <c r="Q17" s="29" t="str">
        <f>IF(A17="","",IF(COUNTIFS(EVALUACION!$A$7:$A$36,A17,EVALUACION!$B$7:$B$36,B17)=0,"✖ Evaluación/paciente inconsistente",IF(E17="","✖ Intervención vacía",IF(AND(G17&lt;&gt;"",COUNTIF(OBJETIVOS!$C$7:$C$36,G17)=0),"▲ Objetivo inexistente","✔ Correcto"))))</f>
        <v/>
      </c>
    </row>
    <row r="18" spans="1:17" ht="14.25" customHeight="1">
      <c r="A18" s="26"/>
      <c r="B18" s="26"/>
      <c r="C18" s="27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27"/>
      <c r="O18" s="26"/>
      <c r="P18" s="26"/>
      <c r="Q18" s="29" t="str">
        <f>IF(A18="","",IF(COUNTIFS(EVALUACION!$A$7:$A$36,A18,EVALUACION!$B$7:$B$36,B18)=0,"✖ Evaluación/paciente inconsistente",IF(E18="","✖ Intervención vacía",IF(AND(G18&lt;&gt;"",COUNTIF(OBJETIVOS!$C$7:$C$36,G18)=0),"▲ Objetivo inexistente","✔ Correcto"))))</f>
        <v/>
      </c>
    </row>
    <row r="19" spans="1:17" ht="14.25" customHeight="1">
      <c r="A19" s="26"/>
      <c r="B19" s="26"/>
      <c r="C19" s="27"/>
      <c r="D19" s="26"/>
      <c r="E19" s="26"/>
      <c r="F19" s="26"/>
      <c r="G19" s="26"/>
      <c r="H19" s="26"/>
      <c r="I19" s="26"/>
      <c r="J19" s="26"/>
      <c r="K19" s="26"/>
      <c r="L19" s="26"/>
      <c r="M19" s="27"/>
      <c r="N19" s="27"/>
      <c r="O19" s="26"/>
      <c r="P19" s="26"/>
      <c r="Q19" s="29" t="str">
        <f>IF(A19="","",IF(COUNTIFS(EVALUACION!$A$7:$A$36,A19,EVALUACION!$B$7:$B$36,B19)=0,"✖ Evaluación/paciente inconsistente",IF(E19="","✖ Intervención vacía",IF(AND(G19&lt;&gt;"",COUNTIF(OBJETIVOS!$C$7:$C$36,G19)=0),"▲ Objetivo inexistente","✔ Correcto"))))</f>
        <v/>
      </c>
    </row>
    <row r="20" spans="1:17" ht="14.25" customHeight="1">
      <c r="A20" s="26"/>
      <c r="B20" s="26"/>
      <c r="C20" s="27"/>
      <c r="D20" s="26"/>
      <c r="E20" s="26"/>
      <c r="F20" s="26"/>
      <c r="G20" s="26"/>
      <c r="H20" s="26"/>
      <c r="I20" s="26"/>
      <c r="J20" s="26"/>
      <c r="K20" s="26"/>
      <c r="L20" s="26"/>
      <c r="M20" s="27"/>
      <c r="N20" s="27"/>
      <c r="O20" s="26"/>
      <c r="P20" s="26"/>
      <c r="Q20" s="29" t="str">
        <f>IF(A20="","",IF(COUNTIFS(EVALUACION!$A$7:$A$36,A20,EVALUACION!$B$7:$B$36,B20)=0,"✖ Evaluación/paciente inconsistente",IF(E20="","✖ Intervención vacía",IF(AND(G20&lt;&gt;"",COUNTIF(OBJETIVOS!$C$7:$C$36,G20)=0),"▲ Objetivo inexistente","✔ Correcto"))))</f>
        <v/>
      </c>
    </row>
    <row r="21" spans="1:17" ht="14.25" customHeight="1">
      <c r="A21" s="26"/>
      <c r="B21" s="26"/>
      <c r="C21" s="27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27"/>
      <c r="O21" s="26"/>
      <c r="P21" s="26"/>
      <c r="Q21" s="29" t="str">
        <f>IF(A21="","",IF(COUNTIFS(EVALUACION!$A$7:$A$36,A21,EVALUACION!$B$7:$B$36,B21)=0,"✖ Evaluación/paciente inconsistente",IF(E21="","✖ Intervención vacía",IF(AND(G21&lt;&gt;"",COUNTIF(OBJETIVOS!$C$7:$C$36,G21)=0),"▲ Objetivo inexistente","✔ Correcto"))))</f>
        <v/>
      </c>
    </row>
    <row r="22" spans="1:17" ht="14.25" customHeight="1">
      <c r="A22" s="26"/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7"/>
      <c r="O22" s="26"/>
      <c r="P22" s="26"/>
      <c r="Q22" s="29" t="str">
        <f>IF(A22="","",IF(COUNTIFS(EVALUACION!$A$7:$A$36,A22,EVALUACION!$B$7:$B$36,B22)=0,"✖ Evaluación/paciente inconsistente",IF(E22="","✖ Intervención vacía",IF(AND(G22&lt;&gt;"",COUNTIF(OBJETIVOS!$C$7:$C$36,G22)=0),"▲ Objetivo inexistente","✔ Correcto"))))</f>
        <v/>
      </c>
    </row>
    <row r="23" spans="1:17" ht="14.25" customHeight="1">
      <c r="A23" s="26"/>
      <c r="B23" s="26"/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7"/>
      <c r="N23" s="27"/>
      <c r="O23" s="26"/>
      <c r="P23" s="26"/>
      <c r="Q23" s="29" t="str">
        <f>IF(A23="","",IF(COUNTIFS(EVALUACION!$A$7:$A$36,A23,EVALUACION!$B$7:$B$36,B23)=0,"✖ Evaluación/paciente inconsistente",IF(E23="","✖ Intervención vacía",IF(AND(G23&lt;&gt;"",COUNTIF(OBJETIVOS!$C$7:$C$36,G23)=0),"▲ Objetivo inexistente","✔ Correcto"))))</f>
        <v/>
      </c>
    </row>
    <row r="24" spans="1:17" ht="14.25" customHeight="1">
      <c r="A24" s="26"/>
      <c r="B24" s="26"/>
      <c r="C24" s="27"/>
      <c r="D24" s="26"/>
      <c r="E24" s="26"/>
      <c r="F24" s="26"/>
      <c r="G24" s="26"/>
      <c r="H24" s="26"/>
      <c r="I24" s="26"/>
      <c r="J24" s="26"/>
      <c r="K24" s="26"/>
      <c r="L24" s="26"/>
      <c r="M24" s="27"/>
      <c r="N24" s="27"/>
      <c r="O24" s="26"/>
      <c r="P24" s="26"/>
      <c r="Q24" s="29" t="str">
        <f>IF(A24="","",IF(COUNTIFS(EVALUACION!$A$7:$A$36,A24,EVALUACION!$B$7:$B$36,B24)=0,"✖ Evaluación/paciente inconsistente",IF(E24="","✖ Intervención vacía",IF(AND(G24&lt;&gt;"",COUNTIF(OBJETIVOS!$C$7:$C$36,G24)=0),"▲ Objetivo inexistente","✔ Correcto"))))</f>
        <v/>
      </c>
    </row>
    <row r="25" spans="1:17" ht="14.25" customHeight="1">
      <c r="A25" s="26"/>
      <c r="B25" s="26"/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7"/>
      <c r="N25" s="27"/>
      <c r="O25" s="26"/>
      <c r="P25" s="26"/>
      <c r="Q25" s="29" t="str">
        <f>IF(A25="","",IF(COUNTIFS(EVALUACION!$A$7:$A$36,A25,EVALUACION!$B$7:$B$36,B25)=0,"✖ Evaluación/paciente inconsistente",IF(E25="","✖ Intervención vacía",IF(AND(G25&lt;&gt;"",COUNTIF(OBJETIVOS!$C$7:$C$36,G25)=0),"▲ Objetivo inexistente","✔ Correcto"))))</f>
        <v/>
      </c>
    </row>
    <row r="26" spans="1:17" ht="14.25" customHeight="1">
      <c r="A26" s="26"/>
      <c r="B26" s="26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7"/>
      <c r="N26" s="27"/>
      <c r="O26" s="26"/>
      <c r="P26" s="26"/>
      <c r="Q26" s="29" t="str">
        <f>IF(A26="","",IF(COUNTIFS(EVALUACION!$A$7:$A$36,A26,EVALUACION!$B$7:$B$36,B26)=0,"✖ Evaluación/paciente inconsistente",IF(E26="","✖ Intervención vacía",IF(AND(G26&lt;&gt;"",COUNTIF(OBJETIVOS!$C$7:$C$36,G26)=0),"▲ Objetivo inexistente","✔ Correcto"))))</f>
        <v/>
      </c>
    </row>
    <row r="27" spans="1:17" ht="14.25" customHeight="1">
      <c r="A27" s="26"/>
      <c r="B27" s="26"/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7"/>
      <c r="N27" s="27"/>
      <c r="O27" s="26"/>
      <c r="P27" s="26"/>
      <c r="Q27" s="29" t="str">
        <f>IF(A27="","",IF(COUNTIFS(EVALUACION!$A$7:$A$36,A27,EVALUACION!$B$7:$B$36,B27)=0,"✖ Evaluación/paciente inconsistente",IF(E27="","✖ Intervención vacía",IF(AND(G27&lt;&gt;"",COUNTIF(OBJETIVOS!$C$7:$C$36,G27)=0),"▲ Objetivo inexistente","✔ Correcto"))))</f>
        <v/>
      </c>
    </row>
    <row r="28" spans="1:17" ht="14.25" customHeight="1">
      <c r="A28" s="26"/>
      <c r="B28" s="26"/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27"/>
      <c r="O28" s="26"/>
      <c r="P28" s="26"/>
      <c r="Q28" s="29" t="str">
        <f>IF(A28="","",IF(COUNTIFS(EVALUACION!$A$7:$A$36,A28,EVALUACION!$B$7:$B$36,B28)=0,"✖ Evaluación/paciente inconsistente",IF(E28="","✖ Intervención vacía",IF(AND(G28&lt;&gt;"",COUNTIF(OBJETIVOS!$C$7:$C$36,G28)=0),"▲ Objetivo inexistente","✔ Correcto"))))</f>
        <v/>
      </c>
    </row>
    <row r="29" spans="1:17" ht="14.25" customHeight="1">
      <c r="A29" s="26"/>
      <c r="B29" s="26"/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7"/>
      <c r="N29" s="27"/>
      <c r="O29" s="26"/>
      <c r="P29" s="26"/>
      <c r="Q29" s="29" t="str">
        <f>IF(A29="","",IF(COUNTIFS(EVALUACION!$A$7:$A$36,A29,EVALUACION!$B$7:$B$36,B29)=0,"✖ Evaluación/paciente inconsistente",IF(E29="","✖ Intervención vacía",IF(AND(G29&lt;&gt;"",COUNTIF(OBJETIVOS!$C$7:$C$36,G29)=0),"▲ Objetivo inexistente","✔ Correcto"))))</f>
        <v/>
      </c>
    </row>
    <row r="30" spans="1:17" ht="14.25" customHeight="1">
      <c r="A30" s="26"/>
      <c r="B30" s="26"/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7"/>
      <c r="N30" s="27"/>
      <c r="O30" s="26"/>
      <c r="P30" s="26"/>
      <c r="Q30" s="29" t="str">
        <f>IF(A30="","",IF(COUNTIFS(EVALUACION!$A$7:$A$36,A30,EVALUACION!$B$7:$B$36,B30)=0,"✖ Evaluación/paciente inconsistente",IF(E30="","✖ Intervención vacía",IF(AND(G30&lt;&gt;"",COUNTIF(OBJETIVOS!$C$7:$C$36,G30)=0),"▲ Objetivo inexistente","✔ Correcto"))))</f>
        <v/>
      </c>
    </row>
    <row r="31" spans="1:17" ht="14.25" customHeight="1">
      <c r="A31" s="26"/>
      <c r="B31" s="26"/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7"/>
      <c r="N31" s="27"/>
      <c r="O31" s="26"/>
      <c r="P31" s="26"/>
      <c r="Q31" s="29" t="str">
        <f>IF(A31="","",IF(COUNTIFS(EVALUACION!$A$7:$A$36,A31,EVALUACION!$B$7:$B$36,B31)=0,"✖ Evaluación/paciente inconsistente",IF(E31="","✖ Intervención vacía",IF(AND(G31&lt;&gt;"",COUNTIF(OBJETIVOS!$C$7:$C$36,G31)=0),"▲ Objetivo inexistente","✔ Correcto"))))</f>
        <v/>
      </c>
    </row>
    <row r="32" spans="1:17" ht="14.25" customHeight="1">
      <c r="A32" s="26"/>
      <c r="B32" s="26"/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7"/>
      <c r="N32" s="27"/>
      <c r="O32" s="26"/>
      <c r="P32" s="26"/>
      <c r="Q32" s="29" t="str">
        <f>IF(A32="","",IF(COUNTIFS(EVALUACION!$A$7:$A$36,A32,EVALUACION!$B$7:$B$36,B32)=0,"✖ Evaluación/paciente inconsistente",IF(E32="","✖ Intervención vacía",IF(AND(G32&lt;&gt;"",COUNTIF(OBJETIVOS!$C$7:$C$36,G32)=0),"▲ Objetivo inexistente","✔ Correcto"))))</f>
        <v/>
      </c>
    </row>
    <row r="33" spans="1:17" ht="14.25" customHeight="1">
      <c r="A33" s="26"/>
      <c r="B33" s="26"/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7"/>
      <c r="N33" s="27"/>
      <c r="O33" s="26"/>
      <c r="P33" s="26"/>
      <c r="Q33" s="29" t="str">
        <f>IF(A33="","",IF(COUNTIFS(EVALUACION!$A$7:$A$36,A33,EVALUACION!$B$7:$B$36,B33)=0,"✖ Evaluación/paciente inconsistente",IF(E33="","✖ Intervención vacía",IF(AND(G33&lt;&gt;"",COUNTIF(OBJETIVOS!$C$7:$C$36,G33)=0),"▲ Objetivo inexistente","✔ Correcto"))))</f>
        <v/>
      </c>
    </row>
    <row r="34" spans="1:17" ht="14.25" customHeight="1">
      <c r="A34" s="26"/>
      <c r="B34" s="26"/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7"/>
      <c r="N34" s="27"/>
      <c r="O34" s="26"/>
      <c r="P34" s="26"/>
      <c r="Q34" s="29" t="str">
        <f>IF(A34="","",IF(COUNTIFS(EVALUACION!$A$7:$A$36,A34,EVALUACION!$B$7:$B$36,B34)=0,"✖ Evaluación/paciente inconsistente",IF(E34="","✖ Intervención vacía",IF(AND(G34&lt;&gt;"",COUNTIF(OBJETIVOS!$C$7:$C$36,G34)=0),"▲ Objetivo inexistente","✔ Correcto"))))</f>
        <v/>
      </c>
    </row>
    <row r="35" spans="1:17" ht="14.25" customHeight="1">
      <c r="A35" s="26"/>
      <c r="B35" s="26"/>
      <c r="C35" s="27"/>
      <c r="D35" s="26"/>
      <c r="E35" s="26"/>
      <c r="F35" s="26"/>
      <c r="G35" s="26"/>
      <c r="H35" s="26"/>
      <c r="I35" s="26"/>
      <c r="J35" s="26"/>
      <c r="K35" s="26"/>
      <c r="L35" s="26"/>
      <c r="M35" s="27"/>
      <c r="N35" s="27"/>
      <c r="O35" s="26"/>
      <c r="P35" s="26"/>
      <c r="Q35" s="29" t="str">
        <f>IF(A35="","",IF(COUNTIFS(EVALUACION!$A$7:$A$36,A35,EVALUACION!$B$7:$B$36,B35)=0,"✖ Evaluación/paciente inconsistente",IF(E35="","✖ Intervención vacía",IF(AND(G35&lt;&gt;"",COUNTIF(OBJETIVOS!$C$7:$C$36,G35)=0),"▲ Objetivo inexistente","✔ Correcto"))))</f>
        <v/>
      </c>
    </row>
    <row r="36" spans="1:17" ht="14.25" customHeight="1">
      <c r="A36" s="26"/>
      <c r="B36" s="26"/>
      <c r="C36" s="27"/>
      <c r="D36" s="26"/>
      <c r="E36" s="26"/>
      <c r="F36" s="26"/>
      <c r="G36" s="26"/>
      <c r="H36" s="26"/>
      <c r="I36" s="26"/>
      <c r="J36" s="26"/>
      <c r="K36" s="26"/>
      <c r="L36" s="26"/>
      <c r="M36" s="27"/>
      <c r="N36" s="27"/>
      <c r="O36" s="26"/>
      <c r="P36" s="26"/>
      <c r="Q36" s="29" t="str">
        <f>IF(A36="","",IF(COUNTIFS(EVALUACION!$A$7:$A$36,A36,EVALUACION!$B$7:$B$36,B36)=0,"✖ Evaluación/paciente inconsistente",IF(E36="","✖ Intervención vacía",IF(AND(G36&lt;&gt;"",COUNTIF(OBJETIVOS!$C$7:$C$36,G36)=0),"▲ Objetivo inexistente","✔ Correcto"))))</f>
        <v/>
      </c>
    </row>
  </sheetData>
  <mergeCells count="3">
    <mergeCell ref="A1:Q1"/>
    <mergeCell ref="A3:Q3"/>
    <mergeCell ref="A5:Q5"/>
  </mergeCells>
  <conditionalFormatting sqref="Q7:Q36">
    <cfRule type="expression" dxfId="12" priority="2">
      <formula>LEFT(Q7,1)="✖"</formula>
    </cfRule>
    <cfRule type="expression" dxfId="11" priority="3">
      <formula>LEFT(Q7,1)="▲"</formula>
    </cfRule>
    <cfRule type="expression" dxfId="10" priority="4">
      <formula>LEFT(Q7,1)="✔"</formula>
    </cfRule>
  </conditionalFormatting>
  <dataValidations count="4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Q7:Q8" xr:uid="{00000000-0002-0000-0C00-000000000000}">
      <formula1>0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D7:D36" xr:uid="{00000000-0002-0000-0C00-000001000000}">
      <formula1>Lista_CategoriaIntervencion</formula1>
      <formula2>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L7:L36" xr:uid="{00000000-0002-0000-0C00-000002000000}">
      <formula1>Lista_EstadoRegistro</formula1>
      <formula2>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C7:C36 M7:M36" xr:uid="{00000000-0002-0000-0C00-000003000000}">
      <formula1>DATE(1900,1,1)</formula1>
      <formula2>TODAY()+3650</formula2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6"/>
  <sheetViews>
    <sheetView showGridLines="0" workbookViewId="0">
      <selection sqref="A1:Y1"/>
    </sheetView>
  </sheetViews>
  <sheetFormatPr baseColWidth="10" defaultColWidth="9" defaultRowHeight="15"/>
  <cols>
    <col min="1" max="2" width="14" style="15" customWidth="1"/>
    <col min="3" max="3" width="12" style="15" customWidth="1"/>
    <col min="4" max="4" width="18" style="15" customWidth="1"/>
    <col min="5" max="5" width="14" style="15" customWidth="1"/>
    <col min="6" max="9" width="12" style="15" customWidth="1"/>
    <col min="10" max="10" width="20" style="15" customWidth="1"/>
    <col min="11" max="11" width="22" style="15" customWidth="1"/>
    <col min="12" max="13" width="14" style="15" customWidth="1"/>
    <col min="14" max="14" width="24" style="15" customWidth="1"/>
    <col min="15" max="19" width="22" style="15" customWidth="1"/>
    <col min="20" max="20" width="26" style="15" customWidth="1"/>
    <col min="21" max="21" width="24" style="15" customWidth="1"/>
    <col min="22" max="22" width="12" style="15" customWidth="1"/>
    <col min="23" max="23" width="14" style="15" customWidth="1"/>
    <col min="24" max="24" width="34" style="15" customWidth="1"/>
    <col min="25" max="25" width="30" style="15" customWidth="1"/>
  </cols>
  <sheetData>
    <row r="1" spans="1:25" ht="27.75" customHeight="1">
      <c r="A1" s="14" t="s">
        <v>477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25" ht="30" customHeight="1">
      <c r="A3" s="13" t="s">
        <v>478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5" spans="1:25" ht="19.5" customHeight="1">
      <c r="A5" s="12" t="s">
        <v>479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6" customHeight="1">
      <c r="A6" s="19" t="s">
        <v>128</v>
      </c>
      <c r="B6" s="19" t="s">
        <v>76</v>
      </c>
      <c r="C6" s="19" t="s">
        <v>129</v>
      </c>
      <c r="D6" s="19" t="s">
        <v>480</v>
      </c>
      <c r="E6" s="19" t="s">
        <v>481</v>
      </c>
      <c r="F6" s="19" t="s">
        <v>482</v>
      </c>
      <c r="G6" s="19" t="s">
        <v>483</v>
      </c>
      <c r="H6" s="19" t="s">
        <v>201</v>
      </c>
      <c r="I6" s="19" t="s">
        <v>202</v>
      </c>
      <c r="J6" s="19" t="s">
        <v>385</v>
      </c>
      <c r="K6" s="19" t="s">
        <v>484</v>
      </c>
      <c r="L6" s="19" t="s">
        <v>485</v>
      </c>
      <c r="M6" s="19" t="s">
        <v>486</v>
      </c>
      <c r="N6" s="19" t="s">
        <v>487</v>
      </c>
      <c r="O6" s="19" t="s">
        <v>488</v>
      </c>
      <c r="P6" s="19" t="s">
        <v>489</v>
      </c>
      <c r="Q6" s="19" t="s">
        <v>490</v>
      </c>
      <c r="R6" s="19" t="s">
        <v>491</v>
      </c>
      <c r="S6" s="19" t="s">
        <v>492</v>
      </c>
      <c r="T6" s="19" t="s">
        <v>493</v>
      </c>
      <c r="U6" s="19" t="s">
        <v>494</v>
      </c>
      <c r="V6" s="19" t="s">
        <v>495</v>
      </c>
      <c r="W6" s="19" t="s">
        <v>12</v>
      </c>
      <c r="X6" s="19" t="s">
        <v>98</v>
      </c>
      <c r="Y6" s="19" t="s">
        <v>99</v>
      </c>
    </row>
    <row r="7" spans="1:25" ht="24" customHeight="1">
      <c r="A7" s="26" t="s">
        <v>154</v>
      </c>
      <c r="B7" s="26" t="s">
        <v>111</v>
      </c>
      <c r="C7" s="27">
        <v>46204</v>
      </c>
      <c r="D7" s="26" t="s">
        <v>152</v>
      </c>
      <c r="E7" s="28">
        <f>IF(D7="","",IF(COUNTIF(EVALUACION!$A$7:$A$3006,D7)=0,"",C7-INDEX(EVALUACION!$C$7:$C$3006,MATCH(D7,EVALUACION!$A$7:$A$3006,0))))</f>
        <v>61</v>
      </c>
      <c r="F7" s="28">
        <f>IF(COUNTIF(ANTROPOMETRIA!$A$7:$A$3006,A7)=0,"",INDEX(ANTROPOMETRIA!$D$7:$D$3006,MATCH(A7,ANTROPOMETRIA!$A$7:$A$3006,0)))</f>
        <v>87</v>
      </c>
      <c r="G7" s="28">
        <f>IF(OR(D7="",COUNTIF(ANTROPOMETRIA!$A$7:$A$3006,D7)=0),"",INDEX(ANTROPOMETRIA!$D$7:$D$3006,MATCH(D7,ANTROPOMETRIA!$A$7:$A$3006,0)))</f>
        <v>90</v>
      </c>
      <c r="H7" s="28">
        <f t="shared" ref="H7:H36" si="0">IF(AND(ISNUMBER(F7),ISNUMBER(G7)),F7-G7,"")</f>
        <v>-3</v>
      </c>
      <c r="I7" s="32">
        <f t="shared" ref="I7:I36" si="1">IF(AND(ISNUMBER(F7),ISNUMBER(G7),G7&lt;&gt;0),(F7-G7)/G7,"")</f>
        <v>-3.3333333333333333E-2</v>
      </c>
      <c r="J7" s="26" t="s">
        <v>394</v>
      </c>
      <c r="K7" s="26" t="s">
        <v>496</v>
      </c>
      <c r="L7" s="28">
        <f>IF(A7="","",COUNTIFS(OBJETIVOS!$A$7:$A$3006,A7,OBJETIVOS!$N$7:$N$3006,"Cumplido"))</f>
        <v>0</v>
      </c>
      <c r="M7" s="28">
        <f>IF(A7="","",COUNTIFS(OBJETIVOS!$A$7:$A$3006,A7,OBJETIVOS!$N$7:$N$3006,"Activo"))</f>
        <v>1</v>
      </c>
      <c r="N7" s="26" t="s">
        <v>497</v>
      </c>
      <c r="O7" s="26" t="s">
        <v>460</v>
      </c>
      <c r="P7" s="26" t="s">
        <v>448</v>
      </c>
      <c r="Q7" s="26" t="s">
        <v>497</v>
      </c>
      <c r="R7" s="26" t="s">
        <v>498</v>
      </c>
      <c r="S7" s="26" t="s">
        <v>499</v>
      </c>
      <c r="T7" s="26" t="s">
        <v>500</v>
      </c>
      <c r="U7" s="26" t="s">
        <v>501</v>
      </c>
      <c r="V7" s="27">
        <v>46235</v>
      </c>
      <c r="W7" s="26" t="s">
        <v>158</v>
      </c>
      <c r="X7" s="26" t="s">
        <v>110</v>
      </c>
      <c r="Y7" s="29" t="str">
        <f>IF(A7="","",IF(COUNTIFS(EVALUACION!$A$7:$A$3006,A7,EVALUACION!$B$7:$B$3006,B7)=0,"✖ Evaluación actual inconsistente",IF(D7="","▲ Sin evaluación anterior",IF(COUNTIF(EVALUACION!$A$7:$A$3006,D7)=0,"✖ Evaluación anterior inexistente",IF(COUNTIFS(EVALUACION!$A$7:$A$3006,D7,EVALUACION!$B$7:$B$3006,B7)=0,"✖ Evaluación anterior de otro paciente",IF(INDEX(EVALUACION!$C$7:$C$3006,MATCH(D7,EVALUACION!$A$7:$A$3006,0))&gt;C7,"✖ Fecha anterior posterior",IF(AND(ISNUMBER(V7),V7&lt;C7),"✖ Próxima fecha anterior","✔ Correcto")))))))</f>
        <v>✔ Correcto</v>
      </c>
    </row>
    <row r="8" spans="1:25" ht="14.25" customHeight="1">
      <c r="A8" s="26"/>
      <c r="B8" s="26"/>
      <c r="C8" s="27"/>
      <c r="D8" s="26"/>
      <c r="E8" s="29" t="str">
        <f>IF(D8="","",IF(COUNTIF(EVALUACION!$A$7:$A$36,D8)=0,"",C8-INDEX(EVALUACION!$C$7:$C$36,MATCH(D8,EVALUACION!$A$7:$A$36,0))))</f>
        <v/>
      </c>
      <c r="F8" s="29" t="str">
        <f>IF(COUNTIF(ANTROPOMETRIA!$A$7:$A$36,A8)=0,"",INDEX(ANTROPOMETRIA!$D$7:$D$36,MATCH(A8,ANTROPOMETRIA!$A$7:$A$36,0)))</f>
        <v/>
      </c>
      <c r="G8" s="29" t="str">
        <f>IF(OR(D8="",COUNTIF(ANTROPOMETRIA!$A$7:$A$36,D8)=0),"",INDEX(ANTROPOMETRIA!$D$7:$D$36,MATCH(D8,ANTROPOMETRIA!$A$7:$A$36,0)))</f>
        <v/>
      </c>
      <c r="H8" s="29" t="str">
        <f t="shared" si="0"/>
        <v/>
      </c>
      <c r="I8" s="32" t="str">
        <f t="shared" si="1"/>
        <v/>
      </c>
      <c r="J8" s="26"/>
      <c r="K8" s="26"/>
      <c r="L8" s="29" t="str">
        <f>IF(A8="","",COUNTIFS(OBJETIVOS!$A$7:$A$36,A8,OBJETIVOS!$N$7:$N$36,"Cumplido"))</f>
        <v/>
      </c>
      <c r="M8" s="29" t="str">
        <f>IF(A8="","",COUNTIFS(OBJETIVOS!$A$7:$A$36,A8,OBJETIVOS!$N$7:$N$36,"Activo"))</f>
        <v/>
      </c>
      <c r="N8" s="26"/>
      <c r="O8" s="26"/>
      <c r="P8" s="26"/>
      <c r="Q8" s="26"/>
      <c r="R8" s="26"/>
      <c r="S8" s="26"/>
      <c r="T8" s="26"/>
      <c r="U8" s="26"/>
      <c r="V8" s="27"/>
      <c r="W8" s="26"/>
      <c r="X8" s="26"/>
      <c r="Y8" s="29" t="str">
        <f>IF(A8="","",IF(COUNTIFS(EVALUACION!$A$7:$A$36,A8,EVALUACION!$B$7:$B$36,B8)=0,"✖ Evaluación actual inconsistente",IF(D8="","▲ Sin evaluación anterior",IF(COUNTIF(EVALUACION!$A$7:$A$36,D8)=0,"✖ Evaluación anterior inexistente",IF(COUNTIFS(EVALUACION!$A$7:$A$36,D8,EVALUACION!$B$7:$B$36,B8)=0,"✖ Evaluación anterior de otro paciente",IF(INDEX(EVALUACION!$C$7:$C$36,MATCH(D8,EVALUACION!$A$7:$A$36,0))&gt;C8,"✖ Fecha anterior posterior",IF(AND(ISNUMBER(V8),V8&lt;C8),"✖ Próxima fecha anterior","✔ Correcto")))))))</f>
        <v/>
      </c>
    </row>
    <row r="9" spans="1:25" ht="14.25" customHeight="1">
      <c r="A9" s="26"/>
      <c r="B9" s="26"/>
      <c r="C9" s="27"/>
      <c r="D9" s="26"/>
      <c r="E9" s="29" t="str">
        <f>IF(D9="","",IF(COUNTIF(EVALUACION!$A$7:$A$36,D9)=0,"",C9-INDEX(EVALUACION!$C$7:$C$36,MATCH(D9,EVALUACION!$A$7:$A$36,0))))</f>
        <v/>
      </c>
      <c r="F9" s="29" t="str">
        <f>IF(COUNTIF(ANTROPOMETRIA!$A$7:$A$36,A9)=0,"",INDEX(ANTROPOMETRIA!$D$7:$D$36,MATCH(A9,ANTROPOMETRIA!$A$7:$A$36,0)))</f>
        <v/>
      </c>
      <c r="G9" s="29" t="str">
        <f>IF(OR(D9="",COUNTIF(ANTROPOMETRIA!$A$7:$A$36,D9)=0),"",INDEX(ANTROPOMETRIA!$D$7:$D$36,MATCH(D9,ANTROPOMETRIA!$A$7:$A$36,0)))</f>
        <v/>
      </c>
      <c r="H9" s="29" t="str">
        <f t="shared" si="0"/>
        <v/>
      </c>
      <c r="I9" s="32" t="str">
        <f t="shared" si="1"/>
        <v/>
      </c>
      <c r="J9" s="26"/>
      <c r="K9" s="26"/>
      <c r="L9" s="29" t="str">
        <f>IF(A9="","",COUNTIFS(OBJETIVOS!$A$7:$A$36,A9,OBJETIVOS!$N$7:$N$36,"Cumplido"))</f>
        <v/>
      </c>
      <c r="M9" s="29" t="str">
        <f>IF(A9="","",COUNTIFS(OBJETIVOS!$A$7:$A$36,A9,OBJETIVOS!$N$7:$N$36,"Activo"))</f>
        <v/>
      </c>
      <c r="N9" s="26"/>
      <c r="O9" s="26"/>
      <c r="P9" s="26"/>
      <c r="Q9" s="26"/>
      <c r="R9" s="26"/>
      <c r="S9" s="26"/>
      <c r="T9" s="26"/>
      <c r="U9" s="26"/>
      <c r="V9" s="27"/>
      <c r="W9" s="26"/>
      <c r="X9" s="26"/>
      <c r="Y9" s="29" t="str">
        <f>IF(A9="","",IF(COUNTIFS(EVALUACION!$A$7:$A$36,A9,EVALUACION!$B$7:$B$36,B9)=0,"✖ Evaluación actual inconsistente",IF(D9="","▲ Sin evaluación anterior",IF(COUNTIF(EVALUACION!$A$7:$A$36,D9)=0,"✖ Evaluación anterior inexistente",IF(COUNTIFS(EVALUACION!$A$7:$A$36,D9,EVALUACION!$B$7:$B$36,B9)=0,"✖ Evaluación anterior de otro paciente",IF(INDEX(EVALUACION!$C$7:$C$36,MATCH(D9,EVALUACION!$A$7:$A$36,0))&gt;C9,"✖ Fecha anterior posterior",IF(AND(ISNUMBER(V9),V9&lt;C9),"✖ Próxima fecha anterior","✔ Correcto")))))))</f>
        <v/>
      </c>
    </row>
    <row r="10" spans="1:25" ht="14.25" customHeight="1">
      <c r="A10" s="26"/>
      <c r="B10" s="26"/>
      <c r="C10" s="27"/>
      <c r="D10" s="26"/>
      <c r="E10" s="29" t="str">
        <f>IF(D10="","",IF(COUNTIF(EVALUACION!$A$7:$A$36,D10)=0,"",C10-INDEX(EVALUACION!$C$7:$C$36,MATCH(D10,EVALUACION!$A$7:$A$36,0))))</f>
        <v/>
      </c>
      <c r="F10" s="29" t="str">
        <f>IF(COUNTIF(ANTROPOMETRIA!$A$7:$A$36,A10)=0,"",INDEX(ANTROPOMETRIA!$D$7:$D$36,MATCH(A10,ANTROPOMETRIA!$A$7:$A$36,0)))</f>
        <v/>
      </c>
      <c r="G10" s="29" t="str">
        <f>IF(OR(D10="",COUNTIF(ANTROPOMETRIA!$A$7:$A$36,D10)=0),"",INDEX(ANTROPOMETRIA!$D$7:$D$36,MATCH(D10,ANTROPOMETRIA!$A$7:$A$36,0)))</f>
        <v/>
      </c>
      <c r="H10" s="29" t="str">
        <f t="shared" si="0"/>
        <v/>
      </c>
      <c r="I10" s="32" t="str">
        <f t="shared" si="1"/>
        <v/>
      </c>
      <c r="J10" s="26"/>
      <c r="K10" s="26"/>
      <c r="L10" s="29" t="str">
        <f>IF(A10="","",COUNTIFS(OBJETIVOS!$A$7:$A$36,A10,OBJETIVOS!$N$7:$N$36,"Cumplido"))</f>
        <v/>
      </c>
      <c r="M10" s="29" t="str">
        <f>IF(A10="","",COUNTIFS(OBJETIVOS!$A$7:$A$36,A10,OBJETIVOS!$N$7:$N$36,"Activo"))</f>
        <v/>
      </c>
      <c r="N10" s="26"/>
      <c r="O10" s="26"/>
      <c r="P10" s="26"/>
      <c r="Q10" s="26"/>
      <c r="R10" s="26"/>
      <c r="S10" s="26"/>
      <c r="T10" s="26"/>
      <c r="U10" s="26"/>
      <c r="V10" s="27"/>
      <c r="W10" s="26"/>
      <c r="X10" s="26"/>
      <c r="Y10" s="29" t="str">
        <f>IF(A10="","",IF(COUNTIFS(EVALUACION!$A$7:$A$36,A10,EVALUACION!$B$7:$B$36,B10)=0,"✖ Evaluación actual inconsistente",IF(D10="","▲ Sin evaluación anterior",IF(COUNTIF(EVALUACION!$A$7:$A$36,D10)=0,"✖ Evaluación anterior inexistente",IF(COUNTIFS(EVALUACION!$A$7:$A$36,D10,EVALUACION!$B$7:$B$36,B10)=0,"✖ Evaluación anterior de otro paciente",IF(INDEX(EVALUACION!$C$7:$C$36,MATCH(D10,EVALUACION!$A$7:$A$36,0))&gt;C10,"✖ Fecha anterior posterior",IF(AND(ISNUMBER(V10),V10&lt;C10),"✖ Próxima fecha anterior","✔ Correcto")))))))</f>
        <v/>
      </c>
    </row>
    <row r="11" spans="1:25" ht="14.25" customHeight="1">
      <c r="A11" s="26"/>
      <c r="B11" s="26"/>
      <c r="C11" s="27"/>
      <c r="D11" s="26"/>
      <c r="E11" s="29" t="str">
        <f>IF(D11="","",IF(COUNTIF(EVALUACION!$A$7:$A$36,D11)=0,"",C11-INDEX(EVALUACION!$C$7:$C$36,MATCH(D11,EVALUACION!$A$7:$A$36,0))))</f>
        <v/>
      </c>
      <c r="F11" s="29" t="str">
        <f>IF(COUNTIF(ANTROPOMETRIA!$A$7:$A$36,A11)=0,"",INDEX(ANTROPOMETRIA!$D$7:$D$36,MATCH(A11,ANTROPOMETRIA!$A$7:$A$36,0)))</f>
        <v/>
      </c>
      <c r="G11" s="29" t="str">
        <f>IF(OR(D11="",COUNTIF(ANTROPOMETRIA!$A$7:$A$36,D11)=0),"",INDEX(ANTROPOMETRIA!$D$7:$D$36,MATCH(D11,ANTROPOMETRIA!$A$7:$A$36,0)))</f>
        <v/>
      </c>
      <c r="H11" s="29" t="str">
        <f t="shared" si="0"/>
        <v/>
      </c>
      <c r="I11" s="32" t="str">
        <f t="shared" si="1"/>
        <v/>
      </c>
      <c r="J11" s="26"/>
      <c r="K11" s="26"/>
      <c r="L11" s="29" t="str">
        <f>IF(A11="","",COUNTIFS(OBJETIVOS!$A$7:$A$36,A11,OBJETIVOS!$N$7:$N$36,"Cumplido"))</f>
        <v/>
      </c>
      <c r="M11" s="29" t="str">
        <f>IF(A11="","",COUNTIFS(OBJETIVOS!$A$7:$A$36,A11,OBJETIVOS!$N$7:$N$36,"Activo"))</f>
        <v/>
      </c>
      <c r="N11" s="26"/>
      <c r="O11" s="26"/>
      <c r="P11" s="26"/>
      <c r="Q11" s="26"/>
      <c r="R11" s="26"/>
      <c r="S11" s="26"/>
      <c r="T11" s="26"/>
      <c r="U11" s="26"/>
      <c r="V11" s="27"/>
      <c r="W11" s="26"/>
      <c r="X11" s="26"/>
      <c r="Y11" s="29" t="str">
        <f>IF(A11="","",IF(COUNTIFS(EVALUACION!$A$7:$A$36,A11,EVALUACION!$B$7:$B$36,B11)=0,"✖ Evaluación actual inconsistente",IF(D11="","▲ Sin evaluación anterior",IF(COUNTIF(EVALUACION!$A$7:$A$36,D11)=0,"✖ Evaluación anterior inexistente",IF(COUNTIFS(EVALUACION!$A$7:$A$36,D11,EVALUACION!$B$7:$B$36,B11)=0,"✖ Evaluación anterior de otro paciente",IF(INDEX(EVALUACION!$C$7:$C$36,MATCH(D11,EVALUACION!$A$7:$A$36,0))&gt;C11,"✖ Fecha anterior posterior",IF(AND(ISNUMBER(V11),V11&lt;C11),"✖ Próxima fecha anterior","✔ Correcto")))))))</f>
        <v/>
      </c>
    </row>
    <row r="12" spans="1:25" ht="14.25" customHeight="1">
      <c r="A12" s="26"/>
      <c r="B12" s="26"/>
      <c r="C12" s="27"/>
      <c r="D12" s="26"/>
      <c r="E12" s="29" t="str">
        <f>IF(D12="","",IF(COUNTIF(EVALUACION!$A$7:$A$36,D12)=0,"",C12-INDEX(EVALUACION!$C$7:$C$36,MATCH(D12,EVALUACION!$A$7:$A$36,0))))</f>
        <v/>
      </c>
      <c r="F12" s="29" t="str">
        <f>IF(COUNTIF(ANTROPOMETRIA!$A$7:$A$36,A12)=0,"",INDEX(ANTROPOMETRIA!$D$7:$D$36,MATCH(A12,ANTROPOMETRIA!$A$7:$A$36,0)))</f>
        <v/>
      </c>
      <c r="G12" s="29" t="str">
        <f>IF(OR(D12="",COUNTIF(ANTROPOMETRIA!$A$7:$A$36,D12)=0),"",INDEX(ANTROPOMETRIA!$D$7:$D$36,MATCH(D12,ANTROPOMETRIA!$A$7:$A$36,0)))</f>
        <v/>
      </c>
      <c r="H12" s="29" t="str">
        <f t="shared" si="0"/>
        <v/>
      </c>
      <c r="I12" s="32" t="str">
        <f t="shared" si="1"/>
        <v/>
      </c>
      <c r="J12" s="26"/>
      <c r="K12" s="26"/>
      <c r="L12" s="29" t="str">
        <f>IF(A12="","",COUNTIFS(OBJETIVOS!$A$7:$A$36,A12,OBJETIVOS!$N$7:$N$36,"Cumplido"))</f>
        <v/>
      </c>
      <c r="M12" s="29" t="str">
        <f>IF(A12="","",COUNTIFS(OBJETIVOS!$A$7:$A$36,A12,OBJETIVOS!$N$7:$N$36,"Activo"))</f>
        <v/>
      </c>
      <c r="N12" s="26"/>
      <c r="O12" s="26"/>
      <c r="P12" s="26"/>
      <c r="Q12" s="26"/>
      <c r="R12" s="26"/>
      <c r="S12" s="26"/>
      <c r="T12" s="26"/>
      <c r="U12" s="26"/>
      <c r="V12" s="27"/>
      <c r="W12" s="26"/>
      <c r="X12" s="26"/>
      <c r="Y12" s="29" t="str">
        <f>IF(A12="","",IF(COUNTIFS(EVALUACION!$A$7:$A$36,A12,EVALUACION!$B$7:$B$36,B12)=0,"✖ Evaluación actual inconsistente",IF(D12="","▲ Sin evaluación anterior",IF(COUNTIF(EVALUACION!$A$7:$A$36,D12)=0,"✖ Evaluación anterior inexistente",IF(COUNTIFS(EVALUACION!$A$7:$A$36,D12,EVALUACION!$B$7:$B$36,B12)=0,"✖ Evaluación anterior de otro paciente",IF(INDEX(EVALUACION!$C$7:$C$36,MATCH(D12,EVALUACION!$A$7:$A$36,0))&gt;C12,"✖ Fecha anterior posterior",IF(AND(ISNUMBER(V12),V12&lt;C12),"✖ Próxima fecha anterior","✔ Correcto")))))))</f>
        <v/>
      </c>
    </row>
    <row r="13" spans="1:25" ht="14.25" customHeight="1">
      <c r="A13" s="26"/>
      <c r="B13" s="26"/>
      <c r="C13" s="27"/>
      <c r="D13" s="26"/>
      <c r="E13" s="29" t="str">
        <f>IF(D13="","",IF(COUNTIF(EVALUACION!$A$7:$A$36,D13)=0,"",C13-INDEX(EVALUACION!$C$7:$C$36,MATCH(D13,EVALUACION!$A$7:$A$36,0))))</f>
        <v/>
      </c>
      <c r="F13" s="29" t="str">
        <f>IF(COUNTIF(ANTROPOMETRIA!$A$7:$A$36,A13)=0,"",INDEX(ANTROPOMETRIA!$D$7:$D$36,MATCH(A13,ANTROPOMETRIA!$A$7:$A$36,0)))</f>
        <v/>
      </c>
      <c r="G13" s="29" t="str">
        <f>IF(OR(D13="",COUNTIF(ANTROPOMETRIA!$A$7:$A$36,D13)=0),"",INDEX(ANTROPOMETRIA!$D$7:$D$36,MATCH(D13,ANTROPOMETRIA!$A$7:$A$36,0)))</f>
        <v/>
      </c>
      <c r="H13" s="29" t="str">
        <f t="shared" si="0"/>
        <v/>
      </c>
      <c r="I13" s="32" t="str">
        <f t="shared" si="1"/>
        <v/>
      </c>
      <c r="J13" s="26"/>
      <c r="K13" s="26"/>
      <c r="L13" s="29" t="str">
        <f>IF(A13="","",COUNTIFS(OBJETIVOS!$A$7:$A$36,A13,OBJETIVOS!$N$7:$N$36,"Cumplido"))</f>
        <v/>
      </c>
      <c r="M13" s="29" t="str">
        <f>IF(A13="","",COUNTIFS(OBJETIVOS!$A$7:$A$36,A13,OBJETIVOS!$N$7:$N$36,"Activo"))</f>
        <v/>
      </c>
      <c r="N13" s="26"/>
      <c r="O13" s="26"/>
      <c r="P13" s="26"/>
      <c r="Q13" s="26"/>
      <c r="R13" s="26"/>
      <c r="S13" s="26"/>
      <c r="T13" s="26"/>
      <c r="U13" s="26"/>
      <c r="V13" s="27"/>
      <c r="W13" s="26"/>
      <c r="X13" s="26"/>
      <c r="Y13" s="29" t="str">
        <f>IF(A13="","",IF(COUNTIFS(EVALUACION!$A$7:$A$36,A13,EVALUACION!$B$7:$B$36,B13)=0,"✖ Evaluación actual inconsistente",IF(D13="","▲ Sin evaluación anterior",IF(COUNTIF(EVALUACION!$A$7:$A$36,D13)=0,"✖ Evaluación anterior inexistente",IF(COUNTIFS(EVALUACION!$A$7:$A$36,D13,EVALUACION!$B$7:$B$36,B13)=0,"✖ Evaluación anterior de otro paciente",IF(INDEX(EVALUACION!$C$7:$C$36,MATCH(D13,EVALUACION!$A$7:$A$36,0))&gt;C13,"✖ Fecha anterior posterior",IF(AND(ISNUMBER(V13),V13&lt;C13),"✖ Próxima fecha anterior","✔ Correcto")))))))</f>
        <v/>
      </c>
    </row>
    <row r="14" spans="1:25" ht="14.25" customHeight="1">
      <c r="A14" s="26"/>
      <c r="B14" s="26"/>
      <c r="C14" s="27"/>
      <c r="D14" s="26"/>
      <c r="E14" s="29" t="str">
        <f>IF(D14="","",IF(COUNTIF(EVALUACION!$A$7:$A$36,D14)=0,"",C14-INDEX(EVALUACION!$C$7:$C$36,MATCH(D14,EVALUACION!$A$7:$A$36,0))))</f>
        <v/>
      </c>
      <c r="F14" s="29" t="str">
        <f>IF(COUNTIF(ANTROPOMETRIA!$A$7:$A$36,A14)=0,"",INDEX(ANTROPOMETRIA!$D$7:$D$36,MATCH(A14,ANTROPOMETRIA!$A$7:$A$36,0)))</f>
        <v/>
      </c>
      <c r="G14" s="29" t="str">
        <f>IF(OR(D14="",COUNTIF(ANTROPOMETRIA!$A$7:$A$36,D14)=0),"",INDEX(ANTROPOMETRIA!$D$7:$D$36,MATCH(D14,ANTROPOMETRIA!$A$7:$A$36,0)))</f>
        <v/>
      </c>
      <c r="H14" s="29" t="str">
        <f t="shared" si="0"/>
        <v/>
      </c>
      <c r="I14" s="32" t="str">
        <f t="shared" si="1"/>
        <v/>
      </c>
      <c r="J14" s="26"/>
      <c r="K14" s="26"/>
      <c r="L14" s="29" t="str">
        <f>IF(A14="","",COUNTIFS(OBJETIVOS!$A$7:$A$36,A14,OBJETIVOS!$N$7:$N$36,"Cumplido"))</f>
        <v/>
      </c>
      <c r="M14" s="29" t="str">
        <f>IF(A14="","",COUNTIFS(OBJETIVOS!$A$7:$A$36,A14,OBJETIVOS!$N$7:$N$36,"Activo"))</f>
        <v/>
      </c>
      <c r="N14" s="26"/>
      <c r="O14" s="26"/>
      <c r="P14" s="26"/>
      <c r="Q14" s="26"/>
      <c r="R14" s="26"/>
      <c r="S14" s="26"/>
      <c r="T14" s="26"/>
      <c r="U14" s="26"/>
      <c r="V14" s="27"/>
      <c r="W14" s="26"/>
      <c r="X14" s="26"/>
      <c r="Y14" s="29" t="str">
        <f>IF(A14="","",IF(COUNTIFS(EVALUACION!$A$7:$A$36,A14,EVALUACION!$B$7:$B$36,B14)=0,"✖ Evaluación actual inconsistente",IF(D14="","▲ Sin evaluación anterior",IF(COUNTIF(EVALUACION!$A$7:$A$36,D14)=0,"✖ Evaluación anterior inexistente",IF(COUNTIFS(EVALUACION!$A$7:$A$36,D14,EVALUACION!$B$7:$B$36,B14)=0,"✖ Evaluación anterior de otro paciente",IF(INDEX(EVALUACION!$C$7:$C$36,MATCH(D14,EVALUACION!$A$7:$A$36,0))&gt;C14,"✖ Fecha anterior posterior",IF(AND(ISNUMBER(V14),V14&lt;C14),"✖ Próxima fecha anterior","✔ Correcto")))))))</f>
        <v/>
      </c>
    </row>
    <row r="15" spans="1:25" ht="14.25" customHeight="1">
      <c r="A15" s="26"/>
      <c r="B15" s="26"/>
      <c r="C15" s="27"/>
      <c r="D15" s="26"/>
      <c r="E15" s="29" t="str">
        <f>IF(D15="","",IF(COUNTIF(EVALUACION!$A$7:$A$36,D15)=0,"",C15-INDEX(EVALUACION!$C$7:$C$36,MATCH(D15,EVALUACION!$A$7:$A$36,0))))</f>
        <v/>
      </c>
      <c r="F15" s="29" t="str">
        <f>IF(COUNTIF(ANTROPOMETRIA!$A$7:$A$36,A15)=0,"",INDEX(ANTROPOMETRIA!$D$7:$D$36,MATCH(A15,ANTROPOMETRIA!$A$7:$A$36,0)))</f>
        <v/>
      </c>
      <c r="G15" s="29" t="str">
        <f>IF(OR(D15="",COUNTIF(ANTROPOMETRIA!$A$7:$A$36,D15)=0),"",INDEX(ANTROPOMETRIA!$D$7:$D$36,MATCH(D15,ANTROPOMETRIA!$A$7:$A$36,0)))</f>
        <v/>
      </c>
      <c r="H15" s="29" t="str">
        <f t="shared" si="0"/>
        <v/>
      </c>
      <c r="I15" s="32" t="str">
        <f t="shared" si="1"/>
        <v/>
      </c>
      <c r="J15" s="26"/>
      <c r="K15" s="26"/>
      <c r="L15" s="29" t="str">
        <f>IF(A15="","",COUNTIFS(OBJETIVOS!$A$7:$A$36,A15,OBJETIVOS!$N$7:$N$36,"Cumplido"))</f>
        <v/>
      </c>
      <c r="M15" s="29" t="str">
        <f>IF(A15="","",COUNTIFS(OBJETIVOS!$A$7:$A$36,A15,OBJETIVOS!$N$7:$N$36,"Activo"))</f>
        <v/>
      </c>
      <c r="N15" s="26"/>
      <c r="O15" s="26"/>
      <c r="P15" s="26"/>
      <c r="Q15" s="26"/>
      <c r="R15" s="26"/>
      <c r="S15" s="26"/>
      <c r="T15" s="26"/>
      <c r="U15" s="26"/>
      <c r="V15" s="27"/>
      <c r="W15" s="26"/>
      <c r="X15" s="26"/>
      <c r="Y15" s="29" t="str">
        <f>IF(A15="","",IF(COUNTIFS(EVALUACION!$A$7:$A$36,A15,EVALUACION!$B$7:$B$36,B15)=0,"✖ Evaluación actual inconsistente",IF(D15="","▲ Sin evaluación anterior",IF(COUNTIF(EVALUACION!$A$7:$A$36,D15)=0,"✖ Evaluación anterior inexistente",IF(COUNTIFS(EVALUACION!$A$7:$A$36,D15,EVALUACION!$B$7:$B$36,B15)=0,"✖ Evaluación anterior de otro paciente",IF(INDEX(EVALUACION!$C$7:$C$36,MATCH(D15,EVALUACION!$A$7:$A$36,0))&gt;C15,"✖ Fecha anterior posterior",IF(AND(ISNUMBER(V15),V15&lt;C15),"✖ Próxima fecha anterior","✔ Correcto")))))))</f>
        <v/>
      </c>
    </row>
    <row r="16" spans="1:25" ht="14.25" customHeight="1">
      <c r="A16" s="26"/>
      <c r="B16" s="26"/>
      <c r="C16" s="27"/>
      <c r="D16" s="26"/>
      <c r="E16" s="29" t="str">
        <f>IF(D16="","",IF(COUNTIF(EVALUACION!$A$7:$A$36,D16)=0,"",C16-INDEX(EVALUACION!$C$7:$C$36,MATCH(D16,EVALUACION!$A$7:$A$36,0))))</f>
        <v/>
      </c>
      <c r="F16" s="29" t="str">
        <f>IF(COUNTIF(ANTROPOMETRIA!$A$7:$A$36,A16)=0,"",INDEX(ANTROPOMETRIA!$D$7:$D$36,MATCH(A16,ANTROPOMETRIA!$A$7:$A$36,0)))</f>
        <v/>
      </c>
      <c r="G16" s="29" t="str">
        <f>IF(OR(D16="",COUNTIF(ANTROPOMETRIA!$A$7:$A$36,D16)=0),"",INDEX(ANTROPOMETRIA!$D$7:$D$36,MATCH(D16,ANTROPOMETRIA!$A$7:$A$36,0)))</f>
        <v/>
      </c>
      <c r="H16" s="29" t="str">
        <f t="shared" si="0"/>
        <v/>
      </c>
      <c r="I16" s="32" t="str">
        <f t="shared" si="1"/>
        <v/>
      </c>
      <c r="J16" s="26"/>
      <c r="K16" s="26"/>
      <c r="L16" s="29" t="str">
        <f>IF(A16="","",COUNTIFS(OBJETIVOS!$A$7:$A$36,A16,OBJETIVOS!$N$7:$N$36,"Cumplido"))</f>
        <v/>
      </c>
      <c r="M16" s="29" t="str">
        <f>IF(A16="","",COUNTIFS(OBJETIVOS!$A$7:$A$36,A16,OBJETIVOS!$N$7:$N$36,"Activo"))</f>
        <v/>
      </c>
      <c r="N16" s="26"/>
      <c r="O16" s="26"/>
      <c r="P16" s="26"/>
      <c r="Q16" s="26"/>
      <c r="R16" s="26"/>
      <c r="S16" s="26"/>
      <c r="T16" s="26"/>
      <c r="U16" s="26"/>
      <c r="V16" s="27"/>
      <c r="W16" s="26"/>
      <c r="X16" s="26"/>
      <c r="Y16" s="29" t="str">
        <f>IF(A16="","",IF(COUNTIFS(EVALUACION!$A$7:$A$36,A16,EVALUACION!$B$7:$B$36,B16)=0,"✖ Evaluación actual inconsistente",IF(D16="","▲ Sin evaluación anterior",IF(COUNTIF(EVALUACION!$A$7:$A$36,D16)=0,"✖ Evaluación anterior inexistente",IF(COUNTIFS(EVALUACION!$A$7:$A$36,D16,EVALUACION!$B$7:$B$36,B16)=0,"✖ Evaluación anterior de otro paciente",IF(INDEX(EVALUACION!$C$7:$C$36,MATCH(D16,EVALUACION!$A$7:$A$36,0))&gt;C16,"✖ Fecha anterior posterior",IF(AND(ISNUMBER(V16),V16&lt;C16),"✖ Próxima fecha anterior","✔ Correcto")))))))</f>
        <v/>
      </c>
    </row>
    <row r="17" spans="1:25" ht="14.25" customHeight="1">
      <c r="A17" s="26"/>
      <c r="B17" s="26"/>
      <c r="C17" s="27"/>
      <c r="D17" s="26"/>
      <c r="E17" s="29" t="str">
        <f>IF(D17="","",IF(COUNTIF(EVALUACION!$A$7:$A$36,D17)=0,"",C17-INDEX(EVALUACION!$C$7:$C$36,MATCH(D17,EVALUACION!$A$7:$A$36,0))))</f>
        <v/>
      </c>
      <c r="F17" s="29" t="str">
        <f>IF(COUNTIF(ANTROPOMETRIA!$A$7:$A$36,A17)=0,"",INDEX(ANTROPOMETRIA!$D$7:$D$36,MATCH(A17,ANTROPOMETRIA!$A$7:$A$36,0)))</f>
        <v/>
      </c>
      <c r="G17" s="29" t="str">
        <f>IF(OR(D17="",COUNTIF(ANTROPOMETRIA!$A$7:$A$36,D17)=0),"",INDEX(ANTROPOMETRIA!$D$7:$D$36,MATCH(D17,ANTROPOMETRIA!$A$7:$A$36,0)))</f>
        <v/>
      </c>
      <c r="H17" s="29" t="str">
        <f t="shared" si="0"/>
        <v/>
      </c>
      <c r="I17" s="32" t="str">
        <f t="shared" si="1"/>
        <v/>
      </c>
      <c r="J17" s="26"/>
      <c r="K17" s="26"/>
      <c r="L17" s="29" t="str">
        <f>IF(A17="","",COUNTIFS(OBJETIVOS!$A$7:$A$36,A17,OBJETIVOS!$N$7:$N$36,"Cumplido"))</f>
        <v/>
      </c>
      <c r="M17" s="29" t="str">
        <f>IF(A17="","",COUNTIFS(OBJETIVOS!$A$7:$A$36,A17,OBJETIVOS!$N$7:$N$36,"Activo"))</f>
        <v/>
      </c>
      <c r="N17" s="26"/>
      <c r="O17" s="26"/>
      <c r="P17" s="26"/>
      <c r="Q17" s="26"/>
      <c r="R17" s="26"/>
      <c r="S17" s="26"/>
      <c r="T17" s="26"/>
      <c r="U17" s="26"/>
      <c r="V17" s="27"/>
      <c r="W17" s="26"/>
      <c r="X17" s="26"/>
      <c r="Y17" s="29" t="str">
        <f>IF(A17="","",IF(COUNTIFS(EVALUACION!$A$7:$A$36,A17,EVALUACION!$B$7:$B$36,B17)=0,"✖ Evaluación actual inconsistente",IF(D17="","▲ Sin evaluación anterior",IF(COUNTIF(EVALUACION!$A$7:$A$36,D17)=0,"✖ Evaluación anterior inexistente",IF(COUNTIFS(EVALUACION!$A$7:$A$36,D17,EVALUACION!$B$7:$B$36,B17)=0,"✖ Evaluación anterior de otro paciente",IF(INDEX(EVALUACION!$C$7:$C$36,MATCH(D17,EVALUACION!$A$7:$A$36,0))&gt;C17,"✖ Fecha anterior posterior",IF(AND(ISNUMBER(V17),V17&lt;C17),"✖ Próxima fecha anterior","✔ Correcto")))))))</f>
        <v/>
      </c>
    </row>
    <row r="18" spans="1:25" ht="14.25" customHeight="1">
      <c r="A18" s="26"/>
      <c r="B18" s="26"/>
      <c r="C18" s="27"/>
      <c r="D18" s="26"/>
      <c r="E18" s="29" t="str">
        <f>IF(D18="","",IF(COUNTIF(EVALUACION!$A$7:$A$36,D18)=0,"",C18-INDEX(EVALUACION!$C$7:$C$36,MATCH(D18,EVALUACION!$A$7:$A$36,0))))</f>
        <v/>
      </c>
      <c r="F18" s="29" t="str">
        <f>IF(COUNTIF(ANTROPOMETRIA!$A$7:$A$36,A18)=0,"",INDEX(ANTROPOMETRIA!$D$7:$D$36,MATCH(A18,ANTROPOMETRIA!$A$7:$A$36,0)))</f>
        <v/>
      </c>
      <c r="G18" s="29" t="str">
        <f>IF(OR(D18="",COUNTIF(ANTROPOMETRIA!$A$7:$A$36,D18)=0),"",INDEX(ANTROPOMETRIA!$D$7:$D$36,MATCH(D18,ANTROPOMETRIA!$A$7:$A$36,0)))</f>
        <v/>
      </c>
      <c r="H18" s="29" t="str">
        <f t="shared" si="0"/>
        <v/>
      </c>
      <c r="I18" s="32" t="str">
        <f t="shared" si="1"/>
        <v/>
      </c>
      <c r="J18" s="26"/>
      <c r="K18" s="26"/>
      <c r="L18" s="29" t="str">
        <f>IF(A18="","",COUNTIFS(OBJETIVOS!$A$7:$A$36,A18,OBJETIVOS!$N$7:$N$36,"Cumplido"))</f>
        <v/>
      </c>
      <c r="M18" s="29" t="str">
        <f>IF(A18="","",COUNTIFS(OBJETIVOS!$A$7:$A$36,A18,OBJETIVOS!$N$7:$N$36,"Activo"))</f>
        <v/>
      </c>
      <c r="N18" s="26"/>
      <c r="O18" s="26"/>
      <c r="P18" s="26"/>
      <c r="Q18" s="26"/>
      <c r="R18" s="26"/>
      <c r="S18" s="26"/>
      <c r="T18" s="26"/>
      <c r="U18" s="26"/>
      <c r="V18" s="27"/>
      <c r="W18" s="26"/>
      <c r="X18" s="26"/>
      <c r="Y18" s="29" t="str">
        <f>IF(A18="","",IF(COUNTIFS(EVALUACION!$A$7:$A$36,A18,EVALUACION!$B$7:$B$36,B18)=0,"✖ Evaluación actual inconsistente",IF(D18="","▲ Sin evaluación anterior",IF(COUNTIF(EVALUACION!$A$7:$A$36,D18)=0,"✖ Evaluación anterior inexistente",IF(COUNTIFS(EVALUACION!$A$7:$A$36,D18,EVALUACION!$B$7:$B$36,B18)=0,"✖ Evaluación anterior de otro paciente",IF(INDEX(EVALUACION!$C$7:$C$36,MATCH(D18,EVALUACION!$A$7:$A$36,0))&gt;C18,"✖ Fecha anterior posterior",IF(AND(ISNUMBER(V18),V18&lt;C18),"✖ Próxima fecha anterior","✔ Correcto")))))))</f>
        <v/>
      </c>
    </row>
    <row r="19" spans="1:25" ht="14.25" customHeight="1">
      <c r="A19" s="26"/>
      <c r="B19" s="26"/>
      <c r="C19" s="27"/>
      <c r="D19" s="26"/>
      <c r="E19" s="29" t="str">
        <f>IF(D19="","",IF(COUNTIF(EVALUACION!$A$7:$A$36,D19)=0,"",C19-INDEX(EVALUACION!$C$7:$C$36,MATCH(D19,EVALUACION!$A$7:$A$36,0))))</f>
        <v/>
      </c>
      <c r="F19" s="29" t="str">
        <f>IF(COUNTIF(ANTROPOMETRIA!$A$7:$A$36,A19)=0,"",INDEX(ANTROPOMETRIA!$D$7:$D$36,MATCH(A19,ANTROPOMETRIA!$A$7:$A$36,0)))</f>
        <v/>
      </c>
      <c r="G19" s="29" t="str">
        <f>IF(OR(D19="",COUNTIF(ANTROPOMETRIA!$A$7:$A$36,D19)=0),"",INDEX(ANTROPOMETRIA!$D$7:$D$36,MATCH(D19,ANTROPOMETRIA!$A$7:$A$36,0)))</f>
        <v/>
      </c>
      <c r="H19" s="29" t="str">
        <f t="shared" si="0"/>
        <v/>
      </c>
      <c r="I19" s="32" t="str">
        <f t="shared" si="1"/>
        <v/>
      </c>
      <c r="J19" s="26"/>
      <c r="K19" s="26"/>
      <c r="L19" s="29" t="str">
        <f>IF(A19="","",COUNTIFS(OBJETIVOS!$A$7:$A$36,A19,OBJETIVOS!$N$7:$N$36,"Cumplido"))</f>
        <v/>
      </c>
      <c r="M19" s="29" t="str">
        <f>IF(A19="","",COUNTIFS(OBJETIVOS!$A$7:$A$36,A19,OBJETIVOS!$N$7:$N$36,"Activo"))</f>
        <v/>
      </c>
      <c r="N19" s="26"/>
      <c r="O19" s="26"/>
      <c r="P19" s="26"/>
      <c r="Q19" s="26"/>
      <c r="R19" s="26"/>
      <c r="S19" s="26"/>
      <c r="T19" s="26"/>
      <c r="U19" s="26"/>
      <c r="V19" s="27"/>
      <c r="W19" s="26"/>
      <c r="X19" s="26"/>
      <c r="Y19" s="29" t="str">
        <f>IF(A19="","",IF(COUNTIFS(EVALUACION!$A$7:$A$36,A19,EVALUACION!$B$7:$B$36,B19)=0,"✖ Evaluación actual inconsistente",IF(D19="","▲ Sin evaluación anterior",IF(COUNTIF(EVALUACION!$A$7:$A$36,D19)=0,"✖ Evaluación anterior inexistente",IF(COUNTIFS(EVALUACION!$A$7:$A$36,D19,EVALUACION!$B$7:$B$36,B19)=0,"✖ Evaluación anterior de otro paciente",IF(INDEX(EVALUACION!$C$7:$C$36,MATCH(D19,EVALUACION!$A$7:$A$36,0))&gt;C19,"✖ Fecha anterior posterior",IF(AND(ISNUMBER(V19),V19&lt;C19),"✖ Próxima fecha anterior","✔ Correcto")))))))</f>
        <v/>
      </c>
    </row>
    <row r="20" spans="1:25" ht="14.25" customHeight="1">
      <c r="A20" s="26"/>
      <c r="B20" s="26"/>
      <c r="C20" s="27"/>
      <c r="D20" s="26"/>
      <c r="E20" s="29" t="str">
        <f>IF(D20="","",IF(COUNTIF(EVALUACION!$A$7:$A$36,D20)=0,"",C20-INDEX(EVALUACION!$C$7:$C$36,MATCH(D20,EVALUACION!$A$7:$A$36,0))))</f>
        <v/>
      </c>
      <c r="F20" s="29" t="str">
        <f>IF(COUNTIF(ANTROPOMETRIA!$A$7:$A$36,A20)=0,"",INDEX(ANTROPOMETRIA!$D$7:$D$36,MATCH(A20,ANTROPOMETRIA!$A$7:$A$36,0)))</f>
        <v/>
      </c>
      <c r="G20" s="29" t="str">
        <f>IF(OR(D20="",COUNTIF(ANTROPOMETRIA!$A$7:$A$36,D20)=0),"",INDEX(ANTROPOMETRIA!$D$7:$D$36,MATCH(D20,ANTROPOMETRIA!$A$7:$A$36,0)))</f>
        <v/>
      </c>
      <c r="H20" s="29" t="str">
        <f t="shared" si="0"/>
        <v/>
      </c>
      <c r="I20" s="32" t="str">
        <f t="shared" si="1"/>
        <v/>
      </c>
      <c r="J20" s="26"/>
      <c r="K20" s="26"/>
      <c r="L20" s="29" t="str">
        <f>IF(A20="","",COUNTIFS(OBJETIVOS!$A$7:$A$36,A20,OBJETIVOS!$N$7:$N$36,"Cumplido"))</f>
        <v/>
      </c>
      <c r="M20" s="29" t="str">
        <f>IF(A20="","",COUNTIFS(OBJETIVOS!$A$7:$A$36,A20,OBJETIVOS!$N$7:$N$36,"Activo"))</f>
        <v/>
      </c>
      <c r="N20" s="26"/>
      <c r="O20" s="26"/>
      <c r="P20" s="26"/>
      <c r="Q20" s="26"/>
      <c r="R20" s="26"/>
      <c r="S20" s="26"/>
      <c r="T20" s="26"/>
      <c r="U20" s="26"/>
      <c r="V20" s="27"/>
      <c r="W20" s="26"/>
      <c r="X20" s="26"/>
      <c r="Y20" s="29" t="str">
        <f>IF(A20="","",IF(COUNTIFS(EVALUACION!$A$7:$A$36,A20,EVALUACION!$B$7:$B$36,B20)=0,"✖ Evaluación actual inconsistente",IF(D20="","▲ Sin evaluación anterior",IF(COUNTIF(EVALUACION!$A$7:$A$36,D20)=0,"✖ Evaluación anterior inexistente",IF(COUNTIFS(EVALUACION!$A$7:$A$36,D20,EVALUACION!$B$7:$B$36,B20)=0,"✖ Evaluación anterior de otro paciente",IF(INDEX(EVALUACION!$C$7:$C$36,MATCH(D20,EVALUACION!$A$7:$A$36,0))&gt;C20,"✖ Fecha anterior posterior",IF(AND(ISNUMBER(V20),V20&lt;C20),"✖ Próxima fecha anterior","✔ Correcto")))))))</f>
        <v/>
      </c>
    </row>
    <row r="21" spans="1:25" ht="14.25" customHeight="1">
      <c r="A21" s="26"/>
      <c r="B21" s="26"/>
      <c r="C21" s="27"/>
      <c r="D21" s="26"/>
      <c r="E21" s="29" t="str">
        <f>IF(D21="","",IF(COUNTIF(EVALUACION!$A$7:$A$36,D21)=0,"",C21-INDEX(EVALUACION!$C$7:$C$36,MATCH(D21,EVALUACION!$A$7:$A$36,0))))</f>
        <v/>
      </c>
      <c r="F21" s="29" t="str">
        <f>IF(COUNTIF(ANTROPOMETRIA!$A$7:$A$36,A21)=0,"",INDEX(ANTROPOMETRIA!$D$7:$D$36,MATCH(A21,ANTROPOMETRIA!$A$7:$A$36,0)))</f>
        <v/>
      </c>
      <c r="G21" s="29" t="str">
        <f>IF(OR(D21="",COUNTIF(ANTROPOMETRIA!$A$7:$A$36,D21)=0),"",INDEX(ANTROPOMETRIA!$D$7:$D$36,MATCH(D21,ANTROPOMETRIA!$A$7:$A$36,0)))</f>
        <v/>
      </c>
      <c r="H21" s="29" t="str">
        <f t="shared" si="0"/>
        <v/>
      </c>
      <c r="I21" s="32" t="str">
        <f t="shared" si="1"/>
        <v/>
      </c>
      <c r="J21" s="26"/>
      <c r="K21" s="26"/>
      <c r="L21" s="29" t="str">
        <f>IF(A21="","",COUNTIFS(OBJETIVOS!$A$7:$A$36,A21,OBJETIVOS!$N$7:$N$36,"Cumplido"))</f>
        <v/>
      </c>
      <c r="M21" s="29" t="str">
        <f>IF(A21="","",COUNTIFS(OBJETIVOS!$A$7:$A$36,A21,OBJETIVOS!$N$7:$N$36,"Activo"))</f>
        <v/>
      </c>
      <c r="N21" s="26"/>
      <c r="O21" s="26"/>
      <c r="P21" s="26"/>
      <c r="Q21" s="26"/>
      <c r="R21" s="26"/>
      <c r="S21" s="26"/>
      <c r="T21" s="26"/>
      <c r="U21" s="26"/>
      <c r="V21" s="27"/>
      <c r="W21" s="26"/>
      <c r="X21" s="26"/>
      <c r="Y21" s="29" t="str">
        <f>IF(A21="","",IF(COUNTIFS(EVALUACION!$A$7:$A$36,A21,EVALUACION!$B$7:$B$36,B21)=0,"✖ Evaluación actual inconsistente",IF(D21="","▲ Sin evaluación anterior",IF(COUNTIF(EVALUACION!$A$7:$A$36,D21)=0,"✖ Evaluación anterior inexistente",IF(COUNTIFS(EVALUACION!$A$7:$A$36,D21,EVALUACION!$B$7:$B$36,B21)=0,"✖ Evaluación anterior de otro paciente",IF(INDEX(EVALUACION!$C$7:$C$36,MATCH(D21,EVALUACION!$A$7:$A$36,0))&gt;C21,"✖ Fecha anterior posterior",IF(AND(ISNUMBER(V21),V21&lt;C21),"✖ Próxima fecha anterior","✔ Correcto")))))))</f>
        <v/>
      </c>
    </row>
    <row r="22" spans="1:25" ht="14.25" customHeight="1">
      <c r="A22" s="26"/>
      <c r="B22" s="26"/>
      <c r="C22" s="27"/>
      <c r="D22" s="26"/>
      <c r="E22" s="29" t="str">
        <f>IF(D22="","",IF(COUNTIF(EVALUACION!$A$7:$A$36,D22)=0,"",C22-INDEX(EVALUACION!$C$7:$C$36,MATCH(D22,EVALUACION!$A$7:$A$36,0))))</f>
        <v/>
      </c>
      <c r="F22" s="29" t="str">
        <f>IF(COUNTIF(ANTROPOMETRIA!$A$7:$A$36,A22)=0,"",INDEX(ANTROPOMETRIA!$D$7:$D$36,MATCH(A22,ANTROPOMETRIA!$A$7:$A$36,0)))</f>
        <v/>
      </c>
      <c r="G22" s="29" t="str">
        <f>IF(OR(D22="",COUNTIF(ANTROPOMETRIA!$A$7:$A$36,D22)=0),"",INDEX(ANTROPOMETRIA!$D$7:$D$36,MATCH(D22,ANTROPOMETRIA!$A$7:$A$36,0)))</f>
        <v/>
      </c>
      <c r="H22" s="29" t="str">
        <f t="shared" si="0"/>
        <v/>
      </c>
      <c r="I22" s="32" t="str">
        <f t="shared" si="1"/>
        <v/>
      </c>
      <c r="J22" s="26"/>
      <c r="K22" s="26"/>
      <c r="L22" s="29" t="str">
        <f>IF(A22="","",COUNTIFS(OBJETIVOS!$A$7:$A$36,A22,OBJETIVOS!$N$7:$N$36,"Cumplido"))</f>
        <v/>
      </c>
      <c r="M22" s="29" t="str">
        <f>IF(A22="","",COUNTIFS(OBJETIVOS!$A$7:$A$36,A22,OBJETIVOS!$N$7:$N$36,"Activo"))</f>
        <v/>
      </c>
      <c r="N22" s="26"/>
      <c r="O22" s="26"/>
      <c r="P22" s="26"/>
      <c r="Q22" s="26"/>
      <c r="R22" s="26"/>
      <c r="S22" s="26"/>
      <c r="T22" s="26"/>
      <c r="U22" s="26"/>
      <c r="V22" s="27"/>
      <c r="W22" s="26"/>
      <c r="X22" s="26"/>
      <c r="Y22" s="29" t="str">
        <f>IF(A22="","",IF(COUNTIFS(EVALUACION!$A$7:$A$36,A22,EVALUACION!$B$7:$B$36,B22)=0,"✖ Evaluación actual inconsistente",IF(D22="","▲ Sin evaluación anterior",IF(COUNTIF(EVALUACION!$A$7:$A$36,D22)=0,"✖ Evaluación anterior inexistente",IF(COUNTIFS(EVALUACION!$A$7:$A$36,D22,EVALUACION!$B$7:$B$36,B22)=0,"✖ Evaluación anterior de otro paciente",IF(INDEX(EVALUACION!$C$7:$C$36,MATCH(D22,EVALUACION!$A$7:$A$36,0))&gt;C22,"✖ Fecha anterior posterior",IF(AND(ISNUMBER(V22),V22&lt;C22),"✖ Próxima fecha anterior","✔ Correcto")))))))</f>
        <v/>
      </c>
    </row>
    <row r="23" spans="1:25" ht="14.25" customHeight="1">
      <c r="A23" s="26"/>
      <c r="B23" s="26"/>
      <c r="C23" s="27"/>
      <c r="D23" s="26"/>
      <c r="E23" s="29" t="str">
        <f>IF(D23="","",IF(COUNTIF(EVALUACION!$A$7:$A$36,D23)=0,"",C23-INDEX(EVALUACION!$C$7:$C$36,MATCH(D23,EVALUACION!$A$7:$A$36,0))))</f>
        <v/>
      </c>
      <c r="F23" s="29" t="str">
        <f>IF(COUNTIF(ANTROPOMETRIA!$A$7:$A$36,A23)=0,"",INDEX(ANTROPOMETRIA!$D$7:$D$36,MATCH(A23,ANTROPOMETRIA!$A$7:$A$36,0)))</f>
        <v/>
      </c>
      <c r="G23" s="29" t="str">
        <f>IF(OR(D23="",COUNTIF(ANTROPOMETRIA!$A$7:$A$36,D23)=0),"",INDEX(ANTROPOMETRIA!$D$7:$D$36,MATCH(D23,ANTROPOMETRIA!$A$7:$A$36,0)))</f>
        <v/>
      </c>
      <c r="H23" s="29" t="str">
        <f t="shared" si="0"/>
        <v/>
      </c>
      <c r="I23" s="32" t="str">
        <f t="shared" si="1"/>
        <v/>
      </c>
      <c r="J23" s="26"/>
      <c r="K23" s="26"/>
      <c r="L23" s="29" t="str">
        <f>IF(A23="","",COUNTIFS(OBJETIVOS!$A$7:$A$36,A23,OBJETIVOS!$N$7:$N$36,"Cumplido"))</f>
        <v/>
      </c>
      <c r="M23" s="29" t="str">
        <f>IF(A23="","",COUNTIFS(OBJETIVOS!$A$7:$A$36,A23,OBJETIVOS!$N$7:$N$36,"Activo"))</f>
        <v/>
      </c>
      <c r="N23" s="26"/>
      <c r="O23" s="26"/>
      <c r="P23" s="26"/>
      <c r="Q23" s="26"/>
      <c r="R23" s="26"/>
      <c r="S23" s="26"/>
      <c r="T23" s="26"/>
      <c r="U23" s="26"/>
      <c r="V23" s="27"/>
      <c r="W23" s="26"/>
      <c r="X23" s="26"/>
      <c r="Y23" s="29" t="str">
        <f>IF(A23="","",IF(COUNTIFS(EVALUACION!$A$7:$A$36,A23,EVALUACION!$B$7:$B$36,B23)=0,"✖ Evaluación actual inconsistente",IF(D23="","▲ Sin evaluación anterior",IF(COUNTIF(EVALUACION!$A$7:$A$36,D23)=0,"✖ Evaluación anterior inexistente",IF(COUNTIFS(EVALUACION!$A$7:$A$36,D23,EVALUACION!$B$7:$B$36,B23)=0,"✖ Evaluación anterior de otro paciente",IF(INDEX(EVALUACION!$C$7:$C$36,MATCH(D23,EVALUACION!$A$7:$A$36,0))&gt;C23,"✖ Fecha anterior posterior",IF(AND(ISNUMBER(V23),V23&lt;C23),"✖ Próxima fecha anterior","✔ Correcto")))))))</f>
        <v/>
      </c>
    </row>
    <row r="24" spans="1:25" ht="14.25" customHeight="1">
      <c r="A24" s="26"/>
      <c r="B24" s="26"/>
      <c r="C24" s="27"/>
      <c r="D24" s="26"/>
      <c r="E24" s="29" t="str">
        <f>IF(D24="","",IF(COUNTIF(EVALUACION!$A$7:$A$36,D24)=0,"",C24-INDEX(EVALUACION!$C$7:$C$36,MATCH(D24,EVALUACION!$A$7:$A$36,0))))</f>
        <v/>
      </c>
      <c r="F24" s="29" t="str">
        <f>IF(COUNTIF(ANTROPOMETRIA!$A$7:$A$36,A24)=0,"",INDEX(ANTROPOMETRIA!$D$7:$D$36,MATCH(A24,ANTROPOMETRIA!$A$7:$A$36,0)))</f>
        <v/>
      </c>
      <c r="G24" s="29" t="str">
        <f>IF(OR(D24="",COUNTIF(ANTROPOMETRIA!$A$7:$A$36,D24)=0),"",INDEX(ANTROPOMETRIA!$D$7:$D$36,MATCH(D24,ANTROPOMETRIA!$A$7:$A$36,0)))</f>
        <v/>
      </c>
      <c r="H24" s="29" t="str">
        <f t="shared" si="0"/>
        <v/>
      </c>
      <c r="I24" s="32" t="str">
        <f t="shared" si="1"/>
        <v/>
      </c>
      <c r="J24" s="26"/>
      <c r="K24" s="26"/>
      <c r="L24" s="29" t="str">
        <f>IF(A24="","",COUNTIFS(OBJETIVOS!$A$7:$A$36,A24,OBJETIVOS!$N$7:$N$36,"Cumplido"))</f>
        <v/>
      </c>
      <c r="M24" s="29" t="str">
        <f>IF(A24="","",COUNTIFS(OBJETIVOS!$A$7:$A$36,A24,OBJETIVOS!$N$7:$N$36,"Activo"))</f>
        <v/>
      </c>
      <c r="N24" s="26"/>
      <c r="O24" s="26"/>
      <c r="P24" s="26"/>
      <c r="Q24" s="26"/>
      <c r="R24" s="26"/>
      <c r="S24" s="26"/>
      <c r="T24" s="26"/>
      <c r="U24" s="26"/>
      <c r="V24" s="27"/>
      <c r="W24" s="26"/>
      <c r="X24" s="26"/>
      <c r="Y24" s="29" t="str">
        <f>IF(A24="","",IF(COUNTIFS(EVALUACION!$A$7:$A$36,A24,EVALUACION!$B$7:$B$36,B24)=0,"✖ Evaluación actual inconsistente",IF(D24="","▲ Sin evaluación anterior",IF(COUNTIF(EVALUACION!$A$7:$A$36,D24)=0,"✖ Evaluación anterior inexistente",IF(COUNTIFS(EVALUACION!$A$7:$A$36,D24,EVALUACION!$B$7:$B$36,B24)=0,"✖ Evaluación anterior de otro paciente",IF(INDEX(EVALUACION!$C$7:$C$36,MATCH(D24,EVALUACION!$A$7:$A$36,0))&gt;C24,"✖ Fecha anterior posterior",IF(AND(ISNUMBER(V24),V24&lt;C24),"✖ Próxima fecha anterior","✔ Correcto")))))))</f>
        <v/>
      </c>
    </row>
    <row r="25" spans="1:25" ht="14.25" customHeight="1">
      <c r="A25" s="26"/>
      <c r="B25" s="26"/>
      <c r="C25" s="27"/>
      <c r="D25" s="26"/>
      <c r="E25" s="29" t="str">
        <f>IF(D25="","",IF(COUNTIF(EVALUACION!$A$7:$A$36,D25)=0,"",C25-INDEX(EVALUACION!$C$7:$C$36,MATCH(D25,EVALUACION!$A$7:$A$36,0))))</f>
        <v/>
      </c>
      <c r="F25" s="29" t="str">
        <f>IF(COUNTIF(ANTROPOMETRIA!$A$7:$A$36,A25)=0,"",INDEX(ANTROPOMETRIA!$D$7:$D$36,MATCH(A25,ANTROPOMETRIA!$A$7:$A$36,0)))</f>
        <v/>
      </c>
      <c r="G25" s="29" t="str">
        <f>IF(OR(D25="",COUNTIF(ANTROPOMETRIA!$A$7:$A$36,D25)=0),"",INDEX(ANTROPOMETRIA!$D$7:$D$36,MATCH(D25,ANTROPOMETRIA!$A$7:$A$36,0)))</f>
        <v/>
      </c>
      <c r="H25" s="29" t="str">
        <f t="shared" si="0"/>
        <v/>
      </c>
      <c r="I25" s="32" t="str">
        <f t="shared" si="1"/>
        <v/>
      </c>
      <c r="J25" s="26"/>
      <c r="K25" s="26"/>
      <c r="L25" s="29" t="str">
        <f>IF(A25="","",COUNTIFS(OBJETIVOS!$A$7:$A$36,A25,OBJETIVOS!$N$7:$N$36,"Cumplido"))</f>
        <v/>
      </c>
      <c r="M25" s="29" t="str">
        <f>IF(A25="","",COUNTIFS(OBJETIVOS!$A$7:$A$36,A25,OBJETIVOS!$N$7:$N$36,"Activo"))</f>
        <v/>
      </c>
      <c r="N25" s="26"/>
      <c r="O25" s="26"/>
      <c r="P25" s="26"/>
      <c r="Q25" s="26"/>
      <c r="R25" s="26"/>
      <c r="S25" s="26"/>
      <c r="T25" s="26"/>
      <c r="U25" s="26"/>
      <c r="V25" s="27"/>
      <c r="W25" s="26"/>
      <c r="X25" s="26"/>
      <c r="Y25" s="29" t="str">
        <f>IF(A25="","",IF(COUNTIFS(EVALUACION!$A$7:$A$36,A25,EVALUACION!$B$7:$B$36,B25)=0,"✖ Evaluación actual inconsistente",IF(D25="","▲ Sin evaluación anterior",IF(COUNTIF(EVALUACION!$A$7:$A$36,D25)=0,"✖ Evaluación anterior inexistente",IF(COUNTIFS(EVALUACION!$A$7:$A$36,D25,EVALUACION!$B$7:$B$36,B25)=0,"✖ Evaluación anterior de otro paciente",IF(INDEX(EVALUACION!$C$7:$C$36,MATCH(D25,EVALUACION!$A$7:$A$36,0))&gt;C25,"✖ Fecha anterior posterior",IF(AND(ISNUMBER(V25),V25&lt;C25),"✖ Próxima fecha anterior","✔ Correcto")))))))</f>
        <v/>
      </c>
    </row>
    <row r="26" spans="1:25" ht="14.25" customHeight="1">
      <c r="A26" s="26"/>
      <c r="B26" s="26"/>
      <c r="C26" s="27"/>
      <c r="D26" s="26"/>
      <c r="E26" s="29" t="str">
        <f>IF(D26="","",IF(COUNTIF(EVALUACION!$A$7:$A$36,D26)=0,"",C26-INDEX(EVALUACION!$C$7:$C$36,MATCH(D26,EVALUACION!$A$7:$A$36,0))))</f>
        <v/>
      </c>
      <c r="F26" s="29" t="str">
        <f>IF(COUNTIF(ANTROPOMETRIA!$A$7:$A$36,A26)=0,"",INDEX(ANTROPOMETRIA!$D$7:$D$36,MATCH(A26,ANTROPOMETRIA!$A$7:$A$36,0)))</f>
        <v/>
      </c>
      <c r="G26" s="29" t="str">
        <f>IF(OR(D26="",COUNTIF(ANTROPOMETRIA!$A$7:$A$36,D26)=0),"",INDEX(ANTROPOMETRIA!$D$7:$D$36,MATCH(D26,ANTROPOMETRIA!$A$7:$A$36,0)))</f>
        <v/>
      </c>
      <c r="H26" s="29" t="str">
        <f t="shared" si="0"/>
        <v/>
      </c>
      <c r="I26" s="32" t="str">
        <f t="shared" si="1"/>
        <v/>
      </c>
      <c r="J26" s="26"/>
      <c r="K26" s="26"/>
      <c r="L26" s="29" t="str">
        <f>IF(A26="","",COUNTIFS(OBJETIVOS!$A$7:$A$36,A26,OBJETIVOS!$N$7:$N$36,"Cumplido"))</f>
        <v/>
      </c>
      <c r="M26" s="29" t="str">
        <f>IF(A26="","",COUNTIFS(OBJETIVOS!$A$7:$A$36,A26,OBJETIVOS!$N$7:$N$36,"Activo"))</f>
        <v/>
      </c>
      <c r="N26" s="26"/>
      <c r="O26" s="26"/>
      <c r="P26" s="26"/>
      <c r="Q26" s="26"/>
      <c r="R26" s="26"/>
      <c r="S26" s="26"/>
      <c r="T26" s="26"/>
      <c r="U26" s="26"/>
      <c r="V26" s="27"/>
      <c r="W26" s="26"/>
      <c r="X26" s="26"/>
      <c r="Y26" s="29" t="str">
        <f>IF(A26="","",IF(COUNTIFS(EVALUACION!$A$7:$A$36,A26,EVALUACION!$B$7:$B$36,B26)=0,"✖ Evaluación actual inconsistente",IF(D26="","▲ Sin evaluación anterior",IF(COUNTIF(EVALUACION!$A$7:$A$36,D26)=0,"✖ Evaluación anterior inexistente",IF(COUNTIFS(EVALUACION!$A$7:$A$36,D26,EVALUACION!$B$7:$B$36,B26)=0,"✖ Evaluación anterior de otro paciente",IF(INDEX(EVALUACION!$C$7:$C$36,MATCH(D26,EVALUACION!$A$7:$A$36,0))&gt;C26,"✖ Fecha anterior posterior",IF(AND(ISNUMBER(V26),V26&lt;C26),"✖ Próxima fecha anterior","✔ Correcto")))))))</f>
        <v/>
      </c>
    </row>
    <row r="27" spans="1:25" ht="14.25" customHeight="1">
      <c r="A27" s="26"/>
      <c r="B27" s="26"/>
      <c r="C27" s="27"/>
      <c r="D27" s="26"/>
      <c r="E27" s="29" t="str">
        <f>IF(D27="","",IF(COUNTIF(EVALUACION!$A$7:$A$36,D27)=0,"",C27-INDEX(EVALUACION!$C$7:$C$36,MATCH(D27,EVALUACION!$A$7:$A$36,0))))</f>
        <v/>
      </c>
      <c r="F27" s="29" t="str">
        <f>IF(COUNTIF(ANTROPOMETRIA!$A$7:$A$36,A27)=0,"",INDEX(ANTROPOMETRIA!$D$7:$D$36,MATCH(A27,ANTROPOMETRIA!$A$7:$A$36,0)))</f>
        <v/>
      </c>
      <c r="G27" s="29" t="str">
        <f>IF(OR(D27="",COUNTIF(ANTROPOMETRIA!$A$7:$A$36,D27)=0),"",INDEX(ANTROPOMETRIA!$D$7:$D$36,MATCH(D27,ANTROPOMETRIA!$A$7:$A$36,0)))</f>
        <v/>
      </c>
      <c r="H27" s="29" t="str">
        <f t="shared" si="0"/>
        <v/>
      </c>
      <c r="I27" s="32" t="str">
        <f t="shared" si="1"/>
        <v/>
      </c>
      <c r="J27" s="26"/>
      <c r="K27" s="26"/>
      <c r="L27" s="29" t="str">
        <f>IF(A27="","",COUNTIFS(OBJETIVOS!$A$7:$A$36,A27,OBJETIVOS!$N$7:$N$36,"Cumplido"))</f>
        <v/>
      </c>
      <c r="M27" s="29" t="str">
        <f>IF(A27="","",COUNTIFS(OBJETIVOS!$A$7:$A$36,A27,OBJETIVOS!$N$7:$N$36,"Activo"))</f>
        <v/>
      </c>
      <c r="N27" s="26"/>
      <c r="O27" s="26"/>
      <c r="P27" s="26"/>
      <c r="Q27" s="26"/>
      <c r="R27" s="26"/>
      <c r="S27" s="26"/>
      <c r="T27" s="26"/>
      <c r="U27" s="26"/>
      <c r="V27" s="27"/>
      <c r="W27" s="26"/>
      <c r="X27" s="26"/>
      <c r="Y27" s="29" t="str">
        <f>IF(A27="","",IF(COUNTIFS(EVALUACION!$A$7:$A$36,A27,EVALUACION!$B$7:$B$36,B27)=0,"✖ Evaluación actual inconsistente",IF(D27="","▲ Sin evaluación anterior",IF(COUNTIF(EVALUACION!$A$7:$A$36,D27)=0,"✖ Evaluación anterior inexistente",IF(COUNTIFS(EVALUACION!$A$7:$A$36,D27,EVALUACION!$B$7:$B$36,B27)=0,"✖ Evaluación anterior de otro paciente",IF(INDEX(EVALUACION!$C$7:$C$36,MATCH(D27,EVALUACION!$A$7:$A$36,0))&gt;C27,"✖ Fecha anterior posterior",IF(AND(ISNUMBER(V27),V27&lt;C27),"✖ Próxima fecha anterior","✔ Correcto")))))))</f>
        <v/>
      </c>
    </row>
    <row r="28" spans="1:25" ht="14.25" customHeight="1">
      <c r="A28" s="26"/>
      <c r="B28" s="26"/>
      <c r="C28" s="27"/>
      <c r="D28" s="26"/>
      <c r="E28" s="29" t="str">
        <f>IF(D28="","",IF(COUNTIF(EVALUACION!$A$7:$A$36,D28)=0,"",C28-INDEX(EVALUACION!$C$7:$C$36,MATCH(D28,EVALUACION!$A$7:$A$36,0))))</f>
        <v/>
      </c>
      <c r="F28" s="29" t="str">
        <f>IF(COUNTIF(ANTROPOMETRIA!$A$7:$A$36,A28)=0,"",INDEX(ANTROPOMETRIA!$D$7:$D$36,MATCH(A28,ANTROPOMETRIA!$A$7:$A$36,0)))</f>
        <v/>
      </c>
      <c r="G28" s="29" t="str">
        <f>IF(OR(D28="",COUNTIF(ANTROPOMETRIA!$A$7:$A$36,D28)=0),"",INDEX(ANTROPOMETRIA!$D$7:$D$36,MATCH(D28,ANTROPOMETRIA!$A$7:$A$36,0)))</f>
        <v/>
      </c>
      <c r="H28" s="29" t="str">
        <f t="shared" si="0"/>
        <v/>
      </c>
      <c r="I28" s="32" t="str">
        <f t="shared" si="1"/>
        <v/>
      </c>
      <c r="J28" s="26"/>
      <c r="K28" s="26"/>
      <c r="L28" s="29" t="str">
        <f>IF(A28="","",COUNTIFS(OBJETIVOS!$A$7:$A$36,A28,OBJETIVOS!$N$7:$N$36,"Cumplido"))</f>
        <v/>
      </c>
      <c r="M28" s="29" t="str">
        <f>IF(A28="","",COUNTIFS(OBJETIVOS!$A$7:$A$36,A28,OBJETIVOS!$N$7:$N$36,"Activo"))</f>
        <v/>
      </c>
      <c r="N28" s="26"/>
      <c r="O28" s="26"/>
      <c r="P28" s="26"/>
      <c r="Q28" s="26"/>
      <c r="R28" s="26"/>
      <c r="S28" s="26"/>
      <c r="T28" s="26"/>
      <c r="U28" s="26"/>
      <c r="V28" s="27"/>
      <c r="W28" s="26"/>
      <c r="X28" s="26"/>
      <c r="Y28" s="29" t="str">
        <f>IF(A28="","",IF(COUNTIFS(EVALUACION!$A$7:$A$36,A28,EVALUACION!$B$7:$B$36,B28)=0,"✖ Evaluación actual inconsistente",IF(D28="","▲ Sin evaluación anterior",IF(COUNTIF(EVALUACION!$A$7:$A$36,D28)=0,"✖ Evaluación anterior inexistente",IF(COUNTIFS(EVALUACION!$A$7:$A$36,D28,EVALUACION!$B$7:$B$36,B28)=0,"✖ Evaluación anterior de otro paciente",IF(INDEX(EVALUACION!$C$7:$C$36,MATCH(D28,EVALUACION!$A$7:$A$36,0))&gt;C28,"✖ Fecha anterior posterior",IF(AND(ISNUMBER(V28),V28&lt;C28),"✖ Próxima fecha anterior","✔ Correcto")))))))</f>
        <v/>
      </c>
    </row>
    <row r="29" spans="1:25" ht="14.25" customHeight="1">
      <c r="A29" s="26"/>
      <c r="B29" s="26"/>
      <c r="C29" s="27"/>
      <c r="D29" s="26"/>
      <c r="E29" s="29" t="str">
        <f>IF(D29="","",IF(COUNTIF(EVALUACION!$A$7:$A$36,D29)=0,"",C29-INDEX(EVALUACION!$C$7:$C$36,MATCH(D29,EVALUACION!$A$7:$A$36,0))))</f>
        <v/>
      </c>
      <c r="F29" s="29" t="str">
        <f>IF(COUNTIF(ANTROPOMETRIA!$A$7:$A$36,A29)=0,"",INDEX(ANTROPOMETRIA!$D$7:$D$36,MATCH(A29,ANTROPOMETRIA!$A$7:$A$36,0)))</f>
        <v/>
      </c>
      <c r="G29" s="29" t="str">
        <f>IF(OR(D29="",COUNTIF(ANTROPOMETRIA!$A$7:$A$36,D29)=0),"",INDEX(ANTROPOMETRIA!$D$7:$D$36,MATCH(D29,ANTROPOMETRIA!$A$7:$A$36,0)))</f>
        <v/>
      </c>
      <c r="H29" s="29" t="str">
        <f t="shared" si="0"/>
        <v/>
      </c>
      <c r="I29" s="32" t="str">
        <f t="shared" si="1"/>
        <v/>
      </c>
      <c r="J29" s="26"/>
      <c r="K29" s="26"/>
      <c r="L29" s="29" t="str">
        <f>IF(A29="","",COUNTIFS(OBJETIVOS!$A$7:$A$36,A29,OBJETIVOS!$N$7:$N$36,"Cumplido"))</f>
        <v/>
      </c>
      <c r="M29" s="29" t="str">
        <f>IF(A29="","",COUNTIFS(OBJETIVOS!$A$7:$A$36,A29,OBJETIVOS!$N$7:$N$36,"Activo"))</f>
        <v/>
      </c>
      <c r="N29" s="26"/>
      <c r="O29" s="26"/>
      <c r="P29" s="26"/>
      <c r="Q29" s="26"/>
      <c r="R29" s="26"/>
      <c r="S29" s="26"/>
      <c r="T29" s="26"/>
      <c r="U29" s="26"/>
      <c r="V29" s="27"/>
      <c r="W29" s="26"/>
      <c r="X29" s="26"/>
      <c r="Y29" s="29" t="str">
        <f>IF(A29="","",IF(COUNTIFS(EVALUACION!$A$7:$A$36,A29,EVALUACION!$B$7:$B$36,B29)=0,"✖ Evaluación actual inconsistente",IF(D29="","▲ Sin evaluación anterior",IF(COUNTIF(EVALUACION!$A$7:$A$36,D29)=0,"✖ Evaluación anterior inexistente",IF(COUNTIFS(EVALUACION!$A$7:$A$36,D29,EVALUACION!$B$7:$B$36,B29)=0,"✖ Evaluación anterior de otro paciente",IF(INDEX(EVALUACION!$C$7:$C$36,MATCH(D29,EVALUACION!$A$7:$A$36,0))&gt;C29,"✖ Fecha anterior posterior",IF(AND(ISNUMBER(V29),V29&lt;C29),"✖ Próxima fecha anterior","✔ Correcto")))))))</f>
        <v/>
      </c>
    </row>
    <row r="30" spans="1:25" ht="14.25" customHeight="1">
      <c r="A30" s="26"/>
      <c r="B30" s="26"/>
      <c r="C30" s="27"/>
      <c r="D30" s="26"/>
      <c r="E30" s="29" t="str">
        <f>IF(D30="","",IF(COUNTIF(EVALUACION!$A$7:$A$36,D30)=0,"",C30-INDEX(EVALUACION!$C$7:$C$36,MATCH(D30,EVALUACION!$A$7:$A$36,0))))</f>
        <v/>
      </c>
      <c r="F30" s="29" t="str">
        <f>IF(COUNTIF(ANTROPOMETRIA!$A$7:$A$36,A30)=0,"",INDEX(ANTROPOMETRIA!$D$7:$D$36,MATCH(A30,ANTROPOMETRIA!$A$7:$A$36,0)))</f>
        <v/>
      </c>
      <c r="G30" s="29" t="str">
        <f>IF(OR(D30="",COUNTIF(ANTROPOMETRIA!$A$7:$A$36,D30)=0),"",INDEX(ANTROPOMETRIA!$D$7:$D$36,MATCH(D30,ANTROPOMETRIA!$A$7:$A$36,0)))</f>
        <v/>
      </c>
      <c r="H30" s="29" t="str">
        <f t="shared" si="0"/>
        <v/>
      </c>
      <c r="I30" s="32" t="str">
        <f t="shared" si="1"/>
        <v/>
      </c>
      <c r="J30" s="26"/>
      <c r="K30" s="26"/>
      <c r="L30" s="29" t="str">
        <f>IF(A30="","",COUNTIFS(OBJETIVOS!$A$7:$A$36,A30,OBJETIVOS!$N$7:$N$36,"Cumplido"))</f>
        <v/>
      </c>
      <c r="M30" s="29" t="str">
        <f>IF(A30="","",COUNTIFS(OBJETIVOS!$A$7:$A$36,A30,OBJETIVOS!$N$7:$N$36,"Activo"))</f>
        <v/>
      </c>
      <c r="N30" s="26"/>
      <c r="O30" s="26"/>
      <c r="P30" s="26"/>
      <c r="Q30" s="26"/>
      <c r="R30" s="26"/>
      <c r="S30" s="26"/>
      <c r="T30" s="26"/>
      <c r="U30" s="26"/>
      <c r="V30" s="27"/>
      <c r="W30" s="26"/>
      <c r="X30" s="26"/>
      <c r="Y30" s="29" t="str">
        <f>IF(A30="","",IF(COUNTIFS(EVALUACION!$A$7:$A$36,A30,EVALUACION!$B$7:$B$36,B30)=0,"✖ Evaluación actual inconsistente",IF(D30="","▲ Sin evaluación anterior",IF(COUNTIF(EVALUACION!$A$7:$A$36,D30)=0,"✖ Evaluación anterior inexistente",IF(COUNTIFS(EVALUACION!$A$7:$A$36,D30,EVALUACION!$B$7:$B$36,B30)=0,"✖ Evaluación anterior de otro paciente",IF(INDEX(EVALUACION!$C$7:$C$36,MATCH(D30,EVALUACION!$A$7:$A$36,0))&gt;C30,"✖ Fecha anterior posterior",IF(AND(ISNUMBER(V30),V30&lt;C30),"✖ Próxima fecha anterior","✔ Correcto")))))))</f>
        <v/>
      </c>
    </row>
    <row r="31" spans="1:25" ht="14.25" customHeight="1">
      <c r="A31" s="26"/>
      <c r="B31" s="26"/>
      <c r="C31" s="27"/>
      <c r="D31" s="26"/>
      <c r="E31" s="29" t="str">
        <f>IF(D31="","",IF(COUNTIF(EVALUACION!$A$7:$A$36,D31)=0,"",C31-INDEX(EVALUACION!$C$7:$C$36,MATCH(D31,EVALUACION!$A$7:$A$36,0))))</f>
        <v/>
      </c>
      <c r="F31" s="29" t="str">
        <f>IF(COUNTIF(ANTROPOMETRIA!$A$7:$A$36,A31)=0,"",INDEX(ANTROPOMETRIA!$D$7:$D$36,MATCH(A31,ANTROPOMETRIA!$A$7:$A$36,0)))</f>
        <v/>
      </c>
      <c r="G31" s="29" t="str">
        <f>IF(OR(D31="",COUNTIF(ANTROPOMETRIA!$A$7:$A$36,D31)=0),"",INDEX(ANTROPOMETRIA!$D$7:$D$36,MATCH(D31,ANTROPOMETRIA!$A$7:$A$36,0)))</f>
        <v/>
      </c>
      <c r="H31" s="29" t="str">
        <f t="shared" si="0"/>
        <v/>
      </c>
      <c r="I31" s="32" t="str">
        <f t="shared" si="1"/>
        <v/>
      </c>
      <c r="J31" s="26"/>
      <c r="K31" s="26"/>
      <c r="L31" s="29" t="str">
        <f>IF(A31="","",COUNTIFS(OBJETIVOS!$A$7:$A$36,A31,OBJETIVOS!$N$7:$N$36,"Cumplido"))</f>
        <v/>
      </c>
      <c r="M31" s="29" t="str">
        <f>IF(A31="","",COUNTIFS(OBJETIVOS!$A$7:$A$36,A31,OBJETIVOS!$N$7:$N$36,"Activo"))</f>
        <v/>
      </c>
      <c r="N31" s="26"/>
      <c r="O31" s="26"/>
      <c r="P31" s="26"/>
      <c r="Q31" s="26"/>
      <c r="R31" s="26"/>
      <c r="S31" s="26"/>
      <c r="T31" s="26"/>
      <c r="U31" s="26"/>
      <c r="V31" s="27"/>
      <c r="W31" s="26"/>
      <c r="X31" s="26"/>
      <c r="Y31" s="29" t="str">
        <f>IF(A31="","",IF(COUNTIFS(EVALUACION!$A$7:$A$36,A31,EVALUACION!$B$7:$B$36,B31)=0,"✖ Evaluación actual inconsistente",IF(D31="","▲ Sin evaluación anterior",IF(COUNTIF(EVALUACION!$A$7:$A$36,D31)=0,"✖ Evaluación anterior inexistente",IF(COUNTIFS(EVALUACION!$A$7:$A$36,D31,EVALUACION!$B$7:$B$36,B31)=0,"✖ Evaluación anterior de otro paciente",IF(INDEX(EVALUACION!$C$7:$C$36,MATCH(D31,EVALUACION!$A$7:$A$36,0))&gt;C31,"✖ Fecha anterior posterior",IF(AND(ISNUMBER(V31),V31&lt;C31),"✖ Próxima fecha anterior","✔ Correcto")))))))</f>
        <v/>
      </c>
    </row>
    <row r="32" spans="1:25" ht="14.25" customHeight="1">
      <c r="A32" s="26"/>
      <c r="B32" s="26"/>
      <c r="C32" s="27"/>
      <c r="D32" s="26"/>
      <c r="E32" s="29" t="str">
        <f>IF(D32="","",IF(COUNTIF(EVALUACION!$A$7:$A$36,D32)=0,"",C32-INDEX(EVALUACION!$C$7:$C$36,MATCH(D32,EVALUACION!$A$7:$A$36,0))))</f>
        <v/>
      </c>
      <c r="F32" s="29" t="str">
        <f>IF(COUNTIF(ANTROPOMETRIA!$A$7:$A$36,A32)=0,"",INDEX(ANTROPOMETRIA!$D$7:$D$36,MATCH(A32,ANTROPOMETRIA!$A$7:$A$36,0)))</f>
        <v/>
      </c>
      <c r="G32" s="29" t="str">
        <f>IF(OR(D32="",COUNTIF(ANTROPOMETRIA!$A$7:$A$36,D32)=0),"",INDEX(ANTROPOMETRIA!$D$7:$D$36,MATCH(D32,ANTROPOMETRIA!$A$7:$A$36,0)))</f>
        <v/>
      </c>
      <c r="H32" s="29" t="str">
        <f t="shared" si="0"/>
        <v/>
      </c>
      <c r="I32" s="32" t="str">
        <f t="shared" si="1"/>
        <v/>
      </c>
      <c r="J32" s="26"/>
      <c r="K32" s="26"/>
      <c r="L32" s="29" t="str">
        <f>IF(A32="","",COUNTIFS(OBJETIVOS!$A$7:$A$36,A32,OBJETIVOS!$N$7:$N$36,"Cumplido"))</f>
        <v/>
      </c>
      <c r="M32" s="29" t="str">
        <f>IF(A32="","",COUNTIFS(OBJETIVOS!$A$7:$A$36,A32,OBJETIVOS!$N$7:$N$36,"Activo"))</f>
        <v/>
      </c>
      <c r="N32" s="26"/>
      <c r="O32" s="26"/>
      <c r="P32" s="26"/>
      <c r="Q32" s="26"/>
      <c r="R32" s="26"/>
      <c r="S32" s="26"/>
      <c r="T32" s="26"/>
      <c r="U32" s="26"/>
      <c r="V32" s="27"/>
      <c r="W32" s="26"/>
      <c r="X32" s="26"/>
      <c r="Y32" s="29" t="str">
        <f>IF(A32="","",IF(COUNTIFS(EVALUACION!$A$7:$A$36,A32,EVALUACION!$B$7:$B$36,B32)=0,"✖ Evaluación actual inconsistente",IF(D32="","▲ Sin evaluación anterior",IF(COUNTIF(EVALUACION!$A$7:$A$36,D32)=0,"✖ Evaluación anterior inexistente",IF(COUNTIFS(EVALUACION!$A$7:$A$36,D32,EVALUACION!$B$7:$B$36,B32)=0,"✖ Evaluación anterior de otro paciente",IF(INDEX(EVALUACION!$C$7:$C$36,MATCH(D32,EVALUACION!$A$7:$A$36,0))&gt;C32,"✖ Fecha anterior posterior",IF(AND(ISNUMBER(V32),V32&lt;C32),"✖ Próxima fecha anterior","✔ Correcto")))))))</f>
        <v/>
      </c>
    </row>
    <row r="33" spans="1:25" ht="14.25" customHeight="1">
      <c r="A33" s="26"/>
      <c r="B33" s="26"/>
      <c r="C33" s="27"/>
      <c r="D33" s="26"/>
      <c r="E33" s="29" t="str">
        <f>IF(D33="","",IF(COUNTIF(EVALUACION!$A$7:$A$36,D33)=0,"",C33-INDEX(EVALUACION!$C$7:$C$36,MATCH(D33,EVALUACION!$A$7:$A$36,0))))</f>
        <v/>
      </c>
      <c r="F33" s="29" t="str">
        <f>IF(COUNTIF(ANTROPOMETRIA!$A$7:$A$36,A33)=0,"",INDEX(ANTROPOMETRIA!$D$7:$D$36,MATCH(A33,ANTROPOMETRIA!$A$7:$A$36,0)))</f>
        <v/>
      </c>
      <c r="G33" s="29" t="str">
        <f>IF(OR(D33="",COUNTIF(ANTROPOMETRIA!$A$7:$A$36,D33)=0),"",INDEX(ANTROPOMETRIA!$D$7:$D$36,MATCH(D33,ANTROPOMETRIA!$A$7:$A$36,0)))</f>
        <v/>
      </c>
      <c r="H33" s="29" t="str">
        <f t="shared" si="0"/>
        <v/>
      </c>
      <c r="I33" s="32" t="str">
        <f t="shared" si="1"/>
        <v/>
      </c>
      <c r="J33" s="26"/>
      <c r="K33" s="26"/>
      <c r="L33" s="29" t="str">
        <f>IF(A33="","",COUNTIFS(OBJETIVOS!$A$7:$A$36,A33,OBJETIVOS!$N$7:$N$36,"Cumplido"))</f>
        <v/>
      </c>
      <c r="M33" s="29" t="str">
        <f>IF(A33="","",COUNTIFS(OBJETIVOS!$A$7:$A$36,A33,OBJETIVOS!$N$7:$N$36,"Activo"))</f>
        <v/>
      </c>
      <c r="N33" s="26"/>
      <c r="O33" s="26"/>
      <c r="P33" s="26"/>
      <c r="Q33" s="26"/>
      <c r="R33" s="26"/>
      <c r="S33" s="26"/>
      <c r="T33" s="26"/>
      <c r="U33" s="26"/>
      <c r="V33" s="27"/>
      <c r="W33" s="26"/>
      <c r="X33" s="26"/>
      <c r="Y33" s="29" t="str">
        <f>IF(A33="","",IF(COUNTIFS(EVALUACION!$A$7:$A$36,A33,EVALUACION!$B$7:$B$36,B33)=0,"✖ Evaluación actual inconsistente",IF(D33="","▲ Sin evaluación anterior",IF(COUNTIF(EVALUACION!$A$7:$A$36,D33)=0,"✖ Evaluación anterior inexistente",IF(COUNTIFS(EVALUACION!$A$7:$A$36,D33,EVALUACION!$B$7:$B$36,B33)=0,"✖ Evaluación anterior de otro paciente",IF(INDEX(EVALUACION!$C$7:$C$36,MATCH(D33,EVALUACION!$A$7:$A$36,0))&gt;C33,"✖ Fecha anterior posterior",IF(AND(ISNUMBER(V33),V33&lt;C33),"✖ Próxima fecha anterior","✔ Correcto")))))))</f>
        <v/>
      </c>
    </row>
    <row r="34" spans="1:25" ht="14.25" customHeight="1">
      <c r="A34" s="26"/>
      <c r="B34" s="26"/>
      <c r="C34" s="27"/>
      <c r="D34" s="26"/>
      <c r="E34" s="29" t="str">
        <f>IF(D34="","",IF(COUNTIF(EVALUACION!$A$7:$A$36,D34)=0,"",C34-INDEX(EVALUACION!$C$7:$C$36,MATCH(D34,EVALUACION!$A$7:$A$36,0))))</f>
        <v/>
      </c>
      <c r="F34" s="29" t="str">
        <f>IF(COUNTIF(ANTROPOMETRIA!$A$7:$A$36,A34)=0,"",INDEX(ANTROPOMETRIA!$D$7:$D$36,MATCH(A34,ANTROPOMETRIA!$A$7:$A$36,0)))</f>
        <v/>
      </c>
      <c r="G34" s="29" t="str">
        <f>IF(OR(D34="",COUNTIF(ANTROPOMETRIA!$A$7:$A$36,D34)=0),"",INDEX(ANTROPOMETRIA!$D$7:$D$36,MATCH(D34,ANTROPOMETRIA!$A$7:$A$36,0)))</f>
        <v/>
      </c>
      <c r="H34" s="29" t="str">
        <f t="shared" si="0"/>
        <v/>
      </c>
      <c r="I34" s="32" t="str">
        <f t="shared" si="1"/>
        <v/>
      </c>
      <c r="J34" s="26"/>
      <c r="K34" s="26"/>
      <c r="L34" s="29" t="str">
        <f>IF(A34="","",COUNTIFS(OBJETIVOS!$A$7:$A$36,A34,OBJETIVOS!$N$7:$N$36,"Cumplido"))</f>
        <v/>
      </c>
      <c r="M34" s="29" t="str">
        <f>IF(A34="","",COUNTIFS(OBJETIVOS!$A$7:$A$36,A34,OBJETIVOS!$N$7:$N$36,"Activo"))</f>
        <v/>
      </c>
      <c r="N34" s="26"/>
      <c r="O34" s="26"/>
      <c r="P34" s="26"/>
      <c r="Q34" s="26"/>
      <c r="R34" s="26"/>
      <c r="S34" s="26"/>
      <c r="T34" s="26"/>
      <c r="U34" s="26"/>
      <c r="V34" s="27"/>
      <c r="W34" s="26"/>
      <c r="X34" s="26"/>
      <c r="Y34" s="29" t="str">
        <f>IF(A34="","",IF(COUNTIFS(EVALUACION!$A$7:$A$36,A34,EVALUACION!$B$7:$B$36,B34)=0,"✖ Evaluación actual inconsistente",IF(D34="","▲ Sin evaluación anterior",IF(COUNTIF(EVALUACION!$A$7:$A$36,D34)=0,"✖ Evaluación anterior inexistente",IF(COUNTIFS(EVALUACION!$A$7:$A$36,D34,EVALUACION!$B$7:$B$36,B34)=0,"✖ Evaluación anterior de otro paciente",IF(INDEX(EVALUACION!$C$7:$C$36,MATCH(D34,EVALUACION!$A$7:$A$36,0))&gt;C34,"✖ Fecha anterior posterior",IF(AND(ISNUMBER(V34),V34&lt;C34),"✖ Próxima fecha anterior","✔ Correcto")))))))</f>
        <v/>
      </c>
    </row>
    <row r="35" spans="1:25" ht="14.25" customHeight="1">
      <c r="A35" s="26"/>
      <c r="B35" s="26"/>
      <c r="C35" s="27"/>
      <c r="D35" s="26"/>
      <c r="E35" s="29" t="str">
        <f>IF(D35="","",IF(COUNTIF(EVALUACION!$A$7:$A$36,D35)=0,"",C35-INDEX(EVALUACION!$C$7:$C$36,MATCH(D35,EVALUACION!$A$7:$A$36,0))))</f>
        <v/>
      </c>
      <c r="F35" s="29" t="str">
        <f>IF(COUNTIF(ANTROPOMETRIA!$A$7:$A$36,A35)=0,"",INDEX(ANTROPOMETRIA!$D$7:$D$36,MATCH(A35,ANTROPOMETRIA!$A$7:$A$36,0)))</f>
        <v/>
      </c>
      <c r="G35" s="29" t="str">
        <f>IF(OR(D35="",COUNTIF(ANTROPOMETRIA!$A$7:$A$36,D35)=0),"",INDEX(ANTROPOMETRIA!$D$7:$D$36,MATCH(D35,ANTROPOMETRIA!$A$7:$A$36,0)))</f>
        <v/>
      </c>
      <c r="H35" s="29" t="str">
        <f t="shared" si="0"/>
        <v/>
      </c>
      <c r="I35" s="32" t="str">
        <f t="shared" si="1"/>
        <v/>
      </c>
      <c r="J35" s="26"/>
      <c r="K35" s="26"/>
      <c r="L35" s="29" t="str">
        <f>IF(A35="","",COUNTIFS(OBJETIVOS!$A$7:$A$36,A35,OBJETIVOS!$N$7:$N$36,"Cumplido"))</f>
        <v/>
      </c>
      <c r="M35" s="29" t="str">
        <f>IF(A35="","",COUNTIFS(OBJETIVOS!$A$7:$A$36,A35,OBJETIVOS!$N$7:$N$36,"Activo"))</f>
        <v/>
      </c>
      <c r="N35" s="26"/>
      <c r="O35" s="26"/>
      <c r="P35" s="26"/>
      <c r="Q35" s="26"/>
      <c r="R35" s="26"/>
      <c r="S35" s="26"/>
      <c r="T35" s="26"/>
      <c r="U35" s="26"/>
      <c r="V35" s="27"/>
      <c r="W35" s="26"/>
      <c r="X35" s="26"/>
      <c r="Y35" s="29" t="str">
        <f>IF(A35="","",IF(COUNTIFS(EVALUACION!$A$7:$A$36,A35,EVALUACION!$B$7:$B$36,B35)=0,"✖ Evaluación actual inconsistente",IF(D35="","▲ Sin evaluación anterior",IF(COUNTIF(EVALUACION!$A$7:$A$36,D35)=0,"✖ Evaluación anterior inexistente",IF(COUNTIFS(EVALUACION!$A$7:$A$36,D35,EVALUACION!$B$7:$B$36,B35)=0,"✖ Evaluación anterior de otro paciente",IF(INDEX(EVALUACION!$C$7:$C$36,MATCH(D35,EVALUACION!$A$7:$A$36,0))&gt;C35,"✖ Fecha anterior posterior",IF(AND(ISNUMBER(V35),V35&lt;C35),"✖ Próxima fecha anterior","✔ Correcto")))))))</f>
        <v/>
      </c>
    </row>
    <row r="36" spans="1:25" ht="14.25" customHeight="1">
      <c r="A36" s="26"/>
      <c r="B36" s="26"/>
      <c r="C36" s="27"/>
      <c r="D36" s="26"/>
      <c r="E36" s="29" t="str">
        <f>IF(D36="","",IF(COUNTIF(EVALUACION!$A$7:$A$36,D36)=0,"",C36-INDEX(EVALUACION!$C$7:$C$36,MATCH(D36,EVALUACION!$A$7:$A$36,0))))</f>
        <v/>
      </c>
      <c r="F36" s="29" t="str">
        <f>IF(COUNTIF(ANTROPOMETRIA!$A$7:$A$36,A36)=0,"",INDEX(ANTROPOMETRIA!$D$7:$D$36,MATCH(A36,ANTROPOMETRIA!$A$7:$A$36,0)))</f>
        <v/>
      </c>
      <c r="G36" s="29" t="str">
        <f>IF(OR(D36="",COUNTIF(ANTROPOMETRIA!$A$7:$A$36,D36)=0),"",INDEX(ANTROPOMETRIA!$D$7:$D$36,MATCH(D36,ANTROPOMETRIA!$A$7:$A$36,0)))</f>
        <v/>
      </c>
      <c r="H36" s="29" t="str">
        <f t="shared" si="0"/>
        <v/>
      </c>
      <c r="I36" s="32" t="str">
        <f t="shared" si="1"/>
        <v/>
      </c>
      <c r="J36" s="26"/>
      <c r="K36" s="26"/>
      <c r="L36" s="29" t="str">
        <f>IF(A36="","",COUNTIFS(OBJETIVOS!$A$7:$A$36,A36,OBJETIVOS!$N$7:$N$36,"Cumplido"))</f>
        <v/>
      </c>
      <c r="M36" s="29" t="str">
        <f>IF(A36="","",COUNTIFS(OBJETIVOS!$A$7:$A$36,A36,OBJETIVOS!$N$7:$N$36,"Activo"))</f>
        <v/>
      </c>
      <c r="N36" s="26"/>
      <c r="O36" s="26"/>
      <c r="P36" s="26"/>
      <c r="Q36" s="26"/>
      <c r="R36" s="26"/>
      <c r="S36" s="26"/>
      <c r="T36" s="26"/>
      <c r="U36" s="26"/>
      <c r="V36" s="27"/>
      <c r="W36" s="26"/>
      <c r="X36" s="26"/>
      <c r="Y36" s="29" t="str">
        <f>IF(A36="","",IF(COUNTIFS(EVALUACION!$A$7:$A$36,A36,EVALUACION!$B$7:$B$36,B36)=0,"✖ Evaluación actual inconsistente",IF(D36="","▲ Sin evaluación anterior",IF(COUNTIF(EVALUACION!$A$7:$A$36,D36)=0,"✖ Evaluación anterior inexistente",IF(COUNTIFS(EVALUACION!$A$7:$A$36,D36,EVALUACION!$B$7:$B$36,B36)=0,"✖ Evaluación anterior de otro paciente",IF(INDEX(EVALUACION!$C$7:$C$36,MATCH(D36,EVALUACION!$A$7:$A$36,0))&gt;C36,"✖ Fecha anterior posterior",IF(AND(ISNUMBER(V36),V36&lt;C36),"✖ Próxima fecha anterior","✔ Correcto")))))))</f>
        <v/>
      </c>
    </row>
  </sheetData>
  <mergeCells count="3">
    <mergeCell ref="A1:Y1"/>
    <mergeCell ref="A3:Y3"/>
    <mergeCell ref="A5:Y5"/>
  </mergeCells>
  <conditionalFormatting sqref="Y7:Y36">
    <cfRule type="expression" dxfId="9" priority="2">
      <formula>LEFT(Y7,1)="✖"</formula>
    </cfRule>
    <cfRule type="expression" dxfId="8" priority="3">
      <formula>LEFT(Y7,1)="▲"</formula>
    </cfRule>
    <cfRule type="expression" dxfId="7" priority="4">
      <formula>LEFT(Y7,1)="✔"</formula>
    </cfRule>
  </conditionalFormatting>
  <dataValidations count="4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E7:I7 L7:M7 Y7" xr:uid="{00000000-0002-0000-0D00-000000000000}">
      <formula1>0</formula1>
      <formula2>0</formula2>
    </dataValidation>
    <dataValidation type="decimal" errorStyle="warning" allowBlank="1" showInputMessage="1" showErrorMessage="1" errorTitle="Revise el valor" error="El valor está fuera del rango operativo. Confirme antes de continuar." promptTitle="Valor numérico" prompt="Ingrese un número entre 0 y 350. Los límites son operativos." sqref="F8:G36" xr:uid="{00000000-0002-0000-0D00-000001000000}">
      <formula1>0</formula1>
      <formula2>350</formula2>
    </dataValidation>
    <dataValidation type="date" errorStyle="warning" allowBlank="1" showInputMessage="1" showErrorMessage="1" errorTitle="Fecha a revisar" error="La fecha está fuera del rango operativo." promptTitle="Fecha" prompt="Ingrese una fecha válida y revise la coherencia temporal." sqref="C7:C36 V7:V36" xr:uid="{00000000-0002-0000-0D00-000002000000}">
      <formula1>DATE(1900,1,1)</formula1>
      <formula2>TODAY()+3650</formula2>
    </dataValidation>
    <dataValidation type="list" allowBlank="1" showInputMessage="1" showErrorMessage="1" errorTitle="Valor no permitido" error="Seleccione un valor válido de la lista." promptTitle="Seleccione una opción" prompt="Use una opción de la lista para conservar la consistencia del registro." sqref="W7:W36" xr:uid="{00000000-0002-0000-0D00-000003000000}">
      <formula1>Lista_EstadoRegistro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2"/>
  <sheetViews>
    <sheetView showGridLines="0" workbookViewId="0"/>
  </sheetViews>
  <sheetFormatPr baseColWidth="10" defaultColWidth="9" defaultRowHeight="15"/>
  <cols>
    <col min="1" max="1" width="24" style="15" customWidth="1"/>
    <col min="2" max="5" width="18" style="15" customWidth="1"/>
    <col min="6" max="12" width="12" style="15" customWidth="1"/>
    <col min="13" max="20" width="14" style="15" customWidth="1"/>
  </cols>
  <sheetData>
    <row r="1" spans="1:20" ht="27.75" customHeight="1">
      <c r="A1" s="14" t="s">
        <v>502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20" ht="30" customHeight="1">
      <c r="A3" s="8" t="s">
        <v>503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5" spans="1:20" ht="19.5" customHeight="1">
      <c r="A5" s="12" t="s">
        <v>504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20" ht="14.25" customHeight="1">
      <c r="A6" s="17" t="s">
        <v>76</v>
      </c>
      <c r="B6" s="26" t="s">
        <v>111</v>
      </c>
      <c r="C6" s="21" t="s">
        <v>505</v>
      </c>
    </row>
    <row r="7" spans="1:20" ht="14.25" customHeight="1">
      <c r="A7" s="17" t="s">
        <v>128</v>
      </c>
      <c r="B7" s="26" t="s">
        <v>154</v>
      </c>
      <c r="C7" s="21" t="s">
        <v>506</v>
      </c>
    </row>
    <row r="8" spans="1:20" ht="24" customHeight="1">
      <c r="A8" s="17" t="s">
        <v>99</v>
      </c>
      <c r="B8" s="28" t="str">
        <f>CALCULOS!B9</f>
        <v>✔ Consistente</v>
      </c>
      <c r="C8" s="21" t="s">
        <v>507</v>
      </c>
    </row>
    <row r="10" spans="1:20" ht="19.5" customHeight="1">
      <c r="A10" s="12" t="s">
        <v>508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20" ht="14.25" customHeight="1">
      <c r="A11" s="17" t="s">
        <v>76</v>
      </c>
      <c r="B11" s="5" t="str">
        <f>CALCULOS!B7</f>
        <v>P-FICT-B</v>
      </c>
      <c r="C11" s="5"/>
      <c r="D11" s="5"/>
      <c r="E11" s="5"/>
    </row>
    <row r="12" spans="1:20" ht="14.25" customHeight="1">
      <c r="A12" s="17" t="s">
        <v>78</v>
      </c>
      <c r="B12" s="5" t="str">
        <f>CALCULOS!B21</f>
        <v>BFB</v>
      </c>
      <c r="C12" s="5"/>
      <c r="D12" s="5"/>
      <c r="E12" s="5"/>
    </row>
    <row r="13" spans="1:20" ht="14.25" customHeight="1">
      <c r="A13" s="17" t="s">
        <v>79</v>
      </c>
      <c r="B13" s="5" t="str">
        <f>CALCULOS!B22</f>
        <v>Oculto por minimización</v>
      </c>
      <c r="C13" s="5"/>
      <c r="D13" s="5"/>
      <c r="E13" s="5"/>
    </row>
    <row r="14" spans="1:20" ht="14.25" customHeight="1">
      <c r="A14" s="17" t="s">
        <v>509</v>
      </c>
      <c r="B14" s="5">
        <f ca="1">CALCULOS!B23</f>
        <v>40</v>
      </c>
      <c r="C14" s="5"/>
      <c r="D14" s="5"/>
      <c r="E14" s="5"/>
    </row>
    <row r="15" spans="1:20" ht="14.25" customHeight="1">
      <c r="A15" s="17" t="s">
        <v>129</v>
      </c>
      <c r="B15" s="4" t="str">
        <f>IF(CALCULOS!B24="","",TEXT(CALCULOS!B24,"yyyy-mm-dd"))</f>
        <v>2026-07-01</v>
      </c>
      <c r="C15" s="4"/>
      <c r="D15" s="4"/>
      <c r="E15" s="4"/>
    </row>
    <row r="16" spans="1:20" ht="14.25" customHeight="1">
      <c r="A16" s="17" t="s">
        <v>131</v>
      </c>
      <c r="B16" s="5" t="str">
        <f>CALCULOS!B25</f>
        <v>Control</v>
      </c>
      <c r="C16" s="5"/>
      <c r="D16" s="5"/>
      <c r="E16" s="5"/>
    </row>
    <row r="17" spans="1:12" ht="14.25" customHeight="1">
      <c r="A17" s="17" t="s">
        <v>135</v>
      </c>
      <c r="B17" s="5" t="str">
        <f>CALCULOS!B26</f>
        <v>PROF-DEMO</v>
      </c>
      <c r="C17" s="5"/>
      <c r="D17" s="5"/>
      <c r="E17" s="5"/>
    </row>
    <row r="18" spans="1:12" ht="14.25" customHeight="1">
      <c r="A18" s="17" t="s">
        <v>401</v>
      </c>
      <c r="B18" s="5" t="str">
        <f>CALCULOS!B27</f>
        <v>Control longitudinal ficticio</v>
      </c>
      <c r="C18" s="5"/>
      <c r="D18" s="5"/>
      <c r="E18" s="5"/>
    </row>
    <row r="20" spans="1:12" ht="19.5" customHeight="1">
      <c r="A20" s="12" t="s">
        <v>510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14.25" customHeight="1">
      <c r="A21" s="17" t="s">
        <v>511</v>
      </c>
      <c r="B21" s="28">
        <f>CALCULOS!B31</f>
        <v>87</v>
      </c>
    </row>
    <row r="22" spans="1:12" ht="14.25" customHeight="1">
      <c r="A22" s="17" t="s">
        <v>512</v>
      </c>
      <c r="B22" s="28">
        <f>CALCULOS!B32</f>
        <v>180</v>
      </c>
    </row>
    <row r="23" spans="1:12" ht="14.25" customHeight="1">
      <c r="A23" s="17" t="s">
        <v>197</v>
      </c>
      <c r="B23" s="28">
        <f>CALCULOS!B33</f>
        <v>26.851851851851851</v>
      </c>
    </row>
    <row r="24" spans="1:12" ht="14.25" customHeight="1">
      <c r="A24" s="17" t="s">
        <v>513</v>
      </c>
      <c r="B24" s="28">
        <f>CALCULOS!B34</f>
        <v>-5</v>
      </c>
    </row>
    <row r="25" spans="1:12" ht="14.25" customHeight="1">
      <c r="A25" s="17" t="s">
        <v>514</v>
      </c>
      <c r="B25" s="28">
        <f>CALCULOS!B35</f>
        <v>96</v>
      </c>
    </row>
    <row r="26" spans="1:12" ht="14.25" customHeight="1">
      <c r="A26" s="17" t="s">
        <v>209</v>
      </c>
      <c r="B26" s="28">
        <f>CALCULOS!B36</f>
        <v>24</v>
      </c>
    </row>
    <row r="28" spans="1:12" ht="19.5" customHeight="1">
      <c r="A28" s="12" t="s">
        <v>515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ht="14.25" customHeight="1">
      <c r="A29" s="17" t="s">
        <v>516</v>
      </c>
      <c r="B29" s="5">
        <f>CALCULOS!B41</f>
        <v>0</v>
      </c>
      <c r="C29" s="5"/>
      <c r="D29" s="5"/>
      <c r="E29" s="5"/>
    </row>
    <row r="30" spans="1:12" ht="14.25" customHeight="1">
      <c r="A30" s="17" t="s">
        <v>517</v>
      </c>
      <c r="B30" s="5">
        <f>CALCULOS!B42</f>
        <v>0</v>
      </c>
      <c r="C30" s="5"/>
      <c r="D30" s="5"/>
      <c r="E30" s="5"/>
    </row>
    <row r="31" spans="1:12" ht="14.25" customHeight="1">
      <c r="A31" s="17" t="s">
        <v>518</v>
      </c>
      <c r="B31" s="5">
        <f>CALCULOS!B43</f>
        <v>0</v>
      </c>
      <c r="C31" s="5"/>
      <c r="D31" s="5"/>
      <c r="E31" s="5"/>
    </row>
    <row r="32" spans="1:12" ht="14.25" customHeight="1">
      <c r="A32" s="17" t="s">
        <v>519</v>
      </c>
      <c r="B32" s="5">
        <f>CALCULOS!B44</f>
        <v>0</v>
      </c>
      <c r="C32" s="5"/>
      <c r="D32" s="5"/>
      <c r="E32" s="5"/>
    </row>
    <row r="33" spans="1:12" ht="14.25" customHeight="1">
      <c r="A33" s="17" t="s">
        <v>520</v>
      </c>
      <c r="B33" s="5" t="str">
        <f>CALCULOS!B45</f>
        <v/>
      </c>
      <c r="C33" s="5"/>
      <c r="D33" s="5"/>
      <c r="E33" s="5"/>
    </row>
    <row r="34" spans="1:12" ht="14.25" customHeight="1">
      <c r="A34" s="17" t="s">
        <v>521</v>
      </c>
      <c r="B34" s="5" t="str">
        <f>CALCULOS!B46</f>
        <v/>
      </c>
      <c r="C34" s="5"/>
      <c r="D34" s="5"/>
      <c r="E34" s="5"/>
    </row>
    <row r="35" spans="1:12" ht="14.25" customHeight="1">
      <c r="A35" s="17" t="s">
        <v>522</v>
      </c>
      <c r="B35" s="5" t="str">
        <f>CALCULOS!B47</f>
        <v/>
      </c>
      <c r="C35" s="5"/>
      <c r="D35" s="5"/>
      <c r="E35" s="5"/>
    </row>
    <row r="36" spans="1:12" ht="14.25" customHeight="1">
      <c r="A36" s="17" t="s">
        <v>523</v>
      </c>
      <c r="B36" s="5">
        <f>CALCULOS!B48</f>
        <v>600</v>
      </c>
      <c r="C36" s="5"/>
      <c r="D36" s="5"/>
      <c r="E36" s="5"/>
    </row>
    <row r="37" spans="1:12" ht="14.25" customHeight="1">
      <c r="A37" s="17" t="s">
        <v>524</v>
      </c>
      <c r="B37" s="5">
        <f>CALCULOS!B49</f>
        <v>30</v>
      </c>
      <c r="C37" s="5"/>
      <c r="D37" s="5"/>
      <c r="E37" s="5"/>
    </row>
    <row r="38" spans="1:12" ht="14.25" customHeight="1">
      <c r="A38" s="17" t="s">
        <v>525</v>
      </c>
      <c r="B38" s="5">
        <f>CALCULOS!B50</f>
        <v>65</v>
      </c>
      <c r="C38" s="5"/>
      <c r="D38" s="5"/>
      <c r="E38" s="5"/>
    </row>
    <row r="39" spans="1:12" ht="14.25" customHeight="1">
      <c r="A39" s="17" t="s">
        <v>526</v>
      </c>
      <c r="B39" s="5">
        <f>CALCULOS!B51</f>
        <v>20</v>
      </c>
      <c r="C39" s="5"/>
      <c r="D39" s="5"/>
      <c r="E39" s="5"/>
    </row>
    <row r="40" spans="1:12" ht="14.25" customHeight="1">
      <c r="A40" s="17" t="s">
        <v>527</v>
      </c>
      <c r="B40" s="5">
        <f>CALCULOS!B52</f>
        <v>9</v>
      </c>
      <c r="C40" s="5"/>
      <c r="D40" s="5"/>
      <c r="E40" s="5"/>
    </row>
    <row r="41" spans="1:12" ht="14.25" customHeight="1">
      <c r="A41" s="17" t="s">
        <v>528</v>
      </c>
      <c r="B41" s="5">
        <f>CALCULOS!B53</f>
        <v>1</v>
      </c>
      <c r="C41" s="5"/>
      <c r="D41" s="5"/>
      <c r="E41" s="5"/>
    </row>
    <row r="43" spans="1:12" ht="19.5" customHeight="1">
      <c r="A43" s="12" t="s">
        <v>529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14.25" customHeight="1">
      <c r="A44" s="17" t="s">
        <v>530</v>
      </c>
      <c r="B44" s="5">
        <f>CALCULOS!B62</f>
        <v>0</v>
      </c>
      <c r="C44" s="5"/>
      <c r="D44" s="5"/>
      <c r="E44" s="5"/>
    </row>
    <row r="45" spans="1:12" ht="14.25" customHeight="1">
      <c r="A45" s="17" t="s">
        <v>531</v>
      </c>
      <c r="B45" s="5">
        <f>CALCULOS!B63</f>
        <v>1</v>
      </c>
      <c r="C45" s="5"/>
      <c r="D45" s="5"/>
      <c r="E45" s="5"/>
    </row>
    <row r="46" spans="1:12" ht="14.25" customHeight="1">
      <c r="A46" s="17" t="s">
        <v>485</v>
      </c>
      <c r="B46" s="5">
        <f>CALCULOS!B64</f>
        <v>0</v>
      </c>
      <c r="C46" s="5"/>
      <c r="D46" s="5"/>
      <c r="E46" s="5"/>
    </row>
    <row r="47" spans="1:12" ht="14.25" customHeight="1">
      <c r="A47" s="17" t="s">
        <v>532</v>
      </c>
      <c r="B47" s="5">
        <f>CALCULOS!B65</f>
        <v>0</v>
      </c>
      <c r="C47" s="5"/>
      <c r="D47" s="5"/>
      <c r="E47" s="5"/>
    </row>
    <row r="48" spans="1:12" ht="14.25" customHeight="1">
      <c r="A48" s="17" t="s">
        <v>494</v>
      </c>
      <c r="B48" s="11" t="str">
        <f>CALCULOS!B66</f>
        <v>Registrar próxima semana</v>
      </c>
      <c r="C48" s="11"/>
      <c r="D48" s="11"/>
      <c r="E48" s="11"/>
    </row>
    <row r="49" spans="1:12" ht="14.25" customHeight="1">
      <c r="A49" s="17" t="s">
        <v>495</v>
      </c>
      <c r="B49" s="3" t="str">
        <f>IF(CALCULOS!B67="","",TEXT(CALCULOS!B67,"yyyy-mm-dd"))</f>
        <v>2026-08-01</v>
      </c>
      <c r="C49" s="3"/>
      <c r="D49" s="3"/>
      <c r="E49" s="3"/>
    </row>
    <row r="50" spans="1:12" ht="14.25" customHeight="1">
      <c r="A50" s="17" t="s">
        <v>533</v>
      </c>
      <c r="B50" s="11" t="str">
        <f>CALCULOS!B68</f>
        <v>Completo</v>
      </c>
      <c r="C50" s="11"/>
      <c r="D50" s="11"/>
      <c r="E50" s="11"/>
    </row>
    <row r="52" spans="1:12" ht="14.25" customHeight="1">
      <c r="A52" s="8" t="str">
        <f>IF(COUNTA(CALCULOS!B74:B83)&lt;2,"▲ No hay datos suficientes para gráficos longitudinales","✔ Gráficos filtrados por PatientID; no mezclan pacientes")</f>
        <v>✔ Gráficos filtrados por PatientID; no mezclan pacientes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</sheetData>
  <mergeCells count="36">
    <mergeCell ref="A52:L52"/>
    <mergeCell ref="B46:E46"/>
    <mergeCell ref="B47:E47"/>
    <mergeCell ref="B48:E48"/>
    <mergeCell ref="B49:E49"/>
    <mergeCell ref="B50:E50"/>
    <mergeCell ref="B40:E40"/>
    <mergeCell ref="B41:E41"/>
    <mergeCell ref="A43:L43"/>
    <mergeCell ref="B44:E44"/>
    <mergeCell ref="B45:E45"/>
    <mergeCell ref="B35:E35"/>
    <mergeCell ref="B36:E36"/>
    <mergeCell ref="B37:E37"/>
    <mergeCell ref="B38:E38"/>
    <mergeCell ref="B39:E39"/>
    <mergeCell ref="B30:E30"/>
    <mergeCell ref="B31:E31"/>
    <mergeCell ref="B32:E32"/>
    <mergeCell ref="B33:E33"/>
    <mergeCell ref="B34:E34"/>
    <mergeCell ref="B17:E17"/>
    <mergeCell ref="B18:E18"/>
    <mergeCell ref="A20:L20"/>
    <mergeCell ref="A28:L28"/>
    <mergeCell ref="B29:E29"/>
    <mergeCell ref="B12:E12"/>
    <mergeCell ref="B13:E13"/>
    <mergeCell ref="B14:E14"/>
    <mergeCell ref="B15:E15"/>
    <mergeCell ref="B16:E16"/>
    <mergeCell ref="A1:T1"/>
    <mergeCell ref="A3:T3"/>
    <mergeCell ref="A5:L5"/>
    <mergeCell ref="A10:L10"/>
    <mergeCell ref="B11:E11"/>
  </mergeCells>
  <dataValidations count="1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D2 B8 B11:B18 B21:B26 B29:B41 B44:B50 A52" xr:uid="{00000000-0002-0000-0E00-000000000000}">
      <formula1>0</formula1>
      <formula2>0</formula2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3"/>
  <sheetViews>
    <sheetView showGridLines="0" workbookViewId="0"/>
  </sheetViews>
  <sheetFormatPr baseColWidth="10" defaultColWidth="9" defaultRowHeight="15"/>
  <cols>
    <col min="1" max="1" width="30" style="15" customWidth="1"/>
    <col min="2" max="3" width="24" style="15" customWidth="1"/>
    <col min="4" max="4" width="40" style="15" customWidth="1"/>
    <col min="5" max="6" width="16" style="15" customWidth="1"/>
    <col min="7" max="7" width="18" style="15" customWidth="1"/>
    <col min="8" max="10" width="12" style="15" customWidth="1"/>
  </cols>
  <sheetData>
    <row r="1" spans="1:10" ht="27.75" customHeight="1">
      <c r="A1" s="14" t="s">
        <v>534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0" ht="30" customHeight="1">
      <c r="A3" s="8" t="s">
        <v>535</v>
      </c>
      <c r="B3" s="8"/>
      <c r="C3" s="8"/>
      <c r="D3" s="8"/>
      <c r="E3" s="8"/>
      <c r="F3" s="8"/>
      <c r="G3" s="8"/>
      <c r="H3" s="8"/>
      <c r="I3" s="8"/>
      <c r="J3" s="8"/>
    </row>
    <row r="5" spans="1:10" ht="19.5" customHeight="1">
      <c r="A5" s="12" t="s">
        <v>536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ht="14.25" customHeight="1">
      <c r="A6" s="19" t="s">
        <v>537</v>
      </c>
      <c r="B6" s="19" t="s">
        <v>538</v>
      </c>
      <c r="C6" s="19" t="s">
        <v>539</v>
      </c>
    </row>
    <row r="7" spans="1:10" ht="14.25" customHeight="1">
      <c r="A7" s="17" t="s">
        <v>540</v>
      </c>
      <c r="B7" s="28" t="str">
        <f>RESUMEN!B6</f>
        <v>P-FICT-B</v>
      </c>
      <c r="C7" s="21" t="s">
        <v>541</v>
      </c>
    </row>
    <row r="8" spans="1:10" ht="14.25" customHeight="1">
      <c r="A8" s="17" t="s">
        <v>542</v>
      </c>
      <c r="B8" s="28" t="str">
        <f>RESUMEN!B7</f>
        <v>E-B-02</v>
      </c>
      <c r="C8" s="21" t="s">
        <v>541</v>
      </c>
    </row>
    <row r="9" spans="1:10" ht="14.25" customHeight="1">
      <c r="A9" s="17" t="s">
        <v>543</v>
      </c>
      <c r="B9" s="28" t="str">
        <f>IF(OR(B7="",B8=""),"▲ Selección incompleta",IF(COUNTIFS(EVALUACION!$A$7:$A$3006,B8,EVALUACION!$B$7:$B$3006,B7)=1,"✔ Consistente","✖ EvaluationID no pertenece al PatientID"))</f>
        <v>✔ Consistente</v>
      </c>
      <c r="C9" s="21" t="s">
        <v>544</v>
      </c>
    </row>
    <row r="10" spans="1:10" ht="14.25" customHeight="1">
      <c r="A10" s="17" t="s">
        <v>545</v>
      </c>
      <c r="B10" s="28">
        <f>COUNTA(PACIENTES!$A$7:$A$1006)</f>
        <v>5</v>
      </c>
      <c r="C10" s="21" t="s">
        <v>546</v>
      </c>
    </row>
    <row r="11" spans="1:10" ht="14.25" customHeight="1">
      <c r="A11" s="17" t="s">
        <v>547</v>
      </c>
      <c r="B11" s="28">
        <f>COUNTA(EVALUACION!$A$7:$A$3006)</f>
        <v>6</v>
      </c>
      <c r="C11" s="21" t="s">
        <v>548</v>
      </c>
    </row>
    <row r="12" spans="1:10" ht="14.25" customHeight="1">
      <c r="A12" s="17" t="s">
        <v>549</v>
      </c>
      <c r="B12" s="33">
        <f>IF(COUNT(EVALUACION!$C$7:$C$3006)=0,"",MAX(EVALUACION!$C$7:$C$3006))</f>
        <v>46208</v>
      </c>
      <c r="C12" s="21" t="s">
        <v>550</v>
      </c>
    </row>
    <row r="13" spans="1:10" ht="14.25" customHeight="1">
      <c r="A13" s="17" t="s">
        <v>551</v>
      </c>
      <c r="B13" s="28">
        <f>SUMPRODUCT((PACIENTES!$A$7:$A$1006&lt;&gt;"")*(COUNTIF(PACIENTES!$A$7:$A$1006,PACIENTES!$A$7:$A$1006)&gt;1))</f>
        <v>0</v>
      </c>
      <c r="C13" s="21" t="s">
        <v>552</v>
      </c>
    </row>
    <row r="14" spans="1:10" ht="14.25" customHeight="1">
      <c r="A14" s="17" t="s">
        <v>553</v>
      </c>
      <c r="B14" s="28">
        <f>SUMPRODUCT((EVALUACION!$A$7:$A$3006&lt;&gt;"")*(COUNTIF(EVALUACION!$A$7:$A$3006,EVALUACION!$A$7:$A$3006)&gt;1))</f>
        <v>0</v>
      </c>
      <c r="C14" s="21" t="s">
        <v>552</v>
      </c>
    </row>
    <row r="15" spans="1:10" ht="14.25" customHeight="1">
      <c r="A15" s="17" t="s">
        <v>554</v>
      </c>
      <c r="B15" s="28">
        <f ca="1">COUNTIF(EVALUACION!$U$7:$U$3006,"✖ PatientID inexistente")</f>
        <v>0</v>
      </c>
      <c r="C15" s="21" t="s">
        <v>552</v>
      </c>
    </row>
    <row r="16" spans="1:10" ht="14.25" customHeight="1">
      <c r="A16" s="17" t="s">
        <v>555</v>
      </c>
      <c r="B16" s="28">
        <f>COUNTA(PACIENTES!$A$7:$A$1006)</f>
        <v>5</v>
      </c>
      <c r="C16" s="21" t="s">
        <v>556</v>
      </c>
    </row>
    <row r="19" spans="1:10" ht="19.5" customHeight="1">
      <c r="A19" s="12" t="s">
        <v>557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14.25" customHeight="1">
      <c r="A20" s="19" t="s">
        <v>537</v>
      </c>
      <c r="B20" s="19" t="s">
        <v>538</v>
      </c>
      <c r="C20" s="19" t="s">
        <v>539</v>
      </c>
    </row>
    <row r="21" spans="1:10" ht="14.25" customHeight="1">
      <c r="A21" s="17" t="s">
        <v>78</v>
      </c>
      <c r="B21" s="28" t="str">
        <f>IF(COUNTIF(PACIENTES!$A$7:$A$1006,$B$7)=0,"",INDEX(PACIENTES!$D$7:$D$1006,MATCH($B$7,PACIENTES!$A$7:$A$1006,0)))</f>
        <v>BFB</v>
      </c>
      <c r="C21" s="21" t="s">
        <v>558</v>
      </c>
    </row>
    <row r="22" spans="1:10" ht="14.25" customHeight="1">
      <c r="A22" s="17" t="s">
        <v>559</v>
      </c>
      <c r="B22" s="28" t="str">
        <f>IF(CONFIG!$B$30="Sí",IF(COUNTIF(PACIENTES!$A$7:$A$1006,$B$7)=0,"",INDEX(PACIENTES!$E$7:$E$1006,MATCH($B$7,PACIENTES!$A$7:$A$1006,0))&amp;" "&amp;INDEX(PACIENTES!$F$7:$F$1006,MATCH($B$7,PACIENTES!$A$7:$A$1006,0))),"Oculto por minimización")</f>
        <v>Oculto por minimización</v>
      </c>
      <c r="C22" s="21" t="s">
        <v>560</v>
      </c>
    </row>
    <row r="23" spans="1:10" ht="14.25" customHeight="1">
      <c r="A23" s="17" t="s">
        <v>509</v>
      </c>
      <c r="B23" s="28">
        <f ca="1">IF(COUNTIF(PACIENTES!$A$7:$A$1006,$B$7)=0,"",INDEX(PACIENTES!$H$7:$H$1006,MATCH($B$7,PACIENTES!$A$7:$A$1006,0)))</f>
        <v>40</v>
      </c>
      <c r="C23" s="21" t="s">
        <v>558</v>
      </c>
    </row>
    <row r="24" spans="1:10" ht="14.25" customHeight="1">
      <c r="A24" s="17" t="s">
        <v>561</v>
      </c>
      <c r="B24" s="33">
        <f>IF(COUNTIF(EVALUACION!$A$7:$A$3006,$B$8)=0,"",INDEX(EVALUACION!$C$7:$C$3006,MATCH($B$8,EVALUACION!$A$7:$A$3006,0)))</f>
        <v>46204</v>
      </c>
      <c r="C24" s="21" t="s">
        <v>562</v>
      </c>
    </row>
    <row r="25" spans="1:10" ht="14.25" customHeight="1">
      <c r="A25" s="17" t="s">
        <v>131</v>
      </c>
      <c r="B25" s="28" t="str">
        <f>IF(COUNTIF(EVALUACION!$A$7:$A$3006,$B$8)=0,"",INDEX(EVALUACION!$E$7:$E$3006,MATCH($B$8,EVALUACION!$A$7:$A$3006,0)))</f>
        <v>Control</v>
      </c>
      <c r="C25" s="21" t="s">
        <v>562</v>
      </c>
    </row>
    <row r="26" spans="1:10" ht="14.25" customHeight="1">
      <c r="A26" s="17" t="s">
        <v>135</v>
      </c>
      <c r="B26" s="28" t="str">
        <f>IF(COUNTIF(EVALUACION!$A$7:$A$3006,$B$8)=0,"",INDEX(EVALUACION!$I$7:$I$3006,MATCH($B$8,EVALUACION!$A$7:$A$3006,0)))</f>
        <v>PROF-DEMO</v>
      </c>
      <c r="C26" s="21" t="s">
        <v>562</v>
      </c>
    </row>
    <row r="27" spans="1:10" ht="14.25" customHeight="1">
      <c r="A27" s="17" t="s">
        <v>133</v>
      </c>
      <c r="B27" s="28" t="str">
        <f>IF(COUNTIF(EVALUACION!$A$7:$A$3006,$B$8)=0,"",INDEX(EVALUACION!$G$7:$G$3006,MATCH($B$8,EVALUACION!$A$7:$A$3006,0)))</f>
        <v>Control longitudinal ficticio</v>
      </c>
      <c r="C27" s="21" t="s">
        <v>562</v>
      </c>
    </row>
    <row r="29" spans="1:10" ht="19.5" customHeight="1">
      <c r="A29" s="12" t="s">
        <v>563</v>
      </c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14.25" customHeight="1">
      <c r="A30" s="19" t="s">
        <v>537</v>
      </c>
      <c r="B30" s="19" t="s">
        <v>538</v>
      </c>
      <c r="C30" s="19" t="s">
        <v>249</v>
      </c>
    </row>
    <row r="31" spans="1:10" ht="14.25" customHeight="1">
      <c r="A31" s="17" t="s">
        <v>511</v>
      </c>
      <c r="B31" s="28">
        <f>IF(COUNTIF(ANTROPOMETRIA!$A$7:$A$3006,$B$8)=0,"",INDEX(ANTROPOMETRIA!$D$7:$D$3006,MATCH($B$8,ANTROPOMETRIA!$A$7:$A$3006,0)))</f>
        <v>87</v>
      </c>
      <c r="C31" s="15" t="s">
        <v>564</v>
      </c>
    </row>
    <row r="32" spans="1:10" ht="14.25" customHeight="1">
      <c r="A32" s="17" t="s">
        <v>512</v>
      </c>
      <c r="B32" s="28">
        <f>IF(COUNTIF(ANTROPOMETRIA!$A$7:$A$3006,$B$8)=0,"",INDEX(ANTROPOMETRIA!$E$7:$E$3006,MATCH($B$8,ANTROPOMETRIA!$A$7:$A$3006,0)))</f>
        <v>180</v>
      </c>
      <c r="C32" s="15" t="s">
        <v>565</v>
      </c>
    </row>
    <row r="33" spans="1:10" ht="14.25" customHeight="1">
      <c r="A33" s="17" t="s">
        <v>197</v>
      </c>
      <c r="B33" s="28">
        <f>IF(COUNTIF(ANTROPOMETRIA!$A$7:$A$3006,$B$8)=0,"",INDEX(ANTROPOMETRIA!$F$7:$F$3006,MATCH($B$8,ANTROPOMETRIA!$A$7:$A$3006,0)))</f>
        <v>26.851851851851851</v>
      </c>
      <c r="C33" s="15" t="s">
        <v>566</v>
      </c>
    </row>
    <row r="34" spans="1:10" ht="14.25" customHeight="1">
      <c r="A34" s="17" t="s">
        <v>567</v>
      </c>
      <c r="B34" s="28">
        <f>IF(COUNTIF(ANTROPOMETRIA!$A$7:$A$3006,$B$8)=0,"",INDEX(ANTROPOMETRIA!$J$7:$J$3006,MATCH($B$8,ANTROPOMETRIA!$A$7:$A$3006,0)))</f>
        <v>-5</v>
      </c>
      <c r="C34" s="15" t="s">
        <v>564</v>
      </c>
    </row>
    <row r="35" spans="1:10" ht="14.25" customHeight="1">
      <c r="A35" s="17" t="s">
        <v>514</v>
      </c>
      <c r="B35" s="28">
        <f>IF(COUNTIF(ANTROPOMETRIA!$A$7:$A$3006,$B$8)=0,"",INDEX(ANTROPOMETRIA!$N$7:$N$3006,MATCH($B$8,ANTROPOMETRIA!$A$7:$A$3006,0)))</f>
        <v>96</v>
      </c>
      <c r="C35" s="15" t="s">
        <v>565</v>
      </c>
    </row>
    <row r="36" spans="1:10" ht="14.25" customHeight="1">
      <c r="A36" s="17" t="s">
        <v>209</v>
      </c>
      <c r="B36" s="28">
        <f>IF(COUNTIF(ANTROPOMETRIA!$A$7:$A$3006,$B$8)=0,"",INDEX(ANTROPOMETRIA!$R$7:$R$3006,MATCH($B$8,ANTROPOMETRIA!$A$7:$A$3006,0)))</f>
        <v>24</v>
      </c>
      <c r="C36" s="15" t="s">
        <v>568</v>
      </c>
    </row>
    <row r="39" spans="1:10" ht="19.5" customHeight="1">
      <c r="A39" s="12" t="s">
        <v>569</v>
      </c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14.25" customHeight="1">
      <c r="A40" s="19" t="s">
        <v>537</v>
      </c>
      <c r="B40" s="19" t="s">
        <v>538</v>
      </c>
      <c r="C40" s="19" t="s">
        <v>539</v>
      </c>
    </row>
    <row r="41" spans="1:10" ht="14.25" customHeight="1">
      <c r="A41" s="17" t="s">
        <v>570</v>
      </c>
      <c r="B41" s="28">
        <f>IF(CONFIG!$B$23="No","No aplica",COUNTIF(BIOQUIMICA!$A$7:$A$5006,$B$8))</f>
        <v>0</v>
      </c>
      <c r="C41" s="15" t="s">
        <v>571</v>
      </c>
    </row>
    <row r="42" spans="1:10" ht="14.25" customHeight="1">
      <c r="A42" s="17" t="s">
        <v>517</v>
      </c>
      <c r="B42" s="28">
        <f>IF(CONFIG!$B$23="No","No aplica",COUNTIFS(BIOQUIMICA!$A$7:$A$5006,$B$8,BIOQUIMICA!$K$7:$K$5006,"Bajo"))</f>
        <v>0</v>
      </c>
      <c r="C42" s="15" t="s">
        <v>572</v>
      </c>
    </row>
    <row r="43" spans="1:10" ht="14.25" customHeight="1">
      <c r="A43" s="17" t="s">
        <v>518</v>
      </c>
      <c r="B43" s="28">
        <f>IF(CONFIG!$B$23="No","No aplica",COUNTIFS(BIOQUIMICA!$A$7:$A$5006,$B$8,BIOQUIMICA!$K$7:$K$5006,"Alto"))</f>
        <v>0</v>
      </c>
      <c r="C43" s="15" t="s">
        <v>572</v>
      </c>
    </row>
    <row r="44" spans="1:10" ht="14.25" customHeight="1">
      <c r="A44" s="17" t="s">
        <v>573</v>
      </c>
      <c r="B44" s="28">
        <f>IF(CONFIG!$B$23="No","No aplica",COUNTIFS(BIOQUIMICA!$A$7:$A$5006,$B$8,BIOQUIMICA!$K$7:$K$5006,"No evaluable"))</f>
        <v>0</v>
      </c>
      <c r="C44" s="15" t="s">
        <v>572</v>
      </c>
    </row>
    <row r="45" spans="1:10" ht="14.25" customHeight="1">
      <c r="A45" s="17" t="s">
        <v>574</v>
      </c>
      <c r="B45" s="28" t="str">
        <f>IF(CONFIG!$B$23="No","No aplica",IF(COUNTIF(BIOQUIMICA!$W$7:$W$5006,$B$8&amp;"|FLAG|1")=0,"",INDEX(BIOQUIMICA!$D$7:$D$5006,MATCH($B$8&amp;"|FLAG|1",BIOQUIMICA!$W$7:$W$5006,0))&amp;" · "&amp;INDEX(BIOQUIMICA!$K$7:$K$5006,MATCH($B$8&amp;"|FLAG|1",BIOQUIMICA!$W$7:$W$5006,0))))</f>
        <v/>
      </c>
      <c r="C45" s="15" t="s">
        <v>575</v>
      </c>
    </row>
    <row r="46" spans="1:10" ht="14.25" customHeight="1">
      <c r="A46" s="17" t="s">
        <v>576</v>
      </c>
      <c r="B46" s="28" t="str">
        <f>IF(CONFIG!$B$23="No","No aplica",IF(COUNTIF(BIOQUIMICA!$W$7:$W$5006,$B$8&amp;"|FLAG|2")=0,"",INDEX(BIOQUIMICA!$D$7:$D$5006,MATCH($B$8&amp;"|FLAG|2",BIOQUIMICA!$W$7:$W$5006,0))&amp;" · "&amp;INDEX(BIOQUIMICA!$K$7:$K$5006,MATCH($B$8&amp;"|FLAG|2",BIOQUIMICA!$W$7:$W$5006,0))))</f>
        <v/>
      </c>
      <c r="C46" s="15" t="s">
        <v>577</v>
      </c>
    </row>
    <row r="47" spans="1:10" ht="14.25" customHeight="1">
      <c r="A47" s="17" t="s">
        <v>578</v>
      </c>
      <c r="B47" s="28" t="str">
        <f>IF(CONFIG!$B$23="No","No aplica",IF(COUNTIF(BIOQUIMICA!$W$7:$W$5006,$B$8&amp;"|FLAG|3")=0,"",INDEX(BIOQUIMICA!$D$7:$D$5006,MATCH($B$8&amp;"|FLAG|3",BIOQUIMICA!$W$7:$W$5006,0))&amp;" · "&amp;INDEX(BIOQUIMICA!$K$7:$K$5006,MATCH($B$8&amp;"|FLAG|3",BIOQUIMICA!$W$7:$W$5006,0))))</f>
        <v/>
      </c>
      <c r="C47" s="15" t="s">
        <v>579</v>
      </c>
    </row>
    <row r="48" spans="1:10" ht="14.25" customHeight="1">
      <c r="A48" s="17" t="s">
        <v>523</v>
      </c>
      <c r="B48" s="28">
        <f>IF(CONFIG!$B$24="No","No aplica",SUMIFS(ALIMENTACION!$L$112:$L$5111,ALIMENTACION!$A$112:$A$5111,$B$8))</f>
        <v>600</v>
      </c>
      <c r="C48" s="15" t="s">
        <v>580</v>
      </c>
    </row>
    <row r="49" spans="1:10" ht="14.25" customHeight="1">
      <c r="A49" s="17" t="s">
        <v>581</v>
      </c>
      <c r="B49" s="28">
        <f>IF(CONFIG!$B$24="No","No aplica",SUMIFS(ALIMENTACION!$M$112:$M$5111,ALIMENTACION!$A$112:$A$5111,$B$8))</f>
        <v>30</v>
      </c>
      <c r="C49" s="15" t="s">
        <v>582</v>
      </c>
    </row>
    <row r="50" spans="1:10" ht="14.25" customHeight="1">
      <c r="A50" s="17" t="s">
        <v>583</v>
      </c>
      <c r="B50" s="28">
        <f>IF(CONFIG!$B$24="No","No aplica",SUMIFS(ALIMENTACION!$N$112:$N$5111,ALIMENTACION!$A$112:$A$5111,$B$8))</f>
        <v>65</v>
      </c>
      <c r="C50" s="15" t="s">
        <v>582</v>
      </c>
    </row>
    <row r="51" spans="1:10" ht="14.25" customHeight="1">
      <c r="A51" s="17" t="s">
        <v>584</v>
      </c>
      <c r="B51" s="28">
        <f>IF(CONFIG!$B$24="No","No aplica",SUMIFS(ALIMENTACION!$O$112:$O$5111,ALIMENTACION!$A$112:$A$5111,$B$8))</f>
        <v>20</v>
      </c>
      <c r="C51" s="15" t="s">
        <v>582</v>
      </c>
    </row>
    <row r="52" spans="1:10" ht="14.25" customHeight="1">
      <c r="A52" s="17" t="s">
        <v>585</v>
      </c>
      <c r="B52" s="28">
        <f>IF(CONFIG!$B$24="No","No aplica",SUMIFS(ALIMENTACION!$P$112:$P$5111,ALIMENTACION!$A$112:$A$5111,$B$8))</f>
        <v>9</v>
      </c>
      <c r="C52" s="15" t="s">
        <v>582</v>
      </c>
    </row>
    <row r="53" spans="1:10" ht="14.25" customHeight="1">
      <c r="A53" s="17" t="s">
        <v>528</v>
      </c>
      <c r="B53" s="28">
        <f>IF(CONFIG!$B$24="No","No aplica",COUNTIF(ALIMENTACION!$A$112:$A$5111,$B$8))</f>
        <v>1</v>
      </c>
      <c r="C53" s="15" t="s">
        <v>586</v>
      </c>
    </row>
    <row r="54" spans="1:10" ht="14.25" customHeight="1">
      <c r="A54" s="17" t="s">
        <v>587</v>
      </c>
      <c r="B54" s="34" t="e">
        <f>IF(OR(CONFIG!$B$24="No",COUNTIF(ALIMENTACION!$A$112:$A$5111,$B$8)=0),"",SUMPRODUCT(MIN(IF(ALIMENTACION!$A$112:$A$5111=$B$8,ALIMENTACION!$F$112:$F$5111))))</f>
        <v>#VALUE!</v>
      </c>
      <c r="C54" s="15" t="s">
        <v>588</v>
      </c>
    </row>
    <row r="55" spans="1:10" ht="14.25" customHeight="1">
      <c r="A55" s="17" t="s">
        <v>589</v>
      </c>
      <c r="B55" s="34" t="e">
        <f>IF(OR(CONFIG!$B$24="No",COUNTIF(ALIMENTACION!$A$112:$A$5111,$B$8)=0),"",SUMPRODUCT(MAX(IF(ALIMENTACION!$A$112:$A$5111=$B$8,ALIMENTACION!$F$112:$F$5111))))</f>
        <v>#VALUE!</v>
      </c>
      <c r="C55" s="15" t="s">
        <v>588</v>
      </c>
    </row>
    <row r="56" spans="1:10" ht="14.25" customHeight="1">
      <c r="A56" s="17" t="s">
        <v>590</v>
      </c>
      <c r="B56" s="28">
        <f>IF(CONFIG!$B$26="No","No aplica",COUNTIF(FARMACOS!$A$7:$A$3006,$B$8))</f>
        <v>0</v>
      </c>
      <c r="C56" s="15" t="s">
        <v>586</v>
      </c>
    </row>
    <row r="57" spans="1:10" ht="14.25" customHeight="1">
      <c r="A57" s="17" t="s">
        <v>316</v>
      </c>
      <c r="B57" s="28">
        <f>IF(CONFIG!$B$27="No","No aplica",COUNTIF(FARMACOS!$A$312:$A$3311,$B$8))</f>
        <v>0</v>
      </c>
      <c r="C57" s="15" t="s">
        <v>586</v>
      </c>
    </row>
    <row r="60" spans="1:10" ht="19.5" customHeight="1">
      <c r="A60" s="12" t="s">
        <v>591</v>
      </c>
      <c r="B60" s="12"/>
      <c r="C60" s="12"/>
      <c r="D60" s="12"/>
      <c r="E60" s="12"/>
      <c r="F60" s="12"/>
      <c r="G60" s="12"/>
      <c r="H60" s="12"/>
      <c r="I60" s="12"/>
      <c r="J60" s="12"/>
    </row>
    <row r="61" spans="1:10" ht="14.25" customHeight="1">
      <c r="A61" s="19" t="s">
        <v>537</v>
      </c>
      <c r="B61" s="19" t="s">
        <v>538</v>
      </c>
      <c r="C61" s="19" t="s">
        <v>539</v>
      </c>
    </row>
    <row r="62" spans="1:10" ht="14.25" customHeight="1">
      <c r="A62" s="17" t="s">
        <v>530</v>
      </c>
      <c r="B62" s="28">
        <f>COUNTIFS(DIAGNOSTICO!$A$7:$A$3006,$B$8,DIAGNOSTICO!$K$7:$K$3006,"Revisado")</f>
        <v>0</v>
      </c>
      <c r="C62" s="15" t="s">
        <v>572</v>
      </c>
    </row>
    <row r="63" spans="1:10" ht="14.25" customHeight="1">
      <c r="A63" s="17" t="s">
        <v>531</v>
      </c>
      <c r="B63" s="28">
        <f>COUNTIFS(OBJETIVOS!$A$7:$A$3006,$B$8,OBJETIVOS!$N$7:$N$3006,"Activo")</f>
        <v>1</v>
      </c>
      <c r="C63" s="15" t="s">
        <v>572</v>
      </c>
    </row>
    <row r="64" spans="1:10" ht="14.25" customHeight="1">
      <c r="A64" s="17" t="s">
        <v>485</v>
      </c>
      <c r="B64" s="28">
        <f>COUNTIFS(OBJETIVOS!$A$7:$A$3006,$B$8,OBJETIVOS!$N$7:$N$3006,"Cumplido")</f>
        <v>0</v>
      </c>
      <c r="C64" s="15" t="s">
        <v>572</v>
      </c>
    </row>
    <row r="65" spans="1:13" ht="14.25" customHeight="1">
      <c r="A65" s="17" t="s">
        <v>532</v>
      </c>
      <c r="B65" s="28">
        <f>COUNTIFS(INTERVENCION!$A$7:$A$3006,$B$8,INTERVENCION!$L$7:$L$3006,"Activo")</f>
        <v>0</v>
      </c>
      <c r="C65" s="15" t="s">
        <v>572</v>
      </c>
    </row>
    <row r="66" spans="1:13" ht="14.25" customHeight="1">
      <c r="A66" s="17" t="s">
        <v>494</v>
      </c>
      <c r="B66" s="28" t="str">
        <f>IF(COUNTIF(SEGUIMIENTO!$A$7:$A$3006,$B$8)=0,"",INDEX(SEGUIMIENTO!$U$7:$U$3006,MATCH($B$8,SEGUIMIENTO!$A$7:$A$3006,0)))</f>
        <v>Registrar próxima semana</v>
      </c>
      <c r="C66" s="15" t="s">
        <v>375</v>
      </c>
    </row>
    <row r="67" spans="1:13" ht="14.25" customHeight="1">
      <c r="A67" s="17" t="s">
        <v>495</v>
      </c>
      <c r="B67" s="33">
        <f>IF(COUNTIF(SEGUIMIENTO!$A$7:$A$3006,$B$8)=0,"",INDEX(SEGUIMIENTO!$V$7:$V$3006,MATCH($B$8,SEGUIMIENTO!$A$7:$A$3006,0)))</f>
        <v>46235</v>
      </c>
      <c r="C67" s="15" t="s">
        <v>375</v>
      </c>
    </row>
    <row r="68" spans="1:13" ht="14.25" customHeight="1">
      <c r="A68" s="17" t="s">
        <v>533</v>
      </c>
      <c r="B68" s="28" t="str">
        <f>IF(COUNTIF(EVALUACION!$A$7:$A$3006,$B$8)=0,"",INDEX(EVALUACION!$J$7:$J$3006,MATCH($B$8,EVALUACION!$A$7:$A$3006,0)))</f>
        <v>Completo</v>
      </c>
      <c r="C68" s="15" t="s">
        <v>504</v>
      </c>
    </row>
    <row r="72" spans="1:13" ht="19.5" customHeight="1">
      <c r="A72" s="12" t="s">
        <v>592</v>
      </c>
      <c r="B72" s="12"/>
      <c r="C72" s="12"/>
      <c r="D72" s="12"/>
      <c r="E72" s="12"/>
      <c r="F72" s="12"/>
      <c r="G72" s="12"/>
      <c r="H72" s="12"/>
      <c r="I72" s="12"/>
      <c r="J72" s="12"/>
    </row>
    <row r="73" spans="1:13" ht="24" customHeight="1">
      <c r="A73" s="19" t="s">
        <v>593</v>
      </c>
      <c r="B73" s="19" t="s">
        <v>129</v>
      </c>
      <c r="C73" s="19" t="s">
        <v>511</v>
      </c>
      <c r="D73" s="19" t="s">
        <v>197</v>
      </c>
      <c r="E73" s="19" t="s">
        <v>484</v>
      </c>
      <c r="F73" s="19" t="s">
        <v>15</v>
      </c>
      <c r="G73" s="19" t="s">
        <v>128</v>
      </c>
      <c r="H73" s="35" t="s">
        <v>129</v>
      </c>
      <c r="I73" s="35" t="s">
        <v>197</v>
      </c>
      <c r="J73" s="35" t="s">
        <v>129</v>
      </c>
      <c r="K73" s="35" t="s">
        <v>594</v>
      </c>
      <c r="L73" s="35" t="s">
        <v>129</v>
      </c>
      <c r="M73" s="35" t="s">
        <v>15</v>
      </c>
    </row>
    <row r="74" spans="1:13" ht="14.25" customHeight="1">
      <c r="A74" s="17">
        <v>1</v>
      </c>
      <c r="B74" s="33">
        <f>IF(G74="","",SUMIFS(EVALUACION!$C$7:$C$3006,EVALUACION!$B$7:$B$3006,$B$7,EVALUACION!$S$7:$S$3006,A74))</f>
        <v>46143</v>
      </c>
      <c r="C74" s="28">
        <f>IF(G74="","",SUMIFS(ANTROPOMETRIA!$D$7:$D$3006,ANTROPOMETRIA!$B$7:$B$3006,$B$7,ANTROPOMETRIA!$AJ$7:$AJ$3006,A74))</f>
        <v>90</v>
      </c>
      <c r="D74" s="28">
        <f>IF(G74="","",SUMIFS(ANTROPOMETRIA!$F$7:$F$3006,ANTROPOMETRIA!$B$7:$B$3006,$B$7,ANTROPOMETRIA!$AJ$7:$AJ$3006,A74))</f>
        <v>27.777777777777775</v>
      </c>
      <c r="E74" s="36">
        <f>IF(G74="","",IF(COUNTIF(OBJETIVOS!$A$7:$A$3006,G74)=0,0,COUNTIFS(OBJETIVOS!$A$7:$A$3006,G74,OBJETIVOS!$N$7:$N$3006,"Cumplido")/COUNTIF(OBJETIVOS!$A$7:$A$3006,G74)))</f>
        <v>1</v>
      </c>
      <c r="F74" s="28">
        <f t="shared" ref="F74:F83" si="0">IF(G74="","",1)</f>
        <v>1</v>
      </c>
      <c r="G74" s="28" t="str">
        <f>IF(CONFIG!$B$29="No","",IF(SUMPRODUCT((EVALUACION!$B$7:$B$3006=$B$7)*(EVALUACION!$S$7:$S$3006=A74))=0,"",INDEX(EVALUACION!$A$7:$A$3006,SUMPRODUCT((EVALUACION!$B$7:$B$3006=$B$7)*(EVALUACION!$S$7:$S$3006=A74)*(ROW(EVALUACION!$A$7:$A$3006)-ROW(EVALUACION!$A$7)+1)))))</f>
        <v>E-B-01</v>
      </c>
      <c r="H74" s="37" t="str">
        <f t="shared" ref="H74:H83" si="1">IF(B74="","",TEXT(B74,"yyyy-mm-dd"))</f>
        <v>2026-05-01</v>
      </c>
      <c r="I74" s="38">
        <f t="shared" ref="I74:I83" si="2">IF(D74="","",D74)</f>
        <v>27.777777777777775</v>
      </c>
      <c r="J74" s="37" t="str">
        <f t="shared" ref="J74:J83" si="3">IF(B74="","",TEXT(B74,"yyyy-mm-dd"))</f>
        <v>2026-05-01</v>
      </c>
      <c r="K74" s="39">
        <f t="shared" ref="K74:K83" si="4">IF(E74="","",E74)</f>
        <v>1</v>
      </c>
      <c r="L74" s="37" t="str">
        <f t="shared" ref="L74:L83" si="5">IF(B74="","",TEXT(B74,"yyyy-mm-dd"))</f>
        <v>2026-05-01</v>
      </c>
      <c r="M74" s="38">
        <f t="shared" ref="M74:M83" si="6">IF(F74="","",F74)</f>
        <v>1</v>
      </c>
    </row>
    <row r="75" spans="1:13" ht="14.25" customHeight="1">
      <c r="A75" s="17">
        <v>2</v>
      </c>
      <c r="B75" s="33">
        <f>IF(G75="","",SUMIFS(EVALUACION!$C$7:$C$3006,EVALUACION!$B$7:$B$3006,$B$7,EVALUACION!$S$7:$S$3006,A75))</f>
        <v>46204</v>
      </c>
      <c r="C75" s="28">
        <f>IF(G75="","",SUMIFS(ANTROPOMETRIA!$D$7:$D$3006,ANTROPOMETRIA!$B$7:$B$3006,$B$7,ANTROPOMETRIA!$AJ$7:$AJ$3006,A75))</f>
        <v>87</v>
      </c>
      <c r="D75" s="28">
        <f>IF(G75="","",SUMIFS(ANTROPOMETRIA!$F$7:$F$3006,ANTROPOMETRIA!$B$7:$B$3006,$B$7,ANTROPOMETRIA!$AJ$7:$AJ$3006,A75))</f>
        <v>26.851851851851851</v>
      </c>
      <c r="E75" s="36">
        <f>IF(G75="","",IF(COUNTIF(OBJETIVOS!$A$7:$A$3006,G75)=0,0,COUNTIFS(OBJETIVOS!$A$7:$A$3006,G75,OBJETIVOS!$N$7:$N$3006,"Cumplido")/COUNTIF(OBJETIVOS!$A$7:$A$3006,G75)))</f>
        <v>0</v>
      </c>
      <c r="F75" s="28">
        <f t="shared" si="0"/>
        <v>1</v>
      </c>
      <c r="G75" s="28" t="str">
        <f>IF(CONFIG!$B$29="No","",IF(SUMPRODUCT((EVALUACION!$B$7:$B$3006=$B$7)*(EVALUACION!$S$7:$S$3006=A75))=0,"",INDEX(EVALUACION!$A$7:$A$3006,SUMPRODUCT((EVALUACION!$B$7:$B$3006=$B$7)*(EVALUACION!$S$7:$S$3006=A75)*(ROW(EVALUACION!$A$7:$A$3006)-ROW(EVALUACION!$A$7)+1)))))</f>
        <v>E-B-02</v>
      </c>
      <c r="H75" s="37" t="str">
        <f t="shared" si="1"/>
        <v>2026-07-01</v>
      </c>
      <c r="I75" s="38">
        <f t="shared" si="2"/>
        <v>26.851851851851851</v>
      </c>
      <c r="J75" s="37" t="str">
        <f t="shared" si="3"/>
        <v>2026-07-01</v>
      </c>
      <c r="K75" s="39">
        <f t="shared" si="4"/>
        <v>0</v>
      </c>
      <c r="L75" s="37" t="str">
        <f t="shared" si="5"/>
        <v>2026-07-01</v>
      </c>
      <c r="M75" s="38">
        <f t="shared" si="6"/>
        <v>1</v>
      </c>
    </row>
    <row r="76" spans="1:13" ht="14.25" customHeight="1">
      <c r="A76" s="17">
        <v>3</v>
      </c>
      <c r="B76" s="33" t="str">
        <f>IF(G76="","",SUMIFS(EVALUACION!$C$7:$C$3006,EVALUACION!$B$7:$B$3006,$B$7,EVALUACION!$S$7:$S$3006,A76))</f>
        <v/>
      </c>
      <c r="C76" s="28" t="str">
        <f>IF(G76="","",SUMIFS(ANTROPOMETRIA!$D$7:$D$3006,ANTROPOMETRIA!$B$7:$B$3006,$B$7,ANTROPOMETRIA!$AJ$7:$AJ$3006,A76))</f>
        <v/>
      </c>
      <c r="D76" s="28" t="str">
        <f>IF(G76="","",SUMIFS(ANTROPOMETRIA!$F$7:$F$3006,ANTROPOMETRIA!$B$7:$B$3006,$B$7,ANTROPOMETRIA!$AJ$7:$AJ$3006,A76))</f>
        <v/>
      </c>
      <c r="E76" s="36" t="str">
        <f>IF(G76="","",IF(COUNTIF(OBJETIVOS!$A$7:$A$3006,G76)=0,0,COUNTIFS(OBJETIVOS!$A$7:$A$3006,G76,OBJETIVOS!$N$7:$N$3006,"Cumplido")/COUNTIF(OBJETIVOS!$A$7:$A$3006,G76)))</f>
        <v/>
      </c>
      <c r="F76" s="28" t="str">
        <f t="shared" si="0"/>
        <v/>
      </c>
      <c r="G76" s="28" t="str">
        <f>IF(CONFIG!$B$29="No","",IF(SUMPRODUCT((EVALUACION!$B$7:$B$3006=$B$7)*(EVALUACION!$S$7:$S$3006=A76))=0,"",INDEX(EVALUACION!$A$7:$A$3006,SUMPRODUCT((EVALUACION!$B$7:$B$3006=$B$7)*(EVALUACION!$S$7:$S$3006=A76)*(ROW(EVALUACION!$A$7:$A$3006)-ROW(EVALUACION!$A$7)+1)))))</f>
        <v/>
      </c>
      <c r="H76" s="37" t="str">
        <f t="shared" si="1"/>
        <v/>
      </c>
      <c r="I76" s="38" t="str">
        <f t="shared" si="2"/>
        <v/>
      </c>
      <c r="J76" s="37" t="str">
        <f t="shared" si="3"/>
        <v/>
      </c>
      <c r="K76" s="39" t="str">
        <f t="shared" si="4"/>
        <v/>
      </c>
      <c r="L76" s="37" t="str">
        <f t="shared" si="5"/>
        <v/>
      </c>
      <c r="M76" s="38" t="str">
        <f t="shared" si="6"/>
        <v/>
      </c>
    </row>
    <row r="77" spans="1:13" ht="14.25" customHeight="1">
      <c r="A77" s="17">
        <v>4</v>
      </c>
      <c r="B77" s="33" t="str">
        <f>IF(G77="","",SUMIFS(EVALUACION!$C$7:$C$3006,EVALUACION!$B$7:$B$3006,$B$7,EVALUACION!$S$7:$S$3006,A77))</f>
        <v/>
      </c>
      <c r="C77" s="28" t="str">
        <f>IF(G77="","",SUMIFS(ANTROPOMETRIA!$D$7:$D$3006,ANTROPOMETRIA!$B$7:$B$3006,$B$7,ANTROPOMETRIA!$AJ$7:$AJ$3006,A77))</f>
        <v/>
      </c>
      <c r="D77" s="28" t="str">
        <f>IF(G77="","",SUMIFS(ANTROPOMETRIA!$F$7:$F$3006,ANTROPOMETRIA!$B$7:$B$3006,$B$7,ANTROPOMETRIA!$AJ$7:$AJ$3006,A77))</f>
        <v/>
      </c>
      <c r="E77" s="36" t="str">
        <f>IF(G77="","",IF(COUNTIF(OBJETIVOS!$A$7:$A$3006,G77)=0,0,COUNTIFS(OBJETIVOS!$A$7:$A$3006,G77,OBJETIVOS!$N$7:$N$3006,"Cumplido")/COUNTIF(OBJETIVOS!$A$7:$A$3006,G77)))</f>
        <v/>
      </c>
      <c r="F77" s="28" t="str">
        <f t="shared" si="0"/>
        <v/>
      </c>
      <c r="G77" s="28" t="str">
        <f>IF(CONFIG!$B$29="No","",IF(SUMPRODUCT((EVALUACION!$B$7:$B$3006=$B$7)*(EVALUACION!$S$7:$S$3006=A77))=0,"",INDEX(EVALUACION!$A$7:$A$3006,SUMPRODUCT((EVALUACION!$B$7:$B$3006=$B$7)*(EVALUACION!$S$7:$S$3006=A77)*(ROW(EVALUACION!$A$7:$A$3006)-ROW(EVALUACION!$A$7)+1)))))</f>
        <v/>
      </c>
      <c r="H77" s="37" t="str">
        <f t="shared" si="1"/>
        <v/>
      </c>
      <c r="I77" s="38" t="str">
        <f t="shared" si="2"/>
        <v/>
      </c>
      <c r="J77" s="37" t="str">
        <f t="shared" si="3"/>
        <v/>
      </c>
      <c r="K77" s="39" t="str">
        <f t="shared" si="4"/>
        <v/>
      </c>
      <c r="L77" s="37" t="str">
        <f t="shared" si="5"/>
        <v/>
      </c>
      <c r="M77" s="38" t="str">
        <f t="shared" si="6"/>
        <v/>
      </c>
    </row>
    <row r="78" spans="1:13" ht="14.25" customHeight="1">
      <c r="A78" s="17">
        <v>5</v>
      </c>
      <c r="B78" s="33" t="str">
        <f>IF(G78="","",SUMIFS(EVALUACION!$C$7:$C$3006,EVALUACION!$B$7:$B$3006,$B$7,EVALUACION!$S$7:$S$3006,A78))</f>
        <v/>
      </c>
      <c r="C78" s="28" t="str">
        <f>IF(G78="","",SUMIFS(ANTROPOMETRIA!$D$7:$D$3006,ANTROPOMETRIA!$B$7:$B$3006,$B$7,ANTROPOMETRIA!$AJ$7:$AJ$3006,A78))</f>
        <v/>
      </c>
      <c r="D78" s="28" t="str">
        <f>IF(G78="","",SUMIFS(ANTROPOMETRIA!$F$7:$F$3006,ANTROPOMETRIA!$B$7:$B$3006,$B$7,ANTROPOMETRIA!$AJ$7:$AJ$3006,A78))</f>
        <v/>
      </c>
      <c r="E78" s="36" t="str">
        <f>IF(G78="","",IF(COUNTIF(OBJETIVOS!$A$7:$A$3006,G78)=0,0,COUNTIFS(OBJETIVOS!$A$7:$A$3006,G78,OBJETIVOS!$N$7:$N$3006,"Cumplido")/COUNTIF(OBJETIVOS!$A$7:$A$3006,G78)))</f>
        <v/>
      </c>
      <c r="F78" s="28" t="str">
        <f t="shared" si="0"/>
        <v/>
      </c>
      <c r="G78" s="28" t="str">
        <f>IF(CONFIG!$B$29="No","",IF(SUMPRODUCT((EVALUACION!$B$7:$B$3006=$B$7)*(EVALUACION!$S$7:$S$3006=A78))=0,"",INDEX(EVALUACION!$A$7:$A$3006,SUMPRODUCT((EVALUACION!$B$7:$B$3006=$B$7)*(EVALUACION!$S$7:$S$3006=A78)*(ROW(EVALUACION!$A$7:$A$3006)-ROW(EVALUACION!$A$7)+1)))))</f>
        <v/>
      </c>
      <c r="H78" s="37" t="str">
        <f t="shared" si="1"/>
        <v/>
      </c>
      <c r="I78" s="38" t="str">
        <f t="shared" si="2"/>
        <v/>
      </c>
      <c r="J78" s="37" t="str">
        <f t="shared" si="3"/>
        <v/>
      </c>
      <c r="K78" s="39" t="str">
        <f t="shared" si="4"/>
        <v/>
      </c>
      <c r="L78" s="37" t="str">
        <f t="shared" si="5"/>
        <v/>
      </c>
      <c r="M78" s="38" t="str">
        <f t="shared" si="6"/>
        <v/>
      </c>
    </row>
    <row r="79" spans="1:13" ht="14.25" customHeight="1">
      <c r="A79" s="17">
        <v>6</v>
      </c>
      <c r="B79" s="33" t="str">
        <f>IF(G79="","",SUMIFS(EVALUACION!$C$7:$C$3006,EVALUACION!$B$7:$B$3006,$B$7,EVALUACION!$S$7:$S$3006,A79))</f>
        <v/>
      </c>
      <c r="C79" s="28" t="str">
        <f>IF(G79="","",SUMIFS(ANTROPOMETRIA!$D$7:$D$3006,ANTROPOMETRIA!$B$7:$B$3006,$B$7,ANTROPOMETRIA!$AJ$7:$AJ$3006,A79))</f>
        <v/>
      </c>
      <c r="D79" s="28" t="str">
        <f>IF(G79="","",SUMIFS(ANTROPOMETRIA!$F$7:$F$3006,ANTROPOMETRIA!$B$7:$B$3006,$B$7,ANTROPOMETRIA!$AJ$7:$AJ$3006,A79))</f>
        <v/>
      </c>
      <c r="E79" s="36" t="str">
        <f>IF(G79="","",IF(COUNTIF(OBJETIVOS!$A$7:$A$3006,G79)=0,0,COUNTIFS(OBJETIVOS!$A$7:$A$3006,G79,OBJETIVOS!$N$7:$N$3006,"Cumplido")/COUNTIF(OBJETIVOS!$A$7:$A$3006,G79)))</f>
        <v/>
      </c>
      <c r="F79" s="28" t="str">
        <f t="shared" si="0"/>
        <v/>
      </c>
      <c r="G79" s="28" t="str">
        <f>IF(CONFIG!$B$29="No","",IF(SUMPRODUCT((EVALUACION!$B$7:$B$3006=$B$7)*(EVALUACION!$S$7:$S$3006=A79))=0,"",INDEX(EVALUACION!$A$7:$A$3006,SUMPRODUCT((EVALUACION!$B$7:$B$3006=$B$7)*(EVALUACION!$S$7:$S$3006=A79)*(ROW(EVALUACION!$A$7:$A$3006)-ROW(EVALUACION!$A$7)+1)))))</f>
        <v/>
      </c>
      <c r="H79" s="37" t="str">
        <f t="shared" si="1"/>
        <v/>
      </c>
      <c r="I79" s="38" t="str">
        <f t="shared" si="2"/>
        <v/>
      </c>
      <c r="J79" s="37" t="str">
        <f t="shared" si="3"/>
        <v/>
      </c>
      <c r="K79" s="39" t="str">
        <f t="shared" si="4"/>
        <v/>
      </c>
      <c r="L79" s="37" t="str">
        <f t="shared" si="5"/>
        <v/>
      </c>
      <c r="M79" s="38" t="str">
        <f t="shared" si="6"/>
        <v/>
      </c>
    </row>
    <row r="80" spans="1:13" ht="14.25" customHeight="1">
      <c r="A80" s="17">
        <v>7</v>
      </c>
      <c r="B80" s="33" t="str">
        <f>IF(G80="","",SUMIFS(EVALUACION!$C$7:$C$3006,EVALUACION!$B$7:$B$3006,$B$7,EVALUACION!$S$7:$S$3006,A80))</f>
        <v/>
      </c>
      <c r="C80" s="28" t="str">
        <f>IF(G80="","",SUMIFS(ANTROPOMETRIA!$D$7:$D$3006,ANTROPOMETRIA!$B$7:$B$3006,$B$7,ANTROPOMETRIA!$AJ$7:$AJ$3006,A80))</f>
        <v/>
      </c>
      <c r="D80" s="28" t="str">
        <f>IF(G80="","",SUMIFS(ANTROPOMETRIA!$F$7:$F$3006,ANTROPOMETRIA!$B$7:$B$3006,$B$7,ANTROPOMETRIA!$AJ$7:$AJ$3006,A80))</f>
        <v/>
      </c>
      <c r="E80" s="36" t="str">
        <f>IF(G80="","",IF(COUNTIF(OBJETIVOS!$A$7:$A$3006,G80)=0,0,COUNTIFS(OBJETIVOS!$A$7:$A$3006,G80,OBJETIVOS!$N$7:$N$3006,"Cumplido")/COUNTIF(OBJETIVOS!$A$7:$A$3006,G80)))</f>
        <v/>
      </c>
      <c r="F80" s="28" t="str">
        <f t="shared" si="0"/>
        <v/>
      </c>
      <c r="G80" s="28" t="str">
        <f>IF(CONFIG!$B$29="No","",IF(SUMPRODUCT((EVALUACION!$B$7:$B$3006=$B$7)*(EVALUACION!$S$7:$S$3006=A80))=0,"",INDEX(EVALUACION!$A$7:$A$3006,SUMPRODUCT((EVALUACION!$B$7:$B$3006=$B$7)*(EVALUACION!$S$7:$S$3006=A80)*(ROW(EVALUACION!$A$7:$A$3006)-ROW(EVALUACION!$A$7)+1)))))</f>
        <v/>
      </c>
      <c r="H80" s="37" t="str">
        <f t="shared" si="1"/>
        <v/>
      </c>
      <c r="I80" s="38" t="str">
        <f t="shared" si="2"/>
        <v/>
      </c>
      <c r="J80" s="37" t="str">
        <f t="shared" si="3"/>
        <v/>
      </c>
      <c r="K80" s="39" t="str">
        <f t="shared" si="4"/>
        <v/>
      </c>
      <c r="L80" s="37" t="str">
        <f t="shared" si="5"/>
        <v/>
      </c>
      <c r="M80" s="38" t="str">
        <f t="shared" si="6"/>
        <v/>
      </c>
    </row>
    <row r="81" spans="1:13" ht="14.25" customHeight="1">
      <c r="A81" s="17">
        <v>8</v>
      </c>
      <c r="B81" s="33" t="str">
        <f>IF(G81="","",SUMIFS(EVALUACION!$C$7:$C$3006,EVALUACION!$B$7:$B$3006,$B$7,EVALUACION!$S$7:$S$3006,A81))</f>
        <v/>
      </c>
      <c r="C81" s="28" t="str">
        <f>IF(G81="","",SUMIFS(ANTROPOMETRIA!$D$7:$D$3006,ANTROPOMETRIA!$B$7:$B$3006,$B$7,ANTROPOMETRIA!$AJ$7:$AJ$3006,A81))</f>
        <v/>
      </c>
      <c r="D81" s="28" t="str">
        <f>IF(G81="","",SUMIFS(ANTROPOMETRIA!$F$7:$F$3006,ANTROPOMETRIA!$B$7:$B$3006,$B$7,ANTROPOMETRIA!$AJ$7:$AJ$3006,A81))</f>
        <v/>
      </c>
      <c r="E81" s="36" t="str">
        <f>IF(G81="","",IF(COUNTIF(OBJETIVOS!$A$7:$A$3006,G81)=0,0,COUNTIFS(OBJETIVOS!$A$7:$A$3006,G81,OBJETIVOS!$N$7:$N$3006,"Cumplido")/COUNTIF(OBJETIVOS!$A$7:$A$3006,G81)))</f>
        <v/>
      </c>
      <c r="F81" s="28" t="str">
        <f t="shared" si="0"/>
        <v/>
      </c>
      <c r="G81" s="28" t="str">
        <f>IF(CONFIG!$B$29="No","",IF(SUMPRODUCT((EVALUACION!$B$7:$B$3006=$B$7)*(EVALUACION!$S$7:$S$3006=A81))=0,"",INDEX(EVALUACION!$A$7:$A$3006,SUMPRODUCT((EVALUACION!$B$7:$B$3006=$B$7)*(EVALUACION!$S$7:$S$3006=A81)*(ROW(EVALUACION!$A$7:$A$3006)-ROW(EVALUACION!$A$7)+1)))))</f>
        <v/>
      </c>
      <c r="H81" s="37" t="str">
        <f t="shared" si="1"/>
        <v/>
      </c>
      <c r="I81" s="38" t="str">
        <f t="shared" si="2"/>
        <v/>
      </c>
      <c r="J81" s="37" t="str">
        <f t="shared" si="3"/>
        <v/>
      </c>
      <c r="K81" s="39" t="str">
        <f t="shared" si="4"/>
        <v/>
      </c>
      <c r="L81" s="37" t="str">
        <f t="shared" si="5"/>
        <v/>
      </c>
      <c r="M81" s="38" t="str">
        <f t="shared" si="6"/>
        <v/>
      </c>
    </row>
    <row r="82" spans="1:13" ht="14.25" customHeight="1">
      <c r="A82" s="17">
        <v>9</v>
      </c>
      <c r="B82" s="33" t="str">
        <f>IF(G82="","",SUMIFS(EVALUACION!$C$7:$C$3006,EVALUACION!$B$7:$B$3006,$B$7,EVALUACION!$S$7:$S$3006,A82))</f>
        <v/>
      </c>
      <c r="C82" s="28" t="str">
        <f>IF(G82="","",SUMIFS(ANTROPOMETRIA!$D$7:$D$3006,ANTROPOMETRIA!$B$7:$B$3006,$B$7,ANTROPOMETRIA!$AJ$7:$AJ$3006,A82))</f>
        <v/>
      </c>
      <c r="D82" s="28" t="str">
        <f>IF(G82="","",SUMIFS(ANTROPOMETRIA!$F$7:$F$3006,ANTROPOMETRIA!$B$7:$B$3006,$B$7,ANTROPOMETRIA!$AJ$7:$AJ$3006,A82))</f>
        <v/>
      </c>
      <c r="E82" s="36" t="str">
        <f>IF(G82="","",IF(COUNTIF(OBJETIVOS!$A$7:$A$3006,G82)=0,0,COUNTIFS(OBJETIVOS!$A$7:$A$3006,G82,OBJETIVOS!$N$7:$N$3006,"Cumplido")/COUNTIF(OBJETIVOS!$A$7:$A$3006,G82)))</f>
        <v/>
      </c>
      <c r="F82" s="28" t="str">
        <f t="shared" si="0"/>
        <v/>
      </c>
      <c r="G82" s="28" t="str">
        <f>IF(CONFIG!$B$29="No","",IF(SUMPRODUCT((EVALUACION!$B$7:$B$3006=$B$7)*(EVALUACION!$S$7:$S$3006=A82))=0,"",INDEX(EVALUACION!$A$7:$A$3006,SUMPRODUCT((EVALUACION!$B$7:$B$3006=$B$7)*(EVALUACION!$S$7:$S$3006=A82)*(ROW(EVALUACION!$A$7:$A$3006)-ROW(EVALUACION!$A$7)+1)))))</f>
        <v/>
      </c>
      <c r="H82" s="37" t="str">
        <f t="shared" si="1"/>
        <v/>
      </c>
      <c r="I82" s="38" t="str">
        <f t="shared" si="2"/>
        <v/>
      </c>
      <c r="J82" s="37" t="str">
        <f t="shared" si="3"/>
        <v/>
      </c>
      <c r="K82" s="39" t="str">
        <f t="shared" si="4"/>
        <v/>
      </c>
      <c r="L82" s="37" t="str">
        <f t="shared" si="5"/>
        <v/>
      </c>
      <c r="M82" s="38" t="str">
        <f t="shared" si="6"/>
        <v/>
      </c>
    </row>
    <row r="83" spans="1:13" ht="14.25" customHeight="1">
      <c r="A83" s="17">
        <v>10</v>
      </c>
      <c r="B83" s="33" t="str">
        <f>IF(G83="","",SUMIFS(EVALUACION!$C$7:$C$3006,EVALUACION!$B$7:$B$3006,$B$7,EVALUACION!$S$7:$S$3006,A83))</f>
        <v/>
      </c>
      <c r="C83" s="28" t="str">
        <f>IF(G83="","",SUMIFS(ANTROPOMETRIA!$D$7:$D$3006,ANTROPOMETRIA!$B$7:$B$3006,$B$7,ANTROPOMETRIA!$AJ$7:$AJ$3006,A83))</f>
        <v/>
      </c>
      <c r="D83" s="28" t="str">
        <f>IF(G83="","",SUMIFS(ANTROPOMETRIA!$F$7:$F$3006,ANTROPOMETRIA!$B$7:$B$3006,$B$7,ANTROPOMETRIA!$AJ$7:$AJ$3006,A83))</f>
        <v/>
      </c>
      <c r="E83" s="36" t="str">
        <f>IF(G83="","",IF(COUNTIF(OBJETIVOS!$A$7:$A$3006,G83)=0,0,COUNTIFS(OBJETIVOS!$A$7:$A$3006,G83,OBJETIVOS!$N$7:$N$3006,"Cumplido")/COUNTIF(OBJETIVOS!$A$7:$A$3006,G83)))</f>
        <v/>
      </c>
      <c r="F83" s="28" t="str">
        <f t="shared" si="0"/>
        <v/>
      </c>
      <c r="G83" s="28" t="str">
        <f>IF(CONFIG!$B$29="No","",IF(SUMPRODUCT((EVALUACION!$B$7:$B$3006=$B$7)*(EVALUACION!$S$7:$S$3006=A83))=0,"",INDEX(EVALUACION!$A$7:$A$3006,SUMPRODUCT((EVALUACION!$B$7:$B$3006=$B$7)*(EVALUACION!$S$7:$S$3006=A83)*(ROW(EVALUACION!$A$7:$A$3006)-ROW(EVALUACION!$A$7)+1)))))</f>
        <v/>
      </c>
      <c r="H83" s="37" t="str">
        <f t="shared" si="1"/>
        <v/>
      </c>
      <c r="I83" s="38" t="str">
        <f t="shared" si="2"/>
        <v/>
      </c>
      <c r="J83" s="37" t="str">
        <f t="shared" si="3"/>
        <v/>
      </c>
      <c r="K83" s="39" t="str">
        <f t="shared" si="4"/>
        <v/>
      </c>
      <c r="L83" s="37" t="str">
        <f t="shared" si="5"/>
        <v/>
      </c>
      <c r="M83" s="38" t="str">
        <f t="shared" si="6"/>
        <v/>
      </c>
    </row>
  </sheetData>
  <mergeCells count="8">
    <mergeCell ref="A39:J39"/>
    <mergeCell ref="A60:J60"/>
    <mergeCell ref="A72:J72"/>
    <mergeCell ref="A1:J1"/>
    <mergeCell ref="A3:J3"/>
    <mergeCell ref="A5:J5"/>
    <mergeCell ref="A19:J19"/>
    <mergeCell ref="A29:J29"/>
  </mergeCells>
  <dataValidations count="1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B7:B16 B21:B27 B31:B36 B41:B57 B62:B68 B74:M83" xr:uid="{00000000-0002-0000-0F00-000000000000}">
      <formula1>0</formula1>
      <formula2>0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50"/>
  <sheetViews>
    <sheetView showGridLines="0" workbookViewId="0">
      <selection sqref="A1:U1"/>
    </sheetView>
  </sheetViews>
  <sheetFormatPr baseColWidth="10" defaultColWidth="9" defaultRowHeight="15"/>
  <cols>
    <col min="1" max="1" width="22" style="15" customWidth="1"/>
    <col min="2" max="2" width="15" style="15" customWidth="1"/>
    <col min="3" max="3" width="18" style="15" customWidth="1"/>
    <col min="4" max="4" width="23" style="15" customWidth="1"/>
    <col min="5" max="5" width="22" style="15" customWidth="1"/>
    <col min="6" max="8" width="20" style="15" customWidth="1"/>
    <col min="9" max="9" width="12" style="15" customWidth="1"/>
    <col min="10" max="11" width="22" style="15" customWidth="1"/>
    <col min="12" max="12" width="16" style="15" customWidth="1"/>
    <col min="13" max="13" width="22" style="15" customWidth="1"/>
    <col min="14" max="16" width="18" style="15" customWidth="1"/>
    <col min="17" max="19" width="16" style="15" customWidth="1"/>
    <col min="20" max="20" width="18" style="15" customWidth="1"/>
    <col min="21" max="21" width="16" style="15" customWidth="1"/>
  </cols>
  <sheetData>
    <row r="1" spans="1:21" ht="27.75" customHeight="1">
      <c r="A1" s="14" t="s">
        <v>595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21" ht="30" customHeight="1">
      <c r="A3" s="13" t="s">
        <v>596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5" spans="1:21" ht="19.5" customHeight="1">
      <c r="A5" s="12" t="s">
        <v>597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14.25" customHeight="1">
      <c r="A6" s="19" t="s">
        <v>598</v>
      </c>
      <c r="B6" s="19" t="s">
        <v>599</v>
      </c>
      <c r="C6" s="19" t="s">
        <v>600</v>
      </c>
      <c r="D6" s="19" t="s">
        <v>601</v>
      </c>
      <c r="E6" s="19" t="s">
        <v>602</v>
      </c>
      <c r="F6" s="19" t="s">
        <v>528</v>
      </c>
      <c r="G6" s="19" t="s">
        <v>603</v>
      </c>
      <c r="H6" s="19" t="s">
        <v>604</v>
      </c>
      <c r="I6" s="19" t="s">
        <v>605</v>
      </c>
      <c r="J6" s="19" t="s">
        <v>606</v>
      </c>
      <c r="K6" s="19" t="s">
        <v>607</v>
      </c>
      <c r="L6" s="19" t="s">
        <v>608</v>
      </c>
      <c r="M6" s="19" t="s">
        <v>609</v>
      </c>
      <c r="N6" s="19" t="s">
        <v>610</v>
      </c>
      <c r="O6" s="19" t="s">
        <v>611</v>
      </c>
      <c r="P6" s="19" t="s">
        <v>139</v>
      </c>
      <c r="Q6" s="19" t="s">
        <v>281</v>
      </c>
      <c r="R6" s="19" t="s">
        <v>280</v>
      </c>
      <c r="S6" s="19" t="s">
        <v>612</v>
      </c>
      <c r="T6" s="19" t="s">
        <v>613</v>
      </c>
      <c r="U6" s="19" t="s">
        <v>614</v>
      </c>
    </row>
    <row r="7" spans="1:21" ht="14.25" customHeight="1">
      <c r="A7" s="26" t="s">
        <v>101</v>
      </c>
      <c r="B7" s="26" t="s">
        <v>145</v>
      </c>
      <c r="C7" s="26" t="s">
        <v>146</v>
      </c>
      <c r="D7" s="26" t="s">
        <v>183</v>
      </c>
      <c r="E7" s="26" t="s">
        <v>615</v>
      </c>
      <c r="F7" s="26" t="s">
        <v>336</v>
      </c>
      <c r="G7" s="26" t="s">
        <v>367</v>
      </c>
      <c r="H7" s="26" t="s">
        <v>162</v>
      </c>
      <c r="I7" s="26" t="s">
        <v>163</v>
      </c>
      <c r="J7" s="26" t="s">
        <v>162</v>
      </c>
      <c r="K7" s="26" t="s">
        <v>616</v>
      </c>
      <c r="L7" s="26" t="s">
        <v>564</v>
      </c>
      <c r="M7" s="26" t="s">
        <v>118</v>
      </c>
      <c r="N7" s="26" t="s">
        <v>106</v>
      </c>
      <c r="O7" s="26" t="s">
        <v>162</v>
      </c>
      <c r="P7" s="26" t="s">
        <v>151</v>
      </c>
      <c r="Q7" s="26" t="s">
        <v>617</v>
      </c>
      <c r="R7" s="26" t="s">
        <v>106</v>
      </c>
      <c r="S7" s="26" t="s">
        <v>335</v>
      </c>
      <c r="T7" s="26" t="s">
        <v>618</v>
      </c>
      <c r="U7" s="26" t="s">
        <v>106</v>
      </c>
    </row>
    <row r="8" spans="1:21" ht="14.25" customHeight="1">
      <c r="A8" s="26" t="s">
        <v>619</v>
      </c>
      <c r="B8" s="26" t="s">
        <v>99</v>
      </c>
      <c r="C8" s="26" t="s">
        <v>156</v>
      </c>
      <c r="D8" s="26" t="s">
        <v>186</v>
      </c>
      <c r="E8" s="26" t="s">
        <v>288</v>
      </c>
      <c r="F8" s="26" t="s">
        <v>620</v>
      </c>
      <c r="G8" s="26" t="s">
        <v>373</v>
      </c>
      <c r="H8" s="26" t="s">
        <v>101</v>
      </c>
      <c r="I8" s="26" t="s">
        <v>150</v>
      </c>
      <c r="J8" s="26" t="s">
        <v>101</v>
      </c>
      <c r="K8" s="26" t="s">
        <v>470</v>
      </c>
      <c r="L8" s="26" t="s">
        <v>565</v>
      </c>
      <c r="M8" s="26" t="s">
        <v>298</v>
      </c>
      <c r="N8" s="26" t="s">
        <v>229</v>
      </c>
      <c r="O8" s="26" t="s">
        <v>158</v>
      </c>
      <c r="P8" s="26" t="s">
        <v>150</v>
      </c>
      <c r="Q8" s="26" t="s">
        <v>292</v>
      </c>
      <c r="R8" s="26" t="s">
        <v>229</v>
      </c>
      <c r="S8" s="26" t="s">
        <v>346</v>
      </c>
      <c r="T8" s="26" t="s">
        <v>621</v>
      </c>
      <c r="U8" s="26" t="s">
        <v>229</v>
      </c>
    </row>
    <row r="9" spans="1:21" ht="14.25" customHeight="1">
      <c r="A9" s="26" t="s">
        <v>151</v>
      </c>
      <c r="B9" s="26" t="s">
        <v>622</v>
      </c>
      <c r="C9" s="26" t="s">
        <v>167</v>
      </c>
      <c r="D9" s="26" t="s">
        <v>623</v>
      </c>
      <c r="E9" s="26" t="s">
        <v>624</v>
      </c>
      <c r="F9" s="26" t="s">
        <v>342</v>
      </c>
      <c r="G9" s="26" t="s">
        <v>361</v>
      </c>
      <c r="H9" s="26" t="s">
        <v>149</v>
      </c>
      <c r="I9" s="26" t="s">
        <v>151</v>
      </c>
      <c r="J9" s="26" t="s">
        <v>625</v>
      </c>
      <c r="K9" s="26" t="s">
        <v>448</v>
      </c>
      <c r="L9" s="26" t="s">
        <v>626</v>
      </c>
      <c r="M9" s="26" t="s">
        <v>109</v>
      </c>
      <c r="N9" s="26" t="s">
        <v>117</v>
      </c>
      <c r="O9" s="26" t="s">
        <v>149</v>
      </c>
      <c r="P9" s="26" t="s">
        <v>163</v>
      </c>
      <c r="Q9" s="26" t="s">
        <v>627</v>
      </c>
      <c r="R9" s="26" t="s">
        <v>293</v>
      </c>
      <c r="S9" s="26" t="s">
        <v>628</v>
      </c>
      <c r="T9" s="26" t="s">
        <v>629</v>
      </c>
      <c r="U9" s="26" t="s">
        <v>630</v>
      </c>
    </row>
    <row r="10" spans="1:21" ht="14.25" customHeight="1">
      <c r="A10" s="26" t="s">
        <v>631</v>
      </c>
      <c r="B10" s="26" t="s">
        <v>632</v>
      </c>
      <c r="C10" s="26"/>
      <c r="D10" s="26" t="s">
        <v>633</v>
      </c>
      <c r="E10" s="26" t="s">
        <v>634</v>
      </c>
      <c r="F10" s="26" t="s">
        <v>635</v>
      </c>
      <c r="G10" s="26" t="s">
        <v>636</v>
      </c>
      <c r="H10" s="26" t="s">
        <v>637</v>
      </c>
      <c r="I10" s="26" t="s">
        <v>638</v>
      </c>
      <c r="J10" s="26" t="s">
        <v>454</v>
      </c>
      <c r="K10" s="26" t="s">
        <v>639</v>
      </c>
      <c r="L10" s="26" t="s">
        <v>582</v>
      </c>
      <c r="M10" s="26" t="s">
        <v>232</v>
      </c>
      <c r="N10" s="26" t="s">
        <v>123</v>
      </c>
      <c r="O10" s="26" t="s">
        <v>637</v>
      </c>
      <c r="P10" s="26" t="s">
        <v>164</v>
      </c>
      <c r="Q10" s="26" t="s">
        <v>164</v>
      </c>
      <c r="R10" s="26" t="s">
        <v>164</v>
      </c>
      <c r="S10" s="26" t="s">
        <v>640</v>
      </c>
      <c r="T10" s="26" t="s">
        <v>641</v>
      </c>
      <c r="U10" s="26"/>
    </row>
    <row r="11" spans="1:21" ht="14.25" customHeight="1">
      <c r="A11" s="26" t="s">
        <v>642</v>
      </c>
      <c r="B11" s="26"/>
      <c r="C11" s="26"/>
      <c r="D11" s="26" t="s">
        <v>189</v>
      </c>
      <c r="E11" s="26" t="s">
        <v>643</v>
      </c>
      <c r="F11" s="26" t="s">
        <v>644</v>
      </c>
      <c r="G11" s="26" t="s">
        <v>645</v>
      </c>
      <c r="H11" s="26" t="s">
        <v>646</v>
      </c>
      <c r="I11" s="26"/>
      <c r="J11" s="26" t="s">
        <v>647</v>
      </c>
      <c r="K11" s="26" t="s">
        <v>648</v>
      </c>
      <c r="L11" s="26" t="s">
        <v>649</v>
      </c>
      <c r="M11" s="26" t="s">
        <v>650</v>
      </c>
      <c r="N11" s="26"/>
      <c r="O11" s="26" t="s">
        <v>646</v>
      </c>
      <c r="P11" s="26"/>
      <c r="Q11" s="26"/>
      <c r="R11" s="26"/>
      <c r="S11" s="26" t="s">
        <v>651</v>
      </c>
      <c r="T11" s="26"/>
      <c r="U11" s="26"/>
    </row>
    <row r="12" spans="1:21" ht="14.25" customHeight="1">
      <c r="A12" s="26"/>
      <c r="B12" s="26"/>
      <c r="C12" s="26"/>
      <c r="D12" s="26" t="s">
        <v>652</v>
      </c>
      <c r="E12" s="26" t="s">
        <v>653</v>
      </c>
      <c r="F12" s="26" t="s">
        <v>344</v>
      </c>
      <c r="G12" s="26" t="s">
        <v>654</v>
      </c>
      <c r="H12" s="26"/>
      <c r="I12" s="26"/>
      <c r="J12" s="26"/>
      <c r="K12" s="26" t="s">
        <v>450</v>
      </c>
      <c r="L12" s="26" t="s">
        <v>655</v>
      </c>
      <c r="M12" s="26" t="s">
        <v>656</v>
      </c>
      <c r="N12" s="26"/>
      <c r="O12" s="26" t="s">
        <v>117</v>
      </c>
      <c r="P12" s="26"/>
      <c r="Q12" s="26"/>
      <c r="R12" s="26"/>
      <c r="S12" s="26" t="s">
        <v>654</v>
      </c>
      <c r="T12" s="26"/>
      <c r="U12" s="26"/>
    </row>
    <row r="13" spans="1:21" ht="14.25" customHeight="1">
      <c r="A13" s="26"/>
      <c r="B13" s="26"/>
      <c r="C13" s="26"/>
      <c r="D13" s="26" t="s">
        <v>657</v>
      </c>
      <c r="E13" s="26" t="s">
        <v>658</v>
      </c>
      <c r="F13" s="26" t="s">
        <v>659</v>
      </c>
      <c r="G13" s="26"/>
      <c r="H13" s="26"/>
      <c r="I13" s="26"/>
      <c r="J13" s="26"/>
      <c r="K13" s="26" t="s">
        <v>134</v>
      </c>
      <c r="L13" s="26" t="s">
        <v>660</v>
      </c>
      <c r="M13" s="26"/>
      <c r="N13" s="26"/>
      <c r="O13" s="26"/>
      <c r="P13" s="26"/>
      <c r="Q13" s="26"/>
      <c r="R13" s="26"/>
      <c r="S13" s="26"/>
      <c r="T13" s="26"/>
      <c r="U13" s="26"/>
    </row>
    <row r="14" spans="1:21" ht="14.25" customHeight="1">
      <c r="A14" s="26"/>
      <c r="B14" s="26"/>
      <c r="C14" s="26"/>
      <c r="D14" s="26" t="s">
        <v>661</v>
      </c>
      <c r="E14" s="26" t="s">
        <v>662</v>
      </c>
      <c r="F14" s="26" t="s">
        <v>654</v>
      </c>
      <c r="G14" s="26"/>
      <c r="H14" s="26"/>
      <c r="I14" s="26"/>
      <c r="J14" s="26"/>
      <c r="K14" s="26" t="s">
        <v>375</v>
      </c>
      <c r="L14" s="26" t="s">
        <v>663</v>
      </c>
      <c r="M14" s="26"/>
      <c r="N14" s="26"/>
      <c r="O14" s="26"/>
      <c r="P14" s="26"/>
      <c r="Q14" s="26"/>
      <c r="R14" s="26"/>
      <c r="S14" s="26"/>
      <c r="T14" s="26"/>
      <c r="U14" s="26"/>
    </row>
    <row r="15" spans="1:21" ht="24" customHeight="1">
      <c r="A15" s="26"/>
      <c r="B15" s="26"/>
      <c r="C15" s="26"/>
      <c r="D15" s="26" t="s">
        <v>664</v>
      </c>
      <c r="E15" s="26" t="s">
        <v>665</v>
      </c>
      <c r="F15" s="26"/>
      <c r="G15" s="26"/>
      <c r="H15" s="26"/>
      <c r="I15" s="26"/>
      <c r="J15" s="26"/>
      <c r="K15" s="26" t="s">
        <v>666</v>
      </c>
      <c r="L15" s="26" t="s">
        <v>580</v>
      </c>
      <c r="M15" s="26"/>
      <c r="N15" s="26"/>
      <c r="O15" s="26"/>
      <c r="P15" s="26"/>
      <c r="Q15" s="26"/>
      <c r="R15" s="26"/>
      <c r="S15" s="26"/>
      <c r="T15" s="26"/>
      <c r="U15" s="26"/>
    </row>
    <row r="16" spans="1:21" ht="14.25" customHeight="1">
      <c r="A16" s="26"/>
      <c r="B16" s="26"/>
      <c r="C16" s="26"/>
      <c r="D16" s="26" t="s">
        <v>667</v>
      </c>
      <c r="E16" s="26" t="s">
        <v>668</v>
      </c>
      <c r="F16" s="26"/>
      <c r="G16" s="26"/>
      <c r="H16" s="26"/>
      <c r="I16" s="26"/>
      <c r="J16" s="26"/>
      <c r="K16" s="26" t="s">
        <v>654</v>
      </c>
      <c r="L16" s="26" t="s">
        <v>669</v>
      </c>
      <c r="M16" s="26"/>
      <c r="N16" s="26"/>
      <c r="O16" s="26"/>
      <c r="P16" s="26"/>
      <c r="Q16" s="26"/>
      <c r="R16" s="26"/>
      <c r="S16" s="26"/>
      <c r="T16" s="26"/>
      <c r="U16" s="26"/>
    </row>
    <row r="17" spans="1:21" ht="14.25" customHeight="1">
      <c r="A17" s="26"/>
      <c r="B17" s="26"/>
      <c r="C17" s="26"/>
      <c r="D17" s="26" t="s">
        <v>670</v>
      </c>
      <c r="E17" s="26" t="s">
        <v>671</v>
      </c>
      <c r="F17" s="26"/>
      <c r="G17" s="26"/>
      <c r="H17" s="26"/>
      <c r="I17" s="26"/>
      <c r="J17" s="26"/>
      <c r="K17" s="26"/>
      <c r="L17" s="26" t="s">
        <v>672</v>
      </c>
      <c r="M17" s="26"/>
      <c r="N17" s="26"/>
      <c r="O17" s="26"/>
      <c r="P17" s="26"/>
      <c r="Q17" s="26"/>
      <c r="R17" s="26"/>
      <c r="S17" s="26"/>
      <c r="T17" s="26"/>
      <c r="U17" s="26"/>
    </row>
    <row r="18" spans="1:21" ht="14.25" customHeight="1">
      <c r="A18" s="26"/>
      <c r="B18" s="26"/>
      <c r="C18" s="26"/>
      <c r="D18" s="26" t="s">
        <v>673</v>
      </c>
      <c r="E18" s="26" t="s">
        <v>674</v>
      </c>
      <c r="F18" s="26"/>
      <c r="G18" s="26"/>
      <c r="H18" s="26"/>
      <c r="I18" s="26"/>
      <c r="J18" s="26"/>
      <c r="K18" s="26"/>
      <c r="L18" s="26" t="s">
        <v>675</v>
      </c>
      <c r="M18" s="26"/>
      <c r="N18" s="26"/>
      <c r="O18" s="26"/>
      <c r="P18" s="26"/>
      <c r="Q18" s="26"/>
      <c r="R18" s="26"/>
      <c r="S18" s="26"/>
      <c r="T18" s="26"/>
      <c r="U18" s="26"/>
    </row>
    <row r="19" spans="1:21" ht="14.25" customHeight="1">
      <c r="A19" s="26"/>
      <c r="B19" s="26"/>
      <c r="C19" s="26"/>
      <c r="D19" s="26" t="s">
        <v>676</v>
      </c>
      <c r="E19" s="26" t="s">
        <v>677</v>
      </c>
      <c r="F19" s="26"/>
      <c r="G19" s="26"/>
      <c r="H19" s="26"/>
      <c r="I19" s="26"/>
      <c r="J19" s="26"/>
      <c r="K19" s="26"/>
      <c r="L19" s="26" t="s">
        <v>262</v>
      </c>
      <c r="M19" s="26"/>
      <c r="N19" s="26"/>
      <c r="O19" s="26"/>
      <c r="P19" s="26"/>
      <c r="Q19" s="26"/>
      <c r="R19" s="26"/>
      <c r="S19" s="26"/>
      <c r="T19" s="26"/>
      <c r="U19" s="26"/>
    </row>
    <row r="20" spans="1:21" ht="14.25" customHeight="1">
      <c r="A20" s="26"/>
      <c r="B20" s="26"/>
      <c r="C20" s="26"/>
      <c r="D20" s="26" t="s">
        <v>678</v>
      </c>
      <c r="E20" s="26" t="s">
        <v>679</v>
      </c>
      <c r="F20" s="26"/>
      <c r="G20" s="26"/>
      <c r="H20" s="26"/>
      <c r="I20" s="26"/>
      <c r="J20" s="26"/>
      <c r="K20" s="26"/>
      <c r="L20" s="26" t="s">
        <v>339</v>
      </c>
      <c r="M20" s="26"/>
      <c r="N20" s="26"/>
      <c r="O20" s="26"/>
      <c r="P20" s="26"/>
      <c r="Q20" s="26"/>
      <c r="R20" s="26"/>
      <c r="S20" s="26"/>
      <c r="T20" s="26"/>
      <c r="U20" s="26"/>
    </row>
    <row r="21" spans="1:21" ht="14.25" customHeight="1">
      <c r="A21" s="26"/>
      <c r="B21" s="26"/>
      <c r="C21" s="26"/>
      <c r="D21" s="26" t="s">
        <v>680</v>
      </c>
      <c r="E21" s="26" t="s">
        <v>220</v>
      </c>
      <c r="F21" s="26"/>
      <c r="G21" s="26"/>
      <c r="H21" s="26"/>
      <c r="I21" s="26"/>
      <c r="J21" s="26"/>
      <c r="K21" s="26"/>
      <c r="L21" s="26" t="s">
        <v>681</v>
      </c>
      <c r="M21" s="26"/>
      <c r="N21" s="26"/>
      <c r="O21" s="26"/>
      <c r="P21" s="26"/>
      <c r="Q21" s="26"/>
      <c r="R21" s="26"/>
      <c r="S21" s="26"/>
      <c r="T21" s="26"/>
      <c r="U21" s="26"/>
    </row>
    <row r="22" spans="1:21" ht="14.25" customHeight="1">
      <c r="A22" s="26"/>
      <c r="B22" s="26"/>
      <c r="C22" s="26"/>
      <c r="D22" s="26" t="s">
        <v>671</v>
      </c>
      <c r="E22" s="26" t="s">
        <v>648</v>
      </c>
      <c r="F22" s="26"/>
      <c r="G22" s="26"/>
      <c r="H22" s="26"/>
      <c r="I22" s="26"/>
      <c r="J22" s="26"/>
      <c r="K22" s="26"/>
      <c r="L22" s="26" t="s">
        <v>682</v>
      </c>
      <c r="M22" s="26"/>
      <c r="N22" s="26"/>
      <c r="O22" s="26"/>
      <c r="P22" s="26"/>
      <c r="Q22" s="26"/>
      <c r="R22" s="26"/>
      <c r="S22" s="26"/>
      <c r="T22" s="26"/>
      <c r="U22" s="26"/>
    </row>
    <row r="23" spans="1:21" ht="14.25" customHeight="1">
      <c r="A23" s="26"/>
      <c r="B23" s="26"/>
      <c r="C23" s="26"/>
      <c r="D23" s="26" t="s">
        <v>683</v>
      </c>
      <c r="E23" s="26" t="s">
        <v>684</v>
      </c>
      <c r="F23" s="26"/>
      <c r="G23" s="26"/>
      <c r="H23" s="26"/>
      <c r="I23" s="26"/>
      <c r="J23" s="26"/>
      <c r="K23" s="26"/>
      <c r="L23" s="26" t="s">
        <v>453</v>
      </c>
      <c r="M23" s="26"/>
      <c r="N23" s="26"/>
      <c r="O23" s="26"/>
      <c r="P23" s="26"/>
      <c r="Q23" s="26"/>
      <c r="R23" s="26"/>
      <c r="S23" s="26"/>
      <c r="T23" s="26"/>
      <c r="U23" s="26"/>
    </row>
    <row r="24" spans="1:21" ht="14.25" customHeight="1">
      <c r="A24" s="26"/>
      <c r="B24" s="26"/>
      <c r="C24" s="26"/>
      <c r="D24" s="26" t="s">
        <v>685</v>
      </c>
      <c r="E24" s="26" t="s">
        <v>686</v>
      </c>
      <c r="F24" s="26"/>
      <c r="G24" s="26"/>
      <c r="H24" s="26"/>
      <c r="I24" s="26"/>
      <c r="J24" s="26"/>
      <c r="K24" s="26"/>
      <c r="L24" s="26" t="s">
        <v>568</v>
      </c>
      <c r="M24" s="26"/>
      <c r="N24" s="26"/>
      <c r="O24" s="26"/>
      <c r="P24" s="26"/>
      <c r="Q24" s="26"/>
      <c r="R24" s="26"/>
      <c r="S24" s="26"/>
      <c r="T24" s="26"/>
      <c r="U24" s="26"/>
    </row>
    <row r="25" spans="1:21" ht="14.25" customHeight="1">
      <c r="A25" s="26"/>
      <c r="B25" s="26"/>
      <c r="C25" s="26"/>
      <c r="D25" s="26" t="s">
        <v>687</v>
      </c>
      <c r="E25" s="26" t="s">
        <v>688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 spans="1:21" ht="14.25" customHeight="1">
      <c r="A26" s="26"/>
      <c r="B26" s="26"/>
      <c r="C26" s="26"/>
      <c r="D26" s="26" t="s">
        <v>689</v>
      </c>
      <c r="E26" s="26" t="s">
        <v>690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1" ht="14.25" customHeight="1">
      <c r="A27" s="26"/>
      <c r="B27" s="26"/>
      <c r="C27" s="26"/>
      <c r="D27" s="26" t="s">
        <v>691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 spans="1:21" ht="15" customHeight="1">
      <c r="A28" s="12" t="s">
        <v>692</v>
      </c>
      <c r="B28" s="12"/>
      <c r="C28" s="12"/>
      <c r="D28" s="12"/>
      <c r="E28" s="12"/>
    </row>
    <row r="29" spans="1:21" ht="14.25" customHeight="1">
      <c r="A29" s="19" t="s">
        <v>7</v>
      </c>
      <c r="B29" s="19" t="s">
        <v>246</v>
      </c>
      <c r="C29" s="19" t="s">
        <v>693</v>
      </c>
      <c r="D29" s="19" t="s">
        <v>101</v>
      </c>
      <c r="E29" s="19" t="s">
        <v>98</v>
      </c>
    </row>
    <row r="30" spans="1:21" ht="19.5" customHeight="1">
      <c r="A30" s="26" t="s">
        <v>694</v>
      </c>
      <c r="B30" s="26" t="s">
        <v>261</v>
      </c>
      <c r="C30" s="26" t="s">
        <v>262</v>
      </c>
      <c r="D30" s="26" t="s">
        <v>106</v>
      </c>
      <c r="E30" s="26" t="s">
        <v>695</v>
      </c>
    </row>
    <row r="31" spans="1:21" ht="36" customHeight="1">
      <c r="A31" s="26" t="s">
        <v>696</v>
      </c>
      <c r="B31" s="26" t="s">
        <v>268</v>
      </c>
      <c r="C31" s="26" t="s">
        <v>262</v>
      </c>
      <c r="D31" s="26" t="s">
        <v>106</v>
      </c>
      <c r="E31" s="26" t="s">
        <v>695</v>
      </c>
    </row>
    <row r="32" spans="1:21" ht="24" customHeight="1">
      <c r="A32" s="26" t="s">
        <v>697</v>
      </c>
      <c r="B32" s="26" t="s">
        <v>271</v>
      </c>
      <c r="C32" s="26" t="s">
        <v>273</v>
      </c>
      <c r="D32" s="26" t="s">
        <v>106</v>
      </c>
      <c r="E32" s="26" t="s">
        <v>695</v>
      </c>
    </row>
    <row r="33" spans="1:5" ht="14.25" customHeight="1">
      <c r="A33" s="26"/>
      <c r="B33" s="26"/>
      <c r="C33" s="26"/>
      <c r="D33" s="26"/>
      <c r="E33" s="26"/>
    </row>
    <row r="34" spans="1:5" ht="14.25" customHeight="1">
      <c r="A34" s="26"/>
      <c r="B34" s="26"/>
      <c r="C34" s="26"/>
      <c r="D34" s="26"/>
      <c r="E34" s="26"/>
    </row>
    <row r="35" spans="1:5" ht="14.25" customHeight="1">
      <c r="A35" s="26"/>
      <c r="B35" s="26"/>
      <c r="C35" s="26"/>
      <c r="D35" s="26"/>
      <c r="E35" s="26"/>
    </row>
    <row r="36" spans="1:5" ht="14.25" customHeight="1">
      <c r="A36" s="26"/>
      <c r="B36" s="26"/>
      <c r="C36" s="26"/>
      <c r="D36" s="26"/>
      <c r="E36" s="26"/>
    </row>
    <row r="37" spans="1:5" ht="14.25" customHeight="1">
      <c r="A37" s="26"/>
      <c r="B37" s="26"/>
      <c r="C37" s="26"/>
      <c r="D37" s="26"/>
      <c r="E37" s="26"/>
    </row>
    <row r="38" spans="1:5" ht="14.25" customHeight="1">
      <c r="A38" s="26"/>
      <c r="B38" s="26"/>
      <c r="C38" s="26"/>
      <c r="D38" s="26"/>
      <c r="E38" s="26"/>
    </row>
    <row r="39" spans="1:5" ht="14.25" customHeight="1">
      <c r="A39" s="26"/>
      <c r="B39" s="26"/>
      <c r="C39" s="26"/>
      <c r="D39" s="26"/>
      <c r="E39" s="26"/>
    </row>
    <row r="40" spans="1:5" ht="14.25" customHeight="1">
      <c r="A40" s="26"/>
      <c r="B40" s="26"/>
      <c r="C40" s="26"/>
      <c r="D40" s="26"/>
      <c r="E40" s="26"/>
    </row>
    <row r="41" spans="1:5" ht="14.25" customHeight="1">
      <c r="A41" s="26"/>
      <c r="B41" s="26"/>
      <c r="C41" s="26"/>
      <c r="D41" s="26"/>
      <c r="E41" s="26"/>
    </row>
    <row r="42" spans="1:5" ht="14.25" customHeight="1">
      <c r="A42" s="26"/>
      <c r="B42" s="26"/>
      <c r="C42" s="26"/>
      <c r="D42" s="26"/>
      <c r="E42" s="26"/>
    </row>
    <row r="43" spans="1:5" ht="14.25" customHeight="1">
      <c r="A43" s="26"/>
      <c r="B43" s="26"/>
      <c r="C43" s="26"/>
      <c r="D43" s="26"/>
      <c r="E43" s="26"/>
    </row>
    <row r="44" spans="1:5" ht="14.25" customHeight="1">
      <c r="A44" s="26"/>
      <c r="B44" s="26"/>
      <c r="C44" s="26"/>
      <c r="D44" s="26"/>
      <c r="E44" s="26"/>
    </row>
    <row r="45" spans="1:5" ht="14.25" customHeight="1">
      <c r="A45" s="26"/>
      <c r="B45" s="26"/>
      <c r="C45" s="26"/>
      <c r="D45" s="26"/>
      <c r="E45" s="26"/>
    </row>
    <row r="46" spans="1:5" ht="14.25" customHeight="1">
      <c r="A46" s="26"/>
      <c r="B46" s="26"/>
      <c r="C46" s="26"/>
      <c r="D46" s="26"/>
      <c r="E46" s="26"/>
    </row>
    <row r="47" spans="1:5" ht="14.25" customHeight="1">
      <c r="A47" s="26"/>
      <c r="B47" s="26"/>
      <c r="C47" s="26"/>
      <c r="D47" s="26"/>
      <c r="E47" s="26"/>
    </row>
    <row r="48" spans="1:5" ht="14.25" customHeight="1">
      <c r="A48" s="26"/>
      <c r="B48" s="26"/>
      <c r="C48" s="26"/>
      <c r="D48" s="26"/>
      <c r="E48" s="26"/>
    </row>
    <row r="49" spans="1:12" ht="14.25" customHeight="1">
      <c r="A49" s="26"/>
      <c r="B49" s="26"/>
      <c r="C49" s="26"/>
      <c r="D49" s="26"/>
      <c r="E49" s="26"/>
    </row>
    <row r="50" spans="1:12" ht="15" customHeight="1">
      <c r="A50" s="12" t="s">
        <v>698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14.25" customHeight="1">
      <c r="A51" s="19" t="s">
        <v>246</v>
      </c>
      <c r="B51" s="19" t="s">
        <v>699</v>
      </c>
      <c r="C51" s="19" t="s">
        <v>700</v>
      </c>
      <c r="D51" s="19" t="s">
        <v>701</v>
      </c>
      <c r="E51" s="19" t="s">
        <v>249</v>
      </c>
      <c r="F51" s="19" t="s">
        <v>250</v>
      </c>
      <c r="G51" s="19" t="s">
        <v>251</v>
      </c>
      <c r="H51" s="19" t="s">
        <v>702</v>
      </c>
      <c r="I51" s="19" t="s">
        <v>129</v>
      </c>
      <c r="J51" s="19" t="s">
        <v>703</v>
      </c>
      <c r="K51" s="19" t="s">
        <v>704</v>
      </c>
      <c r="L51" s="19" t="s">
        <v>98</v>
      </c>
    </row>
    <row r="52" spans="1:12" ht="36" customHeight="1">
      <c r="A52" s="26" t="s">
        <v>261</v>
      </c>
      <c r="B52" s="26" t="s">
        <v>705</v>
      </c>
      <c r="C52" s="26">
        <v>18</v>
      </c>
      <c r="D52" s="26">
        <v>120</v>
      </c>
      <c r="E52" s="26" t="s">
        <v>262</v>
      </c>
      <c r="F52" s="26">
        <v>70</v>
      </c>
      <c r="G52" s="26">
        <v>110</v>
      </c>
      <c r="H52" s="26" t="s">
        <v>706</v>
      </c>
      <c r="I52" s="26">
        <v>46216</v>
      </c>
      <c r="J52" s="26" t="s">
        <v>264</v>
      </c>
      <c r="K52" s="26" t="s">
        <v>707</v>
      </c>
      <c r="L52" s="26" t="s">
        <v>695</v>
      </c>
    </row>
    <row r="53" spans="1:12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spans="1:12" ht="19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spans="1:12" ht="36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spans="1:12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1:12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spans="1:12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 spans="1:12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spans="1:12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spans="1:12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spans="1:12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spans="1:12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spans="1:12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spans="1:12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spans="1:12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spans="1:12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spans="1:12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1:12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spans="1:12" ht="15" customHeight="1">
      <c r="A72" s="12" t="s">
        <v>708</v>
      </c>
      <c r="B72" s="12"/>
      <c r="C72" s="12"/>
      <c r="D72" s="12"/>
      <c r="E72" s="12"/>
      <c r="F72" s="12"/>
      <c r="G72" s="12"/>
    </row>
    <row r="73" spans="1:12" ht="14.25" customHeight="1">
      <c r="A73" s="19" t="s">
        <v>709</v>
      </c>
      <c r="B73" s="19" t="s">
        <v>379</v>
      </c>
      <c r="C73" s="19" t="s">
        <v>710</v>
      </c>
      <c r="D73" s="19" t="s">
        <v>711</v>
      </c>
      <c r="E73" s="19" t="s">
        <v>101</v>
      </c>
      <c r="F73" s="19" t="s">
        <v>712</v>
      </c>
      <c r="G73" s="19" t="s">
        <v>98</v>
      </c>
    </row>
    <row r="74" spans="1:12" ht="24" customHeight="1">
      <c r="A74" s="26" t="s">
        <v>108</v>
      </c>
      <c r="B74" s="26" t="s">
        <v>713</v>
      </c>
      <c r="C74" s="26" t="s">
        <v>714</v>
      </c>
      <c r="D74" s="26" t="s">
        <v>715</v>
      </c>
      <c r="E74" s="26" t="s">
        <v>106</v>
      </c>
      <c r="F74" s="26">
        <v>46216</v>
      </c>
      <c r="G74" s="26" t="s">
        <v>695</v>
      </c>
    </row>
    <row r="75" spans="1:12" ht="14.25" customHeight="1">
      <c r="A75" s="26"/>
      <c r="B75" s="26"/>
      <c r="C75" s="26"/>
      <c r="D75" s="26"/>
      <c r="E75" s="26"/>
      <c r="F75" s="26"/>
      <c r="G75" s="26"/>
    </row>
    <row r="76" spans="1:12" ht="14.25" customHeight="1">
      <c r="A76" s="26"/>
      <c r="B76" s="26"/>
      <c r="C76" s="26"/>
      <c r="D76" s="26"/>
      <c r="E76" s="26"/>
      <c r="F76" s="26"/>
      <c r="G76" s="26"/>
    </row>
    <row r="77" spans="1:12" ht="14.25" customHeight="1">
      <c r="A77" s="26"/>
      <c r="B77" s="26"/>
      <c r="C77" s="26"/>
      <c r="D77" s="26"/>
      <c r="E77" s="26"/>
      <c r="F77" s="26"/>
      <c r="G77" s="26"/>
    </row>
    <row r="78" spans="1:12" ht="19.5" customHeight="1">
      <c r="A78" s="26"/>
      <c r="B78" s="26"/>
      <c r="C78" s="26"/>
      <c r="D78" s="26"/>
      <c r="E78" s="26"/>
      <c r="F78" s="26"/>
      <c r="G78" s="26"/>
    </row>
    <row r="79" spans="1:12" ht="36" customHeight="1">
      <c r="A79" s="26"/>
      <c r="B79" s="26"/>
      <c r="C79" s="26"/>
      <c r="D79" s="26"/>
      <c r="E79" s="26"/>
      <c r="F79" s="26"/>
      <c r="G79" s="26"/>
    </row>
    <row r="80" spans="1:12" ht="14.25" customHeight="1">
      <c r="A80" s="26"/>
      <c r="B80" s="26"/>
      <c r="C80" s="26"/>
      <c r="D80" s="26"/>
      <c r="E80" s="26"/>
      <c r="F80" s="26"/>
      <c r="G80" s="26"/>
    </row>
    <row r="81" spans="1:8" ht="14.25" customHeight="1">
      <c r="A81" s="26"/>
      <c r="B81" s="26"/>
      <c r="C81" s="26"/>
      <c r="D81" s="26"/>
      <c r="E81" s="26"/>
      <c r="F81" s="26"/>
      <c r="G81" s="26"/>
    </row>
    <row r="82" spans="1:8" ht="14.25" customHeight="1">
      <c r="A82" s="26"/>
      <c r="B82" s="26"/>
      <c r="C82" s="26"/>
      <c r="D82" s="26"/>
      <c r="E82" s="26"/>
      <c r="F82" s="26"/>
      <c r="G82" s="26"/>
    </row>
    <row r="83" spans="1:8" ht="14.25" customHeight="1">
      <c r="A83" s="26"/>
      <c r="B83" s="26"/>
      <c r="C83" s="26"/>
      <c r="D83" s="26"/>
      <c r="E83" s="26"/>
      <c r="F83" s="26"/>
      <c r="G83" s="26"/>
    </row>
    <row r="84" spans="1:8" ht="14.25" customHeight="1">
      <c r="A84" s="26"/>
      <c r="B84" s="26"/>
      <c r="C84" s="26"/>
      <c r="D84" s="26"/>
      <c r="E84" s="26"/>
      <c r="F84" s="26"/>
      <c r="G84" s="26"/>
    </row>
    <row r="85" spans="1:8" ht="14.25" customHeight="1">
      <c r="A85" s="26"/>
      <c r="B85" s="26"/>
      <c r="C85" s="26"/>
      <c r="D85" s="26"/>
      <c r="E85" s="26"/>
      <c r="F85" s="26"/>
      <c r="G85" s="26"/>
    </row>
    <row r="86" spans="1:8" ht="14.25" customHeight="1">
      <c r="A86" s="26"/>
      <c r="B86" s="26"/>
      <c r="C86" s="26"/>
      <c r="D86" s="26"/>
      <c r="E86" s="26"/>
      <c r="F86" s="26"/>
      <c r="G86" s="26"/>
    </row>
    <row r="87" spans="1:8" ht="14.25" customHeight="1">
      <c r="A87" s="26"/>
      <c r="B87" s="26"/>
      <c r="C87" s="26"/>
      <c r="D87" s="26"/>
      <c r="E87" s="26"/>
      <c r="F87" s="26"/>
      <c r="G87" s="26"/>
    </row>
    <row r="88" spans="1:8" ht="14.25" customHeight="1">
      <c r="A88" s="26"/>
      <c r="B88" s="26"/>
      <c r="C88" s="26"/>
      <c r="D88" s="26"/>
      <c r="E88" s="26"/>
      <c r="F88" s="26"/>
      <c r="G88" s="26"/>
    </row>
    <row r="89" spans="1:8" ht="15" customHeight="1">
      <c r="A89" s="12" t="s">
        <v>716</v>
      </c>
      <c r="B89" s="12"/>
      <c r="C89" s="12"/>
      <c r="D89" s="12"/>
      <c r="E89" s="12"/>
      <c r="F89" s="12"/>
      <c r="G89" s="12"/>
      <c r="H89" s="12"/>
    </row>
    <row r="90" spans="1:8" ht="14.25" customHeight="1">
      <c r="A90" s="19" t="s">
        <v>717</v>
      </c>
      <c r="B90" s="19" t="s">
        <v>7</v>
      </c>
      <c r="C90" s="19" t="s">
        <v>718</v>
      </c>
      <c r="D90" s="19" t="s">
        <v>719</v>
      </c>
      <c r="E90" s="19" t="s">
        <v>101</v>
      </c>
      <c r="F90" s="19" t="s">
        <v>702</v>
      </c>
      <c r="G90" s="19" t="s">
        <v>469</v>
      </c>
      <c r="H90" s="19" t="s">
        <v>98</v>
      </c>
    </row>
    <row r="91" spans="1:8" ht="24" customHeight="1">
      <c r="A91" s="26" t="s">
        <v>598</v>
      </c>
      <c r="B91" s="26" t="s">
        <v>720</v>
      </c>
      <c r="C91" s="26" t="s">
        <v>101</v>
      </c>
      <c r="D91" s="26">
        <v>1</v>
      </c>
      <c r="E91" s="26" t="s">
        <v>106</v>
      </c>
      <c r="F91" s="26" t="s">
        <v>721</v>
      </c>
      <c r="G91" s="26">
        <v>46216</v>
      </c>
      <c r="H91" s="26" t="s">
        <v>695</v>
      </c>
    </row>
    <row r="92" spans="1:8" ht="24" customHeight="1">
      <c r="A92" s="26" t="s">
        <v>598</v>
      </c>
      <c r="B92" s="26" t="s">
        <v>722</v>
      </c>
      <c r="C92" s="26" t="s">
        <v>619</v>
      </c>
      <c r="D92" s="26">
        <v>2</v>
      </c>
      <c r="E92" s="26" t="s">
        <v>106</v>
      </c>
      <c r="F92" s="26" t="s">
        <v>721</v>
      </c>
      <c r="G92" s="26">
        <v>46216</v>
      </c>
      <c r="H92" s="26" t="s">
        <v>695</v>
      </c>
    </row>
    <row r="93" spans="1:8" ht="24" customHeight="1">
      <c r="A93" s="26" t="s">
        <v>598</v>
      </c>
      <c r="B93" s="26" t="s">
        <v>723</v>
      </c>
      <c r="C93" s="26" t="s">
        <v>151</v>
      </c>
      <c r="D93" s="26">
        <v>3</v>
      </c>
      <c r="E93" s="26" t="s">
        <v>106</v>
      </c>
      <c r="F93" s="26" t="s">
        <v>721</v>
      </c>
      <c r="G93" s="26">
        <v>46216</v>
      </c>
      <c r="H93" s="26" t="s">
        <v>695</v>
      </c>
    </row>
    <row r="94" spans="1:8" ht="24" customHeight="1">
      <c r="A94" s="26" t="s">
        <v>598</v>
      </c>
      <c r="B94" s="26" t="s">
        <v>724</v>
      </c>
      <c r="C94" s="26" t="s">
        <v>631</v>
      </c>
      <c r="D94" s="26">
        <v>4</v>
      </c>
      <c r="E94" s="26" t="s">
        <v>106</v>
      </c>
      <c r="F94" s="26" t="s">
        <v>721</v>
      </c>
      <c r="G94" s="26">
        <v>46216</v>
      </c>
      <c r="H94" s="26" t="s">
        <v>695</v>
      </c>
    </row>
    <row r="95" spans="1:8" ht="24" customHeight="1">
      <c r="A95" s="26" t="s">
        <v>598</v>
      </c>
      <c r="B95" s="26" t="s">
        <v>725</v>
      </c>
      <c r="C95" s="26" t="s">
        <v>642</v>
      </c>
      <c r="D95" s="26">
        <v>5</v>
      </c>
      <c r="E95" s="26" t="s">
        <v>106</v>
      </c>
      <c r="F95" s="26" t="s">
        <v>721</v>
      </c>
      <c r="G95" s="26">
        <v>46216</v>
      </c>
      <c r="H95" s="26" t="s">
        <v>695</v>
      </c>
    </row>
    <row r="96" spans="1:8" ht="24" customHeight="1">
      <c r="A96" s="26" t="s">
        <v>599</v>
      </c>
      <c r="B96" s="26" t="s">
        <v>726</v>
      </c>
      <c r="C96" s="26" t="s">
        <v>145</v>
      </c>
      <c r="D96" s="26">
        <v>1</v>
      </c>
      <c r="E96" s="26" t="s">
        <v>106</v>
      </c>
      <c r="F96" s="26" t="s">
        <v>721</v>
      </c>
      <c r="G96" s="26">
        <v>46216</v>
      </c>
      <c r="H96" s="26" t="s">
        <v>695</v>
      </c>
    </row>
    <row r="97" spans="1:8" ht="24" customHeight="1">
      <c r="A97" s="26" t="s">
        <v>599</v>
      </c>
      <c r="B97" s="26" t="s">
        <v>727</v>
      </c>
      <c r="C97" s="26" t="s">
        <v>99</v>
      </c>
      <c r="D97" s="26">
        <v>2</v>
      </c>
      <c r="E97" s="26" t="s">
        <v>106</v>
      </c>
      <c r="F97" s="26" t="s">
        <v>721</v>
      </c>
      <c r="G97" s="26">
        <v>46216</v>
      </c>
      <c r="H97" s="26" t="s">
        <v>695</v>
      </c>
    </row>
    <row r="98" spans="1:8" ht="19.5" customHeight="1">
      <c r="A98" s="26" t="s">
        <v>599</v>
      </c>
      <c r="B98" s="26" t="s">
        <v>728</v>
      </c>
      <c r="C98" s="26" t="s">
        <v>622</v>
      </c>
      <c r="D98" s="26">
        <v>3</v>
      </c>
      <c r="E98" s="26" t="s">
        <v>106</v>
      </c>
      <c r="F98" s="26" t="s">
        <v>721</v>
      </c>
      <c r="G98" s="26">
        <v>46216</v>
      </c>
      <c r="H98" s="26" t="s">
        <v>695</v>
      </c>
    </row>
    <row r="99" spans="1:8" ht="36" customHeight="1">
      <c r="A99" s="26" t="s">
        <v>599</v>
      </c>
      <c r="B99" s="26" t="s">
        <v>729</v>
      </c>
      <c r="C99" s="26" t="s">
        <v>632</v>
      </c>
      <c r="D99" s="26">
        <v>4</v>
      </c>
      <c r="E99" s="26" t="s">
        <v>106</v>
      </c>
      <c r="F99" s="26" t="s">
        <v>721</v>
      </c>
      <c r="G99" s="26">
        <v>46216</v>
      </c>
      <c r="H99" s="26" t="s">
        <v>695</v>
      </c>
    </row>
    <row r="100" spans="1:8" ht="24" customHeight="1">
      <c r="A100" s="26" t="s">
        <v>600</v>
      </c>
      <c r="B100" s="26" t="s">
        <v>730</v>
      </c>
      <c r="C100" s="26" t="s">
        <v>146</v>
      </c>
      <c r="D100" s="26">
        <v>1</v>
      </c>
      <c r="E100" s="26" t="s">
        <v>106</v>
      </c>
      <c r="F100" s="26" t="s">
        <v>721</v>
      </c>
      <c r="G100" s="26">
        <v>46216</v>
      </c>
      <c r="H100" s="26" t="s">
        <v>695</v>
      </c>
    </row>
    <row r="101" spans="1:8" ht="24" customHeight="1">
      <c r="A101" s="26" t="s">
        <v>600</v>
      </c>
      <c r="B101" s="26" t="s">
        <v>731</v>
      </c>
      <c r="C101" s="26" t="s">
        <v>156</v>
      </c>
      <c r="D101" s="26">
        <v>2</v>
      </c>
      <c r="E101" s="26" t="s">
        <v>106</v>
      </c>
      <c r="F101" s="26" t="s">
        <v>721</v>
      </c>
      <c r="G101" s="26">
        <v>46216</v>
      </c>
      <c r="H101" s="26" t="s">
        <v>695</v>
      </c>
    </row>
    <row r="102" spans="1:8" ht="24" customHeight="1">
      <c r="A102" s="26" t="s">
        <v>600</v>
      </c>
      <c r="B102" s="26" t="s">
        <v>732</v>
      </c>
      <c r="C102" s="26" t="s">
        <v>167</v>
      </c>
      <c r="D102" s="26">
        <v>3</v>
      </c>
      <c r="E102" s="26" t="s">
        <v>106</v>
      </c>
      <c r="F102" s="26" t="s">
        <v>721</v>
      </c>
      <c r="G102" s="26">
        <v>46216</v>
      </c>
      <c r="H102" s="26" t="s">
        <v>695</v>
      </c>
    </row>
    <row r="103" spans="1:8" ht="24" customHeight="1">
      <c r="A103" s="26" t="s">
        <v>601</v>
      </c>
      <c r="B103" s="26" t="s">
        <v>733</v>
      </c>
      <c r="C103" s="26" t="s">
        <v>183</v>
      </c>
      <c r="D103" s="26">
        <v>1</v>
      </c>
      <c r="E103" s="26" t="s">
        <v>106</v>
      </c>
      <c r="F103" s="26" t="s">
        <v>721</v>
      </c>
      <c r="G103" s="26">
        <v>46216</v>
      </c>
      <c r="H103" s="26" t="s">
        <v>695</v>
      </c>
    </row>
    <row r="104" spans="1:8" ht="24" customHeight="1">
      <c r="A104" s="26" t="s">
        <v>601</v>
      </c>
      <c r="B104" s="26" t="s">
        <v>734</v>
      </c>
      <c r="C104" s="26" t="s">
        <v>186</v>
      </c>
      <c r="D104" s="26">
        <v>2</v>
      </c>
      <c r="E104" s="26" t="s">
        <v>106</v>
      </c>
      <c r="F104" s="26" t="s">
        <v>721</v>
      </c>
      <c r="G104" s="26">
        <v>46216</v>
      </c>
      <c r="H104" s="26" t="s">
        <v>695</v>
      </c>
    </row>
    <row r="105" spans="1:8" ht="24" customHeight="1">
      <c r="A105" s="26" t="s">
        <v>601</v>
      </c>
      <c r="B105" s="26" t="s">
        <v>735</v>
      </c>
      <c r="C105" s="26" t="s">
        <v>623</v>
      </c>
      <c r="D105" s="26">
        <v>3</v>
      </c>
      <c r="E105" s="26" t="s">
        <v>106</v>
      </c>
      <c r="F105" s="26" t="s">
        <v>721</v>
      </c>
      <c r="G105" s="26">
        <v>46216</v>
      </c>
      <c r="H105" s="26" t="s">
        <v>695</v>
      </c>
    </row>
    <row r="106" spans="1:8" ht="24" customHeight="1">
      <c r="A106" s="26" t="s">
        <v>601</v>
      </c>
      <c r="B106" s="26" t="s">
        <v>736</v>
      </c>
      <c r="C106" s="26" t="s">
        <v>633</v>
      </c>
      <c r="D106" s="26">
        <v>4</v>
      </c>
      <c r="E106" s="26" t="s">
        <v>106</v>
      </c>
      <c r="F106" s="26" t="s">
        <v>721</v>
      </c>
      <c r="G106" s="26">
        <v>46216</v>
      </c>
      <c r="H106" s="26" t="s">
        <v>695</v>
      </c>
    </row>
    <row r="107" spans="1:8" ht="24" customHeight="1">
      <c r="A107" s="26" t="s">
        <v>601</v>
      </c>
      <c r="B107" s="26" t="s">
        <v>737</v>
      </c>
      <c r="C107" s="26" t="s">
        <v>189</v>
      </c>
      <c r="D107" s="26">
        <v>5</v>
      </c>
      <c r="E107" s="26" t="s">
        <v>106</v>
      </c>
      <c r="F107" s="26" t="s">
        <v>721</v>
      </c>
      <c r="G107" s="26">
        <v>46216</v>
      </c>
      <c r="H107" s="26" t="s">
        <v>695</v>
      </c>
    </row>
    <row r="108" spans="1:8" ht="24" customHeight="1">
      <c r="A108" s="26" t="s">
        <v>601</v>
      </c>
      <c r="B108" s="26" t="s">
        <v>738</v>
      </c>
      <c r="C108" s="26" t="s">
        <v>652</v>
      </c>
      <c r="D108" s="26">
        <v>6</v>
      </c>
      <c r="E108" s="26" t="s">
        <v>106</v>
      </c>
      <c r="F108" s="26" t="s">
        <v>721</v>
      </c>
      <c r="G108" s="26">
        <v>46216</v>
      </c>
      <c r="H108" s="26" t="s">
        <v>695</v>
      </c>
    </row>
    <row r="109" spans="1:8" ht="24" customHeight="1">
      <c r="A109" s="26" t="s">
        <v>601</v>
      </c>
      <c r="B109" s="26" t="s">
        <v>739</v>
      </c>
      <c r="C109" s="26" t="s">
        <v>657</v>
      </c>
      <c r="D109" s="26">
        <v>7</v>
      </c>
      <c r="E109" s="26" t="s">
        <v>106</v>
      </c>
      <c r="F109" s="26" t="s">
        <v>721</v>
      </c>
      <c r="G109" s="26">
        <v>46216</v>
      </c>
      <c r="H109" s="26" t="s">
        <v>695</v>
      </c>
    </row>
    <row r="110" spans="1:8" ht="24" customHeight="1">
      <c r="A110" s="26" t="s">
        <v>601</v>
      </c>
      <c r="B110" s="26" t="s">
        <v>740</v>
      </c>
      <c r="C110" s="26" t="s">
        <v>661</v>
      </c>
      <c r="D110" s="26">
        <v>8</v>
      </c>
      <c r="E110" s="26" t="s">
        <v>106</v>
      </c>
      <c r="F110" s="26" t="s">
        <v>721</v>
      </c>
      <c r="G110" s="26">
        <v>46216</v>
      </c>
      <c r="H110" s="26" t="s">
        <v>695</v>
      </c>
    </row>
    <row r="111" spans="1:8" ht="24" customHeight="1">
      <c r="A111" s="26" t="s">
        <v>601</v>
      </c>
      <c r="B111" s="26" t="s">
        <v>741</v>
      </c>
      <c r="C111" s="26" t="s">
        <v>664</v>
      </c>
      <c r="D111" s="26">
        <v>9</v>
      </c>
      <c r="E111" s="26" t="s">
        <v>106</v>
      </c>
      <c r="F111" s="26" t="s">
        <v>721</v>
      </c>
      <c r="G111" s="26">
        <v>46216</v>
      </c>
      <c r="H111" s="26" t="s">
        <v>695</v>
      </c>
    </row>
    <row r="112" spans="1:8" ht="24" customHeight="1">
      <c r="A112" s="26" t="s">
        <v>601</v>
      </c>
      <c r="B112" s="26" t="s">
        <v>742</v>
      </c>
      <c r="C112" s="26" t="s">
        <v>667</v>
      </c>
      <c r="D112" s="26">
        <v>10</v>
      </c>
      <c r="E112" s="26" t="s">
        <v>106</v>
      </c>
      <c r="F112" s="26" t="s">
        <v>721</v>
      </c>
      <c r="G112" s="26">
        <v>46216</v>
      </c>
      <c r="H112" s="26" t="s">
        <v>695</v>
      </c>
    </row>
    <row r="113" spans="1:8" ht="24" customHeight="1">
      <c r="A113" s="26" t="s">
        <v>601</v>
      </c>
      <c r="B113" s="26" t="s">
        <v>743</v>
      </c>
      <c r="C113" s="26" t="s">
        <v>670</v>
      </c>
      <c r="D113" s="26">
        <v>11</v>
      </c>
      <c r="E113" s="26" t="s">
        <v>106</v>
      </c>
      <c r="F113" s="26" t="s">
        <v>721</v>
      </c>
      <c r="G113" s="26">
        <v>46216</v>
      </c>
      <c r="H113" s="26" t="s">
        <v>695</v>
      </c>
    </row>
    <row r="114" spans="1:8" ht="24" customHeight="1">
      <c r="A114" s="26" t="s">
        <v>601</v>
      </c>
      <c r="B114" s="26" t="s">
        <v>744</v>
      </c>
      <c r="C114" s="26" t="s">
        <v>673</v>
      </c>
      <c r="D114" s="26">
        <v>12</v>
      </c>
      <c r="E114" s="26" t="s">
        <v>106</v>
      </c>
      <c r="F114" s="26" t="s">
        <v>721</v>
      </c>
      <c r="G114" s="26">
        <v>46216</v>
      </c>
      <c r="H114" s="26" t="s">
        <v>695</v>
      </c>
    </row>
    <row r="115" spans="1:8" ht="24" customHeight="1">
      <c r="A115" s="26" t="s">
        <v>601</v>
      </c>
      <c r="B115" s="26" t="s">
        <v>745</v>
      </c>
      <c r="C115" s="26" t="s">
        <v>676</v>
      </c>
      <c r="D115" s="26">
        <v>13</v>
      </c>
      <c r="E115" s="26" t="s">
        <v>106</v>
      </c>
      <c r="F115" s="26" t="s">
        <v>721</v>
      </c>
      <c r="G115" s="26">
        <v>46216</v>
      </c>
      <c r="H115" s="26" t="s">
        <v>695</v>
      </c>
    </row>
    <row r="116" spans="1:8" ht="24" customHeight="1">
      <c r="A116" s="26" t="s">
        <v>601</v>
      </c>
      <c r="B116" s="26" t="s">
        <v>746</v>
      </c>
      <c r="C116" s="26" t="s">
        <v>678</v>
      </c>
      <c r="D116" s="26">
        <v>14</v>
      </c>
      <c r="E116" s="26" t="s">
        <v>106</v>
      </c>
      <c r="F116" s="26" t="s">
        <v>721</v>
      </c>
      <c r="G116" s="26">
        <v>46216</v>
      </c>
      <c r="H116" s="26" t="s">
        <v>695</v>
      </c>
    </row>
    <row r="117" spans="1:8" ht="24" customHeight="1">
      <c r="A117" s="26" t="s">
        <v>601</v>
      </c>
      <c r="B117" s="26" t="s">
        <v>747</v>
      </c>
      <c r="C117" s="26" t="s">
        <v>680</v>
      </c>
      <c r="D117" s="26">
        <v>15</v>
      </c>
      <c r="E117" s="26" t="s">
        <v>106</v>
      </c>
      <c r="F117" s="26" t="s">
        <v>721</v>
      </c>
      <c r="G117" s="26">
        <v>46216</v>
      </c>
      <c r="H117" s="26" t="s">
        <v>695</v>
      </c>
    </row>
    <row r="118" spans="1:8" ht="24" customHeight="1">
      <c r="A118" s="26" t="s">
        <v>601</v>
      </c>
      <c r="B118" s="26" t="s">
        <v>748</v>
      </c>
      <c r="C118" s="26" t="s">
        <v>671</v>
      </c>
      <c r="D118" s="26">
        <v>16</v>
      </c>
      <c r="E118" s="26" t="s">
        <v>106</v>
      </c>
      <c r="F118" s="26" t="s">
        <v>721</v>
      </c>
      <c r="G118" s="26">
        <v>46216</v>
      </c>
      <c r="H118" s="26" t="s">
        <v>695</v>
      </c>
    </row>
    <row r="119" spans="1:8" ht="24" customHeight="1">
      <c r="A119" s="26" t="s">
        <v>601</v>
      </c>
      <c r="B119" s="26" t="s">
        <v>749</v>
      </c>
      <c r="C119" s="26" t="s">
        <v>683</v>
      </c>
      <c r="D119" s="26">
        <v>17</v>
      </c>
      <c r="E119" s="26" t="s">
        <v>106</v>
      </c>
      <c r="F119" s="26" t="s">
        <v>721</v>
      </c>
      <c r="G119" s="26">
        <v>46216</v>
      </c>
      <c r="H119" s="26" t="s">
        <v>695</v>
      </c>
    </row>
    <row r="120" spans="1:8" ht="24" customHeight="1">
      <c r="A120" s="26" t="s">
        <v>601</v>
      </c>
      <c r="B120" s="26" t="s">
        <v>750</v>
      </c>
      <c r="C120" s="26" t="s">
        <v>685</v>
      </c>
      <c r="D120" s="26">
        <v>18</v>
      </c>
      <c r="E120" s="26" t="s">
        <v>106</v>
      </c>
      <c r="F120" s="26" t="s">
        <v>721</v>
      </c>
      <c r="G120" s="26">
        <v>46216</v>
      </c>
      <c r="H120" s="26" t="s">
        <v>695</v>
      </c>
    </row>
    <row r="121" spans="1:8" ht="24" customHeight="1">
      <c r="A121" s="26" t="s">
        <v>601</v>
      </c>
      <c r="B121" s="26" t="s">
        <v>751</v>
      </c>
      <c r="C121" s="26" t="s">
        <v>687</v>
      </c>
      <c r="D121" s="26">
        <v>19</v>
      </c>
      <c r="E121" s="26" t="s">
        <v>106</v>
      </c>
      <c r="F121" s="26" t="s">
        <v>721</v>
      </c>
      <c r="G121" s="26">
        <v>46216</v>
      </c>
      <c r="H121" s="26" t="s">
        <v>695</v>
      </c>
    </row>
    <row r="122" spans="1:8" ht="24" customHeight="1">
      <c r="A122" s="26" t="s">
        <v>601</v>
      </c>
      <c r="B122" s="26" t="s">
        <v>752</v>
      </c>
      <c r="C122" s="26" t="s">
        <v>689</v>
      </c>
      <c r="D122" s="26">
        <v>20</v>
      </c>
      <c r="E122" s="26" t="s">
        <v>106</v>
      </c>
      <c r="F122" s="26" t="s">
        <v>721</v>
      </c>
      <c r="G122" s="26">
        <v>46216</v>
      </c>
      <c r="H122" s="26" t="s">
        <v>695</v>
      </c>
    </row>
    <row r="123" spans="1:8" ht="24" customHeight="1">
      <c r="A123" s="26" t="s">
        <v>601</v>
      </c>
      <c r="B123" s="26" t="s">
        <v>753</v>
      </c>
      <c r="C123" s="26" t="s">
        <v>691</v>
      </c>
      <c r="D123" s="26">
        <v>21</v>
      </c>
      <c r="E123" s="26" t="s">
        <v>106</v>
      </c>
      <c r="F123" s="26" t="s">
        <v>721</v>
      </c>
      <c r="G123" s="26">
        <v>46216</v>
      </c>
      <c r="H123" s="26" t="s">
        <v>695</v>
      </c>
    </row>
    <row r="124" spans="1:8" ht="24" customHeight="1">
      <c r="A124" s="26" t="s">
        <v>602</v>
      </c>
      <c r="B124" s="26" t="s">
        <v>754</v>
      </c>
      <c r="C124" s="26" t="s">
        <v>615</v>
      </c>
      <c r="D124" s="26">
        <v>1</v>
      </c>
      <c r="E124" s="26" t="s">
        <v>106</v>
      </c>
      <c r="F124" s="26" t="s">
        <v>721</v>
      </c>
      <c r="G124" s="26">
        <v>46216</v>
      </c>
      <c r="H124" s="26" t="s">
        <v>695</v>
      </c>
    </row>
    <row r="125" spans="1:8" ht="24" customHeight="1">
      <c r="A125" s="26" t="s">
        <v>602</v>
      </c>
      <c r="B125" s="26" t="s">
        <v>755</v>
      </c>
      <c r="C125" s="26" t="s">
        <v>288</v>
      </c>
      <c r="D125" s="26">
        <v>2</v>
      </c>
      <c r="E125" s="26" t="s">
        <v>106</v>
      </c>
      <c r="F125" s="26" t="s">
        <v>721</v>
      </c>
      <c r="G125" s="26">
        <v>46216</v>
      </c>
      <c r="H125" s="26" t="s">
        <v>695</v>
      </c>
    </row>
    <row r="126" spans="1:8" ht="24" customHeight="1">
      <c r="A126" s="26" t="s">
        <v>602</v>
      </c>
      <c r="B126" s="26" t="s">
        <v>756</v>
      </c>
      <c r="C126" s="26" t="s">
        <v>624</v>
      </c>
      <c r="D126" s="26">
        <v>3</v>
      </c>
      <c r="E126" s="26" t="s">
        <v>106</v>
      </c>
      <c r="F126" s="26" t="s">
        <v>721</v>
      </c>
      <c r="G126" s="26">
        <v>46216</v>
      </c>
      <c r="H126" s="26" t="s">
        <v>695</v>
      </c>
    </row>
    <row r="127" spans="1:8" ht="24" customHeight="1">
      <c r="A127" s="26" t="s">
        <v>602</v>
      </c>
      <c r="B127" s="26" t="s">
        <v>757</v>
      </c>
      <c r="C127" s="26" t="s">
        <v>634</v>
      </c>
      <c r="D127" s="26">
        <v>4</v>
      </c>
      <c r="E127" s="26" t="s">
        <v>106</v>
      </c>
      <c r="F127" s="26" t="s">
        <v>721</v>
      </c>
      <c r="G127" s="26">
        <v>46216</v>
      </c>
      <c r="H127" s="26" t="s">
        <v>695</v>
      </c>
    </row>
    <row r="128" spans="1:8" ht="24" customHeight="1">
      <c r="A128" s="26" t="s">
        <v>602</v>
      </c>
      <c r="B128" s="26" t="s">
        <v>758</v>
      </c>
      <c r="C128" s="26" t="s">
        <v>643</v>
      </c>
      <c r="D128" s="26">
        <v>5</v>
      </c>
      <c r="E128" s="26" t="s">
        <v>106</v>
      </c>
      <c r="F128" s="26" t="s">
        <v>721</v>
      </c>
      <c r="G128" s="26">
        <v>46216</v>
      </c>
      <c r="H128" s="26" t="s">
        <v>695</v>
      </c>
    </row>
    <row r="129" spans="1:8" ht="24" customHeight="1">
      <c r="A129" s="26" t="s">
        <v>602</v>
      </c>
      <c r="B129" s="26" t="s">
        <v>759</v>
      </c>
      <c r="C129" s="26" t="s">
        <v>653</v>
      </c>
      <c r="D129" s="26">
        <v>6</v>
      </c>
      <c r="E129" s="26" t="s">
        <v>106</v>
      </c>
      <c r="F129" s="26" t="s">
        <v>721</v>
      </c>
      <c r="G129" s="26">
        <v>46216</v>
      </c>
      <c r="H129" s="26" t="s">
        <v>695</v>
      </c>
    </row>
    <row r="130" spans="1:8" ht="24" customHeight="1">
      <c r="A130" s="26" t="s">
        <v>602</v>
      </c>
      <c r="B130" s="26" t="s">
        <v>760</v>
      </c>
      <c r="C130" s="26" t="s">
        <v>658</v>
      </c>
      <c r="D130" s="26">
        <v>7</v>
      </c>
      <c r="E130" s="26" t="s">
        <v>106</v>
      </c>
      <c r="F130" s="26" t="s">
        <v>721</v>
      </c>
      <c r="G130" s="26">
        <v>46216</v>
      </c>
      <c r="H130" s="26" t="s">
        <v>695</v>
      </c>
    </row>
    <row r="131" spans="1:8" ht="24" customHeight="1">
      <c r="A131" s="26" t="s">
        <v>602</v>
      </c>
      <c r="B131" s="26" t="s">
        <v>761</v>
      </c>
      <c r="C131" s="26" t="s">
        <v>662</v>
      </c>
      <c r="D131" s="26">
        <v>8</v>
      </c>
      <c r="E131" s="26" t="s">
        <v>106</v>
      </c>
      <c r="F131" s="26" t="s">
        <v>721</v>
      </c>
      <c r="G131" s="26">
        <v>46216</v>
      </c>
      <c r="H131" s="26" t="s">
        <v>695</v>
      </c>
    </row>
    <row r="132" spans="1:8" ht="24" customHeight="1">
      <c r="A132" s="26" t="s">
        <v>602</v>
      </c>
      <c r="B132" s="26" t="s">
        <v>762</v>
      </c>
      <c r="C132" s="26" t="s">
        <v>665</v>
      </c>
      <c r="D132" s="26">
        <v>9</v>
      </c>
      <c r="E132" s="26" t="s">
        <v>106</v>
      </c>
      <c r="F132" s="26" t="s">
        <v>721</v>
      </c>
      <c r="G132" s="26">
        <v>46216</v>
      </c>
      <c r="H132" s="26" t="s">
        <v>695</v>
      </c>
    </row>
    <row r="133" spans="1:8" ht="24" customHeight="1">
      <c r="A133" s="26" t="s">
        <v>602</v>
      </c>
      <c r="B133" s="26" t="s">
        <v>763</v>
      </c>
      <c r="C133" s="26" t="s">
        <v>668</v>
      </c>
      <c r="D133" s="26">
        <v>10</v>
      </c>
      <c r="E133" s="26" t="s">
        <v>106</v>
      </c>
      <c r="F133" s="26" t="s">
        <v>721</v>
      </c>
      <c r="G133" s="26">
        <v>46216</v>
      </c>
      <c r="H133" s="26" t="s">
        <v>695</v>
      </c>
    </row>
    <row r="134" spans="1:8" ht="24" customHeight="1">
      <c r="A134" s="26" t="s">
        <v>602</v>
      </c>
      <c r="B134" s="26" t="s">
        <v>764</v>
      </c>
      <c r="C134" s="26" t="s">
        <v>671</v>
      </c>
      <c r="D134" s="26">
        <v>11</v>
      </c>
      <c r="E134" s="26" t="s">
        <v>106</v>
      </c>
      <c r="F134" s="26" t="s">
        <v>721</v>
      </c>
      <c r="G134" s="26">
        <v>46216</v>
      </c>
      <c r="H134" s="26" t="s">
        <v>695</v>
      </c>
    </row>
    <row r="135" spans="1:8" ht="24" customHeight="1">
      <c r="A135" s="26" t="s">
        <v>602</v>
      </c>
      <c r="B135" s="26" t="s">
        <v>765</v>
      </c>
      <c r="C135" s="26" t="s">
        <v>674</v>
      </c>
      <c r="D135" s="26">
        <v>12</v>
      </c>
      <c r="E135" s="26" t="s">
        <v>106</v>
      </c>
      <c r="F135" s="26" t="s">
        <v>721</v>
      </c>
      <c r="G135" s="26">
        <v>46216</v>
      </c>
      <c r="H135" s="26" t="s">
        <v>695</v>
      </c>
    </row>
    <row r="136" spans="1:8" ht="24" customHeight="1">
      <c r="A136" s="26" t="s">
        <v>602</v>
      </c>
      <c r="B136" s="26" t="s">
        <v>766</v>
      </c>
      <c r="C136" s="26" t="s">
        <v>677</v>
      </c>
      <c r="D136" s="26">
        <v>13</v>
      </c>
      <c r="E136" s="26" t="s">
        <v>106</v>
      </c>
      <c r="F136" s="26" t="s">
        <v>721</v>
      </c>
      <c r="G136" s="26">
        <v>46216</v>
      </c>
      <c r="H136" s="26" t="s">
        <v>695</v>
      </c>
    </row>
    <row r="137" spans="1:8" ht="24" customHeight="1">
      <c r="A137" s="26" t="s">
        <v>602</v>
      </c>
      <c r="B137" s="26" t="s">
        <v>767</v>
      </c>
      <c r="C137" s="26" t="s">
        <v>679</v>
      </c>
      <c r="D137" s="26">
        <v>14</v>
      </c>
      <c r="E137" s="26" t="s">
        <v>106</v>
      </c>
      <c r="F137" s="26" t="s">
        <v>721</v>
      </c>
      <c r="G137" s="26">
        <v>46216</v>
      </c>
      <c r="H137" s="26" t="s">
        <v>695</v>
      </c>
    </row>
    <row r="138" spans="1:8" ht="24" customHeight="1">
      <c r="A138" s="26" t="s">
        <v>602</v>
      </c>
      <c r="B138" s="26" t="s">
        <v>768</v>
      </c>
      <c r="C138" s="26" t="s">
        <v>220</v>
      </c>
      <c r="D138" s="26">
        <v>15</v>
      </c>
      <c r="E138" s="26" t="s">
        <v>106</v>
      </c>
      <c r="F138" s="26" t="s">
        <v>721</v>
      </c>
      <c r="G138" s="26">
        <v>46216</v>
      </c>
      <c r="H138" s="26" t="s">
        <v>695</v>
      </c>
    </row>
    <row r="139" spans="1:8" ht="24" customHeight="1">
      <c r="A139" s="26" t="s">
        <v>602</v>
      </c>
      <c r="B139" s="26" t="s">
        <v>769</v>
      </c>
      <c r="C139" s="26" t="s">
        <v>648</v>
      </c>
      <c r="D139" s="26">
        <v>16</v>
      </c>
      <c r="E139" s="26" t="s">
        <v>106</v>
      </c>
      <c r="F139" s="26" t="s">
        <v>721</v>
      </c>
      <c r="G139" s="26">
        <v>46216</v>
      </c>
      <c r="H139" s="26" t="s">
        <v>695</v>
      </c>
    </row>
    <row r="140" spans="1:8" ht="24" customHeight="1">
      <c r="A140" s="26" t="s">
        <v>602</v>
      </c>
      <c r="B140" s="26" t="s">
        <v>770</v>
      </c>
      <c r="C140" s="26" t="s">
        <v>684</v>
      </c>
      <c r="D140" s="26">
        <v>17</v>
      </c>
      <c r="E140" s="26" t="s">
        <v>106</v>
      </c>
      <c r="F140" s="26" t="s">
        <v>721</v>
      </c>
      <c r="G140" s="26">
        <v>46216</v>
      </c>
      <c r="H140" s="26" t="s">
        <v>695</v>
      </c>
    </row>
    <row r="141" spans="1:8" ht="24" customHeight="1">
      <c r="A141" s="26" t="s">
        <v>602</v>
      </c>
      <c r="B141" s="26" t="s">
        <v>771</v>
      </c>
      <c r="C141" s="26" t="s">
        <v>686</v>
      </c>
      <c r="D141" s="26">
        <v>18</v>
      </c>
      <c r="E141" s="26" t="s">
        <v>106</v>
      </c>
      <c r="F141" s="26" t="s">
        <v>721</v>
      </c>
      <c r="G141" s="26">
        <v>46216</v>
      </c>
      <c r="H141" s="26" t="s">
        <v>695</v>
      </c>
    </row>
    <row r="142" spans="1:8" ht="24" customHeight="1">
      <c r="A142" s="26" t="s">
        <v>602</v>
      </c>
      <c r="B142" s="26" t="s">
        <v>772</v>
      </c>
      <c r="C142" s="26" t="s">
        <v>688</v>
      </c>
      <c r="D142" s="26">
        <v>19</v>
      </c>
      <c r="E142" s="26" t="s">
        <v>106</v>
      </c>
      <c r="F142" s="26" t="s">
        <v>721</v>
      </c>
      <c r="G142" s="26">
        <v>46216</v>
      </c>
      <c r="H142" s="26" t="s">
        <v>695</v>
      </c>
    </row>
    <row r="143" spans="1:8" ht="24" customHeight="1">
      <c r="A143" s="26" t="s">
        <v>602</v>
      </c>
      <c r="B143" s="26" t="s">
        <v>773</v>
      </c>
      <c r="C143" s="26" t="s">
        <v>690</v>
      </c>
      <c r="D143" s="26">
        <v>20</v>
      </c>
      <c r="E143" s="26" t="s">
        <v>106</v>
      </c>
      <c r="F143" s="26" t="s">
        <v>721</v>
      </c>
      <c r="G143" s="26">
        <v>46216</v>
      </c>
      <c r="H143" s="26" t="s">
        <v>695</v>
      </c>
    </row>
    <row r="144" spans="1:8" ht="24" customHeight="1">
      <c r="A144" s="26" t="s">
        <v>528</v>
      </c>
      <c r="B144" s="26" t="s">
        <v>774</v>
      </c>
      <c r="C144" s="26" t="s">
        <v>336</v>
      </c>
      <c r="D144" s="26">
        <v>1</v>
      </c>
      <c r="E144" s="26" t="s">
        <v>106</v>
      </c>
      <c r="F144" s="26" t="s">
        <v>721</v>
      </c>
      <c r="G144" s="26">
        <v>46216</v>
      </c>
      <c r="H144" s="26" t="s">
        <v>695</v>
      </c>
    </row>
    <row r="145" spans="1:8" ht="24" customHeight="1">
      <c r="A145" s="26" t="s">
        <v>528</v>
      </c>
      <c r="B145" s="26" t="s">
        <v>775</v>
      </c>
      <c r="C145" s="26" t="s">
        <v>620</v>
      </c>
      <c r="D145" s="26">
        <v>2</v>
      </c>
      <c r="E145" s="26" t="s">
        <v>106</v>
      </c>
      <c r="F145" s="26" t="s">
        <v>721</v>
      </c>
      <c r="G145" s="26">
        <v>46216</v>
      </c>
      <c r="H145" s="26" t="s">
        <v>695</v>
      </c>
    </row>
    <row r="146" spans="1:8" ht="24" customHeight="1">
      <c r="A146" s="26" t="s">
        <v>528</v>
      </c>
      <c r="B146" s="26" t="s">
        <v>776</v>
      </c>
      <c r="C146" s="26" t="s">
        <v>342</v>
      </c>
      <c r="D146" s="26">
        <v>3</v>
      </c>
      <c r="E146" s="26" t="s">
        <v>106</v>
      </c>
      <c r="F146" s="26" t="s">
        <v>721</v>
      </c>
      <c r="G146" s="26">
        <v>46216</v>
      </c>
      <c r="H146" s="26" t="s">
        <v>695</v>
      </c>
    </row>
    <row r="147" spans="1:8" ht="24" customHeight="1">
      <c r="A147" s="26" t="s">
        <v>528</v>
      </c>
      <c r="B147" s="26" t="s">
        <v>777</v>
      </c>
      <c r="C147" s="26" t="s">
        <v>635</v>
      </c>
      <c r="D147" s="26">
        <v>4</v>
      </c>
      <c r="E147" s="26" t="s">
        <v>106</v>
      </c>
      <c r="F147" s="26" t="s">
        <v>721</v>
      </c>
      <c r="G147" s="26">
        <v>46216</v>
      </c>
      <c r="H147" s="26" t="s">
        <v>695</v>
      </c>
    </row>
    <row r="148" spans="1:8" ht="24" customHeight="1">
      <c r="A148" s="26" t="s">
        <v>528</v>
      </c>
      <c r="B148" s="26" t="s">
        <v>778</v>
      </c>
      <c r="C148" s="26" t="s">
        <v>644</v>
      </c>
      <c r="D148" s="26">
        <v>5</v>
      </c>
      <c r="E148" s="26" t="s">
        <v>106</v>
      </c>
      <c r="F148" s="26" t="s">
        <v>721</v>
      </c>
      <c r="G148" s="26">
        <v>46216</v>
      </c>
      <c r="H148" s="26" t="s">
        <v>695</v>
      </c>
    </row>
    <row r="149" spans="1:8" ht="24" customHeight="1">
      <c r="A149" s="26" t="s">
        <v>528</v>
      </c>
      <c r="B149" s="26" t="s">
        <v>779</v>
      </c>
      <c r="C149" s="26" t="s">
        <v>344</v>
      </c>
      <c r="D149" s="26">
        <v>6</v>
      </c>
      <c r="E149" s="26" t="s">
        <v>106</v>
      </c>
      <c r="F149" s="26" t="s">
        <v>721</v>
      </c>
      <c r="G149" s="26">
        <v>46216</v>
      </c>
      <c r="H149" s="26" t="s">
        <v>695</v>
      </c>
    </row>
    <row r="150" spans="1:8" ht="24" customHeight="1">
      <c r="A150" s="26" t="s">
        <v>528</v>
      </c>
      <c r="B150" s="26" t="s">
        <v>780</v>
      </c>
      <c r="C150" s="26" t="s">
        <v>659</v>
      </c>
      <c r="D150" s="26">
        <v>7</v>
      </c>
      <c r="E150" s="26" t="s">
        <v>106</v>
      </c>
      <c r="F150" s="26" t="s">
        <v>721</v>
      </c>
      <c r="G150" s="26">
        <v>46216</v>
      </c>
      <c r="H150" s="26" t="s">
        <v>695</v>
      </c>
    </row>
    <row r="151" spans="1:8" ht="24" customHeight="1">
      <c r="A151" s="26" t="s">
        <v>528</v>
      </c>
      <c r="B151" s="26" t="s">
        <v>781</v>
      </c>
      <c r="C151" s="26" t="s">
        <v>654</v>
      </c>
      <c r="D151" s="26">
        <v>8</v>
      </c>
      <c r="E151" s="26" t="s">
        <v>106</v>
      </c>
      <c r="F151" s="26" t="s">
        <v>721</v>
      </c>
      <c r="G151" s="26">
        <v>46216</v>
      </c>
      <c r="H151" s="26" t="s">
        <v>695</v>
      </c>
    </row>
    <row r="152" spans="1:8" ht="24" customHeight="1">
      <c r="A152" s="26" t="s">
        <v>603</v>
      </c>
      <c r="B152" s="26" t="s">
        <v>782</v>
      </c>
      <c r="C152" s="26" t="s">
        <v>367</v>
      </c>
      <c r="D152" s="26">
        <v>1</v>
      </c>
      <c r="E152" s="26" t="s">
        <v>106</v>
      </c>
      <c r="F152" s="26" t="s">
        <v>721</v>
      </c>
      <c r="G152" s="26">
        <v>46216</v>
      </c>
      <c r="H152" s="26" t="s">
        <v>695</v>
      </c>
    </row>
    <row r="153" spans="1:8" ht="24" customHeight="1">
      <c r="A153" s="26" t="s">
        <v>603</v>
      </c>
      <c r="B153" s="26" t="s">
        <v>783</v>
      </c>
      <c r="C153" s="26" t="s">
        <v>373</v>
      </c>
      <c r="D153" s="26">
        <v>2</v>
      </c>
      <c r="E153" s="26" t="s">
        <v>106</v>
      </c>
      <c r="F153" s="26" t="s">
        <v>721</v>
      </c>
      <c r="G153" s="26">
        <v>46216</v>
      </c>
      <c r="H153" s="26" t="s">
        <v>695</v>
      </c>
    </row>
    <row r="154" spans="1:8" ht="24" customHeight="1">
      <c r="A154" s="26" t="s">
        <v>603</v>
      </c>
      <c r="B154" s="26" t="s">
        <v>784</v>
      </c>
      <c r="C154" s="26" t="s">
        <v>361</v>
      </c>
      <c r="D154" s="26">
        <v>3</v>
      </c>
      <c r="E154" s="26" t="s">
        <v>106</v>
      </c>
      <c r="F154" s="26" t="s">
        <v>721</v>
      </c>
      <c r="G154" s="26">
        <v>46216</v>
      </c>
      <c r="H154" s="26" t="s">
        <v>695</v>
      </c>
    </row>
    <row r="155" spans="1:8" ht="24" customHeight="1">
      <c r="A155" s="26" t="s">
        <v>603</v>
      </c>
      <c r="B155" s="26" t="s">
        <v>785</v>
      </c>
      <c r="C155" s="26" t="s">
        <v>636</v>
      </c>
      <c r="D155" s="26">
        <v>4</v>
      </c>
      <c r="E155" s="26" t="s">
        <v>106</v>
      </c>
      <c r="F155" s="26" t="s">
        <v>721</v>
      </c>
      <c r="G155" s="26">
        <v>46216</v>
      </c>
      <c r="H155" s="26" t="s">
        <v>695</v>
      </c>
    </row>
    <row r="156" spans="1:8" ht="24" customHeight="1">
      <c r="A156" s="26" t="s">
        <v>603</v>
      </c>
      <c r="B156" s="26" t="s">
        <v>786</v>
      </c>
      <c r="C156" s="26" t="s">
        <v>645</v>
      </c>
      <c r="D156" s="26">
        <v>5</v>
      </c>
      <c r="E156" s="26" t="s">
        <v>106</v>
      </c>
      <c r="F156" s="26" t="s">
        <v>721</v>
      </c>
      <c r="G156" s="26">
        <v>46216</v>
      </c>
      <c r="H156" s="26" t="s">
        <v>695</v>
      </c>
    </row>
    <row r="157" spans="1:8" ht="24" customHeight="1">
      <c r="A157" s="26" t="s">
        <v>603</v>
      </c>
      <c r="B157" s="26" t="s">
        <v>787</v>
      </c>
      <c r="C157" s="26" t="s">
        <v>654</v>
      </c>
      <c r="D157" s="26">
        <v>6</v>
      </c>
      <c r="E157" s="26" t="s">
        <v>106</v>
      </c>
      <c r="F157" s="26" t="s">
        <v>721</v>
      </c>
      <c r="G157" s="26">
        <v>46216</v>
      </c>
      <c r="H157" s="26" t="s">
        <v>695</v>
      </c>
    </row>
    <row r="158" spans="1:8" ht="24" customHeight="1">
      <c r="A158" s="26" t="s">
        <v>604</v>
      </c>
      <c r="B158" s="26" t="s">
        <v>788</v>
      </c>
      <c r="C158" s="26" t="s">
        <v>162</v>
      </c>
      <c r="D158" s="26">
        <v>1</v>
      </c>
      <c r="E158" s="26" t="s">
        <v>106</v>
      </c>
      <c r="F158" s="26" t="s">
        <v>721</v>
      </c>
      <c r="G158" s="26">
        <v>46216</v>
      </c>
      <c r="H158" s="26" t="s">
        <v>695</v>
      </c>
    </row>
    <row r="159" spans="1:8" ht="24" customHeight="1">
      <c r="A159" s="26" t="s">
        <v>604</v>
      </c>
      <c r="B159" s="26" t="s">
        <v>789</v>
      </c>
      <c r="C159" s="26" t="s">
        <v>101</v>
      </c>
      <c r="D159" s="26">
        <v>2</v>
      </c>
      <c r="E159" s="26" t="s">
        <v>106</v>
      </c>
      <c r="F159" s="26" t="s">
        <v>721</v>
      </c>
      <c r="G159" s="26">
        <v>46216</v>
      </c>
      <c r="H159" s="26" t="s">
        <v>695</v>
      </c>
    </row>
    <row r="160" spans="1:8" ht="24" customHeight="1">
      <c r="A160" s="26" t="s">
        <v>604</v>
      </c>
      <c r="B160" s="26" t="s">
        <v>790</v>
      </c>
      <c r="C160" s="26" t="s">
        <v>149</v>
      </c>
      <c r="D160" s="26">
        <v>3</v>
      </c>
      <c r="E160" s="26" t="s">
        <v>106</v>
      </c>
      <c r="F160" s="26" t="s">
        <v>721</v>
      </c>
      <c r="G160" s="26">
        <v>46216</v>
      </c>
      <c r="H160" s="26" t="s">
        <v>695</v>
      </c>
    </row>
    <row r="161" spans="1:8" ht="24" customHeight="1">
      <c r="A161" s="26" t="s">
        <v>604</v>
      </c>
      <c r="B161" s="26" t="s">
        <v>791</v>
      </c>
      <c r="C161" s="26" t="s">
        <v>637</v>
      </c>
      <c r="D161" s="26">
        <v>4</v>
      </c>
      <c r="E161" s="26" t="s">
        <v>106</v>
      </c>
      <c r="F161" s="26" t="s">
        <v>721</v>
      </c>
      <c r="G161" s="26">
        <v>46216</v>
      </c>
      <c r="H161" s="26" t="s">
        <v>695</v>
      </c>
    </row>
    <row r="162" spans="1:8" ht="24" customHeight="1">
      <c r="A162" s="26" t="s">
        <v>604</v>
      </c>
      <c r="B162" s="26" t="s">
        <v>792</v>
      </c>
      <c r="C162" s="26" t="s">
        <v>646</v>
      </c>
      <c r="D162" s="26">
        <v>5</v>
      </c>
      <c r="E162" s="26" t="s">
        <v>106</v>
      </c>
      <c r="F162" s="26" t="s">
        <v>721</v>
      </c>
      <c r="G162" s="26">
        <v>46216</v>
      </c>
      <c r="H162" s="26" t="s">
        <v>695</v>
      </c>
    </row>
    <row r="163" spans="1:8" ht="24" customHeight="1">
      <c r="A163" s="26" t="s">
        <v>605</v>
      </c>
      <c r="B163" s="26" t="s">
        <v>793</v>
      </c>
      <c r="C163" s="26" t="s">
        <v>163</v>
      </c>
      <c r="D163" s="26">
        <v>1</v>
      </c>
      <c r="E163" s="26" t="s">
        <v>106</v>
      </c>
      <c r="F163" s="26" t="s">
        <v>721</v>
      </c>
      <c r="G163" s="26">
        <v>46216</v>
      </c>
      <c r="H163" s="26" t="s">
        <v>695</v>
      </c>
    </row>
    <row r="164" spans="1:8" ht="24" customHeight="1">
      <c r="A164" s="26" t="s">
        <v>605</v>
      </c>
      <c r="B164" s="26" t="s">
        <v>794</v>
      </c>
      <c r="C164" s="26" t="s">
        <v>150</v>
      </c>
      <c r="D164" s="26">
        <v>2</v>
      </c>
      <c r="E164" s="26" t="s">
        <v>106</v>
      </c>
      <c r="F164" s="26" t="s">
        <v>721</v>
      </c>
      <c r="G164" s="26">
        <v>46216</v>
      </c>
      <c r="H164" s="26" t="s">
        <v>695</v>
      </c>
    </row>
    <row r="165" spans="1:8" ht="24" customHeight="1">
      <c r="A165" s="26" t="s">
        <v>605</v>
      </c>
      <c r="B165" s="26" t="s">
        <v>795</v>
      </c>
      <c r="C165" s="26" t="s">
        <v>151</v>
      </c>
      <c r="D165" s="26">
        <v>3</v>
      </c>
      <c r="E165" s="26" t="s">
        <v>106</v>
      </c>
      <c r="F165" s="26" t="s">
        <v>721</v>
      </c>
      <c r="G165" s="26">
        <v>46216</v>
      </c>
      <c r="H165" s="26" t="s">
        <v>695</v>
      </c>
    </row>
    <row r="166" spans="1:8" ht="24" customHeight="1">
      <c r="A166" s="26" t="s">
        <v>605</v>
      </c>
      <c r="B166" s="26" t="s">
        <v>796</v>
      </c>
      <c r="C166" s="26" t="s">
        <v>638</v>
      </c>
      <c r="D166" s="26">
        <v>4</v>
      </c>
      <c r="E166" s="26" t="s">
        <v>106</v>
      </c>
      <c r="F166" s="26" t="s">
        <v>721</v>
      </c>
      <c r="G166" s="26">
        <v>46216</v>
      </c>
      <c r="H166" s="26" t="s">
        <v>695</v>
      </c>
    </row>
    <row r="167" spans="1:8" ht="24" customHeight="1">
      <c r="A167" s="26" t="s">
        <v>606</v>
      </c>
      <c r="B167" s="26" t="s">
        <v>797</v>
      </c>
      <c r="C167" s="26" t="s">
        <v>162</v>
      </c>
      <c r="D167" s="26">
        <v>1</v>
      </c>
      <c r="E167" s="26" t="s">
        <v>106</v>
      </c>
      <c r="F167" s="26" t="s">
        <v>721</v>
      </c>
      <c r="G167" s="26">
        <v>46216</v>
      </c>
      <c r="H167" s="26" t="s">
        <v>695</v>
      </c>
    </row>
    <row r="168" spans="1:8" ht="24" customHeight="1">
      <c r="A168" s="26" t="s">
        <v>606</v>
      </c>
      <c r="B168" s="26" t="s">
        <v>798</v>
      </c>
      <c r="C168" s="26" t="s">
        <v>101</v>
      </c>
      <c r="D168" s="26">
        <v>2</v>
      </c>
      <c r="E168" s="26" t="s">
        <v>106</v>
      </c>
      <c r="F168" s="26" t="s">
        <v>721</v>
      </c>
      <c r="G168" s="26">
        <v>46216</v>
      </c>
      <c r="H168" s="26" t="s">
        <v>695</v>
      </c>
    </row>
    <row r="169" spans="1:8" ht="24" customHeight="1">
      <c r="A169" s="26" t="s">
        <v>606</v>
      </c>
      <c r="B169" s="26" t="s">
        <v>799</v>
      </c>
      <c r="C169" s="26" t="s">
        <v>625</v>
      </c>
      <c r="D169" s="26">
        <v>3</v>
      </c>
      <c r="E169" s="26" t="s">
        <v>106</v>
      </c>
      <c r="F169" s="26" t="s">
        <v>721</v>
      </c>
      <c r="G169" s="26">
        <v>46216</v>
      </c>
      <c r="H169" s="26" t="s">
        <v>695</v>
      </c>
    </row>
    <row r="170" spans="1:8" ht="24" customHeight="1">
      <c r="A170" s="26" t="s">
        <v>606</v>
      </c>
      <c r="B170" s="26" t="s">
        <v>800</v>
      </c>
      <c r="C170" s="26" t="s">
        <v>454</v>
      </c>
      <c r="D170" s="26">
        <v>4</v>
      </c>
      <c r="E170" s="26" t="s">
        <v>106</v>
      </c>
      <c r="F170" s="26" t="s">
        <v>721</v>
      </c>
      <c r="G170" s="26">
        <v>46216</v>
      </c>
      <c r="H170" s="26" t="s">
        <v>695</v>
      </c>
    </row>
    <row r="171" spans="1:8" ht="24" customHeight="1">
      <c r="A171" s="26" t="s">
        <v>606</v>
      </c>
      <c r="B171" s="26" t="s">
        <v>801</v>
      </c>
      <c r="C171" s="26" t="s">
        <v>647</v>
      </c>
      <c r="D171" s="26">
        <v>5</v>
      </c>
      <c r="E171" s="26" t="s">
        <v>106</v>
      </c>
      <c r="F171" s="26" t="s">
        <v>721</v>
      </c>
      <c r="G171" s="26">
        <v>46216</v>
      </c>
      <c r="H171" s="26" t="s">
        <v>695</v>
      </c>
    </row>
    <row r="172" spans="1:8" ht="24" customHeight="1">
      <c r="A172" s="26" t="s">
        <v>607</v>
      </c>
      <c r="B172" s="26" t="s">
        <v>802</v>
      </c>
      <c r="C172" s="26" t="s">
        <v>616</v>
      </c>
      <c r="D172" s="26">
        <v>1</v>
      </c>
      <c r="E172" s="26" t="s">
        <v>106</v>
      </c>
      <c r="F172" s="26" t="s">
        <v>721</v>
      </c>
      <c r="G172" s="26">
        <v>46216</v>
      </c>
      <c r="H172" s="26" t="s">
        <v>695</v>
      </c>
    </row>
    <row r="173" spans="1:8" ht="24" customHeight="1">
      <c r="A173" s="26" t="s">
        <v>607</v>
      </c>
      <c r="B173" s="26" t="s">
        <v>803</v>
      </c>
      <c r="C173" s="26" t="s">
        <v>470</v>
      </c>
      <c r="D173" s="26">
        <v>2</v>
      </c>
      <c r="E173" s="26" t="s">
        <v>106</v>
      </c>
      <c r="F173" s="26" t="s">
        <v>721</v>
      </c>
      <c r="G173" s="26">
        <v>46216</v>
      </c>
      <c r="H173" s="26" t="s">
        <v>695</v>
      </c>
    </row>
    <row r="174" spans="1:8" ht="24" customHeight="1">
      <c r="A174" s="26" t="s">
        <v>607</v>
      </c>
      <c r="B174" s="26" t="s">
        <v>804</v>
      </c>
      <c r="C174" s="26" t="s">
        <v>448</v>
      </c>
      <c r="D174" s="26">
        <v>3</v>
      </c>
      <c r="E174" s="26" t="s">
        <v>106</v>
      </c>
      <c r="F174" s="26" t="s">
        <v>721</v>
      </c>
      <c r="G174" s="26">
        <v>46216</v>
      </c>
      <c r="H174" s="26" t="s">
        <v>695</v>
      </c>
    </row>
    <row r="175" spans="1:8" ht="24" customHeight="1">
      <c r="A175" s="26" t="s">
        <v>607</v>
      </c>
      <c r="B175" s="26" t="s">
        <v>805</v>
      </c>
      <c r="C175" s="26" t="s">
        <v>639</v>
      </c>
      <c r="D175" s="26">
        <v>4</v>
      </c>
      <c r="E175" s="26" t="s">
        <v>106</v>
      </c>
      <c r="F175" s="26" t="s">
        <v>721</v>
      </c>
      <c r="G175" s="26">
        <v>46216</v>
      </c>
      <c r="H175" s="26" t="s">
        <v>695</v>
      </c>
    </row>
    <row r="176" spans="1:8" ht="24" customHeight="1">
      <c r="A176" s="26" t="s">
        <v>607</v>
      </c>
      <c r="B176" s="26" t="s">
        <v>806</v>
      </c>
      <c r="C176" s="26" t="s">
        <v>648</v>
      </c>
      <c r="D176" s="26">
        <v>5</v>
      </c>
      <c r="E176" s="26" t="s">
        <v>106</v>
      </c>
      <c r="F176" s="26" t="s">
        <v>721</v>
      </c>
      <c r="G176" s="26">
        <v>46216</v>
      </c>
      <c r="H176" s="26" t="s">
        <v>695</v>
      </c>
    </row>
    <row r="177" spans="1:8" ht="24" customHeight="1">
      <c r="A177" s="26" t="s">
        <v>607</v>
      </c>
      <c r="B177" s="26" t="s">
        <v>807</v>
      </c>
      <c r="C177" s="26" t="s">
        <v>450</v>
      </c>
      <c r="D177" s="26">
        <v>6</v>
      </c>
      <c r="E177" s="26" t="s">
        <v>106</v>
      </c>
      <c r="F177" s="26" t="s">
        <v>721</v>
      </c>
      <c r="G177" s="26">
        <v>46216</v>
      </c>
      <c r="H177" s="26" t="s">
        <v>695</v>
      </c>
    </row>
    <row r="178" spans="1:8" ht="24" customHeight="1">
      <c r="A178" s="26" t="s">
        <v>607</v>
      </c>
      <c r="B178" s="26" t="s">
        <v>808</v>
      </c>
      <c r="C178" s="26" t="s">
        <v>134</v>
      </c>
      <c r="D178" s="26">
        <v>7</v>
      </c>
      <c r="E178" s="26" t="s">
        <v>106</v>
      </c>
      <c r="F178" s="26" t="s">
        <v>721</v>
      </c>
      <c r="G178" s="26">
        <v>46216</v>
      </c>
      <c r="H178" s="26" t="s">
        <v>695</v>
      </c>
    </row>
    <row r="179" spans="1:8" ht="24" customHeight="1">
      <c r="A179" s="26" t="s">
        <v>607</v>
      </c>
      <c r="B179" s="26" t="s">
        <v>809</v>
      </c>
      <c r="C179" s="26" t="s">
        <v>375</v>
      </c>
      <c r="D179" s="26">
        <v>8</v>
      </c>
      <c r="E179" s="26" t="s">
        <v>106</v>
      </c>
      <c r="F179" s="26" t="s">
        <v>721</v>
      </c>
      <c r="G179" s="26">
        <v>46216</v>
      </c>
      <c r="H179" s="26" t="s">
        <v>695</v>
      </c>
    </row>
    <row r="180" spans="1:8" ht="24" customHeight="1">
      <c r="A180" s="26" t="s">
        <v>607</v>
      </c>
      <c r="B180" s="26" t="s">
        <v>810</v>
      </c>
      <c r="C180" s="26" t="s">
        <v>666</v>
      </c>
      <c r="D180" s="26">
        <v>9</v>
      </c>
      <c r="E180" s="26" t="s">
        <v>106</v>
      </c>
      <c r="F180" s="26" t="s">
        <v>721</v>
      </c>
      <c r="G180" s="26">
        <v>46216</v>
      </c>
      <c r="H180" s="26" t="s">
        <v>695</v>
      </c>
    </row>
    <row r="181" spans="1:8" ht="24" customHeight="1">
      <c r="A181" s="26" t="s">
        <v>607</v>
      </c>
      <c r="B181" s="26" t="s">
        <v>811</v>
      </c>
      <c r="C181" s="26" t="s">
        <v>654</v>
      </c>
      <c r="D181" s="26">
        <v>10</v>
      </c>
      <c r="E181" s="26" t="s">
        <v>106</v>
      </c>
      <c r="F181" s="26" t="s">
        <v>721</v>
      </c>
      <c r="G181" s="26">
        <v>46216</v>
      </c>
      <c r="H181" s="26" t="s">
        <v>695</v>
      </c>
    </row>
    <row r="182" spans="1:8" ht="24" customHeight="1">
      <c r="A182" s="26" t="s">
        <v>608</v>
      </c>
      <c r="B182" s="26" t="s">
        <v>812</v>
      </c>
      <c r="C182" s="26" t="s">
        <v>564</v>
      </c>
      <c r="D182" s="26">
        <v>1</v>
      </c>
      <c r="E182" s="26" t="s">
        <v>106</v>
      </c>
      <c r="F182" s="26" t="s">
        <v>721</v>
      </c>
      <c r="G182" s="26">
        <v>46216</v>
      </c>
      <c r="H182" s="26" t="s">
        <v>695</v>
      </c>
    </row>
    <row r="183" spans="1:8" ht="24" customHeight="1">
      <c r="A183" s="26" t="s">
        <v>608</v>
      </c>
      <c r="B183" s="26" t="s">
        <v>813</v>
      </c>
      <c r="C183" s="26" t="s">
        <v>565</v>
      </c>
      <c r="D183" s="26">
        <v>2</v>
      </c>
      <c r="E183" s="26" t="s">
        <v>106</v>
      </c>
      <c r="F183" s="26" t="s">
        <v>721</v>
      </c>
      <c r="G183" s="26">
        <v>46216</v>
      </c>
      <c r="H183" s="26" t="s">
        <v>695</v>
      </c>
    </row>
    <row r="184" spans="1:8" ht="24" customHeight="1">
      <c r="A184" s="26" t="s">
        <v>608</v>
      </c>
      <c r="B184" s="26" t="s">
        <v>814</v>
      </c>
      <c r="C184" s="26" t="s">
        <v>626</v>
      </c>
      <c r="D184" s="26">
        <v>3</v>
      </c>
      <c r="E184" s="26" t="s">
        <v>106</v>
      </c>
      <c r="F184" s="26" t="s">
        <v>721</v>
      </c>
      <c r="G184" s="26">
        <v>46216</v>
      </c>
      <c r="H184" s="26" t="s">
        <v>695</v>
      </c>
    </row>
    <row r="185" spans="1:8" ht="24" customHeight="1">
      <c r="A185" s="26" t="s">
        <v>608</v>
      </c>
      <c r="B185" s="26" t="s">
        <v>815</v>
      </c>
      <c r="C185" s="26" t="s">
        <v>582</v>
      </c>
      <c r="D185" s="26">
        <v>4</v>
      </c>
      <c r="E185" s="26" t="s">
        <v>106</v>
      </c>
      <c r="F185" s="26" t="s">
        <v>721</v>
      </c>
      <c r="G185" s="26">
        <v>46216</v>
      </c>
      <c r="H185" s="26" t="s">
        <v>695</v>
      </c>
    </row>
    <row r="186" spans="1:8" ht="24" customHeight="1">
      <c r="A186" s="26" t="s">
        <v>608</v>
      </c>
      <c r="B186" s="26" t="s">
        <v>816</v>
      </c>
      <c r="C186" s="26" t="s">
        <v>649</v>
      </c>
      <c r="D186" s="26">
        <v>5</v>
      </c>
      <c r="E186" s="26" t="s">
        <v>106</v>
      </c>
      <c r="F186" s="26" t="s">
        <v>721</v>
      </c>
      <c r="G186" s="26">
        <v>46216</v>
      </c>
      <c r="H186" s="26" t="s">
        <v>695</v>
      </c>
    </row>
    <row r="187" spans="1:8" ht="24" customHeight="1">
      <c r="A187" s="26" t="s">
        <v>608</v>
      </c>
      <c r="B187" s="26" t="s">
        <v>817</v>
      </c>
      <c r="C187" s="26" t="s">
        <v>655</v>
      </c>
      <c r="D187" s="26">
        <v>6</v>
      </c>
      <c r="E187" s="26" t="s">
        <v>106</v>
      </c>
      <c r="F187" s="26" t="s">
        <v>721</v>
      </c>
      <c r="G187" s="26">
        <v>46216</v>
      </c>
      <c r="H187" s="26" t="s">
        <v>695</v>
      </c>
    </row>
    <row r="188" spans="1:8" ht="24" customHeight="1">
      <c r="A188" s="26" t="s">
        <v>608</v>
      </c>
      <c r="B188" s="26" t="s">
        <v>818</v>
      </c>
      <c r="C188" s="26" t="s">
        <v>660</v>
      </c>
      <c r="D188" s="26">
        <v>7</v>
      </c>
      <c r="E188" s="26" t="s">
        <v>106</v>
      </c>
      <c r="F188" s="26" t="s">
        <v>721</v>
      </c>
      <c r="G188" s="26">
        <v>46216</v>
      </c>
      <c r="H188" s="26" t="s">
        <v>695</v>
      </c>
    </row>
    <row r="189" spans="1:8" ht="24" customHeight="1">
      <c r="A189" s="26" t="s">
        <v>608</v>
      </c>
      <c r="B189" s="26" t="s">
        <v>819</v>
      </c>
      <c r="C189" s="26" t="s">
        <v>663</v>
      </c>
      <c r="D189" s="26">
        <v>8</v>
      </c>
      <c r="E189" s="26" t="s">
        <v>106</v>
      </c>
      <c r="F189" s="26" t="s">
        <v>721</v>
      </c>
      <c r="G189" s="26">
        <v>46216</v>
      </c>
      <c r="H189" s="26" t="s">
        <v>695</v>
      </c>
    </row>
    <row r="190" spans="1:8" ht="24" customHeight="1">
      <c r="A190" s="26" t="s">
        <v>608</v>
      </c>
      <c r="B190" s="26" t="s">
        <v>820</v>
      </c>
      <c r="C190" s="26" t="s">
        <v>580</v>
      </c>
      <c r="D190" s="26">
        <v>9</v>
      </c>
      <c r="E190" s="26" t="s">
        <v>106</v>
      </c>
      <c r="F190" s="26" t="s">
        <v>721</v>
      </c>
      <c r="G190" s="26">
        <v>46216</v>
      </c>
      <c r="H190" s="26" t="s">
        <v>695</v>
      </c>
    </row>
    <row r="191" spans="1:8" ht="24" customHeight="1">
      <c r="A191" s="26" t="s">
        <v>608</v>
      </c>
      <c r="B191" s="26" t="s">
        <v>821</v>
      </c>
      <c r="C191" s="26" t="s">
        <v>669</v>
      </c>
      <c r="D191" s="26">
        <v>10</v>
      </c>
      <c r="E191" s="26" t="s">
        <v>106</v>
      </c>
      <c r="F191" s="26" t="s">
        <v>721</v>
      </c>
      <c r="G191" s="26">
        <v>46216</v>
      </c>
      <c r="H191" s="26" t="s">
        <v>695</v>
      </c>
    </row>
    <row r="192" spans="1:8" ht="24" customHeight="1">
      <c r="A192" s="26" t="s">
        <v>608</v>
      </c>
      <c r="B192" s="26" t="s">
        <v>822</v>
      </c>
      <c r="C192" s="26" t="s">
        <v>672</v>
      </c>
      <c r="D192" s="26">
        <v>11</v>
      </c>
      <c r="E192" s="26" t="s">
        <v>106</v>
      </c>
      <c r="F192" s="26" t="s">
        <v>721</v>
      </c>
      <c r="G192" s="26">
        <v>46216</v>
      </c>
      <c r="H192" s="26" t="s">
        <v>695</v>
      </c>
    </row>
    <row r="193" spans="1:8" ht="24" customHeight="1">
      <c r="A193" s="26" t="s">
        <v>608</v>
      </c>
      <c r="B193" s="26" t="s">
        <v>823</v>
      </c>
      <c r="C193" s="26" t="s">
        <v>675</v>
      </c>
      <c r="D193" s="26">
        <v>12</v>
      </c>
      <c r="E193" s="26" t="s">
        <v>106</v>
      </c>
      <c r="F193" s="26" t="s">
        <v>721</v>
      </c>
      <c r="G193" s="26">
        <v>46216</v>
      </c>
      <c r="H193" s="26" t="s">
        <v>695</v>
      </c>
    </row>
    <row r="194" spans="1:8" ht="24" customHeight="1">
      <c r="A194" s="26" t="s">
        <v>608</v>
      </c>
      <c r="B194" s="26" t="s">
        <v>824</v>
      </c>
      <c r="C194" s="26" t="s">
        <v>262</v>
      </c>
      <c r="D194" s="26">
        <v>13</v>
      </c>
      <c r="E194" s="26" t="s">
        <v>106</v>
      </c>
      <c r="F194" s="26" t="s">
        <v>721</v>
      </c>
      <c r="G194" s="26">
        <v>46216</v>
      </c>
      <c r="H194" s="26" t="s">
        <v>695</v>
      </c>
    </row>
    <row r="195" spans="1:8" ht="24" customHeight="1">
      <c r="A195" s="26" t="s">
        <v>608</v>
      </c>
      <c r="B195" s="26" t="s">
        <v>825</v>
      </c>
      <c r="C195" s="26" t="s">
        <v>339</v>
      </c>
      <c r="D195" s="26">
        <v>14</v>
      </c>
      <c r="E195" s="26" t="s">
        <v>106</v>
      </c>
      <c r="F195" s="26" t="s">
        <v>721</v>
      </c>
      <c r="G195" s="26">
        <v>46216</v>
      </c>
      <c r="H195" s="26" t="s">
        <v>695</v>
      </c>
    </row>
    <row r="196" spans="1:8" ht="24" customHeight="1">
      <c r="A196" s="26" t="s">
        <v>608</v>
      </c>
      <c r="B196" s="26" t="s">
        <v>826</v>
      </c>
      <c r="C196" s="26" t="s">
        <v>681</v>
      </c>
      <c r="D196" s="26">
        <v>15</v>
      </c>
      <c r="E196" s="26" t="s">
        <v>106</v>
      </c>
      <c r="F196" s="26" t="s">
        <v>721</v>
      </c>
      <c r="G196" s="26">
        <v>46216</v>
      </c>
      <c r="H196" s="26" t="s">
        <v>695</v>
      </c>
    </row>
    <row r="197" spans="1:8" ht="24" customHeight="1">
      <c r="A197" s="26" t="s">
        <v>608</v>
      </c>
      <c r="B197" s="26" t="s">
        <v>827</v>
      </c>
      <c r="C197" s="26" t="s">
        <v>682</v>
      </c>
      <c r="D197" s="26">
        <v>16</v>
      </c>
      <c r="E197" s="26" t="s">
        <v>106</v>
      </c>
      <c r="F197" s="26" t="s">
        <v>721</v>
      </c>
      <c r="G197" s="26">
        <v>46216</v>
      </c>
      <c r="H197" s="26" t="s">
        <v>695</v>
      </c>
    </row>
    <row r="198" spans="1:8" ht="24" customHeight="1">
      <c r="A198" s="26" t="s">
        <v>608</v>
      </c>
      <c r="B198" s="26" t="s">
        <v>828</v>
      </c>
      <c r="C198" s="26" t="s">
        <v>453</v>
      </c>
      <c r="D198" s="26">
        <v>17</v>
      </c>
      <c r="E198" s="26" t="s">
        <v>106</v>
      </c>
      <c r="F198" s="26" t="s">
        <v>721</v>
      </c>
      <c r="G198" s="26">
        <v>46216</v>
      </c>
      <c r="H198" s="26" t="s">
        <v>695</v>
      </c>
    </row>
    <row r="199" spans="1:8" ht="24" customHeight="1">
      <c r="A199" s="26" t="s">
        <v>608</v>
      </c>
      <c r="B199" s="26" t="s">
        <v>829</v>
      </c>
      <c r="C199" s="26" t="s">
        <v>568</v>
      </c>
      <c r="D199" s="26">
        <v>18</v>
      </c>
      <c r="E199" s="26" t="s">
        <v>106</v>
      </c>
      <c r="F199" s="26" t="s">
        <v>721</v>
      </c>
      <c r="G199" s="26">
        <v>46216</v>
      </c>
      <c r="H199" s="26" t="s">
        <v>695</v>
      </c>
    </row>
    <row r="200" spans="1:8" ht="24" customHeight="1">
      <c r="A200" s="26" t="s">
        <v>609</v>
      </c>
      <c r="B200" s="26" t="s">
        <v>830</v>
      </c>
      <c r="C200" s="26" t="s">
        <v>118</v>
      </c>
      <c r="D200" s="26">
        <v>1</v>
      </c>
      <c r="E200" s="26" t="s">
        <v>106</v>
      </c>
      <c r="F200" s="26" t="s">
        <v>721</v>
      </c>
      <c r="G200" s="26">
        <v>46216</v>
      </c>
      <c r="H200" s="26" t="s">
        <v>695</v>
      </c>
    </row>
    <row r="201" spans="1:8" ht="24" customHeight="1">
      <c r="A201" s="26" t="s">
        <v>609</v>
      </c>
      <c r="B201" s="26" t="s">
        <v>831</v>
      </c>
      <c r="C201" s="26" t="s">
        <v>298</v>
      </c>
      <c r="D201" s="26">
        <v>2</v>
      </c>
      <c r="E201" s="26" t="s">
        <v>106</v>
      </c>
      <c r="F201" s="26" t="s">
        <v>721</v>
      </c>
      <c r="G201" s="26">
        <v>46216</v>
      </c>
      <c r="H201" s="26" t="s">
        <v>695</v>
      </c>
    </row>
    <row r="202" spans="1:8" ht="24" customHeight="1">
      <c r="A202" s="26" t="s">
        <v>609</v>
      </c>
      <c r="B202" s="26" t="s">
        <v>832</v>
      </c>
      <c r="C202" s="26" t="s">
        <v>109</v>
      </c>
      <c r="D202" s="26">
        <v>3</v>
      </c>
      <c r="E202" s="26" t="s">
        <v>106</v>
      </c>
      <c r="F202" s="26" t="s">
        <v>721</v>
      </c>
      <c r="G202" s="26">
        <v>46216</v>
      </c>
      <c r="H202" s="26" t="s">
        <v>695</v>
      </c>
    </row>
    <row r="203" spans="1:8" ht="24" customHeight="1">
      <c r="A203" s="26" t="s">
        <v>609</v>
      </c>
      <c r="B203" s="26" t="s">
        <v>833</v>
      </c>
      <c r="C203" s="26" t="s">
        <v>232</v>
      </c>
      <c r="D203" s="26">
        <v>4</v>
      </c>
      <c r="E203" s="26" t="s">
        <v>106</v>
      </c>
      <c r="F203" s="26" t="s">
        <v>721</v>
      </c>
      <c r="G203" s="26">
        <v>46216</v>
      </c>
      <c r="H203" s="26" t="s">
        <v>695</v>
      </c>
    </row>
    <row r="204" spans="1:8" ht="24" customHeight="1">
      <c r="A204" s="26" t="s">
        <v>609</v>
      </c>
      <c r="B204" s="26" t="s">
        <v>834</v>
      </c>
      <c r="C204" s="26" t="s">
        <v>650</v>
      </c>
      <c r="D204" s="26">
        <v>5</v>
      </c>
      <c r="E204" s="26" t="s">
        <v>106</v>
      </c>
      <c r="F204" s="26" t="s">
        <v>721</v>
      </c>
      <c r="G204" s="26">
        <v>46216</v>
      </c>
      <c r="H204" s="26" t="s">
        <v>695</v>
      </c>
    </row>
    <row r="205" spans="1:8" ht="24" customHeight="1">
      <c r="A205" s="26" t="s">
        <v>609</v>
      </c>
      <c r="B205" s="26" t="s">
        <v>835</v>
      </c>
      <c r="C205" s="26" t="s">
        <v>656</v>
      </c>
      <c r="D205" s="26">
        <v>6</v>
      </c>
      <c r="E205" s="26" t="s">
        <v>106</v>
      </c>
      <c r="F205" s="26" t="s">
        <v>721</v>
      </c>
      <c r="G205" s="26">
        <v>46216</v>
      </c>
      <c r="H205" s="26" t="s">
        <v>695</v>
      </c>
    </row>
    <row r="206" spans="1:8" ht="24" customHeight="1">
      <c r="A206" s="26" t="s">
        <v>610</v>
      </c>
      <c r="B206" s="26" t="s">
        <v>836</v>
      </c>
      <c r="C206" s="26" t="s">
        <v>106</v>
      </c>
      <c r="D206" s="26">
        <v>1</v>
      </c>
      <c r="E206" s="26" t="s">
        <v>106</v>
      </c>
      <c r="F206" s="26" t="s">
        <v>721</v>
      </c>
      <c r="G206" s="26">
        <v>46216</v>
      </c>
      <c r="H206" s="26" t="s">
        <v>695</v>
      </c>
    </row>
    <row r="207" spans="1:8" ht="24" customHeight="1">
      <c r="A207" s="26" t="s">
        <v>610</v>
      </c>
      <c r="B207" s="26" t="s">
        <v>837</v>
      </c>
      <c r="C207" s="26" t="s">
        <v>229</v>
      </c>
      <c r="D207" s="26">
        <v>2</v>
      </c>
      <c r="E207" s="26" t="s">
        <v>106</v>
      </c>
      <c r="F207" s="26" t="s">
        <v>721</v>
      </c>
      <c r="G207" s="26">
        <v>46216</v>
      </c>
      <c r="H207" s="26" t="s">
        <v>695</v>
      </c>
    </row>
    <row r="208" spans="1:8" ht="24" customHeight="1">
      <c r="A208" s="26" t="s">
        <v>610</v>
      </c>
      <c r="B208" s="26" t="s">
        <v>838</v>
      </c>
      <c r="C208" s="26" t="s">
        <v>117</v>
      </c>
      <c r="D208" s="26">
        <v>3</v>
      </c>
      <c r="E208" s="26" t="s">
        <v>106</v>
      </c>
      <c r="F208" s="26" t="s">
        <v>721</v>
      </c>
      <c r="G208" s="26">
        <v>46216</v>
      </c>
      <c r="H208" s="26" t="s">
        <v>695</v>
      </c>
    </row>
    <row r="209" spans="1:8" ht="24" customHeight="1">
      <c r="A209" s="26" t="s">
        <v>610</v>
      </c>
      <c r="B209" s="26" t="s">
        <v>839</v>
      </c>
      <c r="C209" s="26" t="s">
        <v>123</v>
      </c>
      <c r="D209" s="26">
        <v>4</v>
      </c>
      <c r="E209" s="26" t="s">
        <v>106</v>
      </c>
      <c r="F209" s="26" t="s">
        <v>721</v>
      </c>
      <c r="G209" s="26">
        <v>46216</v>
      </c>
      <c r="H209" s="26" t="s">
        <v>695</v>
      </c>
    </row>
    <row r="210" spans="1:8" ht="24" customHeight="1">
      <c r="A210" s="26" t="s">
        <v>611</v>
      </c>
      <c r="B210" s="26" t="s">
        <v>840</v>
      </c>
      <c r="C210" s="26" t="s">
        <v>162</v>
      </c>
      <c r="D210" s="26">
        <v>1</v>
      </c>
      <c r="E210" s="26" t="s">
        <v>106</v>
      </c>
      <c r="F210" s="26" t="s">
        <v>721</v>
      </c>
      <c r="G210" s="26">
        <v>46216</v>
      </c>
      <c r="H210" s="26" t="s">
        <v>695</v>
      </c>
    </row>
    <row r="211" spans="1:8" ht="24" customHeight="1">
      <c r="A211" s="26" t="s">
        <v>611</v>
      </c>
      <c r="B211" s="26" t="s">
        <v>841</v>
      </c>
      <c r="C211" s="26" t="s">
        <v>158</v>
      </c>
      <c r="D211" s="26">
        <v>2</v>
      </c>
      <c r="E211" s="26" t="s">
        <v>106</v>
      </c>
      <c r="F211" s="26" t="s">
        <v>721</v>
      </c>
      <c r="G211" s="26">
        <v>46216</v>
      </c>
      <c r="H211" s="26" t="s">
        <v>695</v>
      </c>
    </row>
    <row r="212" spans="1:8" ht="24" customHeight="1">
      <c r="A212" s="26" t="s">
        <v>611</v>
      </c>
      <c r="B212" s="26" t="s">
        <v>842</v>
      </c>
      <c r="C212" s="26" t="s">
        <v>149</v>
      </c>
      <c r="D212" s="26">
        <v>3</v>
      </c>
      <c r="E212" s="26" t="s">
        <v>106</v>
      </c>
      <c r="F212" s="26" t="s">
        <v>721</v>
      </c>
      <c r="G212" s="26">
        <v>46216</v>
      </c>
      <c r="H212" s="26" t="s">
        <v>695</v>
      </c>
    </row>
    <row r="213" spans="1:8" ht="24" customHeight="1">
      <c r="A213" s="26" t="s">
        <v>611</v>
      </c>
      <c r="B213" s="26" t="s">
        <v>843</v>
      </c>
      <c r="C213" s="26" t="s">
        <v>637</v>
      </c>
      <c r="D213" s="26">
        <v>4</v>
      </c>
      <c r="E213" s="26" t="s">
        <v>106</v>
      </c>
      <c r="F213" s="26" t="s">
        <v>721</v>
      </c>
      <c r="G213" s="26">
        <v>46216</v>
      </c>
      <c r="H213" s="26" t="s">
        <v>695</v>
      </c>
    </row>
    <row r="214" spans="1:8" ht="24" customHeight="1">
      <c r="A214" s="26" t="s">
        <v>611</v>
      </c>
      <c r="B214" s="26" t="s">
        <v>844</v>
      </c>
      <c r="C214" s="26" t="s">
        <v>646</v>
      </c>
      <c r="D214" s="26">
        <v>5</v>
      </c>
      <c r="E214" s="26" t="s">
        <v>106</v>
      </c>
      <c r="F214" s="26" t="s">
        <v>721</v>
      </c>
      <c r="G214" s="26">
        <v>46216</v>
      </c>
      <c r="H214" s="26" t="s">
        <v>695</v>
      </c>
    </row>
    <row r="215" spans="1:8" ht="24" customHeight="1">
      <c r="A215" s="26" t="s">
        <v>611</v>
      </c>
      <c r="B215" s="26" t="s">
        <v>845</v>
      </c>
      <c r="C215" s="26" t="s">
        <v>117</v>
      </c>
      <c r="D215" s="26">
        <v>6</v>
      </c>
      <c r="E215" s="26" t="s">
        <v>106</v>
      </c>
      <c r="F215" s="26" t="s">
        <v>721</v>
      </c>
      <c r="G215" s="26">
        <v>46216</v>
      </c>
      <c r="H215" s="26" t="s">
        <v>695</v>
      </c>
    </row>
    <row r="216" spans="1:8" ht="24" customHeight="1">
      <c r="A216" s="26" t="s">
        <v>139</v>
      </c>
      <c r="B216" s="26" t="s">
        <v>846</v>
      </c>
      <c r="C216" s="26" t="s">
        <v>151</v>
      </c>
      <c r="D216" s="26">
        <v>1</v>
      </c>
      <c r="E216" s="26" t="s">
        <v>106</v>
      </c>
      <c r="F216" s="26" t="s">
        <v>721</v>
      </c>
      <c r="G216" s="26">
        <v>46216</v>
      </c>
      <c r="H216" s="26" t="s">
        <v>695</v>
      </c>
    </row>
    <row r="217" spans="1:8" ht="24" customHeight="1">
      <c r="A217" s="26" t="s">
        <v>139</v>
      </c>
      <c r="B217" s="26" t="s">
        <v>847</v>
      </c>
      <c r="C217" s="26" t="s">
        <v>150</v>
      </c>
      <c r="D217" s="26">
        <v>2</v>
      </c>
      <c r="E217" s="26" t="s">
        <v>106</v>
      </c>
      <c r="F217" s="26" t="s">
        <v>721</v>
      </c>
      <c r="G217" s="26">
        <v>46216</v>
      </c>
      <c r="H217" s="26" t="s">
        <v>695</v>
      </c>
    </row>
    <row r="218" spans="1:8" ht="24" customHeight="1">
      <c r="A218" s="26" t="s">
        <v>139</v>
      </c>
      <c r="B218" s="26" t="s">
        <v>848</v>
      </c>
      <c r="C218" s="26" t="s">
        <v>163</v>
      </c>
      <c r="D218" s="26">
        <v>3</v>
      </c>
      <c r="E218" s="26" t="s">
        <v>106</v>
      </c>
      <c r="F218" s="26" t="s">
        <v>721</v>
      </c>
      <c r="G218" s="26">
        <v>46216</v>
      </c>
      <c r="H218" s="26" t="s">
        <v>695</v>
      </c>
    </row>
    <row r="219" spans="1:8" ht="24" customHeight="1">
      <c r="A219" s="26" t="s">
        <v>139</v>
      </c>
      <c r="B219" s="26" t="s">
        <v>849</v>
      </c>
      <c r="C219" s="26" t="s">
        <v>164</v>
      </c>
      <c r="D219" s="26">
        <v>4</v>
      </c>
      <c r="E219" s="26" t="s">
        <v>106</v>
      </c>
      <c r="F219" s="26" t="s">
        <v>721</v>
      </c>
      <c r="G219" s="26">
        <v>46216</v>
      </c>
      <c r="H219" s="26" t="s">
        <v>695</v>
      </c>
    </row>
    <row r="220" spans="1:8" ht="24" customHeight="1">
      <c r="A220" s="26" t="s">
        <v>281</v>
      </c>
      <c r="B220" s="26" t="s">
        <v>850</v>
      </c>
      <c r="C220" s="26" t="s">
        <v>617</v>
      </c>
      <c r="D220" s="26">
        <v>1</v>
      </c>
      <c r="E220" s="26" t="s">
        <v>106</v>
      </c>
      <c r="F220" s="26" t="s">
        <v>721</v>
      </c>
      <c r="G220" s="26">
        <v>46216</v>
      </c>
      <c r="H220" s="26" t="s">
        <v>695</v>
      </c>
    </row>
    <row r="221" spans="1:8" ht="24" customHeight="1">
      <c r="A221" s="26" t="s">
        <v>281</v>
      </c>
      <c r="B221" s="26" t="s">
        <v>851</v>
      </c>
      <c r="C221" s="26" t="s">
        <v>292</v>
      </c>
      <c r="D221" s="26">
        <v>2</v>
      </c>
      <c r="E221" s="26" t="s">
        <v>106</v>
      </c>
      <c r="F221" s="26" t="s">
        <v>721</v>
      </c>
      <c r="G221" s="26">
        <v>46216</v>
      </c>
      <c r="H221" s="26" t="s">
        <v>695</v>
      </c>
    </row>
    <row r="222" spans="1:8" ht="24" customHeight="1">
      <c r="A222" s="26" t="s">
        <v>281</v>
      </c>
      <c r="B222" s="26" t="s">
        <v>852</v>
      </c>
      <c r="C222" s="26" t="s">
        <v>627</v>
      </c>
      <c r="D222" s="26">
        <v>3</v>
      </c>
      <c r="E222" s="26" t="s">
        <v>106</v>
      </c>
      <c r="F222" s="26" t="s">
        <v>721</v>
      </c>
      <c r="G222" s="26">
        <v>46216</v>
      </c>
      <c r="H222" s="26" t="s">
        <v>695</v>
      </c>
    </row>
    <row r="223" spans="1:8" ht="24" customHeight="1">
      <c r="A223" s="26" t="s">
        <v>281</v>
      </c>
      <c r="B223" s="26" t="s">
        <v>853</v>
      </c>
      <c r="C223" s="26" t="s">
        <v>164</v>
      </c>
      <c r="D223" s="26">
        <v>4</v>
      </c>
      <c r="E223" s="26" t="s">
        <v>106</v>
      </c>
      <c r="F223" s="26" t="s">
        <v>721</v>
      </c>
      <c r="G223" s="26">
        <v>46216</v>
      </c>
      <c r="H223" s="26" t="s">
        <v>695</v>
      </c>
    </row>
    <row r="224" spans="1:8" ht="24" customHeight="1">
      <c r="A224" s="26" t="s">
        <v>280</v>
      </c>
      <c r="B224" s="26" t="s">
        <v>854</v>
      </c>
      <c r="C224" s="26" t="s">
        <v>106</v>
      </c>
      <c r="D224" s="26">
        <v>1</v>
      </c>
      <c r="E224" s="26" t="s">
        <v>106</v>
      </c>
      <c r="F224" s="26" t="s">
        <v>721</v>
      </c>
      <c r="G224" s="26">
        <v>46216</v>
      </c>
      <c r="H224" s="26" t="s">
        <v>695</v>
      </c>
    </row>
    <row r="225" spans="1:8" ht="24" customHeight="1">
      <c r="A225" s="26" t="s">
        <v>280</v>
      </c>
      <c r="B225" s="26" t="s">
        <v>855</v>
      </c>
      <c r="C225" s="26" t="s">
        <v>229</v>
      </c>
      <c r="D225" s="26">
        <v>2</v>
      </c>
      <c r="E225" s="26" t="s">
        <v>106</v>
      </c>
      <c r="F225" s="26" t="s">
        <v>721</v>
      </c>
      <c r="G225" s="26">
        <v>46216</v>
      </c>
      <c r="H225" s="26" t="s">
        <v>695</v>
      </c>
    </row>
    <row r="226" spans="1:8" ht="24" customHeight="1">
      <c r="A226" s="26" t="s">
        <v>280</v>
      </c>
      <c r="B226" s="26" t="s">
        <v>856</v>
      </c>
      <c r="C226" s="26" t="s">
        <v>293</v>
      </c>
      <c r="D226" s="26">
        <v>3</v>
      </c>
      <c r="E226" s="26" t="s">
        <v>106</v>
      </c>
      <c r="F226" s="26" t="s">
        <v>721</v>
      </c>
      <c r="G226" s="26">
        <v>46216</v>
      </c>
      <c r="H226" s="26" t="s">
        <v>695</v>
      </c>
    </row>
    <row r="227" spans="1:8" ht="24" customHeight="1">
      <c r="A227" s="26" t="s">
        <v>280</v>
      </c>
      <c r="B227" s="26" t="s">
        <v>857</v>
      </c>
      <c r="C227" s="26" t="s">
        <v>164</v>
      </c>
      <c r="D227" s="26">
        <v>4</v>
      </c>
      <c r="E227" s="26" t="s">
        <v>106</v>
      </c>
      <c r="F227" s="26" t="s">
        <v>721</v>
      </c>
      <c r="G227" s="26">
        <v>46216</v>
      </c>
      <c r="H227" s="26" t="s">
        <v>695</v>
      </c>
    </row>
    <row r="228" spans="1:8" ht="24" customHeight="1">
      <c r="A228" s="26" t="s">
        <v>612</v>
      </c>
      <c r="B228" s="26" t="s">
        <v>858</v>
      </c>
      <c r="C228" s="26" t="s">
        <v>335</v>
      </c>
      <c r="D228" s="26">
        <v>1</v>
      </c>
      <c r="E228" s="26" t="s">
        <v>106</v>
      </c>
      <c r="F228" s="26" t="s">
        <v>721</v>
      </c>
      <c r="G228" s="26">
        <v>46216</v>
      </c>
      <c r="H228" s="26" t="s">
        <v>695</v>
      </c>
    </row>
    <row r="229" spans="1:8" ht="24" customHeight="1">
      <c r="A229" s="26" t="s">
        <v>612</v>
      </c>
      <c r="B229" s="26" t="s">
        <v>859</v>
      </c>
      <c r="C229" s="26" t="s">
        <v>346</v>
      </c>
      <c r="D229" s="26">
        <v>2</v>
      </c>
      <c r="E229" s="26" t="s">
        <v>106</v>
      </c>
      <c r="F229" s="26" t="s">
        <v>721</v>
      </c>
      <c r="G229" s="26">
        <v>46216</v>
      </c>
      <c r="H229" s="26" t="s">
        <v>695</v>
      </c>
    </row>
    <row r="230" spans="1:8" ht="24" customHeight="1">
      <c r="A230" s="26" t="s">
        <v>612</v>
      </c>
      <c r="B230" s="26" t="s">
        <v>860</v>
      </c>
      <c r="C230" s="26" t="s">
        <v>628</v>
      </c>
      <c r="D230" s="26">
        <v>3</v>
      </c>
      <c r="E230" s="26" t="s">
        <v>106</v>
      </c>
      <c r="F230" s="26" t="s">
        <v>721</v>
      </c>
      <c r="G230" s="26">
        <v>46216</v>
      </c>
      <c r="H230" s="26" t="s">
        <v>695</v>
      </c>
    </row>
    <row r="231" spans="1:8" ht="24" customHeight="1">
      <c r="A231" s="26" t="s">
        <v>612</v>
      </c>
      <c r="B231" s="26" t="s">
        <v>861</v>
      </c>
      <c r="C231" s="26" t="s">
        <v>640</v>
      </c>
      <c r="D231" s="26">
        <v>4</v>
      </c>
      <c r="E231" s="26" t="s">
        <v>106</v>
      </c>
      <c r="F231" s="26" t="s">
        <v>721</v>
      </c>
      <c r="G231" s="26">
        <v>46216</v>
      </c>
      <c r="H231" s="26" t="s">
        <v>695</v>
      </c>
    </row>
    <row r="232" spans="1:8" ht="24" customHeight="1">
      <c r="A232" s="26" t="s">
        <v>612</v>
      </c>
      <c r="B232" s="26" t="s">
        <v>862</v>
      </c>
      <c r="C232" s="26" t="s">
        <v>651</v>
      </c>
      <c r="D232" s="26">
        <v>5</v>
      </c>
      <c r="E232" s="26" t="s">
        <v>106</v>
      </c>
      <c r="F232" s="26" t="s">
        <v>721</v>
      </c>
      <c r="G232" s="26">
        <v>46216</v>
      </c>
      <c r="H232" s="26" t="s">
        <v>695</v>
      </c>
    </row>
    <row r="233" spans="1:8" ht="24" customHeight="1">
      <c r="A233" s="26" t="s">
        <v>612</v>
      </c>
      <c r="B233" s="26" t="s">
        <v>863</v>
      </c>
      <c r="C233" s="26" t="s">
        <v>654</v>
      </c>
      <c r="D233" s="26">
        <v>6</v>
      </c>
      <c r="E233" s="26" t="s">
        <v>106</v>
      </c>
      <c r="F233" s="26" t="s">
        <v>721</v>
      </c>
      <c r="G233" s="26">
        <v>46216</v>
      </c>
      <c r="H233" s="26" t="s">
        <v>695</v>
      </c>
    </row>
    <row r="234" spans="1:8" ht="24" customHeight="1">
      <c r="A234" s="26" t="s">
        <v>613</v>
      </c>
      <c r="B234" s="26" t="s">
        <v>864</v>
      </c>
      <c r="C234" s="26" t="s">
        <v>618</v>
      </c>
      <c r="D234" s="26">
        <v>1</v>
      </c>
      <c r="E234" s="26" t="s">
        <v>106</v>
      </c>
      <c r="F234" s="26" t="s">
        <v>721</v>
      </c>
      <c r="G234" s="26">
        <v>46216</v>
      </c>
      <c r="H234" s="26" t="s">
        <v>695</v>
      </c>
    </row>
    <row r="235" spans="1:8" ht="24" customHeight="1">
      <c r="A235" s="26" t="s">
        <v>613</v>
      </c>
      <c r="B235" s="26" t="s">
        <v>865</v>
      </c>
      <c r="C235" s="26" t="s">
        <v>621</v>
      </c>
      <c r="D235" s="26">
        <v>2</v>
      </c>
      <c r="E235" s="26" t="s">
        <v>106</v>
      </c>
      <c r="F235" s="26" t="s">
        <v>721</v>
      </c>
      <c r="G235" s="26">
        <v>46216</v>
      </c>
      <c r="H235" s="26" t="s">
        <v>695</v>
      </c>
    </row>
    <row r="236" spans="1:8" ht="24" customHeight="1">
      <c r="A236" s="26" t="s">
        <v>613</v>
      </c>
      <c r="B236" s="26" t="s">
        <v>866</v>
      </c>
      <c r="C236" s="26" t="s">
        <v>629</v>
      </c>
      <c r="D236" s="26">
        <v>3</v>
      </c>
      <c r="E236" s="26" t="s">
        <v>106</v>
      </c>
      <c r="F236" s="26" t="s">
        <v>721</v>
      </c>
      <c r="G236" s="26">
        <v>46216</v>
      </c>
      <c r="H236" s="26" t="s">
        <v>695</v>
      </c>
    </row>
    <row r="237" spans="1:8" ht="24" customHeight="1">
      <c r="A237" s="26" t="s">
        <v>613</v>
      </c>
      <c r="B237" s="26" t="s">
        <v>867</v>
      </c>
      <c r="C237" s="26" t="s">
        <v>641</v>
      </c>
      <c r="D237" s="26">
        <v>4</v>
      </c>
      <c r="E237" s="26" t="s">
        <v>106</v>
      </c>
      <c r="F237" s="26" t="s">
        <v>721</v>
      </c>
      <c r="G237" s="26">
        <v>46216</v>
      </c>
      <c r="H237" s="26" t="s">
        <v>695</v>
      </c>
    </row>
    <row r="238" spans="1:8" ht="24" customHeight="1">
      <c r="A238" s="26" t="s">
        <v>614</v>
      </c>
      <c r="B238" s="26" t="s">
        <v>868</v>
      </c>
      <c r="C238" s="26" t="s">
        <v>106</v>
      </c>
      <c r="D238" s="26">
        <v>1</v>
      </c>
      <c r="E238" s="26" t="s">
        <v>106</v>
      </c>
      <c r="F238" s="26" t="s">
        <v>721</v>
      </c>
      <c r="G238" s="26">
        <v>46216</v>
      </c>
      <c r="H238" s="26" t="s">
        <v>695</v>
      </c>
    </row>
    <row r="239" spans="1:8" ht="24" customHeight="1">
      <c r="A239" s="26" t="s">
        <v>614</v>
      </c>
      <c r="B239" s="26" t="s">
        <v>869</v>
      </c>
      <c r="C239" s="26" t="s">
        <v>229</v>
      </c>
      <c r="D239" s="26">
        <v>2</v>
      </c>
      <c r="E239" s="26" t="s">
        <v>106</v>
      </c>
      <c r="F239" s="26" t="s">
        <v>721</v>
      </c>
      <c r="G239" s="26">
        <v>46216</v>
      </c>
      <c r="H239" s="26" t="s">
        <v>695</v>
      </c>
    </row>
    <row r="240" spans="1:8" ht="24" customHeight="1">
      <c r="A240" s="26" t="s">
        <v>614</v>
      </c>
      <c r="B240" s="26" t="s">
        <v>870</v>
      </c>
      <c r="C240" s="26" t="s">
        <v>630</v>
      </c>
      <c r="D240" s="26">
        <v>3</v>
      </c>
      <c r="E240" s="26" t="s">
        <v>106</v>
      </c>
      <c r="F240" s="26" t="s">
        <v>721</v>
      </c>
      <c r="G240" s="26">
        <v>46216</v>
      </c>
      <c r="H240" s="26" t="s">
        <v>695</v>
      </c>
    </row>
    <row r="241" spans="1:8" ht="14.25" customHeight="1">
      <c r="A241" s="26"/>
      <c r="B241" s="26"/>
      <c r="C241" s="26"/>
      <c r="D241" s="26"/>
      <c r="E241" s="26"/>
      <c r="F241" s="26"/>
      <c r="G241" s="26"/>
      <c r="H241" s="26"/>
    </row>
    <row r="242" spans="1:8" ht="14.25" customHeight="1">
      <c r="A242" s="26"/>
      <c r="B242" s="26"/>
      <c r="C242" s="26"/>
      <c r="D242" s="26"/>
      <c r="E242" s="26"/>
      <c r="F242" s="26"/>
      <c r="G242" s="26"/>
      <c r="H242" s="26"/>
    </row>
    <row r="243" spans="1:8" ht="14.25" customHeight="1">
      <c r="A243" s="26"/>
      <c r="B243" s="26"/>
      <c r="C243" s="26"/>
      <c r="D243" s="26"/>
      <c r="E243" s="26"/>
      <c r="F243" s="26"/>
      <c r="G243" s="26"/>
      <c r="H243" s="26"/>
    </row>
    <row r="244" spans="1:8" ht="14.25" customHeight="1">
      <c r="A244" s="26"/>
      <c r="B244" s="26"/>
      <c r="C244" s="26"/>
      <c r="D244" s="26"/>
      <c r="E244" s="26"/>
      <c r="F244" s="26"/>
      <c r="G244" s="26"/>
      <c r="H244" s="26"/>
    </row>
    <row r="245" spans="1:8" ht="14.25" customHeight="1">
      <c r="A245" s="26"/>
      <c r="B245" s="26"/>
      <c r="C245" s="26"/>
      <c r="D245" s="26"/>
      <c r="E245" s="26"/>
      <c r="F245" s="26"/>
      <c r="G245" s="26"/>
      <c r="H245" s="26"/>
    </row>
    <row r="246" spans="1:8" ht="14.25" customHeight="1">
      <c r="A246" s="26"/>
      <c r="B246" s="26"/>
      <c r="C246" s="26"/>
      <c r="D246" s="26"/>
      <c r="E246" s="26"/>
      <c r="F246" s="26"/>
      <c r="G246" s="26"/>
      <c r="H246" s="26"/>
    </row>
    <row r="247" spans="1:8" ht="14.25" customHeight="1">
      <c r="A247" s="26"/>
      <c r="B247" s="26"/>
      <c r="C247" s="26"/>
      <c r="D247" s="26"/>
      <c r="E247" s="26"/>
      <c r="F247" s="26"/>
      <c r="G247" s="26"/>
      <c r="H247" s="26"/>
    </row>
    <row r="248" spans="1:8" ht="14.25" customHeight="1">
      <c r="A248" s="26"/>
      <c r="B248" s="26"/>
      <c r="C248" s="26"/>
      <c r="D248" s="26"/>
      <c r="E248" s="26"/>
      <c r="F248" s="26"/>
      <c r="G248" s="26"/>
      <c r="H248" s="26"/>
    </row>
    <row r="249" spans="1:8" ht="14.25" customHeight="1">
      <c r="A249" s="26"/>
      <c r="B249" s="26"/>
      <c r="C249" s="26"/>
      <c r="D249" s="26"/>
      <c r="E249" s="26"/>
      <c r="F249" s="26"/>
      <c r="G249" s="26"/>
      <c r="H249" s="26"/>
    </row>
    <row r="250" spans="1:8" ht="14.25" customHeight="1">
      <c r="A250" s="26"/>
      <c r="B250" s="26"/>
      <c r="C250" s="26"/>
      <c r="D250" s="26"/>
      <c r="E250" s="26"/>
      <c r="F250" s="26"/>
      <c r="G250" s="26"/>
      <c r="H250" s="26"/>
    </row>
  </sheetData>
  <mergeCells count="7">
    <mergeCell ref="A72:G72"/>
    <mergeCell ref="A89:H89"/>
    <mergeCell ref="A1:U1"/>
    <mergeCell ref="A3:U3"/>
    <mergeCell ref="A5:U5"/>
    <mergeCell ref="A28:E28"/>
    <mergeCell ref="A50:L5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29"/>
  <sheetViews>
    <sheetView showGridLines="0" workbookViewId="0"/>
  </sheetViews>
  <sheetFormatPr baseColWidth="10" defaultColWidth="9" defaultRowHeight="15"/>
  <cols>
    <col min="1" max="1" width="10" style="15" customWidth="1"/>
    <col min="2" max="2" width="18" style="15" customWidth="1"/>
    <col min="3" max="3" width="34" style="15" customWidth="1"/>
    <col min="4" max="6" width="16" style="15" customWidth="1"/>
    <col min="7" max="8" width="18" style="15" customWidth="1"/>
    <col min="9" max="9" width="20" style="15" customWidth="1"/>
    <col min="10" max="10" width="12" style="15" customWidth="1"/>
    <col min="11" max="11" width="16" style="15" customWidth="1"/>
    <col min="12" max="12" width="28" style="15" customWidth="1"/>
    <col min="13" max="13" width="32" style="15" customWidth="1"/>
  </cols>
  <sheetData>
    <row r="1" spans="1:13" ht="27.75" customHeight="1">
      <c r="A1" s="14" t="s">
        <v>871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3" ht="30" customHeight="1">
      <c r="A3" s="8" t="s">
        <v>872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1:13" ht="36" customHeight="1">
      <c r="A5" s="19" t="s">
        <v>873</v>
      </c>
      <c r="B5" s="19" t="s">
        <v>874</v>
      </c>
      <c r="C5" s="19" t="s">
        <v>433</v>
      </c>
      <c r="D5" s="19" t="s">
        <v>875</v>
      </c>
      <c r="E5" s="19" t="s">
        <v>876</v>
      </c>
      <c r="F5" s="19" t="s">
        <v>877</v>
      </c>
      <c r="G5" s="19" t="s">
        <v>878</v>
      </c>
      <c r="H5" s="19" t="s">
        <v>879</v>
      </c>
      <c r="I5" s="19" t="s">
        <v>880</v>
      </c>
      <c r="J5" s="19" t="s">
        <v>881</v>
      </c>
      <c r="K5" s="19" t="s">
        <v>12</v>
      </c>
      <c r="L5" s="19" t="s">
        <v>882</v>
      </c>
      <c r="M5" s="19" t="s">
        <v>98</v>
      </c>
    </row>
    <row r="6" spans="1:13" ht="14.25" customHeight="1">
      <c r="A6" s="26" t="s">
        <v>864</v>
      </c>
      <c r="B6" s="26" t="s">
        <v>14</v>
      </c>
      <c r="C6" s="26" t="s">
        <v>883</v>
      </c>
      <c r="D6" s="26" t="s">
        <v>884</v>
      </c>
      <c r="E6" s="26"/>
      <c r="F6" s="26"/>
      <c r="G6" s="26" t="s">
        <v>885</v>
      </c>
      <c r="H6" s="26" t="s">
        <v>886</v>
      </c>
      <c r="I6" s="28" t="str">
        <f>IF(D6&lt;&gt;"","VÁLIDO","VACÍO")</f>
        <v>VÁLIDO</v>
      </c>
      <c r="J6" s="28" t="str">
        <f t="shared" ref="J6:J37" si="0">IF(AND(ISNUMBER(G6),ISNUMBER(I6)),ABS(I6-G6),"")</f>
        <v/>
      </c>
      <c r="K6" s="29" t="str">
        <f>IF(I6="NO EVALUADA","NO EVALUADA",IF(LEFT(I6,6)="ERROR:","ERROR",IF(AND(ISNUMBER(G6),ISNUMBER(I6)),IF(J6&lt;=CONFIG!$B$48,"APROBADA","FALLIDA"),IF(G6=I6,"APROBADA","FALLIDA"))))</f>
        <v>APROBADA</v>
      </c>
      <c r="L6" s="26" t="s">
        <v>887</v>
      </c>
      <c r="M6" s="26"/>
    </row>
    <row r="7" spans="1:13" ht="14.25" customHeight="1">
      <c r="A7" s="26" t="s">
        <v>865</v>
      </c>
      <c r="B7" s="26" t="s">
        <v>14</v>
      </c>
      <c r="C7" s="26" t="s">
        <v>888</v>
      </c>
      <c r="D7" s="26"/>
      <c r="E7" s="26"/>
      <c r="F7" s="26"/>
      <c r="G7" s="26" t="s">
        <v>889</v>
      </c>
      <c r="H7" s="26" t="s">
        <v>886</v>
      </c>
      <c r="I7" s="28" t="str">
        <f>IF(D7="","VACÍO","VÁLIDO")</f>
        <v>VACÍO</v>
      </c>
      <c r="J7" s="28" t="str">
        <f t="shared" si="0"/>
        <v/>
      </c>
      <c r="K7" s="29" t="str">
        <f>IF(I7="NO EVALUADA","NO EVALUADA",IF(LEFT(I7,6)="ERROR:","ERROR",IF(AND(ISNUMBER(G7),ISNUMBER(I7)),IF(J7&lt;=CONFIG!$B$48,"APROBADA","FALLIDA"),IF(G7=I7,"APROBADA","FALLIDA"))))</f>
        <v>APROBADA</v>
      </c>
      <c r="L7" s="26" t="s">
        <v>887</v>
      </c>
      <c r="M7" s="26"/>
    </row>
    <row r="8" spans="1:13" ht="14.25" customHeight="1">
      <c r="A8" s="26" t="s">
        <v>866</v>
      </c>
      <c r="B8" s="26" t="s">
        <v>14</v>
      </c>
      <c r="C8" s="26" t="s">
        <v>890</v>
      </c>
      <c r="D8" s="26" t="s">
        <v>884</v>
      </c>
      <c r="E8" s="26" t="s">
        <v>884</v>
      </c>
      <c r="F8" s="26"/>
      <c r="G8" s="26" t="s">
        <v>891</v>
      </c>
      <c r="H8" s="26" t="s">
        <v>886</v>
      </c>
      <c r="I8" s="28" t="str">
        <f>IF(D8=E8,"DUPLICADO","ÚNICO")</f>
        <v>DUPLICADO</v>
      </c>
      <c r="J8" s="28" t="str">
        <f t="shared" si="0"/>
        <v/>
      </c>
      <c r="K8" s="29" t="str">
        <f>IF(I8="NO EVALUADA","NO EVALUADA",IF(LEFT(I8,6)="ERROR:","ERROR",IF(AND(ISNUMBER(G8),ISNUMBER(I8)),IF(J8&lt;=CONFIG!$B$48,"APROBADA","FALLIDA"),IF(G8=I8,"APROBADA","FALLIDA"))))</f>
        <v>APROBADA</v>
      </c>
      <c r="L8" s="26" t="s">
        <v>887</v>
      </c>
      <c r="M8" s="26"/>
    </row>
    <row r="9" spans="1:13" ht="14.25" customHeight="1">
      <c r="A9" s="26" t="s">
        <v>867</v>
      </c>
      <c r="B9" s="26" t="s">
        <v>14</v>
      </c>
      <c r="C9" s="26" t="s">
        <v>892</v>
      </c>
      <c r="D9" s="26">
        <v>32874</v>
      </c>
      <c r="E9" s="26">
        <v>46216</v>
      </c>
      <c r="F9" s="26"/>
      <c r="G9" s="26" t="s">
        <v>893</v>
      </c>
      <c r="H9" s="26" t="s">
        <v>886</v>
      </c>
      <c r="I9" s="28" t="str">
        <f>IF(D9&lt;=E9,"VÁLIDA","FUTURA")</f>
        <v>VÁLIDA</v>
      </c>
      <c r="J9" s="28" t="str">
        <f t="shared" si="0"/>
        <v/>
      </c>
      <c r="K9" s="29" t="str">
        <f>IF(I9="NO EVALUADA","NO EVALUADA",IF(LEFT(I9,6)="ERROR:","ERROR",IF(AND(ISNUMBER(G9),ISNUMBER(I9)),IF(J9&lt;=CONFIG!$B$48,"APROBADA","FALLIDA"),IF(G9=I9,"APROBADA","FALLIDA"))))</f>
        <v>APROBADA</v>
      </c>
      <c r="L9" s="26" t="s">
        <v>887</v>
      </c>
      <c r="M9" s="26"/>
    </row>
    <row r="10" spans="1:13" ht="14.25" customHeight="1">
      <c r="A10" s="26" t="s">
        <v>894</v>
      </c>
      <c r="B10" s="26" t="s">
        <v>14</v>
      </c>
      <c r="C10" s="26" t="s">
        <v>895</v>
      </c>
      <c r="D10" s="26">
        <v>46388</v>
      </c>
      <c r="E10" s="26">
        <v>46216</v>
      </c>
      <c r="F10" s="26"/>
      <c r="G10" s="26" t="s">
        <v>896</v>
      </c>
      <c r="H10" s="26" t="s">
        <v>886</v>
      </c>
      <c r="I10" s="28" t="str">
        <f>IF(D10&gt;E10,"FUTURA","VÁLIDA")</f>
        <v>FUTURA</v>
      </c>
      <c r="J10" s="28" t="str">
        <f t="shared" si="0"/>
        <v/>
      </c>
      <c r="K10" s="29" t="str">
        <f>IF(I10="NO EVALUADA","NO EVALUADA",IF(LEFT(I10,6)="ERROR:","ERROR",IF(AND(ISNUMBER(G10),ISNUMBER(I10)),IF(J10&lt;=CONFIG!$B$48,"APROBADA","FALLIDA"),IF(G10=I10,"APROBADA","FALLIDA"))))</f>
        <v>APROBADA</v>
      </c>
      <c r="L10" s="26" t="s">
        <v>887</v>
      </c>
      <c r="M10" s="26"/>
    </row>
    <row r="11" spans="1:13" ht="14.25" customHeight="1">
      <c r="A11" s="26" t="s">
        <v>897</v>
      </c>
      <c r="B11" s="26" t="s">
        <v>14</v>
      </c>
      <c r="C11" s="26" t="s">
        <v>898</v>
      </c>
      <c r="D11" s="26" t="s">
        <v>106</v>
      </c>
      <c r="E11" s="26">
        <v>46023</v>
      </c>
      <c r="F11" s="26"/>
      <c r="G11" s="26" t="s">
        <v>885</v>
      </c>
      <c r="H11" s="26" t="s">
        <v>886</v>
      </c>
      <c r="I11" s="28" t="str">
        <f>IF(AND(D11="Sí",ISNUMBER(E11)),"VÁLIDO","REVISAR")</f>
        <v>VÁLIDO</v>
      </c>
      <c r="J11" s="28" t="str">
        <f t="shared" si="0"/>
        <v/>
      </c>
      <c r="K11" s="29" t="str">
        <f>IF(I11="NO EVALUADA","NO EVALUADA",IF(LEFT(I11,6)="ERROR:","ERROR",IF(AND(ISNUMBER(G11),ISNUMBER(I11)),IF(J11&lt;=CONFIG!$B$48,"APROBADA","FALLIDA"),IF(G11=I11,"APROBADA","FALLIDA"))))</f>
        <v>APROBADA</v>
      </c>
      <c r="L11" s="26" t="s">
        <v>887</v>
      </c>
      <c r="M11" s="26"/>
    </row>
    <row r="12" spans="1:13" ht="14.25" customHeight="1">
      <c r="A12" s="26" t="s">
        <v>899</v>
      </c>
      <c r="B12" s="26" t="s">
        <v>14</v>
      </c>
      <c r="C12" s="26" t="s">
        <v>900</v>
      </c>
      <c r="D12" s="26" t="s">
        <v>106</v>
      </c>
      <c r="E12" s="26"/>
      <c r="F12" s="26"/>
      <c r="G12" s="26" t="s">
        <v>901</v>
      </c>
      <c r="H12" s="26" t="s">
        <v>886</v>
      </c>
      <c r="I12" s="28" t="str">
        <f>IF(AND(D12="Sí",E12=""),"FALTA FECHA","OK")</f>
        <v>FALTA FECHA</v>
      </c>
      <c r="J12" s="28" t="str">
        <f t="shared" si="0"/>
        <v/>
      </c>
      <c r="K12" s="29" t="str">
        <f>IF(I12="NO EVALUADA","NO EVALUADA",IF(LEFT(I12,6)="ERROR:","ERROR",IF(AND(ISNUMBER(G12),ISNUMBER(I12)),IF(J12&lt;=CONFIG!$B$48,"APROBADA","FALLIDA"),IF(G12=I12,"APROBADA","FALLIDA"))))</f>
        <v>APROBADA</v>
      </c>
      <c r="L12" s="26" t="s">
        <v>887</v>
      </c>
      <c r="M12" s="26"/>
    </row>
    <row r="13" spans="1:13" ht="14.25" customHeight="1">
      <c r="A13" s="26" t="s">
        <v>902</v>
      </c>
      <c r="B13" s="26" t="s">
        <v>14</v>
      </c>
      <c r="C13" s="26" t="s">
        <v>903</v>
      </c>
      <c r="D13" s="26" t="s">
        <v>123</v>
      </c>
      <c r="E13" s="26"/>
      <c r="F13" s="26"/>
      <c r="G13" s="26" t="s">
        <v>904</v>
      </c>
      <c r="H13" s="26" t="s">
        <v>886</v>
      </c>
      <c r="I13" s="28" t="str">
        <f>D13</f>
        <v>Revocado</v>
      </c>
      <c r="J13" s="28" t="str">
        <f t="shared" si="0"/>
        <v/>
      </c>
      <c r="K13" s="29" t="str">
        <f>IF(I13="NO EVALUADA","NO EVALUADA",IF(LEFT(I13,6)="ERROR:","ERROR",IF(AND(ISNUMBER(G13),ISNUMBER(I13)),IF(J13&lt;=CONFIG!$B$48,"APROBADA","FALLIDA"),IF(G13=I13,"APROBADA","FALLIDA"))))</f>
        <v>APROBADA</v>
      </c>
      <c r="L13" s="26" t="s">
        <v>887</v>
      </c>
      <c r="M13" s="26"/>
    </row>
    <row r="14" spans="1:13" ht="14.25" customHeight="1">
      <c r="A14" s="26" t="s">
        <v>905</v>
      </c>
      <c r="B14" s="26" t="s">
        <v>14</v>
      </c>
      <c r="C14" s="26" t="s">
        <v>906</v>
      </c>
      <c r="D14" s="26" t="s">
        <v>884</v>
      </c>
      <c r="E14" s="26"/>
      <c r="F14" s="26"/>
      <c r="G14" s="26" t="s">
        <v>885</v>
      </c>
      <c r="H14" s="26" t="s">
        <v>886</v>
      </c>
      <c r="I14" s="28" t="str">
        <f>IF(AND(D14&lt;&gt;"",E14=""),"VÁLIDO","REVISAR")</f>
        <v>VÁLIDO</v>
      </c>
      <c r="J14" s="28" t="str">
        <f t="shared" si="0"/>
        <v/>
      </c>
      <c r="K14" s="29" t="str">
        <f>IF(I14="NO EVALUADA","NO EVALUADA",IF(LEFT(I14,6)="ERROR:","ERROR",IF(AND(ISNUMBER(G14),ISNUMBER(I14)),IF(J14&lt;=CONFIG!$B$48,"APROBADA","FALLIDA"),IF(G14=I14,"APROBADA","FALLIDA"))))</f>
        <v>APROBADA</v>
      </c>
      <c r="L14" s="26" t="s">
        <v>887</v>
      </c>
      <c r="M14" s="26"/>
    </row>
    <row r="15" spans="1:13" ht="14.25" customHeight="1">
      <c r="A15" s="26" t="s">
        <v>907</v>
      </c>
      <c r="B15" s="26" t="s">
        <v>14</v>
      </c>
      <c r="C15" s="26" t="s">
        <v>908</v>
      </c>
      <c r="D15" s="26" t="s">
        <v>909</v>
      </c>
      <c r="E15" s="26"/>
      <c r="F15" s="26"/>
      <c r="G15" s="26" t="s">
        <v>910</v>
      </c>
      <c r="H15" s="26" t="s">
        <v>886</v>
      </c>
      <c r="I15" s="28" t="str">
        <f>IF(COUNTIF(CATALOGOS!$A$7:$A$11,D15)=0,"NO PERMITIDO","VÁLIDO")</f>
        <v>NO PERMITIDO</v>
      </c>
      <c r="J15" s="28" t="str">
        <f t="shared" si="0"/>
        <v/>
      </c>
      <c r="K15" s="29" t="str">
        <f>IF(I15="NO EVALUADA","NO EVALUADA",IF(LEFT(I15,6)="ERROR:","ERROR",IF(AND(ISNUMBER(G15),ISNUMBER(I15)),IF(J15&lt;=CONFIG!$B$48,"APROBADA","FALLIDA"),IF(G15=I15,"APROBADA","FALLIDA"))))</f>
        <v>APROBADA</v>
      </c>
      <c r="L15" s="26" t="s">
        <v>887</v>
      </c>
      <c r="M15" s="26"/>
    </row>
    <row r="16" spans="1:13" ht="14.25" customHeight="1">
      <c r="A16" s="26" t="s">
        <v>911</v>
      </c>
      <c r="B16" s="26" t="s">
        <v>15</v>
      </c>
      <c r="C16" s="26" t="s">
        <v>912</v>
      </c>
      <c r="D16" s="26" t="s">
        <v>913</v>
      </c>
      <c r="E16" s="26"/>
      <c r="F16" s="26"/>
      <c r="G16" s="26" t="s">
        <v>885</v>
      </c>
      <c r="H16" s="26" t="s">
        <v>886</v>
      </c>
      <c r="I16" s="28" t="str">
        <f>IF(D16&lt;&gt;"","VÁLIDO","VACÍO")</f>
        <v>VÁLIDO</v>
      </c>
      <c r="J16" s="28" t="str">
        <f t="shared" si="0"/>
        <v/>
      </c>
      <c r="K16" s="29" t="str">
        <f>IF(I16="NO EVALUADA","NO EVALUADA",IF(LEFT(I16,6)="ERROR:","ERROR",IF(AND(ISNUMBER(G16),ISNUMBER(I16)),IF(J16&lt;=CONFIG!$B$48,"APROBADA","FALLIDA"),IF(G16=I16,"APROBADA","FALLIDA"))))</f>
        <v>APROBADA</v>
      </c>
      <c r="L16" s="26" t="s">
        <v>887</v>
      </c>
      <c r="M16" s="26"/>
    </row>
    <row r="17" spans="1:13" ht="14.25" customHeight="1">
      <c r="A17" s="26" t="s">
        <v>914</v>
      </c>
      <c r="B17" s="26" t="s">
        <v>15</v>
      </c>
      <c r="C17" s="26" t="s">
        <v>915</v>
      </c>
      <c r="D17" s="26" t="s">
        <v>913</v>
      </c>
      <c r="E17" s="26" t="s">
        <v>913</v>
      </c>
      <c r="F17" s="26"/>
      <c r="G17" s="26" t="s">
        <v>891</v>
      </c>
      <c r="H17" s="26" t="s">
        <v>886</v>
      </c>
      <c r="I17" s="28" t="str">
        <f>IF(D17=E17,"DUPLICADO","ÚNICO")</f>
        <v>DUPLICADO</v>
      </c>
      <c r="J17" s="28" t="str">
        <f t="shared" si="0"/>
        <v/>
      </c>
      <c r="K17" s="29" t="str">
        <f>IF(I17="NO EVALUADA","NO EVALUADA",IF(LEFT(I17,6)="ERROR:","ERROR",IF(AND(ISNUMBER(G17),ISNUMBER(I17)),IF(J17&lt;=CONFIG!$B$48,"APROBADA","FALLIDA"),IF(G17=I17,"APROBADA","FALLIDA"))))</f>
        <v>APROBADA</v>
      </c>
      <c r="L17" s="26" t="s">
        <v>887</v>
      </c>
      <c r="M17" s="26"/>
    </row>
    <row r="18" spans="1:13" ht="14.25" customHeight="1">
      <c r="A18" s="26" t="s">
        <v>916</v>
      </c>
      <c r="B18" s="26" t="s">
        <v>15</v>
      </c>
      <c r="C18" s="26" t="s">
        <v>917</v>
      </c>
      <c r="D18" s="26" t="s">
        <v>100</v>
      </c>
      <c r="E18" s="26"/>
      <c r="F18" s="26"/>
      <c r="G18" s="26" t="s">
        <v>918</v>
      </c>
      <c r="H18" s="26" t="s">
        <v>886</v>
      </c>
      <c r="I18" s="28" t="str">
        <f>IF(COUNTIF(PACIENTES!$A$7:$A$1006,D18)=1,"EXISTE","NO EXISTE")</f>
        <v>EXISTE</v>
      </c>
      <c r="J18" s="28" t="str">
        <f t="shared" si="0"/>
        <v/>
      </c>
      <c r="K18" s="29" t="str">
        <f>IF(I18="NO EVALUADA","NO EVALUADA",IF(LEFT(I18,6)="ERROR:","ERROR",IF(AND(ISNUMBER(G18),ISNUMBER(I18)),IF(J18&lt;=CONFIG!$B$48,"APROBADA","FALLIDA"),IF(G18=I18,"APROBADA","FALLIDA"))))</f>
        <v>APROBADA</v>
      </c>
      <c r="L18" s="26" t="s">
        <v>887</v>
      </c>
      <c r="M18" s="26"/>
    </row>
    <row r="19" spans="1:13" ht="14.25" customHeight="1">
      <c r="A19" s="26" t="s">
        <v>919</v>
      </c>
      <c r="B19" s="26" t="s">
        <v>15</v>
      </c>
      <c r="C19" s="26" t="s">
        <v>920</v>
      </c>
      <c r="D19" s="26" t="s">
        <v>921</v>
      </c>
      <c r="E19" s="26"/>
      <c r="F19" s="26"/>
      <c r="G19" s="26" t="s">
        <v>922</v>
      </c>
      <c r="H19" s="26" t="s">
        <v>886</v>
      </c>
      <c r="I19" s="28" t="str">
        <f>IF(COUNTIF(PACIENTES!$A$7:$A$1006,D19)=0,"NO EXISTE","EXISTE")</f>
        <v>NO EXISTE</v>
      </c>
      <c r="J19" s="28" t="str">
        <f t="shared" si="0"/>
        <v/>
      </c>
      <c r="K19" s="29" t="str">
        <f>IF(I19="NO EVALUADA","NO EVALUADA",IF(LEFT(I19,6)="ERROR:","ERROR",IF(AND(ISNUMBER(G19),ISNUMBER(I19)),IF(J19&lt;=CONFIG!$B$48,"APROBADA","FALLIDA"),IF(G19=I19,"APROBADA","FALLIDA"))))</f>
        <v>APROBADA</v>
      </c>
      <c r="L19" s="26" t="s">
        <v>887</v>
      </c>
      <c r="M19" s="26"/>
    </row>
    <row r="20" spans="1:13" ht="14.25" customHeight="1">
      <c r="A20" s="26" t="s">
        <v>923</v>
      </c>
      <c r="B20" s="26" t="s">
        <v>15</v>
      </c>
      <c r="C20" s="26" t="s">
        <v>924</v>
      </c>
      <c r="D20" s="26">
        <v>46023</v>
      </c>
      <c r="E20" s="26">
        <v>46216</v>
      </c>
      <c r="F20" s="26"/>
      <c r="G20" s="26" t="s">
        <v>893</v>
      </c>
      <c r="H20" s="26" t="s">
        <v>886</v>
      </c>
      <c r="I20" s="28" t="str">
        <f>IF(D20&lt;=E20,"VÁLIDA","FUTURA")</f>
        <v>VÁLIDA</v>
      </c>
      <c r="J20" s="28" t="str">
        <f t="shared" si="0"/>
        <v/>
      </c>
      <c r="K20" s="29" t="str">
        <f>IF(I20="NO EVALUADA","NO EVALUADA",IF(LEFT(I20,6)="ERROR:","ERROR",IF(AND(ISNUMBER(G20),ISNUMBER(I20)),IF(J20&lt;=CONFIG!$B$48,"APROBADA","FALLIDA"),IF(G20=I20,"APROBADA","FALLIDA"))))</f>
        <v>APROBADA</v>
      </c>
      <c r="L20" s="26" t="s">
        <v>887</v>
      </c>
      <c r="M20" s="26"/>
    </row>
    <row r="21" spans="1:13" ht="14.25" customHeight="1">
      <c r="A21" s="26" t="s">
        <v>925</v>
      </c>
      <c r="B21" s="26" t="s">
        <v>15</v>
      </c>
      <c r="C21" s="26" t="s">
        <v>926</v>
      </c>
      <c r="D21" s="26">
        <v>46388</v>
      </c>
      <c r="E21" s="26">
        <v>46216</v>
      </c>
      <c r="F21" s="26"/>
      <c r="G21" s="26" t="s">
        <v>896</v>
      </c>
      <c r="H21" s="26" t="s">
        <v>886</v>
      </c>
      <c r="I21" s="28" t="str">
        <f>IF(D21&gt;E21,"FUTURA","VÁLIDA")</f>
        <v>FUTURA</v>
      </c>
      <c r="J21" s="28" t="str">
        <f t="shared" si="0"/>
        <v/>
      </c>
      <c r="K21" s="29" t="str">
        <f>IF(I21="NO EVALUADA","NO EVALUADA",IF(LEFT(I21,6)="ERROR:","ERROR",IF(AND(ISNUMBER(G21),ISNUMBER(I21)),IF(J21&lt;=CONFIG!$B$48,"APROBADA","FALLIDA"),IF(G21=I21,"APROBADA","FALLIDA"))))</f>
        <v>APROBADA</v>
      </c>
      <c r="L21" s="26" t="s">
        <v>887</v>
      </c>
      <c r="M21" s="26"/>
    </row>
    <row r="22" spans="1:13" ht="14.25" customHeight="1">
      <c r="A22" s="26" t="s">
        <v>927</v>
      </c>
      <c r="B22" s="26" t="s">
        <v>15</v>
      </c>
      <c r="C22" s="26" t="s">
        <v>928</v>
      </c>
      <c r="D22" s="26" t="s">
        <v>162</v>
      </c>
      <c r="E22" s="26"/>
      <c r="F22" s="26"/>
      <c r="G22" s="26" t="s">
        <v>162</v>
      </c>
      <c r="H22" s="26" t="s">
        <v>886</v>
      </c>
      <c r="I22" s="28" t="str">
        <f>D22</f>
        <v>Borrador</v>
      </c>
      <c r="J22" s="28" t="str">
        <f t="shared" si="0"/>
        <v/>
      </c>
      <c r="K22" s="29" t="str">
        <f>IF(I22="NO EVALUADA","NO EVALUADA",IF(LEFT(I22,6)="ERROR:","ERROR",IF(AND(ISNUMBER(G22),ISNUMBER(I22)),IF(J22&lt;=CONFIG!$B$48,"APROBADA","FALLIDA"),IF(G22=I22,"APROBADA","FALLIDA"))))</f>
        <v>APROBADA</v>
      </c>
      <c r="L22" s="26" t="s">
        <v>887</v>
      </c>
      <c r="M22" s="26"/>
    </row>
    <row r="23" spans="1:13" ht="14.25" customHeight="1">
      <c r="A23" s="26" t="s">
        <v>929</v>
      </c>
      <c r="B23" s="26" t="s">
        <v>15</v>
      </c>
      <c r="C23" s="26" t="s">
        <v>930</v>
      </c>
      <c r="D23" s="26" t="s">
        <v>637</v>
      </c>
      <c r="E23" s="26"/>
      <c r="F23" s="26"/>
      <c r="G23" s="26" t="s">
        <v>637</v>
      </c>
      <c r="H23" s="26" t="s">
        <v>886</v>
      </c>
      <c r="I23" s="28" t="str">
        <f>D23</f>
        <v>Cerrado</v>
      </c>
      <c r="J23" s="28" t="str">
        <f t="shared" si="0"/>
        <v/>
      </c>
      <c r="K23" s="29" t="str">
        <f>IF(I23="NO EVALUADA","NO EVALUADA",IF(LEFT(I23,6)="ERROR:","ERROR",IF(AND(ISNUMBER(G23),ISNUMBER(I23)),IF(J23&lt;=CONFIG!$B$48,"APROBADA","FALLIDA"),IF(G23=I23,"APROBADA","FALLIDA"))))</f>
        <v>APROBADA</v>
      </c>
      <c r="L23" s="26" t="s">
        <v>887</v>
      </c>
      <c r="M23" s="26"/>
    </row>
    <row r="24" spans="1:13" ht="14.25" customHeight="1">
      <c r="A24" s="26" t="s">
        <v>931</v>
      </c>
      <c r="B24" s="26" t="s">
        <v>15</v>
      </c>
      <c r="C24" s="26" t="s">
        <v>932</v>
      </c>
      <c r="D24" s="26"/>
      <c r="E24" s="26"/>
      <c r="F24" s="26"/>
      <c r="G24" s="26" t="s">
        <v>933</v>
      </c>
      <c r="H24" s="26" t="s">
        <v>886</v>
      </c>
      <c r="I24" s="28" t="str">
        <f>IF(D24="","ADVERTENCIA","OK")</f>
        <v>ADVERTENCIA</v>
      </c>
      <c r="J24" s="28" t="str">
        <f t="shared" si="0"/>
        <v/>
      </c>
      <c r="K24" s="29" t="str">
        <f>IF(I24="NO EVALUADA","NO EVALUADA",IF(LEFT(I24,6)="ERROR:","ERROR",IF(AND(ISNUMBER(G24),ISNUMBER(I24)),IF(J24&lt;=CONFIG!$B$48,"APROBADA","FALLIDA"),IF(G24=I24,"APROBADA","FALLIDA"))))</f>
        <v>APROBADA</v>
      </c>
      <c r="L24" s="26" t="s">
        <v>887</v>
      </c>
      <c r="M24" s="26"/>
    </row>
    <row r="25" spans="1:13" ht="14.25" customHeight="1">
      <c r="A25" s="26" t="s">
        <v>934</v>
      </c>
      <c r="B25" s="26" t="s">
        <v>15</v>
      </c>
      <c r="C25" s="26" t="s">
        <v>935</v>
      </c>
      <c r="D25" s="26" t="s">
        <v>646</v>
      </c>
      <c r="E25" s="26"/>
      <c r="F25" s="26"/>
      <c r="G25" s="26" t="s">
        <v>936</v>
      </c>
      <c r="H25" s="26" t="s">
        <v>886</v>
      </c>
      <c r="I25" s="28" t="str">
        <f>IF(D25="Anulado","CONSERVADA","REVISAR")</f>
        <v>CONSERVADA</v>
      </c>
      <c r="J25" s="28" t="str">
        <f t="shared" si="0"/>
        <v/>
      </c>
      <c r="K25" s="29" t="str">
        <f>IF(I25="NO EVALUADA","NO EVALUADA",IF(LEFT(I25,6)="ERROR:","ERROR",IF(AND(ISNUMBER(G25),ISNUMBER(I25)),IF(J25&lt;=CONFIG!$B$48,"APROBADA","FALLIDA"),IF(G25=I25,"APROBADA","FALLIDA"))))</f>
        <v>APROBADA</v>
      </c>
      <c r="L25" s="26" t="s">
        <v>887</v>
      </c>
      <c r="M25" s="26"/>
    </row>
    <row r="26" spans="1:13" ht="14.25" customHeight="1">
      <c r="A26" s="26" t="s">
        <v>937</v>
      </c>
      <c r="B26" s="26" t="s">
        <v>510</v>
      </c>
      <c r="C26" s="26" t="s">
        <v>938</v>
      </c>
      <c r="D26" s="26">
        <v>80</v>
      </c>
      <c r="E26" s="26">
        <v>180</v>
      </c>
      <c r="F26" s="26"/>
      <c r="G26" s="26">
        <v>24.6913580246914</v>
      </c>
      <c r="H26" s="26" t="s">
        <v>886</v>
      </c>
      <c r="I26" s="28">
        <f>D26/((E26/100)^2)</f>
        <v>24.691358024691358</v>
      </c>
      <c r="J26" s="28">
        <f t="shared" si="0"/>
        <v>4.2632564145606011E-14</v>
      </c>
      <c r="K26" s="29" t="str">
        <f>IF(I26="NO EVALUADA","NO EVALUADA",IF(LEFT(I26,6)="ERROR:","ERROR",IF(AND(ISNUMBER(G26),ISNUMBER(I26)),IF(J26&lt;=CONFIG!$B$48,"APROBADA","FALLIDA"),IF(G26=I26,"APROBADA","FALLIDA"))))</f>
        <v>APROBADA</v>
      </c>
      <c r="L26" s="26" t="s">
        <v>887</v>
      </c>
      <c r="M26" s="26"/>
    </row>
    <row r="27" spans="1:13" ht="14.25" customHeight="1">
      <c r="A27" s="26" t="s">
        <v>939</v>
      </c>
      <c r="B27" s="26" t="s">
        <v>510</v>
      </c>
      <c r="C27" s="26" t="s">
        <v>940</v>
      </c>
      <c r="D27" s="26"/>
      <c r="E27" s="26">
        <v>180</v>
      </c>
      <c r="F27" s="26"/>
      <c r="G27" s="26" t="s">
        <v>889</v>
      </c>
      <c r="H27" s="26" t="s">
        <v>886</v>
      </c>
      <c r="I27" s="28" t="str">
        <f>IF(D27="","VACÍO","CALCULAR")</f>
        <v>VACÍO</v>
      </c>
      <c r="J27" s="28" t="str">
        <f t="shared" si="0"/>
        <v/>
      </c>
      <c r="K27" s="29" t="str">
        <f>IF(I27="NO EVALUADA","NO EVALUADA",IF(LEFT(I27,6)="ERROR:","ERROR",IF(AND(ISNUMBER(G27),ISNUMBER(I27)),IF(J27&lt;=CONFIG!$B$48,"APROBADA","FALLIDA"),IF(G27=I27,"APROBADA","FALLIDA"))))</f>
        <v>APROBADA</v>
      </c>
      <c r="L27" s="26" t="s">
        <v>887</v>
      </c>
      <c r="M27" s="26"/>
    </row>
    <row r="28" spans="1:13" ht="14.25" customHeight="1">
      <c r="A28" s="26" t="s">
        <v>941</v>
      </c>
      <c r="B28" s="26" t="s">
        <v>510</v>
      </c>
      <c r="C28" s="26" t="s">
        <v>942</v>
      </c>
      <c r="D28" s="26">
        <v>80</v>
      </c>
      <c r="E28" s="26"/>
      <c r="F28" s="26"/>
      <c r="G28" s="26" t="s">
        <v>889</v>
      </c>
      <c r="H28" s="26" t="s">
        <v>886</v>
      </c>
      <c r="I28" s="28" t="str">
        <f>IF(E28="","VACÍO","CALCULAR")</f>
        <v>VACÍO</v>
      </c>
      <c r="J28" s="28" t="str">
        <f t="shared" si="0"/>
        <v/>
      </c>
      <c r="K28" s="29" t="str">
        <f>IF(I28="NO EVALUADA","NO EVALUADA",IF(LEFT(I28,6)="ERROR:","ERROR",IF(AND(ISNUMBER(G28),ISNUMBER(I28)),IF(J28&lt;=CONFIG!$B$48,"APROBADA","FALLIDA"),IF(G28=I28,"APROBADA","FALLIDA"))))</f>
        <v>APROBADA</v>
      </c>
      <c r="L28" s="26" t="s">
        <v>887</v>
      </c>
      <c r="M28" s="26"/>
    </row>
    <row r="29" spans="1:13" ht="14.25" customHeight="1">
      <c r="A29" s="26" t="s">
        <v>943</v>
      </c>
      <c r="B29" s="26" t="s">
        <v>510</v>
      </c>
      <c r="C29" s="26" t="s">
        <v>944</v>
      </c>
      <c r="D29" s="26">
        <v>-80</v>
      </c>
      <c r="E29" s="26">
        <v>180</v>
      </c>
      <c r="F29" s="26"/>
      <c r="G29" s="26" t="s">
        <v>945</v>
      </c>
      <c r="H29" s="26" t="s">
        <v>886</v>
      </c>
      <c r="I29" s="28" t="str">
        <f>IF(D29&lt;0,"IMPOSIBLE","OK")</f>
        <v>IMPOSIBLE</v>
      </c>
      <c r="J29" s="28" t="str">
        <f t="shared" si="0"/>
        <v/>
      </c>
      <c r="K29" s="29" t="str">
        <f>IF(I29="NO EVALUADA","NO EVALUADA",IF(LEFT(I29,6)="ERROR:","ERROR",IF(AND(ISNUMBER(G29),ISNUMBER(I29)),IF(J29&lt;=CONFIG!$B$48,"APROBADA","FALLIDA"),IF(G29=I29,"APROBADA","FALLIDA"))))</f>
        <v>APROBADA</v>
      </c>
      <c r="L29" s="26" t="s">
        <v>887</v>
      </c>
      <c r="M29" s="26"/>
    </row>
    <row r="30" spans="1:13" ht="14.25" customHeight="1">
      <c r="A30" s="26" t="s">
        <v>946</v>
      </c>
      <c r="B30" s="26" t="s">
        <v>510</v>
      </c>
      <c r="C30" s="26" t="s">
        <v>947</v>
      </c>
      <c r="D30" s="26">
        <v>80</v>
      </c>
      <c r="E30" s="26">
        <v>0</v>
      </c>
      <c r="F30" s="26"/>
      <c r="G30" s="26" t="s">
        <v>945</v>
      </c>
      <c r="H30" s="26" t="s">
        <v>886</v>
      </c>
      <c r="I30" s="28" t="str">
        <f>IF(E30=0,"IMPOSIBLE","OK")</f>
        <v>IMPOSIBLE</v>
      </c>
      <c r="J30" s="29" t="str">
        <f t="shared" si="0"/>
        <v/>
      </c>
      <c r="K30" s="29" t="str">
        <f>IF(I30="NO EVALUADA","NO EVALUADA",IF(LEFT(I30,6)="ERROR:","ERROR",IF(AND(ISNUMBER(G30),ISNUMBER(I30)),IF(J30&lt;=CONFIG!$B$48,"APROBADA","FALLIDA"),IF(G30=I30,"APROBADA","FALLIDA"))))</f>
        <v>APROBADA</v>
      </c>
      <c r="L30" s="26" t="s">
        <v>887</v>
      </c>
      <c r="M30" s="26"/>
    </row>
    <row r="31" spans="1:13" ht="14.25" customHeight="1">
      <c r="A31" s="26" t="s">
        <v>948</v>
      </c>
      <c r="B31" s="26" t="s">
        <v>510</v>
      </c>
      <c r="C31" s="26" t="s">
        <v>213</v>
      </c>
      <c r="D31" s="26">
        <v>90</v>
      </c>
      <c r="E31" s="26">
        <v>180</v>
      </c>
      <c r="F31" s="26"/>
      <c r="G31" s="26">
        <v>0.5</v>
      </c>
      <c r="H31" s="26" t="s">
        <v>886</v>
      </c>
      <c r="I31" s="29">
        <f>D31/E31</f>
        <v>0.5</v>
      </c>
      <c r="J31" s="29">
        <f t="shared" si="0"/>
        <v>0</v>
      </c>
      <c r="K31" s="29" t="str">
        <f>IF(I31="NO EVALUADA","NO EVALUADA",IF(LEFT(I31,6)="ERROR:","ERROR",IF(AND(ISNUMBER(G31),ISNUMBER(I31)),IF(J31&lt;=CONFIG!$B$48,"APROBADA","FALLIDA"),IF(G31=I31,"APROBADA","FALLIDA"))))</f>
        <v>APROBADA</v>
      </c>
      <c r="L31" s="26" t="s">
        <v>887</v>
      </c>
      <c r="M31" s="26"/>
    </row>
    <row r="32" spans="1:13" ht="14.25" customHeight="1">
      <c r="A32" s="26" t="s">
        <v>949</v>
      </c>
      <c r="B32" s="26" t="s">
        <v>510</v>
      </c>
      <c r="C32" s="26" t="s">
        <v>214</v>
      </c>
      <c r="D32" s="26">
        <v>90</v>
      </c>
      <c r="E32" s="26">
        <v>100</v>
      </c>
      <c r="F32" s="26"/>
      <c r="G32" s="26">
        <v>0.9</v>
      </c>
      <c r="H32" s="26" t="s">
        <v>886</v>
      </c>
      <c r="I32" s="29">
        <f>D32/E32</f>
        <v>0.9</v>
      </c>
      <c r="J32" s="29">
        <f t="shared" si="0"/>
        <v>0</v>
      </c>
      <c r="K32" s="29" t="str">
        <f>IF(I32="NO EVALUADA","NO EVALUADA",IF(LEFT(I32,6)="ERROR:","ERROR",IF(AND(ISNUMBER(G32),ISNUMBER(I32)),IF(J32&lt;=CONFIG!$B$48,"APROBADA","FALLIDA"),IF(G32=I32,"APROBADA","FALLIDA"))))</f>
        <v>APROBADA</v>
      </c>
      <c r="L32" s="26" t="s">
        <v>887</v>
      </c>
      <c r="M32" s="26"/>
    </row>
    <row r="33" spans="1:13" ht="14.25" customHeight="1">
      <c r="A33" s="26" t="s">
        <v>950</v>
      </c>
      <c r="B33" s="26" t="s">
        <v>510</v>
      </c>
      <c r="C33" s="26" t="s">
        <v>951</v>
      </c>
      <c r="D33" s="26">
        <v>80</v>
      </c>
      <c r="E33" s="26">
        <v>25</v>
      </c>
      <c r="F33" s="26"/>
      <c r="G33" s="26">
        <v>20</v>
      </c>
      <c r="H33" s="26" t="s">
        <v>886</v>
      </c>
      <c r="I33" s="29">
        <f>D33*E33/100</f>
        <v>20</v>
      </c>
      <c r="J33" s="29">
        <f t="shared" si="0"/>
        <v>0</v>
      </c>
      <c r="K33" s="29" t="str">
        <f>IF(I33="NO EVALUADA","NO EVALUADA",IF(LEFT(I33,6)="ERROR:","ERROR",IF(AND(ISNUMBER(G33),ISNUMBER(I33)),IF(J33&lt;=CONFIG!$B$48,"APROBADA","FALLIDA"),IF(G33=I33,"APROBADA","FALLIDA"))))</f>
        <v>APROBADA</v>
      </c>
      <c r="L33" s="26" t="s">
        <v>887</v>
      </c>
      <c r="M33" s="26"/>
    </row>
    <row r="34" spans="1:13" ht="14.25" customHeight="1">
      <c r="A34" s="26" t="s">
        <v>952</v>
      </c>
      <c r="B34" s="26" t="s">
        <v>510</v>
      </c>
      <c r="C34" s="26" t="s">
        <v>953</v>
      </c>
      <c r="D34" s="26">
        <v>80</v>
      </c>
      <c r="E34" s="26">
        <v>25</v>
      </c>
      <c r="F34" s="26"/>
      <c r="G34" s="26">
        <v>60</v>
      </c>
      <c r="H34" s="26" t="s">
        <v>886</v>
      </c>
      <c r="I34" s="29">
        <f>D34-D34*E34/100</f>
        <v>60</v>
      </c>
      <c r="J34" s="29">
        <f t="shared" si="0"/>
        <v>0</v>
      </c>
      <c r="K34" s="29" t="str">
        <f>IF(I34="NO EVALUADA","NO EVALUADA",IF(LEFT(I34,6)="ERROR:","ERROR",IF(AND(ISNUMBER(G34),ISNUMBER(I34)),IF(J34&lt;=CONFIG!$B$48,"APROBADA","FALLIDA"),IF(G34=I34,"APROBADA","FALLIDA"))))</f>
        <v>APROBADA</v>
      </c>
      <c r="L34" s="26" t="s">
        <v>887</v>
      </c>
      <c r="M34" s="26"/>
    </row>
    <row r="35" spans="1:13" ht="14.25" customHeight="1">
      <c r="A35" s="26" t="s">
        <v>954</v>
      </c>
      <c r="B35" s="26" t="s">
        <v>510</v>
      </c>
      <c r="C35" s="26" t="s">
        <v>955</v>
      </c>
      <c r="D35" s="26">
        <v>80</v>
      </c>
      <c r="E35" s="26"/>
      <c r="F35" s="26"/>
      <c r="G35" s="26" t="s">
        <v>889</v>
      </c>
      <c r="H35" s="26" t="s">
        <v>886</v>
      </c>
      <c r="I35" s="29" t="str">
        <f>IF(E35="","VACÍO","CALCULAR")</f>
        <v>VACÍO</v>
      </c>
      <c r="J35" s="29" t="str">
        <f t="shared" si="0"/>
        <v/>
      </c>
      <c r="K35" s="29" t="str">
        <f>IF(I35="NO EVALUADA","NO EVALUADA",IF(LEFT(I35,6)="ERROR:","ERROR",IF(AND(ISNUMBER(G35),ISNUMBER(I35)),IF(J35&lt;=CONFIG!$B$48,"APROBADA","FALLIDA"),IF(G35=I35,"APROBADA","FALLIDA"))))</f>
        <v>APROBADA</v>
      </c>
      <c r="L35" s="26" t="s">
        <v>887</v>
      </c>
      <c r="M35" s="26"/>
    </row>
    <row r="36" spans="1:13" ht="14.25" customHeight="1">
      <c r="A36" s="26" t="s">
        <v>956</v>
      </c>
      <c r="B36" s="26" t="s">
        <v>510</v>
      </c>
      <c r="C36" s="26" t="s">
        <v>957</v>
      </c>
      <c r="D36" s="26">
        <v>80</v>
      </c>
      <c r="E36" s="26">
        <v>101</v>
      </c>
      <c r="F36" s="26"/>
      <c r="G36" s="26" t="s">
        <v>945</v>
      </c>
      <c r="H36" s="26" t="s">
        <v>886</v>
      </c>
      <c r="I36" s="29" t="str">
        <f>IF(OR(E36&lt;0,E36&gt;100),"IMPOSIBLE","OK")</f>
        <v>IMPOSIBLE</v>
      </c>
      <c r="J36" s="29" t="str">
        <f t="shared" si="0"/>
        <v/>
      </c>
      <c r="K36" s="29" t="str">
        <f>IF(I36="NO EVALUADA","NO EVALUADA",IF(LEFT(I36,6)="ERROR:","ERROR",IF(AND(ISNUMBER(G36),ISNUMBER(I36)),IF(J36&lt;=CONFIG!$B$48,"APROBADA","FALLIDA"),IF(G36=I36,"APROBADA","FALLIDA"))))</f>
        <v>APROBADA</v>
      </c>
      <c r="L36" s="26" t="s">
        <v>887</v>
      </c>
      <c r="M36" s="26"/>
    </row>
    <row r="37" spans="1:13" ht="14.25" customHeight="1">
      <c r="A37" s="26" t="s">
        <v>958</v>
      </c>
      <c r="B37" s="26" t="s">
        <v>510</v>
      </c>
      <c r="C37" s="26" t="s">
        <v>959</v>
      </c>
      <c r="D37" s="26">
        <v>80</v>
      </c>
      <c r="E37" s="26">
        <v>76</v>
      </c>
      <c r="F37" s="26"/>
      <c r="G37" s="26">
        <v>-0.05</v>
      </c>
      <c r="H37" s="26" t="s">
        <v>886</v>
      </c>
      <c r="I37" s="29">
        <f>(E37-D37)/D37</f>
        <v>-0.05</v>
      </c>
      <c r="J37" s="29">
        <f t="shared" si="0"/>
        <v>0</v>
      </c>
      <c r="K37" s="29" t="str">
        <f>IF(I37="NO EVALUADA","NO EVALUADA",IF(LEFT(I37,6)="ERROR:","ERROR",IF(AND(ISNUMBER(G37),ISNUMBER(I37)),IF(J37&lt;=CONFIG!$B$48,"APROBADA","FALLIDA"),IF(G37=I37,"APROBADA","FALLIDA"))))</f>
        <v>APROBADA</v>
      </c>
      <c r="L37" s="26" t="s">
        <v>887</v>
      </c>
      <c r="M37" s="26"/>
    </row>
    <row r="38" spans="1:13" ht="14.25" customHeight="1">
      <c r="A38" s="26" t="s">
        <v>960</v>
      </c>
      <c r="B38" s="26" t="s">
        <v>510</v>
      </c>
      <c r="C38" s="26" t="s">
        <v>961</v>
      </c>
      <c r="D38" s="26">
        <v>0</v>
      </c>
      <c r="E38" s="26">
        <v>76</v>
      </c>
      <c r="F38" s="26"/>
      <c r="G38" s="26" t="s">
        <v>962</v>
      </c>
      <c r="H38" s="26" t="s">
        <v>886</v>
      </c>
      <c r="I38" s="29" t="str">
        <f>IF(D38=0,"NO EVALUABLE","CALCULAR")</f>
        <v>NO EVALUABLE</v>
      </c>
      <c r="J38" s="29" t="str">
        <f t="shared" ref="J38:J69" si="1">IF(AND(ISNUMBER(G38),ISNUMBER(I38)),ABS(I38-G38),"")</f>
        <v/>
      </c>
      <c r="K38" s="29" t="str">
        <f>IF(I38="NO EVALUADA","NO EVALUADA",IF(LEFT(I38,6)="ERROR:","ERROR",IF(AND(ISNUMBER(G38),ISNUMBER(I38)),IF(J38&lt;=CONFIG!$B$48,"APROBADA","FALLIDA"),IF(G38=I38,"APROBADA","FALLIDA"))))</f>
        <v>APROBADA</v>
      </c>
      <c r="L38" s="26" t="s">
        <v>887</v>
      </c>
      <c r="M38" s="26"/>
    </row>
    <row r="39" spans="1:13" ht="14.25" customHeight="1">
      <c r="A39" s="26" t="s">
        <v>963</v>
      </c>
      <c r="B39" s="26" t="s">
        <v>510</v>
      </c>
      <c r="C39" s="26" t="s">
        <v>964</v>
      </c>
      <c r="D39" s="26" t="s">
        <v>106</v>
      </c>
      <c r="E39" s="26"/>
      <c r="F39" s="26"/>
      <c r="G39" s="26" t="s">
        <v>933</v>
      </c>
      <c r="H39" s="26" t="s">
        <v>886</v>
      </c>
      <c r="I39" s="29" t="str">
        <f>IF(D39="Sí","ADVERTENCIA","OK")</f>
        <v>ADVERTENCIA</v>
      </c>
      <c r="J39" s="29" t="str">
        <f t="shared" si="1"/>
        <v/>
      </c>
      <c r="K39" s="29" t="str">
        <f>IF(I39="NO EVALUADA","NO EVALUADA",IF(LEFT(I39,6)="ERROR:","ERROR",IF(AND(ISNUMBER(G39),ISNUMBER(I39)),IF(J39&lt;=CONFIG!$B$48,"APROBADA","FALLIDA"),IF(G39=I39,"APROBADA","FALLIDA"))))</f>
        <v>APROBADA</v>
      </c>
      <c r="L39" s="26" t="s">
        <v>887</v>
      </c>
      <c r="M39" s="26"/>
    </row>
    <row r="40" spans="1:13" ht="14.25" customHeight="1">
      <c r="A40" s="26" t="s">
        <v>965</v>
      </c>
      <c r="B40" s="26" t="s">
        <v>510</v>
      </c>
      <c r="C40" s="26" t="s">
        <v>966</v>
      </c>
      <c r="D40" s="26">
        <v>500</v>
      </c>
      <c r="E40" s="26">
        <v>180</v>
      </c>
      <c r="F40" s="26"/>
      <c r="G40" s="26" t="s">
        <v>933</v>
      </c>
      <c r="H40" s="26" t="s">
        <v>886</v>
      </c>
      <c r="I40" s="29" t="str">
        <f>IF(OR(D40&lt;CONFIG!$B$38,D40&gt;CONFIG!$B$39),"ADVERTENCIA","OK")</f>
        <v>ADVERTENCIA</v>
      </c>
      <c r="J40" s="29" t="str">
        <f t="shared" si="1"/>
        <v/>
      </c>
      <c r="K40" s="29" t="str">
        <f>IF(I40="NO EVALUADA","NO EVALUADA",IF(LEFT(I40,6)="ERROR:","ERROR",IF(AND(ISNUMBER(G40),ISNUMBER(I40)),IF(J40&lt;=CONFIG!$B$48,"APROBADA","FALLIDA"),IF(G40=I40,"APROBADA","FALLIDA"))))</f>
        <v>APROBADA</v>
      </c>
      <c r="L40" s="26" t="s">
        <v>887</v>
      </c>
      <c r="M40" s="26"/>
    </row>
    <row r="41" spans="1:13" ht="14.25" customHeight="1">
      <c r="A41" s="26" t="s">
        <v>967</v>
      </c>
      <c r="B41" s="26" t="s">
        <v>968</v>
      </c>
      <c r="C41" s="26" t="s">
        <v>621</v>
      </c>
      <c r="D41" s="26">
        <v>100</v>
      </c>
      <c r="E41" s="26">
        <v>70</v>
      </c>
      <c r="F41" s="26">
        <v>110</v>
      </c>
      <c r="G41" s="26" t="s">
        <v>621</v>
      </c>
      <c r="H41" s="26" t="s">
        <v>886</v>
      </c>
      <c r="I41" s="29" t="str">
        <f>IF(D41&lt;E41,"Bajo",IF(D41&gt;F41,"Alto","Dentro de rango"))</f>
        <v>Dentro de rango</v>
      </c>
      <c r="J41" s="29" t="str">
        <f t="shared" si="1"/>
        <v/>
      </c>
      <c r="K41" s="29" t="str">
        <f>IF(I41="NO EVALUADA","NO EVALUADA",IF(LEFT(I41,6)="ERROR:","ERROR",IF(AND(ISNUMBER(G41),ISNUMBER(I41)),IF(J41&lt;=CONFIG!$B$48,"APROBADA","FALLIDA"),IF(G41=I41,"APROBADA","FALLIDA"))))</f>
        <v>APROBADA</v>
      </c>
      <c r="L41" s="26" t="s">
        <v>887</v>
      </c>
      <c r="M41" s="26"/>
    </row>
    <row r="42" spans="1:13" ht="14.25" customHeight="1">
      <c r="A42" s="26" t="s">
        <v>969</v>
      </c>
      <c r="B42" s="26" t="s">
        <v>968</v>
      </c>
      <c r="C42" s="26" t="s">
        <v>970</v>
      </c>
      <c r="D42" s="26">
        <v>60</v>
      </c>
      <c r="E42" s="26">
        <v>70</v>
      </c>
      <c r="F42" s="26">
        <v>110</v>
      </c>
      <c r="G42" s="26" t="s">
        <v>618</v>
      </c>
      <c r="H42" s="26" t="s">
        <v>886</v>
      </c>
      <c r="I42" s="29" t="str">
        <f>IF(D42&lt;E42,"Bajo",IF(D42&gt;F42,"Alto","Dentro de rango"))</f>
        <v>Bajo</v>
      </c>
      <c r="J42" s="29" t="str">
        <f t="shared" si="1"/>
        <v/>
      </c>
      <c r="K42" s="29" t="str">
        <f>IF(I42="NO EVALUADA","NO EVALUADA",IF(LEFT(I42,6)="ERROR:","ERROR",IF(AND(ISNUMBER(G42),ISNUMBER(I42)),IF(J42&lt;=CONFIG!$B$48,"APROBADA","FALLIDA"),IF(G42=I42,"APROBADA","FALLIDA"))))</f>
        <v>APROBADA</v>
      </c>
      <c r="L42" s="26" t="s">
        <v>887</v>
      </c>
      <c r="M42" s="26"/>
    </row>
    <row r="43" spans="1:13" ht="14.25" customHeight="1">
      <c r="A43" s="26" t="s">
        <v>971</v>
      </c>
      <c r="B43" s="26" t="s">
        <v>968</v>
      </c>
      <c r="C43" s="26" t="s">
        <v>972</v>
      </c>
      <c r="D43" s="26">
        <v>120</v>
      </c>
      <c r="E43" s="26">
        <v>70</v>
      </c>
      <c r="F43" s="26">
        <v>110</v>
      </c>
      <c r="G43" s="26" t="s">
        <v>629</v>
      </c>
      <c r="H43" s="26" t="s">
        <v>886</v>
      </c>
      <c r="I43" s="29" t="str">
        <f>IF(D43&lt;E43,"Bajo",IF(D43&gt;F43,"Alto","Dentro de rango"))</f>
        <v>Alto</v>
      </c>
      <c r="J43" s="29" t="str">
        <f t="shared" si="1"/>
        <v/>
      </c>
      <c r="K43" s="29" t="str">
        <f>IF(I43="NO EVALUADA","NO EVALUADA",IF(LEFT(I43,6)="ERROR:","ERROR",IF(AND(ISNUMBER(G43),ISNUMBER(I43)),IF(J43&lt;=CONFIG!$B$48,"APROBADA","FALLIDA"),IF(G43=I43,"APROBADA","FALLIDA"))))</f>
        <v>APROBADA</v>
      </c>
      <c r="L43" s="26" t="s">
        <v>887</v>
      </c>
      <c r="M43" s="26"/>
    </row>
    <row r="44" spans="1:13" ht="14.25" customHeight="1">
      <c r="A44" s="26" t="s">
        <v>973</v>
      </c>
      <c r="B44" s="26" t="s">
        <v>968</v>
      </c>
      <c r="C44" s="26" t="s">
        <v>519</v>
      </c>
      <c r="D44" s="26">
        <v>100</v>
      </c>
      <c r="E44" s="26"/>
      <c r="F44" s="26"/>
      <c r="G44" s="26" t="s">
        <v>641</v>
      </c>
      <c r="H44" s="26" t="s">
        <v>886</v>
      </c>
      <c r="I44" s="29" t="str">
        <f>IF(OR(E44="",F44=""),"No evaluable","Evaluable")</f>
        <v>No evaluable</v>
      </c>
      <c r="J44" s="29" t="str">
        <f t="shared" si="1"/>
        <v/>
      </c>
      <c r="K44" s="29" t="str">
        <f>IF(I44="NO EVALUADA","NO EVALUADA",IF(LEFT(I44,6)="ERROR:","ERROR",IF(AND(ISNUMBER(G44),ISNUMBER(I44)),IF(J44&lt;=CONFIG!$B$48,"APROBADA","FALLIDA"),IF(G44=I44,"APROBADA","FALLIDA"))))</f>
        <v>APROBADA</v>
      </c>
      <c r="L44" s="26" t="s">
        <v>887</v>
      </c>
      <c r="M44" s="26"/>
    </row>
    <row r="45" spans="1:13" ht="14.25" customHeight="1">
      <c r="A45" s="26" t="s">
        <v>974</v>
      </c>
      <c r="B45" s="26" t="s">
        <v>968</v>
      </c>
      <c r="C45" s="26" t="s">
        <v>975</v>
      </c>
      <c r="D45" s="26">
        <v>100</v>
      </c>
      <c r="E45" s="26">
        <v>120</v>
      </c>
      <c r="F45" s="26">
        <v>110</v>
      </c>
      <c r="G45" s="26" t="s">
        <v>976</v>
      </c>
      <c r="H45" s="26" t="s">
        <v>886</v>
      </c>
      <c r="I45" s="29" t="str">
        <f>IF(E45&gt;F45,"INCOHERENTE","OK")</f>
        <v>INCOHERENTE</v>
      </c>
      <c r="J45" s="29" t="str">
        <f t="shared" si="1"/>
        <v/>
      </c>
      <c r="K45" s="29" t="str">
        <f>IF(I45="NO EVALUADA","NO EVALUADA",IF(LEFT(I45,6)="ERROR:","ERROR",IF(AND(ISNUMBER(G45),ISNUMBER(I45)),IF(J45&lt;=CONFIG!$B$48,"APROBADA","FALLIDA"),IF(G45=I45,"APROBADA","FALLIDA"))))</f>
        <v>APROBADA</v>
      </c>
      <c r="L45" s="26" t="s">
        <v>887</v>
      </c>
      <c r="M45" s="26"/>
    </row>
    <row r="46" spans="1:13" ht="14.25" customHeight="1">
      <c r="A46" s="26" t="s">
        <v>977</v>
      </c>
      <c r="B46" s="26" t="s">
        <v>968</v>
      </c>
      <c r="C46" s="26" t="s">
        <v>978</v>
      </c>
      <c r="D46" s="26">
        <v>100</v>
      </c>
      <c r="E46" s="26"/>
      <c r="F46" s="26"/>
      <c r="G46" s="26" t="s">
        <v>979</v>
      </c>
      <c r="H46" s="26" t="s">
        <v>886</v>
      </c>
      <c r="I46" s="29" t="str">
        <f>IF(E46="","UNIDAD VACÍA","OK")</f>
        <v>UNIDAD VACÍA</v>
      </c>
      <c r="J46" s="29" t="str">
        <f t="shared" si="1"/>
        <v/>
      </c>
      <c r="K46" s="29" t="str">
        <f>IF(I46="NO EVALUADA","NO EVALUADA",IF(LEFT(I46,6)="ERROR:","ERROR",IF(AND(ISNUMBER(G46),ISNUMBER(I46)),IF(J46&lt;=CONFIG!$B$48,"APROBADA","FALLIDA"),IF(G46=I46,"APROBADA","FALLIDA"))))</f>
        <v>APROBADA</v>
      </c>
      <c r="L46" s="26" t="s">
        <v>887</v>
      </c>
      <c r="M46" s="26"/>
    </row>
    <row r="47" spans="1:13" ht="14.25" customHeight="1">
      <c r="A47" s="26" t="s">
        <v>980</v>
      </c>
      <c r="B47" s="26" t="s">
        <v>968</v>
      </c>
      <c r="C47" s="26" t="s">
        <v>248</v>
      </c>
      <c r="D47" s="26" t="s">
        <v>272</v>
      </c>
      <c r="E47" s="26"/>
      <c r="F47" s="26"/>
      <c r="G47" s="26" t="s">
        <v>981</v>
      </c>
      <c r="H47" s="26" t="s">
        <v>886</v>
      </c>
      <c r="I47" s="29" t="str">
        <f>IF(ISTEXT(D47),"CUALITATIVO","NUMÉRICO")</f>
        <v>CUALITATIVO</v>
      </c>
      <c r="J47" s="29" t="str">
        <f t="shared" si="1"/>
        <v/>
      </c>
      <c r="K47" s="29" t="str">
        <f>IF(I47="NO EVALUADA","NO EVALUADA",IF(LEFT(I47,6)="ERROR:","ERROR",IF(AND(ISNUMBER(G47),ISNUMBER(I47)),IF(J47&lt;=CONFIG!$B$48,"APROBADA","FALLIDA"),IF(G47=I47,"APROBADA","FALLIDA"))))</f>
        <v>APROBADA</v>
      </c>
      <c r="L47" s="26" t="s">
        <v>887</v>
      </c>
      <c r="M47" s="26"/>
    </row>
    <row r="48" spans="1:13" ht="14.25" customHeight="1">
      <c r="A48" s="26" t="s">
        <v>982</v>
      </c>
      <c r="B48" s="26" t="s">
        <v>968</v>
      </c>
      <c r="C48" s="26" t="s">
        <v>247</v>
      </c>
      <c r="D48" s="26">
        <v>100</v>
      </c>
      <c r="E48" s="26"/>
      <c r="F48" s="26"/>
      <c r="G48" s="26" t="s">
        <v>983</v>
      </c>
      <c r="H48" s="26" t="s">
        <v>886</v>
      </c>
      <c r="I48" s="29" t="str">
        <f>IF(ISNUMBER(D48),"NUMÉRICO","CUALITATIVO")</f>
        <v>NUMÉRICO</v>
      </c>
      <c r="J48" s="29" t="str">
        <f t="shared" si="1"/>
        <v/>
      </c>
      <c r="K48" s="29" t="str">
        <f>IF(I48="NO EVALUADA","NO EVALUADA",IF(LEFT(I48,6)="ERROR:","ERROR",IF(AND(ISNUMBER(G48),ISNUMBER(I48)),IF(J48&lt;=CONFIG!$B$48,"APROBADA","FALLIDA"),IF(G48=I48,"APROBADA","FALLIDA"))))</f>
        <v>APROBADA</v>
      </c>
      <c r="L48" s="26" t="s">
        <v>887</v>
      </c>
      <c r="M48" s="26"/>
    </row>
    <row r="49" spans="1:13" ht="14.25" customHeight="1">
      <c r="A49" s="26" t="s">
        <v>984</v>
      </c>
      <c r="B49" s="26" t="s">
        <v>968</v>
      </c>
      <c r="C49" s="26" t="s">
        <v>985</v>
      </c>
      <c r="D49" s="26" t="s">
        <v>986</v>
      </c>
      <c r="E49" s="26"/>
      <c r="F49" s="26"/>
      <c r="G49" s="26" t="s">
        <v>987</v>
      </c>
      <c r="H49" s="26" t="s">
        <v>886</v>
      </c>
      <c r="I49" s="29" t="str">
        <f>IF(COUNTIF(CATALOGOS!$B$30:$B$49,D49)=0,"NO CATALOGADO","CATALOGADO")</f>
        <v>NO CATALOGADO</v>
      </c>
      <c r="J49" s="29" t="str">
        <f t="shared" si="1"/>
        <v/>
      </c>
      <c r="K49" s="29" t="str">
        <f>IF(I49="NO EVALUADA","NO EVALUADA",IF(LEFT(I49,6)="ERROR:","ERROR",IF(AND(ISNUMBER(G49),ISNUMBER(I49)),IF(J49&lt;=CONFIG!$B$48,"APROBADA","FALLIDA"),IF(G49=I49,"APROBADA","FALLIDA"))))</f>
        <v>APROBADA</v>
      </c>
      <c r="L49" s="26" t="s">
        <v>887</v>
      </c>
      <c r="M49" s="26"/>
    </row>
    <row r="50" spans="1:13" ht="14.25" customHeight="1">
      <c r="A50" s="26" t="s">
        <v>988</v>
      </c>
      <c r="B50" s="26" t="s">
        <v>968</v>
      </c>
      <c r="C50" s="26" t="s">
        <v>989</v>
      </c>
      <c r="D50" s="26" t="s">
        <v>229</v>
      </c>
      <c r="E50" s="26"/>
      <c r="F50" s="26"/>
      <c r="G50" s="26" t="s">
        <v>990</v>
      </c>
      <c r="H50" s="26" t="s">
        <v>886</v>
      </c>
      <c r="I50" s="29" t="str">
        <f>IF(D50="No","DESACTIVADO","ACTIVO")</f>
        <v>DESACTIVADO</v>
      </c>
      <c r="J50" s="29" t="str">
        <f t="shared" si="1"/>
        <v/>
      </c>
      <c r="K50" s="29" t="str">
        <f>IF(I50="NO EVALUADA","NO EVALUADA",IF(LEFT(I50,6)="ERROR:","ERROR",IF(AND(ISNUMBER(G50),ISNUMBER(I50)),IF(J50&lt;=CONFIG!$B$48,"APROBADA","FALLIDA"),IF(G50=I50,"APROBADA","FALLIDA"))))</f>
        <v>APROBADA</v>
      </c>
      <c r="L50" s="26" t="s">
        <v>887</v>
      </c>
      <c r="M50" s="26"/>
    </row>
    <row r="51" spans="1:13" ht="14.25" customHeight="1">
      <c r="A51" s="26" t="s">
        <v>991</v>
      </c>
      <c r="B51" s="26" t="s">
        <v>992</v>
      </c>
      <c r="C51" s="26" t="s">
        <v>993</v>
      </c>
      <c r="D51" s="26" t="s">
        <v>913</v>
      </c>
      <c r="E51" s="26" t="s">
        <v>994</v>
      </c>
      <c r="F51" s="26">
        <v>500</v>
      </c>
      <c r="G51" s="26" t="s">
        <v>995</v>
      </c>
      <c r="H51" s="26" t="s">
        <v>886</v>
      </c>
      <c r="I51" s="29" t="str">
        <f>IF(AND(D51&lt;&gt;"",E51&lt;&gt;"",ISNUMBER(F51)),"COMPLETO","INCOMPLETO")</f>
        <v>COMPLETO</v>
      </c>
      <c r="J51" s="29" t="str">
        <f t="shared" si="1"/>
        <v/>
      </c>
      <c r="K51" s="29" t="str">
        <f>IF(I51="NO EVALUADA","NO EVALUADA",IF(LEFT(I51,6)="ERROR:","ERROR",IF(AND(ISNUMBER(G51),ISNUMBER(I51)),IF(J51&lt;=CONFIG!$B$48,"APROBADA","FALLIDA"),IF(G51=I51,"APROBADA","FALLIDA"))))</f>
        <v>APROBADA</v>
      </c>
      <c r="L51" s="26" t="s">
        <v>887</v>
      </c>
      <c r="M51" s="26"/>
    </row>
    <row r="52" spans="1:13" ht="14.25" customHeight="1">
      <c r="A52" s="26" t="s">
        <v>996</v>
      </c>
      <c r="B52" s="26" t="s">
        <v>992</v>
      </c>
      <c r="C52" s="26" t="s">
        <v>997</v>
      </c>
      <c r="D52" s="26"/>
      <c r="E52" s="26"/>
      <c r="F52" s="26"/>
      <c r="G52" s="26" t="s">
        <v>889</v>
      </c>
      <c r="H52" s="26" t="s">
        <v>886</v>
      </c>
      <c r="I52" s="29" t="str">
        <f>IF(D52="","VACÍO","COMPLETO")</f>
        <v>VACÍO</v>
      </c>
      <c r="J52" s="29" t="str">
        <f t="shared" si="1"/>
        <v/>
      </c>
      <c r="K52" s="29" t="str">
        <f>IF(I52="NO EVALUADA","NO EVALUADA",IF(LEFT(I52,6)="ERROR:","ERROR",IF(AND(ISNUMBER(G52),ISNUMBER(I52)),IF(J52&lt;=CONFIG!$B$48,"APROBADA","FALLIDA"),IF(G52=I52,"APROBADA","FALLIDA"))))</f>
        <v>APROBADA</v>
      </c>
      <c r="L52" s="26" t="s">
        <v>887</v>
      </c>
      <c r="M52" s="26"/>
    </row>
    <row r="53" spans="1:13" ht="14.25" customHeight="1">
      <c r="A53" s="26" t="s">
        <v>998</v>
      </c>
      <c r="B53" s="26" t="s">
        <v>992</v>
      </c>
      <c r="C53" s="26" t="s">
        <v>999</v>
      </c>
      <c r="D53" s="26">
        <v>500</v>
      </c>
      <c r="E53" s="26"/>
      <c r="F53" s="26"/>
      <c r="G53" s="26" t="s">
        <v>933</v>
      </c>
      <c r="H53" s="26" t="s">
        <v>886</v>
      </c>
      <c r="I53" s="29" t="str">
        <f>IF(AND(ISNUMBER(D53),E53=""),"ADVERTENCIA","OK")</f>
        <v>ADVERTENCIA</v>
      </c>
      <c r="J53" s="29" t="str">
        <f t="shared" si="1"/>
        <v/>
      </c>
      <c r="K53" s="29" t="str">
        <f>IF(I53="NO EVALUADA","NO EVALUADA",IF(LEFT(I53,6)="ERROR:","ERROR",IF(AND(ISNUMBER(G53),ISNUMBER(I53)),IF(J53&lt;=CONFIG!$B$48,"APROBADA","FALLIDA"),IF(G53=I53,"APROBADA","FALLIDA"))))</f>
        <v>APROBADA</v>
      </c>
      <c r="L53" s="26" t="s">
        <v>887</v>
      </c>
      <c r="M53" s="26"/>
    </row>
    <row r="54" spans="1:13" ht="14.25" customHeight="1">
      <c r="A54" s="26" t="s">
        <v>1000</v>
      </c>
      <c r="B54" s="26" t="s">
        <v>992</v>
      </c>
      <c r="C54" s="26" t="s">
        <v>1001</v>
      </c>
      <c r="D54" s="26"/>
      <c r="E54" s="26">
        <v>20</v>
      </c>
      <c r="F54" s="26">
        <v>30</v>
      </c>
      <c r="G54" s="26" t="s">
        <v>933</v>
      </c>
      <c r="H54" s="26" t="s">
        <v>886</v>
      </c>
      <c r="I54" s="29" t="str">
        <f>IF(AND(D54="",COUNT(E54:F54)&gt;0),"ADVERTENCIA","OK")</f>
        <v>ADVERTENCIA</v>
      </c>
      <c r="J54" s="29" t="str">
        <f t="shared" si="1"/>
        <v/>
      </c>
      <c r="K54" s="29" t="str">
        <f>IF(I54="NO EVALUADA","NO EVALUADA",IF(LEFT(I54,6)="ERROR:","ERROR",IF(AND(ISNUMBER(G54),ISNUMBER(I54)),IF(J54&lt;=CONFIG!$B$48,"APROBADA","FALLIDA"),IF(G54=I54,"APROBADA","FALLIDA"))))</f>
        <v>APROBADA</v>
      </c>
      <c r="L54" s="26" t="s">
        <v>887</v>
      </c>
      <c r="M54" s="26"/>
    </row>
    <row r="55" spans="1:13" ht="14.25" customHeight="1">
      <c r="A55" s="26" t="s">
        <v>1002</v>
      </c>
      <c r="B55" s="26" t="s">
        <v>992</v>
      </c>
      <c r="C55" s="26" t="s">
        <v>1003</v>
      </c>
      <c r="D55" s="26" t="s">
        <v>336</v>
      </c>
      <c r="E55" s="26"/>
      <c r="F55" s="26"/>
      <c r="G55" s="26" t="s">
        <v>885</v>
      </c>
      <c r="H55" s="26" t="s">
        <v>886</v>
      </c>
      <c r="I55" s="29" t="str">
        <f>IF(COUNTIF(CATALOGOS!$F$7:$F$14,D55)=1,"VÁLIDO","NO PERMITIDO")</f>
        <v>VÁLIDO</v>
      </c>
      <c r="J55" s="29" t="str">
        <f t="shared" si="1"/>
        <v/>
      </c>
      <c r="K55" s="29" t="str">
        <f>IF(I55="NO EVALUADA","NO EVALUADA",IF(LEFT(I55,6)="ERROR:","ERROR",IF(AND(ISNUMBER(G55),ISNUMBER(I55)),IF(J55&lt;=CONFIG!$B$48,"APROBADA","FALLIDA"),IF(G55=I55,"APROBADA","FALLIDA"))))</f>
        <v>APROBADA</v>
      </c>
      <c r="L55" s="26" t="s">
        <v>887</v>
      </c>
      <c r="M55" s="26"/>
    </row>
    <row r="56" spans="1:13" ht="14.25" customHeight="1">
      <c r="A56" s="26" t="s">
        <v>1004</v>
      </c>
      <c r="B56" s="26" t="s">
        <v>992</v>
      </c>
      <c r="C56" s="26" t="s">
        <v>1005</v>
      </c>
      <c r="D56" s="26" t="s">
        <v>1006</v>
      </c>
      <c r="E56" s="26"/>
      <c r="F56" s="26"/>
      <c r="G56" s="26" t="s">
        <v>910</v>
      </c>
      <c r="H56" s="26" t="s">
        <v>886</v>
      </c>
      <c r="I56" s="29" t="str">
        <f>IF(COUNTIF(CATALOGOS!$F$7:$F$14,D56)=0,"NO PERMITIDO","VÁLIDO")</f>
        <v>NO PERMITIDO</v>
      </c>
      <c r="J56" s="29" t="str">
        <f t="shared" si="1"/>
        <v/>
      </c>
      <c r="K56" s="29" t="str">
        <f>IF(I56="NO EVALUADA","NO EVALUADA",IF(LEFT(I56,6)="ERROR:","ERROR",IF(AND(ISNUMBER(G56),ISNUMBER(I56)),IF(J56&lt;=CONFIG!$B$48,"APROBADA","FALLIDA"),IF(G56=I56,"APROBADA","FALLIDA"))))</f>
        <v>APROBADA</v>
      </c>
      <c r="L56" s="26" t="s">
        <v>887</v>
      </c>
      <c r="M56" s="26"/>
    </row>
    <row r="57" spans="1:13" ht="14.25" customHeight="1">
      <c r="A57" s="26" t="s">
        <v>1007</v>
      </c>
      <c r="B57" s="26" t="s">
        <v>992</v>
      </c>
      <c r="C57" s="26" t="s">
        <v>1008</v>
      </c>
      <c r="D57" s="26">
        <v>-1</v>
      </c>
      <c r="E57" s="26"/>
      <c r="F57" s="26"/>
      <c r="G57" s="26" t="s">
        <v>945</v>
      </c>
      <c r="H57" s="26" t="s">
        <v>886</v>
      </c>
      <c r="I57" s="29" t="str">
        <f>IF(D57&lt;0,"IMPOSIBLE","OK")</f>
        <v>IMPOSIBLE</v>
      </c>
      <c r="J57" s="29" t="str">
        <f t="shared" si="1"/>
        <v/>
      </c>
      <c r="K57" s="29" t="str">
        <f>IF(I57="NO EVALUADA","NO EVALUADA",IF(LEFT(I57,6)="ERROR:","ERROR",IF(AND(ISNUMBER(G57),ISNUMBER(I57)),IF(J57&lt;=CONFIG!$B$48,"APROBADA","FALLIDA"),IF(G57=I57,"APROBADA","FALLIDA"))))</f>
        <v>APROBADA</v>
      </c>
      <c r="L57" s="26" t="s">
        <v>887</v>
      </c>
      <c r="M57" s="26"/>
    </row>
    <row r="58" spans="1:13" ht="14.25" customHeight="1">
      <c r="A58" s="26" t="s">
        <v>1009</v>
      </c>
      <c r="B58" s="26" t="s">
        <v>992</v>
      </c>
      <c r="C58" s="26" t="s">
        <v>1010</v>
      </c>
      <c r="D58" s="26" t="s">
        <v>335</v>
      </c>
      <c r="E58" s="26"/>
      <c r="F58" s="26"/>
      <c r="G58" s="26" t="s">
        <v>335</v>
      </c>
      <c r="H58" s="26" t="s">
        <v>886</v>
      </c>
      <c r="I58" s="29" t="str">
        <f>D58</f>
        <v>Habitual</v>
      </c>
      <c r="J58" s="29" t="str">
        <f t="shared" si="1"/>
        <v/>
      </c>
      <c r="K58" s="29" t="str">
        <f>IF(I58="NO EVALUADA","NO EVALUADA",IF(LEFT(I58,6)="ERROR:","ERROR",IF(AND(ISNUMBER(G58),ISNUMBER(I58)),IF(J58&lt;=CONFIG!$B$48,"APROBADA","FALLIDA"),IF(G58=I58,"APROBADA","FALLIDA"))))</f>
        <v>APROBADA</v>
      </c>
      <c r="L58" s="26" t="s">
        <v>887</v>
      </c>
      <c r="M58" s="26"/>
    </row>
    <row r="59" spans="1:13" ht="14.25" customHeight="1">
      <c r="A59" s="26" t="s">
        <v>1011</v>
      </c>
      <c r="B59" s="26" t="s">
        <v>992</v>
      </c>
      <c r="C59" s="26" t="s">
        <v>1012</v>
      </c>
      <c r="D59" s="26" t="s">
        <v>346</v>
      </c>
      <c r="E59" s="26"/>
      <c r="F59" s="26"/>
      <c r="G59" s="26" t="s">
        <v>346</v>
      </c>
      <c r="H59" s="26" t="s">
        <v>886</v>
      </c>
      <c r="I59" s="29" t="str">
        <f>D59</f>
        <v>No habitual</v>
      </c>
      <c r="J59" s="29" t="str">
        <f t="shared" si="1"/>
        <v/>
      </c>
      <c r="K59" s="29" t="str">
        <f>IF(I59="NO EVALUADA","NO EVALUADA",IF(LEFT(I59,6)="ERROR:","ERROR",IF(AND(ISNUMBER(G59),ISNUMBER(I59)),IF(J59&lt;=CONFIG!$B$48,"APROBADA","FALLIDA"),IF(G59=I59,"APROBADA","FALLIDA"))))</f>
        <v>APROBADA</v>
      </c>
      <c r="L59" s="26" t="s">
        <v>887</v>
      </c>
      <c r="M59" s="26"/>
    </row>
    <row r="60" spans="1:13" ht="14.25" customHeight="1">
      <c r="A60" s="26" t="s">
        <v>1013</v>
      </c>
      <c r="B60" s="26" t="s">
        <v>992</v>
      </c>
      <c r="C60" s="26" t="s">
        <v>1014</v>
      </c>
      <c r="D60" s="26">
        <v>350</v>
      </c>
      <c r="E60" s="26">
        <v>650</v>
      </c>
      <c r="F60" s="26">
        <v>500</v>
      </c>
      <c r="G60" s="26">
        <v>1500</v>
      </c>
      <c r="H60" s="26" t="s">
        <v>886</v>
      </c>
      <c r="I60" s="29">
        <f>SUM(D60:F60)</f>
        <v>1500</v>
      </c>
      <c r="J60" s="29">
        <f t="shared" si="1"/>
        <v>0</v>
      </c>
      <c r="K60" s="29" t="str">
        <f>IF(I60="NO EVALUADA","NO EVALUADA",IF(LEFT(I60,6)="ERROR:","ERROR",IF(AND(ISNUMBER(G60),ISNUMBER(I60)),IF(J60&lt;=CONFIG!$B$48,"APROBADA","FALLIDA"),IF(G60=I60,"APROBADA","FALLIDA"))))</f>
        <v>APROBADA</v>
      </c>
      <c r="L60" s="26" t="s">
        <v>887</v>
      </c>
      <c r="M60" s="26"/>
    </row>
    <row r="61" spans="1:13" ht="14.25" customHeight="1">
      <c r="A61" s="26" t="s">
        <v>1015</v>
      </c>
      <c r="B61" s="26" t="s">
        <v>992</v>
      </c>
      <c r="C61" s="26" t="s">
        <v>1016</v>
      </c>
      <c r="D61" s="26" t="s">
        <v>884</v>
      </c>
      <c r="E61" s="26" t="s">
        <v>1017</v>
      </c>
      <c r="F61" s="26" t="s">
        <v>1018</v>
      </c>
      <c r="G61" s="26" t="s">
        <v>885</v>
      </c>
      <c r="H61" s="26" t="s">
        <v>886</v>
      </c>
      <c r="I61" s="29" t="str">
        <f>IF(AND(D61&lt;&gt;"",E61&lt;&gt;F61),"VÁLIDO","REVISAR")</f>
        <v>VÁLIDO</v>
      </c>
      <c r="J61" s="29" t="str">
        <f t="shared" si="1"/>
        <v/>
      </c>
      <c r="K61" s="29" t="str">
        <f>IF(I61="NO EVALUADA","NO EVALUADA",IF(LEFT(I61,6)="ERROR:","ERROR",IF(AND(ISNUMBER(G61),ISNUMBER(I61)),IF(J61&lt;=CONFIG!$B$48,"APROBADA","FALLIDA"),IF(G61=I61,"APROBADA","FALLIDA"))))</f>
        <v>APROBADA</v>
      </c>
      <c r="L61" s="26" t="s">
        <v>887</v>
      </c>
      <c r="M61" s="26"/>
    </row>
    <row r="62" spans="1:13" ht="14.25" customHeight="1">
      <c r="A62" s="26" t="s">
        <v>1019</v>
      </c>
      <c r="B62" s="26" t="s">
        <v>992</v>
      </c>
      <c r="C62" s="26" t="s">
        <v>1020</v>
      </c>
      <c r="D62" s="26" t="s">
        <v>1021</v>
      </c>
      <c r="E62" s="26" t="s">
        <v>1022</v>
      </c>
      <c r="F62" s="26"/>
      <c r="G62" s="26" t="s">
        <v>1023</v>
      </c>
      <c r="H62" s="26" t="s">
        <v>886</v>
      </c>
      <c r="I62" s="29" t="str">
        <f>IF(D62&lt;&gt;E62,"SEPARADOS","MEZCLADOS")</f>
        <v>SEPARADOS</v>
      </c>
      <c r="J62" s="29" t="str">
        <f t="shared" si="1"/>
        <v/>
      </c>
      <c r="K62" s="29" t="str">
        <f>IF(I62="NO EVALUADA","NO EVALUADA",IF(LEFT(I62,6)="ERROR:","ERROR",IF(AND(ISNUMBER(G62),ISNUMBER(I62)),IF(J62&lt;=CONFIG!$B$48,"APROBADA","FALLIDA"),IF(G62=I62,"APROBADA","FALLIDA"))))</f>
        <v>APROBADA</v>
      </c>
      <c r="L62" s="26" t="s">
        <v>887</v>
      </c>
      <c r="M62" s="26"/>
    </row>
    <row r="63" spans="1:13" ht="14.25" customHeight="1">
      <c r="A63" s="26" t="s">
        <v>1024</v>
      </c>
      <c r="B63" s="26" t="s">
        <v>354</v>
      </c>
      <c r="C63" s="26" t="s">
        <v>1025</v>
      </c>
      <c r="D63" s="26" t="s">
        <v>1026</v>
      </c>
      <c r="E63" s="26">
        <v>30</v>
      </c>
      <c r="F63" s="26"/>
      <c r="G63" s="26" t="s">
        <v>893</v>
      </c>
      <c r="H63" s="26" t="s">
        <v>886</v>
      </c>
      <c r="I63" s="29" t="str">
        <f>IF(AND(D63&lt;&gt;"",E63&gt;0),"VÁLIDA","REVISAR")</f>
        <v>VÁLIDA</v>
      </c>
      <c r="J63" s="29" t="str">
        <f t="shared" si="1"/>
        <v/>
      </c>
      <c r="K63" s="29" t="str">
        <f>IF(I63="NO EVALUADA","NO EVALUADA",IF(LEFT(I63,6)="ERROR:","ERROR",IF(AND(ISNUMBER(G63),ISNUMBER(I63)),IF(J63&lt;=CONFIG!$B$48,"APROBADA","FALLIDA"),IF(G63=I63,"APROBADA","FALLIDA"))))</f>
        <v>APROBADA</v>
      </c>
      <c r="L63" s="26" t="s">
        <v>887</v>
      </c>
      <c r="M63" s="26"/>
    </row>
    <row r="64" spans="1:13" ht="14.25" customHeight="1">
      <c r="A64" s="26" t="s">
        <v>1027</v>
      </c>
      <c r="B64" s="26" t="s">
        <v>354</v>
      </c>
      <c r="C64" s="26" t="s">
        <v>1028</v>
      </c>
      <c r="D64" s="26">
        <v>-30</v>
      </c>
      <c r="E64" s="26"/>
      <c r="F64" s="26"/>
      <c r="G64" s="26" t="s">
        <v>945</v>
      </c>
      <c r="H64" s="26" t="s">
        <v>886</v>
      </c>
      <c r="I64" s="29" t="str">
        <f>IF(D64&lt;0,"IMPOSIBLE","OK")</f>
        <v>IMPOSIBLE</v>
      </c>
      <c r="J64" s="29" t="str">
        <f t="shared" si="1"/>
        <v/>
      </c>
      <c r="K64" s="29" t="str">
        <f>IF(I64="NO EVALUADA","NO EVALUADA",IF(LEFT(I64,6)="ERROR:","ERROR",IF(AND(ISNUMBER(G64),ISNUMBER(I64)),IF(J64&lt;=CONFIG!$B$48,"APROBADA","FALLIDA"),IF(G64=I64,"APROBADA","FALLIDA"))))</f>
        <v>APROBADA</v>
      </c>
      <c r="L64" s="26" t="s">
        <v>887</v>
      </c>
      <c r="M64" s="26"/>
    </row>
    <row r="65" spans="1:13" ht="14.25" customHeight="1">
      <c r="A65" s="26" t="s">
        <v>1029</v>
      </c>
      <c r="B65" s="26" t="s">
        <v>354</v>
      </c>
      <c r="C65" s="26" t="s">
        <v>1030</v>
      </c>
      <c r="D65" s="26">
        <v>5</v>
      </c>
      <c r="E65" s="26"/>
      <c r="F65" s="26"/>
      <c r="G65" s="26" t="s">
        <v>933</v>
      </c>
      <c r="H65" s="26" t="s">
        <v>886</v>
      </c>
      <c r="I65" s="29" t="str">
        <f>IF(AND(ISNUMBER(D65),E65=""),"ADVERTENCIA","OK")</f>
        <v>ADVERTENCIA</v>
      </c>
      <c r="J65" s="29" t="str">
        <f t="shared" si="1"/>
        <v/>
      </c>
      <c r="K65" s="29" t="str">
        <f>IF(I65="NO EVALUADA","NO EVALUADA",IF(LEFT(I65,6)="ERROR:","ERROR",IF(AND(ISNUMBER(G65),ISNUMBER(I65)),IF(J65&lt;=CONFIG!$B$48,"APROBADA","FALLIDA"),IF(G65=I65,"APROBADA","FALLIDA"))))</f>
        <v>APROBADA</v>
      </c>
      <c r="L65" s="26" t="s">
        <v>887</v>
      </c>
      <c r="M65" s="26"/>
    </row>
    <row r="66" spans="1:13" ht="14.25" customHeight="1">
      <c r="A66" s="26" t="s">
        <v>1031</v>
      </c>
      <c r="B66" s="26" t="s">
        <v>590</v>
      </c>
      <c r="C66" s="26" t="s">
        <v>1032</v>
      </c>
      <c r="D66" s="26" t="s">
        <v>1033</v>
      </c>
      <c r="E66" s="26">
        <v>1</v>
      </c>
      <c r="F66" s="26" t="s">
        <v>262</v>
      </c>
      <c r="G66" s="26" t="s">
        <v>995</v>
      </c>
      <c r="H66" s="26" t="s">
        <v>886</v>
      </c>
      <c r="I66" s="29" t="str">
        <f>IF(AND(D66&lt;&gt;"",ISNUMBER(E66),F66&lt;&gt;""),"COMPLETO","INCOMPLETO")</f>
        <v>COMPLETO</v>
      </c>
      <c r="J66" s="29" t="str">
        <f t="shared" si="1"/>
        <v/>
      </c>
      <c r="K66" s="29" t="str">
        <f>IF(I66="NO EVALUADA","NO EVALUADA",IF(LEFT(I66,6)="ERROR:","ERROR",IF(AND(ISNUMBER(G66),ISNUMBER(I66)),IF(J66&lt;=CONFIG!$B$48,"APROBADA","FALLIDA"),IF(G66=I66,"APROBADA","FALLIDA"))))</f>
        <v>APROBADA</v>
      </c>
      <c r="L66" s="26" t="s">
        <v>887</v>
      </c>
      <c r="M66" s="26"/>
    </row>
    <row r="67" spans="1:13" ht="14.25" customHeight="1">
      <c r="A67" s="26" t="s">
        <v>1034</v>
      </c>
      <c r="B67" s="26" t="s">
        <v>590</v>
      </c>
      <c r="C67" s="26" t="s">
        <v>1035</v>
      </c>
      <c r="D67" s="26" t="s">
        <v>1033</v>
      </c>
      <c r="E67" s="26"/>
      <c r="F67" s="26"/>
      <c r="G67" s="26" t="s">
        <v>933</v>
      </c>
      <c r="H67" s="26" t="s">
        <v>886</v>
      </c>
      <c r="I67" s="29" t="str">
        <f>IF(E67="","ADVERTENCIA","OK")</f>
        <v>ADVERTENCIA</v>
      </c>
      <c r="J67" s="29" t="str">
        <f t="shared" si="1"/>
        <v/>
      </c>
      <c r="K67" s="29" t="str">
        <f>IF(I67="NO EVALUADA","NO EVALUADA",IF(LEFT(I67,6)="ERROR:","ERROR",IF(AND(ISNUMBER(G67),ISNUMBER(I67)),IF(J67&lt;=CONFIG!$B$48,"APROBADA","FALLIDA"),IF(G67=I67,"APROBADA","FALLIDA"))))</f>
        <v>APROBADA</v>
      </c>
      <c r="L67" s="26" t="s">
        <v>887</v>
      </c>
      <c r="M67" s="26"/>
    </row>
    <row r="68" spans="1:13" ht="14.25" customHeight="1">
      <c r="A68" s="26" t="s">
        <v>1036</v>
      </c>
      <c r="B68" s="26" t="s">
        <v>316</v>
      </c>
      <c r="C68" s="26" t="s">
        <v>1037</v>
      </c>
      <c r="D68" s="26" t="s">
        <v>1038</v>
      </c>
      <c r="E68" s="26">
        <v>1</v>
      </c>
      <c r="F68" s="26" t="s">
        <v>262</v>
      </c>
      <c r="G68" s="26" t="s">
        <v>995</v>
      </c>
      <c r="H68" s="26" t="s">
        <v>886</v>
      </c>
      <c r="I68" s="29" t="str">
        <f>IF(AND(D68&lt;&gt;"",ISNUMBER(E68),F68&lt;&gt;""),"COMPLETO","INCOMPLETO")</f>
        <v>COMPLETO</v>
      </c>
      <c r="J68" s="29" t="str">
        <f t="shared" si="1"/>
        <v/>
      </c>
      <c r="K68" s="29" t="str">
        <f>IF(I68="NO EVALUADA","NO EVALUADA",IF(LEFT(I68,6)="ERROR:","ERROR",IF(AND(ISNUMBER(G68),ISNUMBER(I68)),IF(J68&lt;=CONFIG!$B$48,"APROBADA","FALLIDA"),IF(G68=I68,"APROBADA","FALLIDA"))))</f>
        <v>APROBADA</v>
      </c>
      <c r="L68" s="26" t="s">
        <v>887</v>
      </c>
      <c r="M68" s="26"/>
    </row>
    <row r="69" spans="1:13" ht="14.25" customHeight="1">
      <c r="A69" s="26" t="s">
        <v>1039</v>
      </c>
      <c r="B69" s="26" t="s">
        <v>316</v>
      </c>
      <c r="C69" s="26" t="s">
        <v>989</v>
      </c>
      <c r="D69" s="26" t="s">
        <v>229</v>
      </c>
      <c r="E69" s="26"/>
      <c r="F69" s="26"/>
      <c r="G69" s="26" t="s">
        <v>990</v>
      </c>
      <c r="H69" s="26" t="s">
        <v>886</v>
      </c>
      <c r="I69" s="29" t="str">
        <f>IF(D69="No","DESACTIVADO","ACTIVO")</f>
        <v>DESACTIVADO</v>
      </c>
      <c r="J69" s="29" t="str">
        <f t="shared" si="1"/>
        <v/>
      </c>
      <c r="K69" s="29" t="str">
        <f>IF(I69="NO EVALUADA","NO EVALUADA",IF(LEFT(I69,6)="ERROR:","ERROR",IF(AND(ISNUMBER(G69),ISNUMBER(I69)),IF(J69&lt;=CONFIG!$B$48,"APROBADA","FALLIDA"),IF(G69=I69,"APROBADA","FALLIDA"))))</f>
        <v>APROBADA</v>
      </c>
      <c r="L69" s="26" t="s">
        <v>887</v>
      </c>
      <c r="M69" s="26"/>
    </row>
    <row r="70" spans="1:13" ht="14.25" customHeight="1">
      <c r="A70" s="26" t="s">
        <v>1040</v>
      </c>
      <c r="B70" s="26" t="s">
        <v>1041</v>
      </c>
      <c r="C70" s="26" t="s">
        <v>1042</v>
      </c>
      <c r="D70" s="26" t="s">
        <v>409</v>
      </c>
      <c r="E70" s="26"/>
      <c r="F70" s="26"/>
      <c r="G70" s="26" t="s">
        <v>885</v>
      </c>
      <c r="H70" s="26" t="s">
        <v>886</v>
      </c>
      <c r="I70" s="29" t="str">
        <f>IF(D70&lt;&gt;"","VÁLIDO","VACÍO")</f>
        <v>VÁLIDO</v>
      </c>
      <c r="J70" s="29" t="str">
        <f t="shared" ref="J70:J101" si="2">IF(AND(ISNUMBER(G70),ISNUMBER(I70)),ABS(I70-G70),"")</f>
        <v/>
      </c>
      <c r="K70" s="29" t="str">
        <f>IF(I70="NO EVALUADA","NO EVALUADA",IF(LEFT(I70,6)="ERROR:","ERROR",IF(AND(ISNUMBER(G70),ISNUMBER(I70)),IF(J70&lt;=CONFIG!$B$48,"APROBADA","FALLIDA"),IF(G70=I70,"APROBADA","FALLIDA"))))</f>
        <v>APROBADA</v>
      </c>
      <c r="L70" s="26" t="s">
        <v>887</v>
      </c>
      <c r="M70" s="26"/>
    </row>
    <row r="71" spans="1:13" ht="14.25" customHeight="1">
      <c r="A71" s="26" t="s">
        <v>1043</v>
      </c>
      <c r="B71" s="26" t="s">
        <v>1041</v>
      </c>
      <c r="C71" s="26" t="s">
        <v>1044</v>
      </c>
      <c r="D71" s="26" t="s">
        <v>149</v>
      </c>
      <c r="E71" s="26"/>
      <c r="F71" s="26"/>
      <c r="G71" s="26" t="s">
        <v>1045</v>
      </c>
      <c r="H71" s="26" t="s">
        <v>886</v>
      </c>
      <c r="I71" s="29" t="str">
        <f>IF(AND(D71="Revisado",E71=""),"BLOQUEAR","OK")</f>
        <v>BLOQUEAR</v>
      </c>
      <c r="J71" s="29" t="str">
        <f t="shared" si="2"/>
        <v/>
      </c>
      <c r="K71" s="29" t="str">
        <f>IF(I71="NO EVALUADA","NO EVALUADA",IF(LEFT(I71,6)="ERROR:","ERROR",IF(AND(ISNUMBER(G71),ISNUMBER(I71)),IF(J71&lt;=CONFIG!$B$48,"APROBADA","FALLIDA"),IF(G71=I71,"APROBADA","FALLIDA"))))</f>
        <v>APROBADA</v>
      </c>
      <c r="L71" s="26" t="s">
        <v>887</v>
      </c>
      <c r="M71" s="26"/>
    </row>
    <row r="72" spans="1:13" ht="36" customHeight="1">
      <c r="A72" s="26" t="s">
        <v>1046</v>
      </c>
      <c r="B72" s="26" t="s">
        <v>1041</v>
      </c>
      <c r="C72" s="26" t="s">
        <v>412</v>
      </c>
      <c r="D72" s="26" t="s">
        <v>409</v>
      </c>
      <c r="E72" s="26" t="s">
        <v>410</v>
      </c>
      <c r="F72" s="26" t="s">
        <v>1047</v>
      </c>
      <c r="G72" s="26" t="s">
        <v>1048</v>
      </c>
      <c r="H72" s="26" t="s">
        <v>886</v>
      </c>
      <c r="I72" s="29" t="str">
        <f>D72&amp;" relacionado con "&amp;E72&amp;" evidenciado por "&amp;F72</f>
        <v>Problema relacionado con Etiología evidenciado por Signos</v>
      </c>
      <c r="J72" s="29" t="str">
        <f t="shared" si="2"/>
        <v/>
      </c>
      <c r="K72" s="29" t="str">
        <f>IF(I72="NO EVALUADA","NO EVALUADA",IF(LEFT(I72,6)="ERROR:","ERROR",IF(AND(ISNUMBER(G72),ISNUMBER(I72)),IF(J72&lt;=CONFIG!$B$48,"APROBADA","FALLIDA"),IF(G72=I72,"APROBADA","FALLIDA"))))</f>
        <v>APROBADA</v>
      </c>
      <c r="L72" s="26" t="s">
        <v>887</v>
      </c>
      <c r="M72" s="26"/>
    </row>
    <row r="73" spans="1:13" ht="14.25" customHeight="1">
      <c r="A73" s="26" t="s">
        <v>1049</v>
      </c>
      <c r="B73" s="26" t="s">
        <v>1041</v>
      </c>
      <c r="C73" s="26" t="s">
        <v>1050</v>
      </c>
      <c r="D73" s="26" t="s">
        <v>637</v>
      </c>
      <c r="E73" s="26">
        <v>46023</v>
      </c>
      <c r="F73" s="26"/>
      <c r="G73" s="26" t="s">
        <v>885</v>
      </c>
      <c r="H73" s="26" t="s">
        <v>886</v>
      </c>
      <c r="I73" s="29" t="str">
        <f>IF(AND(D73="Cerrado",ISNUMBER(E73)),"VÁLIDO","REVISAR")</f>
        <v>VÁLIDO</v>
      </c>
      <c r="J73" s="29" t="str">
        <f t="shared" si="2"/>
        <v/>
      </c>
      <c r="K73" s="29" t="str">
        <f>IF(I73="NO EVALUADA","NO EVALUADA",IF(LEFT(I73,6)="ERROR:","ERROR",IF(AND(ISNUMBER(G73),ISNUMBER(I73)),IF(J73&lt;=CONFIG!$B$48,"APROBADA","FALLIDA"),IF(G73=I73,"APROBADA","FALLIDA"))))</f>
        <v>APROBADA</v>
      </c>
      <c r="L73" s="26" t="s">
        <v>887</v>
      </c>
      <c r="M73" s="26"/>
    </row>
    <row r="74" spans="1:13" ht="14.25" customHeight="1">
      <c r="A74" s="26" t="s">
        <v>1051</v>
      </c>
      <c r="B74" s="26" t="s">
        <v>1041</v>
      </c>
      <c r="C74" s="26" t="s">
        <v>1052</v>
      </c>
      <c r="D74" s="26" t="s">
        <v>101</v>
      </c>
      <c r="E74" s="26"/>
      <c r="F74" s="26"/>
      <c r="G74" s="26" t="s">
        <v>101</v>
      </c>
      <c r="H74" s="26" t="s">
        <v>886</v>
      </c>
      <c r="I74" s="29" t="str">
        <f>D74</f>
        <v>Activo</v>
      </c>
      <c r="J74" s="29" t="str">
        <f t="shared" si="2"/>
        <v/>
      </c>
      <c r="K74" s="29" t="str">
        <f>IF(I74="NO EVALUADA","NO EVALUADA",IF(LEFT(I74,6)="ERROR:","ERROR",IF(AND(ISNUMBER(G74),ISNUMBER(I74)),IF(J74&lt;=CONFIG!$B$48,"APROBADA","FALLIDA"),IF(G74=I74,"APROBADA","FALLIDA"))))</f>
        <v>APROBADA</v>
      </c>
      <c r="L74" s="26" t="s">
        <v>887</v>
      </c>
      <c r="M74" s="26"/>
    </row>
    <row r="75" spans="1:13" ht="14.25" customHeight="1">
      <c r="A75" s="26" t="s">
        <v>1053</v>
      </c>
      <c r="B75" s="26" t="s">
        <v>1041</v>
      </c>
      <c r="C75" s="26" t="s">
        <v>1054</v>
      </c>
      <c r="D75" s="26">
        <v>2</v>
      </c>
      <c r="E75" s="26"/>
      <c r="F75" s="26"/>
      <c r="G75" s="26" t="s">
        <v>885</v>
      </c>
      <c r="H75" s="26" t="s">
        <v>886</v>
      </c>
      <c r="I75" s="29" t="str">
        <f>IF(D75=2,"VÁLIDO","REVISAR")</f>
        <v>VÁLIDO</v>
      </c>
      <c r="J75" s="29" t="str">
        <f t="shared" si="2"/>
        <v/>
      </c>
      <c r="K75" s="29" t="str">
        <f>IF(I75="NO EVALUADA","NO EVALUADA",IF(LEFT(I75,6)="ERROR:","ERROR",IF(AND(ISNUMBER(G75),ISNUMBER(I75)),IF(J75&lt;=CONFIG!$B$48,"APROBADA","FALLIDA"),IF(G75=I75,"APROBADA","FALLIDA"))))</f>
        <v>APROBADA</v>
      </c>
      <c r="L75" s="26" t="s">
        <v>887</v>
      </c>
      <c r="M75" s="26"/>
    </row>
    <row r="76" spans="1:13" ht="14.25" customHeight="1">
      <c r="A76" s="26" t="s">
        <v>1055</v>
      </c>
      <c r="B76" s="26" t="s">
        <v>1056</v>
      </c>
      <c r="C76" s="26" t="s">
        <v>1057</v>
      </c>
      <c r="D76" s="26" t="s">
        <v>1058</v>
      </c>
      <c r="E76" s="26" t="s">
        <v>436</v>
      </c>
      <c r="F76" s="26">
        <v>50</v>
      </c>
      <c r="G76" s="26" t="s">
        <v>885</v>
      </c>
      <c r="H76" s="26" t="s">
        <v>886</v>
      </c>
      <c r="I76" s="29" t="str">
        <f>IF(AND(D76&lt;&gt;"",E76&lt;&gt;"",F76&gt;=0),"VÁLIDO","REVISAR")</f>
        <v>VÁLIDO</v>
      </c>
      <c r="J76" s="29" t="str">
        <f t="shared" si="2"/>
        <v/>
      </c>
      <c r="K76" s="29" t="str">
        <f>IF(I76="NO EVALUADA","NO EVALUADA",IF(LEFT(I76,6)="ERROR:","ERROR",IF(AND(ISNUMBER(G76),ISNUMBER(I76)),IF(J76&lt;=CONFIG!$B$48,"APROBADA","FALLIDA"),IF(G76=I76,"APROBADA","FALLIDA"))))</f>
        <v>APROBADA</v>
      </c>
      <c r="L76" s="26" t="s">
        <v>887</v>
      </c>
      <c r="M76" s="26"/>
    </row>
    <row r="77" spans="1:13" ht="14.25" customHeight="1">
      <c r="A77" s="26" t="s">
        <v>1059</v>
      </c>
      <c r="B77" s="26" t="s">
        <v>1056</v>
      </c>
      <c r="C77" s="26" t="s">
        <v>1060</v>
      </c>
      <c r="D77" s="26" t="s">
        <v>1058</v>
      </c>
      <c r="E77" s="26"/>
      <c r="F77" s="26"/>
      <c r="G77" s="26" t="s">
        <v>933</v>
      </c>
      <c r="H77" s="26" t="s">
        <v>886</v>
      </c>
      <c r="I77" s="29" t="str">
        <f>IF(E77="","ADVERTENCIA","OK")</f>
        <v>ADVERTENCIA</v>
      </c>
      <c r="J77" s="29" t="str">
        <f t="shared" si="2"/>
        <v/>
      </c>
      <c r="K77" s="29" t="str">
        <f>IF(I77="NO EVALUADA","NO EVALUADA",IF(LEFT(I77,6)="ERROR:","ERROR",IF(AND(ISNUMBER(G77),ISNUMBER(I77)),IF(J77&lt;=CONFIG!$B$48,"APROBADA","FALLIDA"),IF(G77=I77,"APROBADA","FALLIDA"))))</f>
        <v>APROBADA</v>
      </c>
      <c r="L77" s="26" t="s">
        <v>887</v>
      </c>
      <c r="M77" s="26"/>
    </row>
    <row r="78" spans="1:13" ht="14.25" customHeight="1">
      <c r="A78" s="26" t="s">
        <v>1061</v>
      </c>
      <c r="B78" s="26" t="s">
        <v>1056</v>
      </c>
      <c r="C78" s="26" t="s">
        <v>1062</v>
      </c>
      <c r="D78" s="26">
        <v>-1</v>
      </c>
      <c r="E78" s="26"/>
      <c r="F78" s="26"/>
      <c r="G78" s="26" t="s">
        <v>945</v>
      </c>
      <c r="H78" s="26" t="s">
        <v>886</v>
      </c>
      <c r="I78" s="29" t="str">
        <f>IF(D78&lt;0,"IMPOSIBLE","OK")</f>
        <v>IMPOSIBLE</v>
      </c>
      <c r="J78" s="29" t="str">
        <f t="shared" si="2"/>
        <v/>
      </c>
      <c r="K78" s="29" t="str">
        <f>IF(I78="NO EVALUADA","NO EVALUADA",IF(LEFT(I78,6)="ERROR:","ERROR",IF(AND(ISNUMBER(G78),ISNUMBER(I78)),IF(J78&lt;=CONFIG!$B$48,"APROBADA","FALLIDA"),IF(G78=I78,"APROBADA","FALLIDA"))))</f>
        <v>APROBADA</v>
      </c>
      <c r="L78" s="26" t="s">
        <v>887</v>
      </c>
      <c r="M78" s="26"/>
    </row>
    <row r="79" spans="1:13" ht="14.25" customHeight="1">
      <c r="A79" s="26" t="s">
        <v>1063</v>
      </c>
      <c r="B79" s="26" t="s">
        <v>1056</v>
      </c>
      <c r="C79" s="26" t="s">
        <v>1064</v>
      </c>
      <c r="D79" s="26">
        <v>101</v>
      </c>
      <c r="E79" s="26"/>
      <c r="F79" s="26"/>
      <c r="G79" s="26" t="s">
        <v>945</v>
      </c>
      <c r="H79" s="26" t="s">
        <v>886</v>
      </c>
      <c r="I79" s="29" t="str">
        <f>IF(D79&gt;100,"IMPOSIBLE","OK")</f>
        <v>IMPOSIBLE</v>
      </c>
      <c r="J79" s="29" t="str">
        <f t="shared" si="2"/>
        <v/>
      </c>
      <c r="K79" s="29" t="str">
        <f>IF(I79="NO EVALUADA","NO EVALUADA",IF(LEFT(I79,6)="ERROR:","ERROR",IF(AND(ISNUMBER(G79),ISNUMBER(I79)),IF(J79&lt;=CONFIG!$B$48,"APROBADA","FALLIDA"),IF(G79=I79,"APROBADA","FALLIDA"))))</f>
        <v>APROBADA</v>
      </c>
      <c r="L79" s="26" t="s">
        <v>887</v>
      </c>
      <c r="M79" s="26"/>
    </row>
    <row r="80" spans="1:13" ht="14.25" customHeight="1">
      <c r="A80" s="26" t="s">
        <v>1065</v>
      </c>
      <c r="B80" s="26" t="s">
        <v>1056</v>
      </c>
      <c r="C80" s="26" t="s">
        <v>1066</v>
      </c>
      <c r="D80" s="26" t="s">
        <v>454</v>
      </c>
      <c r="E80" s="26">
        <v>100</v>
      </c>
      <c r="F80" s="26"/>
      <c r="G80" s="26" t="s">
        <v>885</v>
      </c>
      <c r="H80" s="26" t="s">
        <v>886</v>
      </c>
      <c r="I80" s="29" t="str">
        <f>IF(AND(D80="Cumplido",E80=100),"VÁLIDO","REVISAR")</f>
        <v>VÁLIDO</v>
      </c>
      <c r="J80" s="29" t="str">
        <f t="shared" si="2"/>
        <v/>
      </c>
      <c r="K80" s="29" t="str">
        <f>IF(I80="NO EVALUADA","NO EVALUADA",IF(LEFT(I80,6)="ERROR:","ERROR",IF(AND(ISNUMBER(G80),ISNUMBER(I80)),IF(J80&lt;=CONFIG!$B$48,"APROBADA","FALLIDA"),IF(G80=I80,"APROBADA","FALLIDA"))))</f>
        <v>APROBADA</v>
      </c>
      <c r="L80" s="26" t="s">
        <v>887</v>
      </c>
      <c r="M80" s="26"/>
    </row>
    <row r="81" spans="1:13" ht="14.25" customHeight="1">
      <c r="A81" s="26" t="s">
        <v>1067</v>
      </c>
      <c r="B81" s="26" t="s">
        <v>464</v>
      </c>
      <c r="C81" s="26" t="s">
        <v>1068</v>
      </c>
      <c r="D81" s="26" t="s">
        <v>444</v>
      </c>
      <c r="E81" s="26"/>
      <c r="F81" s="26"/>
      <c r="G81" s="26" t="s">
        <v>918</v>
      </c>
      <c r="H81" s="26" t="s">
        <v>886</v>
      </c>
      <c r="I81" s="29" t="str">
        <f>IF(COUNTIF(OBJETIVOS!$C$7:$C$36,D81)=1,"EXISTE","NO EXISTE")</f>
        <v>EXISTE</v>
      </c>
      <c r="J81" s="29" t="str">
        <f t="shared" si="2"/>
        <v/>
      </c>
      <c r="K81" s="29" t="str">
        <f>IF(I81="NO EVALUADA","NO EVALUADA",IF(LEFT(I81,6)="ERROR:","ERROR",IF(AND(ISNUMBER(G81),ISNUMBER(I81)),IF(J81&lt;=CONFIG!$B$48,"APROBADA","FALLIDA"),IF(G81=I81,"APROBADA","FALLIDA"))))</f>
        <v>APROBADA</v>
      </c>
      <c r="L81" s="26" t="s">
        <v>887</v>
      </c>
      <c r="M81" s="26"/>
    </row>
    <row r="82" spans="1:13" ht="14.25" customHeight="1">
      <c r="A82" s="26" t="s">
        <v>1069</v>
      </c>
      <c r="B82" s="26" t="s">
        <v>464</v>
      </c>
      <c r="C82" s="26" t="s">
        <v>1070</v>
      </c>
      <c r="D82" s="26" t="s">
        <v>1071</v>
      </c>
      <c r="E82" s="26"/>
      <c r="F82" s="26"/>
      <c r="G82" s="26" t="s">
        <v>922</v>
      </c>
      <c r="H82" s="26" t="s">
        <v>886</v>
      </c>
      <c r="I82" s="29" t="str">
        <f>IF(COUNTIF(OBJETIVOS!$C$7:$C$36,D82)=0,"NO EXISTE","EXISTE")</f>
        <v>NO EXISTE</v>
      </c>
      <c r="J82" s="29" t="str">
        <f t="shared" si="2"/>
        <v/>
      </c>
      <c r="K82" s="29" t="str">
        <f>IF(I82="NO EVALUADA","NO EVALUADA",IF(LEFT(I82,6)="ERROR:","ERROR",IF(AND(ISNUMBER(G82),ISNUMBER(I82)),IF(J82&lt;=CONFIG!$B$48,"APROBADA","FALLIDA"),IF(G82=I82,"APROBADA","FALLIDA"))))</f>
        <v>APROBADA</v>
      </c>
      <c r="L82" s="26" t="s">
        <v>887</v>
      </c>
      <c r="M82" s="26"/>
    </row>
    <row r="83" spans="1:13" ht="14.25" customHeight="1">
      <c r="A83" s="26" t="s">
        <v>1072</v>
      </c>
      <c r="B83" s="26" t="s">
        <v>1056</v>
      </c>
      <c r="C83" s="26" t="s">
        <v>1073</v>
      </c>
      <c r="D83" s="26">
        <v>46204</v>
      </c>
      <c r="E83" s="26">
        <v>46174</v>
      </c>
      <c r="F83" s="26"/>
      <c r="G83" s="26" t="s">
        <v>976</v>
      </c>
      <c r="H83" s="26" t="s">
        <v>886</v>
      </c>
      <c r="I83" s="29" t="str">
        <f>IF(E83&lt;D83,"INCOHERENTE","OK")</f>
        <v>INCOHERENTE</v>
      </c>
      <c r="J83" s="29" t="str">
        <f t="shared" si="2"/>
        <v/>
      </c>
      <c r="K83" s="29" t="str">
        <f>IF(I83="NO EVALUADA","NO EVALUADA",IF(LEFT(I83,6)="ERROR:","ERROR",IF(AND(ISNUMBER(G83),ISNUMBER(I83)),IF(J83&lt;=CONFIG!$B$48,"APROBADA","FALLIDA"),IF(G83=I83,"APROBADA","FALLIDA"))))</f>
        <v>APROBADA</v>
      </c>
      <c r="L83" s="26" t="s">
        <v>887</v>
      </c>
      <c r="M83" s="26"/>
    </row>
    <row r="84" spans="1:13" ht="14.25" customHeight="1">
      <c r="A84" s="26" t="s">
        <v>1074</v>
      </c>
      <c r="B84" s="26" t="s">
        <v>375</v>
      </c>
      <c r="C84" s="26" t="s">
        <v>1075</v>
      </c>
      <c r="D84" s="26" t="s">
        <v>884</v>
      </c>
      <c r="E84" s="26" t="s">
        <v>884</v>
      </c>
      <c r="F84" s="26"/>
      <c r="G84" s="26" t="s">
        <v>893</v>
      </c>
      <c r="H84" s="26" t="s">
        <v>886</v>
      </c>
      <c r="I84" s="29" t="str">
        <f>IF(D84=E84,"VÁLIDA","CRUZADA")</f>
        <v>VÁLIDA</v>
      </c>
      <c r="J84" s="29" t="str">
        <f t="shared" si="2"/>
        <v/>
      </c>
      <c r="K84" s="29" t="str">
        <f>IF(I84="NO EVALUADA","NO EVALUADA",IF(LEFT(I84,6)="ERROR:","ERROR",IF(AND(ISNUMBER(G84),ISNUMBER(I84)),IF(J84&lt;=CONFIG!$B$48,"APROBADA","FALLIDA"),IF(G84=I84,"APROBADA","FALLIDA"))))</f>
        <v>APROBADA</v>
      </c>
      <c r="L84" s="26" t="s">
        <v>887</v>
      </c>
      <c r="M84" s="26"/>
    </row>
    <row r="85" spans="1:13" ht="14.25" customHeight="1">
      <c r="A85" s="26" t="s">
        <v>1076</v>
      </c>
      <c r="B85" s="26" t="s">
        <v>375</v>
      </c>
      <c r="C85" s="26" t="s">
        <v>1077</v>
      </c>
      <c r="D85" s="26" t="s">
        <v>1078</v>
      </c>
      <c r="E85" s="26"/>
      <c r="F85" s="26"/>
      <c r="G85" s="26" t="s">
        <v>922</v>
      </c>
      <c r="H85" s="26" t="s">
        <v>886</v>
      </c>
      <c r="I85" s="29" t="str">
        <f>IF(COUNTIF(EVALUACION!$A$7:$A$36,D85)=0,"NO EXISTE","EXISTE")</f>
        <v>NO EXISTE</v>
      </c>
      <c r="J85" s="29" t="str">
        <f t="shared" si="2"/>
        <v/>
      </c>
      <c r="K85" s="29" t="str">
        <f>IF(I85="NO EVALUADA","NO EVALUADA",IF(LEFT(I85,6)="ERROR:","ERROR",IF(AND(ISNUMBER(G85),ISNUMBER(I85)),IF(J85&lt;=CONFIG!$B$48,"APROBADA","FALLIDA"),IF(G85=I85,"APROBADA","FALLIDA"))))</f>
        <v>APROBADA</v>
      </c>
      <c r="L85" s="26" t="s">
        <v>887</v>
      </c>
      <c r="M85" s="26"/>
    </row>
    <row r="86" spans="1:13" ht="14.25" customHeight="1">
      <c r="A86" s="26" t="s">
        <v>1079</v>
      </c>
      <c r="B86" s="26" t="s">
        <v>375</v>
      </c>
      <c r="C86" s="26" t="s">
        <v>1080</v>
      </c>
      <c r="D86" s="26" t="s">
        <v>1021</v>
      </c>
      <c r="E86" s="26" t="s">
        <v>1022</v>
      </c>
      <c r="F86" s="26"/>
      <c r="G86" s="26" t="s">
        <v>1081</v>
      </c>
      <c r="H86" s="26" t="s">
        <v>886</v>
      </c>
      <c r="I86" s="29" t="str">
        <f>IF(D86&lt;&gt;E86,"CRUZADA","VÁLIDA")</f>
        <v>CRUZADA</v>
      </c>
      <c r="J86" s="29" t="str">
        <f t="shared" si="2"/>
        <v/>
      </c>
      <c r="K86" s="29" t="str">
        <f>IF(I86="NO EVALUADA","NO EVALUADA",IF(LEFT(I86,6)="ERROR:","ERROR",IF(AND(ISNUMBER(G86),ISNUMBER(I86)),IF(J86&lt;=CONFIG!$B$48,"APROBADA","FALLIDA"),IF(G86=I86,"APROBADA","FALLIDA"))))</f>
        <v>APROBADA</v>
      </c>
      <c r="L86" s="26" t="s">
        <v>887</v>
      </c>
      <c r="M86" s="26"/>
    </row>
    <row r="87" spans="1:13" ht="14.25" customHeight="1">
      <c r="A87" s="26" t="s">
        <v>1082</v>
      </c>
      <c r="B87" s="26" t="s">
        <v>375</v>
      </c>
      <c r="C87" s="26" t="s">
        <v>1083</v>
      </c>
      <c r="D87" s="26">
        <v>46204</v>
      </c>
      <c r="E87" s="26">
        <v>46174</v>
      </c>
      <c r="F87" s="26"/>
      <c r="G87" s="26" t="s">
        <v>976</v>
      </c>
      <c r="H87" s="26" t="s">
        <v>886</v>
      </c>
      <c r="I87" s="29" t="str">
        <f>IF(E87&lt;D87,"INCOHERENTE","OK")</f>
        <v>INCOHERENTE</v>
      </c>
      <c r="J87" s="29" t="str">
        <f t="shared" si="2"/>
        <v/>
      </c>
      <c r="K87" s="29" t="str">
        <f>IF(I87="NO EVALUADA","NO EVALUADA",IF(LEFT(I87,6)="ERROR:","ERROR",IF(AND(ISNUMBER(G87),ISNUMBER(I87)),IF(J87&lt;=CONFIG!$B$48,"APROBADA","FALLIDA"),IF(G87=I87,"APROBADA","FALLIDA"))))</f>
        <v>APROBADA</v>
      </c>
      <c r="L87" s="26" t="s">
        <v>887</v>
      </c>
      <c r="M87" s="26"/>
    </row>
    <row r="88" spans="1:13" ht="14.25" customHeight="1">
      <c r="A88" s="26" t="s">
        <v>1084</v>
      </c>
      <c r="B88" s="26" t="s">
        <v>375</v>
      </c>
      <c r="C88" s="26" t="s">
        <v>513</v>
      </c>
      <c r="D88" s="26">
        <v>90</v>
      </c>
      <c r="E88" s="26">
        <v>87</v>
      </c>
      <c r="F88" s="26"/>
      <c r="G88" s="26">
        <v>-3</v>
      </c>
      <c r="H88" s="26" t="s">
        <v>886</v>
      </c>
      <c r="I88" s="29">
        <f>E88-D88</f>
        <v>-3</v>
      </c>
      <c r="J88" s="29">
        <f t="shared" si="2"/>
        <v>0</v>
      </c>
      <c r="K88" s="29" t="str">
        <f>IF(I88="NO EVALUADA","NO EVALUADA",IF(LEFT(I88,6)="ERROR:","ERROR",IF(AND(ISNUMBER(G88),ISNUMBER(I88)),IF(J88&lt;=CONFIG!$B$48,"APROBADA","FALLIDA"),IF(G88=I88,"APROBADA","FALLIDA"))))</f>
        <v>APROBADA</v>
      </c>
      <c r="L88" s="26" t="s">
        <v>887</v>
      </c>
      <c r="M88" s="26"/>
    </row>
    <row r="89" spans="1:13" ht="14.25" customHeight="1">
      <c r="A89" s="26" t="s">
        <v>1085</v>
      </c>
      <c r="B89" s="26" t="s">
        <v>1086</v>
      </c>
      <c r="C89" s="26" t="s">
        <v>1087</v>
      </c>
      <c r="D89" s="26" t="s">
        <v>111</v>
      </c>
      <c r="E89" s="26"/>
      <c r="F89" s="26"/>
      <c r="G89" s="26" t="s">
        <v>918</v>
      </c>
      <c r="H89" s="26" t="s">
        <v>886</v>
      </c>
      <c r="I89" s="29" t="str">
        <f>IF(COUNTIF(PACIENTES!$A$7:$A$26,D89)=1,"EXISTE","NO EXISTE")</f>
        <v>EXISTE</v>
      </c>
      <c r="J89" s="29" t="str">
        <f t="shared" si="2"/>
        <v/>
      </c>
      <c r="K89" s="29" t="str">
        <f>IF(I89="NO EVALUADA","NO EVALUADA",IF(LEFT(I89,6)="ERROR:","ERROR",IF(AND(ISNUMBER(G89),ISNUMBER(I89)),IF(J89&lt;=CONFIG!$B$48,"APROBADA","FALLIDA"),IF(G89=I89,"APROBADA","FALLIDA"))))</f>
        <v>APROBADA</v>
      </c>
      <c r="L89" s="26" t="s">
        <v>887</v>
      </c>
      <c r="M89" s="26"/>
    </row>
    <row r="90" spans="1:13" ht="14.25" customHeight="1">
      <c r="A90" s="26" t="s">
        <v>1088</v>
      </c>
      <c r="B90" s="26" t="s">
        <v>1086</v>
      </c>
      <c r="C90" s="26" t="s">
        <v>1089</v>
      </c>
      <c r="D90" s="26" t="s">
        <v>100</v>
      </c>
      <c r="E90" s="26" t="s">
        <v>111</v>
      </c>
      <c r="F90" s="26"/>
      <c r="G90" s="26" t="s">
        <v>1090</v>
      </c>
      <c r="H90" s="26" t="s">
        <v>886</v>
      </c>
      <c r="I90" s="29" t="str">
        <f>IF(D90&lt;&gt;E90,"CAMBIA","IGUAL")</f>
        <v>CAMBIA</v>
      </c>
      <c r="J90" s="29" t="str">
        <f t="shared" si="2"/>
        <v/>
      </c>
      <c r="K90" s="29" t="str">
        <f>IF(I90="NO EVALUADA","NO EVALUADA",IF(LEFT(I90,6)="ERROR:","ERROR",IF(AND(ISNUMBER(G90),ISNUMBER(I90)),IF(J90&lt;=CONFIG!$B$48,"APROBADA","FALLIDA"),IF(G90=I90,"APROBADA","FALLIDA"))))</f>
        <v>APROBADA</v>
      </c>
      <c r="L90" s="26" t="s">
        <v>887</v>
      </c>
      <c r="M90" s="26"/>
    </row>
    <row r="91" spans="1:13" ht="14.25" customHeight="1">
      <c r="A91" s="26" t="s">
        <v>1091</v>
      </c>
      <c r="B91" s="26" t="s">
        <v>1086</v>
      </c>
      <c r="C91" s="26" t="s">
        <v>1092</v>
      </c>
      <c r="D91" s="26" t="s">
        <v>152</v>
      </c>
      <c r="E91" s="26" t="s">
        <v>154</v>
      </c>
      <c r="F91" s="26"/>
      <c r="G91" s="26" t="s">
        <v>1090</v>
      </c>
      <c r="H91" s="26" t="s">
        <v>886</v>
      </c>
      <c r="I91" s="29" t="str">
        <f>IF(D91&lt;&gt;E91,"CAMBIA","IGUAL")</f>
        <v>CAMBIA</v>
      </c>
      <c r="J91" s="29" t="str">
        <f t="shared" si="2"/>
        <v/>
      </c>
      <c r="K91" s="29" t="str">
        <f>IF(I91="NO EVALUADA","NO EVALUADA",IF(LEFT(I91,6)="ERROR:","ERROR",IF(AND(ISNUMBER(G91),ISNUMBER(I91)),IF(J91&lt;=CONFIG!$B$48,"APROBADA","FALLIDA"),IF(G91=I91,"APROBADA","FALLIDA"))))</f>
        <v>APROBADA</v>
      </c>
      <c r="L91" s="26" t="s">
        <v>887</v>
      </c>
      <c r="M91" s="26"/>
    </row>
    <row r="92" spans="1:13" ht="14.25" customHeight="1">
      <c r="A92" s="26" t="s">
        <v>1093</v>
      </c>
      <c r="B92" s="26" t="s">
        <v>1094</v>
      </c>
      <c r="C92" s="26" t="s">
        <v>1095</v>
      </c>
      <c r="D92" s="26">
        <v>0</v>
      </c>
      <c r="E92" s="26"/>
      <c r="F92" s="26"/>
      <c r="G92" s="26" t="s">
        <v>1096</v>
      </c>
      <c r="H92" s="26" t="s">
        <v>886</v>
      </c>
      <c r="I92" s="29" t="str">
        <f>IF(D92=0,"MENSAJE","GRAFICAR")</f>
        <v>MENSAJE</v>
      </c>
      <c r="J92" s="29" t="str">
        <f t="shared" si="2"/>
        <v/>
      </c>
      <c r="K92" s="29" t="str">
        <f>IF(I92="NO EVALUADA","NO EVALUADA",IF(LEFT(I92,6)="ERROR:","ERROR",IF(AND(ISNUMBER(G92),ISNUMBER(I92)),IF(J92&lt;=CONFIG!$B$48,"APROBADA","FALLIDA"),IF(G92=I92,"APROBADA","FALLIDA"))))</f>
        <v>APROBADA</v>
      </c>
      <c r="L92" s="26" t="s">
        <v>887</v>
      </c>
      <c r="M92" s="26"/>
    </row>
    <row r="93" spans="1:13" ht="14.25" customHeight="1">
      <c r="A93" s="26" t="s">
        <v>1097</v>
      </c>
      <c r="B93" s="26" t="s">
        <v>1094</v>
      </c>
      <c r="C93" s="26" t="s">
        <v>1098</v>
      </c>
      <c r="D93" s="26">
        <v>2</v>
      </c>
      <c r="E93" s="26"/>
      <c r="F93" s="26"/>
      <c r="G93" s="26" t="s">
        <v>1099</v>
      </c>
      <c r="H93" s="26" t="s">
        <v>886</v>
      </c>
      <c r="I93" s="29" t="str">
        <f>IF(D93&gt;=2,"GRAFICAR","MENSAJE")</f>
        <v>GRAFICAR</v>
      </c>
      <c r="J93" s="29" t="str">
        <f t="shared" si="2"/>
        <v/>
      </c>
      <c r="K93" s="29" t="str">
        <f>IF(I93="NO EVALUADA","NO EVALUADA",IF(LEFT(I93,6)="ERROR:","ERROR",IF(AND(ISNUMBER(G93),ISNUMBER(I93)),IF(J93&lt;=CONFIG!$B$48,"APROBADA","FALLIDA"),IF(G93=I93,"APROBADA","FALLIDA"))))</f>
        <v>APROBADA</v>
      </c>
      <c r="L93" s="26" t="s">
        <v>887</v>
      </c>
      <c r="M93" s="26"/>
    </row>
    <row r="94" spans="1:13" ht="14.25" customHeight="1">
      <c r="A94" s="26" t="s">
        <v>1100</v>
      </c>
      <c r="B94" s="26" t="s">
        <v>1101</v>
      </c>
      <c r="C94" s="26" t="s">
        <v>1102</v>
      </c>
      <c r="D94" s="26"/>
      <c r="E94" s="26"/>
      <c r="F94" s="26"/>
      <c r="G94" s="26" t="s">
        <v>1103</v>
      </c>
      <c r="H94" s="26" t="s">
        <v>886</v>
      </c>
      <c r="I94" s="29" t="str">
        <f>"NO EVALUADA"</f>
        <v>NO EVALUADA</v>
      </c>
      <c r="J94" s="29" t="str">
        <f t="shared" si="2"/>
        <v/>
      </c>
      <c r="K94" s="29" t="str">
        <f>IF(I94="NO EVALUADA","NO EVALUADA",IF(LEFT(I94,6)="ERROR:","ERROR",IF(AND(ISNUMBER(G94),ISNUMBER(I94)),IF(J94&lt;=CONFIG!$B$48,"APROBADA","FALLIDA"),IF(G94=I94,"APROBADA","FALLIDA"))))</f>
        <v>NO EVALUADA</v>
      </c>
      <c r="L94" s="26" t="s">
        <v>1104</v>
      </c>
      <c r="M94" s="26" t="s">
        <v>1105</v>
      </c>
    </row>
    <row r="95" spans="1:13" ht="24" customHeight="1">
      <c r="A95" s="26" t="s">
        <v>1106</v>
      </c>
      <c r="B95" s="26" t="s">
        <v>1107</v>
      </c>
      <c r="C95" s="26" t="s">
        <v>1108</v>
      </c>
      <c r="D95" s="26"/>
      <c r="E95" s="26"/>
      <c r="F95" s="26"/>
      <c r="G95" s="26" t="s">
        <v>1103</v>
      </c>
      <c r="H95" s="26" t="s">
        <v>886</v>
      </c>
      <c r="I95" s="29" t="str">
        <f>"NO EVALUADA"</f>
        <v>NO EVALUADA</v>
      </c>
      <c r="J95" s="29" t="str">
        <f t="shared" si="2"/>
        <v/>
      </c>
      <c r="K95" s="29" t="str">
        <f>IF(I95="NO EVALUADA","NO EVALUADA",IF(LEFT(I95,6)="ERROR:","ERROR",IF(AND(ISNUMBER(G95),ISNUMBER(I95)),IF(J95&lt;=CONFIG!$B$48,"APROBADA","FALLIDA"),IF(G95=I95,"APROBADA","FALLIDA"))))</f>
        <v>NO EVALUADA</v>
      </c>
      <c r="L95" s="26" t="s">
        <v>1104</v>
      </c>
      <c r="M95" s="26" t="s">
        <v>1109</v>
      </c>
    </row>
    <row r="98" spans="1:13" ht="19.5" customHeight="1">
      <c r="A98" s="12" t="s">
        <v>1110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4.25" customHeight="1">
      <c r="A99" s="17" t="s">
        <v>571</v>
      </c>
      <c r="B99" s="28">
        <f>COUNTA(A6:A95)</f>
        <v>90</v>
      </c>
    </row>
    <row r="100" spans="1:13" ht="14.25" customHeight="1">
      <c r="A100" s="17" t="s">
        <v>1111</v>
      </c>
      <c r="B100" s="28">
        <f>COUNTIF(K6:K95,"APROBADA")</f>
        <v>88</v>
      </c>
    </row>
    <row r="101" spans="1:13" ht="14.25" customHeight="1">
      <c r="A101" s="17" t="s">
        <v>1112</v>
      </c>
      <c r="B101" s="28">
        <f>COUNTIF(K6:K95,"FALLIDA")</f>
        <v>0</v>
      </c>
    </row>
    <row r="102" spans="1:13" ht="24" customHeight="1">
      <c r="A102" s="17" t="s">
        <v>1113</v>
      </c>
      <c r="B102" s="28">
        <f>COUNTIF(K6:K95,"NO EVALUADA")</f>
        <v>2</v>
      </c>
    </row>
    <row r="103" spans="1:13" ht="14.25" customHeight="1">
      <c r="A103" s="17" t="s">
        <v>1114</v>
      </c>
      <c r="B103" s="28">
        <f>COUNTIF(K6:K95,"ERROR")</f>
        <v>0</v>
      </c>
    </row>
    <row r="104" spans="1:13" ht="24" customHeight="1">
      <c r="A104" s="17" t="s">
        <v>1115</v>
      </c>
      <c r="B104" s="40">
        <f>IF(B99=0,0,B100/B99)</f>
        <v>0.97777777777777775</v>
      </c>
    </row>
    <row r="105" spans="1:13" ht="24" customHeight="1">
      <c r="A105" s="17" t="s">
        <v>1116</v>
      </c>
      <c r="B105" s="28">
        <f>SUM(B100:B103)</f>
        <v>90</v>
      </c>
    </row>
    <row r="108" spans="1:13" ht="19.5" customHeight="1">
      <c r="A108" s="12" t="s">
        <v>1117</v>
      </c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3" ht="14.25" customHeight="1">
      <c r="A109" s="19" t="s">
        <v>64</v>
      </c>
      <c r="B109" s="19" t="s">
        <v>1118</v>
      </c>
      <c r="C109" s="19" t="s">
        <v>1119</v>
      </c>
      <c r="D109" s="19" t="s">
        <v>1120</v>
      </c>
      <c r="E109" s="19" t="s">
        <v>881</v>
      </c>
      <c r="F109" s="19" t="s">
        <v>1121</v>
      </c>
      <c r="G109" s="19" t="s">
        <v>12</v>
      </c>
      <c r="H109" s="19" t="s">
        <v>1122</v>
      </c>
    </row>
    <row r="110" spans="1:13" ht="14.25" customHeight="1">
      <c r="A110" s="15" t="s">
        <v>197</v>
      </c>
      <c r="B110" s="15" t="s">
        <v>1123</v>
      </c>
      <c r="C110" s="15">
        <v>26.851851851851901</v>
      </c>
      <c r="D110" s="15">
        <f>INDEX(ANTROPOMETRIA!$F$7:$F$36,MATCH("E-B-02",ANTROPOMETRIA!$A$7:$A$36,0))</f>
        <v>26.851851851851851</v>
      </c>
      <c r="E110" s="15">
        <f t="shared" ref="E110:E117" si="3">ABS(C110-D110)</f>
        <v>4.9737991503207013E-14</v>
      </c>
      <c r="F110" s="15">
        <v>1E-4</v>
      </c>
      <c r="G110" s="15" t="str">
        <f t="shared" ref="G110:G117" si="4">IF(E110&lt;=F110,"APROBADA","FALLIDA")</f>
        <v>APROBADA</v>
      </c>
      <c r="H110" s="15" t="s">
        <v>1124</v>
      </c>
    </row>
    <row r="111" spans="1:13" ht="14.25" customHeight="1">
      <c r="A111" s="15" t="s">
        <v>213</v>
      </c>
      <c r="B111" s="15" t="s">
        <v>1125</v>
      </c>
      <c r="C111" s="15">
        <v>0.53333333333333299</v>
      </c>
      <c r="D111" s="15">
        <f>INDEX(ANTROPOMETRIA!$V$7:$V$36,MATCH("E-B-02",ANTROPOMETRIA!$A$7:$A$36,0))</f>
        <v>0.53333333333333333</v>
      </c>
      <c r="E111" s="15">
        <f t="shared" si="3"/>
        <v>3.3306690738754696E-16</v>
      </c>
      <c r="F111" s="15">
        <v>1E-4</v>
      </c>
      <c r="G111" s="15" t="str">
        <f t="shared" si="4"/>
        <v>APROBADA</v>
      </c>
      <c r="H111" s="15" t="s">
        <v>1124</v>
      </c>
    </row>
    <row r="112" spans="1:13" ht="14.25" customHeight="1">
      <c r="A112" s="15" t="s">
        <v>214</v>
      </c>
      <c r="B112" s="15" t="s">
        <v>1126</v>
      </c>
      <c r="C112" s="15">
        <v>0.93203883495145601</v>
      </c>
      <c r="D112" s="15">
        <f>INDEX(ANTROPOMETRIA!$W$7:$W$36,MATCH("E-B-02",ANTROPOMETRIA!$A$7:$A$36,0))</f>
        <v>0.93203883495145634</v>
      </c>
      <c r="E112" s="15">
        <f t="shared" si="3"/>
        <v>3.3306690738754696E-16</v>
      </c>
      <c r="F112" s="15">
        <v>1E-4</v>
      </c>
      <c r="G112" s="15" t="str">
        <f t="shared" si="4"/>
        <v>APROBADA</v>
      </c>
      <c r="H112" s="15" t="s">
        <v>1124</v>
      </c>
    </row>
    <row r="113" spans="1:13" ht="14.25" customHeight="1">
      <c r="A113" s="15" t="s">
        <v>951</v>
      </c>
      <c r="B113" s="15" t="s">
        <v>1127</v>
      </c>
      <c r="C113" s="15">
        <v>20.88</v>
      </c>
      <c r="D113" s="15">
        <f>INDEX(ANTROPOMETRIA!$S$7:$S$36,MATCH("E-B-02",ANTROPOMETRIA!$A$7:$A$36,0))</f>
        <v>20.88</v>
      </c>
      <c r="E113" s="15">
        <f t="shared" si="3"/>
        <v>0</v>
      </c>
      <c r="F113" s="15">
        <v>1E-4</v>
      </c>
      <c r="G113" s="15" t="str">
        <f t="shared" si="4"/>
        <v>APROBADA</v>
      </c>
      <c r="H113" s="15" t="s">
        <v>1124</v>
      </c>
    </row>
    <row r="114" spans="1:13" ht="14.25" customHeight="1">
      <c r="A114" s="15" t="s">
        <v>1128</v>
      </c>
      <c r="B114" s="15" t="s">
        <v>1129</v>
      </c>
      <c r="C114" s="15">
        <v>66.12</v>
      </c>
      <c r="D114" s="15">
        <f>INDEX(ANTROPOMETRIA!$T$7:$T$36,MATCH("E-B-02",ANTROPOMETRIA!$A$7:$A$36,0))</f>
        <v>66.12</v>
      </c>
      <c r="E114" s="15">
        <f t="shared" si="3"/>
        <v>0</v>
      </c>
      <c r="F114" s="15">
        <v>1E-4</v>
      </c>
      <c r="G114" s="15" t="str">
        <f t="shared" si="4"/>
        <v>APROBADA</v>
      </c>
      <c r="H114" s="15" t="s">
        <v>1124</v>
      </c>
    </row>
    <row r="115" spans="1:13" ht="14.25" customHeight="1">
      <c r="A115" s="15" t="s">
        <v>1130</v>
      </c>
      <c r="B115" s="15" t="s">
        <v>1131</v>
      </c>
      <c r="C115" s="15">
        <v>-3</v>
      </c>
      <c r="D115" s="15">
        <f>INDEX(SEGUIMIENTO!$H$7:$H$36,MATCH("E-B-02",SEGUIMIENTO!$A$7:$A$36,0))</f>
        <v>-3</v>
      </c>
      <c r="E115" s="15">
        <f t="shared" si="3"/>
        <v>0</v>
      </c>
      <c r="F115" s="15">
        <v>1E-4</v>
      </c>
      <c r="G115" s="15" t="str">
        <f t="shared" si="4"/>
        <v>APROBADA</v>
      </c>
      <c r="H115" s="15" t="s">
        <v>1124</v>
      </c>
    </row>
    <row r="116" spans="1:13" ht="14.25" customHeight="1">
      <c r="A116" s="15" t="s">
        <v>959</v>
      </c>
      <c r="B116" s="15" t="s">
        <v>1131</v>
      </c>
      <c r="C116" s="15">
        <v>-3.3333333333333298E-2</v>
      </c>
      <c r="D116" s="41">
        <f>INDEX(SEGUIMIENTO!$I$7:$I$36,MATCH("E-B-02",SEGUIMIENTO!$A$7:$A$36,0))</f>
        <v>-3.3333333333333333E-2</v>
      </c>
      <c r="E116" s="15">
        <f t="shared" si="3"/>
        <v>3.4694469519536142E-17</v>
      </c>
      <c r="F116" s="15">
        <v>1E-4</v>
      </c>
      <c r="G116" s="15" t="str">
        <f t="shared" si="4"/>
        <v>APROBADA</v>
      </c>
      <c r="H116" s="15" t="s">
        <v>1124</v>
      </c>
    </row>
    <row r="117" spans="1:13" ht="14.25" customHeight="1">
      <c r="A117" s="15" t="s">
        <v>1132</v>
      </c>
      <c r="B117" s="15" t="s">
        <v>1133</v>
      </c>
      <c r="C117" s="15">
        <v>61</v>
      </c>
      <c r="D117" s="15">
        <f>INDEX(SEGUIMIENTO!$E$7:$E$36,MATCH("E-B-02",SEGUIMIENTO!$A$7:$A$36,0))</f>
        <v>61</v>
      </c>
      <c r="E117" s="15">
        <f t="shared" si="3"/>
        <v>0</v>
      </c>
      <c r="F117" s="15">
        <v>1E-4</v>
      </c>
      <c r="G117" s="15" t="str">
        <f t="shared" si="4"/>
        <v>APROBADA</v>
      </c>
      <c r="H117" s="15" t="s">
        <v>1124</v>
      </c>
    </row>
    <row r="120" spans="1:13" ht="19.5" customHeight="1">
      <c r="A120" s="12" t="s">
        <v>1134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spans="1:13" ht="14.25" customHeight="1">
      <c r="A121" s="19" t="s">
        <v>1135</v>
      </c>
      <c r="B121" s="19" t="s">
        <v>882</v>
      </c>
      <c r="C121" s="19" t="s">
        <v>1136</v>
      </c>
      <c r="D121" s="19" t="s">
        <v>1137</v>
      </c>
      <c r="E121" s="19" t="s">
        <v>538</v>
      </c>
    </row>
    <row r="122" spans="1:13" ht="36" customHeight="1">
      <c r="A122" s="21" t="s">
        <v>1138</v>
      </c>
      <c r="B122" s="21" t="s">
        <v>1139</v>
      </c>
      <c r="C122" s="21" t="s">
        <v>1140</v>
      </c>
      <c r="D122" s="21" t="s">
        <v>1141</v>
      </c>
      <c r="E122" s="21" t="s">
        <v>1142</v>
      </c>
    </row>
    <row r="123" spans="1:13" ht="84" customHeight="1">
      <c r="A123" s="21" t="s">
        <v>1143</v>
      </c>
      <c r="B123" s="21" t="s">
        <v>1144</v>
      </c>
      <c r="C123" s="21" t="s">
        <v>1140</v>
      </c>
      <c r="D123" s="21" t="s">
        <v>1145</v>
      </c>
      <c r="E123" s="21" t="s">
        <v>1142</v>
      </c>
    </row>
    <row r="124" spans="1:13" ht="24" customHeight="1">
      <c r="A124" s="21" t="s">
        <v>1146</v>
      </c>
      <c r="B124" s="21" t="s">
        <v>45</v>
      </c>
      <c r="C124" s="21" t="s">
        <v>1140</v>
      </c>
      <c r="D124" s="21" t="s">
        <v>1147</v>
      </c>
      <c r="E124" s="21" t="s">
        <v>1142</v>
      </c>
    </row>
    <row r="125" spans="1:13" ht="24" customHeight="1">
      <c r="A125" s="21" t="s">
        <v>1148</v>
      </c>
      <c r="B125" s="21" t="s">
        <v>1149</v>
      </c>
      <c r="C125" s="21" t="s">
        <v>1140</v>
      </c>
      <c r="D125" s="21" t="s">
        <v>1150</v>
      </c>
      <c r="E125" s="21" t="s">
        <v>1142</v>
      </c>
    </row>
    <row r="126" spans="1:13" ht="48" customHeight="1">
      <c r="A126" s="21" t="s">
        <v>1151</v>
      </c>
      <c r="B126" s="21" t="s">
        <v>1152</v>
      </c>
      <c r="C126" s="21" t="s">
        <v>1140</v>
      </c>
      <c r="D126" s="21" t="s">
        <v>1153</v>
      </c>
      <c r="E126" s="21" t="s">
        <v>1142</v>
      </c>
    </row>
    <row r="127" spans="1:13" ht="24" customHeight="1">
      <c r="A127" s="21" t="s">
        <v>1154</v>
      </c>
      <c r="B127" s="21" t="s">
        <v>1155</v>
      </c>
      <c r="C127" s="21" t="s">
        <v>1156</v>
      </c>
      <c r="D127" s="21" t="s">
        <v>1157</v>
      </c>
      <c r="E127" s="21" t="s">
        <v>1158</v>
      </c>
    </row>
    <row r="128" spans="1:13" ht="24" customHeight="1">
      <c r="A128" s="21" t="s">
        <v>1102</v>
      </c>
      <c r="B128" s="21" t="s">
        <v>1155</v>
      </c>
      <c r="C128" s="21" t="s">
        <v>1156</v>
      </c>
      <c r="D128" s="21" t="s">
        <v>1159</v>
      </c>
      <c r="E128" s="21" t="s">
        <v>1158</v>
      </c>
    </row>
    <row r="129" spans="1:5" ht="24" customHeight="1">
      <c r="A129" s="21" t="s">
        <v>1160</v>
      </c>
      <c r="B129" s="21" t="s">
        <v>1161</v>
      </c>
      <c r="C129" s="21" t="s">
        <v>1156</v>
      </c>
      <c r="D129" s="21" t="s">
        <v>1162</v>
      </c>
      <c r="E129" s="21" t="s">
        <v>1163</v>
      </c>
    </row>
  </sheetData>
  <mergeCells count="5">
    <mergeCell ref="A1:M1"/>
    <mergeCell ref="A3:M3"/>
    <mergeCell ref="A98:M98"/>
    <mergeCell ref="A108:J108"/>
    <mergeCell ref="A120:M120"/>
  </mergeCells>
  <conditionalFormatting sqref="K6:K95">
    <cfRule type="expression" dxfId="6" priority="2">
      <formula>K6="APROBADA"</formula>
    </cfRule>
    <cfRule type="expression" dxfId="5" priority="3">
      <formula>K6="FALLIDA"</formula>
    </cfRule>
    <cfRule type="expression" dxfId="4" priority="4">
      <formula>K6="NO EVALUADA"</formula>
    </cfRule>
  </conditionalFormatting>
  <dataValidations count="1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I6:K29 I30 B99:B105" xr:uid="{00000000-0002-0000-1100-000000000000}">
      <formula1>0</formula1>
      <formula2>0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97"/>
  <sheetViews>
    <sheetView showGridLines="0" workbookViewId="0"/>
  </sheetViews>
  <sheetFormatPr baseColWidth="10" defaultColWidth="9" defaultRowHeight="15"/>
  <cols>
    <col min="1" max="2" width="28" style="15" customWidth="1"/>
    <col min="3" max="3" width="18" style="15" customWidth="1"/>
    <col min="4" max="4" width="34" style="15" customWidth="1"/>
    <col min="5" max="5" width="28" style="15" customWidth="1"/>
    <col min="6" max="6" width="16" style="15" customWidth="1"/>
    <col min="7" max="7" width="24" style="15" customWidth="1"/>
    <col min="8" max="8" width="18" style="15" customWidth="1"/>
    <col min="9" max="12" width="12" style="15" customWidth="1"/>
  </cols>
  <sheetData>
    <row r="1" spans="1:12" ht="27.75" customHeight="1">
      <c r="A1" s="14" t="s">
        <v>1164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2" ht="30" customHeight="1">
      <c r="A3" s="8" t="s">
        <v>1165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ht="19.5" customHeight="1">
      <c r="A5" s="12" t="s">
        <v>1166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14.25" customHeight="1">
      <c r="A6" s="19" t="s">
        <v>1167</v>
      </c>
      <c r="B6" s="19" t="s">
        <v>718</v>
      </c>
      <c r="C6" s="19" t="s">
        <v>59</v>
      </c>
      <c r="D6" s="19" t="s">
        <v>539</v>
      </c>
    </row>
    <row r="7" spans="1:12" ht="14.25" customHeight="1">
      <c r="A7" s="21" t="s">
        <v>7</v>
      </c>
      <c r="B7" s="21" t="s">
        <v>8</v>
      </c>
      <c r="C7" s="21" t="s">
        <v>273</v>
      </c>
      <c r="D7" s="21" t="s">
        <v>1168</v>
      </c>
    </row>
    <row r="8" spans="1:12" ht="14.25" customHeight="1">
      <c r="A8" s="21" t="s">
        <v>10</v>
      </c>
      <c r="B8" s="21" t="s">
        <v>11</v>
      </c>
      <c r="C8" s="21" t="s">
        <v>273</v>
      </c>
      <c r="D8" s="21" t="s">
        <v>1169</v>
      </c>
    </row>
    <row r="9" spans="1:12" ht="14.25" customHeight="1">
      <c r="A9" s="21" t="s">
        <v>129</v>
      </c>
      <c r="B9" s="42">
        <v>46216</v>
      </c>
      <c r="C9" s="21" t="s">
        <v>1170</v>
      </c>
      <c r="D9" s="21" t="s">
        <v>1171</v>
      </c>
    </row>
    <row r="10" spans="1:12" ht="14.25" customHeight="1">
      <c r="A10" s="21" t="s">
        <v>1172</v>
      </c>
      <c r="B10" s="21" t="s">
        <v>1173</v>
      </c>
      <c r="C10" s="21" t="s">
        <v>273</v>
      </c>
      <c r="D10" s="21" t="s">
        <v>1174</v>
      </c>
    </row>
    <row r="11" spans="1:12" ht="14.25" customHeight="1">
      <c r="A11" s="21" t="s">
        <v>18</v>
      </c>
      <c r="B11" s="21" t="s">
        <v>1175</v>
      </c>
      <c r="C11" s="21" t="s">
        <v>273</v>
      </c>
      <c r="D11" s="21" t="s">
        <v>1176</v>
      </c>
    </row>
    <row r="12" spans="1:12" ht="14.25" customHeight="1">
      <c r="A12" s="21" t="s">
        <v>1177</v>
      </c>
      <c r="B12" s="21" t="s">
        <v>1178</v>
      </c>
      <c r="C12" s="21" t="s">
        <v>273</v>
      </c>
      <c r="D12" s="21" t="s">
        <v>1179</v>
      </c>
    </row>
    <row r="13" spans="1:12" ht="14.25" customHeight="1">
      <c r="A13" s="21" t="s">
        <v>1180</v>
      </c>
      <c r="B13" s="21" t="s">
        <v>1181</v>
      </c>
      <c r="C13" s="21" t="s">
        <v>273</v>
      </c>
      <c r="D13" s="21" t="s">
        <v>1182</v>
      </c>
    </row>
    <row r="14" spans="1:12" ht="14.25" customHeight="1">
      <c r="A14" s="21" t="s">
        <v>1183</v>
      </c>
      <c r="B14" s="21" t="s">
        <v>1184</v>
      </c>
      <c r="C14" s="21" t="s">
        <v>273</v>
      </c>
      <c r="D14" s="21" t="s">
        <v>1185</v>
      </c>
    </row>
    <row r="15" spans="1:12" ht="14.25" customHeight="1">
      <c r="A15" s="21" t="s">
        <v>1186</v>
      </c>
      <c r="B15" s="21" t="s">
        <v>1187</v>
      </c>
      <c r="C15" s="21" t="s">
        <v>273</v>
      </c>
      <c r="D15" s="21" t="s">
        <v>1188</v>
      </c>
    </row>
    <row r="16" spans="1:12" ht="14.25" customHeight="1">
      <c r="A16" s="21" t="s">
        <v>1189</v>
      </c>
      <c r="B16" s="21" t="s">
        <v>1190</v>
      </c>
      <c r="C16" s="21" t="s">
        <v>273</v>
      </c>
      <c r="D16" s="21" t="s">
        <v>1191</v>
      </c>
    </row>
    <row r="17" spans="1:12" ht="14.25" customHeight="1">
      <c r="A17" s="21" t="s">
        <v>1192</v>
      </c>
      <c r="B17" s="21" t="s">
        <v>1193</v>
      </c>
      <c r="C17" s="21" t="s">
        <v>273</v>
      </c>
      <c r="D17" s="21" t="s">
        <v>1194</v>
      </c>
    </row>
    <row r="18" spans="1:12" ht="14.25" customHeight="1">
      <c r="A18" s="21" t="s">
        <v>52</v>
      </c>
      <c r="B18" s="21" t="s">
        <v>1195</v>
      </c>
      <c r="C18" s="21" t="s">
        <v>273</v>
      </c>
      <c r="D18" s="21" t="s">
        <v>1196</v>
      </c>
    </row>
    <row r="21" spans="1:12" ht="19.5" customHeight="1">
      <c r="A21" s="12" t="s">
        <v>1197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ht="14.25" customHeight="1">
      <c r="A22" s="19" t="s">
        <v>1198</v>
      </c>
      <c r="B22" s="19" t="s">
        <v>718</v>
      </c>
      <c r="C22" s="19" t="s">
        <v>1199</v>
      </c>
      <c r="D22" s="19" t="s">
        <v>539</v>
      </c>
    </row>
    <row r="23" spans="1:12" ht="14.25" customHeight="1">
      <c r="A23" s="21" t="s">
        <v>1200</v>
      </c>
      <c r="B23" s="43" t="s">
        <v>106</v>
      </c>
      <c r="C23" s="21" t="s">
        <v>1201</v>
      </c>
      <c r="D23" s="21" t="s">
        <v>1202</v>
      </c>
    </row>
    <row r="24" spans="1:12" ht="14.25" customHeight="1">
      <c r="A24" s="21" t="s">
        <v>1203</v>
      </c>
      <c r="B24" s="43" t="s">
        <v>106</v>
      </c>
      <c r="C24" s="21" t="s">
        <v>1204</v>
      </c>
      <c r="D24" s="21" t="s">
        <v>1202</v>
      </c>
    </row>
    <row r="25" spans="1:12" ht="14.25" customHeight="1">
      <c r="A25" s="21" t="s">
        <v>1205</v>
      </c>
      <c r="B25" s="43" t="s">
        <v>106</v>
      </c>
      <c r="C25" s="21" t="s">
        <v>1206</v>
      </c>
      <c r="D25" s="21" t="s">
        <v>1202</v>
      </c>
    </row>
    <row r="26" spans="1:12" ht="14.25" customHeight="1">
      <c r="A26" s="21" t="s">
        <v>1207</v>
      </c>
      <c r="B26" s="43" t="s">
        <v>106</v>
      </c>
      <c r="C26" s="21" t="s">
        <v>1206</v>
      </c>
      <c r="D26" s="21" t="s">
        <v>1202</v>
      </c>
    </row>
    <row r="27" spans="1:12" ht="14.25" customHeight="1">
      <c r="A27" s="21" t="s">
        <v>1208</v>
      </c>
      <c r="B27" s="43" t="s">
        <v>106</v>
      </c>
      <c r="C27" s="21" t="s">
        <v>1206</v>
      </c>
      <c r="D27" s="21" t="s">
        <v>1202</v>
      </c>
    </row>
    <row r="28" spans="1:12" ht="14.25" customHeight="1">
      <c r="A28" s="21" t="s">
        <v>1209</v>
      </c>
      <c r="B28" s="43" t="s">
        <v>106</v>
      </c>
      <c r="C28" s="21" t="s">
        <v>1210</v>
      </c>
      <c r="D28" s="21" t="s">
        <v>1202</v>
      </c>
    </row>
    <row r="29" spans="1:12" ht="14.25" customHeight="1">
      <c r="A29" s="21" t="s">
        <v>1211</v>
      </c>
      <c r="B29" s="43" t="s">
        <v>106</v>
      </c>
      <c r="C29" s="21" t="s">
        <v>1212</v>
      </c>
      <c r="D29" s="21" t="s">
        <v>1202</v>
      </c>
    </row>
    <row r="30" spans="1:12" ht="14.25" customHeight="1">
      <c r="A30" s="21" t="s">
        <v>1213</v>
      </c>
      <c r="B30" s="43" t="s">
        <v>229</v>
      </c>
      <c r="C30" s="21" t="s">
        <v>1214</v>
      </c>
      <c r="D30" s="21" t="s">
        <v>1202</v>
      </c>
    </row>
    <row r="31" spans="1:12" ht="14.25" customHeight="1">
      <c r="A31" s="21" t="s">
        <v>1215</v>
      </c>
      <c r="B31" s="43" t="s">
        <v>229</v>
      </c>
      <c r="C31" s="21" t="s">
        <v>1216</v>
      </c>
      <c r="D31" s="21" t="s">
        <v>1202</v>
      </c>
    </row>
    <row r="34" spans="1:12" ht="19.5" customHeight="1">
      <c r="A34" s="12" t="s">
        <v>1217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14.25" customHeight="1">
      <c r="A35" s="19" t="s">
        <v>1167</v>
      </c>
      <c r="B35" s="19" t="s">
        <v>718</v>
      </c>
      <c r="C35" s="19" t="s">
        <v>249</v>
      </c>
      <c r="D35" s="19" t="s">
        <v>539</v>
      </c>
    </row>
    <row r="36" spans="1:12" ht="14.25" customHeight="1">
      <c r="A36" s="21" t="s">
        <v>700</v>
      </c>
      <c r="B36" s="43">
        <v>18</v>
      </c>
      <c r="C36" s="21" t="s">
        <v>1218</v>
      </c>
      <c r="D36" s="21" t="s">
        <v>1219</v>
      </c>
    </row>
    <row r="37" spans="1:12" ht="14.25" customHeight="1">
      <c r="A37" s="21" t="s">
        <v>701</v>
      </c>
      <c r="B37" s="43">
        <v>120</v>
      </c>
      <c r="C37" s="21" t="s">
        <v>1218</v>
      </c>
      <c r="D37" s="21" t="s">
        <v>1219</v>
      </c>
    </row>
    <row r="38" spans="1:12" ht="14.25" customHeight="1">
      <c r="A38" s="21" t="s">
        <v>1220</v>
      </c>
      <c r="B38" s="43">
        <v>20</v>
      </c>
      <c r="C38" s="21" t="s">
        <v>564</v>
      </c>
      <c r="D38" s="21" t="s">
        <v>1219</v>
      </c>
    </row>
    <row r="39" spans="1:12" ht="14.25" customHeight="1">
      <c r="A39" s="21" t="s">
        <v>1221</v>
      </c>
      <c r="B39" s="43">
        <v>350</v>
      </c>
      <c r="C39" s="21" t="s">
        <v>564</v>
      </c>
      <c r="D39" s="21" t="s">
        <v>1219</v>
      </c>
    </row>
    <row r="40" spans="1:12" ht="14.25" customHeight="1">
      <c r="A40" s="21" t="s">
        <v>1222</v>
      </c>
      <c r="B40" s="43">
        <v>100</v>
      </c>
      <c r="C40" s="21" t="s">
        <v>565</v>
      </c>
      <c r="D40" s="21" t="s">
        <v>1219</v>
      </c>
    </row>
    <row r="41" spans="1:12" ht="14.25" customHeight="1">
      <c r="A41" s="21" t="s">
        <v>1223</v>
      </c>
      <c r="B41" s="43">
        <v>230</v>
      </c>
      <c r="C41" s="21" t="s">
        <v>565</v>
      </c>
      <c r="D41" s="21" t="s">
        <v>1219</v>
      </c>
    </row>
    <row r="42" spans="1:12" ht="14.25" customHeight="1">
      <c r="A42" s="21" t="s">
        <v>1224</v>
      </c>
      <c r="B42" s="43">
        <v>30</v>
      </c>
      <c r="C42" s="21" t="s">
        <v>565</v>
      </c>
      <c r="D42" s="21" t="s">
        <v>1219</v>
      </c>
    </row>
    <row r="43" spans="1:12" ht="14.25" customHeight="1">
      <c r="A43" s="21" t="s">
        <v>1225</v>
      </c>
      <c r="B43" s="43">
        <v>250</v>
      </c>
      <c r="C43" s="21" t="s">
        <v>565</v>
      </c>
      <c r="D43" s="21" t="s">
        <v>1219</v>
      </c>
    </row>
    <row r="44" spans="1:12" ht="14.25" customHeight="1">
      <c r="A44" s="21" t="s">
        <v>1226</v>
      </c>
      <c r="B44" s="43">
        <v>40</v>
      </c>
      <c r="C44" s="21" t="s">
        <v>565</v>
      </c>
      <c r="D44" s="21" t="s">
        <v>1219</v>
      </c>
    </row>
    <row r="45" spans="1:12" ht="14.25" customHeight="1">
      <c r="A45" s="21" t="s">
        <v>1227</v>
      </c>
      <c r="B45" s="43">
        <v>300</v>
      </c>
      <c r="C45" s="21" t="s">
        <v>565</v>
      </c>
      <c r="D45" s="21" t="s">
        <v>1219</v>
      </c>
    </row>
    <row r="46" spans="1:12" ht="14.25" customHeight="1">
      <c r="A46" s="21" t="s">
        <v>1228</v>
      </c>
      <c r="B46" s="43">
        <v>0</v>
      </c>
      <c r="C46" s="21" t="s">
        <v>568</v>
      </c>
      <c r="D46" s="21" t="s">
        <v>1219</v>
      </c>
    </row>
    <row r="47" spans="1:12" ht="14.25" customHeight="1">
      <c r="A47" s="21" t="s">
        <v>1229</v>
      </c>
      <c r="B47" s="43">
        <v>70</v>
      </c>
      <c r="C47" s="21" t="s">
        <v>568</v>
      </c>
      <c r="D47" s="21" t="s">
        <v>1219</v>
      </c>
    </row>
    <row r="48" spans="1:12" ht="14.25" customHeight="1">
      <c r="A48" s="21" t="s">
        <v>1121</v>
      </c>
      <c r="B48" s="43">
        <v>1E-4</v>
      </c>
      <c r="C48" s="21" t="s">
        <v>262</v>
      </c>
      <c r="D48" s="21" t="s">
        <v>1219</v>
      </c>
    </row>
    <row r="49" spans="1:12" ht="14.25" customHeight="1">
      <c r="A49" s="21" t="s">
        <v>1230</v>
      </c>
      <c r="B49" s="43">
        <v>10</v>
      </c>
      <c r="C49" s="21" t="s">
        <v>1231</v>
      </c>
      <c r="D49" s="21" t="s">
        <v>1219</v>
      </c>
    </row>
    <row r="50" spans="1:12" ht="14.25" customHeight="1">
      <c r="A50" s="21" t="s">
        <v>1232</v>
      </c>
      <c r="B50" s="43">
        <v>500</v>
      </c>
      <c r="C50" s="21" t="s">
        <v>1233</v>
      </c>
      <c r="D50" s="21" t="s">
        <v>1219</v>
      </c>
    </row>
    <row r="53" spans="1:12" ht="19.5" customHeight="1">
      <c r="A53" s="12" t="s">
        <v>1234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ht="14.25" customHeight="1">
      <c r="A54" s="19" t="s">
        <v>537</v>
      </c>
      <c r="B54" s="19" t="s">
        <v>1235</v>
      </c>
      <c r="C54" s="19" t="s">
        <v>12</v>
      </c>
      <c r="D54" s="19" t="s">
        <v>539</v>
      </c>
    </row>
    <row r="55" spans="1:12" ht="14.25" customHeight="1">
      <c r="A55" s="21" t="s">
        <v>76</v>
      </c>
      <c r="B55" s="21" t="s">
        <v>1236</v>
      </c>
      <c r="C55" s="21" t="s">
        <v>101</v>
      </c>
      <c r="D55" s="21" t="s">
        <v>1237</v>
      </c>
    </row>
    <row r="56" spans="1:12" ht="14.25" customHeight="1">
      <c r="A56" s="21" t="s">
        <v>128</v>
      </c>
      <c r="B56" s="21" t="s">
        <v>1236</v>
      </c>
      <c r="C56" s="21" t="s">
        <v>101</v>
      </c>
      <c r="D56" s="21" t="s">
        <v>1237</v>
      </c>
    </row>
    <row r="57" spans="1:12" ht="14.25" customHeight="1">
      <c r="A57" s="21" t="s">
        <v>1238</v>
      </c>
      <c r="B57" s="21" t="s">
        <v>1239</v>
      </c>
      <c r="C57" s="21" t="s">
        <v>101</v>
      </c>
      <c r="D57" s="21" t="s">
        <v>1237</v>
      </c>
    </row>
    <row r="58" spans="1:12" ht="14.25" customHeight="1">
      <c r="A58" s="21" t="s">
        <v>1240</v>
      </c>
      <c r="B58" s="21" t="s">
        <v>1241</v>
      </c>
      <c r="C58" s="21" t="s">
        <v>101</v>
      </c>
      <c r="D58" s="21" t="s">
        <v>1237</v>
      </c>
    </row>
    <row r="59" spans="1:12" ht="14.25" customHeight="1">
      <c r="A59" s="21" t="s">
        <v>1242</v>
      </c>
      <c r="B59" s="21" t="s">
        <v>1243</v>
      </c>
      <c r="C59" s="21" t="s">
        <v>101</v>
      </c>
      <c r="D59" s="21" t="s">
        <v>1237</v>
      </c>
    </row>
    <row r="60" spans="1:12" ht="36" customHeight="1">
      <c r="A60" s="21" t="s">
        <v>1244</v>
      </c>
      <c r="B60" s="21" t="s">
        <v>1245</v>
      </c>
      <c r="C60" s="21" t="s">
        <v>1156</v>
      </c>
      <c r="D60" s="21" t="s">
        <v>1237</v>
      </c>
    </row>
    <row r="61" spans="1:12" ht="24" customHeight="1">
      <c r="A61" s="21" t="s">
        <v>1246</v>
      </c>
      <c r="B61" s="21" t="s">
        <v>1247</v>
      </c>
      <c r="C61" s="21" t="s">
        <v>1156</v>
      </c>
      <c r="D61" s="21" t="s">
        <v>1237</v>
      </c>
    </row>
    <row r="62" spans="1:12" ht="24" customHeight="1">
      <c r="A62" s="21" t="s">
        <v>1160</v>
      </c>
      <c r="B62" s="21" t="s">
        <v>1248</v>
      </c>
      <c r="C62" s="21" t="s">
        <v>1156</v>
      </c>
      <c r="D62" s="21" t="s">
        <v>1237</v>
      </c>
    </row>
    <row r="63" spans="1:12" ht="39" customHeight="1">
      <c r="A63" s="44" t="s">
        <v>1249</v>
      </c>
      <c r="B63" s="45" t="s">
        <v>1250</v>
      </c>
      <c r="C63" s="45" t="s">
        <v>394</v>
      </c>
      <c r="D63" s="45" t="s">
        <v>1251</v>
      </c>
    </row>
    <row r="64" spans="1:12" ht="15" customHeight="1">
      <c r="A64" s="44" t="s">
        <v>1252</v>
      </c>
      <c r="B64" s="45" t="s">
        <v>1253</v>
      </c>
      <c r="C64" s="45" t="s">
        <v>117</v>
      </c>
      <c r="D64" s="45" t="s">
        <v>1254</v>
      </c>
    </row>
    <row r="65" spans="1:8" ht="26.25" customHeight="1">
      <c r="A65" s="44" t="s">
        <v>1255</v>
      </c>
      <c r="B65" s="45" t="s">
        <v>11</v>
      </c>
      <c r="C65" s="45" t="s">
        <v>101</v>
      </c>
      <c r="D65" s="45" t="s">
        <v>1256</v>
      </c>
    </row>
    <row r="66" spans="1:8" ht="19.5" customHeight="1">
      <c r="A66" s="12" t="s">
        <v>1257</v>
      </c>
      <c r="B66" s="12"/>
      <c r="C66" s="12"/>
      <c r="D66" s="12"/>
      <c r="E66" s="12"/>
      <c r="F66" s="12"/>
      <c r="G66" s="12"/>
      <c r="H66" s="12"/>
    </row>
    <row r="67" spans="1:8" ht="36" customHeight="1">
      <c r="A67" s="19" t="s">
        <v>1258</v>
      </c>
      <c r="B67" s="19" t="s">
        <v>1259</v>
      </c>
      <c r="C67" s="19" t="s">
        <v>1260</v>
      </c>
      <c r="D67" s="19" t="s">
        <v>1261</v>
      </c>
      <c r="E67" s="19" t="s">
        <v>879</v>
      </c>
      <c r="F67" s="19" t="s">
        <v>1262</v>
      </c>
      <c r="G67" s="19" t="s">
        <v>702</v>
      </c>
      <c r="H67" s="19" t="s">
        <v>12</v>
      </c>
    </row>
    <row r="68" spans="1:8" ht="14.25" customHeight="1">
      <c r="A68" s="26" t="s">
        <v>1263</v>
      </c>
      <c r="B68" s="26" t="s">
        <v>39</v>
      </c>
      <c r="C68" s="26" t="s">
        <v>75</v>
      </c>
      <c r="D68" s="26" t="s">
        <v>76</v>
      </c>
      <c r="E68" s="26" t="s">
        <v>1264</v>
      </c>
      <c r="F68" s="26" t="s">
        <v>1265</v>
      </c>
      <c r="G68" s="26" t="s">
        <v>1266</v>
      </c>
      <c r="H68" s="26" t="s">
        <v>1267</v>
      </c>
    </row>
    <row r="69" spans="1:8" ht="14.25" customHeight="1">
      <c r="A69" s="26" t="s">
        <v>1268</v>
      </c>
      <c r="B69" s="26" t="s">
        <v>40</v>
      </c>
      <c r="C69" s="26" t="s">
        <v>127</v>
      </c>
      <c r="D69" s="26" t="s">
        <v>128</v>
      </c>
      <c r="E69" s="26" t="s">
        <v>1269</v>
      </c>
      <c r="F69" s="26" t="s">
        <v>1270</v>
      </c>
      <c r="G69" s="26" t="s">
        <v>1266</v>
      </c>
      <c r="H69" s="26" t="s">
        <v>1267</v>
      </c>
    </row>
    <row r="70" spans="1:8" ht="14.25" customHeight="1">
      <c r="A70" s="26" t="s">
        <v>510</v>
      </c>
      <c r="B70" s="26" t="s">
        <v>42</v>
      </c>
      <c r="C70" s="26" t="s">
        <v>194</v>
      </c>
      <c r="D70" s="26" t="s">
        <v>1271</v>
      </c>
      <c r="E70" s="26" t="s">
        <v>1272</v>
      </c>
      <c r="F70" s="26" t="s">
        <v>1273</v>
      </c>
      <c r="G70" s="26" t="s">
        <v>1274</v>
      </c>
      <c r="H70" s="26" t="s">
        <v>1267</v>
      </c>
    </row>
    <row r="71" spans="1:8" ht="14.25" customHeight="1">
      <c r="A71" s="26" t="s">
        <v>968</v>
      </c>
      <c r="B71" s="26" t="s">
        <v>43</v>
      </c>
      <c r="C71" s="26" t="s">
        <v>244</v>
      </c>
      <c r="D71" s="26" t="s">
        <v>1275</v>
      </c>
      <c r="E71" s="26" t="s">
        <v>1276</v>
      </c>
      <c r="F71" s="26" t="s">
        <v>1277</v>
      </c>
      <c r="G71" s="26" t="s">
        <v>254</v>
      </c>
      <c r="H71" s="26" t="s">
        <v>1267</v>
      </c>
    </row>
    <row r="72" spans="1:8" ht="14.25" customHeight="1">
      <c r="A72" s="26" t="s">
        <v>1278</v>
      </c>
      <c r="B72" s="26" t="s">
        <v>45</v>
      </c>
      <c r="C72" s="26" t="s">
        <v>1279</v>
      </c>
      <c r="D72" s="26" t="s">
        <v>1280</v>
      </c>
      <c r="E72" s="26" t="s">
        <v>1281</v>
      </c>
      <c r="F72" s="26" t="s">
        <v>1282</v>
      </c>
      <c r="G72" s="26" t="s">
        <v>1283</v>
      </c>
      <c r="H72" s="26" t="s">
        <v>1267</v>
      </c>
    </row>
    <row r="73" spans="1:8" ht="14.25" customHeight="1">
      <c r="A73" s="26" t="s">
        <v>1041</v>
      </c>
      <c r="B73" s="26" t="s">
        <v>48</v>
      </c>
      <c r="C73" s="26" t="s">
        <v>407</v>
      </c>
      <c r="D73" s="26" t="s">
        <v>1284</v>
      </c>
      <c r="E73" s="26" t="s">
        <v>1285</v>
      </c>
      <c r="F73" s="26" t="s">
        <v>1286</v>
      </c>
      <c r="G73" s="26" t="s">
        <v>1287</v>
      </c>
      <c r="H73" s="26" t="s">
        <v>1267</v>
      </c>
    </row>
    <row r="74" spans="1:8" ht="14.25" customHeight="1">
      <c r="A74" s="26" t="s">
        <v>375</v>
      </c>
      <c r="B74" s="26" t="s">
        <v>51</v>
      </c>
      <c r="C74" s="26" t="s">
        <v>479</v>
      </c>
      <c r="D74" s="26" t="s">
        <v>1288</v>
      </c>
      <c r="E74" s="26" t="s">
        <v>1289</v>
      </c>
      <c r="F74" s="26" t="s">
        <v>1290</v>
      </c>
      <c r="G74" s="26" t="s">
        <v>1291</v>
      </c>
      <c r="H74" s="26" t="s">
        <v>1267</v>
      </c>
    </row>
    <row r="75" spans="1:8" ht="14.25" customHeight="1">
      <c r="A75" s="26" t="s">
        <v>1086</v>
      </c>
      <c r="B75" s="26" t="s">
        <v>2</v>
      </c>
      <c r="C75" s="26"/>
      <c r="D75" s="26" t="s">
        <v>1292</v>
      </c>
      <c r="E75" s="26" t="s">
        <v>1293</v>
      </c>
      <c r="F75" s="26" t="s">
        <v>1294</v>
      </c>
      <c r="G75" s="26" t="s">
        <v>1266</v>
      </c>
      <c r="H75" s="26" t="s">
        <v>1267</v>
      </c>
    </row>
    <row r="76" spans="1:8" ht="14.25" customHeight="1">
      <c r="A76" s="26" t="s">
        <v>1101</v>
      </c>
      <c r="B76" s="26" t="s">
        <v>2</v>
      </c>
      <c r="C76" s="26"/>
      <c r="D76" s="26" t="s">
        <v>1295</v>
      </c>
      <c r="E76" s="26" t="s">
        <v>1296</v>
      </c>
      <c r="F76" s="26" t="s">
        <v>1100</v>
      </c>
      <c r="G76" s="26" t="s">
        <v>1297</v>
      </c>
      <c r="H76" s="26" t="s">
        <v>1156</v>
      </c>
    </row>
    <row r="77" spans="1:8" ht="14.25" customHeight="1">
      <c r="A77" s="26" t="s">
        <v>1298</v>
      </c>
      <c r="B77" s="26" t="s">
        <v>1299</v>
      </c>
      <c r="C77" s="26" t="s">
        <v>1107</v>
      </c>
      <c r="D77" s="26" t="s">
        <v>1300</v>
      </c>
      <c r="E77" s="26" t="s">
        <v>1301</v>
      </c>
      <c r="F77" s="26" t="s">
        <v>1106</v>
      </c>
      <c r="G77" s="26" t="s">
        <v>1297</v>
      </c>
      <c r="H77" s="26" t="s">
        <v>1302</v>
      </c>
    </row>
    <row r="78" spans="1:8" ht="14.25" customHeight="1">
      <c r="A78" s="26"/>
      <c r="B78" s="26"/>
      <c r="C78" s="26"/>
      <c r="D78" s="26"/>
      <c r="E78" s="26"/>
      <c r="F78" s="26"/>
      <c r="G78" s="26"/>
      <c r="H78" s="26"/>
    </row>
    <row r="79" spans="1:8" ht="14.25" customHeight="1">
      <c r="A79" s="26"/>
      <c r="B79" s="26"/>
      <c r="C79" s="26"/>
      <c r="D79" s="26"/>
      <c r="E79" s="26"/>
      <c r="F79" s="26"/>
      <c r="G79" s="26"/>
      <c r="H79" s="26"/>
    </row>
    <row r="80" spans="1:8" ht="14.25" customHeight="1">
      <c r="A80" s="26"/>
      <c r="B80" s="26"/>
      <c r="C80" s="26"/>
      <c r="D80" s="26"/>
      <c r="E80" s="26"/>
      <c r="F80" s="26"/>
      <c r="G80" s="26"/>
      <c r="H80" s="26"/>
    </row>
    <row r="81" spans="1:8" ht="14.25" customHeight="1">
      <c r="A81" s="26"/>
      <c r="B81" s="26"/>
      <c r="C81" s="26"/>
      <c r="D81" s="26"/>
      <c r="E81" s="26"/>
      <c r="F81" s="26"/>
      <c r="G81" s="26"/>
      <c r="H81" s="26"/>
    </row>
    <row r="82" spans="1:8" ht="14.25" customHeight="1">
      <c r="A82" s="26"/>
      <c r="B82" s="26"/>
      <c r="C82" s="26"/>
      <c r="D82" s="26"/>
      <c r="E82" s="26"/>
      <c r="F82" s="26"/>
      <c r="G82" s="26"/>
      <c r="H82" s="26"/>
    </row>
    <row r="83" spans="1:8" ht="14.25" customHeight="1">
      <c r="A83" s="26"/>
      <c r="B83" s="26"/>
      <c r="C83" s="26"/>
      <c r="D83" s="26"/>
      <c r="E83" s="26"/>
      <c r="F83" s="26"/>
      <c r="G83" s="26"/>
      <c r="H83" s="26"/>
    </row>
    <row r="84" spans="1:8" ht="14.25" customHeight="1">
      <c r="A84" s="26"/>
      <c r="B84" s="26"/>
      <c r="C84" s="26"/>
      <c r="D84" s="26"/>
      <c r="E84" s="26"/>
      <c r="F84" s="26"/>
      <c r="G84" s="26"/>
      <c r="H84" s="26"/>
    </row>
    <row r="85" spans="1:8" ht="14.25" customHeight="1">
      <c r="A85" s="26"/>
      <c r="B85" s="26"/>
      <c r="C85" s="26"/>
      <c r="D85" s="26"/>
      <c r="E85" s="26"/>
      <c r="F85" s="26"/>
      <c r="G85" s="26"/>
      <c r="H85" s="26"/>
    </row>
    <row r="86" spans="1:8" ht="14.25" customHeight="1">
      <c r="A86" s="26"/>
      <c r="B86" s="26"/>
      <c r="C86" s="26"/>
      <c r="D86" s="26"/>
      <c r="E86" s="26"/>
      <c r="F86" s="26"/>
      <c r="G86" s="26"/>
      <c r="H86" s="26"/>
    </row>
    <row r="87" spans="1:8" ht="14.25" customHeight="1">
      <c r="A87" s="26"/>
      <c r="B87" s="26"/>
      <c r="C87" s="26"/>
      <c r="D87" s="26"/>
      <c r="E87" s="26"/>
      <c r="F87" s="26"/>
      <c r="G87" s="26"/>
      <c r="H87" s="26"/>
    </row>
    <row r="88" spans="1:8" ht="14.25" customHeight="1">
      <c r="A88" s="26"/>
      <c r="B88" s="26"/>
      <c r="C88" s="26"/>
      <c r="D88" s="26"/>
      <c r="E88" s="26"/>
      <c r="F88" s="26"/>
      <c r="G88" s="26"/>
      <c r="H88" s="26"/>
    </row>
    <row r="89" spans="1:8" ht="14.25" customHeight="1">
      <c r="A89" s="26"/>
      <c r="B89" s="26"/>
      <c r="C89" s="26"/>
      <c r="D89" s="26"/>
      <c r="E89" s="26"/>
      <c r="F89" s="26"/>
      <c r="G89" s="26"/>
      <c r="H89" s="26"/>
    </row>
    <row r="90" spans="1:8" ht="14.25" customHeight="1">
      <c r="A90" s="26"/>
      <c r="B90" s="26"/>
      <c r="C90" s="26"/>
      <c r="D90" s="26"/>
      <c r="E90" s="26"/>
      <c r="F90" s="26"/>
      <c r="G90" s="26"/>
      <c r="H90" s="26"/>
    </row>
    <row r="91" spans="1:8" ht="14.25" customHeight="1">
      <c r="A91" s="26"/>
      <c r="B91" s="26"/>
      <c r="C91" s="26"/>
      <c r="D91" s="26"/>
      <c r="E91" s="26"/>
      <c r="F91" s="26"/>
      <c r="G91" s="26"/>
      <c r="H91" s="26"/>
    </row>
    <row r="92" spans="1:8" ht="14.25" customHeight="1">
      <c r="A92" s="26"/>
      <c r="B92" s="26"/>
      <c r="C92" s="26"/>
      <c r="D92" s="26"/>
      <c r="E92" s="26"/>
      <c r="F92" s="26"/>
      <c r="G92" s="26"/>
      <c r="H92" s="26"/>
    </row>
    <row r="93" spans="1:8" ht="14.25" customHeight="1">
      <c r="A93" s="26"/>
      <c r="B93" s="26"/>
      <c r="C93" s="26"/>
      <c r="D93" s="26"/>
      <c r="E93" s="26"/>
      <c r="F93" s="26"/>
      <c r="G93" s="26"/>
      <c r="H93" s="26"/>
    </row>
    <row r="94" spans="1:8" ht="14.25" customHeight="1">
      <c r="A94" s="26"/>
      <c r="B94" s="26"/>
      <c r="C94" s="26"/>
      <c r="D94" s="26"/>
      <c r="E94" s="26"/>
      <c r="F94" s="26"/>
      <c r="G94" s="26"/>
      <c r="H94" s="26"/>
    </row>
    <row r="95" spans="1:8" ht="14.25" customHeight="1">
      <c r="A95" s="26"/>
      <c r="B95" s="26"/>
      <c r="C95" s="26"/>
      <c r="D95" s="26"/>
      <c r="E95" s="26"/>
      <c r="F95" s="26"/>
      <c r="G95" s="26"/>
      <c r="H95" s="26"/>
    </row>
    <row r="96" spans="1:8" ht="14.25" customHeight="1">
      <c r="A96" s="26"/>
      <c r="B96" s="26"/>
      <c r="C96" s="26"/>
      <c r="D96" s="26"/>
      <c r="E96" s="26"/>
      <c r="F96" s="26"/>
      <c r="G96" s="26"/>
      <c r="H96" s="26"/>
    </row>
    <row r="97" spans="1:8" ht="14.25" customHeight="1">
      <c r="A97" s="26"/>
      <c r="B97" s="26"/>
      <c r="C97" s="26"/>
      <c r="D97" s="26"/>
      <c r="E97" s="26"/>
      <c r="F97" s="26"/>
      <c r="G97" s="26"/>
      <c r="H97" s="26"/>
    </row>
  </sheetData>
  <mergeCells count="7">
    <mergeCell ref="A53:L53"/>
    <mergeCell ref="A66:H66"/>
    <mergeCell ref="A1:L1"/>
    <mergeCell ref="A3:L3"/>
    <mergeCell ref="A5:L5"/>
    <mergeCell ref="A21:L21"/>
    <mergeCell ref="A34:L34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"/>
  <sheetViews>
    <sheetView showGridLines="0" workbookViewId="0"/>
  </sheetViews>
  <sheetFormatPr baseColWidth="10" defaultColWidth="9" defaultRowHeight="15"/>
  <cols>
    <col min="1" max="1" width="10" style="15" customWidth="1"/>
    <col min="2" max="2" width="12" style="15" customWidth="1"/>
    <col min="3" max="3" width="30" style="15" customWidth="1"/>
    <col min="4" max="4" width="32" style="15" customWidth="1"/>
    <col min="5" max="5" width="18" style="15" customWidth="1"/>
    <col min="6" max="6" width="22" style="15" customWidth="1"/>
    <col min="7" max="7" width="28" style="15" customWidth="1"/>
    <col min="8" max="8" width="26" style="15" customWidth="1"/>
  </cols>
  <sheetData>
    <row r="1" spans="1:8" ht="27.75" customHeight="1">
      <c r="A1" s="14" t="s">
        <v>1403</v>
      </c>
      <c r="B1" s="14"/>
      <c r="C1" s="14"/>
      <c r="D1" s="14"/>
      <c r="E1" s="14"/>
      <c r="F1" s="14"/>
      <c r="G1" s="14"/>
      <c r="H1" s="14"/>
    </row>
    <row r="2" spans="1:8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5" spans="1:8" ht="14.25" customHeight="1">
      <c r="A5" s="19" t="s">
        <v>10</v>
      </c>
      <c r="B5" s="19" t="s">
        <v>129</v>
      </c>
      <c r="C5" s="19" t="s">
        <v>1404</v>
      </c>
      <c r="D5" s="19" t="s">
        <v>401</v>
      </c>
      <c r="E5" s="19" t="s">
        <v>438</v>
      </c>
      <c r="F5" s="19" t="s">
        <v>12</v>
      </c>
      <c r="G5" s="19" t="s">
        <v>1405</v>
      </c>
      <c r="H5" s="19" t="s">
        <v>1406</v>
      </c>
    </row>
    <row r="6" spans="1:8" ht="24" customHeight="1">
      <c r="A6" s="21" t="s">
        <v>1407</v>
      </c>
      <c r="B6" s="42">
        <v>46216</v>
      </c>
      <c r="C6" s="21" t="s">
        <v>1408</v>
      </c>
      <c r="D6" s="21" t="s">
        <v>1409</v>
      </c>
      <c r="E6" s="21" t="s">
        <v>1410</v>
      </c>
      <c r="F6" s="21" t="s">
        <v>1411</v>
      </c>
      <c r="G6" s="21" t="s">
        <v>1412</v>
      </c>
      <c r="H6" s="21" t="s">
        <v>1413</v>
      </c>
    </row>
    <row r="7" spans="1:8" ht="24" customHeight="1">
      <c r="A7" s="21" t="s">
        <v>1407</v>
      </c>
      <c r="B7" s="42">
        <v>46216</v>
      </c>
      <c r="C7" s="21" t="s">
        <v>1414</v>
      </c>
      <c r="D7" s="21" t="s">
        <v>1415</v>
      </c>
      <c r="E7" s="21" t="s">
        <v>1410</v>
      </c>
      <c r="F7" s="21" t="s">
        <v>1416</v>
      </c>
      <c r="G7" s="21" t="s">
        <v>1417</v>
      </c>
      <c r="H7" s="21" t="s">
        <v>1418</v>
      </c>
    </row>
    <row r="8" spans="1:8" ht="14.25" customHeight="1">
      <c r="A8" s="21" t="s">
        <v>1407</v>
      </c>
      <c r="B8" s="42">
        <v>46216</v>
      </c>
      <c r="C8" s="21" t="s">
        <v>1419</v>
      </c>
      <c r="D8" s="21" t="s">
        <v>1420</v>
      </c>
      <c r="E8" s="21" t="s">
        <v>1410</v>
      </c>
      <c r="F8" s="21" t="s">
        <v>1416</v>
      </c>
      <c r="G8" s="21" t="s">
        <v>45</v>
      </c>
      <c r="H8" s="21" t="s">
        <v>1421</v>
      </c>
    </row>
    <row r="9" spans="1:8" ht="14.25" customHeight="1">
      <c r="A9" s="21" t="s">
        <v>1407</v>
      </c>
      <c r="B9" s="42">
        <v>46216</v>
      </c>
      <c r="C9" s="21" t="s">
        <v>1422</v>
      </c>
      <c r="D9" s="21" t="s">
        <v>1423</v>
      </c>
      <c r="E9" s="21" t="s">
        <v>1410</v>
      </c>
      <c r="F9" s="21" t="s">
        <v>1416</v>
      </c>
      <c r="G9" s="21" t="s">
        <v>1424</v>
      </c>
      <c r="H9" s="21" t="s">
        <v>1425</v>
      </c>
    </row>
    <row r="10" spans="1:8" ht="14.25" customHeight="1">
      <c r="A10" s="21" t="s">
        <v>1407</v>
      </c>
      <c r="B10" s="42">
        <v>46216</v>
      </c>
      <c r="C10" s="21" t="s">
        <v>1426</v>
      </c>
      <c r="D10" s="21" t="s">
        <v>1427</v>
      </c>
      <c r="E10" s="21" t="s">
        <v>1410</v>
      </c>
      <c r="F10" s="21" t="s">
        <v>1428</v>
      </c>
      <c r="G10" s="21" t="s">
        <v>1429</v>
      </c>
      <c r="H10" s="21" t="s">
        <v>1430</v>
      </c>
    </row>
    <row r="11" spans="1:8" ht="14.25" customHeight="1">
      <c r="A11" s="21" t="s">
        <v>1407</v>
      </c>
      <c r="B11" s="42">
        <v>46216</v>
      </c>
      <c r="C11" s="21" t="s">
        <v>1431</v>
      </c>
      <c r="D11" s="21" t="s">
        <v>1427</v>
      </c>
      <c r="E11" s="21" t="s">
        <v>1410</v>
      </c>
      <c r="F11" s="21" t="s">
        <v>1428</v>
      </c>
      <c r="G11" s="21" t="s">
        <v>1432</v>
      </c>
      <c r="H11" s="21" t="s">
        <v>1433</v>
      </c>
    </row>
    <row r="12" spans="1:8" ht="14.25" customHeight="1">
      <c r="A12" s="21" t="s">
        <v>1407</v>
      </c>
      <c r="B12" s="42">
        <v>46216</v>
      </c>
      <c r="C12" s="21" t="s">
        <v>1434</v>
      </c>
      <c r="D12" s="21" t="s">
        <v>1435</v>
      </c>
      <c r="E12" s="21" t="s">
        <v>1410</v>
      </c>
      <c r="F12" s="21" t="s">
        <v>1436</v>
      </c>
      <c r="G12" s="21" t="s">
        <v>1437</v>
      </c>
      <c r="H12" s="21" t="s">
        <v>1438</v>
      </c>
    </row>
    <row r="13" spans="1:8" ht="78.75" customHeight="1">
      <c r="A13" s="45" t="s">
        <v>11</v>
      </c>
      <c r="B13" s="45" t="s">
        <v>1439</v>
      </c>
      <c r="C13" s="45" t="s">
        <v>1440</v>
      </c>
      <c r="D13" s="45" t="s">
        <v>1441</v>
      </c>
      <c r="E13" s="45" t="s">
        <v>1442</v>
      </c>
      <c r="F13" s="45" t="s">
        <v>1443</v>
      </c>
      <c r="G13" s="45" t="s">
        <v>1444</v>
      </c>
      <c r="H13" s="45" t="s">
        <v>1445</v>
      </c>
    </row>
    <row r="14" spans="1:8" ht="95.25" customHeight="1">
      <c r="A14" s="45" t="s">
        <v>1446</v>
      </c>
      <c r="B14" s="45" t="s">
        <v>1447</v>
      </c>
      <c r="C14" s="45" t="s">
        <v>1448</v>
      </c>
      <c r="D14" s="45" t="s">
        <v>1449</v>
      </c>
      <c r="E14" s="45" t="s">
        <v>1450</v>
      </c>
    </row>
    <row r="15" spans="1:8" ht="95.25" customHeight="1">
      <c r="A15" s="45" t="s">
        <v>1577</v>
      </c>
      <c r="B15" s="45" t="s">
        <v>1578</v>
      </c>
      <c r="C15" s="45" t="s">
        <v>1579</v>
      </c>
      <c r="D15" s="45" t="s">
        <v>1580</v>
      </c>
      <c r="E15" s="45" t="s">
        <v>1581</v>
      </c>
      <c r="F15" s="45" t="s">
        <v>1416</v>
      </c>
      <c r="G15" s="45" t="s">
        <v>1582</v>
      </c>
      <c r="H15" s="45" t="s">
        <v>1583</v>
      </c>
    </row>
    <row r="16" spans="1:8" ht="57.95" customHeight="1">
      <c r="A16" s="56" t="s">
        <v>1584</v>
      </c>
      <c r="B16" s="56" t="s">
        <v>1578</v>
      </c>
      <c r="C16" s="56" t="s">
        <v>1585</v>
      </c>
      <c r="D16" s="56" t="s">
        <v>1586</v>
      </c>
      <c r="E16" s="56" t="s">
        <v>1587</v>
      </c>
      <c r="F16" s="56" t="s">
        <v>1588</v>
      </c>
      <c r="G16" s="56" t="s">
        <v>1589</v>
      </c>
      <c r="H16" s="56" t="s">
        <v>1590</v>
      </c>
    </row>
  </sheetData>
  <mergeCells count="1"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7"/>
  <sheetViews>
    <sheetView showGridLines="0" workbookViewId="0">
      <selection sqref="A1:O1"/>
    </sheetView>
  </sheetViews>
  <sheetFormatPr baseColWidth="10" defaultColWidth="9" defaultRowHeight="15"/>
  <cols>
    <col min="1" max="1" width="8" style="15" customWidth="1"/>
    <col min="2" max="2" width="22" style="15" customWidth="1"/>
    <col min="3" max="3" width="28" style="15" customWidth="1"/>
    <col min="4" max="4" width="8" style="15" customWidth="1"/>
    <col min="5" max="5" width="28" style="15" customWidth="1"/>
    <col min="6" max="6" width="18" style="15" customWidth="1"/>
    <col min="7" max="7" width="42" style="15" customWidth="1"/>
    <col min="8" max="8" width="12" style="15" customWidth="1"/>
    <col min="9" max="9" width="18" style="15" customWidth="1"/>
    <col min="10" max="10" width="12" style="15" customWidth="1"/>
    <col min="11" max="11" width="24" style="15" customWidth="1"/>
    <col min="12" max="12" width="30" style="15" customWidth="1"/>
    <col min="13" max="13" width="20" style="15" customWidth="1"/>
    <col min="14" max="14" width="18" style="15" customWidth="1"/>
    <col min="15" max="15" width="14" style="15" customWidth="1"/>
  </cols>
  <sheetData>
    <row r="1" spans="1:15" ht="27.75" customHeight="1">
      <c r="A1" s="14" t="s">
        <v>1303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4.25" customHeight="1">
      <c r="A2" s="16" t="s">
        <v>1</v>
      </c>
      <c r="B2" s="16" t="s">
        <v>2</v>
      </c>
      <c r="C2" s="16" t="s">
        <v>3</v>
      </c>
      <c r="D2" s="16" t="s">
        <v>4</v>
      </c>
    </row>
    <row r="3" spans="1:15" ht="30" customHeight="1">
      <c r="A3" s="8" t="s">
        <v>1304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5" spans="1:15" ht="21.75" customHeight="1">
      <c r="A5" s="19" t="s">
        <v>7</v>
      </c>
      <c r="B5" s="19" t="s">
        <v>1305</v>
      </c>
      <c r="C5" s="19" t="s">
        <v>1306</v>
      </c>
      <c r="D5" s="19" t="s">
        <v>1307</v>
      </c>
      <c r="E5" s="19" t="s">
        <v>1308</v>
      </c>
      <c r="F5" s="19" t="s">
        <v>1309</v>
      </c>
      <c r="G5" s="19" t="s">
        <v>1310</v>
      </c>
      <c r="H5" s="19" t="s">
        <v>1311</v>
      </c>
      <c r="I5" s="19" t="s">
        <v>1312</v>
      </c>
      <c r="J5" s="19" t="s">
        <v>608</v>
      </c>
      <c r="K5" s="19" t="s">
        <v>1313</v>
      </c>
      <c r="L5" s="19" t="s">
        <v>365</v>
      </c>
      <c r="M5" s="19" t="s">
        <v>1314</v>
      </c>
      <c r="N5" s="19" t="s">
        <v>1315</v>
      </c>
      <c r="O5" s="19" t="s">
        <v>12</v>
      </c>
    </row>
    <row r="6" spans="1:15" ht="24" customHeight="1">
      <c r="A6" s="21" t="s">
        <v>774</v>
      </c>
      <c r="B6" s="21" t="s">
        <v>197</v>
      </c>
      <c r="C6" s="21" t="s">
        <v>1316</v>
      </c>
      <c r="D6" s="21">
        <v>2026</v>
      </c>
      <c r="E6" s="21" t="s">
        <v>1317</v>
      </c>
      <c r="F6" s="21"/>
      <c r="G6" s="21" t="s">
        <v>1318</v>
      </c>
      <c r="H6" s="42">
        <v>46216</v>
      </c>
      <c r="I6" s="21" t="s">
        <v>1319</v>
      </c>
      <c r="J6" s="21" t="s">
        <v>566</v>
      </c>
      <c r="K6" s="21" t="s">
        <v>1320</v>
      </c>
      <c r="L6" s="21" t="s">
        <v>1321</v>
      </c>
      <c r="M6" s="21" t="s">
        <v>1322</v>
      </c>
      <c r="N6" s="21" t="s">
        <v>1323</v>
      </c>
      <c r="O6" s="21" t="s">
        <v>1324</v>
      </c>
    </row>
    <row r="7" spans="1:15" ht="24" customHeight="1">
      <c r="A7" s="21" t="s">
        <v>775</v>
      </c>
      <c r="B7" s="21" t="s">
        <v>1325</v>
      </c>
      <c r="C7" s="21" t="s">
        <v>1316</v>
      </c>
      <c r="D7" s="21">
        <v>2011</v>
      </c>
      <c r="E7" s="21" t="s">
        <v>1326</v>
      </c>
      <c r="F7" s="21"/>
      <c r="G7" s="21" t="s">
        <v>1327</v>
      </c>
      <c r="H7" s="42">
        <v>46216</v>
      </c>
      <c r="I7" s="21" t="s">
        <v>1319</v>
      </c>
      <c r="J7" s="21" t="s">
        <v>1328</v>
      </c>
      <c r="K7" s="21" t="s">
        <v>1329</v>
      </c>
      <c r="L7" s="21" t="s">
        <v>1330</v>
      </c>
      <c r="M7" s="21" t="s">
        <v>1322</v>
      </c>
      <c r="N7" s="21" t="s">
        <v>1323</v>
      </c>
      <c r="O7" s="21" t="s">
        <v>1324</v>
      </c>
    </row>
    <row r="8" spans="1:15" ht="48" customHeight="1">
      <c r="A8" s="21" t="s">
        <v>776</v>
      </c>
      <c r="B8" s="21" t="s">
        <v>1331</v>
      </c>
      <c r="C8" s="21" t="s">
        <v>1332</v>
      </c>
      <c r="D8" s="21">
        <v>2024</v>
      </c>
      <c r="E8" s="21" t="s">
        <v>1333</v>
      </c>
      <c r="F8" s="21"/>
      <c r="G8" s="21" t="s">
        <v>1334</v>
      </c>
      <c r="H8" s="42">
        <v>46216</v>
      </c>
      <c r="I8" s="21" t="s">
        <v>1335</v>
      </c>
      <c r="J8" s="21" t="s">
        <v>1336</v>
      </c>
      <c r="K8" s="21" t="s">
        <v>1337</v>
      </c>
      <c r="L8" s="21" t="s">
        <v>1338</v>
      </c>
      <c r="M8" s="21" t="s">
        <v>1339</v>
      </c>
      <c r="N8" s="21" t="s">
        <v>1323</v>
      </c>
      <c r="O8" s="21" t="s">
        <v>1324</v>
      </c>
    </row>
    <row r="9" spans="1:15" ht="24" customHeight="1">
      <c r="A9" s="21" t="s">
        <v>777</v>
      </c>
      <c r="B9" s="21" t="s">
        <v>1340</v>
      </c>
      <c r="C9" s="21" t="s">
        <v>1341</v>
      </c>
      <c r="D9" s="21">
        <v>2026</v>
      </c>
      <c r="E9" s="21" t="s">
        <v>1342</v>
      </c>
      <c r="F9" s="21"/>
      <c r="G9" s="21" t="s">
        <v>1343</v>
      </c>
      <c r="H9" s="42">
        <v>46216</v>
      </c>
      <c r="I9" s="21" t="s">
        <v>1344</v>
      </c>
      <c r="J9" s="21" t="s">
        <v>1336</v>
      </c>
      <c r="K9" s="21" t="s">
        <v>1345</v>
      </c>
      <c r="L9" s="21" t="s">
        <v>1346</v>
      </c>
      <c r="M9" s="21" t="s">
        <v>1339</v>
      </c>
      <c r="N9" s="21" t="s">
        <v>1323</v>
      </c>
      <c r="O9" s="21" t="s">
        <v>1324</v>
      </c>
    </row>
    <row r="10" spans="1:15" ht="24" customHeight="1">
      <c r="A10" s="21" t="s">
        <v>778</v>
      </c>
      <c r="B10" s="21" t="s">
        <v>1347</v>
      </c>
      <c r="C10" s="21" t="s">
        <v>1341</v>
      </c>
      <c r="D10" s="21">
        <v>2026</v>
      </c>
      <c r="E10" s="21" t="s">
        <v>1348</v>
      </c>
      <c r="F10" s="21"/>
      <c r="G10" s="21" t="s">
        <v>1349</v>
      </c>
      <c r="H10" s="42">
        <v>46216</v>
      </c>
      <c r="I10" s="21" t="s">
        <v>1344</v>
      </c>
      <c r="J10" s="21" t="s">
        <v>1336</v>
      </c>
      <c r="K10" s="21" t="s">
        <v>1350</v>
      </c>
      <c r="L10" s="21" t="s">
        <v>1351</v>
      </c>
      <c r="M10" s="21" t="s">
        <v>1339</v>
      </c>
      <c r="N10" s="21" t="s">
        <v>1323</v>
      </c>
      <c r="O10" s="21" t="s">
        <v>1324</v>
      </c>
    </row>
    <row r="11" spans="1:15" ht="14.25" customHeight="1">
      <c r="A11" s="21" t="s">
        <v>779</v>
      </c>
      <c r="B11" s="21" t="s">
        <v>1352</v>
      </c>
      <c r="C11" s="21" t="s">
        <v>1353</v>
      </c>
      <c r="D11" s="21">
        <v>2024</v>
      </c>
      <c r="E11" s="21" t="s">
        <v>1354</v>
      </c>
      <c r="F11" s="21"/>
      <c r="G11" s="21" t="s">
        <v>1355</v>
      </c>
      <c r="H11" s="42">
        <v>46216</v>
      </c>
      <c r="I11" s="21" t="s">
        <v>1319</v>
      </c>
      <c r="J11" s="21" t="s">
        <v>1352</v>
      </c>
      <c r="K11" s="21" t="s">
        <v>1356</v>
      </c>
      <c r="L11" s="21" t="s">
        <v>1357</v>
      </c>
      <c r="M11" s="21" t="s">
        <v>1358</v>
      </c>
      <c r="N11" s="21" t="s">
        <v>1359</v>
      </c>
      <c r="O11" s="21" t="s">
        <v>1324</v>
      </c>
    </row>
    <row r="12" spans="1:15" ht="24" customHeight="1">
      <c r="A12" s="21" t="s">
        <v>780</v>
      </c>
      <c r="B12" s="21" t="s">
        <v>1360</v>
      </c>
      <c r="C12" s="21" t="s">
        <v>1297</v>
      </c>
      <c r="D12" s="21">
        <v>2026</v>
      </c>
      <c r="E12" s="21" t="s">
        <v>1361</v>
      </c>
      <c r="F12" s="21"/>
      <c r="G12" s="21" t="s">
        <v>1362</v>
      </c>
      <c r="H12" s="42">
        <v>46216</v>
      </c>
      <c r="I12" s="21" t="s">
        <v>1363</v>
      </c>
      <c r="J12" s="21" t="s">
        <v>1336</v>
      </c>
      <c r="K12" s="21" t="s">
        <v>1364</v>
      </c>
      <c r="L12" s="21" t="s">
        <v>1365</v>
      </c>
      <c r="M12" s="21" t="s">
        <v>1366</v>
      </c>
      <c r="N12" s="21" t="s">
        <v>1323</v>
      </c>
      <c r="O12" s="21" t="s">
        <v>1324</v>
      </c>
    </row>
    <row r="13" spans="1:15" ht="24" customHeight="1">
      <c r="A13" s="21" t="s">
        <v>781</v>
      </c>
      <c r="B13" s="21" t="s">
        <v>1367</v>
      </c>
      <c r="C13" s="21" t="s">
        <v>1297</v>
      </c>
      <c r="D13" s="21">
        <v>2026</v>
      </c>
      <c r="E13" s="21" t="s">
        <v>1368</v>
      </c>
      <c r="F13" s="21"/>
      <c r="G13" s="21" t="s">
        <v>1369</v>
      </c>
      <c r="H13" s="42">
        <v>46216</v>
      </c>
      <c r="I13" s="21" t="s">
        <v>1370</v>
      </c>
      <c r="J13" s="21" t="s">
        <v>1336</v>
      </c>
      <c r="K13" s="21" t="s">
        <v>1371</v>
      </c>
      <c r="L13" s="21" t="s">
        <v>1372</v>
      </c>
      <c r="M13" s="21" t="s">
        <v>1366</v>
      </c>
      <c r="N13" s="21" t="s">
        <v>1323</v>
      </c>
      <c r="O13" s="21" t="s">
        <v>1324</v>
      </c>
    </row>
    <row r="14" spans="1:15" ht="24" customHeight="1">
      <c r="A14" s="21" t="s">
        <v>1373</v>
      </c>
      <c r="B14" s="21" t="s">
        <v>1374</v>
      </c>
      <c r="C14" s="21" t="s">
        <v>1375</v>
      </c>
      <c r="D14" s="21">
        <v>1999</v>
      </c>
      <c r="E14" s="21" t="s">
        <v>1376</v>
      </c>
      <c r="F14" s="21"/>
      <c r="G14" s="21" t="s">
        <v>1377</v>
      </c>
      <c r="H14" s="42">
        <v>46216</v>
      </c>
      <c r="I14" s="21" t="s">
        <v>1187</v>
      </c>
      <c r="J14" s="21" t="s">
        <v>1336</v>
      </c>
      <c r="K14" s="21" t="s">
        <v>1378</v>
      </c>
      <c r="L14" s="21" t="s">
        <v>1379</v>
      </c>
      <c r="M14" s="21" t="s">
        <v>1380</v>
      </c>
      <c r="N14" s="21" t="s">
        <v>1323</v>
      </c>
      <c r="O14" s="21" t="s">
        <v>1324</v>
      </c>
    </row>
    <row r="15" spans="1:15" ht="24" customHeight="1">
      <c r="A15" s="21" t="s">
        <v>1381</v>
      </c>
      <c r="B15" s="21" t="s">
        <v>1382</v>
      </c>
      <c r="C15" s="21" t="s">
        <v>1375</v>
      </c>
      <c r="D15" s="21">
        <v>2024</v>
      </c>
      <c r="E15" s="21" t="s">
        <v>1383</v>
      </c>
      <c r="F15" s="21"/>
      <c r="G15" s="21" t="s">
        <v>1384</v>
      </c>
      <c r="H15" s="42">
        <v>46216</v>
      </c>
      <c r="I15" s="21" t="s">
        <v>1187</v>
      </c>
      <c r="J15" s="21" t="s">
        <v>1336</v>
      </c>
      <c r="K15" s="21" t="s">
        <v>1385</v>
      </c>
      <c r="L15" s="21" t="s">
        <v>1386</v>
      </c>
      <c r="M15" s="21" t="s">
        <v>1380</v>
      </c>
      <c r="N15" s="21" t="s">
        <v>1323</v>
      </c>
      <c r="O15" s="21" t="s">
        <v>1324</v>
      </c>
    </row>
    <row r="16" spans="1:15" ht="24" customHeight="1">
      <c r="A16" s="21" t="s">
        <v>1387</v>
      </c>
      <c r="B16" s="21" t="s">
        <v>1388</v>
      </c>
      <c r="C16" s="21" t="s">
        <v>1375</v>
      </c>
      <c r="D16" s="21">
        <v>2012</v>
      </c>
      <c r="E16" s="21" t="s">
        <v>1389</v>
      </c>
      <c r="F16" s="21"/>
      <c r="G16" s="21" t="s">
        <v>1390</v>
      </c>
      <c r="H16" s="42">
        <v>46216</v>
      </c>
      <c r="I16" s="21" t="s">
        <v>1187</v>
      </c>
      <c r="J16" s="21" t="s">
        <v>1336</v>
      </c>
      <c r="K16" s="21" t="s">
        <v>1391</v>
      </c>
      <c r="L16" s="21" t="s">
        <v>1392</v>
      </c>
      <c r="M16" s="21" t="s">
        <v>1380</v>
      </c>
      <c r="N16" s="21" t="s">
        <v>1323</v>
      </c>
      <c r="O16" s="21" t="s">
        <v>1324</v>
      </c>
    </row>
    <row r="17" spans="1:15" ht="24" customHeight="1">
      <c r="A17" s="21" t="s">
        <v>1393</v>
      </c>
      <c r="B17" s="21" t="s">
        <v>1394</v>
      </c>
      <c r="C17" s="21" t="s">
        <v>1395</v>
      </c>
      <c r="D17" s="21">
        <v>2026</v>
      </c>
      <c r="E17" s="21" t="s">
        <v>1396</v>
      </c>
      <c r="F17" s="21"/>
      <c r="G17" s="21"/>
      <c r="H17" s="42">
        <v>46216</v>
      </c>
      <c r="I17" s="21" t="s">
        <v>1397</v>
      </c>
      <c r="J17" s="21" t="s">
        <v>1398</v>
      </c>
      <c r="K17" s="21" t="s">
        <v>1399</v>
      </c>
      <c r="L17" s="21" t="s">
        <v>1400</v>
      </c>
      <c r="M17" s="21" t="s">
        <v>1401</v>
      </c>
      <c r="N17" s="21" t="s">
        <v>1323</v>
      </c>
      <c r="O17" s="21" t="s">
        <v>1402</v>
      </c>
    </row>
  </sheetData>
  <mergeCells count="2">
    <mergeCell ref="A1:O1"/>
    <mergeCell ref="A3:O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3"/>
  <sheetViews>
    <sheetView showGridLines="0" workbookViewId="0">
      <selection sqref="A1:H1"/>
    </sheetView>
  </sheetViews>
  <sheetFormatPr baseColWidth="10" defaultColWidth="9" defaultRowHeight="15"/>
  <cols>
    <col min="1" max="1" width="31" style="15" customWidth="1"/>
    <col min="2" max="2" width="28" style="15" customWidth="1"/>
    <col min="3" max="4" width="48" style="15" customWidth="1"/>
    <col min="5" max="5" width="4" style="15" customWidth="1"/>
    <col min="6" max="8" width="18" style="15" customWidth="1"/>
  </cols>
  <sheetData>
    <row r="1" spans="1:8" ht="30" customHeight="1">
      <c r="A1" s="2" t="s">
        <v>1451</v>
      </c>
      <c r="B1" s="2"/>
      <c r="C1" s="2"/>
      <c r="D1" s="2"/>
      <c r="E1" s="2"/>
      <c r="F1" s="2"/>
      <c r="G1" s="2"/>
      <c r="H1" s="2"/>
    </row>
    <row r="2" spans="1:8" ht="15" customHeight="1">
      <c r="A2" s="46" t="s">
        <v>1</v>
      </c>
      <c r="B2" s="46" t="s">
        <v>2</v>
      </c>
      <c r="C2" s="46" t="s">
        <v>3</v>
      </c>
      <c r="D2" s="46" t="s">
        <v>4</v>
      </c>
    </row>
    <row r="3" spans="1:8" ht="42" customHeight="1">
      <c r="A3" s="1" t="s">
        <v>1452</v>
      </c>
      <c r="B3" s="1"/>
      <c r="C3" s="1"/>
      <c r="D3" s="1"/>
      <c r="E3" s="1"/>
      <c r="F3" s="1"/>
      <c r="G3" s="1"/>
      <c r="H3" s="1"/>
    </row>
    <row r="5" spans="1:8" ht="15" customHeight="1">
      <c r="A5" s="47" t="s">
        <v>99</v>
      </c>
      <c r="B5" s="47" t="s">
        <v>12</v>
      </c>
      <c r="C5" s="47" t="s">
        <v>882</v>
      </c>
      <c r="D5" s="47" t="s">
        <v>1453</v>
      </c>
      <c r="F5" s="70" t="s">
        <v>1454</v>
      </c>
      <c r="G5" s="70"/>
      <c r="H5" s="70"/>
    </row>
    <row r="6" spans="1:8" ht="198" customHeight="1">
      <c r="A6" s="48" t="s">
        <v>1249</v>
      </c>
      <c r="B6" s="48" t="s">
        <v>1455</v>
      </c>
      <c r="C6" s="48" t="s">
        <v>1456</v>
      </c>
      <c r="D6" s="48" t="s">
        <v>1457</v>
      </c>
      <c r="F6" s="71" t="s">
        <v>1458</v>
      </c>
      <c r="G6" s="71"/>
      <c r="H6" s="71"/>
    </row>
    <row r="7" spans="1:8" ht="26.25" customHeight="1">
      <c r="A7" s="48" t="s">
        <v>1459</v>
      </c>
      <c r="B7" s="48" t="s">
        <v>1460</v>
      </c>
      <c r="C7" s="48" t="s">
        <v>1461</v>
      </c>
      <c r="D7" s="48" t="s">
        <v>1462</v>
      </c>
      <c r="F7" s="71"/>
      <c r="G7" s="71"/>
      <c r="H7" s="71"/>
    </row>
    <row r="8" spans="1:8" ht="26.25" customHeight="1">
      <c r="A8" s="48" t="s">
        <v>1463</v>
      </c>
      <c r="B8" s="48" t="s">
        <v>1464</v>
      </c>
      <c r="C8" s="48" t="s">
        <v>1465</v>
      </c>
      <c r="D8" s="48" t="s">
        <v>1466</v>
      </c>
      <c r="F8" s="71"/>
      <c r="G8" s="71"/>
      <c r="H8" s="71"/>
    </row>
    <row r="9" spans="1:8" ht="26.25" customHeight="1">
      <c r="A9" s="48" t="s">
        <v>1467</v>
      </c>
      <c r="B9" s="48" t="s">
        <v>1468</v>
      </c>
      <c r="C9" s="48" t="s">
        <v>1469</v>
      </c>
      <c r="D9" s="48" t="s">
        <v>1470</v>
      </c>
      <c r="F9" s="71"/>
      <c r="G9" s="71"/>
      <c r="H9" s="71"/>
    </row>
    <row r="10" spans="1:8" ht="26.25" customHeight="1">
      <c r="A10" s="48" t="s">
        <v>1471</v>
      </c>
      <c r="B10" s="48" t="s">
        <v>1472</v>
      </c>
      <c r="C10" s="48" t="s">
        <v>1473</v>
      </c>
      <c r="D10" s="48" t="s">
        <v>1474</v>
      </c>
      <c r="F10" s="71"/>
      <c r="G10" s="71"/>
      <c r="H10" s="71"/>
    </row>
    <row r="11" spans="1:8" ht="26.25" customHeight="1">
      <c r="A11" s="48" t="s">
        <v>1475</v>
      </c>
      <c r="B11" s="48" t="s">
        <v>1476</v>
      </c>
      <c r="C11" s="48" t="s">
        <v>1477</v>
      </c>
      <c r="D11" s="48" t="s">
        <v>1478</v>
      </c>
    </row>
    <row r="12" spans="1:8" ht="15" customHeight="1">
      <c r="A12" s="48" t="s">
        <v>1479</v>
      </c>
      <c r="B12" s="48" t="s">
        <v>1480</v>
      </c>
      <c r="C12" s="48" t="s">
        <v>1481</v>
      </c>
      <c r="D12" s="48" t="s">
        <v>1482</v>
      </c>
      <c r="F12" s="72" t="str">
        <f>"Pruebas: "&amp;PRUEBAS!B100&amp;"/"&amp;PRUEBAS!B99&amp;" aprobadas · "&amp;PRUEBAS!B102&amp;" pendientes"</f>
        <v>Pruebas: 88/90 aprobadas · 2 pendientes</v>
      </c>
      <c r="G12" s="72"/>
      <c r="H12" s="72"/>
    </row>
    <row r="13" spans="1:8" ht="15" customHeight="1">
      <c r="A13" s="48" t="s">
        <v>1154</v>
      </c>
      <c r="B13" s="48" t="s">
        <v>1483</v>
      </c>
      <c r="C13" s="48" t="s">
        <v>1484</v>
      </c>
      <c r="D13" s="48" t="s">
        <v>1485</v>
      </c>
    </row>
    <row r="14" spans="1:8" ht="15" customHeight="1">
      <c r="A14" s="48" t="s">
        <v>1246</v>
      </c>
      <c r="B14" s="48" t="s">
        <v>1483</v>
      </c>
      <c r="C14" s="48" t="s">
        <v>1486</v>
      </c>
      <c r="D14" s="48" t="s">
        <v>1487</v>
      </c>
    </row>
    <row r="15" spans="1:8" ht="15" customHeight="1">
      <c r="A15" s="48" t="s">
        <v>1488</v>
      </c>
      <c r="B15" s="48" t="s">
        <v>1483</v>
      </c>
      <c r="C15" s="48" t="s">
        <v>1489</v>
      </c>
      <c r="D15" s="48" t="s">
        <v>1490</v>
      </c>
    </row>
    <row r="16" spans="1:8" ht="15" customHeight="1">
      <c r="A16" s="48" t="s">
        <v>1491</v>
      </c>
      <c r="B16" s="48" t="s">
        <v>1483</v>
      </c>
      <c r="C16" s="48" t="s">
        <v>1489</v>
      </c>
      <c r="D16" s="48" t="s">
        <v>1490</v>
      </c>
    </row>
    <row r="17" spans="1:8" ht="15" customHeight="1">
      <c r="A17" s="48" t="s">
        <v>1492</v>
      </c>
      <c r="B17" s="48" t="s">
        <v>1493</v>
      </c>
      <c r="C17" s="48" t="s">
        <v>1494</v>
      </c>
      <c r="D17" s="48" t="s">
        <v>1495</v>
      </c>
    </row>
    <row r="20" spans="1:8" ht="15" customHeight="1">
      <c r="A20" s="73" t="s">
        <v>1496</v>
      </c>
      <c r="B20" s="73"/>
      <c r="C20" s="73"/>
      <c r="D20" s="73"/>
      <c r="E20" s="73"/>
      <c r="F20" s="73"/>
      <c r="G20" s="73"/>
      <c r="H20" s="73"/>
    </row>
    <row r="21" spans="1:8" ht="15" customHeight="1">
      <c r="A21" s="44" t="s">
        <v>1497</v>
      </c>
      <c r="B21" s="45" t="s">
        <v>1253</v>
      </c>
      <c r="C21" s="44" t="s">
        <v>1308</v>
      </c>
      <c r="D21" s="45" t="s">
        <v>1498</v>
      </c>
    </row>
    <row r="22" spans="1:8" ht="15" customHeight="1">
      <c r="A22" s="44" t="s">
        <v>1499</v>
      </c>
      <c r="B22" s="45" t="s">
        <v>1253</v>
      </c>
      <c r="C22" s="44" t="s">
        <v>1500</v>
      </c>
      <c r="D22" s="45" t="s">
        <v>1501</v>
      </c>
    </row>
    <row r="23" spans="1:8" ht="26.25" customHeight="1">
      <c r="A23" s="44" t="s">
        <v>1502</v>
      </c>
      <c r="B23" s="45" t="s">
        <v>1503</v>
      </c>
      <c r="C23" s="44" t="s">
        <v>1255</v>
      </c>
      <c r="D23" s="45" t="s">
        <v>11</v>
      </c>
    </row>
    <row r="24" spans="1:8" ht="26.25" customHeight="1">
      <c r="A24" s="44" t="s">
        <v>538</v>
      </c>
      <c r="B24" s="45" t="s">
        <v>1504</v>
      </c>
      <c r="C24" s="44" t="s">
        <v>129</v>
      </c>
      <c r="D24" s="45" t="s">
        <v>1439</v>
      </c>
    </row>
    <row r="25" spans="1:8" ht="26.25" customHeight="1">
      <c r="A25" s="44" t="s">
        <v>1505</v>
      </c>
      <c r="B25" s="45" t="s">
        <v>1506</v>
      </c>
      <c r="C25" s="44" t="s">
        <v>1507</v>
      </c>
      <c r="D25" s="45" t="s">
        <v>1508</v>
      </c>
    </row>
    <row r="28" spans="1:8" ht="15" customHeight="1">
      <c r="A28" s="73" t="s">
        <v>1509</v>
      </c>
      <c r="B28" s="73"/>
      <c r="C28" s="73"/>
      <c r="D28" s="73"/>
      <c r="E28" s="73"/>
      <c r="F28" s="73"/>
      <c r="G28" s="73"/>
      <c r="H28" s="73"/>
    </row>
    <row r="29" spans="1:8" ht="26.25" customHeight="1">
      <c r="A29" s="49" t="s">
        <v>1510</v>
      </c>
      <c r="B29" s="45" t="s">
        <v>1511</v>
      </c>
      <c r="C29" s="50" t="s">
        <v>1508</v>
      </c>
    </row>
    <row r="30" spans="1:8" ht="39" customHeight="1">
      <c r="A30" s="49" t="s">
        <v>1512</v>
      </c>
      <c r="B30" s="45" t="s">
        <v>1513</v>
      </c>
      <c r="C30" s="50" t="s">
        <v>1508</v>
      </c>
    </row>
    <row r="31" spans="1:8" ht="26.25" customHeight="1">
      <c r="A31" s="49" t="s">
        <v>1514</v>
      </c>
      <c r="B31" s="45" t="s">
        <v>1515</v>
      </c>
      <c r="C31" s="50" t="s">
        <v>1508</v>
      </c>
    </row>
    <row r="32" spans="1:8" ht="26.25" customHeight="1">
      <c r="A32" s="49" t="s">
        <v>307</v>
      </c>
      <c r="B32" s="45" t="s">
        <v>1516</v>
      </c>
      <c r="C32" s="50" t="s">
        <v>1508</v>
      </c>
    </row>
    <row r="33" spans="1:8" ht="26.25" customHeight="1">
      <c r="A33" s="49" t="s">
        <v>1517</v>
      </c>
      <c r="B33" s="45" t="s">
        <v>1518</v>
      </c>
      <c r="C33" s="50" t="s">
        <v>1508</v>
      </c>
    </row>
    <row r="34" spans="1:8" ht="26.25" customHeight="1">
      <c r="A34" s="49" t="s">
        <v>312</v>
      </c>
      <c r="B34" s="45" t="s">
        <v>1519</v>
      </c>
      <c r="C34" s="50" t="s">
        <v>1508</v>
      </c>
    </row>
    <row r="35" spans="1:8" ht="26.25" customHeight="1">
      <c r="A35" s="49" t="s">
        <v>1520</v>
      </c>
      <c r="B35" s="45" t="s">
        <v>1521</v>
      </c>
      <c r="C35" s="50" t="s">
        <v>1508</v>
      </c>
    </row>
    <row r="36" spans="1:8" ht="39" customHeight="1">
      <c r="A36" s="49" t="s">
        <v>1522</v>
      </c>
      <c r="B36" s="45" t="s">
        <v>1523</v>
      </c>
      <c r="C36" s="50" t="s">
        <v>1508</v>
      </c>
    </row>
    <row r="39" spans="1:8" ht="15" customHeight="1">
      <c r="A39" s="73" t="s">
        <v>1524</v>
      </c>
      <c r="B39" s="73"/>
      <c r="C39" s="73"/>
      <c r="D39" s="73"/>
      <c r="E39" s="73"/>
      <c r="F39" s="73"/>
      <c r="G39" s="73"/>
      <c r="H39" s="73"/>
    </row>
    <row r="40" spans="1:8" ht="15" customHeight="1">
      <c r="A40" s="44" t="s">
        <v>1525</v>
      </c>
      <c r="B40" s="45">
        <v>23</v>
      </c>
      <c r="C40" s="44" t="s">
        <v>1301</v>
      </c>
      <c r="D40" s="45">
        <v>20</v>
      </c>
    </row>
    <row r="41" spans="1:8" ht="15" customHeight="1">
      <c r="A41" s="44" t="s">
        <v>1526</v>
      </c>
      <c r="B41" s="45">
        <v>385</v>
      </c>
      <c r="C41" s="44" t="s">
        <v>1471</v>
      </c>
      <c r="D41" s="45">
        <v>267</v>
      </c>
    </row>
    <row r="42" spans="1:8" ht="15" customHeight="1">
      <c r="A42" s="44" t="s">
        <v>1094</v>
      </c>
      <c r="B42" s="45">
        <v>4</v>
      </c>
      <c r="C42" s="44" t="s">
        <v>1527</v>
      </c>
      <c r="D42" s="45">
        <v>0</v>
      </c>
    </row>
    <row r="43" spans="1:8" ht="30" customHeight="1">
      <c r="A43" s="44" t="s">
        <v>1528</v>
      </c>
      <c r="B43" s="45">
        <v>0</v>
      </c>
      <c r="C43" s="44" t="s">
        <v>1529</v>
      </c>
      <c r="D43" s="45">
        <v>85</v>
      </c>
    </row>
  </sheetData>
  <mergeCells count="8">
    <mergeCell ref="A20:H20"/>
    <mergeCell ref="A28:H28"/>
    <mergeCell ref="A39:H39"/>
    <mergeCell ref="A1:H1"/>
    <mergeCell ref="A3:H3"/>
    <mergeCell ref="F5:H5"/>
    <mergeCell ref="F6:H10"/>
    <mergeCell ref="F12:H12"/>
  </mergeCells>
  <conditionalFormatting sqref="B6:B17">
    <cfRule type="expression" dxfId="3" priority="2">
      <formula>OR(ISNUMBER(SEARCH("APROBADA",B6)),ISNUMBER(SEARCH("CORREGIDA",B6)),ISNUMBER(SEARCH("AMPLIADA",B6)),ISNUMBER(SEARCH("REFORZADAS",B6)),ISNUMBER(SEARCH("APLICADA",B6)))</formula>
    </cfRule>
    <cfRule type="expression" dxfId="2" priority="3">
      <formula>ISNUMBER(SEARCH("PENDIENTE",B6))</formula>
    </cfRule>
  </conditionalFormatting>
  <dataValidations count="1">
    <dataValidation type="custom" showInputMessage="1" showErrorMessage="1" errorTitle="Edición bloqueada" error="Esta celda contiene una fórmula. La protección nativa debe activarse antes de publicación." promptTitle="Celda calculada" prompt="Resultado automático. Edite únicamente las celdas de entrada diferenciadas visualmente." sqref="F12:H12" xr:uid="{00000000-0002-0000-1500-000000000000}">
      <formula1>0</formula1>
      <formula2>0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5"/>
  <sheetViews>
    <sheetView showGridLines="0" workbookViewId="0"/>
  </sheetViews>
  <sheetFormatPr baseColWidth="10" defaultColWidth="9" defaultRowHeight="15"/>
  <cols>
    <col min="1" max="1" width="16" style="15" customWidth="1"/>
    <col min="2" max="2" width="24" style="15" customWidth="1"/>
    <col min="3" max="3" width="45" style="15" customWidth="1"/>
    <col min="4" max="5" width="16" style="15" customWidth="1"/>
    <col min="6" max="6" width="28" style="15" customWidth="1"/>
    <col min="7" max="7" width="20" style="15" customWidth="1"/>
    <col min="8" max="8" width="35" style="15" customWidth="1"/>
  </cols>
  <sheetData>
    <row r="1" spans="1:8" ht="30" customHeight="1">
      <c r="A1" s="74" t="s">
        <v>1530</v>
      </c>
      <c r="B1" s="74"/>
      <c r="C1" s="74"/>
      <c r="D1" s="74"/>
      <c r="E1" s="74"/>
      <c r="F1" s="74"/>
      <c r="G1" s="74"/>
      <c r="H1" s="74"/>
    </row>
    <row r="2" spans="1:8" ht="15" customHeight="1">
      <c r="A2" s="46" t="s">
        <v>1</v>
      </c>
      <c r="B2" s="46" t="s">
        <v>2</v>
      </c>
      <c r="C2" s="46" t="s">
        <v>3</v>
      </c>
      <c r="D2" s="46" t="s">
        <v>4</v>
      </c>
    </row>
    <row r="3" spans="1:8" ht="31.5" customHeight="1">
      <c r="A3" s="1" t="s">
        <v>1531</v>
      </c>
      <c r="B3" s="1"/>
      <c r="C3" s="1"/>
      <c r="D3" s="1"/>
      <c r="E3" s="1"/>
      <c r="F3" s="1"/>
      <c r="G3" s="1"/>
      <c r="H3" s="1"/>
    </row>
    <row r="5" spans="1:8" ht="15" customHeight="1">
      <c r="A5" s="47" t="s">
        <v>873</v>
      </c>
      <c r="B5" s="47" t="s">
        <v>99</v>
      </c>
      <c r="C5" s="47" t="s">
        <v>1532</v>
      </c>
      <c r="D5" s="47" t="s">
        <v>1533</v>
      </c>
      <c r="E5" s="47" t="s">
        <v>1534</v>
      </c>
      <c r="F5" s="47" t="s">
        <v>882</v>
      </c>
      <c r="G5" s="47" t="s">
        <v>438</v>
      </c>
      <c r="H5" s="47" t="s">
        <v>98</v>
      </c>
    </row>
    <row r="6" spans="1:8" ht="26.25" customHeight="1">
      <c r="A6" s="48" t="s">
        <v>730</v>
      </c>
      <c r="B6" s="48" t="s">
        <v>1535</v>
      </c>
      <c r="C6" s="48" t="s">
        <v>1536</v>
      </c>
      <c r="D6" s="48" t="s">
        <v>1508</v>
      </c>
      <c r="E6" s="48" t="s">
        <v>1508</v>
      </c>
      <c r="F6" s="48"/>
      <c r="G6" s="48"/>
      <c r="H6" s="48"/>
    </row>
    <row r="7" spans="1:8" ht="15" customHeight="1">
      <c r="A7" s="48" t="s">
        <v>731</v>
      </c>
      <c r="B7" s="48" t="s">
        <v>1537</v>
      </c>
      <c r="C7" s="48" t="s">
        <v>1538</v>
      </c>
      <c r="D7" s="48" t="s">
        <v>1508</v>
      </c>
      <c r="E7" s="48" t="s">
        <v>1508</v>
      </c>
      <c r="F7" s="48"/>
      <c r="G7" s="48"/>
      <c r="H7" s="48"/>
    </row>
    <row r="8" spans="1:8" ht="26.25" customHeight="1">
      <c r="A8" s="48" t="s">
        <v>732</v>
      </c>
      <c r="B8" s="48" t="s">
        <v>1463</v>
      </c>
      <c r="C8" s="48" t="s">
        <v>1539</v>
      </c>
      <c r="D8" s="48" t="s">
        <v>1508</v>
      </c>
      <c r="E8" s="48" t="s">
        <v>1508</v>
      </c>
      <c r="F8" s="48"/>
      <c r="G8" s="48"/>
      <c r="H8" s="48"/>
    </row>
    <row r="9" spans="1:8" ht="26.25" customHeight="1">
      <c r="A9" s="48" t="s">
        <v>1540</v>
      </c>
      <c r="B9" s="48" t="s">
        <v>1541</v>
      </c>
      <c r="C9" s="48" t="s">
        <v>1542</v>
      </c>
      <c r="D9" s="48" t="s">
        <v>1508</v>
      </c>
      <c r="E9" s="48" t="s">
        <v>1508</v>
      </c>
      <c r="F9" s="48"/>
      <c r="G9" s="48"/>
      <c r="H9" s="48"/>
    </row>
    <row r="10" spans="1:8" ht="26.25" customHeight="1">
      <c r="A10" s="48" t="s">
        <v>1543</v>
      </c>
      <c r="B10" s="48" t="s">
        <v>1544</v>
      </c>
      <c r="C10" s="48" t="s">
        <v>1545</v>
      </c>
      <c r="D10" s="48" t="s">
        <v>1508</v>
      </c>
      <c r="E10" s="48" t="s">
        <v>1508</v>
      </c>
      <c r="F10" s="48"/>
      <c r="G10" s="48"/>
      <c r="H10" s="48"/>
    </row>
    <row r="11" spans="1:8" ht="26.25" customHeight="1">
      <c r="A11" s="48" t="s">
        <v>1546</v>
      </c>
      <c r="B11" s="48" t="s">
        <v>1547</v>
      </c>
      <c r="C11" s="48" t="s">
        <v>1548</v>
      </c>
      <c r="D11" s="48" t="s">
        <v>1508</v>
      </c>
      <c r="E11" s="48" t="s">
        <v>1508</v>
      </c>
      <c r="F11" s="48"/>
      <c r="G11" s="48"/>
      <c r="H11" s="48"/>
    </row>
    <row r="12" spans="1:8" ht="15" customHeight="1">
      <c r="A12" s="48" t="s">
        <v>1549</v>
      </c>
      <c r="B12" s="48" t="s">
        <v>1550</v>
      </c>
      <c r="C12" s="48" t="s">
        <v>1551</v>
      </c>
      <c r="D12" s="48" t="s">
        <v>1508</v>
      </c>
      <c r="E12" s="48" t="s">
        <v>1508</v>
      </c>
      <c r="F12" s="48"/>
      <c r="G12" s="48"/>
      <c r="H12" s="48"/>
    </row>
    <row r="13" spans="1:8" ht="15" customHeight="1">
      <c r="A13" s="48" t="s">
        <v>1552</v>
      </c>
      <c r="B13" s="48" t="s">
        <v>1094</v>
      </c>
      <c r="C13" s="48" t="s">
        <v>1553</v>
      </c>
      <c r="D13" s="48" t="s">
        <v>1508</v>
      </c>
      <c r="E13" s="48" t="s">
        <v>1508</v>
      </c>
      <c r="F13" s="48"/>
      <c r="G13" s="48"/>
      <c r="H13" s="48"/>
    </row>
    <row r="14" spans="1:8" ht="26.25" customHeight="1">
      <c r="A14" s="48" t="s">
        <v>1554</v>
      </c>
      <c r="B14" s="48" t="s">
        <v>1244</v>
      </c>
      <c r="C14" s="48" t="s">
        <v>1555</v>
      </c>
      <c r="D14" s="48" t="s">
        <v>1508</v>
      </c>
      <c r="E14" s="48" t="s">
        <v>1508</v>
      </c>
      <c r="F14" s="48"/>
      <c r="G14" s="48"/>
      <c r="H14" s="48"/>
    </row>
    <row r="15" spans="1:8" ht="15" customHeight="1">
      <c r="A15" s="48" t="s">
        <v>1556</v>
      </c>
      <c r="B15" s="48" t="s">
        <v>1101</v>
      </c>
      <c r="C15" s="48" t="s">
        <v>1557</v>
      </c>
      <c r="D15" s="48" t="s">
        <v>1508</v>
      </c>
      <c r="E15" s="48" t="s">
        <v>1508</v>
      </c>
      <c r="F15" s="48"/>
      <c r="G15" s="48"/>
      <c r="H15" s="48"/>
    </row>
    <row r="16" spans="1:8" ht="26.25" customHeight="1">
      <c r="A16" s="48" t="s">
        <v>1558</v>
      </c>
      <c r="B16" s="48" t="s">
        <v>1559</v>
      </c>
      <c r="C16" s="48" t="s">
        <v>1560</v>
      </c>
      <c r="D16" s="48" t="s">
        <v>1508</v>
      </c>
      <c r="E16" s="48" t="s">
        <v>1508</v>
      </c>
      <c r="F16" s="48"/>
      <c r="G16" s="48"/>
      <c r="H16" s="48"/>
    </row>
    <row r="17" spans="1:8" ht="15" customHeight="1">
      <c r="A17" s="48" t="s">
        <v>1561</v>
      </c>
      <c r="B17" s="48" t="s">
        <v>1492</v>
      </c>
      <c r="C17" s="48" t="s">
        <v>1562</v>
      </c>
      <c r="D17" s="48" t="s">
        <v>1508</v>
      </c>
      <c r="E17" s="48" t="s">
        <v>1508</v>
      </c>
      <c r="F17" s="48"/>
      <c r="G17" s="48"/>
      <c r="H17" s="48"/>
    </row>
    <row r="20" spans="1:8" ht="15" customHeight="1">
      <c r="A20" s="73" t="s">
        <v>1563</v>
      </c>
      <c r="B20" s="73"/>
      <c r="C20" s="73"/>
      <c r="D20" s="73"/>
      <c r="E20" s="73"/>
      <c r="F20" s="73"/>
      <c r="G20" s="73"/>
      <c r="H20" s="73"/>
    </row>
    <row r="21" spans="1:8" ht="66" customHeight="1">
      <c r="A21" s="46" t="s">
        <v>1510</v>
      </c>
      <c r="B21" s="75" t="s">
        <v>1564</v>
      </c>
      <c r="C21" s="75"/>
      <c r="D21" s="75"/>
      <c r="E21" s="75"/>
      <c r="F21" s="75"/>
      <c r="G21" s="75"/>
      <c r="H21" s="75"/>
    </row>
    <row r="22" spans="1:8" ht="52.5" customHeight="1">
      <c r="A22" s="46" t="s">
        <v>1512</v>
      </c>
      <c r="B22" s="75" t="s">
        <v>1565</v>
      </c>
      <c r="C22" s="75"/>
      <c r="D22" s="75"/>
      <c r="E22" s="75"/>
      <c r="F22" s="75"/>
      <c r="G22" s="75"/>
      <c r="H22" s="75"/>
    </row>
    <row r="23" spans="1:8" ht="52.5" customHeight="1">
      <c r="A23" s="46" t="s">
        <v>1514</v>
      </c>
      <c r="B23" s="75" t="s">
        <v>1566</v>
      </c>
      <c r="C23" s="75"/>
      <c r="D23" s="75"/>
      <c r="E23" s="75"/>
      <c r="F23" s="75"/>
      <c r="G23" s="75"/>
      <c r="H23" s="75"/>
    </row>
    <row r="24" spans="1:8" ht="52.5" customHeight="1">
      <c r="A24" s="46" t="s">
        <v>307</v>
      </c>
      <c r="B24" s="75" t="s">
        <v>1567</v>
      </c>
      <c r="C24" s="75"/>
      <c r="D24" s="75"/>
      <c r="E24" s="75"/>
      <c r="F24" s="75"/>
      <c r="G24" s="75"/>
      <c r="H24" s="75"/>
    </row>
    <row r="25" spans="1:8" ht="39" customHeight="1">
      <c r="A25" s="46" t="s">
        <v>1517</v>
      </c>
      <c r="B25" s="75" t="s">
        <v>1568</v>
      </c>
      <c r="C25" s="75"/>
      <c r="D25" s="75"/>
      <c r="E25" s="75"/>
      <c r="F25" s="75"/>
      <c r="G25" s="75"/>
      <c r="H25" s="75"/>
    </row>
    <row r="26" spans="1:8" ht="39" customHeight="1">
      <c r="A26" s="46" t="s">
        <v>312</v>
      </c>
      <c r="B26" s="75" t="s">
        <v>1569</v>
      </c>
      <c r="C26" s="75"/>
      <c r="D26" s="75"/>
      <c r="E26" s="75"/>
      <c r="F26" s="75"/>
      <c r="G26" s="75"/>
      <c r="H26" s="75"/>
    </row>
    <row r="27" spans="1:8" ht="52.5" customHeight="1">
      <c r="A27" s="46" t="s">
        <v>1520</v>
      </c>
      <c r="B27" s="75" t="s">
        <v>1570</v>
      </c>
      <c r="C27" s="75"/>
      <c r="D27" s="75"/>
      <c r="E27" s="75"/>
      <c r="F27" s="75"/>
      <c r="G27" s="75"/>
      <c r="H27" s="75"/>
    </row>
    <row r="30" spans="1:8" ht="15" customHeight="1">
      <c r="A30" s="73" t="s">
        <v>1571</v>
      </c>
      <c r="B30" s="73"/>
      <c r="C30" s="73"/>
      <c r="D30" s="73"/>
      <c r="E30" s="73"/>
      <c r="F30" s="73"/>
      <c r="G30" s="73"/>
      <c r="H30" s="73"/>
    </row>
    <row r="31" spans="1:8" ht="52.5" customHeight="1">
      <c r="A31" s="51" t="s">
        <v>2</v>
      </c>
      <c r="B31" s="76" t="s">
        <v>1572</v>
      </c>
      <c r="C31" s="76"/>
      <c r="D31" s="76"/>
      <c r="E31" s="76"/>
      <c r="F31" s="76"/>
      <c r="G31" s="76"/>
      <c r="H31" s="76"/>
    </row>
    <row r="32" spans="1:8" ht="52.5" customHeight="1">
      <c r="A32" s="51" t="s">
        <v>39</v>
      </c>
      <c r="B32" s="76" t="s">
        <v>1573</v>
      </c>
      <c r="C32" s="76"/>
      <c r="D32" s="76"/>
      <c r="E32" s="76"/>
      <c r="F32" s="76"/>
      <c r="G32" s="76"/>
      <c r="H32" s="76"/>
    </row>
    <row r="33" spans="1:8" ht="39" customHeight="1">
      <c r="A33" s="51" t="s">
        <v>40</v>
      </c>
      <c r="B33" s="76" t="s">
        <v>1574</v>
      </c>
      <c r="C33" s="76"/>
      <c r="D33" s="76"/>
      <c r="E33" s="76"/>
      <c r="F33" s="76"/>
      <c r="G33" s="76"/>
      <c r="H33" s="76"/>
    </row>
    <row r="34" spans="1:8" ht="39" customHeight="1">
      <c r="A34" s="51" t="s">
        <v>42</v>
      </c>
      <c r="B34" s="76" t="s">
        <v>1575</v>
      </c>
      <c r="C34" s="76"/>
      <c r="D34" s="76"/>
      <c r="E34" s="76"/>
      <c r="F34" s="76"/>
      <c r="G34" s="76"/>
      <c r="H34" s="76"/>
    </row>
    <row r="35" spans="1:8" ht="39" customHeight="1">
      <c r="A35" s="51" t="s">
        <v>4</v>
      </c>
      <c r="B35" s="76" t="s">
        <v>1576</v>
      </c>
      <c r="C35" s="76"/>
      <c r="D35" s="76"/>
      <c r="E35" s="76"/>
      <c r="F35" s="76"/>
      <c r="G35" s="76"/>
      <c r="H35" s="76"/>
    </row>
  </sheetData>
  <mergeCells count="16">
    <mergeCell ref="B35:H35"/>
    <mergeCell ref="A30:H30"/>
    <mergeCell ref="B31:H31"/>
    <mergeCell ref="B32:H32"/>
    <mergeCell ref="B33:H33"/>
    <mergeCell ref="B34:H34"/>
    <mergeCell ref="B23:H23"/>
    <mergeCell ref="B24:H24"/>
    <mergeCell ref="B25:H25"/>
    <mergeCell ref="B26:H26"/>
    <mergeCell ref="B27:H27"/>
    <mergeCell ref="A1:H1"/>
    <mergeCell ref="A3:H3"/>
    <mergeCell ref="A20:H20"/>
    <mergeCell ref="B21:H21"/>
    <mergeCell ref="B22:H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00"/>
  <sheetViews>
    <sheetView topLeftCell="A13" workbookViewId="0">
      <selection sqref="A1:O1"/>
    </sheetView>
  </sheetViews>
  <sheetFormatPr baseColWidth="10" defaultColWidth="9.140625" defaultRowHeight="15"/>
  <cols>
    <col min="1" max="1" width="14" customWidth="1"/>
    <col min="2" max="2" width="28" customWidth="1"/>
    <col min="3" max="3" width="26" customWidth="1"/>
    <col min="4" max="4" width="12" customWidth="1"/>
    <col min="5" max="5" width="14" customWidth="1"/>
    <col min="6" max="6" width="34" customWidth="1"/>
    <col min="7" max="7" width="18" customWidth="1"/>
    <col min="8" max="8" width="42" customWidth="1"/>
    <col min="9" max="9" width="14" customWidth="1"/>
    <col min="10" max="10" width="38" customWidth="1"/>
    <col min="11" max="11" width="10" customWidth="1"/>
    <col min="12" max="12" width="12" customWidth="1"/>
    <col min="13" max="13" width="34" customWidth="1"/>
    <col min="14" max="14" width="42" customWidth="1"/>
    <col min="15" max="15" width="22" customWidth="1"/>
  </cols>
  <sheetData>
    <row r="1" spans="1:15" ht="30" customHeight="1">
      <c r="A1" s="77" t="s">
        <v>1591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ht="24" customHeight="1">
      <c r="A2" s="52" t="s">
        <v>1</v>
      </c>
      <c r="B2" s="52" t="s">
        <v>1592</v>
      </c>
      <c r="C2" s="52" t="s">
        <v>1593</v>
      </c>
      <c r="D2" s="52" t="s">
        <v>1594</v>
      </c>
      <c r="E2" s="52" t="s">
        <v>1595</v>
      </c>
      <c r="F2" s="52" t="s">
        <v>1596</v>
      </c>
      <c r="G2" s="52" t="s">
        <v>1597</v>
      </c>
      <c r="H2" s="52" t="s">
        <v>4</v>
      </c>
      <c r="I2" s="52"/>
      <c r="J2" s="52"/>
      <c r="K2" s="52"/>
      <c r="L2" s="52"/>
      <c r="M2" s="52"/>
      <c r="N2" s="52"/>
      <c r="O2" s="52"/>
    </row>
    <row r="3" spans="1:15" ht="33.950000000000003" customHeight="1">
      <c r="A3" s="78" t="s">
        <v>1598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</row>
    <row r="4" spans="1:1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79" t="s">
        <v>1599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spans="1:15" ht="42" customHeight="1">
      <c r="A6" s="54" t="s">
        <v>1600</v>
      </c>
      <c r="B6" s="54" t="s">
        <v>434</v>
      </c>
      <c r="C6" s="54" t="s">
        <v>1312</v>
      </c>
      <c r="D6" s="54" t="s">
        <v>1601</v>
      </c>
      <c r="E6" s="54" t="s">
        <v>509</v>
      </c>
      <c r="F6" s="54" t="s">
        <v>1602</v>
      </c>
      <c r="G6" s="54" t="s">
        <v>1603</v>
      </c>
      <c r="H6" s="54" t="s">
        <v>1604</v>
      </c>
      <c r="I6" s="54" t="s">
        <v>1605</v>
      </c>
      <c r="J6" s="54" t="s">
        <v>1606</v>
      </c>
      <c r="K6" s="54" t="s">
        <v>1307</v>
      </c>
      <c r="L6" s="54" t="s">
        <v>1607</v>
      </c>
      <c r="M6" s="54" t="s">
        <v>1608</v>
      </c>
      <c r="N6" s="54" t="s">
        <v>1609</v>
      </c>
      <c r="O6" s="54" t="s">
        <v>12</v>
      </c>
    </row>
    <row r="7" spans="1:15" ht="42" customHeight="1">
      <c r="A7" s="56" t="s">
        <v>1610</v>
      </c>
      <c r="B7" s="56" t="s">
        <v>1611</v>
      </c>
      <c r="C7" s="56" t="s">
        <v>1319</v>
      </c>
      <c r="D7" s="56" t="s">
        <v>1612</v>
      </c>
      <c r="E7" s="56" t="s">
        <v>1613</v>
      </c>
      <c r="F7" s="56" t="s">
        <v>1614</v>
      </c>
      <c r="G7" s="56" t="s">
        <v>1615</v>
      </c>
      <c r="H7" s="56" t="s">
        <v>1616</v>
      </c>
      <c r="I7" s="56" t="s">
        <v>568</v>
      </c>
      <c r="J7" s="56" t="s">
        <v>1617</v>
      </c>
      <c r="K7" s="56" t="s">
        <v>1618</v>
      </c>
      <c r="L7" s="56" t="s">
        <v>1619</v>
      </c>
      <c r="M7" s="56" t="s">
        <v>1620</v>
      </c>
      <c r="N7" s="57" t="s">
        <v>1621</v>
      </c>
      <c r="O7" s="58" t="s">
        <v>1622</v>
      </c>
    </row>
    <row r="8" spans="1:15" ht="42" customHeight="1">
      <c r="A8" s="56" t="s">
        <v>1623</v>
      </c>
      <c r="B8" s="56" t="s">
        <v>1624</v>
      </c>
      <c r="C8" s="56" t="s">
        <v>1625</v>
      </c>
      <c r="D8" s="56" t="s">
        <v>113</v>
      </c>
      <c r="E8" s="56" t="s">
        <v>1626</v>
      </c>
      <c r="F8" s="56" t="s">
        <v>1627</v>
      </c>
      <c r="G8" s="56" t="s">
        <v>1628</v>
      </c>
      <c r="H8" s="56" t="s">
        <v>1629</v>
      </c>
      <c r="I8" s="56" t="s">
        <v>564</v>
      </c>
      <c r="J8" s="56" t="s">
        <v>1630</v>
      </c>
      <c r="K8" s="56" t="s">
        <v>1631</v>
      </c>
      <c r="L8" s="56" t="s">
        <v>1632</v>
      </c>
      <c r="M8" s="56" t="s">
        <v>1633</v>
      </c>
      <c r="N8" s="57" t="s">
        <v>1634</v>
      </c>
      <c r="O8" s="58" t="s">
        <v>1622</v>
      </c>
    </row>
    <row r="9" spans="1:15" ht="42" customHeight="1">
      <c r="A9" s="56" t="s">
        <v>1635</v>
      </c>
      <c r="B9" s="56" t="s">
        <v>1624</v>
      </c>
      <c r="C9" s="56" t="s">
        <v>1625</v>
      </c>
      <c r="D9" s="56" t="s">
        <v>103</v>
      </c>
      <c r="E9" s="56" t="s">
        <v>1626</v>
      </c>
      <c r="F9" s="56" t="s">
        <v>1627</v>
      </c>
      <c r="G9" s="56" t="s">
        <v>1628</v>
      </c>
      <c r="H9" s="56" t="s">
        <v>1636</v>
      </c>
      <c r="I9" s="56" t="s">
        <v>564</v>
      </c>
      <c r="J9" s="56" t="s">
        <v>1630</v>
      </c>
      <c r="K9" s="56" t="s">
        <v>1631</v>
      </c>
      <c r="L9" s="56" t="s">
        <v>1632</v>
      </c>
      <c r="M9" s="56" t="s">
        <v>1633</v>
      </c>
      <c r="N9" s="57" t="s">
        <v>1634</v>
      </c>
      <c r="O9" s="58" t="s">
        <v>1622</v>
      </c>
    </row>
    <row r="10" spans="1:15" ht="42" customHeight="1">
      <c r="A10" s="56" t="s">
        <v>1637</v>
      </c>
      <c r="B10" s="56" t="s">
        <v>1638</v>
      </c>
      <c r="C10" s="56" t="s">
        <v>1625</v>
      </c>
      <c r="D10" s="56" t="s">
        <v>113</v>
      </c>
      <c r="E10" s="56" t="s">
        <v>1626</v>
      </c>
      <c r="F10" s="56" t="s">
        <v>1639</v>
      </c>
      <c r="G10" s="56" t="s">
        <v>1640</v>
      </c>
      <c r="H10" s="56" t="s">
        <v>1641</v>
      </c>
      <c r="I10" s="56" t="s">
        <v>565</v>
      </c>
      <c r="J10" s="56" t="s">
        <v>1642</v>
      </c>
      <c r="K10" s="56" t="s">
        <v>1631</v>
      </c>
      <c r="L10" s="56" t="s">
        <v>1643</v>
      </c>
      <c r="M10" s="56" t="s">
        <v>1644</v>
      </c>
      <c r="N10" s="57" t="s">
        <v>1645</v>
      </c>
      <c r="O10" s="58" t="s">
        <v>1622</v>
      </c>
    </row>
    <row r="11" spans="1:15" ht="42" customHeight="1">
      <c r="A11" s="56" t="s">
        <v>1646</v>
      </c>
      <c r="B11" s="56" t="s">
        <v>1638</v>
      </c>
      <c r="C11" s="56" t="s">
        <v>1625</v>
      </c>
      <c r="D11" s="56" t="s">
        <v>103</v>
      </c>
      <c r="E11" s="56" t="s">
        <v>1626</v>
      </c>
      <c r="F11" s="56" t="s">
        <v>1639</v>
      </c>
      <c r="G11" s="56" t="s">
        <v>1640</v>
      </c>
      <c r="H11" s="56" t="s">
        <v>1647</v>
      </c>
      <c r="I11" s="56" t="s">
        <v>565</v>
      </c>
      <c r="J11" s="56" t="s">
        <v>1642</v>
      </c>
      <c r="K11" s="56" t="s">
        <v>1631</v>
      </c>
      <c r="L11" s="56" t="s">
        <v>1643</v>
      </c>
      <c r="M11" s="56" t="s">
        <v>1644</v>
      </c>
      <c r="N11" s="57" t="s">
        <v>1645</v>
      </c>
      <c r="O11" s="58" t="s">
        <v>1622</v>
      </c>
    </row>
    <row r="12" spans="1:15" ht="42" customHeight="1">
      <c r="A12" s="56" t="s">
        <v>1648</v>
      </c>
      <c r="B12" s="56" t="s">
        <v>1649</v>
      </c>
      <c r="C12" s="56" t="s">
        <v>1625</v>
      </c>
      <c r="D12" s="56" t="s">
        <v>113</v>
      </c>
      <c r="E12" s="56" t="s">
        <v>1650</v>
      </c>
      <c r="F12" s="56" t="s">
        <v>1651</v>
      </c>
      <c r="G12" s="56" t="s">
        <v>1640</v>
      </c>
      <c r="H12" s="56" t="s">
        <v>1652</v>
      </c>
      <c r="I12" s="56" t="s">
        <v>565</v>
      </c>
      <c r="J12" s="56" t="s">
        <v>1653</v>
      </c>
      <c r="K12" s="56" t="s">
        <v>1654</v>
      </c>
      <c r="L12" s="56" t="s">
        <v>1643</v>
      </c>
      <c r="M12" s="56" t="s">
        <v>1655</v>
      </c>
      <c r="N12" s="57" t="s">
        <v>1656</v>
      </c>
      <c r="O12" s="58" t="s">
        <v>1622</v>
      </c>
    </row>
    <row r="13" spans="1:15" ht="42" customHeight="1">
      <c r="A13" s="56" t="s">
        <v>1657</v>
      </c>
      <c r="B13" s="56" t="s">
        <v>1649</v>
      </c>
      <c r="C13" s="56" t="s">
        <v>1625</v>
      </c>
      <c r="D13" s="56" t="s">
        <v>103</v>
      </c>
      <c r="E13" s="56" t="s">
        <v>1650</v>
      </c>
      <c r="F13" s="56" t="s">
        <v>1651</v>
      </c>
      <c r="G13" s="56" t="s">
        <v>1640</v>
      </c>
      <c r="H13" s="56" t="s">
        <v>1658</v>
      </c>
      <c r="I13" s="56" t="s">
        <v>565</v>
      </c>
      <c r="J13" s="56" t="s">
        <v>1653</v>
      </c>
      <c r="K13" s="56" t="s">
        <v>1654</v>
      </c>
      <c r="L13" s="56" t="s">
        <v>1643</v>
      </c>
      <c r="M13" s="56" t="s">
        <v>1655</v>
      </c>
      <c r="N13" s="57" t="s">
        <v>1656</v>
      </c>
      <c r="O13" s="58" t="s">
        <v>1622</v>
      </c>
    </row>
    <row r="14" spans="1:15" ht="42" customHeight="1">
      <c r="A14" s="56" t="s">
        <v>1659</v>
      </c>
      <c r="B14" s="56" t="s">
        <v>1660</v>
      </c>
      <c r="C14" s="56" t="s">
        <v>1625</v>
      </c>
      <c r="D14" s="56" t="s">
        <v>1612</v>
      </c>
      <c r="E14" s="56" t="s">
        <v>1650</v>
      </c>
      <c r="F14" s="56" t="s">
        <v>1661</v>
      </c>
      <c r="G14" s="56" t="s">
        <v>565</v>
      </c>
      <c r="H14" s="56" t="s">
        <v>1662</v>
      </c>
      <c r="I14" s="56" t="s">
        <v>565</v>
      </c>
      <c r="J14" s="56" t="s">
        <v>1663</v>
      </c>
      <c r="K14" s="56" t="s">
        <v>1664</v>
      </c>
      <c r="L14" s="56" t="s">
        <v>1643</v>
      </c>
      <c r="M14" s="56" t="s">
        <v>1665</v>
      </c>
      <c r="N14" s="57" t="s">
        <v>1666</v>
      </c>
      <c r="O14" s="58" t="s">
        <v>1622</v>
      </c>
    </row>
    <row r="15" spans="1:15" ht="42" customHeight="1">
      <c r="A15" s="56" t="s">
        <v>1667</v>
      </c>
      <c r="B15" s="56" t="s">
        <v>1668</v>
      </c>
      <c r="C15" s="56" t="s">
        <v>1669</v>
      </c>
      <c r="D15" s="56" t="s">
        <v>1612</v>
      </c>
      <c r="E15" s="56" t="s">
        <v>1319</v>
      </c>
      <c r="F15" s="56" t="s">
        <v>1670</v>
      </c>
      <c r="G15" s="56" t="s">
        <v>1671</v>
      </c>
      <c r="H15" s="56" t="s">
        <v>1672</v>
      </c>
      <c r="I15" s="56" t="s">
        <v>564</v>
      </c>
      <c r="J15" s="56" t="s">
        <v>1673</v>
      </c>
      <c r="K15" s="56" t="s">
        <v>1654</v>
      </c>
      <c r="L15" s="56" t="s">
        <v>1674</v>
      </c>
      <c r="M15" s="56" t="s">
        <v>1675</v>
      </c>
      <c r="N15" s="57" t="s">
        <v>1676</v>
      </c>
      <c r="O15" s="58" t="s">
        <v>1677</v>
      </c>
    </row>
    <row r="16" spans="1:15" ht="42" customHeight="1">
      <c r="A16" s="56" t="s">
        <v>1678</v>
      </c>
      <c r="B16" s="56" t="s">
        <v>1679</v>
      </c>
      <c r="C16" s="56" t="s">
        <v>1680</v>
      </c>
      <c r="D16" s="56" t="s">
        <v>1612</v>
      </c>
      <c r="E16" s="56" t="s">
        <v>1319</v>
      </c>
      <c r="F16" s="56" t="s">
        <v>1681</v>
      </c>
      <c r="G16" s="56" t="s">
        <v>565</v>
      </c>
      <c r="H16" s="56" t="s">
        <v>1682</v>
      </c>
      <c r="I16" s="56" t="s">
        <v>565</v>
      </c>
      <c r="J16" s="56" t="s">
        <v>1683</v>
      </c>
      <c r="K16" s="56" t="s">
        <v>1684</v>
      </c>
      <c r="L16" s="56" t="s">
        <v>1685</v>
      </c>
      <c r="M16" s="56" t="s">
        <v>1686</v>
      </c>
      <c r="N16" s="57" t="s">
        <v>1687</v>
      </c>
      <c r="O16" s="58" t="s">
        <v>1688</v>
      </c>
    </row>
    <row r="17" spans="1:15" ht="42" customHeight="1">
      <c r="A17" s="56" t="s">
        <v>1689</v>
      </c>
      <c r="B17" s="56" t="s">
        <v>1690</v>
      </c>
      <c r="C17" s="56" t="s">
        <v>1691</v>
      </c>
      <c r="D17" s="56" t="s">
        <v>1612</v>
      </c>
      <c r="E17" s="56" t="s">
        <v>1319</v>
      </c>
      <c r="F17" s="56" t="s">
        <v>1692</v>
      </c>
      <c r="G17" s="56" t="s">
        <v>565</v>
      </c>
      <c r="H17" s="56" t="s">
        <v>1693</v>
      </c>
      <c r="I17" s="56" t="s">
        <v>565</v>
      </c>
      <c r="J17" s="56" t="s">
        <v>1683</v>
      </c>
      <c r="K17" s="56" t="s">
        <v>1684</v>
      </c>
      <c r="L17" s="56" t="s">
        <v>1694</v>
      </c>
      <c r="M17" s="56" t="s">
        <v>1695</v>
      </c>
      <c r="N17" s="57" t="s">
        <v>1696</v>
      </c>
      <c r="O17" s="58" t="s">
        <v>1688</v>
      </c>
    </row>
    <row r="18" spans="1:15" ht="42" customHeight="1">
      <c r="A18" s="56" t="s">
        <v>1697</v>
      </c>
      <c r="B18" s="56" t="s">
        <v>1698</v>
      </c>
      <c r="C18" s="56" t="s">
        <v>1699</v>
      </c>
      <c r="D18" s="56" t="s">
        <v>1612</v>
      </c>
      <c r="E18" s="56" t="s">
        <v>315</v>
      </c>
      <c r="F18" s="56" t="s">
        <v>1700</v>
      </c>
      <c r="G18" s="56" t="s">
        <v>565</v>
      </c>
      <c r="H18" s="56" t="s">
        <v>1693</v>
      </c>
      <c r="I18" s="56" t="s">
        <v>565</v>
      </c>
      <c r="J18" s="56" t="s">
        <v>1683</v>
      </c>
      <c r="K18" s="56" t="s">
        <v>1684</v>
      </c>
      <c r="L18" s="56" t="s">
        <v>1701</v>
      </c>
      <c r="M18" s="56" t="s">
        <v>1702</v>
      </c>
      <c r="N18" s="57" t="s">
        <v>1703</v>
      </c>
      <c r="O18" s="58" t="s">
        <v>1688</v>
      </c>
    </row>
    <row r="19" spans="1:15" ht="42" customHeight="1">
      <c r="A19" s="56" t="s">
        <v>1704</v>
      </c>
      <c r="B19" s="56" t="s">
        <v>1705</v>
      </c>
      <c r="C19" s="56" t="s">
        <v>1706</v>
      </c>
      <c r="D19" s="56" t="s">
        <v>1612</v>
      </c>
      <c r="E19" s="56" t="s">
        <v>1319</v>
      </c>
      <c r="F19" s="56" t="s">
        <v>1707</v>
      </c>
      <c r="G19" s="56" t="s">
        <v>565</v>
      </c>
      <c r="H19" s="56" t="s">
        <v>1693</v>
      </c>
      <c r="I19" s="56" t="s">
        <v>565</v>
      </c>
      <c r="J19" s="56" t="s">
        <v>1683</v>
      </c>
      <c r="K19" s="56" t="s">
        <v>1684</v>
      </c>
      <c r="L19" s="56" t="s">
        <v>1708</v>
      </c>
      <c r="M19" s="56" t="s">
        <v>1702</v>
      </c>
      <c r="N19" s="57" t="s">
        <v>1709</v>
      </c>
      <c r="O19" s="58" t="s">
        <v>1688</v>
      </c>
    </row>
    <row r="20" spans="1:1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</row>
    <row r="21" spans="1:1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</row>
    <row r="22" spans="1:15">
      <c r="A22" s="79" t="s">
        <v>1710</v>
      </c>
      <c r="B22" s="79"/>
      <c r="C22" s="79"/>
      <c r="D22" s="79"/>
      <c r="E22" s="79"/>
      <c r="F22" s="79"/>
      <c r="G22" s="55"/>
      <c r="H22" s="55"/>
      <c r="I22" s="55"/>
      <c r="J22" s="55"/>
      <c r="K22" s="55"/>
      <c r="L22" s="55"/>
      <c r="M22" s="55"/>
      <c r="N22" s="55"/>
      <c r="O22" s="55"/>
    </row>
    <row r="23" spans="1:15">
      <c r="A23" s="59" t="s">
        <v>1711</v>
      </c>
      <c r="B23" s="58">
        <f>COUNTIFS($A$7:$A$19,"&lt;&gt;")</f>
        <v>13</v>
      </c>
      <c r="C23" s="55"/>
      <c r="D23" s="80" t="s">
        <v>1712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</row>
    <row r="24" spans="1:15" ht="24">
      <c r="A24" s="59" t="s">
        <v>1713</v>
      </c>
      <c r="B24" s="58">
        <f>COUNTIFS($O$7:$O$19,"CONDICIONAL")</f>
        <v>8</v>
      </c>
      <c r="C24" s="55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</row>
    <row r="25" spans="1:15" ht="24">
      <c r="A25" s="59" t="s">
        <v>1714</v>
      </c>
      <c r="B25" s="58">
        <f>COUNTIFS($O$7:$O$19,"REGISTRO")</f>
        <v>4</v>
      </c>
      <c r="C25" s="55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</row>
    <row r="26" spans="1:15" ht="24">
      <c r="A26" s="59" t="s">
        <v>1715</v>
      </c>
      <c r="B26" s="58">
        <f>COUNTIFS($O$7:$O$19,"BLOQUEADA_POR_DEFECTO")</f>
        <v>1</v>
      </c>
      <c r="C26" s="55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</row>
    <row r="27" spans="1:15" ht="36">
      <c r="A27" s="59" t="s">
        <v>1716</v>
      </c>
      <c r="B27" s="58">
        <v>0</v>
      </c>
      <c r="C27" s="55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</row>
    <row r="28" spans="1:1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</row>
    <row r="29" spans="1:1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</row>
    <row r="30" spans="1:1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</row>
    <row r="31" spans="1:1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</row>
    <row r="33" spans="1:1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 spans="1:1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1:1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1:1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</row>
    <row r="37" spans="1:1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</row>
    <row r="38" spans="1:1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</row>
    <row r="39" spans="1:1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</row>
    <row r="40" spans="1:1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spans="1:1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</row>
    <row r="44" spans="1:1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</row>
    <row r="46" spans="1:1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</row>
    <row r="47" spans="1:1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</row>
    <row r="48" spans="1:1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</row>
    <row r="49" spans="1:1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</row>
    <row r="50" spans="1:1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  <row r="51" spans="1:1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</row>
    <row r="52" spans="1:1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</row>
    <row r="53" spans="1:1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</row>
    <row r="54" spans="1:1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</row>
    <row r="55" spans="1:1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</row>
    <row r="56" spans="1:1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</row>
    <row r="57" spans="1:1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</row>
    <row r="58" spans="1:1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</row>
    <row r="59" spans="1:1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</row>
    <row r="60" spans="1:1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</row>
    <row r="61" spans="1:1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</row>
    <row r="62" spans="1:1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</row>
    <row r="63" spans="1:1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</row>
    <row r="64" spans="1:1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</row>
    <row r="65" spans="1:1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</row>
    <row r="66" spans="1:1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</row>
    <row r="67" spans="1:1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</row>
    <row r="68" spans="1:1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</row>
    <row r="69" spans="1:1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</row>
    <row r="70" spans="1:1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</row>
    <row r="71" spans="1:1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</row>
    <row r="72" spans="1:1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</row>
    <row r="73" spans="1:1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</row>
    <row r="74" spans="1:1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</row>
    <row r="75" spans="1:1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</row>
    <row r="76" spans="1:1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</row>
    <row r="77" spans="1:1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</row>
    <row r="78" spans="1:1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</row>
    <row r="79" spans="1:1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</row>
    <row r="80" spans="1:1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</row>
    <row r="81" spans="1:1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</row>
    <row r="82" spans="1:1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</row>
    <row r="83" spans="1:1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</row>
    <row r="84" spans="1:1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</row>
    <row r="85" spans="1:1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</row>
    <row r="86" spans="1:1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</row>
    <row r="87" spans="1:1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</row>
    <row r="88" spans="1:1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</row>
    <row r="89" spans="1:1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</row>
    <row r="90" spans="1:1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</row>
    <row r="91" spans="1:1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</row>
    <row r="92" spans="1:1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</row>
    <row r="93" spans="1:1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</row>
    <row r="94" spans="1:1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</row>
    <row r="95" spans="1:1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</row>
    <row r="96" spans="1:1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</row>
    <row r="97" spans="1:1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</row>
    <row r="98" spans="1:1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</row>
    <row r="99" spans="1:1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</row>
    <row r="100" spans="1:1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</row>
    <row r="101" spans="1:1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</row>
    <row r="102" spans="1:1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</row>
    <row r="103" spans="1:1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</row>
    <row r="104" spans="1:1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</row>
    <row r="105" spans="1:1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</row>
    <row r="106" spans="1:1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</row>
    <row r="107" spans="1:1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</row>
    <row r="108" spans="1:1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</row>
    <row r="109" spans="1:1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</row>
    <row r="110" spans="1:1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</row>
    <row r="111" spans="1:1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</row>
    <row r="112" spans="1:1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</row>
    <row r="113" spans="1:1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</row>
    <row r="114" spans="1:1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</row>
    <row r="115" spans="1: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</row>
    <row r="116" spans="1:1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</row>
    <row r="117" spans="1:1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</row>
    <row r="118" spans="1:1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</row>
    <row r="119" spans="1:1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</row>
    <row r="120" spans="1:1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</row>
    <row r="121" spans="1:1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</row>
    <row r="122" spans="1:1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</row>
    <row r="123" spans="1:1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</row>
    <row r="124" spans="1:1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</row>
    <row r="125" spans="1:1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</row>
    <row r="126" spans="1:1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</row>
    <row r="127" spans="1:1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</row>
    <row r="128" spans="1:1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</row>
    <row r="129" spans="1:1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</row>
    <row r="130" spans="1:1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</row>
    <row r="131" spans="1:1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</row>
    <row r="132" spans="1:1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</row>
    <row r="133" spans="1:1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</row>
    <row r="134" spans="1:1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</row>
    <row r="135" spans="1:1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</row>
    <row r="136" spans="1:1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</row>
    <row r="137" spans="1:1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</row>
    <row r="138" spans="1:1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</row>
    <row r="139" spans="1:1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</row>
    <row r="140" spans="1:1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</row>
    <row r="141" spans="1:1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</row>
    <row r="142" spans="1:1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</row>
    <row r="143" spans="1:1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</row>
    <row r="144" spans="1:1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</row>
    <row r="145" spans="1:1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</row>
    <row r="146" spans="1:1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</row>
    <row r="147" spans="1:1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</row>
    <row r="148" spans="1:1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</row>
    <row r="149" spans="1:1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</row>
    <row r="150" spans="1:1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</row>
    <row r="151" spans="1:1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</row>
    <row r="152" spans="1:1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</row>
    <row r="153" spans="1:1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</row>
    <row r="154" spans="1:1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</row>
    <row r="155" spans="1:1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</row>
    <row r="156" spans="1:1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</row>
    <row r="157" spans="1:1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</row>
    <row r="158" spans="1:1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</row>
    <row r="159" spans="1:1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</row>
    <row r="160" spans="1:1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</row>
    <row r="161" spans="1:1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</row>
    <row r="162" spans="1:1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</row>
    <row r="163" spans="1:1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</row>
    <row r="164" spans="1:1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</row>
    <row r="165" spans="1:1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</row>
    <row r="166" spans="1:1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</row>
    <row r="167" spans="1:1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</row>
    <row r="168" spans="1:1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</row>
    <row r="169" spans="1:1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</row>
    <row r="170" spans="1:1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</row>
    <row r="171" spans="1:1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</row>
    <row r="172" spans="1:1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</row>
    <row r="173" spans="1:1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</row>
    <row r="174" spans="1:1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</row>
    <row r="175" spans="1:1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</row>
    <row r="176" spans="1:1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</row>
    <row r="177" spans="1:1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</row>
    <row r="178" spans="1:1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</row>
    <row r="179" spans="1:1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</row>
    <row r="180" spans="1:1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</row>
    <row r="181" spans="1:1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</row>
    <row r="182" spans="1:1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</row>
    <row r="183" spans="1:1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</row>
    <row r="184" spans="1:1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</row>
    <row r="185" spans="1:1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</row>
    <row r="186" spans="1:1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</row>
    <row r="187" spans="1:1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</row>
    <row r="188" spans="1:1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</row>
    <row r="189" spans="1:1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</row>
    <row r="190" spans="1:1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</row>
    <row r="191" spans="1:1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</row>
    <row r="192" spans="1:1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</row>
    <row r="193" spans="1:1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</row>
    <row r="194" spans="1:1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</row>
    <row r="195" spans="1:1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</row>
    <row r="196" spans="1:1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</row>
    <row r="197" spans="1:1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</row>
    <row r="198" spans="1:1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</row>
    <row r="199" spans="1:1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</row>
    <row r="200" spans="1:1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</row>
  </sheetData>
  <mergeCells count="5">
    <mergeCell ref="A1:O1"/>
    <mergeCell ref="A3:O3"/>
    <mergeCell ref="A5:O5"/>
    <mergeCell ref="A22:F22"/>
    <mergeCell ref="D23:O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00"/>
  <sheetViews>
    <sheetView workbookViewId="0">
      <selection activeCell="B9" sqref="B9"/>
    </sheetView>
  </sheetViews>
  <sheetFormatPr baseColWidth="10" defaultColWidth="9.140625" defaultRowHeight="15"/>
  <cols>
    <col min="1" max="1" width="28" customWidth="1"/>
    <col min="2" max="2" width="20" customWidth="1"/>
    <col min="3" max="6" width="14" customWidth="1"/>
    <col min="7" max="7" width="3" customWidth="1"/>
    <col min="8" max="8" width="18" customWidth="1"/>
    <col min="9" max="9" width="20" customWidth="1"/>
    <col min="10" max="10" width="18" customWidth="1"/>
    <col min="11" max="11" width="16" customWidth="1"/>
    <col min="12" max="12" width="36" customWidth="1"/>
  </cols>
  <sheetData>
    <row r="1" spans="1:12" ht="30" customHeight="1">
      <c r="A1" s="77" t="s">
        <v>1717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4" customHeight="1">
      <c r="A2" s="52" t="s">
        <v>1</v>
      </c>
      <c r="B2" s="52" t="s">
        <v>1592</v>
      </c>
      <c r="C2" s="52" t="s">
        <v>1593</v>
      </c>
      <c r="D2" s="52" t="s">
        <v>1594</v>
      </c>
      <c r="E2" s="52" t="s">
        <v>1595</v>
      </c>
      <c r="F2" s="52" t="s">
        <v>1596</v>
      </c>
      <c r="G2" s="52" t="s">
        <v>1597</v>
      </c>
      <c r="H2" s="52" t="s">
        <v>4</v>
      </c>
      <c r="I2" s="52"/>
      <c r="J2" s="52"/>
      <c r="K2" s="52"/>
      <c r="L2" s="52"/>
    </row>
    <row r="3" spans="1:12" ht="33.950000000000003" customHeight="1">
      <c r="A3" s="78" t="s">
        <v>1718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>
      <c r="A5" s="79" t="s">
        <v>1602</v>
      </c>
      <c r="B5" s="79"/>
      <c r="C5" s="79"/>
      <c r="D5" s="79"/>
      <c r="E5" s="79"/>
      <c r="F5" s="79"/>
      <c r="G5" s="55"/>
      <c r="H5" s="79" t="s">
        <v>1719</v>
      </c>
      <c r="I5" s="79"/>
      <c r="J5" s="79"/>
      <c r="K5" s="79"/>
      <c r="L5" s="79"/>
    </row>
    <row r="6" spans="1:12">
      <c r="A6" s="59" t="s">
        <v>1720</v>
      </c>
      <c r="B6" s="60"/>
      <c r="C6" s="55"/>
      <c r="D6" s="55"/>
      <c r="E6" s="55"/>
      <c r="F6" s="55"/>
      <c r="G6" s="55"/>
      <c r="H6" s="54" t="s">
        <v>1721</v>
      </c>
      <c r="I6" s="54" t="s">
        <v>1722</v>
      </c>
      <c r="J6" s="54" t="s">
        <v>1723</v>
      </c>
      <c r="K6" s="54" t="s">
        <v>1724</v>
      </c>
      <c r="L6" s="54" t="s">
        <v>539</v>
      </c>
    </row>
    <row r="7" spans="1:12">
      <c r="A7" s="59" t="s">
        <v>1725</v>
      </c>
      <c r="B7" s="61"/>
      <c r="C7" s="55"/>
      <c r="D7" s="55"/>
      <c r="E7" s="55"/>
      <c r="F7" s="55"/>
      <c r="G7" s="55"/>
      <c r="H7" s="56" t="s">
        <v>1726</v>
      </c>
      <c r="I7" s="63">
        <v>1</v>
      </c>
      <c r="J7" s="63">
        <v>2</v>
      </c>
      <c r="K7" s="56" t="s">
        <v>1727</v>
      </c>
      <c r="L7" s="56" t="s">
        <v>1728</v>
      </c>
    </row>
    <row r="8" spans="1:12">
      <c r="A8" s="59" t="s">
        <v>1729</v>
      </c>
      <c r="B8" s="61"/>
      <c r="C8" s="55"/>
      <c r="D8" s="55"/>
      <c r="E8" s="55"/>
      <c r="F8" s="55"/>
      <c r="G8" s="55"/>
      <c r="H8" s="56" t="s">
        <v>237</v>
      </c>
      <c r="I8" s="63">
        <v>5</v>
      </c>
      <c r="J8" s="63">
        <v>5</v>
      </c>
      <c r="K8" s="56" t="s">
        <v>1727</v>
      </c>
      <c r="L8" s="56" t="s">
        <v>1730</v>
      </c>
    </row>
    <row r="9" spans="1:12">
      <c r="A9" s="59" t="s">
        <v>1731</v>
      </c>
      <c r="B9" s="60" t="s">
        <v>237</v>
      </c>
      <c r="C9" s="55"/>
      <c r="D9" s="55"/>
      <c r="E9" s="55"/>
      <c r="F9" s="55"/>
      <c r="G9" s="55"/>
      <c r="H9" s="56" t="s">
        <v>224</v>
      </c>
      <c r="I9" s="63">
        <v>7.5</v>
      </c>
      <c r="J9" s="63">
        <v>7.5</v>
      </c>
      <c r="K9" s="56" t="s">
        <v>1727</v>
      </c>
      <c r="L9" s="56" t="s">
        <v>1732</v>
      </c>
    </row>
    <row r="10" spans="1:12">
      <c r="A10" s="59" t="s">
        <v>1733</v>
      </c>
      <c r="B10" s="60" t="s">
        <v>1734</v>
      </c>
      <c r="C10" s="55"/>
      <c r="D10" s="55"/>
      <c r="E10" s="55"/>
      <c r="F10" s="55"/>
      <c r="G10" s="55"/>
      <c r="H10" s="56" t="s">
        <v>1735</v>
      </c>
      <c r="I10" s="63">
        <v>10</v>
      </c>
      <c r="J10" s="63">
        <v>10</v>
      </c>
      <c r="K10" s="56" t="s">
        <v>1727</v>
      </c>
      <c r="L10" s="56" t="s">
        <v>1736</v>
      </c>
    </row>
    <row r="11" spans="1:12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</row>
    <row r="12" spans="1:12">
      <c r="A12" s="79" t="s">
        <v>516</v>
      </c>
      <c r="B12" s="79"/>
      <c r="C12" s="79"/>
      <c r="D12" s="79"/>
      <c r="E12" s="79"/>
      <c r="F12" s="79"/>
      <c r="G12" s="55"/>
      <c r="H12" s="78" t="s">
        <v>1737</v>
      </c>
      <c r="I12" s="78"/>
      <c r="J12" s="78"/>
      <c r="K12" s="78"/>
      <c r="L12" s="78"/>
    </row>
    <row r="13" spans="1:12" ht="24">
      <c r="A13" s="59" t="s">
        <v>1738</v>
      </c>
      <c r="B13" s="62" t="str">
        <f>IFERROR(IF(OR(B7="",B8="",B7&lt;=0,B8&lt;0),"",(B7-B8)*100/B7),"")</f>
        <v/>
      </c>
      <c r="C13" s="58"/>
      <c r="D13" s="58"/>
      <c r="E13" s="58"/>
      <c r="F13" s="58"/>
      <c r="G13" s="55"/>
      <c r="H13" s="78"/>
      <c r="I13" s="78"/>
      <c r="J13" s="78"/>
      <c r="K13" s="78"/>
      <c r="L13" s="78"/>
    </row>
    <row r="14" spans="1:12">
      <c r="A14" s="59" t="s">
        <v>1739</v>
      </c>
      <c r="B14" s="81" t="str">
        <f>IF(B13="","",IF(B13&lt;0,"Aumento de peso / no pérdida",IF(B13&gt;IFERROR(INDEX($J$7:$J$10,MATCH(B9,$H$7:$H$10,0)),""),"Pérdida grave",IF(B13&gt;=IFERROR(INDEX($I$7:$I$10,MATCH(B9,$H$7:$H$10,0)),""),"Pérdida significativa","Sin pérdida significativa por este criterio"))))</f>
        <v/>
      </c>
      <c r="C14" s="81"/>
      <c r="D14" s="81"/>
      <c r="E14" s="81"/>
      <c r="F14" s="81"/>
      <c r="G14" s="55"/>
      <c r="H14" s="78"/>
      <c r="I14" s="78"/>
      <c r="J14" s="78"/>
      <c r="K14" s="78"/>
      <c r="L14" s="78"/>
    </row>
    <row r="15" spans="1:12">
      <c r="A15" s="59" t="s">
        <v>1740</v>
      </c>
      <c r="B15" s="81" t="str">
        <f>IF(B13="","","EQ-18")</f>
        <v/>
      </c>
      <c r="C15" s="81"/>
      <c r="D15" s="81"/>
      <c r="E15" s="81"/>
      <c r="F15" s="81"/>
      <c r="G15" s="55"/>
      <c r="H15" s="78"/>
      <c r="I15" s="78"/>
      <c r="J15" s="78"/>
      <c r="K15" s="78"/>
      <c r="L15" s="78"/>
    </row>
    <row r="16" spans="1:12">
      <c r="A16" s="59" t="s">
        <v>702</v>
      </c>
      <c r="B16" s="81" t="str">
        <f>IF(B13="","","Gurney &amp; Jelliffe 1973, según Matriz Elementos UDD; página PDF 78")</f>
        <v/>
      </c>
      <c r="C16" s="81"/>
      <c r="D16" s="81"/>
      <c r="E16" s="81"/>
      <c r="F16" s="81"/>
      <c r="G16" s="55"/>
      <c r="H16" s="55"/>
      <c r="I16" s="55"/>
      <c r="J16" s="55"/>
      <c r="K16" s="55"/>
      <c r="L16" s="55"/>
    </row>
    <row r="17" spans="1:12">
      <c r="A17" s="59" t="s">
        <v>1608</v>
      </c>
      <c r="B17" s="81" t="str">
        <f>IF(B13="","","Adultos; comparar con el periodo seleccionado. No sustituye una valoración nutricional completa.")</f>
        <v/>
      </c>
      <c r="C17" s="81"/>
      <c r="D17" s="81"/>
      <c r="E17" s="81"/>
      <c r="F17" s="81"/>
      <c r="G17" s="55"/>
      <c r="H17" s="55"/>
      <c r="I17" s="55"/>
      <c r="J17" s="55"/>
      <c r="K17" s="55"/>
      <c r="L17" s="55"/>
    </row>
    <row r="18" spans="1:12">
      <c r="A18" s="59" t="s">
        <v>1741</v>
      </c>
      <c r="B18" s="80" t="str">
        <f>IF(OR(B7="",B8=""),"DATO INCOMPLETO",IF(OR(B7&lt;=0,B8&lt;0),"RESULTADO FUERA DE RANGO",IF(B13&lt;0,"CONTROL: el peso actual supera al habitual",IF(B10&lt;&gt;"Medición directa","ADVERTENCIA: el peso actual no proviene de medición directa","OK · revisar clínicamente"))))</f>
        <v>DATO INCOMPLETO</v>
      </c>
      <c r="C18" s="80"/>
      <c r="D18" s="80"/>
      <c r="E18" s="80"/>
      <c r="F18" s="80"/>
      <c r="G18" s="55"/>
      <c r="H18" s="55"/>
      <c r="I18" s="55"/>
      <c r="J18" s="55"/>
      <c r="K18" s="55"/>
      <c r="L18" s="55"/>
    </row>
    <row r="19" spans="1:12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</row>
    <row r="20" spans="1:12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</row>
    <row r="21" spans="1:12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2" spans="1:1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</row>
    <row r="23" spans="1:12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</row>
    <row r="24" spans="1:12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</row>
    <row r="25" spans="1:12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</row>
    <row r="26" spans="1:12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2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1:12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</row>
    <row r="29" spans="1:12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</row>
    <row r="30" spans="1:12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</row>
    <row r="31" spans="1:12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</row>
    <row r="32" spans="1:1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</row>
    <row r="33" spans="1:12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</row>
    <row r="34" spans="1:12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</row>
    <row r="35" spans="1:12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</row>
    <row r="36" spans="1:12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1:12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1:12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1:12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</row>
    <row r="41" spans="1:12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spans="1:1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1:12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 spans="1:12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</row>
    <row r="45" spans="1:12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1:12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</row>
    <row r="47" spans="1:12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</row>
    <row r="48" spans="1:12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</row>
    <row r="49" spans="1:12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</row>
    <row r="50" spans="1:12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</row>
    <row r="51" spans="1:12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</row>
    <row r="52" spans="1:1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</row>
    <row r="53" spans="1:12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</row>
    <row r="54" spans="1:12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</row>
    <row r="55" spans="1:12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1:12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1:12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</row>
    <row r="58" spans="1:12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spans="1:12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1:12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</row>
    <row r="63" spans="1:12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</row>
    <row r="64" spans="1:12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</row>
    <row r="65" spans="1:12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</row>
    <row r="66" spans="1:12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</row>
    <row r="67" spans="1:12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</row>
    <row r="68" spans="1:12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</row>
    <row r="69" spans="1:12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</row>
    <row r="70" spans="1:12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</row>
    <row r="71" spans="1:12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</row>
    <row r="72" spans="1:1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</row>
    <row r="73" spans="1:12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</row>
    <row r="74" spans="1:12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</row>
    <row r="75" spans="1:12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</row>
    <row r="76" spans="1:12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</row>
    <row r="77" spans="1:12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</row>
    <row r="78" spans="1:12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</row>
    <row r="79" spans="1:12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</row>
    <row r="80" spans="1:12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</row>
    <row r="81" spans="1:12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</row>
    <row r="82" spans="1:1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</row>
    <row r="83" spans="1:12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1:12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</row>
    <row r="85" spans="1:12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</row>
    <row r="86" spans="1:12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</row>
    <row r="87" spans="1:12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</row>
    <row r="88" spans="1:12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</row>
    <row r="89" spans="1:12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1:12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</row>
    <row r="91" spans="1:12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</row>
    <row r="92" spans="1:1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</row>
    <row r="93" spans="1:12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</row>
    <row r="94" spans="1:12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</row>
    <row r="95" spans="1:12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</row>
    <row r="96" spans="1:12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</row>
    <row r="97" spans="1:12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</row>
    <row r="98" spans="1:12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</row>
    <row r="99" spans="1:12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</row>
    <row r="100" spans="1:12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</row>
    <row r="101" spans="1:12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</row>
    <row r="102" spans="1:1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</row>
    <row r="103" spans="1:12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</row>
    <row r="104" spans="1:12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</row>
    <row r="105" spans="1:12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</row>
    <row r="106" spans="1:12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</row>
    <row r="107" spans="1:12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</row>
    <row r="108" spans="1:12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</row>
    <row r="109" spans="1:12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</row>
    <row r="110" spans="1:12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</row>
    <row r="111" spans="1:12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</row>
    <row r="112" spans="1: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</row>
    <row r="113" spans="1:12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</row>
    <row r="114" spans="1:12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</row>
    <row r="115" spans="1:12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</row>
    <row r="116" spans="1:12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</row>
    <row r="117" spans="1:12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</row>
    <row r="118" spans="1:12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</row>
    <row r="119" spans="1:12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</row>
    <row r="120" spans="1:12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</row>
    <row r="121" spans="1:12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</row>
    <row r="122" spans="1:1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</row>
    <row r="123" spans="1:12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</row>
    <row r="124" spans="1:12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</row>
    <row r="125" spans="1:12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</row>
    <row r="126" spans="1:12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</row>
    <row r="127" spans="1:12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</row>
    <row r="128" spans="1:12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</row>
    <row r="129" spans="1:12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</row>
    <row r="130" spans="1:12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</row>
    <row r="131" spans="1:12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</row>
    <row r="132" spans="1:1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</row>
    <row r="133" spans="1:12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</row>
    <row r="134" spans="1:12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</row>
    <row r="135" spans="1:12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</row>
    <row r="136" spans="1:12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</row>
    <row r="137" spans="1:12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</row>
    <row r="138" spans="1:12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</row>
    <row r="139" spans="1:12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</row>
    <row r="140" spans="1:12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</row>
    <row r="141" spans="1:12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</row>
    <row r="142" spans="1:1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</row>
    <row r="143" spans="1:12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</row>
    <row r="144" spans="1:12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</row>
    <row r="145" spans="1:12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</row>
    <row r="146" spans="1:12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</row>
    <row r="147" spans="1:12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</row>
    <row r="148" spans="1:12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</row>
    <row r="149" spans="1:12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</row>
    <row r="150" spans="1:12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</row>
    <row r="151" spans="1:12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</row>
    <row r="152" spans="1:1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</row>
    <row r="153" spans="1:12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</row>
    <row r="154" spans="1:12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</row>
    <row r="155" spans="1:12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</row>
    <row r="156" spans="1:12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</row>
    <row r="157" spans="1:12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</row>
    <row r="158" spans="1:12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</row>
    <row r="159" spans="1:12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</row>
    <row r="160" spans="1:12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</row>
    <row r="161" spans="1:12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</row>
    <row r="162" spans="1:1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</row>
    <row r="163" spans="1:12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</row>
    <row r="164" spans="1:12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</row>
    <row r="165" spans="1:12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</row>
    <row r="166" spans="1:12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</row>
    <row r="167" spans="1:12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</row>
    <row r="168" spans="1:12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</row>
    <row r="169" spans="1:12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</row>
    <row r="170" spans="1:12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</row>
    <row r="171" spans="1:12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</row>
    <row r="172" spans="1:1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</row>
    <row r="173" spans="1:12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</row>
    <row r="174" spans="1:12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</row>
    <row r="175" spans="1:12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</row>
    <row r="176" spans="1:12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</row>
    <row r="177" spans="1:12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</row>
    <row r="178" spans="1:12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</row>
    <row r="179" spans="1:12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</row>
    <row r="180" spans="1:12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</row>
    <row r="181" spans="1:12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</row>
    <row r="182" spans="1:1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</row>
    <row r="183" spans="1:12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</row>
    <row r="184" spans="1:12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</row>
    <row r="185" spans="1:12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</row>
    <row r="186" spans="1:12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</row>
    <row r="187" spans="1:12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</row>
    <row r="188" spans="1:12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</row>
    <row r="189" spans="1:12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</row>
    <row r="190" spans="1:12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</row>
    <row r="191" spans="1:12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</row>
    <row r="192" spans="1:1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</row>
    <row r="193" spans="1:12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</row>
    <row r="194" spans="1:12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</row>
    <row r="195" spans="1:12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</row>
    <row r="196" spans="1:12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</row>
    <row r="197" spans="1:12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</row>
    <row r="198" spans="1:12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</row>
    <row r="199" spans="1:12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</row>
    <row r="200" spans="1:12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</row>
  </sheetData>
  <mergeCells count="11">
    <mergeCell ref="B15:F15"/>
    <mergeCell ref="B16:F16"/>
    <mergeCell ref="B17:F17"/>
    <mergeCell ref="B18:F18"/>
    <mergeCell ref="H5:L5"/>
    <mergeCell ref="H12:L15"/>
    <mergeCell ref="A1:L1"/>
    <mergeCell ref="A3:L3"/>
    <mergeCell ref="A5:F5"/>
    <mergeCell ref="A12:F12"/>
    <mergeCell ref="B14:F14"/>
  </mergeCells>
  <dataValidations count="2">
    <dataValidation type="list" sqref="B9" xr:uid="{00000000-0002-0000-1800-000000000000}">
      <formula1>"1 Semana,1 mes,3 meses,6 meses"</formula1>
    </dataValidation>
    <dataValidation type="list" sqref="B10" xr:uid="{00000000-0002-0000-1800-000001000000}">
      <formula1>"Medición directa,Peso estimado,Peso referido"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00"/>
  <sheetViews>
    <sheetView workbookViewId="0">
      <selection sqref="A1:L1"/>
    </sheetView>
  </sheetViews>
  <sheetFormatPr baseColWidth="10" defaultColWidth="9.140625" defaultRowHeight="15"/>
  <cols>
    <col min="1" max="1" width="38" customWidth="1"/>
    <col min="2" max="2" width="24" customWidth="1"/>
    <col min="3" max="6" width="12" customWidth="1"/>
    <col min="7" max="7" width="3" customWidth="1"/>
    <col min="8" max="8" width="24" customWidth="1"/>
    <col min="9" max="12" width="16" customWidth="1"/>
  </cols>
  <sheetData>
    <row r="1" spans="1:12" ht="30" customHeight="1">
      <c r="A1" s="77" t="s">
        <v>1742</v>
      </c>
      <c r="B1" s="77"/>
      <c r="C1" s="77"/>
      <c r="D1" s="77"/>
      <c r="E1" s="77"/>
      <c r="F1" s="77"/>
      <c r="G1" s="77"/>
      <c r="H1" s="77"/>
      <c r="I1" s="82"/>
      <c r="J1" s="82"/>
      <c r="K1" s="82"/>
      <c r="L1" s="82"/>
    </row>
    <row r="2" spans="1:12" ht="24" customHeight="1">
      <c r="A2" s="52" t="s">
        <v>1</v>
      </c>
      <c r="B2" s="52" t="s">
        <v>1592</v>
      </c>
      <c r="C2" s="52" t="s">
        <v>1593</v>
      </c>
      <c r="D2" s="52" t="s">
        <v>1594</v>
      </c>
      <c r="E2" s="52" t="s">
        <v>1595</v>
      </c>
      <c r="F2" s="52" t="s">
        <v>1596</v>
      </c>
      <c r="G2" s="52" t="s">
        <v>1597</v>
      </c>
      <c r="H2" s="52" t="s">
        <v>4</v>
      </c>
      <c r="I2" s="52"/>
      <c r="J2" s="52"/>
      <c r="K2" s="52"/>
      <c r="L2" s="52"/>
    </row>
    <row r="3" spans="1:12" ht="33.950000000000003" customHeight="1">
      <c r="A3" s="78" t="s">
        <v>1743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>
      <c r="A5" s="79" t="s">
        <v>1744</v>
      </c>
      <c r="B5" s="79"/>
      <c r="C5" s="79"/>
      <c r="D5" s="79"/>
      <c r="E5" s="79"/>
      <c r="F5" s="79"/>
      <c r="G5" s="55"/>
      <c r="H5" s="79" t="s">
        <v>1745</v>
      </c>
      <c r="I5" s="79"/>
      <c r="J5" s="79"/>
      <c r="K5" s="79"/>
      <c r="L5" s="79"/>
    </row>
    <row r="6" spans="1:12">
      <c r="A6" s="59" t="s">
        <v>1720</v>
      </c>
      <c r="B6" s="81">
        <f>ESTIMACION_PESO_TALLA!B6</f>
        <v>0</v>
      </c>
      <c r="C6" s="81"/>
      <c r="D6" s="81"/>
      <c r="E6" s="81"/>
      <c r="F6" s="81"/>
      <c r="G6" s="55"/>
      <c r="H6" s="78" t="s">
        <v>1746</v>
      </c>
      <c r="I6" s="78"/>
      <c r="J6" s="78"/>
      <c r="K6" s="78"/>
      <c r="L6" s="78"/>
    </row>
    <row r="7" spans="1:12">
      <c r="A7" s="59" t="s">
        <v>1601</v>
      </c>
      <c r="B7" s="81" t="str">
        <f>ESTIMACION_PESO_TALLA!B7</f>
        <v>Masculino</v>
      </c>
      <c r="C7" s="81"/>
      <c r="D7" s="81"/>
      <c r="E7" s="81"/>
      <c r="F7" s="81"/>
      <c r="G7" s="55"/>
      <c r="H7" s="78"/>
      <c r="I7" s="78"/>
      <c r="J7" s="78"/>
      <c r="K7" s="78"/>
      <c r="L7" s="78"/>
    </row>
    <row r="8" spans="1:12">
      <c r="A8" s="59" t="s">
        <v>1747</v>
      </c>
      <c r="B8" s="81">
        <f>ESTIMACION_PESO_TALLA!B8</f>
        <v>0</v>
      </c>
      <c r="C8" s="81"/>
      <c r="D8" s="81"/>
      <c r="E8" s="81"/>
      <c r="F8" s="81"/>
      <c r="G8" s="55"/>
      <c r="H8" s="78"/>
      <c r="I8" s="78"/>
      <c r="J8" s="78"/>
      <c r="K8" s="78"/>
      <c r="L8" s="78"/>
    </row>
    <row r="9" spans="1:12">
      <c r="A9" s="59" t="s">
        <v>1748</v>
      </c>
      <c r="B9" s="81">
        <f>ESTIMACION_PESO_TALLA!B9</f>
        <v>0</v>
      </c>
      <c r="C9" s="81"/>
      <c r="D9" s="81"/>
      <c r="E9" s="81"/>
      <c r="F9" s="81"/>
      <c r="G9" s="55"/>
      <c r="H9" s="78"/>
      <c r="I9" s="78"/>
      <c r="J9" s="78"/>
      <c r="K9" s="78"/>
      <c r="L9" s="78"/>
    </row>
    <row r="10" spans="1:12">
      <c r="A10" s="59" t="s">
        <v>1749</v>
      </c>
      <c r="B10" s="81">
        <f>ESTIMACION_PESO_TALLA!B11</f>
        <v>0</v>
      </c>
      <c r="C10" s="81"/>
      <c r="D10" s="81"/>
      <c r="E10" s="81"/>
      <c r="F10" s="81"/>
      <c r="G10" s="55"/>
      <c r="H10" s="78" t="s">
        <v>1750</v>
      </c>
      <c r="I10" s="78"/>
      <c r="J10" s="78"/>
      <c r="K10" s="78"/>
      <c r="L10" s="78"/>
    </row>
    <row r="11" spans="1:12">
      <c r="A11" s="59" t="s">
        <v>1751</v>
      </c>
      <c r="B11" s="83" t="str">
        <f>ESTIMACION_PESO_TALLA!B21</f>
        <v/>
      </c>
      <c r="C11" s="81"/>
      <c r="D11" s="81"/>
      <c r="E11" s="81"/>
      <c r="F11" s="81"/>
      <c r="G11" s="55"/>
      <c r="H11" s="78"/>
      <c r="I11" s="78"/>
      <c r="J11" s="78"/>
      <c r="K11" s="78"/>
      <c r="L11" s="78"/>
    </row>
    <row r="12" spans="1:12">
      <c r="A12" s="59" t="s">
        <v>1752</v>
      </c>
      <c r="B12" s="81" t="str">
        <f>ESTIMACION_PESO_TALLA!B22</f>
        <v/>
      </c>
      <c r="C12" s="81"/>
      <c r="D12" s="81"/>
      <c r="E12" s="81"/>
      <c r="F12" s="81"/>
      <c r="G12" s="55"/>
      <c r="H12" s="78"/>
      <c r="I12" s="78"/>
      <c r="J12" s="78"/>
      <c r="K12" s="78"/>
      <c r="L12" s="78"/>
    </row>
    <row r="13" spans="1:12">
      <c r="A13" s="59" t="s">
        <v>1753</v>
      </c>
      <c r="B13" s="83" t="str">
        <f>ESTIMACION_PESO_TALLA!B23</f>
        <v/>
      </c>
      <c r="C13" s="81"/>
      <c r="D13" s="81"/>
      <c r="E13" s="81"/>
      <c r="F13" s="81"/>
      <c r="G13" s="55"/>
      <c r="H13" s="78"/>
      <c r="I13" s="78"/>
      <c r="J13" s="78"/>
      <c r="K13" s="78"/>
      <c r="L13" s="78"/>
    </row>
    <row r="14" spans="1:12">
      <c r="A14" s="59" t="s">
        <v>1754</v>
      </c>
      <c r="B14" s="81" t="str">
        <f>ESTIMACION_PESO_TALLA!B24</f>
        <v/>
      </c>
      <c r="C14" s="81"/>
      <c r="D14" s="81"/>
      <c r="E14" s="81"/>
      <c r="F14" s="81"/>
      <c r="G14" s="55"/>
      <c r="H14" s="55"/>
      <c r="I14" s="55"/>
      <c r="J14" s="55"/>
      <c r="K14" s="55"/>
      <c r="L14" s="55"/>
    </row>
    <row r="15" spans="1:12">
      <c r="A15" s="59" t="s">
        <v>1755</v>
      </c>
      <c r="B15" s="80" t="str">
        <f>ESTIMACION_PESO_TALLA!B26</f>
        <v>DATO INCOMPLETO: EDAD</v>
      </c>
      <c r="C15" s="80"/>
      <c r="D15" s="80"/>
      <c r="E15" s="80"/>
      <c r="F15" s="80"/>
      <c r="G15" s="55"/>
      <c r="H15" s="55"/>
      <c r="I15" s="55"/>
      <c r="J15" s="55"/>
      <c r="K15" s="55"/>
      <c r="L15" s="55"/>
    </row>
    <row r="16" spans="1:12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</row>
    <row r="17" spans="1:12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</row>
    <row r="18" spans="1:12">
      <c r="A18" s="79" t="s">
        <v>1756</v>
      </c>
      <c r="B18" s="79"/>
      <c r="C18" s="79"/>
      <c r="D18" s="79"/>
      <c r="E18" s="79"/>
      <c r="F18" s="79"/>
      <c r="G18" s="55"/>
      <c r="H18" s="55"/>
      <c r="I18" s="55"/>
      <c r="J18" s="55"/>
      <c r="K18" s="55"/>
      <c r="L18" s="55"/>
    </row>
    <row r="19" spans="1:12">
      <c r="A19" s="59" t="s">
        <v>1757</v>
      </c>
      <c r="B19" s="60" t="s">
        <v>1758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</row>
    <row r="20" spans="1:12">
      <c r="A20" s="59" t="s">
        <v>1759</v>
      </c>
      <c r="B20" s="60"/>
      <c r="C20" s="55"/>
      <c r="D20" s="55"/>
      <c r="E20" s="55"/>
      <c r="F20" s="55"/>
      <c r="G20" s="55"/>
      <c r="H20" s="55"/>
      <c r="I20" s="55"/>
      <c r="J20" s="55"/>
      <c r="K20" s="55"/>
      <c r="L20" s="55"/>
    </row>
    <row r="21" spans="1:12">
      <c r="A21" s="59" t="s">
        <v>1760</v>
      </c>
      <c r="B21" s="60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2" spans="1:12">
      <c r="A22" s="59" t="s">
        <v>1761</v>
      </c>
      <c r="B22" s="65"/>
      <c r="C22" s="55"/>
      <c r="D22" s="55"/>
      <c r="E22" s="55"/>
      <c r="F22" s="55"/>
      <c r="G22" s="55"/>
      <c r="H22" s="55"/>
      <c r="I22" s="55"/>
      <c r="J22" s="55"/>
      <c r="K22" s="55"/>
      <c r="L22" s="55"/>
    </row>
    <row r="23" spans="1:12">
      <c r="A23" s="59" t="s">
        <v>1762</v>
      </c>
      <c r="B23" s="60"/>
      <c r="C23" s="55"/>
      <c r="D23" s="55"/>
      <c r="E23" s="55"/>
      <c r="F23" s="55"/>
      <c r="G23" s="55"/>
      <c r="H23" s="55"/>
      <c r="I23" s="55"/>
      <c r="J23" s="55"/>
      <c r="K23" s="55"/>
      <c r="L23" s="55"/>
    </row>
    <row r="24" spans="1:12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</row>
    <row r="25" spans="1:12">
      <c r="A25" s="80" t="s">
        <v>1763</v>
      </c>
      <c r="B25" s="80"/>
      <c r="C25" s="80"/>
      <c r="D25" s="80"/>
      <c r="E25" s="80"/>
      <c r="F25" s="80"/>
      <c r="G25" s="55"/>
      <c r="H25" s="55"/>
      <c r="I25" s="55"/>
      <c r="J25" s="55"/>
      <c r="K25" s="55"/>
      <c r="L25" s="55"/>
    </row>
    <row r="26" spans="1:12">
      <c r="A26" s="80"/>
      <c r="B26" s="80"/>
      <c r="C26" s="80"/>
      <c r="D26" s="80"/>
      <c r="E26" s="80"/>
      <c r="F26" s="80"/>
      <c r="G26" s="55"/>
      <c r="H26" s="55"/>
      <c r="I26" s="55"/>
      <c r="J26" s="55"/>
      <c r="K26" s="55"/>
      <c r="L26" s="55"/>
    </row>
    <row r="27" spans="1:12">
      <c r="A27" s="80"/>
      <c r="B27" s="80"/>
      <c r="C27" s="80"/>
      <c r="D27" s="80"/>
      <c r="E27" s="80"/>
      <c r="F27" s="80"/>
      <c r="G27" s="55"/>
      <c r="H27" s="55"/>
      <c r="I27" s="55"/>
      <c r="J27" s="55"/>
      <c r="K27" s="55"/>
      <c r="L27" s="55"/>
    </row>
    <row r="28" spans="1:12">
      <c r="A28" s="80"/>
      <c r="B28" s="80"/>
      <c r="C28" s="80"/>
      <c r="D28" s="80"/>
      <c r="E28" s="80"/>
      <c r="F28" s="80"/>
      <c r="G28" s="55"/>
      <c r="H28" s="55"/>
      <c r="I28" s="55"/>
      <c r="J28" s="55"/>
      <c r="K28" s="55"/>
      <c r="L28" s="55"/>
    </row>
    <row r="29" spans="1:12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</row>
    <row r="30" spans="1:12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</row>
    <row r="31" spans="1:12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</row>
    <row r="32" spans="1:1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</row>
    <row r="33" spans="1:12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</row>
    <row r="34" spans="1:12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</row>
    <row r="35" spans="1:12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</row>
    <row r="36" spans="1:12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1:12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1:12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1:12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</row>
    <row r="41" spans="1:12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spans="1:1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1:12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 spans="1:12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</row>
    <row r="45" spans="1:12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1:12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</row>
    <row r="47" spans="1:12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</row>
    <row r="48" spans="1:12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</row>
    <row r="49" spans="1:12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</row>
    <row r="50" spans="1:12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</row>
    <row r="51" spans="1:12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</row>
    <row r="52" spans="1:1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</row>
    <row r="53" spans="1:12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</row>
    <row r="54" spans="1:12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</row>
    <row r="55" spans="1:12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1:12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1:12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</row>
    <row r="58" spans="1:12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spans="1:12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1:12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</row>
    <row r="63" spans="1:12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</row>
    <row r="64" spans="1:12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</row>
    <row r="65" spans="1:12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</row>
    <row r="66" spans="1:12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</row>
    <row r="67" spans="1:12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</row>
    <row r="68" spans="1:12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</row>
    <row r="69" spans="1:12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</row>
    <row r="70" spans="1:12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</row>
    <row r="71" spans="1:12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</row>
    <row r="72" spans="1:1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</row>
    <row r="73" spans="1:12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</row>
    <row r="74" spans="1:12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</row>
    <row r="75" spans="1:12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</row>
    <row r="76" spans="1:12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</row>
    <row r="77" spans="1:12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</row>
    <row r="78" spans="1:12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</row>
    <row r="79" spans="1:12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</row>
    <row r="80" spans="1:12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</row>
    <row r="81" spans="1:12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</row>
    <row r="82" spans="1:1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</row>
    <row r="83" spans="1:12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1:12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</row>
    <row r="85" spans="1:12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</row>
    <row r="86" spans="1:12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</row>
    <row r="87" spans="1:12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</row>
    <row r="88" spans="1:12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</row>
    <row r="89" spans="1:12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1:12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</row>
    <row r="91" spans="1:12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</row>
    <row r="92" spans="1:1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</row>
    <row r="93" spans="1:12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</row>
    <row r="94" spans="1:12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</row>
    <row r="95" spans="1:12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</row>
    <row r="96" spans="1:12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</row>
    <row r="97" spans="1:12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</row>
    <row r="98" spans="1:12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</row>
    <row r="99" spans="1:12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</row>
    <row r="100" spans="1:12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</row>
    <row r="101" spans="1:12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</row>
    <row r="102" spans="1:1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</row>
    <row r="103" spans="1:12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</row>
    <row r="104" spans="1:12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</row>
    <row r="105" spans="1:12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</row>
    <row r="106" spans="1:12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</row>
    <row r="107" spans="1:12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</row>
    <row r="108" spans="1:12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</row>
    <row r="109" spans="1:12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</row>
    <row r="110" spans="1:12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</row>
    <row r="111" spans="1:12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</row>
    <row r="112" spans="1: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</row>
    <row r="113" spans="1:12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</row>
    <row r="114" spans="1:12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</row>
    <row r="115" spans="1:12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</row>
    <row r="116" spans="1:12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</row>
    <row r="117" spans="1:12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</row>
    <row r="118" spans="1:12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</row>
    <row r="119" spans="1:12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</row>
    <row r="120" spans="1:12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</row>
    <row r="121" spans="1:12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</row>
    <row r="122" spans="1:1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</row>
    <row r="123" spans="1:12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</row>
    <row r="124" spans="1:12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</row>
    <row r="125" spans="1:12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</row>
    <row r="126" spans="1:12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</row>
    <row r="127" spans="1:12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</row>
    <row r="128" spans="1:12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</row>
    <row r="129" spans="1:12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</row>
    <row r="130" spans="1:12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</row>
    <row r="131" spans="1:12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</row>
    <row r="132" spans="1:1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</row>
    <row r="133" spans="1:12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</row>
    <row r="134" spans="1:12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</row>
    <row r="135" spans="1:12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</row>
    <row r="136" spans="1:12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</row>
    <row r="137" spans="1:12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</row>
    <row r="138" spans="1:12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</row>
    <row r="139" spans="1:12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</row>
    <row r="140" spans="1:12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</row>
    <row r="141" spans="1:12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</row>
    <row r="142" spans="1:1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</row>
    <row r="143" spans="1:12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</row>
    <row r="144" spans="1:12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</row>
    <row r="145" spans="1:12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</row>
    <row r="146" spans="1:12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</row>
    <row r="147" spans="1:12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</row>
    <row r="148" spans="1:12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</row>
    <row r="149" spans="1:12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</row>
    <row r="150" spans="1:12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</row>
    <row r="151" spans="1:12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</row>
    <row r="152" spans="1:1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</row>
    <row r="153" spans="1:12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</row>
    <row r="154" spans="1:12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</row>
    <row r="155" spans="1:12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</row>
    <row r="156" spans="1:12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</row>
    <row r="157" spans="1:12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</row>
    <row r="158" spans="1:12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</row>
    <row r="159" spans="1:12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</row>
    <row r="160" spans="1:12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</row>
    <row r="161" spans="1:12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</row>
    <row r="162" spans="1:1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</row>
    <row r="163" spans="1:12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</row>
    <row r="164" spans="1:12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</row>
    <row r="165" spans="1:12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</row>
    <row r="166" spans="1:12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</row>
    <row r="167" spans="1:12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</row>
    <row r="168" spans="1:12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</row>
    <row r="169" spans="1:12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</row>
    <row r="170" spans="1:12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</row>
    <row r="171" spans="1:12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</row>
    <row r="172" spans="1:1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</row>
    <row r="173" spans="1:12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</row>
    <row r="174" spans="1:12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</row>
    <row r="175" spans="1:12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</row>
    <row r="176" spans="1:12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</row>
    <row r="177" spans="1:12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</row>
    <row r="178" spans="1:12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</row>
    <row r="179" spans="1:12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</row>
    <row r="180" spans="1:12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</row>
    <row r="181" spans="1:12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</row>
    <row r="182" spans="1:1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</row>
    <row r="183" spans="1:12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</row>
    <row r="184" spans="1:12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</row>
    <row r="185" spans="1:12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</row>
    <row r="186" spans="1:12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</row>
    <row r="187" spans="1:12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</row>
    <row r="188" spans="1:12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</row>
    <row r="189" spans="1:12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</row>
    <row r="190" spans="1:12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</row>
    <row r="191" spans="1:12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</row>
    <row r="192" spans="1:1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</row>
    <row r="193" spans="1:12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</row>
    <row r="194" spans="1:12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</row>
    <row r="195" spans="1:12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</row>
    <row r="196" spans="1:12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</row>
    <row r="197" spans="1:12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</row>
    <row r="198" spans="1:12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</row>
    <row r="199" spans="1:12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</row>
    <row r="200" spans="1:12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</row>
  </sheetData>
  <mergeCells count="18">
    <mergeCell ref="A18:F18"/>
    <mergeCell ref="A25:F28"/>
    <mergeCell ref="B13:F13"/>
    <mergeCell ref="B14:F14"/>
    <mergeCell ref="B15:F15"/>
    <mergeCell ref="H5:L5"/>
    <mergeCell ref="H6:L9"/>
    <mergeCell ref="H10:L13"/>
    <mergeCell ref="B8:F8"/>
    <mergeCell ref="B9:F9"/>
    <mergeCell ref="B10:F10"/>
    <mergeCell ref="B11:F11"/>
    <mergeCell ref="B12:F12"/>
    <mergeCell ref="A1:L1"/>
    <mergeCell ref="A3:L3"/>
    <mergeCell ref="A5:F5"/>
    <mergeCell ref="B6:F6"/>
    <mergeCell ref="B7:F7"/>
  </mergeCells>
  <dataValidations count="1">
    <dataValidation type="list" sqref="B19" xr:uid="{00000000-0002-0000-1900-000000000000}">
      <formula1>"No registrado,NRS-2002 externo,VGS/SGA externa,MNA-SF externa,Otro autorizado"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00"/>
  <sheetViews>
    <sheetView workbookViewId="0">
      <selection sqref="A1:P1"/>
    </sheetView>
  </sheetViews>
  <sheetFormatPr baseColWidth="10" defaultColWidth="9.140625" defaultRowHeight="15"/>
  <cols>
    <col min="1" max="1" width="38" customWidth="1"/>
    <col min="2" max="2" width="24" customWidth="1"/>
    <col min="3" max="6" width="14" customWidth="1"/>
    <col min="7" max="7" width="3" customWidth="1"/>
    <col min="8" max="8" width="27" customWidth="1"/>
    <col min="9" max="9" width="16" customWidth="1"/>
    <col min="10" max="11" width="14" customWidth="1"/>
    <col min="12" max="13" width="12" customWidth="1"/>
    <col min="14" max="15" width="13" customWidth="1"/>
    <col min="16" max="16" width="14" customWidth="1"/>
  </cols>
  <sheetData>
    <row r="1" spans="1:16" ht="30" customHeight="1">
      <c r="A1" s="77" t="s">
        <v>1764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24" customHeight="1">
      <c r="A2" s="52" t="s">
        <v>1</v>
      </c>
      <c r="B2" s="52" t="s">
        <v>1592</v>
      </c>
      <c r="C2" s="52" t="s">
        <v>1593</v>
      </c>
      <c r="D2" s="52" t="s">
        <v>1594</v>
      </c>
      <c r="E2" s="52" t="s">
        <v>1595</v>
      </c>
      <c r="F2" s="52" t="s">
        <v>1596</v>
      </c>
      <c r="G2" s="52" t="s">
        <v>1597</v>
      </c>
      <c r="H2" s="52" t="s">
        <v>4</v>
      </c>
      <c r="I2" s="52"/>
      <c r="J2" s="52"/>
      <c r="K2" s="52"/>
      <c r="L2" s="52"/>
      <c r="M2" s="52"/>
      <c r="N2" s="52"/>
      <c r="O2" s="52"/>
      <c r="P2" s="52"/>
    </row>
    <row r="3" spans="1:16" ht="33.950000000000003" customHeight="1">
      <c r="A3" s="78" t="s">
        <v>1765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</row>
    <row r="4" spans="1:16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6">
      <c r="A5" s="79" t="s">
        <v>1766</v>
      </c>
      <c r="B5" s="79"/>
      <c r="C5" s="79"/>
      <c r="D5" s="79"/>
      <c r="E5" s="79"/>
      <c r="F5" s="79"/>
      <c r="G5" s="55"/>
      <c r="H5" s="79" t="s">
        <v>1767</v>
      </c>
      <c r="I5" s="79"/>
      <c r="J5" s="79"/>
      <c r="K5" s="79"/>
      <c r="L5" s="79"/>
      <c r="M5" s="79"/>
      <c r="N5" s="79"/>
      <c r="O5" s="79"/>
      <c r="P5" s="79"/>
    </row>
    <row r="6" spans="1:16">
      <c r="A6" s="59" t="s">
        <v>1720</v>
      </c>
      <c r="B6" s="60"/>
      <c r="C6" s="55"/>
      <c r="D6" s="55"/>
      <c r="E6" s="55"/>
      <c r="F6" s="55"/>
      <c r="G6" s="55"/>
      <c r="H6" s="54" t="s">
        <v>1600</v>
      </c>
      <c r="I6" s="54" t="s">
        <v>1601</v>
      </c>
      <c r="J6" s="54" t="s">
        <v>1768</v>
      </c>
      <c r="K6" s="54" t="s">
        <v>1769</v>
      </c>
      <c r="L6" s="54" t="s">
        <v>1770</v>
      </c>
      <c r="M6" s="54" t="s">
        <v>1771</v>
      </c>
      <c r="N6" s="54" t="s">
        <v>1772</v>
      </c>
      <c r="O6" s="54" t="s">
        <v>1773</v>
      </c>
      <c r="P6" s="54" t="s">
        <v>1774</v>
      </c>
    </row>
    <row r="7" spans="1:16">
      <c r="A7" s="59" t="s">
        <v>1601</v>
      </c>
      <c r="B7" s="60" t="s">
        <v>113</v>
      </c>
      <c r="C7" s="55"/>
      <c r="D7" s="55"/>
      <c r="E7" s="55"/>
      <c r="F7" s="55"/>
      <c r="G7" s="55"/>
      <c r="H7" s="56" t="s">
        <v>1623</v>
      </c>
      <c r="I7" s="56" t="s">
        <v>113</v>
      </c>
      <c r="J7" s="63">
        <v>60</v>
      </c>
      <c r="K7" s="63">
        <v>90</v>
      </c>
      <c r="L7" s="63">
        <v>0.98</v>
      </c>
      <c r="M7" s="63">
        <v>1.1599999999999999</v>
      </c>
      <c r="N7" s="63">
        <v>1.73</v>
      </c>
      <c r="O7" s="63">
        <v>0.37</v>
      </c>
      <c r="P7" s="63">
        <v>-81.69</v>
      </c>
    </row>
    <row r="8" spans="1:16">
      <c r="A8" s="59" t="s">
        <v>1747</v>
      </c>
      <c r="B8" s="61"/>
      <c r="C8" s="55"/>
      <c r="D8" s="55"/>
      <c r="E8" s="55"/>
      <c r="F8" s="55"/>
      <c r="G8" s="55"/>
      <c r="H8" s="56" t="s">
        <v>1635</v>
      </c>
      <c r="I8" s="56" t="s">
        <v>103</v>
      </c>
      <c r="J8" s="63">
        <v>60</v>
      </c>
      <c r="K8" s="63">
        <v>90</v>
      </c>
      <c r="L8" s="63">
        <v>1.27</v>
      </c>
      <c r="M8" s="63">
        <v>0.87</v>
      </c>
      <c r="N8" s="63">
        <v>0.98</v>
      </c>
      <c r="O8" s="63">
        <v>0.4</v>
      </c>
      <c r="P8" s="63">
        <v>-62.35</v>
      </c>
    </row>
    <row r="9" spans="1:16">
      <c r="A9" s="59" t="s">
        <v>1775</v>
      </c>
      <c r="B9" s="61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</row>
    <row r="10" spans="1:16">
      <c r="A10" s="59" t="s">
        <v>1776</v>
      </c>
      <c r="B10" s="61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spans="1:16">
      <c r="A11" s="59" t="s">
        <v>1777</v>
      </c>
      <c r="B11" s="61"/>
      <c r="C11" s="55"/>
      <c r="D11" s="55"/>
      <c r="E11" s="55"/>
      <c r="F11" s="55"/>
      <c r="G11" s="55"/>
      <c r="H11" s="79" t="s">
        <v>1778</v>
      </c>
      <c r="I11" s="79"/>
      <c r="J11" s="79"/>
      <c r="K11" s="79"/>
      <c r="L11" s="79"/>
      <c r="M11" s="79"/>
      <c r="N11" s="79"/>
      <c r="O11" s="79"/>
      <c r="P11" s="79"/>
    </row>
    <row r="12" spans="1:16">
      <c r="A12" s="59" t="s">
        <v>1779</v>
      </c>
      <c r="B12" s="61"/>
      <c r="C12" s="55"/>
      <c r="D12" s="55"/>
      <c r="E12" s="55"/>
      <c r="F12" s="55"/>
      <c r="G12" s="55"/>
      <c r="H12" s="54" t="s">
        <v>1780</v>
      </c>
      <c r="I12" s="54" t="s">
        <v>1600</v>
      </c>
      <c r="J12" s="54" t="s">
        <v>1781</v>
      </c>
      <c r="K12" s="54" t="s">
        <v>1601</v>
      </c>
      <c r="L12" s="54" t="s">
        <v>1768</v>
      </c>
      <c r="M12" s="54" t="s">
        <v>1769</v>
      </c>
      <c r="N12" s="54" t="s">
        <v>1782</v>
      </c>
      <c r="O12" s="54" t="s">
        <v>1783</v>
      </c>
      <c r="P12" s="54" t="s">
        <v>1774</v>
      </c>
    </row>
    <row r="13" spans="1:16">
      <c r="A13" s="59" t="s">
        <v>1784</v>
      </c>
      <c r="B13" s="61"/>
      <c r="C13" s="55"/>
      <c r="D13" s="55"/>
      <c r="E13" s="55"/>
      <c r="F13" s="55"/>
      <c r="G13" s="55"/>
      <c r="H13" s="56" t="s">
        <v>1785</v>
      </c>
      <c r="I13" s="56" t="s">
        <v>1637</v>
      </c>
      <c r="J13" s="56" t="s">
        <v>1786</v>
      </c>
      <c r="K13" s="56" t="s">
        <v>113</v>
      </c>
      <c r="L13" s="64">
        <v>60</v>
      </c>
      <c r="M13" s="64">
        <v>90</v>
      </c>
      <c r="N13" s="64">
        <v>2.02</v>
      </c>
      <c r="O13" s="64">
        <v>-0.04</v>
      </c>
      <c r="P13" s="64">
        <v>64.19</v>
      </c>
    </row>
    <row r="14" spans="1:16">
      <c r="A14" s="59" t="s">
        <v>1787</v>
      </c>
      <c r="B14" s="61"/>
      <c r="C14" s="55"/>
      <c r="D14" s="55"/>
      <c r="E14" s="55"/>
      <c r="F14" s="55"/>
      <c r="G14" s="55"/>
      <c r="H14" s="56" t="s">
        <v>1788</v>
      </c>
      <c r="I14" s="56" t="s">
        <v>1646</v>
      </c>
      <c r="J14" s="56" t="s">
        <v>1786</v>
      </c>
      <c r="K14" s="56" t="s">
        <v>103</v>
      </c>
      <c r="L14" s="64">
        <v>60</v>
      </c>
      <c r="M14" s="64">
        <v>90</v>
      </c>
      <c r="N14" s="64">
        <v>1.83</v>
      </c>
      <c r="O14" s="64">
        <v>-0.24</v>
      </c>
      <c r="P14" s="64">
        <v>84.88</v>
      </c>
    </row>
    <row r="15" spans="1:16">
      <c r="A15" s="59" t="s">
        <v>1789</v>
      </c>
      <c r="B15" s="60" t="s">
        <v>229</v>
      </c>
      <c r="C15" s="55"/>
      <c r="D15" s="55"/>
      <c r="E15" s="55"/>
      <c r="F15" s="55"/>
      <c r="G15" s="55"/>
      <c r="H15" s="56" t="s">
        <v>1790</v>
      </c>
      <c r="I15" s="56" t="s">
        <v>1648</v>
      </c>
      <c r="J15" s="56" t="s">
        <v>1791</v>
      </c>
      <c r="K15" s="56" t="s">
        <v>113</v>
      </c>
      <c r="L15" s="64">
        <v>60</v>
      </c>
      <c r="M15" s="64"/>
      <c r="N15" s="64">
        <v>1.121</v>
      </c>
      <c r="O15" s="64">
        <v>-0.11700000000000001</v>
      </c>
      <c r="P15" s="64">
        <v>119.6</v>
      </c>
    </row>
    <row r="16" spans="1:16">
      <c r="A16" s="59" t="s">
        <v>1792</v>
      </c>
      <c r="B16" s="60" t="s">
        <v>229</v>
      </c>
      <c r="C16" s="55"/>
      <c r="D16" s="55"/>
      <c r="E16" s="55"/>
      <c r="F16" s="55"/>
      <c r="G16" s="55"/>
      <c r="H16" s="56" t="s">
        <v>1793</v>
      </c>
      <c r="I16" s="56" t="s">
        <v>1657</v>
      </c>
      <c r="J16" s="56" t="s">
        <v>1791</v>
      </c>
      <c r="K16" s="56" t="s">
        <v>103</v>
      </c>
      <c r="L16" s="64">
        <v>60</v>
      </c>
      <c r="M16" s="64"/>
      <c r="N16" s="64">
        <v>1.2629999999999999</v>
      </c>
      <c r="O16" s="64">
        <v>-0.159</v>
      </c>
      <c r="P16" s="64">
        <v>107.7</v>
      </c>
    </row>
    <row r="17" spans="1:16" ht="24">
      <c r="A17" s="59" t="s">
        <v>1794</v>
      </c>
      <c r="B17" s="60" t="s">
        <v>1795</v>
      </c>
      <c r="C17" s="55"/>
      <c r="D17" s="55"/>
      <c r="E17" s="55"/>
      <c r="F17" s="55"/>
      <c r="G17" s="55"/>
      <c r="H17" s="56" t="s">
        <v>1796</v>
      </c>
      <c r="I17" s="56" t="s">
        <v>1659</v>
      </c>
      <c r="J17" s="56" t="s">
        <v>1661</v>
      </c>
      <c r="K17" s="56" t="s">
        <v>113</v>
      </c>
      <c r="L17" s="64">
        <v>60</v>
      </c>
      <c r="M17" s="64"/>
      <c r="N17" s="64">
        <v>2</v>
      </c>
      <c r="O17" s="64">
        <v>0</v>
      </c>
      <c r="P17" s="64">
        <v>0</v>
      </c>
    </row>
    <row r="18" spans="1:16">
      <c r="A18" s="59" t="s">
        <v>1797</v>
      </c>
      <c r="B18" s="60" t="s">
        <v>1786</v>
      </c>
      <c r="C18" s="55"/>
      <c r="D18" s="55"/>
      <c r="E18" s="55"/>
      <c r="F18" s="55"/>
      <c r="G18" s="55"/>
      <c r="H18" s="56" t="s">
        <v>1798</v>
      </c>
      <c r="I18" s="56" t="s">
        <v>1659</v>
      </c>
      <c r="J18" s="56" t="s">
        <v>1661</v>
      </c>
      <c r="K18" s="56" t="s">
        <v>103</v>
      </c>
      <c r="L18" s="64">
        <v>60</v>
      </c>
      <c r="M18" s="64"/>
      <c r="N18" s="64">
        <v>2</v>
      </c>
      <c r="O18" s="64">
        <v>0</v>
      </c>
      <c r="P18" s="64">
        <v>0</v>
      </c>
    </row>
    <row r="19" spans="1:16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</row>
    <row r="20" spans="1:16">
      <c r="A20" s="79" t="s">
        <v>1799</v>
      </c>
      <c r="B20" s="79"/>
      <c r="C20" s="79"/>
      <c r="D20" s="79"/>
      <c r="E20" s="79"/>
      <c r="F20" s="79"/>
      <c r="G20" s="55"/>
      <c r="H20" s="78" t="s">
        <v>1800</v>
      </c>
      <c r="I20" s="78"/>
      <c r="J20" s="78"/>
      <c r="K20" s="78"/>
      <c r="L20" s="78"/>
      <c r="M20" s="78"/>
      <c r="N20" s="78"/>
      <c r="O20" s="78"/>
      <c r="P20" s="78"/>
    </row>
    <row r="21" spans="1:16">
      <c r="A21" s="59" t="s">
        <v>1751</v>
      </c>
      <c r="B21" s="83" t="str">
        <f>IF(OR(B15="Sí",B17="No calcular",B7="",B8="",B9="",B10="",B11="",B12=""),"",IF(OR(B8&lt;60,B8&gt;90,B9&lt;=0,B10&lt;=0,B11&lt;=0,B12&lt;0),"",IFERROR(INDEX($L$7:$L$8,MATCH(B7,$I$7:$I$8,0))*B9+INDEX($M$7:$M$8,MATCH(B7,$I$7:$I$8,0))*B10+INDEX($N$7:$N$8,MATCH(B7,$I$7:$I$8,0))*B11+INDEX($O$7:$O$8,MATCH(B7,$I$7:$I$8,0))*B12+INDEX($P$7:$P$8,MATCH(B7,$I$7:$I$8,0)),"")))</f>
        <v/>
      </c>
      <c r="C21" s="81"/>
      <c r="D21" s="81"/>
      <c r="E21" s="81"/>
      <c r="F21" s="81"/>
      <c r="G21" s="55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59" t="s">
        <v>1752</v>
      </c>
      <c r="B22" s="81" t="str">
        <f>IF(B21="","",IFERROR(INDEX($H$7:$H$8,MATCH(B7,$I$7:$I$8,0)),""))</f>
        <v/>
      </c>
      <c r="C22" s="81"/>
      <c r="D22" s="81"/>
      <c r="E22" s="81"/>
      <c r="F22" s="81"/>
      <c r="G22" s="55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59" t="s">
        <v>1753</v>
      </c>
      <c r="B23" s="83" t="str">
        <f>IF(OR(B16="Sí",B18="No calcular",B7="",B8=""),"",IF(OR(B8&lt;60,AND(B18="Altura de rodilla",B8&gt;90),AND(B18="Altura de rodilla",OR(B10="",B10&lt;=0)),AND(B18="Rodilla-maléolo",OR(B13="",B13&lt;=0)),AND(B18="Media brazada",OR(B14="",B14&lt;=0))),"",IFERROR(INDEX($N$13:$N$18,MATCH(B18&amp;"|"&amp;B7,$H$13:$H$18,0))*IF(B18="Altura de rodilla",B10,IF(B18="Rodilla-maléolo",B13,B14))+INDEX($O$13:$O$18,MATCH(B18&amp;"|"&amp;B7,$H$13:$H$18,0))*B8+INDEX($P$13:$P$18,MATCH(B18&amp;"|"&amp;B7,$H$13:$H$18,0)),"")))</f>
        <v/>
      </c>
      <c r="C23" s="81"/>
      <c r="D23" s="81"/>
      <c r="E23" s="81"/>
      <c r="F23" s="81"/>
      <c r="G23" s="55"/>
      <c r="H23" s="78"/>
      <c r="I23" s="78"/>
      <c r="J23" s="78"/>
      <c r="K23" s="78"/>
      <c r="L23" s="78"/>
      <c r="M23" s="78"/>
      <c r="N23" s="78"/>
      <c r="O23" s="78"/>
      <c r="P23" s="78"/>
    </row>
    <row r="24" spans="1:16">
      <c r="A24" s="59" t="s">
        <v>1754</v>
      </c>
      <c r="B24" s="81" t="str">
        <f>IF(B23="","",IFERROR(INDEX($I$13:$I$18,MATCH(B18&amp;"|"&amp;B7,$H$13:$H$18,0)),""))</f>
        <v/>
      </c>
      <c r="C24" s="81"/>
      <c r="D24" s="81"/>
      <c r="E24" s="81"/>
      <c r="F24" s="81"/>
      <c r="G24" s="55"/>
      <c r="H24" s="78"/>
      <c r="I24" s="78"/>
      <c r="J24" s="78"/>
      <c r="K24" s="78"/>
      <c r="L24" s="78"/>
      <c r="M24" s="78"/>
      <c r="N24" s="78"/>
      <c r="O24" s="78"/>
      <c r="P24" s="78"/>
    </row>
    <row r="25" spans="1:16">
      <c r="A25" s="59" t="s">
        <v>1801</v>
      </c>
      <c r="B25" s="81" t="str">
        <f>IF(AND(B22="",B24=""),"",IFERROR(IF(B22&lt;&gt;"",INDEX(CRITERIOS_CLINICOS!$J$7:$J$19,MATCH(B22,CRITERIOS_CLINICOS!$A$7:$A$19,0)),"")&amp;IF(AND(B22&lt;&gt;"",B24&lt;&gt;"")," | ","")&amp;IF(B24&lt;&gt;"",INDEX(CRITERIOS_CLINICOS!$J$7:$J$19,MATCH(B24,CRITERIOS_CLINICOS!$A$7:$A$19,0)),""),""))</f>
        <v/>
      </c>
      <c r="C25" s="81"/>
      <c r="D25" s="81"/>
      <c r="E25" s="81"/>
      <c r="F25" s="81"/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1:16">
      <c r="A26" s="59" t="s">
        <v>1802</v>
      </c>
      <c r="B26" s="80" t="str">
        <f>IF(B8="","DATO INCOMPLETO: EDAD",IF(AND(B15="Sí",B16="Sí"),"USE MEDICIONES DIRECTAS; estimación no habilitada",IF(AND(B15="No",B21=""),"PESO: DATO INCOMPLETO, MÉTODO NO SELECCIONADO O FUERA DE DOMINIO",IF(AND(B16="No",B23=""),"TALLA: DATO INCOMPLETO, MÉTODO NO SELECCIONADO O FUERA DE DOMINIO","OK CONDICIONAL · revisar fuente, técnica y contexto"))))</f>
        <v>DATO INCOMPLETO: EDAD</v>
      </c>
      <c r="C26" s="80"/>
      <c r="D26" s="80"/>
      <c r="E26" s="80"/>
      <c r="F26" s="80"/>
      <c r="G26" s="55"/>
      <c r="H26" s="55"/>
      <c r="I26" s="55"/>
      <c r="J26" s="55"/>
      <c r="K26" s="55"/>
      <c r="L26" s="55"/>
      <c r="M26" s="55"/>
      <c r="N26" s="55"/>
      <c r="O26" s="55"/>
      <c r="P26" s="55"/>
    </row>
    <row r="27" spans="1:16">
      <c r="A27" s="59" t="s">
        <v>1803</v>
      </c>
      <c r="B27" s="81" t="str">
        <f>"CP="&amp;IF(B9="","ND",B9&amp;" cm")&amp;"; AR="&amp;IF(B10="","ND",B10&amp;" cm")&amp;"; CB="&amp;IF(B11="","ND",B11&amp;" cm")&amp;"; PCSE="&amp;IF(B12="","ND",B12&amp;" mm")&amp;"; LRM="&amp;IF(B13="","ND",B13&amp;" cm")&amp;"; media brazada="&amp;IF(B14="","ND",B14&amp;" cm")</f>
        <v>CP=ND; AR=ND; CB=ND; PCSE=ND; LRM=ND; media brazada=ND</v>
      </c>
      <c r="C27" s="81"/>
      <c r="D27" s="81"/>
      <c r="E27" s="81"/>
      <c r="F27" s="81"/>
      <c r="G27" s="55"/>
      <c r="H27" s="55"/>
      <c r="I27" s="55"/>
      <c r="J27" s="55"/>
      <c r="K27" s="55"/>
      <c r="L27" s="55"/>
      <c r="M27" s="55"/>
      <c r="N27" s="55"/>
      <c r="O27" s="55"/>
      <c r="P27" s="55"/>
    </row>
    <row r="28" spans="1:16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</row>
    <row r="29" spans="1:16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</row>
    <row r="30" spans="1:16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</row>
    <row r="31" spans="1:16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</row>
    <row r="32" spans="1:16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</row>
    <row r="33" spans="1:16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  <row r="34" spans="1:16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1:16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spans="1:1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</row>
    <row r="37" spans="1:16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</row>
    <row r="38" spans="1:16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</row>
    <row r="39" spans="1:16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</row>
    <row r="40" spans="1:16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</row>
    <row r="41" spans="1:16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</row>
    <row r="42" spans="1:16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</row>
    <row r="43" spans="1:16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</row>
    <row r="44" spans="1:16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</row>
    <row r="45" spans="1:16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</row>
    <row r="46" spans="1:1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</row>
    <row r="47" spans="1:16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</row>
    <row r="48" spans="1:16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</row>
    <row r="49" spans="1:16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</row>
    <row r="50" spans="1:16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</row>
    <row r="51" spans="1:16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</row>
    <row r="52" spans="1:16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</row>
    <row r="53" spans="1:16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</row>
    <row r="54" spans="1:16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</row>
    <row r="55" spans="1:16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</row>
    <row r="56" spans="1:1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</row>
    <row r="57" spans="1:16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</row>
    <row r="58" spans="1:16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</row>
    <row r="59" spans="1:16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</row>
    <row r="60" spans="1:16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</row>
    <row r="61" spans="1:16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</row>
    <row r="62" spans="1:16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</row>
    <row r="63" spans="1:16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6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</row>
    <row r="65" spans="1:16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</row>
    <row r="66" spans="1:1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</row>
    <row r="67" spans="1:16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</row>
    <row r="68" spans="1:16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</row>
    <row r="69" spans="1:16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</row>
    <row r="70" spans="1:16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</row>
    <row r="71" spans="1:16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</row>
    <row r="72" spans="1:16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</row>
    <row r="73" spans="1:16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</row>
    <row r="74" spans="1:16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</row>
    <row r="75" spans="1:16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</row>
    <row r="76" spans="1:1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</row>
    <row r="77" spans="1:16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</row>
    <row r="78" spans="1:16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</row>
    <row r="79" spans="1:16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</row>
    <row r="80" spans="1:16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</row>
    <row r="81" spans="1:16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</row>
    <row r="82" spans="1:16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</row>
    <row r="83" spans="1:16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</row>
    <row r="84" spans="1:16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</row>
    <row r="85" spans="1:16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</row>
    <row r="86" spans="1:1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</row>
    <row r="87" spans="1:16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</row>
    <row r="88" spans="1:16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</row>
    <row r="89" spans="1:16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</row>
    <row r="90" spans="1:16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</row>
    <row r="91" spans="1:16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</row>
    <row r="92" spans="1:16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</row>
    <row r="93" spans="1:16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</row>
    <row r="94" spans="1:16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</row>
    <row r="95" spans="1:16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</row>
    <row r="96" spans="1:1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</row>
    <row r="97" spans="1:16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</row>
    <row r="98" spans="1:16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</row>
    <row r="99" spans="1:16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</row>
    <row r="100" spans="1:16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</row>
    <row r="101" spans="1:16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</row>
    <row r="102" spans="1:16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</row>
    <row r="103" spans="1:16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</row>
    <row r="104" spans="1:16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</row>
    <row r="105" spans="1:16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</row>
    <row r="106" spans="1:1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</row>
    <row r="107" spans="1:16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</row>
    <row r="108" spans="1:16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</row>
    <row r="109" spans="1:16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</row>
    <row r="110" spans="1:16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</row>
    <row r="111" spans="1:16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</row>
    <row r="112" spans="1:16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</row>
    <row r="113" spans="1:16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</row>
    <row r="114" spans="1:16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</row>
    <row r="115" spans="1:16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</row>
    <row r="116" spans="1: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</row>
    <row r="117" spans="1:16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</row>
    <row r="118" spans="1:16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</row>
    <row r="119" spans="1:16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</row>
    <row r="120" spans="1:16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</row>
    <row r="121" spans="1:16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</row>
    <row r="122" spans="1:16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</row>
    <row r="123" spans="1:16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</row>
    <row r="124" spans="1:16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</row>
    <row r="125" spans="1:16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</row>
    <row r="126" spans="1:1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</row>
    <row r="127" spans="1:16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</row>
    <row r="128" spans="1:16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</row>
    <row r="129" spans="1:16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</row>
    <row r="130" spans="1:16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</row>
    <row r="131" spans="1:16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</row>
    <row r="132" spans="1:16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</row>
    <row r="133" spans="1:16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</row>
    <row r="134" spans="1:16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</row>
    <row r="135" spans="1:16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</row>
    <row r="136" spans="1:1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</row>
    <row r="137" spans="1:16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</row>
    <row r="138" spans="1:16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</row>
    <row r="139" spans="1:16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</row>
    <row r="140" spans="1:16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</row>
    <row r="141" spans="1:16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</row>
    <row r="142" spans="1:16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</row>
    <row r="143" spans="1:16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</row>
    <row r="144" spans="1:16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</row>
    <row r="145" spans="1:16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</row>
    <row r="146" spans="1:1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</row>
    <row r="147" spans="1:16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</row>
    <row r="148" spans="1:16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</row>
    <row r="149" spans="1:16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</row>
    <row r="150" spans="1:16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</row>
    <row r="151" spans="1:16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</row>
    <row r="152" spans="1:16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</row>
    <row r="153" spans="1:16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</row>
    <row r="154" spans="1:16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</row>
    <row r="155" spans="1:16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</row>
    <row r="156" spans="1:1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</row>
    <row r="157" spans="1:16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</row>
    <row r="158" spans="1:16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</row>
    <row r="159" spans="1:16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</row>
    <row r="160" spans="1:16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</row>
    <row r="161" spans="1:16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</row>
    <row r="162" spans="1:16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</row>
    <row r="163" spans="1:16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</row>
    <row r="164" spans="1:16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</row>
    <row r="165" spans="1:16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</row>
    <row r="166" spans="1:1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</row>
    <row r="167" spans="1:16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</row>
    <row r="168" spans="1:16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</row>
    <row r="169" spans="1:16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</row>
    <row r="170" spans="1:16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</row>
    <row r="171" spans="1:16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</row>
    <row r="172" spans="1:16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</row>
    <row r="173" spans="1:16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</row>
    <row r="174" spans="1:16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</row>
    <row r="175" spans="1:16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</row>
    <row r="176" spans="1:1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</row>
    <row r="177" spans="1:16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</row>
    <row r="178" spans="1:16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</row>
    <row r="179" spans="1:16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</row>
    <row r="180" spans="1:16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</row>
    <row r="181" spans="1:16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</row>
    <row r="182" spans="1:16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</row>
    <row r="183" spans="1:16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</row>
    <row r="184" spans="1:16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</row>
    <row r="185" spans="1:16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</row>
    <row r="186" spans="1:1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</row>
    <row r="187" spans="1:16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</row>
    <row r="188" spans="1:16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</row>
    <row r="189" spans="1:16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</row>
    <row r="190" spans="1:16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</row>
    <row r="191" spans="1:16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</row>
    <row r="192" spans="1:16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</row>
    <row r="193" spans="1:16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</row>
    <row r="194" spans="1:16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</row>
    <row r="195" spans="1:16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</row>
    <row r="196" spans="1:1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</row>
    <row r="197" spans="1:16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</row>
    <row r="198" spans="1:16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</row>
    <row r="199" spans="1:16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</row>
    <row r="200" spans="1:16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</row>
  </sheetData>
  <mergeCells count="14">
    <mergeCell ref="B27:F27"/>
    <mergeCell ref="H5:P5"/>
    <mergeCell ref="H11:P11"/>
    <mergeCell ref="H20:P24"/>
    <mergeCell ref="B22:F22"/>
    <mergeCell ref="B23:F23"/>
    <mergeCell ref="B24:F24"/>
    <mergeCell ref="B25:F25"/>
    <mergeCell ref="B26:F26"/>
    <mergeCell ref="A1:P1"/>
    <mergeCell ref="A3:P3"/>
    <mergeCell ref="A5:F5"/>
    <mergeCell ref="A20:F20"/>
    <mergeCell ref="B21:F21"/>
  </mergeCells>
  <dataValidations count="4">
    <dataValidation type="list" sqref="B7" xr:uid="{00000000-0002-0000-1A00-000000000000}">
      <formula1>"Masculino,Femenino"</formula1>
    </dataValidation>
    <dataValidation type="list" sqref="B15:B16" xr:uid="{00000000-0002-0000-1A00-000001000000}">
      <formula1>"Sí,No"</formula1>
    </dataValidation>
    <dataValidation type="list" sqref="B17" xr:uid="{00000000-0002-0000-1A00-000002000000}">
      <formula1>"Automática por sexo (EQ-30/EQ-31),No calcular"</formula1>
    </dataValidation>
    <dataValidation type="list" sqref="B18" xr:uid="{00000000-0002-0000-1A00-000003000000}">
      <formula1>"Altura de rodilla,Rodilla-maléolo,Media brazada,No calcular"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00"/>
  <sheetViews>
    <sheetView workbookViewId="0">
      <selection sqref="A1:L1"/>
    </sheetView>
  </sheetViews>
  <sheetFormatPr baseColWidth="10" defaultColWidth="9.140625" defaultRowHeight="15"/>
  <cols>
    <col min="1" max="1" width="42" customWidth="1"/>
    <col min="2" max="2" width="26" customWidth="1"/>
    <col min="3" max="6" width="12" customWidth="1"/>
    <col min="7" max="7" width="3" customWidth="1"/>
    <col min="8" max="8" width="24" customWidth="1"/>
    <col min="9" max="12" width="16" customWidth="1"/>
  </cols>
  <sheetData>
    <row r="1" spans="1:12" ht="30" customHeight="1">
      <c r="A1" s="77" t="s">
        <v>1804</v>
      </c>
      <c r="B1" s="77"/>
      <c r="C1" s="77"/>
      <c r="D1" s="77"/>
      <c r="E1" s="77"/>
      <c r="F1" s="77"/>
      <c r="G1" s="77"/>
      <c r="H1" s="77"/>
      <c r="I1" s="82"/>
      <c r="J1" s="82"/>
      <c r="K1" s="82"/>
      <c r="L1" s="82"/>
    </row>
    <row r="2" spans="1:12" ht="24" customHeight="1">
      <c r="A2" s="52" t="s">
        <v>1</v>
      </c>
      <c r="B2" s="52" t="s">
        <v>1592</v>
      </c>
      <c r="C2" s="52" t="s">
        <v>1593</v>
      </c>
      <c r="D2" s="52" t="s">
        <v>1594</v>
      </c>
      <c r="E2" s="52" t="s">
        <v>1595</v>
      </c>
      <c r="F2" s="52" t="s">
        <v>1596</v>
      </c>
      <c r="G2" s="52" t="s">
        <v>1597</v>
      </c>
      <c r="H2" s="52" t="s">
        <v>4</v>
      </c>
      <c r="I2" s="52"/>
      <c r="J2" s="52"/>
      <c r="K2" s="52"/>
      <c r="L2" s="52"/>
    </row>
    <row r="3" spans="1:12" ht="33.950000000000003" customHeight="1">
      <c r="A3" s="78" t="s">
        <v>1805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>
      <c r="A5" s="79" t="s">
        <v>1602</v>
      </c>
      <c r="B5" s="79"/>
      <c r="C5" s="79"/>
      <c r="D5" s="79"/>
      <c r="E5" s="79"/>
      <c r="F5" s="79"/>
      <c r="G5" s="55"/>
      <c r="H5" s="79" t="s">
        <v>1806</v>
      </c>
      <c r="I5" s="79"/>
      <c r="J5" s="79"/>
      <c r="K5" s="79"/>
      <c r="L5" s="79"/>
    </row>
    <row r="6" spans="1:12">
      <c r="A6" s="59" t="s">
        <v>1720</v>
      </c>
      <c r="B6" s="60"/>
      <c r="C6" s="55"/>
      <c r="D6" s="55"/>
      <c r="E6" s="55"/>
      <c r="F6" s="55"/>
      <c r="G6" s="55"/>
      <c r="H6" s="78" t="s">
        <v>1807</v>
      </c>
      <c r="I6" s="78"/>
      <c r="J6" s="78"/>
      <c r="K6" s="78"/>
      <c r="L6" s="78"/>
    </row>
    <row r="7" spans="1:12">
      <c r="A7" s="59" t="s">
        <v>1808</v>
      </c>
      <c r="B7" s="61"/>
      <c r="C7" s="55"/>
      <c r="D7" s="55"/>
      <c r="E7" s="55"/>
      <c r="F7" s="55"/>
      <c r="G7" s="55"/>
      <c r="H7" s="78"/>
      <c r="I7" s="78"/>
      <c r="J7" s="78"/>
      <c r="K7" s="78"/>
      <c r="L7" s="78"/>
    </row>
    <row r="8" spans="1:12">
      <c r="A8" s="59" t="s">
        <v>1809</v>
      </c>
      <c r="B8" s="61"/>
      <c r="C8" s="55"/>
      <c r="D8" s="55"/>
      <c r="E8" s="55"/>
      <c r="F8" s="55"/>
      <c r="G8" s="55"/>
      <c r="H8" s="78"/>
      <c r="I8" s="78"/>
      <c r="J8" s="78"/>
      <c r="K8" s="78"/>
      <c r="L8" s="78"/>
    </row>
    <row r="9" spans="1:12" ht="24">
      <c r="A9" s="59" t="s">
        <v>1810</v>
      </c>
      <c r="B9" s="60" t="s">
        <v>1811</v>
      </c>
      <c r="C9" s="55"/>
      <c r="D9" s="55"/>
      <c r="E9" s="55"/>
      <c r="F9" s="55"/>
      <c r="G9" s="55"/>
      <c r="H9" s="78"/>
      <c r="I9" s="78"/>
      <c r="J9" s="78"/>
      <c r="K9" s="78"/>
      <c r="L9" s="78"/>
    </row>
    <row r="10" spans="1:12">
      <c r="A10" s="59" t="s">
        <v>1812</v>
      </c>
      <c r="B10" s="60" t="s">
        <v>229</v>
      </c>
      <c r="C10" s="55"/>
      <c r="D10" s="55"/>
      <c r="E10" s="55"/>
      <c r="F10" s="55"/>
      <c r="G10" s="55"/>
      <c r="H10" s="78"/>
      <c r="I10" s="78"/>
      <c r="J10" s="78"/>
      <c r="K10" s="78"/>
      <c r="L10" s="78"/>
    </row>
    <row r="11" spans="1:12">
      <c r="A11" s="59" t="s">
        <v>1813</v>
      </c>
      <c r="B11" s="60"/>
      <c r="C11" s="55"/>
      <c r="D11" s="55"/>
      <c r="E11" s="55"/>
      <c r="F11" s="55"/>
      <c r="G11" s="55"/>
      <c r="H11" s="78"/>
      <c r="I11" s="78"/>
      <c r="J11" s="78"/>
      <c r="K11" s="78"/>
      <c r="L11" s="78"/>
    </row>
    <row r="12" spans="1:12">
      <c r="A12" s="55"/>
      <c r="B12" s="55"/>
      <c r="C12" s="55"/>
      <c r="D12" s="55"/>
      <c r="E12" s="55"/>
      <c r="F12" s="55"/>
      <c r="G12" s="55"/>
      <c r="H12" s="78"/>
      <c r="I12" s="78"/>
      <c r="J12" s="78"/>
      <c r="K12" s="78"/>
      <c r="L12" s="78"/>
    </row>
    <row r="13" spans="1:12">
      <c r="A13" s="79" t="s">
        <v>516</v>
      </c>
      <c r="B13" s="79"/>
      <c r="C13" s="79"/>
      <c r="D13" s="79"/>
      <c r="E13" s="79"/>
      <c r="F13" s="79"/>
      <c r="G13" s="55"/>
      <c r="H13" s="78"/>
      <c r="I13" s="78"/>
      <c r="J13" s="78"/>
      <c r="K13" s="78"/>
      <c r="L13" s="78"/>
    </row>
    <row r="14" spans="1:12">
      <c r="A14" s="59" t="s">
        <v>1814</v>
      </c>
      <c r="B14" s="83" t="str">
        <f>IF(B9&lt;&gt;"EQ-37 ajuste inverso condicionado","",IF(OR(B10&lt;&gt;"Sí",B7="",B8="",B7&lt;=0,B8&lt;=0,B8&gt;=100),"",IFERROR(B7/(1-B8/100),"")))</f>
        <v/>
      </c>
      <c r="C14" s="81"/>
      <c r="D14" s="81"/>
      <c r="E14" s="81"/>
      <c r="F14" s="81"/>
      <c r="G14" s="55"/>
      <c r="H14" s="78"/>
      <c r="I14" s="78"/>
      <c r="J14" s="78"/>
      <c r="K14" s="78"/>
      <c r="L14" s="78"/>
    </row>
    <row r="15" spans="1:12">
      <c r="A15" s="59" t="s">
        <v>1740</v>
      </c>
      <c r="B15" s="81" t="str">
        <f>IF(B14="","","EQ-37")</f>
        <v/>
      </c>
      <c r="C15" s="81"/>
      <c r="D15" s="81"/>
      <c r="E15" s="81"/>
      <c r="F15" s="81"/>
      <c r="G15" s="55"/>
      <c r="H15" s="55"/>
      <c r="I15" s="55"/>
      <c r="J15" s="55"/>
      <c r="K15" s="55"/>
      <c r="L15" s="55"/>
    </row>
    <row r="16" spans="1:12">
      <c r="A16" s="59" t="s">
        <v>12</v>
      </c>
      <c r="B16" s="80" t="str">
        <f>IF(B9="Registro sin cálculo (recomendado)","BLOQUEADO POR DISEÑO: sólo registro",IF(B10&lt;&gt;"Sí","BLOQUEADO: falta cotejo explícito de fuente primaria",IF(OR(B7="",B8=""),"DATO INCOMPLETO",IF(OR(B7&lt;=0,B8&lt;=0,B8&gt;=100),"RESULTADO FUERA DE RANGO","CÁLCULO CONDICIONAL · revisión profesional obligatoria"))))</f>
        <v>BLOQUEADO POR DISEÑO: sólo registro</v>
      </c>
      <c r="C16" s="80"/>
      <c r="D16" s="80"/>
      <c r="E16" s="80"/>
      <c r="F16" s="80"/>
      <c r="G16" s="55"/>
      <c r="H16" s="55"/>
      <c r="I16" s="55"/>
      <c r="J16" s="55"/>
      <c r="K16" s="55"/>
      <c r="L16" s="55"/>
    </row>
    <row r="17" spans="1:12">
      <c r="A17" s="59" t="s">
        <v>1609</v>
      </c>
      <c r="B17" s="81" t="str">
        <f>"No se suministran porcentajes anatómicos ni se reproduce la Figura 15. La proporción debe provenir de una fuente clínica autorizada y quedar documentada. La ecuación fue registrada con conflicto abierto."</f>
        <v>No se suministran porcentajes anatómicos ni se reproduce la Figura 15. La proporción debe provenir de una fuente clínica autorizada y quedar documentada. La ecuación fue registrada con conflicto abierto.</v>
      </c>
      <c r="C17" s="81"/>
      <c r="D17" s="81"/>
      <c r="E17" s="81"/>
      <c r="F17" s="81"/>
      <c r="G17" s="55"/>
      <c r="H17" s="55"/>
      <c r="I17" s="55"/>
      <c r="J17" s="55"/>
      <c r="K17" s="55"/>
      <c r="L17" s="55"/>
    </row>
    <row r="18" spans="1:12">
      <c r="A18" s="59" t="s">
        <v>1815</v>
      </c>
      <c r="B18" s="81" t="str">
        <f>"Peso observado="&amp;IF(B7="","ND",B7&amp;" kg")&amp;"; proporción="&amp;IF(B8="","ND",B8&amp;"%")&amp;"; nota="&amp;IF(B11="","ND",B11)</f>
        <v>Peso observado=ND; proporción=ND; nota=ND</v>
      </c>
      <c r="C18" s="81"/>
      <c r="D18" s="81"/>
      <c r="E18" s="81"/>
      <c r="F18" s="81"/>
      <c r="G18" s="55"/>
      <c r="H18" s="55"/>
      <c r="I18" s="55"/>
      <c r="J18" s="55"/>
      <c r="K18" s="55"/>
      <c r="L18" s="55"/>
    </row>
    <row r="19" spans="1:12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</row>
    <row r="20" spans="1:12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</row>
    <row r="21" spans="1:12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2" spans="1:1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</row>
    <row r="23" spans="1:12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</row>
    <row r="24" spans="1:12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</row>
    <row r="25" spans="1:12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</row>
    <row r="26" spans="1:12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</row>
    <row r="27" spans="1:1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</row>
    <row r="28" spans="1:12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</row>
    <row r="29" spans="1:12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</row>
    <row r="30" spans="1:12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</row>
    <row r="31" spans="1:12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</row>
    <row r="32" spans="1:1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</row>
    <row r="33" spans="1:12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</row>
    <row r="34" spans="1:12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</row>
    <row r="35" spans="1:12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</row>
    <row r="36" spans="1:12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1:12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1:12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1:12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</row>
    <row r="41" spans="1:12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spans="1:1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1:12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 spans="1:12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</row>
    <row r="45" spans="1:12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1:12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</row>
    <row r="47" spans="1:12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</row>
    <row r="48" spans="1:12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</row>
    <row r="49" spans="1:12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</row>
    <row r="50" spans="1:12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</row>
    <row r="51" spans="1:12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</row>
    <row r="52" spans="1:1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</row>
    <row r="53" spans="1:12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</row>
    <row r="54" spans="1:12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</row>
    <row r="55" spans="1:12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1:12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1:12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</row>
    <row r="58" spans="1:12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spans="1:12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1:12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</row>
    <row r="63" spans="1:12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</row>
    <row r="64" spans="1:12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</row>
    <row r="65" spans="1:12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</row>
    <row r="66" spans="1:12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</row>
    <row r="67" spans="1:12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</row>
    <row r="68" spans="1:12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</row>
    <row r="69" spans="1:12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</row>
    <row r="70" spans="1:12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</row>
    <row r="71" spans="1:12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</row>
    <row r="72" spans="1:1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</row>
    <row r="73" spans="1:12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</row>
    <row r="74" spans="1:12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</row>
    <row r="75" spans="1:12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</row>
    <row r="76" spans="1:12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</row>
    <row r="77" spans="1:12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</row>
    <row r="78" spans="1:12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</row>
    <row r="79" spans="1:12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</row>
    <row r="80" spans="1:12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</row>
    <row r="81" spans="1:12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</row>
    <row r="82" spans="1:1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</row>
    <row r="83" spans="1:12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1:12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</row>
    <row r="85" spans="1:12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</row>
    <row r="86" spans="1:12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</row>
    <row r="87" spans="1:12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</row>
    <row r="88" spans="1:12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</row>
    <row r="89" spans="1:12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1:12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</row>
    <row r="91" spans="1:12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</row>
    <row r="92" spans="1:1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</row>
    <row r="93" spans="1:12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</row>
    <row r="94" spans="1:12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</row>
    <row r="95" spans="1:12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</row>
    <row r="96" spans="1:12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</row>
    <row r="97" spans="1:12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</row>
    <row r="98" spans="1:12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</row>
    <row r="99" spans="1:12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</row>
    <row r="100" spans="1:12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</row>
    <row r="101" spans="1:12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</row>
    <row r="102" spans="1:1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</row>
    <row r="103" spans="1:12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</row>
    <row r="104" spans="1:12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</row>
    <row r="105" spans="1:12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</row>
    <row r="106" spans="1:12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</row>
    <row r="107" spans="1:12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</row>
    <row r="108" spans="1:12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</row>
    <row r="109" spans="1:12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</row>
    <row r="110" spans="1:12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</row>
    <row r="111" spans="1:12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</row>
    <row r="112" spans="1: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</row>
    <row r="113" spans="1:12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</row>
    <row r="114" spans="1:12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</row>
    <row r="115" spans="1:12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</row>
    <row r="116" spans="1:12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</row>
    <row r="117" spans="1:12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</row>
    <row r="118" spans="1:12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</row>
    <row r="119" spans="1:12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</row>
    <row r="120" spans="1:12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</row>
    <row r="121" spans="1:12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</row>
    <row r="122" spans="1:1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</row>
    <row r="123" spans="1:12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</row>
    <row r="124" spans="1:12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</row>
    <row r="125" spans="1:12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</row>
    <row r="126" spans="1:12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</row>
    <row r="127" spans="1:12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</row>
    <row r="128" spans="1:12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</row>
    <row r="129" spans="1:12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</row>
    <row r="130" spans="1:12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</row>
    <row r="131" spans="1:12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</row>
    <row r="132" spans="1:1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</row>
    <row r="133" spans="1:12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</row>
    <row r="134" spans="1:12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</row>
    <row r="135" spans="1:12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</row>
    <row r="136" spans="1:12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</row>
    <row r="137" spans="1:12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</row>
    <row r="138" spans="1:12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</row>
    <row r="139" spans="1:12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</row>
    <row r="140" spans="1:12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</row>
    <row r="141" spans="1:12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</row>
    <row r="142" spans="1:1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</row>
    <row r="143" spans="1:12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</row>
    <row r="144" spans="1:12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</row>
    <row r="145" spans="1:12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</row>
    <row r="146" spans="1:12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</row>
    <row r="147" spans="1:12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</row>
    <row r="148" spans="1:12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</row>
    <row r="149" spans="1:12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</row>
    <row r="150" spans="1:12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</row>
    <row r="151" spans="1:12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</row>
    <row r="152" spans="1:1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</row>
    <row r="153" spans="1:12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</row>
    <row r="154" spans="1:12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</row>
    <row r="155" spans="1:12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</row>
    <row r="156" spans="1:12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</row>
    <row r="157" spans="1:12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</row>
    <row r="158" spans="1:12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</row>
    <row r="159" spans="1:12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</row>
    <row r="160" spans="1:12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</row>
    <row r="161" spans="1:12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</row>
    <row r="162" spans="1:1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</row>
    <row r="163" spans="1:12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</row>
    <row r="164" spans="1:12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</row>
    <row r="165" spans="1:12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</row>
    <row r="166" spans="1:12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</row>
    <row r="167" spans="1:12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</row>
    <row r="168" spans="1:12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</row>
    <row r="169" spans="1:12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</row>
    <row r="170" spans="1:12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</row>
    <row r="171" spans="1:12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</row>
    <row r="172" spans="1:1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</row>
    <row r="173" spans="1:12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</row>
    <row r="174" spans="1:12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</row>
    <row r="175" spans="1:12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</row>
    <row r="176" spans="1:12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</row>
    <row r="177" spans="1:12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</row>
    <row r="178" spans="1:12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</row>
    <row r="179" spans="1:12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</row>
    <row r="180" spans="1:12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</row>
    <row r="181" spans="1:12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</row>
    <row r="182" spans="1:1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</row>
    <row r="183" spans="1:12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</row>
    <row r="184" spans="1:12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</row>
    <row r="185" spans="1:12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</row>
    <row r="186" spans="1:12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</row>
    <row r="187" spans="1:12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</row>
    <row r="188" spans="1:12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</row>
    <row r="189" spans="1:12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</row>
    <row r="190" spans="1:12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</row>
    <row r="191" spans="1:12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</row>
    <row r="192" spans="1:1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</row>
    <row r="193" spans="1:12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</row>
    <row r="194" spans="1:12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</row>
    <row r="195" spans="1:12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</row>
    <row r="196" spans="1:12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</row>
    <row r="197" spans="1:12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</row>
    <row r="198" spans="1:12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</row>
    <row r="199" spans="1:12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</row>
    <row r="200" spans="1:12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</row>
  </sheetData>
  <mergeCells count="11">
    <mergeCell ref="B15:F15"/>
    <mergeCell ref="B16:F16"/>
    <mergeCell ref="B17:F17"/>
    <mergeCell ref="B18:F18"/>
    <mergeCell ref="H5:L5"/>
    <mergeCell ref="H6:L14"/>
    <mergeCell ref="A1:L1"/>
    <mergeCell ref="A3:L3"/>
    <mergeCell ref="A5:F5"/>
    <mergeCell ref="A13:F13"/>
    <mergeCell ref="B14:F14"/>
  </mergeCells>
  <dataValidations count="2">
    <dataValidation type="list" sqref="B9" xr:uid="{00000000-0002-0000-1B00-000000000000}">
      <formula1>"Registro sin cálculo (recomendado),EQ-37 ajuste inverso condicionado"</formula1>
    </dataValidation>
    <dataValidation type="list" sqref="B10" xr:uid="{00000000-0002-0000-1B00-000001000000}">
      <formula1>"Sí,No"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00"/>
  <sheetViews>
    <sheetView workbookViewId="0">
      <selection activeCell="B15" sqref="B15"/>
    </sheetView>
  </sheetViews>
  <sheetFormatPr baseColWidth="10" defaultColWidth="9.140625" defaultRowHeight="15"/>
  <cols>
    <col min="1" max="1" width="38" customWidth="1"/>
    <col min="2" max="2" width="27" customWidth="1"/>
    <col min="3" max="6" width="12" customWidth="1"/>
    <col min="7" max="7" width="3" customWidth="1"/>
    <col min="8" max="8" width="12" customWidth="1"/>
    <col min="9" max="9" width="34" customWidth="1"/>
    <col min="10" max="10" width="22" customWidth="1"/>
    <col min="11" max="11" width="34" customWidth="1"/>
    <col min="12" max="12" width="12" customWidth="1"/>
  </cols>
  <sheetData>
    <row r="1" spans="1:12" ht="30" customHeight="1">
      <c r="A1" s="77" t="s">
        <v>1816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82"/>
    </row>
    <row r="2" spans="1:12" ht="24" customHeight="1">
      <c r="A2" s="52" t="s">
        <v>1</v>
      </c>
      <c r="B2" s="52" t="s">
        <v>1592</v>
      </c>
      <c r="C2" s="52" t="s">
        <v>1593</v>
      </c>
      <c r="D2" s="52" t="s">
        <v>1594</v>
      </c>
      <c r="E2" s="52" t="s">
        <v>1595</v>
      </c>
      <c r="F2" s="52" t="s">
        <v>1596</v>
      </c>
      <c r="G2" s="52" t="s">
        <v>1597</v>
      </c>
      <c r="H2" s="52" t="s">
        <v>4</v>
      </c>
      <c r="I2" s="52"/>
      <c r="J2" s="52"/>
      <c r="K2" s="52"/>
      <c r="L2" s="52"/>
    </row>
    <row r="3" spans="1:12" ht="33.950000000000003" customHeight="1">
      <c r="A3" s="78" t="s">
        <v>1817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>
      <c r="A5" s="79" t="s">
        <v>1818</v>
      </c>
      <c r="B5" s="79"/>
      <c r="C5" s="79"/>
      <c r="D5" s="79"/>
      <c r="E5" s="79"/>
      <c r="F5" s="79"/>
      <c r="G5" s="55"/>
      <c r="H5" s="79" t="s">
        <v>1819</v>
      </c>
      <c r="I5" s="79"/>
      <c r="J5" s="79"/>
      <c r="K5" s="79"/>
      <c r="L5" s="79"/>
    </row>
    <row r="6" spans="1:12">
      <c r="A6" s="59" t="s">
        <v>1720</v>
      </c>
      <c r="B6" s="60"/>
      <c r="C6" s="55"/>
      <c r="D6" s="55"/>
      <c r="E6" s="55"/>
      <c r="F6" s="55"/>
      <c r="G6" s="55"/>
      <c r="H6" s="54" t="s">
        <v>414</v>
      </c>
      <c r="I6" s="54" t="s">
        <v>1820</v>
      </c>
      <c r="J6" s="54" t="s">
        <v>1821</v>
      </c>
      <c r="K6" s="54" t="s">
        <v>538</v>
      </c>
      <c r="L6" s="55"/>
    </row>
    <row r="7" spans="1:12">
      <c r="A7" s="59" t="s">
        <v>1822</v>
      </c>
      <c r="B7" s="60" t="s">
        <v>106</v>
      </c>
      <c r="C7" s="55"/>
      <c r="D7" s="55"/>
      <c r="E7" s="55"/>
      <c r="F7" s="55"/>
      <c r="G7" s="55"/>
      <c r="H7" s="56">
        <v>1</v>
      </c>
      <c r="I7" s="56" t="s">
        <v>1823</v>
      </c>
      <c r="J7" s="56" t="s">
        <v>1734</v>
      </c>
      <c r="K7" s="56" t="s">
        <v>1824</v>
      </c>
      <c r="L7" s="55"/>
    </row>
    <row r="8" spans="1:12" ht="24">
      <c r="A8" s="59" t="s">
        <v>1825</v>
      </c>
      <c r="B8" s="60" t="s">
        <v>106</v>
      </c>
      <c r="C8" s="55"/>
      <c r="D8" s="55"/>
      <c r="E8" s="55"/>
      <c r="F8" s="55"/>
      <c r="G8" s="55"/>
      <c r="H8" s="56">
        <v>2</v>
      </c>
      <c r="I8" s="56" t="s">
        <v>1826</v>
      </c>
      <c r="J8" s="56" t="s">
        <v>1596</v>
      </c>
      <c r="K8" s="56" t="s">
        <v>1827</v>
      </c>
      <c r="L8" s="55"/>
    </row>
    <row r="9" spans="1:12" ht="24">
      <c r="A9" s="59" t="s">
        <v>1747</v>
      </c>
      <c r="B9" s="66"/>
      <c r="C9" s="55"/>
      <c r="D9" s="55"/>
      <c r="E9" s="55"/>
      <c r="F9" s="55"/>
      <c r="G9" s="55"/>
      <c r="H9" s="56">
        <v>3</v>
      </c>
      <c r="I9" s="56" t="s">
        <v>1828</v>
      </c>
      <c r="J9" s="56" t="s">
        <v>1829</v>
      </c>
      <c r="K9" s="56" t="s">
        <v>1830</v>
      </c>
      <c r="L9" s="55"/>
    </row>
    <row r="10" spans="1:12">
      <c r="A10" s="59" t="s">
        <v>1601</v>
      </c>
      <c r="B10" s="60" t="s">
        <v>113</v>
      </c>
      <c r="C10" s="55"/>
      <c r="D10" s="55"/>
      <c r="E10" s="55"/>
      <c r="F10" s="55"/>
      <c r="G10" s="55"/>
      <c r="H10" s="56">
        <v>4</v>
      </c>
      <c r="I10" s="56" t="s">
        <v>1831</v>
      </c>
      <c r="J10" s="56" t="s">
        <v>1832</v>
      </c>
      <c r="K10" s="56" t="s">
        <v>1833</v>
      </c>
      <c r="L10" s="55"/>
    </row>
    <row r="11" spans="1:12">
      <c r="A11" s="59" t="s">
        <v>1834</v>
      </c>
      <c r="B11" s="60" t="s">
        <v>229</v>
      </c>
      <c r="C11" s="55"/>
      <c r="D11" s="55"/>
      <c r="E11" s="55"/>
      <c r="F11" s="55"/>
      <c r="G11" s="55"/>
      <c r="H11" s="56">
        <v>5</v>
      </c>
      <c r="I11" s="56" t="s">
        <v>1835</v>
      </c>
      <c r="J11" s="56" t="s">
        <v>1836</v>
      </c>
      <c r="K11" s="56" t="s">
        <v>1837</v>
      </c>
      <c r="L11" s="55"/>
    </row>
    <row r="12" spans="1:12">
      <c r="A12" s="59" t="s">
        <v>1838</v>
      </c>
      <c r="B12" s="60" t="s">
        <v>229</v>
      </c>
      <c r="C12" s="55"/>
      <c r="D12" s="55"/>
      <c r="E12" s="55"/>
      <c r="F12" s="55"/>
      <c r="G12" s="55"/>
      <c r="H12" s="56">
        <v>6</v>
      </c>
      <c r="I12" s="56" t="s">
        <v>1839</v>
      </c>
      <c r="J12" s="56" t="s">
        <v>1659</v>
      </c>
      <c r="K12" s="56" t="s">
        <v>1840</v>
      </c>
      <c r="L12" s="55"/>
    </row>
    <row r="13" spans="1:12">
      <c r="A13" s="59" t="s">
        <v>1841</v>
      </c>
      <c r="B13" s="60" t="s">
        <v>229</v>
      </c>
      <c r="C13" s="55"/>
      <c r="D13" s="55"/>
      <c r="E13" s="55"/>
      <c r="F13" s="55"/>
      <c r="G13" s="55"/>
      <c r="H13" s="56">
        <v>7</v>
      </c>
      <c r="I13" s="56" t="s">
        <v>1842</v>
      </c>
      <c r="J13" s="56" t="s">
        <v>1843</v>
      </c>
      <c r="K13" s="56" t="s">
        <v>1844</v>
      </c>
      <c r="L13" s="55"/>
    </row>
    <row r="14" spans="1:12">
      <c r="A14" s="59" t="s">
        <v>1845</v>
      </c>
      <c r="B14" s="60" t="s">
        <v>229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</row>
    <row r="15" spans="1:12">
      <c r="A15" s="59" t="s">
        <v>1846</v>
      </c>
      <c r="B15" s="60" t="s">
        <v>106</v>
      </c>
      <c r="C15" s="55"/>
      <c r="D15" s="55"/>
      <c r="E15" s="55"/>
      <c r="F15" s="55"/>
      <c r="G15" s="55"/>
      <c r="H15" s="78" t="s">
        <v>1847</v>
      </c>
      <c r="I15" s="78"/>
      <c r="J15" s="78"/>
      <c r="K15" s="78"/>
      <c r="L15" s="78"/>
    </row>
    <row r="16" spans="1:12">
      <c r="A16" s="59" t="s">
        <v>1848</v>
      </c>
      <c r="B16" s="60" t="s">
        <v>229</v>
      </c>
      <c r="C16" s="55"/>
      <c r="D16" s="55"/>
      <c r="E16" s="55"/>
      <c r="F16" s="55"/>
      <c r="G16" s="55"/>
      <c r="H16" s="78"/>
      <c r="I16" s="78"/>
      <c r="J16" s="78"/>
      <c r="K16" s="78"/>
      <c r="L16" s="78"/>
    </row>
    <row r="17" spans="1:12">
      <c r="A17" s="59" t="s">
        <v>1849</v>
      </c>
      <c r="B17" s="60" t="s">
        <v>229</v>
      </c>
      <c r="C17" s="55"/>
      <c r="D17" s="55"/>
      <c r="E17" s="55"/>
      <c r="F17" s="55"/>
      <c r="G17" s="55"/>
      <c r="H17" s="78"/>
      <c r="I17" s="78"/>
      <c r="J17" s="78"/>
      <c r="K17" s="78"/>
      <c r="L17" s="78"/>
    </row>
    <row r="18" spans="1:12">
      <c r="A18" s="55"/>
      <c r="B18" s="55"/>
      <c r="C18" s="55"/>
      <c r="D18" s="55"/>
      <c r="E18" s="55"/>
      <c r="F18" s="55"/>
      <c r="G18" s="55"/>
      <c r="H18" s="78"/>
      <c r="I18" s="78"/>
      <c r="J18" s="78"/>
      <c r="K18" s="78"/>
      <c r="L18" s="78"/>
    </row>
    <row r="19" spans="1:12">
      <c r="A19" s="79" t="s">
        <v>1850</v>
      </c>
      <c r="B19" s="79"/>
      <c r="C19" s="79"/>
      <c r="D19" s="79"/>
      <c r="E19" s="79"/>
      <c r="F19" s="79"/>
      <c r="G19" s="55"/>
      <c r="H19" s="78"/>
      <c r="I19" s="78"/>
      <c r="J19" s="78"/>
      <c r="K19" s="78"/>
      <c r="L19" s="78"/>
    </row>
    <row r="20" spans="1:12">
      <c r="A20" s="59" t="s">
        <v>1851</v>
      </c>
      <c r="B20" s="81" t="str">
        <f>IF(B11="Sí","AMPUTACIONES · registro/cálculo condicionado",IF(B7="Sí","Medición directa",IF(AND(B9&gt;=60,B9&lt;=90,B12="Sí",B13="Sí",B14="Sí",B15="Sí"),"ESTIMACION_PESO_TALLA · EQ-30/EQ-31","SIN RUTA APROBADA · faltan medidas o dominio")))</f>
        <v>Medición directa</v>
      </c>
      <c r="C20" s="81"/>
      <c r="D20" s="81"/>
      <c r="E20" s="81"/>
      <c r="F20" s="81"/>
      <c r="G20" s="55"/>
      <c r="H20" s="55"/>
      <c r="I20" s="55"/>
      <c r="J20" s="55"/>
      <c r="K20" s="55"/>
      <c r="L20" s="55"/>
    </row>
    <row r="21" spans="1:12">
      <c r="A21" s="59" t="s">
        <v>1852</v>
      </c>
      <c r="B21" s="81" t="str">
        <f>IF(B8="Sí","Medición directa",IF(B9&lt;60,"SIN RUTA APROBADA PARA ESTE DOMINIO",IF(AND(B13="Sí",B9&lt;=90),"Altura de rodilla · EQ-32/EQ-33",IF(B16="Sí","Rodilla-maléolo · EQ-34/EQ-35",IF(B17="Sí","Media brazada · EQ-36","SIN RUTA APROBADA · medida imposible")))))</f>
        <v>Medición directa</v>
      </c>
      <c r="C21" s="81"/>
      <c r="D21" s="81"/>
      <c r="E21" s="81"/>
      <c r="F21" s="81"/>
      <c r="G21" s="55"/>
      <c r="H21" s="55"/>
      <c r="I21" s="55"/>
      <c r="J21" s="55"/>
      <c r="K21" s="55"/>
      <c r="L21" s="55"/>
    </row>
    <row r="22" spans="1:12">
      <c r="A22" s="59" t="s">
        <v>1853</v>
      </c>
      <c r="B22" s="81">
        <f>COUNTIFS(B12:B17,"Sí")</f>
        <v>1</v>
      </c>
      <c r="C22" s="81"/>
      <c r="D22" s="81"/>
      <c r="E22" s="81"/>
      <c r="F22" s="81"/>
      <c r="G22" s="55"/>
      <c r="H22" s="55"/>
      <c r="I22" s="55"/>
      <c r="J22" s="55"/>
      <c r="K22" s="55"/>
      <c r="L22" s="55"/>
    </row>
    <row r="23" spans="1:12">
      <c r="A23" s="59" t="s">
        <v>1854</v>
      </c>
      <c r="B23" s="81" t="str">
        <f>"Registrar sólo resultado externo, versión, fecha y procedencia en ADULTO_MAYOR / NMX-44; no copiar NRS-2002, VGS/SGA ni MNA-SF."</f>
        <v>Registrar sólo resultado externo, versión, fecha y procedencia en ADULTO_MAYOR / NMX-44; no copiar NRS-2002, VGS/SGA ni MNA-SF.</v>
      </c>
      <c r="C23" s="81"/>
      <c r="D23" s="81"/>
      <c r="E23" s="81"/>
      <c r="F23" s="81"/>
      <c r="G23" s="55"/>
      <c r="H23" s="55"/>
      <c r="I23" s="55"/>
      <c r="J23" s="55"/>
      <c r="K23" s="55"/>
      <c r="L23" s="55"/>
    </row>
    <row r="24" spans="1:12">
      <c r="A24" s="59" t="s">
        <v>1855</v>
      </c>
      <c r="B24" s="80" t="str">
        <f>IF(B9="","DATO INCOMPLETO",IF(B9&lt;18,"FUERA DE ALCANCE: NMX-03 adulto",IF(B11="Sí","CONDICIÓN ESPECIAL: revisar AMPUTACIONES y alcance",IF(AND(B7="No",B8="No",B22=0),"MEDIDA IMPOSIBLE: sin variables auxiliares disponibles","RUTA DOCUMENTADA"))))</f>
        <v>DATO INCOMPLETO</v>
      </c>
      <c r="C24" s="80"/>
      <c r="D24" s="80"/>
      <c r="E24" s="80"/>
      <c r="F24" s="80"/>
      <c r="G24" s="55"/>
      <c r="H24" s="55"/>
      <c r="I24" s="55"/>
      <c r="J24" s="55"/>
      <c r="K24" s="55"/>
      <c r="L24" s="55"/>
    </row>
    <row r="25" spans="1:12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</row>
    <row r="26" spans="1:12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</row>
    <row r="27" spans="1:1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</row>
    <row r="28" spans="1:12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</row>
    <row r="29" spans="1:12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</row>
    <row r="30" spans="1:12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</row>
    <row r="31" spans="1:12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</row>
    <row r="32" spans="1:1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</row>
    <row r="33" spans="1:12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</row>
    <row r="34" spans="1:12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</row>
    <row r="35" spans="1:12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</row>
    <row r="36" spans="1:12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1:12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1:12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1:12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</row>
    <row r="41" spans="1:12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spans="1:1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1:12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 spans="1:12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</row>
    <row r="45" spans="1:12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1:12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</row>
    <row r="47" spans="1:12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</row>
    <row r="48" spans="1:12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</row>
    <row r="49" spans="1:12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</row>
    <row r="50" spans="1:12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</row>
    <row r="51" spans="1:12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</row>
    <row r="52" spans="1:1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</row>
    <row r="53" spans="1:12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</row>
    <row r="54" spans="1:12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</row>
    <row r="55" spans="1:12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1:12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1:12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</row>
    <row r="58" spans="1:12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spans="1:12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1:12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</row>
    <row r="63" spans="1:12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</row>
    <row r="64" spans="1:12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</row>
    <row r="65" spans="1:12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</row>
    <row r="66" spans="1:12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</row>
    <row r="67" spans="1:12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</row>
    <row r="68" spans="1:12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</row>
    <row r="69" spans="1:12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</row>
    <row r="70" spans="1:12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</row>
    <row r="71" spans="1:12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</row>
    <row r="72" spans="1:1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</row>
    <row r="73" spans="1:12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</row>
    <row r="74" spans="1:12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</row>
    <row r="75" spans="1:12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</row>
    <row r="76" spans="1:12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</row>
    <row r="77" spans="1:12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</row>
    <row r="78" spans="1:12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</row>
    <row r="79" spans="1:12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</row>
    <row r="80" spans="1:12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</row>
    <row r="81" spans="1:12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</row>
    <row r="82" spans="1:1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</row>
    <row r="83" spans="1:12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1:12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</row>
    <row r="85" spans="1:12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</row>
    <row r="86" spans="1:12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</row>
    <row r="87" spans="1:12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</row>
    <row r="88" spans="1:12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</row>
    <row r="89" spans="1:12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1:12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</row>
    <row r="91" spans="1:12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</row>
    <row r="92" spans="1:1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</row>
    <row r="93" spans="1:12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</row>
    <row r="94" spans="1:12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</row>
    <row r="95" spans="1:12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</row>
    <row r="96" spans="1:12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</row>
    <row r="97" spans="1:12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</row>
    <row r="98" spans="1:12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</row>
    <row r="99" spans="1:12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</row>
    <row r="100" spans="1:12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</row>
    <row r="101" spans="1:12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</row>
    <row r="102" spans="1:1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</row>
    <row r="103" spans="1:12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</row>
    <row r="104" spans="1:12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</row>
    <row r="105" spans="1:12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</row>
    <row r="106" spans="1:12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</row>
    <row r="107" spans="1:12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</row>
    <row r="108" spans="1:12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</row>
    <row r="109" spans="1:12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</row>
    <row r="110" spans="1:12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</row>
    <row r="111" spans="1:12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</row>
    <row r="112" spans="1: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</row>
    <row r="113" spans="1:12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</row>
    <row r="114" spans="1:12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</row>
    <row r="115" spans="1:12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</row>
    <row r="116" spans="1:12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</row>
    <row r="117" spans="1:12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</row>
    <row r="118" spans="1:12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</row>
    <row r="119" spans="1:12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</row>
    <row r="120" spans="1:12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</row>
    <row r="121" spans="1:12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</row>
    <row r="122" spans="1:1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</row>
    <row r="123" spans="1:12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</row>
    <row r="124" spans="1:12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</row>
    <row r="125" spans="1:12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</row>
    <row r="126" spans="1:12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</row>
    <row r="127" spans="1:12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</row>
    <row r="128" spans="1:12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</row>
    <row r="129" spans="1:12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</row>
    <row r="130" spans="1:12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</row>
    <row r="131" spans="1:12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</row>
    <row r="132" spans="1:1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</row>
    <row r="133" spans="1:12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</row>
    <row r="134" spans="1:12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</row>
    <row r="135" spans="1:12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</row>
    <row r="136" spans="1:12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</row>
    <row r="137" spans="1:12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</row>
    <row r="138" spans="1:12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</row>
    <row r="139" spans="1:12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</row>
    <row r="140" spans="1:12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</row>
    <row r="141" spans="1:12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</row>
    <row r="142" spans="1:1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</row>
    <row r="143" spans="1:12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</row>
    <row r="144" spans="1:12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</row>
    <row r="145" spans="1:12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</row>
    <row r="146" spans="1:12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</row>
    <row r="147" spans="1:12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</row>
    <row r="148" spans="1:12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</row>
    <row r="149" spans="1:12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</row>
    <row r="150" spans="1:12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</row>
    <row r="151" spans="1:12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</row>
    <row r="152" spans="1:1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</row>
    <row r="153" spans="1:12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</row>
    <row r="154" spans="1:12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</row>
    <row r="155" spans="1:12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</row>
    <row r="156" spans="1:12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</row>
    <row r="157" spans="1:12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</row>
    <row r="158" spans="1:12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</row>
    <row r="159" spans="1:12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</row>
    <row r="160" spans="1:12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</row>
    <row r="161" spans="1:12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</row>
    <row r="162" spans="1:1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</row>
    <row r="163" spans="1:12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</row>
    <row r="164" spans="1:12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</row>
    <row r="165" spans="1:12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</row>
    <row r="166" spans="1:12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</row>
    <row r="167" spans="1:12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</row>
    <row r="168" spans="1:12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</row>
    <row r="169" spans="1:12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</row>
    <row r="170" spans="1:12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</row>
    <row r="171" spans="1:12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</row>
    <row r="172" spans="1:1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</row>
    <row r="173" spans="1:12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</row>
    <row r="174" spans="1:12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</row>
    <row r="175" spans="1:12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</row>
    <row r="176" spans="1:12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</row>
    <row r="177" spans="1:12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</row>
    <row r="178" spans="1:12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</row>
    <row r="179" spans="1:12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</row>
    <row r="180" spans="1:12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</row>
    <row r="181" spans="1:12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</row>
    <row r="182" spans="1:1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</row>
    <row r="183" spans="1:12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</row>
    <row r="184" spans="1:12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</row>
    <row r="185" spans="1:12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</row>
    <row r="186" spans="1:12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</row>
    <row r="187" spans="1:12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</row>
    <row r="188" spans="1:12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</row>
    <row r="189" spans="1:12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</row>
    <row r="190" spans="1:12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</row>
    <row r="191" spans="1:12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</row>
    <row r="192" spans="1:1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</row>
    <row r="193" spans="1:12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</row>
    <row r="194" spans="1:12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</row>
    <row r="195" spans="1:12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</row>
    <row r="196" spans="1:12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</row>
    <row r="197" spans="1:12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</row>
    <row r="198" spans="1:12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</row>
    <row r="199" spans="1:12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</row>
    <row r="200" spans="1:12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</row>
  </sheetData>
  <mergeCells count="11">
    <mergeCell ref="B21:F21"/>
    <mergeCell ref="B22:F22"/>
    <mergeCell ref="B23:F23"/>
    <mergeCell ref="B24:F24"/>
    <mergeCell ref="H5:L5"/>
    <mergeCell ref="H15:L19"/>
    <mergeCell ref="A1:L1"/>
    <mergeCell ref="A3:L3"/>
    <mergeCell ref="A5:F5"/>
    <mergeCell ref="A19:F19"/>
    <mergeCell ref="B20:F20"/>
  </mergeCells>
  <dataValidations count="2">
    <dataValidation type="list" sqref="B11:B17 B7:B8" xr:uid="{00000000-0002-0000-1C00-000000000000}">
      <formula1>"Sí,No"</formula1>
    </dataValidation>
    <dataValidation type="list" sqref="B10" xr:uid="{00000000-0002-0000-1C00-000009000000}">
      <formula1>"Masculino,Femenino"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00"/>
  <sheetViews>
    <sheetView topLeftCell="A4" workbookViewId="0">
      <selection sqref="A1:J1"/>
    </sheetView>
  </sheetViews>
  <sheetFormatPr baseColWidth="10" defaultColWidth="9.140625" defaultRowHeight="15"/>
  <cols>
    <col min="1" max="1" width="14" customWidth="1"/>
    <col min="2" max="2" width="20" customWidth="1"/>
    <col min="3" max="3" width="32" customWidth="1"/>
    <col min="4" max="4" width="10" customWidth="1"/>
    <col min="5" max="5" width="42" customWidth="1"/>
    <col min="6" max="6" width="18" customWidth="1"/>
    <col min="7" max="7" width="28" customWidth="1"/>
    <col min="8" max="8" width="25" customWidth="1"/>
    <col min="9" max="9" width="42" customWidth="1"/>
    <col min="10" max="10" width="40" customWidth="1"/>
  </cols>
  <sheetData>
    <row r="1" spans="1:10" ht="30" customHeight="1">
      <c r="A1" s="77" t="s">
        <v>1856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4" customHeight="1">
      <c r="A2" s="52" t="s">
        <v>1</v>
      </c>
      <c r="B2" s="52" t="s">
        <v>1592</v>
      </c>
      <c r="C2" s="52" t="s">
        <v>1593</v>
      </c>
      <c r="D2" s="52" t="s">
        <v>1594</v>
      </c>
      <c r="E2" s="52" t="s">
        <v>1595</v>
      </c>
      <c r="F2" s="52" t="s">
        <v>1596</v>
      </c>
      <c r="G2" s="52" t="s">
        <v>1597</v>
      </c>
      <c r="H2" s="52" t="s">
        <v>4</v>
      </c>
      <c r="I2" s="52"/>
      <c r="J2" s="52"/>
    </row>
    <row r="3" spans="1:10" ht="33.950000000000003" customHeight="1">
      <c r="A3" s="78" t="s">
        <v>1857</v>
      </c>
      <c r="B3" s="78"/>
      <c r="C3" s="78"/>
      <c r="D3" s="78"/>
      <c r="E3" s="78"/>
      <c r="F3" s="78"/>
      <c r="G3" s="78"/>
      <c r="H3" s="78"/>
      <c r="I3" s="78"/>
      <c r="J3" s="78"/>
    </row>
    <row r="4" spans="1:10">
      <c r="A4" s="55"/>
      <c r="B4" s="55"/>
      <c r="C4" s="55"/>
      <c r="D4" s="55"/>
      <c r="E4" s="55"/>
      <c r="F4" s="55"/>
      <c r="G4" s="55"/>
      <c r="H4" s="55"/>
      <c r="I4" s="55"/>
      <c r="J4" s="55"/>
    </row>
    <row r="5" spans="1:10">
      <c r="A5" s="79" t="s">
        <v>1858</v>
      </c>
      <c r="B5" s="79"/>
      <c r="C5" s="79"/>
      <c r="D5" s="79"/>
      <c r="E5" s="79"/>
      <c r="F5" s="79"/>
      <c r="G5" s="79"/>
      <c r="H5" s="79"/>
      <c r="I5" s="79"/>
      <c r="J5" s="79"/>
    </row>
    <row r="6" spans="1:10">
      <c r="A6" s="54" t="s">
        <v>1859</v>
      </c>
      <c r="B6" s="54" t="s">
        <v>1860</v>
      </c>
      <c r="C6" s="54" t="s">
        <v>1306</v>
      </c>
      <c r="D6" s="54" t="s">
        <v>1307</v>
      </c>
      <c r="E6" s="54" t="s">
        <v>1861</v>
      </c>
      <c r="F6" s="54" t="s">
        <v>1862</v>
      </c>
      <c r="G6" s="54" t="s">
        <v>1863</v>
      </c>
      <c r="H6" s="54" t="s">
        <v>704</v>
      </c>
      <c r="I6" s="54" t="s">
        <v>1864</v>
      </c>
      <c r="J6" s="54" t="s">
        <v>1310</v>
      </c>
    </row>
    <row r="7" spans="1:10" ht="24">
      <c r="A7" s="56" t="s">
        <v>1865</v>
      </c>
      <c r="B7" s="56" t="s">
        <v>1866</v>
      </c>
      <c r="C7" s="56" t="s">
        <v>1867</v>
      </c>
      <c r="D7" s="56">
        <v>2018</v>
      </c>
      <c r="E7" s="56" t="s">
        <v>1868</v>
      </c>
      <c r="F7" s="56" t="s">
        <v>1869</v>
      </c>
      <c r="G7" s="56" t="s">
        <v>1870</v>
      </c>
      <c r="H7" s="57" t="s">
        <v>1871</v>
      </c>
      <c r="I7" s="57" t="s">
        <v>1872</v>
      </c>
      <c r="J7" s="56" t="s">
        <v>1873</v>
      </c>
    </row>
    <row r="8" spans="1:10" ht="24">
      <c r="A8" s="56" t="s">
        <v>1874</v>
      </c>
      <c r="B8" s="56" t="s">
        <v>1875</v>
      </c>
      <c r="C8" s="56" t="s">
        <v>1876</v>
      </c>
      <c r="D8" s="56">
        <v>1973</v>
      </c>
      <c r="E8" s="56" t="s">
        <v>1877</v>
      </c>
      <c r="F8" s="56" t="s">
        <v>1878</v>
      </c>
      <c r="G8" s="56" t="s">
        <v>1879</v>
      </c>
      <c r="H8" s="57" t="s">
        <v>1880</v>
      </c>
      <c r="I8" s="57" t="s">
        <v>1881</v>
      </c>
      <c r="J8" s="56"/>
    </row>
    <row r="9" spans="1:10" ht="24">
      <c r="A9" s="56" t="s">
        <v>1882</v>
      </c>
      <c r="B9" s="56" t="s">
        <v>1883</v>
      </c>
      <c r="C9" s="56" t="s">
        <v>1642</v>
      </c>
      <c r="D9" s="56">
        <v>1985</v>
      </c>
      <c r="E9" s="56" t="s">
        <v>1884</v>
      </c>
      <c r="F9" s="56" t="s">
        <v>1885</v>
      </c>
      <c r="G9" s="56" t="s">
        <v>1886</v>
      </c>
      <c r="H9" s="57" t="s">
        <v>1887</v>
      </c>
      <c r="I9" s="57" t="s">
        <v>1888</v>
      </c>
      <c r="J9" s="56"/>
    </row>
    <row r="10" spans="1:10" ht="24">
      <c r="A10" s="56" t="s">
        <v>1889</v>
      </c>
      <c r="B10" s="56" t="s">
        <v>1890</v>
      </c>
      <c r="C10" s="56" t="s">
        <v>1653</v>
      </c>
      <c r="D10" s="56">
        <v>1995</v>
      </c>
      <c r="E10" s="56" t="s">
        <v>1891</v>
      </c>
      <c r="F10" s="56" t="s">
        <v>1892</v>
      </c>
      <c r="G10" s="56" t="s">
        <v>1893</v>
      </c>
      <c r="H10" s="57" t="s">
        <v>1880</v>
      </c>
      <c r="I10" s="57" t="s">
        <v>1894</v>
      </c>
      <c r="J10" s="56"/>
    </row>
    <row r="11" spans="1:10" ht="36">
      <c r="A11" s="56" t="s">
        <v>1895</v>
      </c>
      <c r="B11" s="56" t="s">
        <v>1659</v>
      </c>
      <c r="C11" s="56" t="s">
        <v>1663</v>
      </c>
      <c r="D11" s="56">
        <v>2008</v>
      </c>
      <c r="E11" s="56" t="s">
        <v>1896</v>
      </c>
      <c r="F11" s="56" t="s">
        <v>1892</v>
      </c>
      <c r="G11" s="56" t="s">
        <v>1897</v>
      </c>
      <c r="H11" s="57" t="s">
        <v>1880</v>
      </c>
      <c r="I11" s="57" t="s">
        <v>1898</v>
      </c>
      <c r="J11" s="56"/>
    </row>
    <row r="12" spans="1:10" ht="24">
      <c r="A12" s="56" t="s">
        <v>1899</v>
      </c>
      <c r="B12" s="56" t="s">
        <v>1900</v>
      </c>
      <c r="C12" s="56" t="s">
        <v>1673</v>
      </c>
      <c r="D12" s="56">
        <v>1995</v>
      </c>
      <c r="E12" s="56" t="s">
        <v>1901</v>
      </c>
      <c r="F12" s="56" t="s">
        <v>1902</v>
      </c>
      <c r="G12" s="56" t="s">
        <v>1903</v>
      </c>
      <c r="H12" s="57" t="s">
        <v>1904</v>
      </c>
      <c r="I12" s="57" t="s">
        <v>1905</v>
      </c>
      <c r="J12" s="56"/>
    </row>
    <row r="13" spans="1:10" ht="24">
      <c r="A13" s="56" t="s">
        <v>1906</v>
      </c>
      <c r="B13" s="56" t="s">
        <v>1907</v>
      </c>
      <c r="C13" s="56" t="s">
        <v>1908</v>
      </c>
      <c r="D13" s="56"/>
      <c r="E13" s="56" t="s">
        <v>1909</v>
      </c>
      <c r="F13" s="56" t="s">
        <v>1910</v>
      </c>
      <c r="G13" s="56" t="s">
        <v>1911</v>
      </c>
      <c r="H13" s="57" t="s">
        <v>1912</v>
      </c>
      <c r="I13" s="57" t="s">
        <v>1913</v>
      </c>
      <c r="J13" s="56" t="s">
        <v>1914</v>
      </c>
    </row>
    <row r="14" spans="1:10" ht="24">
      <c r="A14" s="56" t="s">
        <v>1915</v>
      </c>
      <c r="B14" s="56" t="s">
        <v>1916</v>
      </c>
      <c r="C14" s="56" t="s">
        <v>1917</v>
      </c>
      <c r="D14" s="56"/>
      <c r="E14" s="56" t="s">
        <v>1918</v>
      </c>
      <c r="F14" s="56" t="s">
        <v>1910</v>
      </c>
      <c r="G14" s="56" t="s">
        <v>1919</v>
      </c>
      <c r="H14" s="57" t="s">
        <v>1920</v>
      </c>
      <c r="I14" s="57" t="s">
        <v>1921</v>
      </c>
      <c r="J14" s="56" t="s">
        <v>1922</v>
      </c>
    </row>
    <row r="15" spans="1:10" ht="24">
      <c r="A15" s="56" t="s">
        <v>1923</v>
      </c>
      <c r="B15" s="56" t="s">
        <v>1924</v>
      </c>
      <c r="C15" s="56" t="s">
        <v>1925</v>
      </c>
      <c r="D15" s="56">
        <v>1987</v>
      </c>
      <c r="E15" s="56" t="s">
        <v>1926</v>
      </c>
      <c r="F15" s="56" t="s">
        <v>1910</v>
      </c>
      <c r="G15" s="56" t="s">
        <v>1919</v>
      </c>
      <c r="H15" s="57" t="s">
        <v>1920</v>
      </c>
      <c r="I15" s="57" t="s">
        <v>1927</v>
      </c>
      <c r="J15" s="56" t="s">
        <v>1928</v>
      </c>
    </row>
    <row r="16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spans="1:10">
      <c r="A18" s="78" t="s">
        <v>1929</v>
      </c>
      <c r="B18" s="78"/>
      <c r="C18" s="78"/>
      <c r="D18" s="78"/>
      <c r="E18" s="78"/>
      <c r="F18" s="78"/>
      <c r="G18" s="78"/>
      <c r="H18" s="78"/>
      <c r="I18" s="78"/>
      <c r="J18" s="78"/>
    </row>
    <row r="19" spans="1:10">
      <c r="A19" s="78"/>
      <c r="B19" s="78"/>
      <c r="C19" s="78"/>
      <c r="D19" s="78"/>
      <c r="E19" s="78"/>
      <c r="F19" s="78"/>
      <c r="G19" s="78"/>
      <c r="H19" s="78"/>
      <c r="I19" s="78"/>
      <c r="J19" s="78"/>
    </row>
    <row r="20" spans="1:10">
      <c r="A20" s="78"/>
      <c r="B20" s="78"/>
      <c r="C20" s="78"/>
      <c r="D20" s="78"/>
      <c r="E20" s="78"/>
      <c r="F20" s="78"/>
      <c r="G20" s="78"/>
      <c r="H20" s="78"/>
      <c r="I20" s="78"/>
      <c r="J20" s="78"/>
    </row>
    <row r="21" spans="1:10">
      <c r="A21" s="78"/>
      <c r="B21" s="78"/>
      <c r="C21" s="78"/>
      <c r="D21" s="78"/>
      <c r="E21" s="78"/>
      <c r="F21" s="78"/>
      <c r="G21" s="78"/>
      <c r="H21" s="78"/>
      <c r="I21" s="78"/>
      <c r="J21" s="78"/>
    </row>
    <row r="22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spans="1:10">
      <c r="A26" s="53"/>
      <c r="B26" s="53"/>
      <c r="C26" s="53"/>
      <c r="D26" s="53"/>
      <c r="E26" s="53"/>
      <c r="F26" s="53"/>
      <c r="G26" s="53"/>
      <c r="H26" s="53"/>
      <c r="I26" s="53"/>
      <c r="J26" s="53"/>
    </row>
    <row r="27" spans="1:10">
      <c r="A27" s="53"/>
      <c r="B27" s="53"/>
      <c r="C27" s="53"/>
      <c r="D27" s="53"/>
      <c r="E27" s="53"/>
      <c r="F27" s="53"/>
      <c r="G27" s="53"/>
      <c r="H27" s="53"/>
      <c r="I27" s="53"/>
      <c r="J27" s="53"/>
    </row>
    <row r="28" spans="1:10">
      <c r="A28" s="53"/>
      <c r="B28" s="53"/>
      <c r="C28" s="53"/>
      <c r="D28" s="53"/>
      <c r="E28" s="53"/>
      <c r="F28" s="53"/>
      <c r="G28" s="53"/>
      <c r="H28" s="53"/>
      <c r="I28" s="53"/>
      <c r="J28" s="53"/>
    </row>
    <row r="29" spans="1:10">
      <c r="A29" s="53"/>
      <c r="B29" s="53"/>
      <c r="C29" s="53"/>
      <c r="D29" s="53"/>
      <c r="E29" s="53"/>
      <c r="F29" s="53"/>
      <c r="G29" s="53"/>
      <c r="H29" s="53"/>
      <c r="I29" s="53"/>
      <c r="J29" s="53"/>
    </row>
    <row r="30" spans="1:10">
      <c r="A30" s="53"/>
      <c r="B30" s="53"/>
      <c r="C30" s="53"/>
      <c r="D30" s="53"/>
      <c r="E30" s="53"/>
      <c r="F30" s="53"/>
      <c r="G30" s="53"/>
      <c r="H30" s="53"/>
      <c r="I30" s="53"/>
      <c r="J30" s="53"/>
    </row>
    <row r="31" spans="1:10">
      <c r="A31" s="53"/>
      <c r="B31" s="53"/>
      <c r="C31" s="53"/>
      <c r="D31" s="53"/>
      <c r="E31" s="53"/>
      <c r="F31" s="53"/>
      <c r="G31" s="53"/>
      <c r="H31" s="53"/>
      <c r="I31" s="53"/>
      <c r="J31" s="53"/>
    </row>
    <row r="32" spans="1:10">
      <c r="A32" s="53"/>
      <c r="B32" s="53"/>
      <c r="C32" s="53"/>
      <c r="D32" s="53"/>
      <c r="E32" s="53"/>
      <c r="F32" s="53"/>
      <c r="G32" s="53"/>
      <c r="H32" s="53"/>
      <c r="I32" s="53"/>
      <c r="J32" s="53"/>
    </row>
    <row r="33" spans="1:10">
      <c r="A33" s="53"/>
      <c r="B33" s="53"/>
      <c r="C33" s="53"/>
      <c r="D33" s="53"/>
      <c r="E33" s="53"/>
      <c r="F33" s="53"/>
      <c r="G33" s="53"/>
      <c r="H33" s="53"/>
      <c r="I33" s="53"/>
      <c r="J33" s="53"/>
    </row>
    <row r="34" spans="1:10">
      <c r="A34" s="53"/>
      <c r="B34" s="53"/>
      <c r="C34" s="53"/>
      <c r="D34" s="53"/>
      <c r="E34" s="53"/>
      <c r="F34" s="53"/>
      <c r="G34" s="53"/>
      <c r="H34" s="53"/>
      <c r="I34" s="53"/>
      <c r="J34" s="53"/>
    </row>
    <row r="35" spans="1:10">
      <c r="A35" s="53"/>
      <c r="B35" s="53"/>
      <c r="C35" s="53"/>
      <c r="D35" s="53"/>
      <c r="E35" s="53"/>
      <c r="F35" s="53"/>
      <c r="G35" s="53"/>
      <c r="H35" s="53"/>
      <c r="I35" s="53"/>
      <c r="J35" s="53"/>
    </row>
    <row r="36" spans="1:10">
      <c r="A36" s="53"/>
      <c r="B36" s="53"/>
      <c r="C36" s="53"/>
      <c r="D36" s="53"/>
      <c r="E36" s="53"/>
      <c r="F36" s="53"/>
      <c r="G36" s="53"/>
      <c r="H36" s="53"/>
      <c r="I36" s="53"/>
      <c r="J36" s="53"/>
    </row>
    <row r="37" spans="1:10">
      <c r="A37" s="53"/>
      <c r="B37" s="53"/>
      <c r="C37" s="53"/>
      <c r="D37" s="53"/>
      <c r="E37" s="53"/>
      <c r="F37" s="53"/>
      <c r="G37" s="53"/>
      <c r="H37" s="53"/>
      <c r="I37" s="53"/>
      <c r="J37" s="53"/>
    </row>
    <row r="38" spans="1:10">
      <c r="A38" s="53"/>
      <c r="B38" s="53"/>
      <c r="C38" s="53"/>
      <c r="D38" s="53"/>
      <c r="E38" s="53"/>
      <c r="F38" s="53"/>
      <c r="G38" s="53"/>
      <c r="H38" s="53"/>
      <c r="I38" s="53"/>
      <c r="J38" s="53"/>
    </row>
    <row r="39" spans="1:10">
      <c r="A39" s="53"/>
      <c r="B39" s="53"/>
      <c r="C39" s="53"/>
      <c r="D39" s="53"/>
      <c r="E39" s="53"/>
      <c r="F39" s="53"/>
      <c r="G39" s="53"/>
      <c r="H39" s="53"/>
      <c r="I39" s="53"/>
      <c r="J39" s="53"/>
    </row>
    <row r="40" spans="1:10">
      <c r="A40" s="53"/>
      <c r="B40" s="53"/>
      <c r="C40" s="53"/>
      <c r="D40" s="53"/>
      <c r="E40" s="53"/>
      <c r="F40" s="53"/>
      <c r="G40" s="53"/>
      <c r="H40" s="53"/>
      <c r="I40" s="53"/>
      <c r="J40" s="53"/>
    </row>
    <row r="41" spans="1:10">
      <c r="A41" s="53"/>
      <c r="B41" s="53"/>
      <c r="C41" s="53"/>
      <c r="D41" s="53"/>
      <c r="E41" s="53"/>
      <c r="F41" s="53"/>
      <c r="G41" s="53"/>
      <c r="H41" s="53"/>
      <c r="I41" s="53"/>
      <c r="J41" s="53"/>
    </row>
    <row r="42" spans="1:10">
      <c r="A42" s="53"/>
      <c r="B42" s="53"/>
      <c r="C42" s="53"/>
      <c r="D42" s="53"/>
      <c r="E42" s="53"/>
      <c r="F42" s="53"/>
      <c r="G42" s="53"/>
      <c r="H42" s="53"/>
      <c r="I42" s="53"/>
      <c r="J42" s="53"/>
    </row>
    <row r="43" spans="1:10">
      <c r="A43" s="53"/>
      <c r="B43" s="53"/>
      <c r="C43" s="53"/>
      <c r="D43" s="53"/>
      <c r="E43" s="53"/>
      <c r="F43" s="53"/>
      <c r="G43" s="53"/>
      <c r="H43" s="53"/>
      <c r="I43" s="53"/>
      <c r="J43" s="53"/>
    </row>
    <row r="44" spans="1:10">
      <c r="A44" s="53"/>
      <c r="B44" s="53"/>
      <c r="C44" s="53"/>
      <c r="D44" s="53"/>
      <c r="E44" s="53"/>
      <c r="F44" s="53"/>
      <c r="G44" s="53"/>
      <c r="H44" s="53"/>
      <c r="I44" s="53"/>
      <c r="J44" s="53"/>
    </row>
    <row r="45" spans="1:10">
      <c r="A45" s="53"/>
      <c r="B45" s="53"/>
      <c r="C45" s="53"/>
      <c r="D45" s="53"/>
      <c r="E45" s="53"/>
      <c r="F45" s="53"/>
      <c r="G45" s="53"/>
      <c r="H45" s="53"/>
      <c r="I45" s="53"/>
      <c r="J45" s="53"/>
    </row>
    <row r="46" spans="1:10">
      <c r="A46" s="53"/>
      <c r="B46" s="53"/>
      <c r="C46" s="53"/>
      <c r="D46" s="53"/>
      <c r="E46" s="53"/>
      <c r="F46" s="53"/>
      <c r="G46" s="53"/>
      <c r="H46" s="53"/>
      <c r="I46" s="53"/>
      <c r="J46" s="53"/>
    </row>
    <row r="47" spans="1:10">
      <c r="A47" s="53"/>
      <c r="B47" s="53"/>
      <c r="C47" s="53"/>
      <c r="D47" s="53"/>
      <c r="E47" s="53"/>
      <c r="F47" s="53"/>
      <c r="G47" s="53"/>
      <c r="H47" s="53"/>
      <c r="I47" s="53"/>
      <c r="J47" s="53"/>
    </row>
    <row r="48" spans="1:10">
      <c r="A48" s="53"/>
      <c r="B48" s="53"/>
      <c r="C48" s="53"/>
      <c r="D48" s="53"/>
      <c r="E48" s="53"/>
      <c r="F48" s="53"/>
      <c r="G48" s="53"/>
      <c r="H48" s="53"/>
      <c r="I48" s="53"/>
      <c r="J48" s="53"/>
    </row>
    <row r="49" spans="1:10">
      <c r="A49" s="53"/>
      <c r="B49" s="53"/>
      <c r="C49" s="53"/>
      <c r="D49" s="53"/>
      <c r="E49" s="53"/>
      <c r="F49" s="53"/>
      <c r="G49" s="53"/>
      <c r="H49" s="53"/>
      <c r="I49" s="53"/>
      <c r="J49" s="53"/>
    </row>
    <row r="50" spans="1:10">
      <c r="A50" s="53"/>
      <c r="B50" s="53"/>
      <c r="C50" s="53"/>
      <c r="D50" s="53"/>
      <c r="E50" s="53"/>
      <c r="F50" s="53"/>
      <c r="G50" s="53"/>
      <c r="H50" s="53"/>
      <c r="I50" s="53"/>
      <c r="J50" s="53"/>
    </row>
    <row r="51" spans="1:10">
      <c r="A51" s="53"/>
      <c r="B51" s="53"/>
      <c r="C51" s="53"/>
      <c r="D51" s="53"/>
      <c r="E51" s="53"/>
      <c r="F51" s="53"/>
      <c r="G51" s="53"/>
      <c r="H51" s="53"/>
      <c r="I51" s="53"/>
      <c r="J51" s="53"/>
    </row>
    <row r="52" spans="1:10">
      <c r="A52" s="53"/>
      <c r="B52" s="53"/>
      <c r="C52" s="53"/>
      <c r="D52" s="53"/>
      <c r="E52" s="53"/>
      <c r="F52" s="53"/>
      <c r="G52" s="53"/>
      <c r="H52" s="53"/>
      <c r="I52" s="53"/>
      <c r="J52" s="53"/>
    </row>
    <row r="53" spans="1:10">
      <c r="A53" s="53"/>
      <c r="B53" s="53"/>
      <c r="C53" s="53"/>
      <c r="D53" s="53"/>
      <c r="E53" s="53"/>
      <c r="F53" s="53"/>
      <c r="G53" s="53"/>
      <c r="H53" s="53"/>
      <c r="I53" s="53"/>
      <c r="J53" s="53"/>
    </row>
    <row r="54" spans="1:10">
      <c r="A54" s="53"/>
      <c r="B54" s="53"/>
      <c r="C54" s="53"/>
      <c r="D54" s="53"/>
      <c r="E54" s="53"/>
      <c r="F54" s="53"/>
      <c r="G54" s="53"/>
      <c r="H54" s="53"/>
      <c r="I54" s="53"/>
      <c r="J54" s="53"/>
    </row>
    <row r="55" spans="1:10">
      <c r="A55" s="53"/>
      <c r="B55" s="53"/>
      <c r="C55" s="53"/>
      <c r="D55" s="53"/>
      <c r="E55" s="53"/>
      <c r="F55" s="53"/>
      <c r="G55" s="53"/>
      <c r="H55" s="53"/>
      <c r="I55" s="53"/>
      <c r="J55" s="53"/>
    </row>
    <row r="56" spans="1:10">
      <c r="A56" s="53"/>
      <c r="B56" s="53"/>
      <c r="C56" s="53"/>
      <c r="D56" s="53"/>
      <c r="E56" s="53"/>
      <c r="F56" s="53"/>
      <c r="G56" s="53"/>
      <c r="H56" s="53"/>
      <c r="I56" s="53"/>
      <c r="J56" s="53"/>
    </row>
    <row r="57" spans="1:10">
      <c r="A57" s="53"/>
      <c r="B57" s="53"/>
      <c r="C57" s="53"/>
      <c r="D57" s="53"/>
      <c r="E57" s="53"/>
      <c r="F57" s="53"/>
      <c r="G57" s="53"/>
      <c r="H57" s="53"/>
      <c r="I57" s="53"/>
      <c r="J57" s="53"/>
    </row>
    <row r="58" spans="1:10">
      <c r="A58" s="53"/>
      <c r="B58" s="53"/>
      <c r="C58" s="53"/>
      <c r="D58" s="53"/>
      <c r="E58" s="53"/>
      <c r="F58" s="53"/>
      <c r="G58" s="53"/>
      <c r="H58" s="53"/>
      <c r="I58" s="53"/>
      <c r="J58" s="53"/>
    </row>
    <row r="59" spans="1:10">
      <c r="A59" s="53"/>
      <c r="B59" s="53"/>
      <c r="C59" s="53"/>
      <c r="D59" s="53"/>
      <c r="E59" s="53"/>
      <c r="F59" s="53"/>
      <c r="G59" s="53"/>
      <c r="H59" s="53"/>
      <c r="I59" s="53"/>
      <c r="J59" s="53"/>
    </row>
    <row r="60" spans="1:10">
      <c r="A60" s="53"/>
      <c r="B60" s="53"/>
      <c r="C60" s="53"/>
      <c r="D60" s="53"/>
      <c r="E60" s="53"/>
      <c r="F60" s="53"/>
      <c r="G60" s="53"/>
      <c r="H60" s="53"/>
      <c r="I60" s="53"/>
      <c r="J60" s="53"/>
    </row>
    <row r="61" spans="1:10">
      <c r="A61" s="53"/>
      <c r="B61" s="53"/>
      <c r="C61" s="53"/>
      <c r="D61" s="53"/>
      <c r="E61" s="53"/>
      <c r="F61" s="53"/>
      <c r="G61" s="53"/>
      <c r="H61" s="53"/>
      <c r="I61" s="53"/>
      <c r="J61" s="53"/>
    </row>
    <row r="62" spans="1:10">
      <c r="A62" s="53"/>
      <c r="B62" s="53"/>
      <c r="C62" s="53"/>
      <c r="D62" s="53"/>
      <c r="E62" s="53"/>
      <c r="F62" s="53"/>
      <c r="G62" s="53"/>
      <c r="H62" s="53"/>
      <c r="I62" s="53"/>
      <c r="J62" s="53"/>
    </row>
    <row r="63" spans="1:10">
      <c r="A63" s="53"/>
      <c r="B63" s="53"/>
      <c r="C63" s="53"/>
      <c r="D63" s="53"/>
      <c r="E63" s="53"/>
      <c r="F63" s="53"/>
      <c r="G63" s="53"/>
      <c r="H63" s="53"/>
      <c r="I63" s="53"/>
      <c r="J63" s="53"/>
    </row>
    <row r="64" spans="1:10">
      <c r="A64" s="53"/>
      <c r="B64" s="53"/>
      <c r="C64" s="53"/>
      <c r="D64" s="53"/>
      <c r="E64" s="53"/>
      <c r="F64" s="53"/>
      <c r="G64" s="53"/>
      <c r="H64" s="53"/>
      <c r="I64" s="53"/>
      <c r="J64" s="53"/>
    </row>
    <row r="65" spans="1:10">
      <c r="A65" s="53"/>
      <c r="B65" s="53"/>
      <c r="C65" s="53"/>
      <c r="D65" s="53"/>
      <c r="E65" s="53"/>
      <c r="F65" s="53"/>
      <c r="G65" s="53"/>
      <c r="H65" s="53"/>
      <c r="I65" s="53"/>
      <c r="J65" s="53"/>
    </row>
    <row r="66" spans="1:10">
      <c r="A66" s="53"/>
      <c r="B66" s="53"/>
      <c r="C66" s="53"/>
      <c r="D66" s="53"/>
      <c r="E66" s="53"/>
      <c r="F66" s="53"/>
      <c r="G66" s="53"/>
      <c r="H66" s="53"/>
      <c r="I66" s="53"/>
      <c r="J66" s="53"/>
    </row>
    <row r="67" spans="1:10">
      <c r="A67" s="53"/>
      <c r="B67" s="53"/>
      <c r="C67" s="53"/>
      <c r="D67" s="53"/>
      <c r="E67" s="53"/>
      <c r="F67" s="53"/>
      <c r="G67" s="53"/>
      <c r="H67" s="53"/>
      <c r="I67" s="53"/>
      <c r="J67" s="53"/>
    </row>
    <row r="68" spans="1:10">
      <c r="A68" s="53"/>
      <c r="B68" s="53"/>
      <c r="C68" s="53"/>
      <c r="D68" s="53"/>
      <c r="E68" s="53"/>
      <c r="F68" s="53"/>
      <c r="G68" s="53"/>
      <c r="H68" s="53"/>
      <c r="I68" s="53"/>
      <c r="J68" s="53"/>
    </row>
    <row r="69" spans="1:10">
      <c r="A69" s="53"/>
      <c r="B69" s="53"/>
      <c r="C69" s="53"/>
      <c r="D69" s="53"/>
      <c r="E69" s="53"/>
      <c r="F69" s="53"/>
      <c r="G69" s="53"/>
      <c r="H69" s="53"/>
      <c r="I69" s="53"/>
      <c r="J69" s="53"/>
    </row>
    <row r="70" spans="1:10">
      <c r="A70" s="53"/>
      <c r="B70" s="53"/>
      <c r="C70" s="53"/>
      <c r="D70" s="53"/>
      <c r="E70" s="53"/>
      <c r="F70" s="53"/>
      <c r="G70" s="53"/>
      <c r="H70" s="53"/>
      <c r="I70" s="53"/>
      <c r="J70" s="53"/>
    </row>
    <row r="71" spans="1:10">
      <c r="A71" s="53"/>
      <c r="B71" s="53"/>
      <c r="C71" s="53"/>
      <c r="D71" s="53"/>
      <c r="E71" s="53"/>
      <c r="F71" s="53"/>
      <c r="G71" s="53"/>
      <c r="H71" s="53"/>
      <c r="I71" s="53"/>
      <c r="J71" s="53"/>
    </row>
    <row r="72" spans="1:10">
      <c r="A72" s="53"/>
      <c r="B72" s="53"/>
      <c r="C72" s="53"/>
      <c r="D72" s="53"/>
      <c r="E72" s="53"/>
      <c r="F72" s="53"/>
      <c r="G72" s="53"/>
      <c r="H72" s="53"/>
      <c r="I72" s="53"/>
      <c r="J72" s="53"/>
    </row>
    <row r="73" spans="1:10">
      <c r="A73" s="53"/>
      <c r="B73" s="53"/>
      <c r="C73" s="53"/>
      <c r="D73" s="53"/>
      <c r="E73" s="53"/>
      <c r="F73" s="53"/>
      <c r="G73" s="53"/>
      <c r="H73" s="53"/>
      <c r="I73" s="53"/>
      <c r="J73" s="53"/>
    </row>
    <row r="74" spans="1:10">
      <c r="A74" s="53"/>
      <c r="B74" s="53"/>
      <c r="C74" s="53"/>
      <c r="D74" s="53"/>
      <c r="E74" s="53"/>
      <c r="F74" s="53"/>
      <c r="G74" s="53"/>
      <c r="H74" s="53"/>
      <c r="I74" s="53"/>
      <c r="J74" s="53"/>
    </row>
    <row r="75" spans="1:10">
      <c r="A75" s="53"/>
      <c r="B75" s="53"/>
      <c r="C75" s="53"/>
      <c r="D75" s="53"/>
      <c r="E75" s="53"/>
      <c r="F75" s="53"/>
      <c r="G75" s="53"/>
      <c r="H75" s="53"/>
      <c r="I75" s="53"/>
      <c r="J75" s="53"/>
    </row>
    <row r="76" spans="1:10">
      <c r="A76" s="53"/>
      <c r="B76" s="53"/>
      <c r="C76" s="53"/>
      <c r="D76" s="53"/>
      <c r="E76" s="53"/>
      <c r="F76" s="53"/>
      <c r="G76" s="53"/>
      <c r="H76" s="53"/>
      <c r="I76" s="53"/>
      <c r="J76" s="53"/>
    </row>
    <row r="77" spans="1:10">
      <c r="A77" s="53"/>
      <c r="B77" s="53"/>
      <c r="C77" s="53"/>
      <c r="D77" s="53"/>
      <c r="E77" s="53"/>
      <c r="F77" s="53"/>
      <c r="G77" s="53"/>
      <c r="H77" s="53"/>
      <c r="I77" s="53"/>
      <c r="J77" s="53"/>
    </row>
    <row r="78" spans="1:10">
      <c r="A78" s="53"/>
      <c r="B78" s="53"/>
      <c r="C78" s="53"/>
      <c r="D78" s="53"/>
      <c r="E78" s="53"/>
      <c r="F78" s="53"/>
      <c r="G78" s="53"/>
      <c r="H78" s="53"/>
      <c r="I78" s="53"/>
      <c r="J78" s="53"/>
    </row>
    <row r="79" spans="1:10">
      <c r="A79" s="53"/>
      <c r="B79" s="53"/>
      <c r="C79" s="53"/>
      <c r="D79" s="53"/>
      <c r="E79" s="53"/>
      <c r="F79" s="53"/>
      <c r="G79" s="53"/>
      <c r="H79" s="53"/>
      <c r="I79" s="53"/>
      <c r="J79" s="53"/>
    </row>
    <row r="80" spans="1:10">
      <c r="A80" s="53"/>
      <c r="B80" s="53"/>
      <c r="C80" s="53"/>
      <c r="D80" s="53"/>
      <c r="E80" s="53"/>
      <c r="F80" s="53"/>
      <c r="G80" s="53"/>
      <c r="H80" s="53"/>
      <c r="I80" s="53"/>
      <c r="J80" s="53"/>
    </row>
    <row r="81" spans="1:10">
      <c r="A81" s="53"/>
      <c r="B81" s="53"/>
      <c r="C81" s="53"/>
      <c r="D81" s="53"/>
      <c r="E81" s="53"/>
      <c r="F81" s="53"/>
      <c r="G81" s="53"/>
      <c r="H81" s="53"/>
      <c r="I81" s="53"/>
      <c r="J81" s="53"/>
    </row>
    <row r="82" spans="1:10">
      <c r="A82" s="53"/>
      <c r="B82" s="53"/>
      <c r="C82" s="53"/>
      <c r="D82" s="53"/>
      <c r="E82" s="53"/>
      <c r="F82" s="53"/>
      <c r="G82" s="53"/>
      <c r="H82" s="53"/>
      <c r="I82" s="53"/>
      <c r="J82" s="53"/>
    </row>
    <row r="83" spans="1:10">
      <c r="A83" s="53"/>
      <c r="B83" s="53"/>
      <c r="C83" s="53"/>
      <c r="D83" s="53"/>
      <c r="E83" s="53"/>
      <c r="F83" s="53"/>
      <c r="G83" s="53"/>
      <c r="H83" s="53"/>
      <c r="I83" s="53"/>
      <c r="J83" s="53"/>
    </row>
    <row r="84" spans="1:10">
      <c r="A84" s="53"/>
      <c r="B84" s="53"/>
      <c r="C84" s="53"/>
      <c r="D84" s="53"/>
      <c r="E84" s="53"/>
      <c r="F84" s="53"/>
      <c r="G84" s="53"/>
      <c r="H84" s="53"/>
      <c r="I84" s="53"/>
      <c r="J84" s="53"/>
    </row>
    <row r="85" spans="1:10">
      <c r="A85" s="53"/>
      <c r="B85" s="53"/>
      <c r="C85" s="53"/>
      <c r="D85" s="53"/>
      <c r="E85" s="53"/>
      <c r="F85" s="53"/>
      <c r="G85" s="53"/>
      <c r="H85" s="53"/>
      <c r="I85" s="53"/>
      <c r="J85" s="53"/>
    </row>
    <row r="86" spans="1:10">
      <c r="A86" s="53"/>
      <c r="B86" s="53"/>
      <c r="C86" s="53"/>
      <c r="D86" s="53"/>
      <c r="E86" s="53"/>
      <c r="F86" s="53"/>
      <c r="G86" s="53"/>
      <c r="H86" s="53"/>
      <c r="I86" s="53"/>
      <c r="J86" s="53"/>
    </row>
    <row r="87" spans="1:10">
      <c r="A87" s="53"/>
      <c r="B87" s="53"/>
      <c r="C87" s="53"/>
      <c r="D87" s="53"/>
      <c r="E87" s="53"/>
      <c r="F87" s="53"/>
      <c r="G87" s="53"/>
      <c r="H87" s="53"/>
      <c r="I87" s="53"/>
      <c r="J87" s="53"/>
    </row>
    <row r="88" spans="1:10">
      <c r="A88" s="53"/>
      <c r="B88" s="53"/>
      <c r="C88" s="53"/>
      <c r="D88" s="53"/>
      <c r="E88" s="53"/>
      <c r="F88" s="53"/>
      <c r="G88" s="53"/>
      <c r="H88" s="53"/>
      <c r="I88" s="53"/>
      <c r="J88" s="53"/>
    </row>
    <row r="89" spans="1:10">
      <c r="A89" s="53"/>
      <c r="B89" s="53"/>
      <c r="C89" s="53"/>
      <c r="D89" s="53"/>
      <c r="E89" s="53"/>
      <c r="F89" s="53"/>
      <c r="G89" s="53"/>
      <c r="H89" s="53"/>
      <c r="I89" s="53"/>
      <c r="J89" s="53"/>
    </row>
    <row r="90" spans="1:10">
      <c r="A90" s="53"/>
      <c r="B90" s="53"/>
      <c r="C90" s="53"/>
      <c r="D90" s="53"/>
      <c r="E90" s="53"/>
      <c r="F90" s="53"/>
      <c r="G90" s="53"/>
      <c r="H90" s="53"/>
      <c r="I90" s="53"/>
      <c r="J90" s="53"/>
    </row>
    <row r="91" spans="1:10">
      <c r="A91" s="53"/>
      <c r="B91" s="53"/>
      <c r="C91" s="53"/>
      <c r="D91" s="53"/>
      <c r="E91" s="53"/>
      <c r="F91" s="53"/>
      <c r="G91" s="53"/>
      <c r="H91" s="53"/>
      <c r="I91" s="53"/>
      <c r="J91" s="53"/>
    </row>
    <row r="92" spans="1:10">
      <c r="A92" s="53"/>
      <c r="B92" s="53"/>
      <c r="C92" s="53"/>
      <c r="D92" s="53"/>
      <c r="E92" s="53"/>
      <c r="F92" s="53"/>
      <c r="G92" s="53"/>
      <c r="H92" s="53"/>
      <c r="I92" s="53"/>
      <c r="J92" s="53"/>
    </row>
    <row r="93" spans="1:10">
      <c r="A93" s="53"/>
      <c r="B93" s="53"/>
      <c r="C93" s="53"/>
      <c r="D93" s="53"/>
      <c r="E93" s="53"/>
      <c r="F93" s="53"/>
      <c r="G93" s="53"/>
      <c r="H93" s="53"/>
      <c r="I93" s="53"/>
      <c r="J93" s="53"/>
    </row>
    <row r="94" spans="1:10">
      <c r="A94" s="53"/>
      <c r="B94" s="53"/>
      <c r="C94" s="53"/>
      <c r="D94" s="53"/>
      <c r="E94" s="53"/>
      <c r="F94" s="53"/>
      <c r="G94" s="53"/>
      <c r="H94" s="53"/>
      <c r="I94" s="53"/>
      <c r="J94" s="53"/>
    </row>
    <row r="95" spans="1:10">
      <c r="A95" s="53"/>
      <c r="B95" s="53"/>
      <c r="C95" s="53"/>
      <c r="D95" s="53"/>
      <c r="E95" s="53"/>
      <c r="F95" s="53"/>
      <c r="G95" s="53"/>
      <c r="H95" s="53"/>
      <c r="I95" s="53"/>
      <c r="J95" s="53"/>
    </row>
    <row r="96" spans="1:10">
      <c r="A96" s="53"/>
      <c r="B96" s="53"/>
      <c r="C96" s="53"/>
      <c r="D96" s="53"/>
      <c r="E96" s="53"/>
      <c r="F96" s="53"/>
      <c r="G96" s="53"/>
      <c r="H96" s="53"/>
      <c r="I96" s="53"/>
      <c r="J96" s="53"/>
    </row>
    <row r="97" spans="1:10">
      <c r="A97" s="53"/>
      <c r="B97" s="53"/>
      <c r="C97" s="53"/>
      <c r="D97" s="53"/>
      <c r="E97" s="53"/>
      <c r="F97" s="53"/>
      <c r="G97" s="53"/>
      <c r="H97" s="53"/>
      <c r="I97" s="53"/>
      <c r="J97" s="53"/>
    </row>
    <row r="98" spans="1:10">
      <c r="A98" s="53"/>
      <c r="B98" s="53"/>
      <c r="C98" s="53"/>
      <c r="D98" s="53"/>
      <c r="E98" s="53"/>
      <c r="F98" s="53"/>
      <c r="G98" s="53"/>
      <c r="H98" s="53"/>
      <c r="I98" s="53"/>
      <c r="J98" s="53"/>
    </row>
    <row r="99" spans="1:10">
      <c r="A99" s="53"/>
      <c r="B99" s="53"/>
      <c r="C99" s="53"/>
      <c r="D99" s="53"/>
      <c r="E99" s="53"/>
      <c r="F99" s="53"/>
      <c r="G99" s="53"/>
      <c r="H99" s="53"/>
      <c r="I99" s="53"/>
      <c r="J99" s="53"/>
    </row>
    <row r="100" spans="1:10">
      <c r="A100" s="53"/>
      <c r="B100" s="53"/>
      <c r="C100" s="53"/>
      <c r="D100" s="53"/>
      <c r="E100" s="53"/>
      <c r="F100" s="53"/>
      <c r="G100" s="53"/>
      <c r="H100" s="53"/>
      <c r="I100" s="53"/>
      <c r="J100" s="53"/>
    </row>
    <row r="101" spans="1:10">
      <c r="A101" s="53"/>
      <c r="B101" s="53"/>
      <c r="C101" s="53"/>
      <c r="D101" s="53"/>
      <c r="E101" s="53"/>
      <c r="F101" s="53"/>
      <c r="G101" s="53"/>
      <c r="H101" s="53"/>
      <c r="I101" s="53"/>
      <c r="J101" s="53"/>
    </row>
    <row r="102" spans="1:10">
      <c r="A102" s="53"/>
      <c r="B102" s="53"/>
      <c r="C102" s="53"/>
      <c r="D102" s="53"/>
      <c r="E102" s="53"/>
      <c r="F102" s="53"/>
      <c r="G102" s="53"/>
      <c r="H102" s="53"/>
      <c r="I102" s="53"/>
      <c r="J102" s="53"/>
    </row>
    <row r="103" spans="1:10">
      <c r="A103" s="53"/>
      <c r="B103" s="53"/>
      <c r="C103" s="53"/>
      <c r="D103" s="53"/>
      <c r="E103" s="53"/>
      <c r="F103" s="53"/>
      <c r="G103" s="53"/>
      <c r="H103" s="53"/>
      <c r="I103" s="53"/>
      <c r="J103" s="53"/>
    </row>
    <row r="104" spans="1:10">
      <c r="A104" s="53"/>
      <c r="B104" s="53"/>
      <c r="C104" s="53"/>
      <c r="D104" s="53"/>
      <c r="E104" s="53"/>
      <c r="F104" s="53"/>
      <c r="G104" s="53"/>
      <c r="H104" s="53"/>
      <c r="I104" s="53"/>
      <c r="J104" s="53"/>
    </row>
    <row r="105" spans="1:10">
      <c r="A105" s="53"/>
      <c r="B105" s="53"/>
      <c r="C105" s="53"/>
      <c r="D105" s="53"/>
      <c r="E105" s="53"/>
      <c r="F105" s="53"/>
      <c r="G105" s="53"/>
      <c r="H105" s="53"/>
      <c r="I105" s="53"/>
      <c r="J105" s="53"/>
    </row>
    <row r="106" spans="1:10">
      <c r="A106" s="53"/>
      <c r="B106" s="53"/>
      <c r="C106" s="53"/>
      <c r="D106" s="53"/>
      <c r="E106" s="53"/>
      <c r="F106" s="53"/>
      <c r="G106" s="53"/>
      <c r="H106" s="53"/>
      <c r="I106" s="53"/>
      <c r="J106" s="53"/>
    </row>
    <row r="107" spans="1:10">
      <c r="A107" s="53"/>
      <c r="B107" s="53"/>
      <c r="C107" s="53"/>
      <c r="D107" s="53"/>
      <c r="E107" s="53"/>
      <c r="F107" s="53"/>
      <c r="G107" s="53"/>
      <c r="H107" s="53"/>
      <c r="I107" s="53"/>
      <c r="J107" s="53"/>
    </row>
    <row r="108" spans="1:10">
      <c r="A108" s="53"/>
      <c r="B108" s="53"/>
      <c r="C108" s="53"/>
      <c r="D108" s="53"/>
      <c r="E108" s="53"/>
      <c r="F108" s="53"/>
      <c r="G108" s="53"/>
      <c r="H108" s="53"/>
      <c r="I108" s="53"/>
      <c r="J108" s="53"/>
    </row>
    <row r="109" spans="1:10">
      <c r="A109" s="53"/>
      <c r="B109" s="53"/>
      <c r="C109" s="53"/>
      <c r="D109" s="53"/>
      <c r="E109" s="53"/>
      <c r="F109" s="53"/>
      <c r="G109" s="53"/>
      <c r="H109" s="53"/>
      <c r="I109" s="53"/>
      <c r="J109" s="53"/>
    </row>
    <row r="110" spans="1:10">
      <c r="A110" s="53"/>
      <c r="B110" s="53"/>
      <c r="C110" s="53"/>
      <c r="D110" s="53"/>
      <c r="E110" s="53"/>
      <c r="F110" s="53"/>
      <c r="G110" s="53"/>
      <c r="H110" s="53"/>
      <c r="I110" s="53"/>
      <c r="J110" s="53"/>
    </row>
    <row r="111" spans="1:10">
      <c r="A111" s="53"/>
      <c r="B111" s="53"/>
      <c r="C111" s="53"/>
      <c r="D111" s="53"/>
      <c r="E111" s="53"/>
      <c r="F111" s="53"/>
      <c r="G111" s="53"/>
      <c r="H111" s="53"/>
      <c r="I111" s="53"/>
      <c r="J111" s="53"/>
    </row>
    <row r="112" spans="1:10">
      <c r="A112" s="53"/>
      <c r="B112" s="53"/>
      <c r="C112" s="53"/>
      <c r="D112" s="53"/>
      <c r="E112" s="53"/>
      <c r="F112" s="53"/>
      <c r="G112" s="53"/>
      <c r="H112" s="53"/>
      <c r="I112" s="53"/>
      <c r="J112" s="53"/>
    </row>
    <row r="113" spans="1:10">
      <c r="A113" s="53"/>
      <c r="B113" s="53"/>
      <c r="C113" s="53"/>
      <c r="D113" s="53"/>
      <c r="E113" s="53"/>
      <c r="F113" s="53"/>
      <c r="G113" s="53"/>
      <c r="H113" s="53"/>
      <c r="I113" s="53"/>
      <c r="J113" s="53"/>
    </row>
    <row r="114" spans="1:10">
      <c r="A114" s="53"/>
      <c r="B114" s="53"/>
      <c r="C114" s="53"/>
      <c r="D114" s="53"/>
      <c r="E114" s="53"/>
      <c r="F114" s="53"/>
      <c r="G114" s="53"/>
      <c r="H114" s="53"/>
      <c r="I114" s="53"/>
      <c r="J114" s="53"/>
    </row>
    <row r="115" spans="1:10">
      <c r="A115" s="53"/>
      <c r="B115" s="53"/>
      <c r="C115" s="53"/>
      <c r="D115" s="53"/>
      <c r="E115" s="53"/>
      <c r="F115" s="53"/>
      <c r="G115" s="53"/>
      <c r="H115" s="53"/>
      <c r="I115" s="53"/>
      <c r="J115" s="53"/>
    </row>
    <row r="116" spans="1:10">
      <c r="A116" s="53"/>
      <c r="B116" s="53"/>
      <c r="C116" s="53"/>
      <c r="D116" s="53"/>
      <c r="E116" s="53"/>
      <c r="F116" s="53"/>
      <c r="G116" s="53"/>
      <c r="H116" s="53"/>
      <c r="I116" s="53"/>
      <c r="J116" s="53"/>
    </row>
    <row r="117" spans="1:10">
      <c r="A117" s="53"/>
      <c r="B117" s="53"/>
      <c r="C117" s="53"/>
      <c r="D117" s="53"/>
      <c r="E117" s="53"/>
      <c r="F117" s="53"/>
      <c r="G117" s="53"/>
      <c r="H117" s="53"/>
      <c r="I117" s="53"/>
      <c r="J117" s="53"/>
    </row>
    <row r="118" spans="1:10">
      <c r="A118" s="53"/>
      <c r="B118" s="53"/>
      <c r="C118" s="53"/>
      <c r="D118" s="53"/>
      <c r="E118" s="53"/>
      <c r="F118" s="53"/>
      <c r="G118" s="53"/>
      <c r="H118" s="53"/>
      <c r="I118" s="53"/>
      <c r="J118" s="53"/>
    </row>
    <row r="119" spans="1:10">
      <c r="A119" s="53"/>
      <c r="B119" s="53"/>
      <c r="C119" s="53"/>
      <c r="D119" s="53"/>
      <c r="E119" s="53"/>
      <c r="F119" s="53"/>
      <c r="G119" s="53"/>
      <c r="H119" s="53"/>
      <c r="I119" s="53"/>
      <c r="J119" s="53"/>
    </row>
    <row r="120" spans="1:10">
      <c r="A120" s="53"/>
      <c r="B120" s="53"/>
      <c r="C120" s="53"/>
      <c r="D120" s="53"/>
      <c r="E120" s="53"/>
      <c r="F120" s="53"/>
      <c r="G120" s="53"/>
      <c r="H120" s="53"/>
      <c r="I120" s="53"/>
      <c r="J120" s="53"/>
    </row>
    <row r="121" spans="1:10">
      <c r="A121" s="53"/>
      <c r="B121" s="53"/>
      <c r="C121" s="53"/>
      <c r="D121" s="53"/>
      <c r="E121" s="53"/>
      <c r="F121" s="53"/>
      <c r="G121" s="53"/>
      <c r="H121" s="53"/>
      <c r="I121" s="53"/>
      <c r="J121" s="53"/>
    </row>
    <row r="122" spans="1:10">
      <c r="A122" s="53"/>
      <c r="B122" s="53"/>
      <c r="C122" s="53"/>
      <c r="D122" s="53"/>
      <c r="E122" s="53"/>
      <c r="F122" s="53"/>
      <c r="G122" s="53"/>
      <c r="H122" s="53"/>
      <c r="I122" s="53"/>
      <c r="J122" s="53"/>
    </row>
    <row r="123" spans="1:10">
      <c r="A123" s="53"/>
      <c r="B123" s="53"/>
      <c r="C123" s="53"/>
      <c r="D123" s="53"/>
      <c r="E123" s="53"/>
      <c r="F123" s="53"/>
      <c r="G123" s="53"/>
      <c r="H123" s="53"/>
      <c r="I123" s="53"/>
      <c r="J123" s="53"/>
    </row>
    <row r="124" spans="1:10">
      <c r="A124" s="53"/>
      <c r="B124" s="53"/>
      <c r="C124" s="53"/>
      <c r="D124" s="53"/>
      <c r="E124" s="53"/>
      <c r="F124" s="53"/>
      <c r="G124" s="53"/>
      <c r="H124" s="53"/>
      <c r="I124" s="53"/>
      <c r="J124" s="53"/>
    </row>
    <row r="125" spans="1:10">
      <c r="A125" s="53"/>
      <c r="B125" s="53"/>
      <c r="C125" s="53"/>
      <c r="D125" s="53"/>
      <c r="E125" s="53"/>
      <c r="F125" s="53"/>
      <c r="G125" s="53"/>
      <c r="H125" s="53"/>
      <c r="I125" s="53"/>
      <c r="J125" s="53"/>
    </row>
    <row r="126" spans="1:10">
      <c r="A126" s="53"/>
      <c r="B126" s="53"/>
      <c r="C126" s="53"/>
      <c r="D126" s="53"/>
      <c r="E126" s="53"/>
      <c r="F126" s="53"/>
      <c r="G126" s="53"/>
      <c r="H126" s="53"/>
      <c r="I126" s="53"/>
      <c r="J126" s="53"/>
    </row>
    <row r="127" spans="1:10">
      <c r="A127" s="53"/>
      <c r="B127" s="53"/>
      <c r="C127" s="53"/>
      <c r="D127" s="53"/>
      <c r="E127" s="53"/>
      <c r="F127" s="53"/>
      <c r="G127" s="53"/>
      <c r="H127" s="53"/>
      <c r="I127" s="53"/>
      <c r="J127" s="53"/>
    </row>
    <row r="128" spans="1:10">
      <c r="A128" s="53"/>
      <c r="B128" s="53"/>
      <c r="C128" s="53"/>
      <c r="D128" s="53"/>
      <c r="E128" s="53"/>
      <c r="F128" s="53"/>
      <c r="G128" s="53"/>
      <c r="H128" s="53"/>
      <c r="I128" s="53"/>
      <c r="J128" s="53"/>
    </row>
    <row r="129" spans="1:10">
      <c r="A129" s="53"/>
      <c r="B129" s="53"/>
      <c r="C129" s="53"/>
      <c r="D129" s="53"/>
      <c r="E129" s="53"/>
      <c r="F129" s="53"/>
      <c r="G129" s="53"/>
      <c r="H129" s="53"/>
      <c r="I129" s="53"/>
      <c r="J129" s="53"/>
    </row>
    <row r="130" spans="1:10">
      <c r="A130" s="53"/>
      <c r="B130" s="53"/>
      <c r="C130" s="53"/>
      <c r="D130" s="53"/>
      <c r="E130" s="53"/>
      <c r="F130" s="53"/>
      <c r="G130" s="53"/>
      <c r="H130" s="53"/>
      <c r="I130" s="53"/>
      <c r="J130" s="53"/>
    </row>
    <row r="131" spans="1:10">
      <c r="A131" s="53"/>
      <c r="B131" s="53"/>
      <c r="C131" s="53"/>
      <c r="D131" s="53"/>
      <c r="E131" s="53"/>
      <c r="F131" s="53"/>
      <c r="G131" s="53"/>
      <c r="H131" s="53"/>
      <c r="I131" s="53"/>
      <c r="J131" s="53"/>
    </row>
    <row r="132" spans="1:10">
      <c r="A132" s="53"/>
      <c r="B132" s="53"/>
      <c r="C132" s="53"/>
      <c r="D132" s="53"/>
      <c r="E132" s="53"/>
      <c r="F132" s="53"/>
      <c r="G132" s="53"/>
      <c r="H132" s="53"/>
      <c r="I132" s="53"/>
      <c r="J132" s="53"/>
    </row>
    <row r="133" spans="1:10">
      <c r="A133" s="53"/>
      <c r="B133" s="53"/>
      <c r="C133" s="53"/>
      <c r="D133" s="53"/>
      <c r="E133" s="53"/>
      <c r="F133" s="53"/>
      <c r="G133" s="53"/>
      <c r="H133" s="53"/>
      <c r="I133" s="53"/>
      <c r="J133" s="53"/>
    </row>
    <row r="134" spans="1:10">
      <c r="A134" s="53"/>
      <c r="B134" s="53"/>
      <c r="C134" s="53"/>
      <c r="D134" s="53"/>
      <c r="E134" s="53"/>
      <c r="F134" s="53"/>
      <c r="G134" s="53"/>
      <c r="H134" s="53"/>
      <c r="I134" s="53"/>
      <c r="J134" s="53"/>
    </row>
    <row r="135" spans="1:10">
      <c r="A135" s="53"/>
      <c r="B135" s="53"/>
      <c r="C135" s="53"/>
      <c r="D135" s="53"/>
      <c r="E135" s="53"/>
      <c r="F135" s="53"/>
      <c r="G135" s="53"/>
      <c r="H135" s="53"/>
      <c r="I135" s="53"/>
      <c r="J135" s="53"/>
    </row>
    <row r="136" spans="1:10">
      <c r="A136" s="53"/>
      <c r="B136" s="53"/>
      <c r="C136" s="53"/>
      <c r="D136" s="53"/>
      <c r="E136" s="53"/>
      <c r="F136" s="53"/>
      <c r="G136" s="53"/>
      <c r="H136" s="53"/>
      <c r="I136" s="53"/>
      <c r="J136" s="53"/>
    </row>
    <row r="137" spans="1:10">
      <c r="A137" s="53"/>
      <c r="B137" s="53"/>
      <c r="C137" s="53"/>
      <c r="D137" s="53"/>
      <c r="E137" s="53"/>
      <c r="F137" s="53"/>
      <c r="G137" s="53"/>
      <c r="H137" s="53"/>
      <c r="I137" s="53"/>
      <c r="J137" s="53"/>
    </row>
    <row r="138" spans="1:10">
      <c r="A138" s="53"/>
      <c r="B138" s="53"/>
      <c r="C138" s="53"/>
      <c r="D138" s="53"/>
      <c r="E138" s="53"/>
      <c r="F138" s="53"/>
      <c r="G138" s="53"/>
      <c r="H138" s="53"/>
      <c r="I138" s="53"/>
      <c r="J138" s="53"/>
    </row>
    <row r="139" spans="1:10">
      <c r="A139" s="53"/>
      <c r="B139" s="53"/>
      <c r="C139" s="53"/>
      <c r="D139" s="53"/>
      <c r="E139" s="53"/>
      <c r="F139" s="53"/>
      <c r="G139" s="53"/>
      <c r="H139" s="53"/>
      <c r="I139" s="53"/>
      <c r="J139" s="53"/>
    </row>
    <row r="140" spans="1:10">
      <c r="A140" s="53"/>
      <c r="B140" s="53"/>
      <c r="C140" s="53"/>
      <c r="D140" s="53"/>
      <c r="E140" s="53"/>
      <c r="F140" s="53"/>
      <c r="G140" s="53"/>
      <c r="H140" s="53"/>
      <c r="I140" s="53"/>
      <c r="J140" s="53"/>
    </row>
    <row r="141" spans="1:10">
      <c r="A141" s="53"/>
      <c r="B141" s="53"/>
      <c r="C141" s="53"/>
      <c r="D141" s="53"/>
      <c r="E141" s="53"/>
      <c r="F141" s="53"/>
      <c r="G141" s="53"/>
      <c r="H141" s="53"/>
      <c r="I141" s="53"/>
      <c r="J141" s="53"/>
    </row>
    <row r="142" spans="1:10">
      <c r="A142" s="53"/>
      <c r="B142" s="53"/>
      <c r="C142" s="53"/>
      <c r="D142" s="53"/>
      <c r="E142" s="53"/>
      <c r="F142" s="53"/>
      <c r="G142" s="53"/>
      <c r="H142" s="53"/>
      <c r="I142" s="53"/>
      <c r="J142" s="53"/>
    </row>
    <row r="143" spans="1:10">
      <c r="A143" s="53"/>
      <c r="B143" s="53"/>
      <c r="C143" s="53"/>
      <c r="D143" s="53"/>
      <c r="E143" s="53"/>
      <c r="F143" s="53"/>
      <c r="G143" s="53"/>
      <c r="H143" s="53"/>
      <c r="I143" s="53"/>
      <c r="J143" s="53"/>
    </row>
    <row r="144" spans="1:10">
      <c r="A144" s="53"/>
      <c r="B144" s="53"/>
      <c r="C144" s="53"/>
      <c r="D144" s="53"/>
      <c r="E144" s="53"/>
      <c r="F144" s="53"/>
      <c r="G144" s="53"/>
      <c r="H144" s="53"/>
      <c r="I144" s="53"/>
      <c r="J144" s="53"/>
    </row>
    <row r="145" spans="1:10">
      <c r="A145" s="53"/>
      <c r="B145" s="53"/>
      <c r="C145" s="53"/>
      <c r="D145" s="53"/>
      <c r="E145" s="53"/>
      <c r="F145" s="53"/>
      <c r="G145" s="53"/>
      <c r="H145" s="53"/>
      <c r="I145" s="53"/>
      <c r="J145" s="53"/>
    </row>
    <row r="146" spans="1:10">
      <c r="A146" s="53"/>
      <c r="B146" s="53"/>
      <c r="C146" s="53"/>
      <c r="D146" s="53"/>
      <c r="E146" s="53"/>
      <c r="F146" s="53"/>
      <c r="G146" s="53"/>
      <c r="H146" s="53"/>
      <c r="I146" s="53"/>
      <c r="J146" s="53"/>
    </row>
    <row r="147" spans="1:10">
      <c r="A147" s="53"/>
      <c r="B147" s="53"/>
      <c r="C147" s="53"/>
      <c r="D147" s="53"/>
      <c r="E147" s="53"/>
      <c r="F147" s="53"/>
      <c r="G147" s="53"/>
      <c r="H147" s="53"/>
      <c r="I147" s="53"/>
      <c r="J147" s="53"/>
    </row>
    <row r="148" spans="1:10">
      <c r="A148" s="53"/>
      <c r="B148" s="53"/>
      <c r="C148" s="53"/>
      <c r="D148" s="53"/>
      <c r="E148" s="53"/>
      <c r="F148" s="53"/>
      <c r="G148" s="53"/>
      <c r="H148" s="53"/>
      <c r="I148" s="53"/>
      <c r="J148" s="53"/>
    </row>
    <row r="149" spans="1:10">
      <c r="A149" s="53"/>
      <c r="B149" s="53"/>
      <c r="C149" s="53"/>
      <c r="D149" s="53"/>
      <c r="E149" s="53"/>
      <c r="F149" s="53"/>
      <c r="G149" s="53"/>
      <c r="H149" s="53"/>
      <c r="I149" s="53"/>
      <c r="J149" s="53"/>
    </row>
    <row r="150" spans="1:10">
      <c r="A150" s="53"/>
      <c r="B150" s="53"/>
      <c r="C150" s="53"/>
      <c r="D150" s="53"/>
      <c r="E150" s="53"/>
      <c r="F150" s="53"/>
      <c r="G150" s="53"/>
      <c r="H150" s="53"/>
      <c r="I150" s="53"/>
      <c r="J150" s="53"/>
    </row>
    <row r="151" spans="1:10">
      <c r="A151" s="53"/>
      <c r="B151" s="53"/>
      <c r="C151" s="53"/>
      <c r="D151" s="53"/>
      <c r="E151" s="53"/>
      <c r="F151" s="53"/>
      <c r="G151" s="53"/>
      <c r="H151" s="53"/>
      <c r="I151" s="53"/>
      <c r="J151" s="53"/>
    </row>
    <row r="152" spans="1:10">
      <c r="A152" s="53"/>
      <c r="B152" s="53"/>
      <c r="C152" s="53"/>
      <c r="D152" s="53"/>
      <c r="E152" s="53"/>
      <c r="F152" s="53"/>
      <c r="G152" s="53"/>
      <c r="H152" s="53"/>
      <c r="I152" s="53"/>
      <c r="J152" s="53"/>
    </row>
    <row r="153" spans="1:10">
      <c r="A153" s="53"/>
      <c r="B153" s="53"/>
      <c r="C153" s="53"/>
      <c r="D153" s="53"/>
      <c r="E153" s="53"/>
      <c r="F153" s="53"/>
      <c r="G153" s="53"/>
      <c r="H153" s="53"/>
      <c r="I153" s="53"/>
      <c r="J153" s="53"/>
    </row>
    <row r="154" spans="1:10">
      <c r="A154" s="53"/>
      <c r="B154" s="53"/>
      <c r="C154" s="53"/>
      <c r="D154" s="53"/>
      <c r="E154" s="53"/>
      <c r="F154" s="53"/>
      <c r="G154" s="53"/>
      <c r="H154" s="53"/>
      <c r="I154" s="53"/>
      <c r="J154" s="53"/>
    </row>
    <row r="155" spans="1:10">
      <c r="A155" s="53"/>
      <c r="B155" s="53"/>
      <c r="C155" s="53"/>
      <c r="D155" s="53"/>
      <c r="E155" s="53"/>
      <c r="F155" s="53"/>
      <c r="G155" s="53"/>
      <c r="H155" s="53"/>
      <c r="I155" s="53"/>
      <c r="J155" s="53"/>
    </row>
    <row r="156" spans="1:10">
      <c r="A156" s="53"/>
      <c r="B156" s="53"/>
      <c r="C156" s="53"/>
      <c r="D156" s="53"/>
      <c r="E156" s="53"/>
      <c r="F156" s="53"/>
      <c r="G156" s="53"/>
      <c r="H156" s="53"/>
      <c r="I156" s="53"/>
      <c r="J156" s="53"/>
    </row>
    <row r="157" spans="1:10">
      <c r="A157" s="53"/>
      <c r="B157" s="53"/>
      <c r="C157" s="53"/>
      <c r="D157" s="53"/>
      <c r="E157" s="53"/>
      <c r="F157" s="53"/>
      <c r="G157" s="53"/>
      <c r="H157" s="53"/>
      <c r="I157" s="53"/>
      <c r="J157" s="53"/>
    </row>
    <row r="158" spans="1:10">
      <c r="A158" s="53"/>
      <c r="B158" s="53"/>
      <c r="C158" s="53"/>
      <c r="D158" s="53"/>
      <c r="E158" s="53"/>
      <c r="F158" s="53"/>
      <c r="G158" s="53"/>
      <c r="H158" s="53"/>
      <c r="I158" s="53"/>
      <c r="J158" s="53"/>
    </row>
    <row r="159" spans="1:10">
      <c r="A159" s="53"/>
      <c r="B159" s="53"/>
      <c r="C159" s="53"/>
      <c r="D159" s="53"/>
      <c r="E159" s="53"/>
      <c r="F159" s="53"/>
      <c r="G159" s="53"/>
      <c r="H159" s="53"/>
      <c r="I159" s="53"/>
      <c r="J159" s="53"/>
    </row>
    <row r="160" spans="1:10">
      <c r="A160" s="53"/>
      <c r="B160" s="53"/>
      <c r="C160" s="53"/>
      <c r="D160" s="53"/>
      <c r="E160" s="53"/>
      <c r="F160" s="53"/>
      <c r="G160" s="53"/>
      <c r="H160" s="53"/>
      <c r="I160" s="53"/>
      <c r="J160" s="53"/>
    </row>
    <row r="161" spans="1:10">
      <c r="A161" s="53"/>
      <c r="B161" s="53"/>
      <c r="C161" s="53"/>
      <c r="D161" s="53"/>
      <c r="E161" s="53"/>
      <c r="F161" s="53"/>
      <c r="G161" s="53"/>
      <c r="H161" s="53"/>
      <c r="I161" s="53"/>
      <c r="J161" s="53"/>
    </row>
    <row r="162" spans="1:10">
      <c r="A162" s="53"/>
      <c r="B162" s="53"/>
      <c r="C162" s="53"/>
      <c r="D162" s="53"/>
      <c r="E162" s="53"/>
      <c r="F162" s="53"/>
      <c r="G162" s="53"/>
      <c r="H162" s="53"/>
      <c r="I162" s="53"/>
      <c r="J162" s="53"/>
    </row>
    <row r="163" spans="1:10">
      <c r="A163" s="53"/>
      <c r="B163" s="53"/>
      <c r="C163" s="53"/>
      <c r="D163" s="53"/>
      <c r="E163" s="53"/>
      <c r="F163" s="53"/>
      <c r="G163" s="53"/>
      <c r="H163" s="53"/>
      <c r="I163" s="53"/>
      <c r="J163" s="53"/>
    </row>
    <row r="164" spans="1:10">
      <c r="A164" s="53"/>
      <c r="B164" s="53"/>
      <c r="C164" s="53"/>
      <c r="D164" s="53"/>
      <c r="E164" s="53"/>
      <c r="F164" s="53"/>
      <c r="G164" s="53"/>
      <c r="H164" s="53"/>
      <c r="I164" s="53"/>
      <c r="J164" s="53"/>
    </row>
    <row r="165" spans="1:10">
      <c r="A165" s="53"/>
      <c r="B165" s="53"/>
      <c r="C165" s="53"/>
      <c r="D165" s="53"/>
      <c r="E165" s="53"/>
      <c r="F165" s="53"/>
      <c r="G165" s="53"/>
      <c r="H165" s="53"/>
      <c r="I165" s="53"/>
      <c r="J165" s="53"/>
    </row>
    <row r="166" spans="1:10">
      <c r="A166" s="53"/>
      <c r="B166" s="53"/>
      <c r="C166" s="53"/>
      <c r="D166" s="53"/>
      <c r="E166" s="53"/>
      <c r="F166" s="53"/>
      <c r="G166" s="53"/>
      <c r="H166" s="53"/>
      <c r="I166" s="53"/>
      <c r="J166" s="53"/>
    </row>
    <row r="167" spans="1:10">
      <c r="A167" s="53"/>
      <c r="B167" s="53"/>
      <c r="C167" s="53"/>
      <c r="D167" s="53"/>
      <c r="E167" s="53"/>
      <c r="F167" s="53"/>
      <c r="G167" s="53"/>
      <c r="H167" s="53"/>
      <c r="I167" s="53"/>
      <c r="J167" s="53"/>
    </row>
    <row r="168" spans="1:10">
      <c r="A168" s="53"/>
      <c r="B168" s="53"/>
      <c r="C168" s="53"/>
      <c r="D168" s="53"/>
      <c r="E168" s="53"/>
      <c r="F168" s="53"/>
      <c r="G168" s="53"/>
      <c r="H168" s="53"/>
      <c r="I168" s="53"/>
      <c r="J168" s="53"/>
    </row>
    <row r="169" spans="1:10">
      <c r="A169" s="53"/>
      <c r="B169" s="53"/>
      <c r="C169" s="53"/>
      <c r="D169" s="53"/>
      <c r="E169" s="53"/>
      <c r="F169" s="53"/>
      <c r="G169" s="53"/>
      <c r="H169" s="53"/>
      <c r="I169" s="53"/>
      <c r="J169" s="53"/>
    </row>
    <row r="170" spans="1:10">
      <c r="A170" s="53"/>
      <c r="B170" s="53"/>
      <c r="C170" s="53"/>
      <c r="D170" s="53"/>
      <c r="E170" s="53"/>
      <c r="F170" s="53"/>
      <c r="G170" s="53"/>
      <c r="H170" s="53"/>
      <c r="I170" s="53"/>
      <c r="J170" s="53"/>
    </row>
    <row r="171" spans="1:10">
      <c r="A171" s="53"/>
      <c r="B171" s="53"/>
      <c r="C171" s="53"/>
      <c r="D171" s="53"/>
      <c r="E171" s="53"/>
      <c r="F171" s="53"/>
      <c r="G171" s="53"/>
      <c r="H171" s="53"/>
      <c r="I171" s="53"/>
      <c r="J171" s="53"/>
    </row>
    <row r="172" spans="1:10">
      <c r="A172" s="53"/>
      <c r="B172" s="53"/>
      <c r="C172" s="53"/>
      <c r="D172" s="53"/>
      <c r="E172" s="53"/>
      <c r="F172" s="53"/>
      <c r="G172" s="53"/>
      <c r="H172" s="53"/>
      <c r="I172" s="53"/>
      <c r="J172" s="53"/>
    </row>
    <row r="173" spans="1:10">
      <c r="A173" s="53"/>
      <c r="B173" s="53"/>
      <c r="C173" s="53"/>
      <c r="D173" s="53"/>
      <c r="E173" s="53"/>
      <c r="F173" s="53"/>
      <c r="G173" s="53"/>
      <c r="H173" s="53"/>
      <c r="I173" s="53"/>
      <c r="J173" s="53"/>
    </row>
    <row r="174" spans="1:10">
      <c r="A174" s="53"/>
      <c r="B174" s="53"/>
      <c r="C174" s="53"/>
      <c r="D174" s="53"/>
      <c r="E174" s="53"/>
      <c r="F174" s="53"/>
      <c r="G174" s="53"/>
      <c r="H174" s="53"/>
      <c r="I174" s="53"/>
      <c r="J174" s="53"/>
    </row>
    <row r="175" spans="1:10">
      <c r="A175" s="53"/>
      <c r="B175" s="53"/>
      <c r="C175" s="53"/>
      <c r="D175" s="53"/>
      <c r="E175" s="53"/>
      <c r="F175" s="53"/>
      <c r="G175" s="53"/>
      <c r="H175" s="53"/>
      <c r="I175" s="53"/>
      <c r="J175" s="53"/>
    </row>
    <row r="176" spans="1:10">
      <c r="A176" s="53"/>
      <c r="B176" s="53"/>
      <c r="C176" s="53"/>
      <c r="D176" s="53"/>
      <c r="E176" s="53"/>
      <c r="F176" s="53"/>
      <c r="G176" s="53"/>
      <c r="H176" s="53"/>
      <c r="I176" s="53"/>
      <c r="J176" s="53"/>
    </row>
    <row r="177" spans="1:10">
      <c r="A177" s="53"/>
      <c r="B177" s="53"/>
      <c r="C177" s="53"/>
      <c r="D177" s="53"/>
      <c r="E177" s="53"/>
      <c r="F177" s="53"/>
      <c r="G177" s="53"/>
      <c r="H177" s="53"/>
      <c r="I177" s="53"/>
      <c r="J177" s="53"/>
    </row>
    <row r="178" spans="1:10">
      <c r="A178" s="53"/>
      <c r="B178" s="53"/>
      <c r="C178" s="53"/>
      <c r="D178" s="53"/>
      <c r="E178" s="53"/>
      <c r="F178" s="53"/>
      <c r="G178" s="53"/>
      <c r="H178" s="53"/>
      <c r="I178" s="53"/>
      <c r="J178" s="53"/>
    </row>
    <row r="179" spans="1:10">
      <c r="A179" s="53"/>
      <c r="B179" s="53"/>
      <c r="C179" s="53"/>
      <c r="D179" s="53"/>
      <c r="E179" s="53"/>
      <c r="F179" s="53"/>
      <c r="G179" s="53"/>
      <c r="H179" s="53"/>
      <c r="I179" s="53"/>
      <c r="J179" s="53"/>
    </row>
    <row r="180" spans="1:10">
      <c r="A180" s="53"/>
      <c r="B180" s="53"/>
      <c r="C180" s="53"/>
      <c r="D180" s="53"/>
      <c r="E180" s="53"/>
      <c r="F180" s="53"/>
      <c r="G180" s="53"/>
      <c r="H180" s="53"/>
      <c r="I180" s="53"/>
      <c r="J180" s="53"/>
    </row>
    <row r="181" spans="1:10">
      <c r="A181" s="53"/>
      <c r="B181" s="53"/>
      <c r="C181" s="53"/>
      <c r="D181" s="53"/>
      <c r="E181" s="53"/>
      <c r="F181" s="53"/>
      <c r="G181" s="53"/>
      <c r="H181" s="53"/>
      <c r="I181" s="53"/>
      <c r="J181" s="53"/>
    </row>
    <row r="182" spans="1:10">
      <c r="A182" s="53"/>
      <c r="B182" s="53"/>
      <c r="C182" s="53"/>
      <c r="D182" s="53"/>
      <c r="E182" s="53"/>
      <c r="F182" s="53"/>
      <c r="G182" s="53"/>
      <c r="H182" s="53"/>
      <c r="I182" s="53"/>
      <c r="J182" s="53"/>
    </row>
    <row r="183" spans="1:10">
      <c r="A183" s="53"/>
      <c r="B183" s="53"/>
      <c r="C183" s="53"/>
      <c r="D183" s="53"/>
      <c r="E183" s="53"/>
      <c r="F183" s="53"/>
      <c r="G183" s="53"/>
      <c r="H183" s="53"/>
      <c r="I183" s="53"/>
      <c r="J183" s="53"/>
    </row>
    <row r="184" spans="1:10">
      <c r="A184" s="53"/>
      <c r="B184" s="53"/>
      <c r="C184" s="53"/>
      <c r="D184" s="53"/>
      <c r="E184" s="53"/>
      <c r="F184" s="53"/>
      <c r="G184" s="53"/>
      <c r="H184" s="53"/>
      <c r="I184" s="53"/>
      <c r="J184" s="53"/>
    </row>
    <row r="185" spans="1:10">
      <c r="A185" s="53"/>
      <c r="B185" s="53"/>
      <c r="C185" s="53"/>
      <c r="D185" s="53"/>
      <c r="E185" s="53"/>
      <c r="F185" s="53"/>
      <c r="G185" s="53"/>
      <c r="H185" s="53"/>
      <c r="I185" s="53"/>
      <c r="J185" s="53"/>
    </row>
    <row r="186" spans="1:10">
      <c r="A186" s="53"/>
      <c r="B186" s="53"/>
      <c r="C186" s="53"/>
      <c r="D186" s="53"/>
      <c r="E186" s="53"/>
      <c r="F186" s="53"/>
      <c r="G186" s="53"/>
      <c r="H186" s="53"/>
      <c r="I186" s="53"/>
      <c r="J186" s="53"/>
    </row>
    <row r="187" spans="1:10">
      <c r="A187" s="53"/>
      <c r="B187" s="53"/>
      <c r="C187" s="53"/>
      <c r="D187" s="53"/>
      <c r="E187" s="53"/>
      <c r="F187" s="53"/>
      <c r="G187" s="53"/>
      <c r="H187" s="53"/>
      <c r="I187" s="53"/>
      <c r="J187" s="53"/>
    </row>
    <row r="188" spans="1:10">
      <c r="A188" s="53"/>
      <c r="B188" s="53"/>
      <c r="C188" s="53"/>
      <c r="D188" s="53"/>
      <c r="E188" s="53"/>
      <c r="F188" s="53"/>
      <c r="G188" s="53"/>
      <c r="H188" s="53"/>
      <c r="I188" s="53"/>
      <c r="J188" s="53"/>
    </row>
    <row r="189" spans="1:10">
      <c r="A189" s="53"/>
      <c r="B189" s="53"/>
      <c r="C189" s="53"/>
      <c r="D189" s="53"/>
      <c r="E189" s="53"/>
      <c r="F189" s="53"/>
      <c r="G189" s="53"/>
      <c r="H189" s="53"/>
      <c r="I189" s="53"/>
      <c r="J189" s="53"/>
    </row>
    <row r="190" spans="1:10">
      <c r="A190" s="53"/>
      <c r="B190" s="53"/>
      <c r="C190" s="53"/>
      <c r="D190" s="53"/>
      <c r="E190" s="53"/>
      <c r="F190" s="53"/>
      <c r="G190" s="53"/>
      <c r="H190" s="53"/>
      <c r="I190" s="53"/>
      <c r="J190" s="53"/>
    </row>
    <row r="191" spans="1:10">
      <c r="A191" s="53"/>
      <c r="B191" s="53"/>
      <c r="C191" s="53"/>
      <c r="D191" s="53"/>
      <c r="E191" s="53"/>
      <c r="F191" s="53"/>
      <c r="G191" s="53"/>
      <c r="H191" s="53"/>
      <c r="I191" s="53"/>
      <c r="J191" s="53"/>
    </row>
    <row r="192" spans="1:10">
      <c r="A192" s="53"/>
      <c r="B192" s="53"/>
      <c r="C192" s="53"/>
      <c r="D192" s="53"/>
      <c r="E192" s="53"/>
      <c r="F192" s="53"/>
      <c r="G192" s="53"/>
      <c r="H192" s="53"/>
      <c r="I192" s="53"/>
      <c r="J192" s="53"/>
    </row>
    <row r="193" spans="1:10">
      <c r="A193" s="53"/>
      <c r="B193" s="53"/>
      <c r="C193" s="53"/>
      <c r="D193" s="53"/>
      <c r="E193" s="53"/>
      <c r="F193" s="53"/>
      <c r="G193" s="53"/>
      <c r="H193" s="53"/>
      <c r="I193" s="53"/>
      <c r="J193" s="53"/>
    </row>
    <row r="194" spans="1:10">
      <c r="A194" s="53"/>
      <c r="B194" s="53"/>
      <c r="C194" s="53"/>
      <c r="D194" s="53"/>
      <c r="E194" s="53"/>
      <c r="F194" s="53"/>
      <c r="G194" s="53"/>
      <c r="H194" s="53"/>
      <c r="I194" s="53"/>
      <c r="J194" s="53"/>
    </row>
    <row r="195" spans="1:10">
      <c r="A195" s="53"/>
      <c r="B195" s="53"/>
      <c r="C195" s="53"/>
      <c r="D195" s="53"/>
      <c r="E195" s="53"/>
      <c r="F195" s="53"/>
      <c r="G195" s="53"/>
      <c r="H195" s="53"/>
      <c r="I195" s="53"/>
      <c r="J195" s="53"/>
    </row>
    <row r="196" spans="1:10">
      <c r="A196" s="53"/>
      <c r="B196" s="53"/>
      <c r="C196" s="53"/>
      <c r="D196" s="53"/>
      <c r="E196" s="53"/>
      <c r="F196" s="53"/>
      <c r="G196" s="53"/>
      <c r="H196" s="53"/>
      <c r="I196" s="53"/>
      <c r="J196" s="53"/>
    </row>
    <row r="197" spans="1:10">
      <c r="A197" s="53"/>
      <c r="B197" s="53"/>
      <c r="C197" s="53"/>
      <c r="D197" s="53"/>
      <c r="E197" s="53"/>
      <c r="F197" s="53"/>
      <c r="G197" s="53"/>
      <c r="H197" s="53"/>
      <c r="I197" s="53"/>
      <c r="J197" s="53"/>
    </row>
    <row r="198" spans="1:10">
      <c r="A198" s="53"/>
      <c r="B198" s="53"/>
      <c r="C198" s="53"/>
      <c r="D198" s="53"/>
      <c r="E198" s="53"/>
      <c r="F198" s="53"/>
      <c r="G198" s="53"/>
      <c r="H198" s="53"/>
      <c r="I198" s="53"/>
      <c r="J198" s="53"/>
    </row>
    <row r="199" spans="1:10">
      <c r="A199" s="53"/>
      <c r="B199" s="53"/>
      <c r="C199" s="53"/>
      <c r="D199" s="53"/>
      <c r="E199" s="53"/>
      <c r="F199" s="53"/>
      <c r="G199" s="53"/>
      <c r="H199" s="53"/>
      <c r="I199" s="53"/>
      <c r="J199" s="53"/>
    </row>
    <row r="200" spans="1:10">
      <c r="A200" s="53"/>
      <c r="B200" s="53"/>
      <c r="C200" s="53"/>
      <c r="D200" s="53"/>
      <c r="E200" s="53"/>
      <c r="F200" s="53"/>
      <c r="G200" s="53"/>
      <c r="H200" s="53"/>
      <c r="I200" s="53"/>
      <c r="J200" s="53"/>
    </row>
  </sheetData>
  <mergeCells count="4">
    <mergeCell ref="A1:J1"/>
    <mergeCell ref="A3:J3"/>
    <mergeCell ref="A5:J5"/>
    <mergeCell ref="A18:J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200"/>
  <sheetViews>
    <sheetView workbookViewId="0"/>
  </sheetViews>
  <sheetFormatPr baseColWidth="10" defaultColWidth="9.140625" defaultRowHeight="15"/>
  <cols>
    <col min="1" max="1" width="11" customWidth="1"/>
    <col min="2" max="2" width="36" customWidth="1"/>
    <col min="3" max="3" width="10" customWidth="1"/>
    <col min="4" max="4" width="15" customWidth="1"/>
    <col min="5" max="5" width="11" customWidth="1"/>
    <col min="6" max="6" width="8" customWidth="1"/>
    <col min="7" max="7" width="12" customWidth="1"/>
    <col min="8" max="8" width="15" customWidth="1"/>
    <col min="9" max="9" width="12" customWidth="1"/>
    <col min="10" max="14" width="9" customWidth="1"/>
    <col min="15" max="16" width="12" customWidth="1"/>
    <col min="17" max="17" width="13" customWidth="1"/>
    <col min="18" max="20" width="14" customWidth="1"/>
    <col min="21" max="21" width="24" customWidth="1"/>
    <col min="22" max="22" width="10" customWidth="1"/>
    <col min="23" max="23" width="32" customWidth="1"/>
    <col min="24" max="24" width="14" customWidth="1"/>
    <col min="25" max="25" width="24" customWidth="1"/>
    <col min="26" max="27" width="12" customWidth="1"/>
    <col min="29" max="29" width="14" customWidth="1"/>
    <col min="30" max="30" width="18" customWidth="1"/>
    <col min="31" max="32" width="14" customWidth="1"/>
  </cols>
  <sheetData>
    <row r="1" spans="1:32" ht="30" customHeight="1">
      <c r="A1" s="77" t="s">
        <v>1930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pans="1:32" ht="24" customHeight="1">
      <c r="A2" s="52" t="s">
        <v>1</v>
      </c>
      <c r="B2" s="52" t="s">
        <v>1592</v>
      </c>
      <c r="C2" s="52" t="s">
        <v>1593</v>
      </c>
      <c r="D2" s="52" t="s">
        <v>1594</v>
      </c>
      <c r="E2" s="52" t="s">
        <v>1595</v>
      </c>
      <c r="F2" s="52" t="s">
        <v>1596</v>
      </c>
      <c r="G2" s="52" t="s">
        <v>1597</v>
      </c>
      <c r="H2" s="52" t="s">
        <v>4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 spans="1:32" ht="33.950000000000003" customHeight="1">
      <c r="A3" s="78" t="s">
        <v>1931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</row>
    <row r="4" spans="1:32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spans="1:32">
      <c r="A5" s="79" t="s">
        <v>1932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C5" s="79" t="s">
        <v>1933</v>
      </c>
      <c r="AD5" s="79"/>
      <c r="AE5" s="79"/>
      <c r="AF5" s="79"/>
    </row>
    <row r="6" spans="1:32" ht="39.950000000000003" customHeight="1">
      <c r="A6" s="54" t="s">
        <v>1934</v>
      </c>
      <c r="B6" s="54" t="s">
        <v>1935</v>
      </c>
      <c r="C6" s="54" t="s">
        <v>1936</v>
      </c>
      <c r="D6" s="54" t="s">
        <v>1937</v>
      </c>
      <c r="E6" s="54" t="s">
        <v>1601</v>
      </c>
      <c r="F6" s="54" t="s">
        <v>509</v>
      </c>
      <c r="G6" s="54" t="s">
        <v>1938</v>
      </c>
      <c r="H6" s="54" t="s">
        <v>1939</v>
      </c>
      <c r="I6" s="54" t="s">
        <v>1721</v>
      </c>
      <c r="J6" s="54" t="s">
        <v>1940</v>
      </c>
      <c r="K6" s="54" t="s">
        <v>1941</v>
      </c>
      <c r="L6" s="54" t="s">
        <v>1942</v>
      </c>
      <c r="M6" s="54" t="s">
        <v>1943</v>
      </c>
      <c r="N6" s="54" t="s">
        <v>1944</v>
      </c>
      <c r="O6" s="54" t="s">
        <v>1661</v>
      </c>
      <c r="P6" s="54" t="s">
        <v>1945</v>
      </c>
      <c r="Q6" s="54" t="s">
        <v>1946</v>
      </c>
      <c r="R6" s="54" t="s">
        <v>1823</v>
      </c>
      <c r="S6" s="54" t="s">
        <v>1947</v>
      </c>
      <c r="T6" s="54" t="s">
        <v>1948</v>
      </c>
      <c r="U6" s="54" t="s">
        <v>1949</v>
      </c>
      <c r="V6" s="54" t="s">
        <v>1121</v>
      </c>
      <c r="W6" s="54" t="s">
        <v>1950</v>
      </c>
      <c r="X6" s="54" t="s">
        <v>1951</v>
      </c>
      <c r="Y6" s="54" t="s">
        <v>1952</v>
      </c>
      <c r="Z6" s="54" t="s">
        <v>538</v>
      </c>
      <c r="AA6" s="54" t="s">
        <v>1953</v>
      </c>
      <c r="AC6" s="54" t="s">
        <v>1721</v>
      </c>
      <c r="AD6" s="54" t="s">
        <v>1954</v>
      </c>
      <c r="AE6" s="54" t="s">
        <v>1955</v>
      </c>
      <c r="AF6" s="54" t="s">
        <v>1956</v>
      </c>
    </row>
    <row r="7" spans="1:32" ht="33.950000000000003" customHeight="1">
      <c r="A7" s="56" t="s">
        <v>864</v>
      </c>
      <c r="B7" s="56" t="s">
        <v>1957</v>
      </c>
      <c r="C7" s="56" t="s">
        <v>1958</v>
      </c>
      <c r="D7" s="56" t="s">
        <v>1610</v>
      </c>
      <c r="E7" s="56" t="s">
        <v>1612</v>
      </c>
      <c r="F7" s="67">
        <v>30</v>
      </c>
      <c r="G7" s="64">
        <v>100</v>
      </c>
      <c r="H7" s="64">
        <v>95</v>
      </c>
      <c r="I7" s="64" t="s">
        <v>237</v>
      </c>
      <c r="J7" s="64"/>
      <c r="K7" s="64"/>
      <c r="L7" s="64"/>
      <c r="M7" s="64"/>
      <c r="N7" s="64"/>
      <c r="O7" s="64"/>
      <c r="P7" s="64"/>
      <c r="Q7" s="56" t="s">
        <v>229</v>
      </c>
      <c r="R7" s="56" t="s">
        <v>106</v>
      </c>
      <c r="S7" s="56" t="s">
        <v>106</v>
      </c>
      <c r="T7" s="68">
        <v>5</v>
      </c>
      <c r="U7" s="56" t="s">
        <v>1959</v>
      </c>
      <c r="V7" s="68">
        <v>1E-3</v>
      </c>
      <c r="W7" s="56" t="s">
        <v>1960</v>
      </c>
      <c r="X7" s="69">
        <f t="shared" ref="X7:X24" si="0">IF(D7="EQ-18",IF(OR(G7="",H7="",G7&lt;=0),"",(G7-H7)*100/G7),IF(D7="EQ-30",IF(OR(F7&lt;60,F7&gt;90,J7="",K7="",L7="",M7="",J7&lt;=0,K7&lt;=0,L7&lt;=0,M7&lt;0),"",0.98*J7+1.16*K7+1.73*L7+0.37*M7-81.69),IF(D7="EQ-31",IF(OR(F7&lt;60,F7&gt;90,J7="",K7="",L7="",M7="",J7&lt;=0,K7&lt;=0,L7&lt;=0,M7&lt;0),"",1.27*J7+0.87*K7+0.98*L7+0.4*M7-62.35),IF(D7="EQ-32",IF(OR(F7&lt;60,F7&gt;90,K7="",K7&lt;=0),"",64.19-0.04*F7+2.02*K7),IF(D7="EQ-33",IF(OR(F7&lt;60,F7&gt;90,K7="",K7&lt;=0),"",84.88-0.24*F7+1.83*K7),IF(D7="EQ-34",IF(OR(F7&lt;60,N7="",N7&lt;=0),"",1.121*N7-0.117*F7+119.6),IF(D7="EQ-35",IF(OR(F7&lt;60,N7="",N7&lt;=0),"",1.263*N7-0.159*F7+107.7),IF(D7="EQ-36",IF(OR(F7&lt;60,O7="",O7&lt;=0),"",2*O7),IF(D7="EQ-37",IF(OR(Q7&lt;&gt;"Sí",H7="",P7="",H7&lt;=0,P7&lt;0,P7&gt;=100),"",H7/(1-P7/100)),"")))))))))</f>
        <v>5</v>
      </c>
      <c r="Y7" s="58" t="str">
        <f>IF(OR(G7="",H7="",I7="",G7&lt;=0),"DATO INCOMPLETO",IF(X7&lt;0,"Aumento de peso / no pérdida",IFERROR(IF(X7&gt;INDEX($AE$7:$AE$10,MATCH(I7,$AC$7:$AC$10,0)),"Pérdida grave",IF(X7&gt;=INDEX($AD$7:$AD$10,MATCH(I7,$AC$7:$AC$10,0)),"Pérdida significativa","Sin pérdida significativa")),"PERIODO NO VÁLIDO")))</f>
        <v>Pérdida significativa</v>
      </c>
      <c r="Z7" s="58" t="str">
        <f t="shared" ref="Z7:Z24" si="1">IF(Y7&lt;&gt;U7,"REVISAR",IF(T7="","APROBADA",IFERROR(IF(ABS(X7-T7)&lt;=V7,"APROBADA","REVISAR"),"REVISAR")))</f>
        <v>APROBADA</v>
      </c>
      <c r="AA7" s="58">
        <f t="shared" ref="AA7:AA24" si="2">IF(C7="CRÍTICA",4,IF(C7="ALTA",3,IF(C7="MEDIA",2,1)))</f>
        <v>3</v>
      </c>
      <c r="AC7" s="56" t="s">
        <v>1726</v>
      </c>
      <c r="AD7" s="56">
        <v>1</v>
      </c>
      <c r="AE7" s="56">
        <v>2</v>
      </c>
      <c r="AF7" s="56" t="s">
        <v>1878</v>
      </c>
    </row>
    <row r="8" spans="1:32" ht="33.950000000000003" customHeight="1">
      <c r="A8" s="56" t="s">
        <v>865</v>
      </c>
      <c r="B8" s="56" t="s">
        <v>1961</v>
      </c>
      <c r="C8" s="56" t="s">
        <v>1962</v>
      </c>
      <c r="D8" s="56" t="s">
        <v>1610</v>
      </c>
      <c r="E8" s="56" t="s">
        <v>1612</v>
      </c>
      <c r="F8" s="67">
        <v>45</v>
      </c>
      <c r="G8" s="64">
        <v>100</v>
      </c>
      <c r="H8" s="64">
        <v>97</v>
      </c>
      <c r="I8" s="64" t="s">
        <v>1726</v>
      </c>
      <c r="J8" s="64"/>
      <c r="K8" s="64"/>
      <c r="L8" s="64"/>
      <c r="M8" s="64"/>
      <c r="N8" s="64"/>
      <c r="O8" s="64"/>
      <c r="P8" s="64"/>
      <c r="Q8" s="56" t="s">
        <v>229</v>
      </c>
      <c r="R8" s="56" t="s">
        <v>106</v>
      </c>
      <c r="S8" s="56" t="s">
        <v>106</v>
      </c>
      <c r="T8" s="68">
        <v>3</v>
      </c>
      <c r="U8" s="56" t="s">
        <v>1963</v>
      </c>
      <c r="V8" s="68">
        <v>1E-3</v>
      </c>
      <c r="W8" s="56" t="s">
        <v>1964</v>
      </c>
      <c r="X8" s="69">
        <f t="shared" si="0"/>
        <v>3</v>
      </c>
      <c r="Y8" s="58" t="str">
        <f>IF(OR(G8="",H8="",I8="",G8&lt;=0),"DATO INCOMPLETO",IF(X8&lt;0,"Aumento de peso / no pérdida",IFERROR(IF(X8&gt;INDEX($AE$7:$AE$10,MATCH(I8,$AC$7:$AC$10,0)),"Pérdida grave",IF(X8&gt;=INDEX($AD$7:$AD$10,MATCH(I8,$AC$7:$AC$10,0)),"Pérdida significativa","Sin pérdida significativa")),"PERIODO NO VÁLIDO")))</f>
        <v>Pérdida grave</v>
      </c>
      <c r="Z8" s="58" t="str">
        <f t="shared" si="1"/>
        <v>APROBADA</v>
      </c>
      <c r="AA8" s="58">
        <f t="shared" si="2"/>
        <v>4</v>
      </c>
      <c r="AC8" s="56" t="s">
        <v>237</v>
      </c>
      <c r="AD8" s="56">
        <v>5</v>
      </c>
      <c r="AE8" s="56">
        <v>5</v>
      </c>
      <c r="AF8" s="56" t="s">
        <v>1878</v>
      </c>
    </row>
    <row r="9" spans="1:32" ht="33.950000000000003" customHeight="1">
      <c r="A9" s="56" t="s">
        <v>866</v>
      </c>
      <c r="B9" s="56" t="s">
        <v>1965</v>
      </c>
      <c r="C9" s="56" t="s">
        <v>1966</v>
      </c>
      <c r="D9" s="56" t="s">
        <v>1610</v>
      </c>
      <c r="E9" s="56" t="s">
        <v>1612</v>
      </c>
      <c r="F9" s="67">
        <v>40</v>
      </c>
      <c r="G9" s="64">
        <v>80</v>
      </c>
      <c r="H9" s="64">
        <v>82</v>
      </c>
      <c r="I9" s="64" t="s">
        <v>237</v>
      </c>
      <c r="J9" s="64"/>
      <c r="K9" s="64"/>
      <c r="L9" s="64"/>
      <c r="M9" s="64"/>
      <c r="N9" s="64"/>
      <c r="O9" s="64"/>
      <c r="P9" s="64"/>
      <c r="Q9" s="56" t="s">
        <v>229</v>
      </c>
      <c r="R9" s="56" t="s">
        <v>106</v>
      </c>
      <c r="S9" s="56" t="s">
        <v>106</v>
      </c>
      <c r="T9" s="68">
        <v>-2.5</v>
      </c>
      <c r="U9" s="56" t="s">
        <v>1967</v>
      </c>
      <c r="V9" s="68">
        <v>1E-3</v>
      </c>
      <c r="W9" s="56" t="s">
        <v>1968</v>
      </c>
      <c r="X9" s="69">
        <f t="shared" si="0"/>
        <v>-2.5</v>
      </c>
      <c r="Y9" s="58" t="str">
        <f>IF(OR(G9="",H9="",I9="",G9&lt;=0),"DATO INCOMPLETO",IF(X9&lt;0,"Aumento de peso / no pérdida",IFERROR(IF(X9&gt;INDEX($AE$7:$AE$10,MATCH(I9,$AC$7:$AC$10,0)),"Pérdida grave",IF(X9&gt;=INDEX($AD$7:$AD$10,MATCH(I9,$AC$7:$AC$10,0)),"Pérdida significativa","Sin pérdida significativa")),"PERIODO NO VÁLIDO")))</f>
        <v>Aumento de peso / no pérdida</v>
      </c>
      <c r="Z9" s="58" t="str">
        <f t="shared" si="1"/>
        <v>APROBADA</v>
      </c>
      <c r="AA9" s="58">
        <f t="shared" si="2"/>
        <v>2</v>
      </c>
      <c r="AC9" s="56" t="s">
        <v>224</v>
      </c>
      <c r="AD9" s="56">
        <v>7.5</v>
      </c>
      <c r="AE9" s="56">
        <v>7.5</v>
      </c>
      <c r="AF9" s="56" t="s">
        <v>1878</v>
      </c>
    </row>
    <row r="10" spans="1:32" ht="33.950000000000003" customHeight="1">
      <c r="A10" s="56" t="s">
        <v>867</v>
      </c>
      <c r="B10" s="56" t="s">
        <v>1969</v>
      </c>
      <c r="C10" s="56" t="s">
        <v>1958</v>
      </c>
      <c r="D10" s="56" t="s">
        <v>1623</v>
      </c>
      <c r="E10" s="56" t="s">
        <v>113</v>
      </c>
      <c r="F10" s="67">
        <v>70</v>
      </c>
      <c r="G10" s="64"/>
      <c r="H10" s="64"/>
      <c r="I10" s="64"/>
      <c r="J10" s="64">
        <v>35</v>
      </c>
      <c r="K10" s="64">
        <v>50</v>
      </c>
      <c r="L10" s="64">
        <v>30</v>
      </c>
      <c r="M10" s="64">
        <v>20</v>
      </c>
      <c r="N10" s="64"/>
      <c r="O10" s="64"/>
      <c r="P10" s="64"/>
      <c r="Q10" s="56" t="s">
        <v>229</v>
      </c>
      <c r="R10" s="56" t="s">
        <v>229</v>
      </c>
      <c r="S10" s="56" t="s">
        <v>229</v>
      </c>
      <c r="T10" s="68">
        <v>69.91</v>
      </c>
      <c r="U10" s="56" t="s">
        <v>1970</v>
      </c>
      <c r="V10" s="68">
        <v>0.01</v>
      </c>
      <c r="W10" s="56" t="s">
        <v>1971</v>
      </c>
      <c r="X10" s="69">
        <f t="shared" si="0"/>
        <v>69.91</v>
      </c>
      <c r="Y10" s="58" t="str">
        <f>IF(OR(F10="",J10="",K10="",L10="",M10=""),"DATO INCOMPLETO",IF(OR(F10&lt;60,F10&gt;90),"FUERA DE DOMINIO","OK CONDICIONAL"))</f>
        <v>OK CONDICIONAL</v>
      </c>
      <c r="Z10" s="58" t="str">
        <f t="shared" si="1"/>
        <v>APROBADA</v>
      </c>
      <c r="AA10" s="58">
        <f t="shared" si="2"/>
        <v>3</v>
      </c>
      <c r="AC10" s="56" t="s">
        <v>1735</v>
      </c>
      <c r="AD10" s="56">
        <v>10</v>
      </c>
      <c r="AE10" s="56">
        <v>10</v>
      </c>
      <c r="AF10" s="56" t="s">
        <v>1878</v>
      </c>
    </row>
    <row r="11" spans="1:32" ht="33.950000000000003" customHeight="1">
      <c r="A11" s="56" t="s">
        <v>894</v>
      </c>
      <c r="B11" s="56" t="s">
        <v>1972</v>
      </c>
      <c r="C11" s="56" t="s">
        <v>1958</v>
      </c>
      <c r="D11" s="56" t="s">
        <v>1635</v>
      </c>
      <c r="E11" s="56" t="s">
        <v>103</v>
      </c>
      <c r="F11" s="67">
        <v>75</v>
      </c>
      <c r="G11" s="64"/>
      <c r="H11" s="64"/>
      <c r="I11" s="64"/>
      <c r="J11" s="64">
        <v>32</v>
      </c>
      <c r="K11" s="64">
        <v>48</v>
      </c>
      <c r="L11" s="64">
        <v>28</v>
      </c>
      <c r="M11" s="64">
        <v>18</v>
      </c>
      <c r="N11" s="64"/>
      <c r="O11" s="64"/>
      <c r="P11" s="64"/>
      <c r="Q11" s="56" t="s">
        <v>229</v>
      </c>
      <c r="R11" s="56" t="s">
        <v>229</v>
      </c>
      <c r="S11" s="56" t="s">
        <v>229</v>
      </c>
      <c r="T11" s="68">
        <v>54.69</v>
      </c>
      <c r="U11" s="56" t="s">
        <v>1970</v>
      </c>
      <c r="V11" s="68">
        <v>0.01</v>
      </c>
      <c r="W11" s="56" t="s">
        <v>1971</v>
      </c>
      <c r="X11" s="69">
        <f t="shared" si="0"/>
        <v>54.690000000000005</v>
      </c>
      <c r="Y11" s="58" t="str">
        <f>IF(OR(F11="",J11="",K11="",L11="",M11=""),"DATO INCOMPLETO",IF(OR(F11&lt;60,F11&gt;90),"FUERA DE DOMINIO","OK CONDICIONAL"))</f>
        <v>OK CONDICIONAL</v>
      </c>
      <c r="Z11" s="58" t="str">
        <f t="shared" si="1"/>
        <v>APROBADA</v>
      </c>
      <c r="AA11" s="58">
        <f t="shared" si="2"/>
        <v>3</v>
      </c>
    </row>
    <row r="12" spans="1:32" ht="33.950000000000003" customHeight="1">
      <c r="A12" s="56" t="s">
        <v>897</v>
      </c>
      <c r="B12" s="56" t="s">
        <v>1973</v>
      </c>
      <c r="C12" s="56" t="s">
        <v>1962</v>
      </c>
      <c r="D12" s="56" t="s">
        <v>1646</v>
      </c>
      <c r="E12" s="56" t="s">
        <v>103</v>
      </c>
      <c r="F12" s="67">
        <v>80</v>
      </c>
      <c r="G12" s="64"/>
      <c r="H12" s="64"/>
      <c r="I12" s="64"/>
      <c r="J12" s="64"/>
      <c r="K12" s="64">
        <v>45</v>
      </c>
      <c r="L12" s="64"/>
      <c r="M12" s="64"/>
      <c r="N12" s="64"/>
      <c r="O12" s="64"/>
      <c r="P12" s="64"/>
      <c r="Q12" s="56" t="s">
        <v>229</v>
      </c>
      <c r="R12" s="56" t="s">
        <v>229</v>
      </c>
      <c r="S12" s="56" t="s">
        <v>229</v>
      </c>
      <c r="T12" s="68">
        <v>148.03</v>
      </c>
      <c r="U12" s="56" t="s">
        <v>1970</v>
      </c>
      <c r="V12" s="68">
        <v>0.01</v>
      </c>
      <c r="W12" s="56" t="s">
        <v>1974</v>
      </c>
      <c r="X12" s="69">
        <f t="shared" si="0"/>
        <v>148.03</v>
      </c>
      <c r="Y12" s="58" t="str">
        <f>IF(OR(F12="",K12=""),"DATO INCOMPLETO",IF(OR(F12&lt;60,F12&gt;90,K12&lt;=0),"FUERA DE DOMINIO","OK CONDICIONAL"))</f>
        <v>OK CONDICIONAL</v>
      </c>
      <c r="Z12" s="58" t="str">
        <f t="shared" si="1"/>
        <v>APROBADA</v>
      </c>
      <c r="AA12" s="58">
        <f t="shared" si="2"/>
        <v>4</v>
      </c>
    </row>
    <row r="13" spans="1:32" ht="33.950000000000003" customHeight="1">
      <c r="A13" s="56" t="s">
        <v>899</v>
      </c>
      <c r="B13" s="56" t="s">
        <v>1975</v>
      </c>
      <c r="C13" s="56" t="s">
        <v>1958</v>
      </c>
      <c r="D13" s="56" t="s">
        <v>1648</v>
      </c>
      <c r="E13" s="56" t="s">
        <v>113</v>
      </c>
      <c r="F13" s="67">
        <v>75</v>
      </c>
      <c r="G13" s="64"/>
      <c r="H13" s="64"/>
      <c r="I13" s="64"/>
      <c r="J13" s="64"/>
      <c r="K13" s="64"/>
      <c r="L13" s="64"/>
      <c r="M13" s="64"/>
      <c r="N13" s="64">
        <v>50</v>
      </c>
      <c r="O13" s="64"/>
      <c r="P13" s="64"/>
      <c r="Q13" s="56" t="s">
        <v>229</v>
      </c>
      <c r="R13" s="56" t="s">
        <v>229</v>
      </c>
      <c r="S13" s="56" t="s">
        <v>229</v>
      </c>
      <c r="T13" s="68">
        <v>166.875</v>
      </c>
      <c r="U13" s="56" t="s">
        <v>1970</v>
      </c>
      <c r="V13" s="68">
        <v>0.01</v>
      </c>
      <c r="W13" s="56" t="s">
        <v>1976</v>
      </c>
      <c r="X13" s="69">
        <f t="shared" si="0"/>
        <v>166.875</v>
      </c>
      <c r="Y13" s="58" t="str">
        <f>IF(OR(F13="",N13=""),"DATO INCOMPLETO",IF(OR(F13&lt;60,N13&lt;=0),"FUERA DE DOMINIO","OK CONDICIONAL"))</f>
        <v>OK CONDICIONAL</v>
      </c>
      <c r="Z13" s="58" t="str">
        <f t="shared" si="1"/>
        <v>APROBADA</v>
      </c>
      <c r="AA13" s="58">
        <f t="shared" si="2"/>
        <v>3</v>
      </c>
    </row>
    <row r="14" spans="1:32" ht="33.950000000000003" customHeight="1">
      <c r="A14" s="56" t="s">
        <v>902</v>
      </c>
      <c r="B14" s="56" t="s">
        <v>1977</v>
      </c>
      <c r="C14" s="56" t="s">
        <v>1958</v>
      </c>
      <c r="D14" s="56" t="s">
        <v>1659</v>
      </c>
      <c r="E14" s="56" t="s">
        <v>103</v>
      </c>
      <c r="F14" s="67">
        <v>85</v>
      </c>
      <c r="G14" s="64"/>
      <c r="H14" s="64"/>
      <c r="I14" s="64"/>
      <c r="J14" s="64"/>
      <c r="K14" s="64"/>
      <c r="L14" s="64"/>
      <c r="M14" s="64"/>
      <c r="N14" s="64"/>
      <c r="O14" s="64">
        <v>82</v>
      </c>
      <c r="P14" s="64"/>
      <c r="Q14" s="56" t="s">
        <v>229</v>
      </c>
      <c r="R14" s="56" t="s">
        <v>229</v>
      </c>
      <c r="S14" s="56" t="s">
        <v>229</v>
      </c>
      <c r="T14" s="68">
        <v>164</v>
      </c>
      <c r="U14" s="56" t="s">
        <v>1970</v>
      </c>
      <c r="V14" s="68">
        <v>0.01</v>
      </c>
      <c r="W14" s="56" t="s">
        <v>1978</v>
      </c>
      <c r="X14" s="69">
        <f t="shared" si="0"/>
        <v>164</v>
      </c>
      <c r="Y14" s="58" t="str">
        <f>IF(OR(F14="",O14=""),"DATO INCOMPLETO",IF(OR(F14&lt;60,O14&lt;=0),"FUERA DE DOMINIO","OK CONDICIONAL"))</f>
        <v>OK CONDICIONAL</v>
      </c>
      <c r="Z14" s="58" t="str">
        <f t="shared" si="1"/>
        <v>APROBADA</v>
      </c>
      <c r="AA14" s="58">
        <f t="shared" si="2"/>
        <v>3</v>
      </c>
    </row>
    <row r="15" spans="1:32" ht="33.950000000000003" customHeight="1">
      <c r="A15" s="56" t="s">
        <v>905</v>
      </c>
      <c r="B15" s="56" t="s">
        <v>1979</v>
      </c>
      <c r="C15" s="56" t="s">
        <v>1962</v>
      </c>
      <c r="D15" s="56" t="s">
        <v>1667</v>
      </c>
      <c r="E15" s="56" t="s">
        <v>1612</v>
      </c>
      <c r="F15" s="67">
        <v>50</v>
      </c>
      <c r="G15" s="64"/>
      <c r="H15" s="64">
        <v>70</v>
      </c>
      <c r="I15" s="64"/>
      <c r="J15" s="64"/>
      <c r="K15" s="64"/>
      <c r="L15" s="64"/>
      <c r="M15" s="64"/>
      <c r="N15" s="64"/>
      <c r="O15" s="64"/>
      <c r="P15" s="64">
        <v>10</v>
      </c>
      <c r="Q15" s="56" t="s">
        <v>229</v>
      </c>
      <c r="R15" s="56" t="s">
        <v>229</v>
      </c>
      <c r="S15" s="56" t="s">
        <v>229</v>
      </c>
      <c r="T15" s="68"/>
      <c r="U15" s="56" t="s">
        <v>1980</v>
      </c>
      <c r="V15" s="68">
        <v>0.01</v>
      </c>
      <c r="W15" s="56" t="s">
        <v>1981</v>
      </c>
      <c r="X15" s="69" t="str">
        <f t="shared" si="0"/>
        <v/>
      </c>
      <c r="Y15" s="58" t="str">
        <f>IF(Q15&lt;&gt;"Sí","BLOQUEADO",IF(OR(H15="",P15=""),"DATO INCOMPLETO",IF(OR(H15&lt;=0,P15&lt;0,P15&gt;=100),"FUERA DE RANGO","CÁLCULO CONDICIONAL")))</f>
        <v>BLOQUEADO</v>
      </c>
      <c r="Z15" s="58" t="str">
        <f t="shared" si="1"/>
        <v>APROBADA</v>
      </c>
      <c r="AA15" s="58">
        <f t="shared" si="2"/>
        <v>4</v>
      </c>
    </row>
    <row r="16" spans="1:32" ht="33.950000000000003" customHeight="1">
      <c r="A16" s="56" t="s">
        <v>907</v>
      </c>
      <c r="B16" s="56" t="s">
        <v>1982</v>
      </c>
      <c r="C16" s="56" t="s">
        <v>1962</v>
      </c>
      <c r="D16" s="56" t="s">
        <v>1667</v>
      </c>
      <c r="E16" s="56" t="s">
        <v>1612</v>
      </c>
      <c r="F16" s="67">
        <v>50</v>
      </c>
      <c r="G16" s="64"/>
      <c r="H16" s="64">
        <v>70</v>
      </c>
      <c r="I16" s="64"/>
      <c r="J16" s="64"/>
      <c r="K16" s="64"/>
      <c r="L16" s="64"/>
      <c r="M16" s="64"/>
      <c r="N16" s="64"/>
      <c r="O16" s="64"/>
      <c r="P16" s="64">
        <v>10</v>
      </c>
      <c r="Q16" s="56" t="s">
        <v>106</v>
      </c>
      <c r="R16" s="56" t="s">
        <v>229</v>
      </c>
      <c r="S16" s="56" t="s">
        <v>229</v>
      </c>
      <c r="T16" s="68">
        <v>77.777777799999996</v>
      </c>
      <c r="U16" s="56" t="s">
        <v>1983</v>
      </c>
      <c r="V16" s="68">
        <v>0.01</v>
      </c>
      <c r="W16" s="56" t="s">
        <v>1984</v>
      </c>
      <c r="X16" s="69">
        <f t="shared" si="0"/>
        <v>77.777777777777771</v>
      </c>
      <c r="Y16" s="58" t="str">
        <f>IF(Q16&lt;&gt;"Sí","BLOQUEADO",IF(OR(H16="",P16=""),"DATO INCOMPLETO",IF(OR(H16&lt;=0,P16&lt;0,P16&gt;=100),"FUERA DE RANGO","CÁLCULO CONDICIONAL")))</f>
        <v>CÁLCULO CONDICIONAL</v>
      </c>
      <c r="Z16" s="58" t="str">
        <f t="shared" si="1"/>
        <v>APROBADA</v>
      </c>
      <c r="AA16" s="58">
        <f t="shared" si="2"/>
        <v>4</v>
      </c>
    </row>
    <row r="17" spans="1:27" ht="33.950000000000003" customHeight="1">
      <c r="A17" s="56" t="s">
        <v>911</v>
      </c>
      <c r="B17" s="56" t="s">
        <v>1985</v>
      </c>
      <c r="C17" s="56" t="s">
        <v>1962</v>
      </c>
      <c r="D17" s="56" t="s">
        <v>1623</v>
      </c>
      <c r="E17" s="56" t="s">
        <v>113</v>
      </c>
      <c r="F17" s="67">
        <v>70</v>
      </c>
      <c r="G17" s="64"/>
      <c r="H17" s="64"/>
      <c r="I17" s="64"/>
      <c r="J17" s="64">
        <v>35</v>
      </c>
      <c r="K17" s="64">
        <v>50</v>
      </c>
      <c r="L17" s="64">
        <v>30</v>
      </c>
      <c r="M17" s="64"/>
      <c r="N17" s="64"/>
      <c r="O17" s="64"/>
      <c r="P17" s="64"/>
      <c r="Q17" s="56" t="s">
        <v>229</v>
      </c>
      <c r="R17" s="56" t="s">
        <v>229</v>
      </c>
      <c r="S17" s="56" t="s">
        <v>229</v>
      </c>
      <c r="T17" s="68"/>
      <c r="U17" s="56" t="s">
        <v>1986</v>
      </c>
      <c r="V17" s="68">
        <v>0.01</v>
      </c>
      <c r="W17" s="56" t="s">
        <v>1987</v>
      </c>
      <c r="X17" s="69" t="str">
        <f t="shared" si="0"/>
        <v/>
      </c>
      <c r="Y17" s="58" t="str">
        <f>IF(OR(F17="",J17="",K17="",L17="",M17=""),"DATO INCOMPLETO",IF(OR(F17&lt;60,F17&gt;90),"FUERA DE DOMINIO","OK CONDICIONAL"))</f>
        <v>DATO INCOMPLETO</v>
      </c>
      <c r="Z17" s="58" t="str">
        <f t="shared" si="1"/>
        <v>APROBADA</v>
      </c>
      <c r="AA17" s="58">
        <f t="shared" si="2"/>
        <v>4</v>
      </c>
    </row>
    <row r="18" spans="1:27" ht="33.950000000000003" customHeight="1">
      <c r="A18" s="56" t="s">
        <v>914</v>
      </c>
      <c r="B18" s="56" t="s">
        <v>1988</v>
      </c>
      <c r="C18" s="56" t="s">
        <v>1962</v>
      </c>
      <c r="D18" s="56" t="s">
        <v>1989</v>
      </c>
      <c r="E18" s="56" t="s">
        <v>103</v>
      </c>
      <c r="F18" s="67">
        <v>70</v>
      </c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56" t="s">
        <v>229</v>
      </c>
      <c r="R18" s="56" t="s">
        <v>229</v>
      </c>
      <c r="S18" s="56" t="s">
        <v>229</v>
      </c>
      <c r="T18" s="68"/>
      <c r="U18" s="56" t="s">
        <v>1990</v>
      </c>
      <c r="V18" s="68">
        <v>0.01</v>
      </c>
      <c r="W18" s="56" t="s">
        <v>1991</v>
      </c>
      <c r="X18" s="69" t="str">
        <f t="shared" si="0"/>
        <v/>
      </c>
      <c r="Y18" s="58" t="str">
        <f>IF(AND(S18="No",K18="",N18="",O18=""),"SIN RUTA APROBADA","RUTA DISPONIBLE")</f>
        <v>SIN RUTA APROBADA</v>
      </c>
      <c r="Z18" s="58" t="str">
        <f t="shared" si="1"/>
        <v>APROBADA</v>
      </c>
      <c r="AA18" s="58">
        <f t="shared" si="2"/>
        <v>4</v>
      </c>
    </row>
    <row r="19" spans="1:27" ht="33.950000000000003" customHeight="1">
      <c r="A19" s="56" t="s">
        <v>916</v>
      </c>
      <c r="B19" s="56" t="s">
        <v>1992</v>
      </c>
      <c r="C19" s="56" t="s">
        <v>1962</v>
      </c>
      <c r="D19" s="56" t="s">
        <v>1623</v>
      </c>
      <c r="E19" s="56" t="s">
        <v>113</v>
      </c>
      <c r="F19" s="67">
        <v>59</v>
      </c>
      <c r="G19" s="64"/>
      <c r="H19" s="64"/>
      <c r="I19" s="64"/>
      <c r="J19" s="64">
        <v>35</v>
      </c>
      <c r="K19" s="64">
        <v>50</v>
      </c>
      <c r="L19" s="64">
        <v>30</v>
      </c>
      <c r="M19" s="64">
        <v>20</v>
      </c>
      <c r="N19" s="64"/>
      <c r="O19" s="64"/>
      <c r="P19" s="64"/>
      <c r="Q19" s="56" t="s">
        <v>229</v>
      </c>
      <c r="R19" s="56" t="s">
        <v>229</v>
      </c>
      <c r="S19" s="56" t="s">
        <v>229</v>
      </c>
      <c r="T19" s="68"/>
      <c r="U19" s="56" t="s">
        <v>1993</v>
      </c>
      <c r="V19" s="68">
        <v>0.01</v>
      </c>
      <c r="W19" s="56" t="s">
        <v>1994</v>
      </c>
      <c r="X19" s="69" t="str">
        <f t="shared" si="0"/>
        <v/>
      </c>
      <c r="Y19" s="58" t="str">
        <f>IF(OR(F19="",J19="",K19="",L19="",M19=""),"DATO INCOMPLETO",IF(OR(F19&lt;60,F19&gt;90),"FUERA DE DOMINIO","OK CONDICIONAL"))</f>
        <v>FUERA DE DOMINIO</v>
      </c>
      <c r="Z19" s="58" t="str">
        <f t="shared" si="1"/>
        <v>APROBADA</v>
      </c>
      <c r="AA19" s="58">
        <f t="shared" si="2"/>
        <v>4</v>
      </c>
    </row>
    <row r="20" spans="1:27" ht="33.950000000000003" customHeight="1">
      <c r="A20" s="56" t="s">
        <v>919</v>
      </c>
      <c r="B20" s="56" t="s">
        <v>1995</v>
      </c>
      <c r="C20" s="56" t="s">
        <v>1962</v>
      </c>
      <c r="D20" s="56" t="s">
        <v>1637</v>
      </c>
      <c r="E20" s="56" t="s">
        <v>113</v>
      </c>
      <c r="F20" s="67">
        <v>91</v>
      </c>
      <c r="G20" s="64"/>
      <c r="H20" s="64"/>
      <c r="I20" s="64"/>
      <c r="J20" s="64"/>
      <c r="K20" s="64">
        <v>50</v>
      </c>
      <c r="L20" s="64"/>
      <c r="M20" s="64"/>
      <c r="N20" s="64"/>
      <c r="O20" s="64"/>
      <c r="P20" s="64"/>
      <c r="Q20" s="56" t="s">
        <v>229</v>
      </c>
      <c r="R20" s="56" t="s">
        <v>229</v>
      </c>
      <c r="S20" s="56" t="s">
        <v>229</v>
      </c>
      <c r="T20" s="68"/>
      <c r="U20" s="56" t="s">
        <v>1993</v>
      </c>
      <c r="V20" s="68">
        <v>0.01</v>
      </c>
      <c r="W20" s="56" t="s">
        <v>1994</v>
      </c>
      <c r="X20" s="69" t="str">
        <f t="shared" si="0"/>
        <v/>
      </c>
      <c r="Y20" s="58" t="str">
        <f>IF(OR(F20="",K20=""),"DATO INCOMPLETO",IF(OR(F20&lt;60,F20&gt;90,K20&lt;=0),"FUERA DE DOMINIO","OK CONDICIONAL"))</f>
        <v>FUERA DE DOMINIO</v>
      </c>
      <c r="Z20" s="58" t="str">
        <f t="shared" si="1"/>
        <v>APROBADA</v>
      </c>
      <c r="AA20" s="58">
        <f t="shared" si="2"/>
        <v>4</v>
      </c>
    </row>
    <row r="21" spans="1:27" ht="33.950000000000003" customHeight="1">
      <c r="A21" s="56" t="s">
        <v>923</v>
      </c>
      <c r="B21" s="56" t="s">
        <v>1996</v>
      </c>
      <c r="C21" s="56" t="s">
        <v>1958</v>
      </c>
      <c r="D21" s="56" t="s">
        <v>1997</v>
      </c>
      <c r="E21" s="56" t="s">
        <v>1612</v>
      </c>
      <c r="F21" s="67">
        <v>75</v>
      </c>
      <c r="G21" s="64"/>
      <c r="H21" s="64"/>
      <c r="I21" s="64"/>
      <c r="J21" s="64">
        <v>30</v>
      </c>
      <c r="K21" s="64"/>
      <c r="L21" s="64"/>
      <c r="M21" s="64"/>
      <c r="N21" s="64"/>
      <c r="O21" s="64"/>
      <c r="P21" s="64"/>
      <c r="Q21" s="56" t="s">
        <v>229</v>
      </c>
      <c r="R21" s="56" t="s">
        <v>229</v>
      </c>
      <c r="S21" s="56" t="s">
        <v>229</v>
      </c>
      <c r="T21" s="68"/>
      <c r="U21" s="56" t="s">
        <v>1998</v>
      </c>
      <c r="V21" s="68">
        <v>0.01</v>
      </c>
      <c r="W21" s="56" t="s">
        <v>1999</v>
      </c>
      <c r="X21" s="69" t="str">
        <f t="shared" si="0"/>
        <v/>
      </c>
      <c r="Y21" s="58" t="str">
        <f>"REGISTRO SIN CLASIFICACIÓN"</f>
        <v>REGISTRO SIN CLASIFICACIÓN</v>
      </c>
      <c r="Z21" s="58" t="str">
        <f t="shared" si="1"/>
        <v>APROBADA</v>
      </c>
      <c r="AA21" s="58">
        <f t="shared" si="2"/>
        <v>3</v>
      </c>
    </row>
    <row r="22" spans="1:27" ht="33.950000000000003" customHeight="1">
      <c r="A22" s="56" t="s">
        <v>925</v>
      </c>
      <c r="B22" s="56" t="s">
        <v>2000</v>
      </c>
      <c r="C22" s="56" t="s">
        <v>1958</v>
      </c>
      <c r="D22" s="56" t="s">
        <v>2001</v>
      </c>
      <c r="E22" s="56" t="s">
        <v>1612</v>
      </c>
      <c r="F22" s="67">
        <v>75</v>
      </c>
      <c r="G22" s="64"/>
      <c r="H22" s="64"/>
      <c r="I22" s="64"/>
      <c r="J22" s="64"/>
      <c r="K22" s="64"/>
      <c r="L22" s="64">
        <v>28</v>
      </c>
      <c r="M22" s="64"/>
      <c r="N22" s="64"/>
      <c r="O22" s="64"/>
      <c r="P22" s="64"/>
      <c r="Q22" s="56" t="s">
        <v>229</v>
      </c>
      <c r="R22" s="56" t="s">
        <v>229</v>
      </c>
      <c r="S22" s="56" t="s">
        <v>229</v>
      </c>
      <c r="T22" s="68"/>
      <c r="U22" s="56" t="s">
        <v>1998</v>
      </c>
      <c r="V22" s="68">
        <v>0.01</v>
      </c>
      <c r="W22" s="56" t="s">
        <v>2002</v>
      </c>
      <c r="X22" s="69" t="str">
        <f t="shared" si="0"/>
        <v/>
      </c>
      <c r="Y22" s="58" t="str">
        <f>"REGISTRO SIN CLASIFICACIÓN"</f>
        <v>REGISTRO SIN CLASIFICACIÓN</v>
      </c>
      <c r="Z22" s="58" t="str">
        <f t="shared" si="1"/>
        <v>APROBADA</v>
      </c>
      <c r="AA22" s="58">
        <f t="shared" si="2"/>
        <v>3</v>
      </c>
    </row>
    <row r="23" spans="1:27" ht="33.950000000000003" customHeight="1">
      <c r="A23" s="56" t="s">
        <v>927</v>
      </c>
      <c r="B23" s="56" t="s">
        <v>2003</v>
      </c>
      <c r="C23" s="56" t="s">
        <v>1962</v>
      </c>
      <c r="D23" s="56" t="s">
        <v>2004</v>
      </c>
      <c r="E23" s="56" t="s">
        <v>1612</v>
      </c>
      <c r="F23" s="67">
        <v>75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56" t="s">
        <v>229</v>
      </c>
      <c r="R23" s="56" t="s">
        <v>229</v>
      </c>
      <c r="S23" s="56" t="s">
        <v>229</v>
      </c>
      <c r="T23" s="68"/>
      <c r="U23" s="56" t="s">
        <v>1980</v>
      </c>
      <c r="V23" s="68">
        <v>0.01</v>
      </c>
      <c r="W23" s="56" t="s">
        <v>2005</v>
      </c>
      <c r="X23" s="69" t="str">
        <f t="shared" si="0"/>
        <v/>
      </c>
      <c r="Y23" s="58" t="str">
        <f>"BLOQUEADO"</f>
        <v>BLOQUEADO</v>
      </c>
      <c r="Z23" s="58" t="str">
        <f t="shared" si="1"/>
        <v>APROBADA</v>
      </c>
      <c r="AA23" s="58">
        <f t="shared" si="2"/>
        <v>4</v>
      </c>
    </row>
    <row r="24" spans="1:27" ht="33.950000000000003" customHeight="1">
      <c r="A24" s="56" t="s">
        <v>929</v>
      </c>
      <c r="B24" s="56" t="s">
        <v>2006</v>
      </c>
      <c r="C24" s="56" t="s">
        <v>1962</v>
      </c>
      <c r="D24" s="56" t="s">
        <v>1667</v>
      </c>
      <c r="E24" s="56" t="s">
        <v>1612</v>
      </c>
      <c r="F24" s="67">
        <v>50</v>
      </c>
      <c r="G24" s="64"/>
      <c r="H24" s="64">
        <v>70</v>
      </c>
      <c r="I24" s="64"/>
      <c r="J24" s="64"/>
      <c r="K24" s="64"/>
      <c r="L24" s="64"/>
      <c r="M24" s="64"/>
      <c r="N24" s="64"/>
      <c r="O24" s="64"/>
      <c r="P24" s="64">
        <v>100</v>
      </c>
      <c r="Q24" s="56" t="s">
        <v>106</v>
      </c>
      <c r="R24" s="56" t="s">
        <v>229</v>
      </c>
      <c r="S24" s="56" t="s">
        <v>229</v>
      </c>
      <c r="T24" s="68"/>
      <c r="U24" s="56" t="s">
        <v>2007</v>
      </c>
      <c r="V24" s="68">
        <v>0.01</v>
      </c>
      <c r="W24" s="56" t="s">
        <v>2008</v>
      </c>
      <c r="X24" s="69" t="str">
        <f t="shared" si="0"/>
        <v/>
      </c>
      <c r="Y24" s="58" t="str">
        <f>IF(Q24&lt;&gt;"Sí","BLOQUEADO",IF(OR(H24="",P24=""),"DATO INCOMPLETO",IF(OR(H24&lt;=0,P24&lt;0,P24&gt;=100),"FUERA DE RANGO","CÁLCULO CONDICIONAL")))</f>
        <v>FUERA DE RANGO</v>
      </c>
      <c r="Z24" s="58" t="str">
        <f t="shared" si="1"/>
        <v>APROBADA</v>
      </c>
      <c r="AA24" s="58">
        <f t="shared" si="2"/>
        <v>4</v>
      </c>
    </row>
    <row r="25" spans="1:27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>
      <c r="A27" s="79" t="s">
        <v>2009</v>
      </c>
      <c r="B27" s="79"/>
      <c r="C27" s="79"/>
      <c r="D27" s="79"/>
      <c r="E27" s="79"/>
      <c r="F27" s="79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>
      <c r="A28" s="59" t="s">
        <v>2010</v>
      </c>
      <c r="B28" s="58">
        <f>COUNTIFS(A7:A24,"&lt;&gt;")</f>
        <v>18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>
      <c r="A29" s="59" t="s">
        <v>1111</v>
      </c>
      <c r="B29" s="58">
        <f>COUNTIFS(Z7:Z24,"APROBADA")</f>
        <v>18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>
      <c r="A30" s="59" t="s">
        <v>191</v>
      </c>
      <c r="B30" s="58">
        <f>COUNTIFS(Z7:Z24,"REVISAR")</f>
        <v>0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ht="24">
      <c r="A31" s="59" t="s">
        <v>2011</v>
      </c>
      <c r="B31" s="58">
        <f>COUNTIFS(C7:C24,"CRÍTICA",Z7:Z24,"APROBADA")</f>
        <v>10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ht="36">
      <c r="A32" s="59" t="s">
        <v>2012</v>
      </c>
      <c r="B32" s="58" t="s">
        <v>2013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1:27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1:27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1:27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1:27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1:27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1:27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1:27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1:27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1:27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1:27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spans="1:2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1:27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1:27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1:27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1:27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1:27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27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1:27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spans="1:27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1:27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1:2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1:27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1:27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1:27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1:27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1:27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1:27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spans="1:27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2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27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27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27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1:27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1:27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1:27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1:27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1:27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1:27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1:2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1:27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1:27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1:27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1:27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1:27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1:27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1:27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1:27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spans="1:27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1:2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1:27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spans="1:27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1:27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1:2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1:27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1:27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1:27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1:27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1:27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1:27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1:27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1:27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1:27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1:2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1:27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1:27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1:27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1:27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1:27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1:27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1:27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1:27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1:27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1: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1:27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1:27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1:27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1:27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1:27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1:27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1:27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1:27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1:27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1:27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1:27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1:27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1:27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1:27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1:2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1:27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1:27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1:27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1:27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1:27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1:27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1:27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1:27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1:27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1:2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1:27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1:27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1:27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1:27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1:27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1:27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1:27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1:27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1:27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1:2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1:27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1:27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1:27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1:27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1:27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1:27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1:27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1:27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1:27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1:2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1:27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1:27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1:27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1:27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1:27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1:27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1:27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1:27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1:27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1:2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1:27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1:27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1:27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</sheetData>
  <mergeCells count="5">
    <mergeCell ref="A1:AA1"/>
    <mergeCell ref="A3:AA3"/>
    <mergeCell ref="A5:AA5"/>
    <mergeCell ref="AC5:AF5"/>
    <mergeCell ref="A27:F27"/>
  </mergeCells>
  <conditionalFormatting sqref="Z7:Z24">
    <cfRule type="expression" dxfId="1" priority="1">
      <formula>Z7="APROBADA"</formula>
    </cfRule>
    <cfRule type="expression" dxfId="0" priority="2">
      <formula>Z7="REVISAR"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46</vt:i4>
      </vt:variant>
    </vt:vector>
  </HeadingPairs>
  <TitlesOfParts>
    <vt:vector size="77" baseType="lpstr">
      <vt:lpstr>INICIO</vt:lpstr>
      <vt:lpstr>PACIENTES</vt:lpstr>
      <vt:lpstr>EVALUACION</vt:lpstr>
      <vt:lpstr>ANTECEDENTES</vt:lpstr>
      <vt:lpstr>ANTROPOMETRIA</vt:lpstr>
      <vt:lpstr>BIOQUIMICA</vt:lpstr>
      <vt:lpstr>CLINICA</vt:lpstr>
      <vt:lpstr>ALIMENTACION</vt:lpstr>
      <vt:lpstr>ACTIVIDAD</vt:lpstr>
      <vt:lpstr>FARMACOS</vt:lpstr>
      <vt:lpstr>DIAGNOSTICO</vt:lpstr>
      <vt:lpstr>OBJETIVOS</vt:lpstr>
      <vt:lpstr>INTERVENCION</vt:lpstr>
      <vt:lpstr>SEGUIMIENTO</vt:lpstr>
      <vt:lpstr>RESUMEN</vt:lpstr>
      <vt:lpstr>CALCULOS</vt:lpstr>
      <vt:lpstr>CATALOGOS</vt:lpstr>
      <vt:lpstr>PRUEBAS</vt:lpstr>
      <vt:lpstr>CONFIG</vt:lpstr>
      <vt:lpstr>CHANGELOG</vt:lpstr>
      <vt:lpstr>FUENTES</vt:lpstr>
      <vt:lpstr>AUDITORIA_COMERCIAL</vt:lpstr>
      <vt:lpstr>COMPATIBILIDAD</vt:lpstr>
      <vt:lpstr>CRITERIOS_CLINICOS</vt:lpstr>
      <vt:lpstr>ADULTO</vt:lpstr>
      <vt:lpstr>ADULTO_MAYOR</vt:lpstr>
      <vt:lpstr>ESTIMACION_PESO_TALLA</vt:lpstr>
      <vt:lpstr>AMPUTACIONES</vt:lpstr>
      <vt:lpstr>SITUACIONES_ESPECIALES</vt:lpstr>
      <vt:lpstr>FUENTES_UDD</vt:lpstr>
      <vt:lpstr>PRUEBAS_UDD</vt:lpstr>
      <vt:lpstr>CFG_ActivarActividad</vt:lpstr>
      <vt:lpstr>CFG_ActivarBioquimica</vt:lpstr>
      <vt:lpstr>CFG_ActivarComposicion</vt:lpstr>
      <vt:lpstr>CFG_ActivarFarmacos</vt:lpstr>
      <vt:lpstr>CFG_ActivarGraficos</vt:lpstr>
      <vt:lpstr>CFG_ActivarIdentificacionDirecta</vt:lpstr>
      <vt:lpstr>CFG_ActivarR24H</vt:lpstr>
      <vt:lpstr>CFG_ActivarSuplementos</vt:lpstr>
      <vt:lpstr>CFG_CaderaMax</vt:lpstr>
      <vt:lpstr>CFG_CaderaMin</vt:lpstr>
      <vt:lpstr>CFG_CinturaMax</vt:lpstr>
      <vt:lpstr>CFG_CinturaMin</vt:lpstr>
      <vt:lpstr>CFG_EdadMax</vt:lpstr>
      <vt:lpstr>CFG_EdadMin</vt:lpstr>
      <vt:lpstr>CFG_EstaturaMax</vt:lpstr>
      <vt:lpstr>CFG_EstaturaMin</vt:lpstr>
      <vt:lpstr>CFG_GrasaMax</vt:lpstr>
      <vt:lpstr>CFG_GrasaMin</vt:lpstr>
      <vt:lpstr>CFG_MaxGrafico</vt:lpstr>
      <vt:lpstr>CFG_PermitirFechasFuturas</vt:lpstr>
      <vt:lpstr>CFG_PesoMax</vt:lpstr>
      <vt:lpstr>CFG_PesoMin</vt:lpstr>
      <vt:lpstr>CFG_Tolerancia</vt:lpstr>
      <vt:lpstr>Lista_CategoriaAntecedente</vt:lpstr>
      <vt:lpstr>Lista_CategoriaIntervencion</vt:lpstr>
      <vt:lpstr>Lista_Confiabilidad</vt:lpstr>
      <vt:lpstr>Lista_Consentimiento</vt:lpstr>
      <vt:lpstr>Lista_EstadoBio</vt:lpstr>
      <vt:lpstr>Lista_EstadoDiagnostico</vt:lpstr>
      <vt:lpstr>Lista_EstadoObjetivo</vt:lpstr>
      <vt:lpstr>Lista_EstadoPaciente</vt:lpstr>
      <vt:lpstr>Lista_EstadoRegistro</vt:lpstr>
      <vt:lpstr>Lista_EvaluationID</vt:lpstr>
      <vt:lpstr>Lista_FuenteDato</vt:lpstr>
      <vt:lpstr>Lista_Intensidad</vt:lpstr>
      <vt:lpstr>Lista_Modalidad</vt:lpstr>
      <vt:lpstr>Lista_PatientID</vt:lpstr>
      <vt:lpstr>Lista_Presencia</vt:lpstr>
      <vt:lpstr>Lista_Prioridad</vt:lpstr>
      <vt:lpstr>Lista_SiNoNA</vt:lpstr>
      <vt:lpstr>Lista_SistemaClinico</vt:lpstr>
      <vt:lpstr>Lista_TiempoComida</vt:lpstr>
      <vt:lpstr>Lista_TipoActividad</vt:lpstr>
      <vt:lpstr>Lista_TipoDia</vt:lpstr>
      <vt:lpstr>Lista_TipoEvaluacion</vt:lpstr>
      <vt:lpstr>Lista_Unidad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2026-08-14T23:22:22Z</dcterms:created>
  <dcterms:modified xsi:type="dcterms:W3CDTF">2026-08-15T02:07:08Z</dcterms:modified>
</cp:coreProperties>
</file>
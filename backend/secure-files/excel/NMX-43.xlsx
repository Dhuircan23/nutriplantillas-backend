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54036.40822\"/>
    </mc:Choice>
  </mc:AlternateContent>
  <xr:revisionPtr revIDLastSave="0" documentId="13_ncr:1_{60EF3EE7-C7B0-445B-8CE2-E6D77917BC3E}" xr6:coauthVersionLast="47" xr6:coauthVersionMax="47" xr10:uidLastSave="{00000000-0000-0000-0000-000000000000}"/>
  <bookViews>
    <workbookView xWindow="-120" yWindow="-120" windowWidth="29040" windowHeight="15840" tabRatio="859" firstSheet="14" activeTab="40" xr2:uid="{00000000-000D-0000-FFFF-FFFF00000000}"/>
  </bookViews>
  <sheets>
    <sheet name="DATOS" sheetId="2" r:id="rId1"/>
    <sheet name="INICIO" sheetId="1" r:id="rId2"/>
    <sheet name="ENERGÍA" sheetId="3" r:id="rId3"/>
    <sheet name="MACRONUTRIENTES" sheetId="4" r:id="rId4"/>
    <sheet name="ÍNDICE_CARGA_GLICÉMICA" sheetId="5" r:id="rId5"/>
    <sheet name="AGUA_FIBRA" sheetId="6" r:id="rId6"/>
    <sheet name="NUTRIENTES" sheetId="7" r:id="rId7"/>
    <sheet name="FICHA_NUTRIENTE" sheetId="8" r:id="rId8"/>
    <sheet name="FUENTES_ALIMENTARIAS" sheetId="9" r:id="rId9"/>
    <sheet name="REQUERIMIENTOS" sheetId="10" r:id="rId10"/>
    <sheet name="INTERACCIONES" sheetId="11" r:id="rId11"/>
    <sheet name="BIOMARCADORES" sheetId="12" r:id="rId12"/>
    <sheet name="CASOS_CLÍNICOS" sheetId="13" r:id="rId13"/>
    <sheet name="RESULTADOS" sheetId="14" r:id="rId14"/>
    <sheet name="RESUMEN_ESTUDIO" sheetId="15" r:id="rId15"/>
    <sheet name="FUENTES" sheetId="16" r:id="rId16"/>
    <sheet name="PRUEBAS" sheetId="17" r:id="rId17"/>
    <sheet name="CONFIG" sheetId="18" state="hidden" r:id="rId18"/>
    <sheet name="DICCIONARIO" sheetId="19" r:id="rId19"/>
    <sheet name="OBSERVACIONES" sheetId="20" r:id="rId20"/>
    <sheet name="CHANGELOG" sheetId="21" state="hidden" r:id="rId21"/>
    <sheet name="ALIMENTOS_INTA" sheetId="22" state="hidden" r:id="rId22"/>
    <sheet name="CALCULOS_ENERGÍA" sheetId="23" state="hidden" r:id="rId23"/>
    <sheet name="CALCULOS_NUTRIENTES" sheetId="24" state="hidden" r:id="rId24"/>
    <sheet name="CALCULOS_ADECUACIÓN" sheetId="25" state="hidden" r:id="rId25"/>
    <sheet name="DRI_BASE" sheetId="26" state="hidden" r:id="rId26"/>
    <sheet name="FICHAS_BASE" sheetId="27" state="hidden" r:id="rId27"/>
    <sheet name="INTERACCIONES_BASE" sheetId="28" r:id="rId28"/>
    <sheet name="BIOMARCADORES_BASE" sheetId="29" state="hidden" r:id="rId29"/>
    <sheet name="CASOS_BASE" sheetId="30" state="hidden" r:id="rId30"/>
    <sheet name="IG_BASE" sheetId="31" r:id="rId31"/>
    <sheet name="LISTAS" sheetId="32" state="hidden" r:id="rId32"/>
    <sheet name="DOCUMENTACIÓN" sheetId="33" state="hidden" r:id="rId33"/>
    <sheet name="COBERTURA" sheetId="34" state="hidden" r:id="rId34"/>
    <sheet name="AUDITORÍA_FINAL" sheetId="35" state="hidden" r:id="rId35"/>
    <sheet name="INDICE_UDD" sheetId="36" state="hidden" r:id="rId36"/>
    <sheet name="FICHAS_ECUACIONES" sheetId="37" r:id="rId37"/>
    <sheet name="COMPARADOR_CRITERIOS" sheetId="38" r:id="rId38"/>
    <sheet name="CASOS_CICLO_VITAL" sheetId="39" state="hidden" r:id="rId39"/>
    <sheet name="PROTOCOLOS_RESUMIDOS" sheetId="40" r:id="rId40"/>
    <sheet name="GLOSARIO_CLINICO" sheetId="41" r:id="rId41"/>
    <sheet name="FUENTES_UDD" sheetId="42" state="hidden" r:id="rId42"/>
    <sheet name="COBERTURA_UDD" sheetId="43" state="hidden" r:id="rId43"/>
    <sheet name="PRUEBAS_UDD" sheetId="44" state="hidden" r:id="rId44"/>
    <sheet name="EJEMPLOS_CASOS" sheetId="45" state="hidden" r:id="rId4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45" l="1"/>
  <c r="J5" i="45"/>
  <c r="I5" i="45"/>
  <c r="H5" i="45"/>
  <c r="G5" i="45"/>
  <c r="F5" i="45"/>
  <c r="E5" i="45"/>
  <c r="D5" i="45"/>
  <c r="C5" i="45"/>
  <c r="B5" i="45"/>
  <c r="A5" i="45"/>
  <c r="H5" i="35"/>
  <c r="G5" i="35"/>
  <c r="F5" i="35"/>
  <c r="E5" i="35"/>
  <c r="D5" i="35"/>
  <c r="C5" i="35"/>
  <c r="B5" i="35"/>
  <c r="A5" i="35"/>
  <c r="G9" i="34"/>
  <c r="E9" i="34"/>
  <c r="C9" i="34"/>
  <c r="A9" i="34"/>
  <c r="J5" i="34"/>
  <c r="I5" i="34"/>
  <c r="H5" i="34"/>
  <c r="G5" i="34"/>
  <c r="F5" i="34"/>
  <c r="E5" i="34"/>
  <c r="D5" i="34"/>
  <c r="C5" i="34"/>
  <c r="B5" i="34"/>
  <c r="A5" i="34"/>
  <c r="M9" i="33"/>
  <c r="I9" i="33"/>
  <c r="E9" i="33"/>
  <c r="A9" i="33"/>
  <c r="J5" i="33"/>
  <c r="I5" i="33"/>
  <c r="H5" i="33"/>
  <c r="G5" i="33"/>
  <c r="F5" i="33"/>
  <c r="E5" i="33"/>
  <c r="D5" i="33"/>
  <c r="C5" i="33"/>
  <c r="B5" i="33"/>
  <c r="A5" i="33"/>
  <c r="I25" i="25"/>
  <c r="I24" i="25"/>
  <c r="Q23" i="25"/>
  <c r="I23" i="25"/>
  <c r="H23" i="25"/>
  <c r="I22" i="25"/>
  <c r="I21" i="25"/>
  <c r="I20" i="25"/>
  <c r="I19" i="25"/>
  <c r="I18" i="25"/>
  <c r="I17" i="25"/>
  <c r="I16" i="25"/>
  <c r="I15" i="25"/>
  <c r="I14" i="25"/>
  <c r="C55" i="14" s="1"/>
  <c r="I13" i="25"/>
  <c r="Q12" i="25"/>
  <c r="H53" i="14" s="1"/>
  <c r="I12" i="25"/>
  <c r="H12" i="25"/>
  <c r="I11" i="25"/>
  <c r="I10" i="25"/>
  <c r="I9" i="25"/>
  <c r="I8" i="25"/>
  <c r="I7" i="25"/>
  <c r="I6" i="25"/>
  <c r="B6" i="25"/>
  <c r="I5" i="25"/>
  <c r="B5" i="25"/>
  <c r="I4" i="25"/>
  <c r="B4" i="25"/>
  <c r="I3" i="25"/>
  <c r="B3" i="25"/>
  <c r="AB14" i="24"/>
  <c r="R14" i="24"/>
  <c r="L14" i="24"/>
  <c r="I14" i="24"/>
  <c r="H14" i="24"/>
  <c r="R13" i="24"/>
  <c r="I13" i="24"/>
  <c r="H13" i="24"/>
  <c r="AB12" i="24"/>
  <c r="R12" i="24"/>
  <c r="L12" i="24"/>
  <c r="I12" i="24"/>
  <c r="H12" i="24"/>
  <c r="AC11" i="24"/>
  <c r="R11" i="24"/>
  <c r="I11" i="24"/>
  <c r="H11" i="24"/>
  <c r="B11" i="24"/>
  <c r="AD10" i="24"/>
  <c r="X10" i="24"/>
  <c r="S10" i="24"/>
  <c r="N10" i="24"/>
  <c r="I10" i="24"/>
  <c r="H10" i="24"/>
  <c r="B10" i="24"/>
  <c r="T9" i="24"/>
  <c r="I9" i="24"/>
  <c r="Y9" i="24" s="1"/>
  <c r="H9" i="24"/>
  <c r="B9" i="24"/>
  <c r="AF8" i="24"/>
  <c r="AE8" i="24"/>
  <c r="AD8" i="24"/>
  <c r="AA8" i="24"/>
  <c r="Z8" i="24"/>
  <c r="X8" i="24"/>
  <c r="V8" i="24"/>
  <c r="T8" i="24"/>
  <c r="S8" i="24"/>
  <c r="P8" i="24"/>
  <c r="O8" i="24"/>
  <c r="N8" i="24"/>
  <c r="K8" i="24"/>
  <c r="J8" i="24"/>
  <c r="I8" i="24"/>
  <c r="H8" i="24"/>
  <c r="B8" i="24"/>
  <c r="I7" i="24"/>
  <c r="H7" i="24"/>
  <c r="P7" i="24" s="1"/>
  <c r="B7" i="24"/>
  <c r="AE6" i="24"/>
  <c r="AA6" i="24"/>
  <c r="Z6" i="24"/>
  <c r="W6" i="24"/>
  <c r="S6" i="24"/>
  <c r="R6" i="24"/>
  <c r="O6" i="24"/>
  <c r="K6" i="24"/>
  <c r="J6" i="24"/>
  <c r="I6" i="24"/>
  <c r="AC6" i="24" s="1"/>
  <c r="H6" i="24"/>
  <c r="AF6" i="24" s="1"/>
  <c r="B6" i="24"/>
  <c r="I5" i="24"/>
  <c r="Y5" i="24" s="1"/>
  <c r="H5" i="24"/>
  <c r="AA17" i="24" s="1"/>
  <c r="B5" i="24"/>
  <c r="B4" i="24"/>
  <c r="B3" i="24"/>
  <c r="B27" i="24" s="1"/>
  <c r="B22" i="23"/>
  <c r="D17" i="14" s="1"/>
  <c r="B20" i="23"/>
  <c r="B19" i="23"/>
  <c r="B15" i="23"/>
  <c r="B14" i="23"/>
  <c r="B13" i="23"/>
  <c r="B12" i="23"/>
  <c r="B11" i="23"/>
  <c r="B10" i="23"/>
  <c r="B9" i="23"/>
  <c r="B8" i="23"/>
  <c r="B7" i="23"/>
  <c r="B21" i="23" s="1"/>
  <c r="B6" i="23"/>
  <c r="B5" i="23"/>
  <c r="B4" i="23"/>
  <c r="B3" i="23"/>
  <c r="B2" i="23"/>
  <c r="B2" i="25" s="1"/>
  <c r="J5" i="21"/>
  <c r="I5" i="21"/>
  <c r="H5" i="21"/>
  <c r="G5" i="21"/>
  <c r="F5" i="21"/>
  <c r="E5" i="21"/>
  <c r="D5" i="21"/>
  <c r="C5" i="21"/>
  <c r="B5" i="21"/>
  <c r="A5" i="21"/>
  <c r="J5" i="20"/>
  <c r="I5" i="20"/>
  <c r="H5" i="20"/>
  <c r="G5" i="20"/>
  <c r="F5" i="20"/>
  <c r="E5" i="20"/>
  <c r="D5" i="20"/>
  <c r="C5" i="20"/>
  <c r="B5" i="20"/>
  <c r="A5" i="20"/>
  <c r="J5" i="19"/>
  <c r="I5" i="19"/>
  <c r="H5" i="19"/>
  <c r="G5" i="19"/>
  <c r="F5" i="19"/>
  <c r="E5" i="19"/>
  <c r="D5" i="19"/>
  <c r="C5" i="19"/>
  <c r="B5" i="19"/>
  <c r="A5" i="19"/>
  <c r="J5" i="18"/>
  <c r="I5" i="18"/>
  <c r="H5" i="18"/>
  <c r="G5" i="18"/>
  <c r="F5" i="18"/>
  <c r="E5" i="18"/>
  <c r="D5" i="18"/>
  <c r="C5" i="18"/>
  <c r="B5" i="18"/>
  <c r="A5" i="18"/>
  <c r="J5" i="17"/>
  <c r="I5" i="17"/>
  <c r="H5" i="17"/>
  <c r="G5" i="17"/>
  <c r="F5" i="17"/>
  <c r="E5" i="17"/>
  <c r="D5" i="17"/>
  <c r="C5" i="17"/>
  <c r="B5" i="17"/>
  <c r="A5" i="17"/>
  <c r="J5" i="16"/>
  <c r="I5" i="16"/>
  <c r="H5" i="16"/>
  <c r="G5" i="16"/>
  <c r="F5" i="16"/>
  <c r="E5" i="16"/>
  <c r="D5" i="16"/>
  <c r="C5" i="16"/>
  <c r="B5" i="16"/>
  <c r="A5" i="16"/>
  <c r="M30" i="15"/>
  <c r="M29" i="15"/>
  <c r="N28" i="15"/>
  <c r="M28" i="15"/>
  <c r="M27" i="15"/>
  <c r="M26" i="15"/>
  <c r="M25" i="15"/>
  <c r="M24" i="15"/>
  <c r="M23" i="15"/>
  <c r="M22" i="15"/>
  <c r="M21" i="15"/>
  <c r="M20" i="15"/>
  <c r="M19" i="15"/>
  <c r="M18" i="15"/>
  <c r="M17" i="15"/>
  <c r="M16" i="15"/>
  <c r="M15" i="15"/>
  <c r="M14" i="15"/>
  <c r="M13" i="15"/>
  <c r="M12" i="15"/>
  <c r="M11" i="15"/>
  <c r="M10" i="15"/>
  <c r="M9" i="15"/>
  <c r="M8" i="15"/>
  <c r="J5" i="15"/>
  <c r="I5" i="15"/>
  <c r="H5" i="15"/>
  <c r="G5" i="15"/>
  <c r="F5" i="15"/>
  <c r="E5" i="15"/>
  <c r="D5" i="15"/>
  <c r="C5" i="15"/>
  <c r="B5" i="15"/>
  <c r="A5" i="15"/>
  <c r="C66" i="14"/>
  <c r="A66" i="14"/>
  <c r="C65" i="14"/>
  <c r="A65" i="14"/>
  <c r="H64" i="14"/>
  <c r="C64" i="14"/>
  <c r="B64" i="14"/>
  <c r="A64" i="14"/>
  <c r="C63" i="14"/>
  <c r="A63" i="14"/>
  <c r="C62" i="14"/>
  <c r="A62" i="14"/>
  <c r="C61" i="14"/>
  <c r="A61" i="14"/>
  <c r="C60" i="14"/>
  <c r="A60" i="14"/>
  <c r="C59" i="14"/>
  <c r="A59" i="14"/>
  <c r="C58" i="14"/>
  <c r="A58" i="14"/>
  <c r="C57" i="14"/>
  <c r="A57" i="14"/>
  <c r="C56" i="14"/>
  <c r="A56" i="14"/>
  <c r="A55" i="14"/>
  <c r="C54" i="14"/>
  <c r="A54" i="14"/>
  <c r="C53" i="14"/>
  <c r="B53" i="14"/>
  <c r="A53" i="14"/>
  <c r="C52" i="14"/>
  <c r="A52" i="14"/>
  <c r="C51" i="14"/>
  <c r="A51" i="14"/>
  <c r="C50" i="14"/>
  <c r="A50" i="14"/>
  <c r="C49" i="14"/>
  <c r="A49" i="14"/>
  <c r="I48" i="14"/>
  <c r="C48" i="14"/>
  <c r="A48" i="14"/>
  <c r="C47" i="14"/>
  <c r="A47" i="14"/>
  <c r="C46" i="14"/>
  <c r="A46" i="14"/>
  <c r="C45" i="14"/>
  <c r="A45" i="14"/>
  <c r="C44" i="14"/>
  <c r="A44" i="14"/>
  <c r="I43" i="14"/>
  <c r="B22" i="14"/>
  <c r="B21" i="14"/>
  <c r="E19" i="14"/>
  <c r="J5" i="14"/>
  <c r="I5" i="14"/>
  <c r="H5" i="14"/>
  <c r="G5" i="14"/>
  <c r="F5" i="14"/>
  <c r="E5" i="14"/>
  <c r="D5" i="14"/>
  <c r="C5" i="14"/>
  <c r="B5" i="14"/>
  <c r="A5" i="14"/>
  <c r="A38" i="13"/>
  <c r="A17" i="13"/>
  <c r="G7" i="13"/>
  <c r="K5" i="13"/>
  <c r="J5" i="13"/>
  <c r="I5" i="13"/>
  <c r="H5" i="13"/>
  <c r="G5" i="13"/>
  <c r="F5" i="13"/>
  <c r="E5" i="13"/>
  <c r="D5" i="13"/>
  <c r="C5" i="13"/>
  <c r="B5" i="13"/>
  <c r="A5" i="13"/>
  <c r="G7" i="12"/>
  <c r="J5" i="12"/>
  <c r="I5" i="12"/>
  <c r="H5" i="12"/>
  <c r="G5" i="12"/>
  <c r="F5" i="12"/>
  <c r="E5" i="12"/>
  <c r="D5" i="12"/>
  <c r="C5" i="12"/>
  <c r="B5" i="12"/>
  <c r="A5" i="12"/>
  <c r="G7" i="11"/>
  <c r="K11" i="28" s="1"/>
  <c r="J5" i="11"/>
  <c r="I5" i="11"/>
  <c r="H5" i="11"/>
  <c r="G5" i="11"/>
  <c r="F5" i="11"/>
  <c r="E5" i="11"/>
  <c r="D5" i="11"/>
  <c r="C5" i="11"/>
  <c r="B5" i="11"/>
  <c r="A5" i="11"/>
  <c r="I34" i="10"/>
  <c r="O33" i="10"/>
  <c r="J32" i="10"/>
  <c r="E32" i="10"/>
  <c r="K30" i="10"/>
  <c r="E30" i="10"/>
  <c r="K28" i="10"/>
  <c r="F28" i="10"/>
  <c r="E27" i="10"/>
  <c r="L26" i="10"/>
  <c r="K25" i="10"/>
  <c r="G25" i="10"/>
  <c r="F24" i="10"/>
  <c r="M23" i="10"/>
  <c r="L22" i="10"/>
  <c r="H22" i="10"/>
  <c r="G21" i="10"/>
  <c r="E21" i="10"/>
  <c r="L20" i="10"/>
  <c r="J20" i="10"/>
  <c r="F20" i="10"/>
  <c r="E20" i="10"/>
  <c r="L19" i="10"/>
  <c r="K19" i="10"/>
  <c r="G19" i="10"/>
  <c r="E19" i="10"/>
  <c r="L18" i="10"/>
  <c r="K18" i="10"/>
  <c r="G18" i="10"/>
  <c r="F18" i="10"/>
  <c r="G13" i="10"/>
  <c r="C13" i="10"/>
  <c r="E10" i="10"/>
  <c r="C10" i="10"/>
  <c r="A10" i="10"/>
  <c r="G7" i="10"/>
  <c r="J5" i="10"/>
  <c r="I5" i="10"/>
  <c r="H5" i="10"/>
  <c r="G5" i="10"/>
  <c r="F5" i="10"/>
  <c r="E5" i="10"/>
  <c r="D5" i="10"/>
  <c r="C5" i="10"/>
  <c r="B5" i="10"/>
  <c r="A5" i="10"/>
  <c r="M22" i="9"/>
  <c r="D22" i="9"/>
  <c r="C22" i="9"/>
  <c r="M21" i="9"/>
  <c r="D21" i="9"/>
  <c r="C21" i="9"/>
  <c r="M20" i="9"/>
  <c r="D20" i="9"/>
  <c r="C20" i="9"/>
  <c r="M19" i="9"/>
  <c r="D19" i="9"/>
  <c r="C19" i="9"/>
  <c r="M18" i="9"/>
  <c r="D18" i="9"/>
  <c r="C18" i="9"/>
  <c r="M17" i="9"/>
  <c r="D17" i="9"/>
  <c r="C17" i="9"/>
  <c r="M16" i="9"/>
  <c r="D16" i="9"/>
  <c r="C16" i="9"/>
  <c r="M15" i="9"/>
  <c r="D15" i="9"/>
  <c r="C15" i="9"/>
  <c r="M14" i="9"/>
  <c r="D14" i="9"/>
  <c r="C14" i="9"/>
  <c r="M13" i="9"/>
  <c r="D13" i="9"/>
  <c r="C13" i="9"/>
  <c r="G7" i="9"/>
  <c r="E36" i="9" s="1"/>
  <c r="J5" i="9"/>
  <c r="I5" i="9"/>
  <c r="H5" i="9"/>
  <c r="G5" i="9"/>
  <c r="F5" i="9"/>
  <c r="E5" i="9"/>
  <c r="D5" i="9"/>
  <c r="C5" i="9"/>
  <c r="B5" i="9"/>
  <c r="A5" i="9"/>
  <c r="M66" i="8"/>
  <c r="I66" i="8"/>
  <c r="E66" i="8"/>
  <c r="A66" i="8"/>
  <c r="A60" i="8"/>
  <c r="H52" i="8"/>
  <c r="A45" i="8"/>
  <c r="A38" i="8"/>
  <c r="A31" i="8"/>
  <c r="J24" i="8"/>
  <c r="A18" i="8"/>
  <c r="J11" i="8"/>
  <c r="E11" i="8"/>
  <c r="C8" i="8"/>
  <c r="N7" i="8"/>
  <c r="K7" i="8"/>
  <c r="G7" i="8"/>
  <c r="J5" i="8"/>
  <c r="I5" i="8"/>
  <c r="H5" i="8"/>
  <c r="G5" i="8"/>
  <c r="F5" i="8"/>
  <c r="E5" i="8"/>
  <c r="D5" i="8"/>
  <c r="C5" i="8"/>
  <c r="B5" i="8"/>
  <c r="A5" i="8"/>
  <c r="J5" i="7"/>
  <c r="I5" i="7"/>
  <c r="H5" i="7"/>
  <c r="G5" i="7"/>
  <c r="F5" i="7"/>
  <c r="E5" i="7"/>
  <c r="D5" i="7"/>
  <c r="C5" i="7"/>
  <c r="B5" i="7"/>
  <c r="A5" i="7"/>
  <c r="B28" i="6"/>
  <c r="B27" i="6"/>
  <c r="B26" i="6"/>
  <c r="I11" i="6"/>
  <c r="B11" i="6"/>
  <c r="I10" i="6"/>
  <c r="B10" i="6"/>
  <c r="J5" i="6"/>
  <c r="I5" i="6"/>
  <c r="H5" i="6"/>
  <c r="G5" i="6"/>
  <c r="F5" i="6"/>
  <c r="E5" i="6"/>
  <c r="D5" i="6"/>
  <c r="C5" i="6"/>
  <c r="B5" i="6"/>
  <c r="A5" i="6"/>
  <c r="J31" i="5"/>
  <c r="I31" i="5"/>
  <c r="H31" i="5"/>
  <c r="G31" i="5"/>
  <c r="F31" i="5"/>
  <c r="E31" i="5"/>
  <c r="D31" i="5"/>
  <c r="C31" i="5"/>
  <c r="B31" i="5"/>
  <c r="A31" i="5"/>
  <c r="G12" i="5"/>
  <c r="B11" i="5"/>
  <c r="B13" i="5" s="1"/>
  <c r="K10" i="5"/>
  <c r="K11" i="5" s="1"/>
  <c r="J10" i="5"/>
  <c r="J11" i="5" s="1"/>
  <c r="J5" i="5"/>
  <c r="I5" i="5"/>
  <c r="H5" i="5"/>
  <c r="G5" i="5"/>
  <c r="F5" i="5"/>
  <c r="E5" i="5"/>
  <c r="D5" i="5"/>
  <c r="C5" i="5"/>
  <c r="B5" i="5"/>
  <c r="A5" i="5"/>
  <c r="B23" i="4"/>
  <c r="B14" i="4"/>
  <c r="B13" i="4"/>
  <c r="B12" i="4"/>
  <c r="B11" i="4"/>
  <c r="B10" i="4"/>
  <c r="B9" i="4"/>
  <c r="J5" i="4"/>
  <c r="I5" i="4"/>
  <c r="H5" i="4"/>
  <c r="G5" i="4"/>
  <c r="F5" i="4"/>
  <c r="E5" i="4"/>
  <c r="D5" i="4"/>
  <c r="C5" i="4"/>
  <c r="B5" i="4"/>
  <c r="A5" i="4"/>
  <c r="B35" i="3"/>
  <c r="F35" i="3" s="1"/>
  <c r="F34" i="3"/>
  <c r="E34" i="3"/>
  <c r="D34" i="3"/>
  <c r="C34" i="3"/>
  <c r="F33" i="3"/>
  <c r="E33" i="3"/>
  <c r="D33" i="3"/>
  <c r="C33" i="3"/>
  <c r="F32" i="3"/>
  <c r="E32" i="3"/>
  <c r="D32" i="3"/>
  <c r="C32" i="3"/>
  <c r="F31" i="3"/>
  <c r="E31" i="3"/>
  <c r="C31" i="3"/>
  <c r="D31" i="3" s="1"/>
  <c r="F30" i="3"/>
  <c r="E30" i="3"/>
  <c r="C30" i="3"/>
  <c r="D30" i="3" s="1"/>
  <c r="F29" i="3"/>
  <c r="E29" i="3"/>
  <c r="C29" i="3"/>
  <c r="D29" i="3" s="1"/>
  <c r="F28" i="3"/>
  <c r="E28" i="3"/>
  <c r="C28" i="3"/>
  <c r="D28" i="3" s="1"/>
  <c r="F27" i="3"/>
  <c r="E27" i="3"/>
  <c r="C27" i="3"/>
  <c r="D27" i="3" s="1"/>
  <c r="F26" i="3"/>
  <c r="E26" i="3"/>
  <c r="C26" i="3"/>
  <c r="D26" i="3" s="1"/>
  <c r="F25" i="3"/>
  <c r="E25" i="3"/>
  <c r="C25" i="3"/>
  <c r="D25" i="3" s="1"/>
  <c r="F24" i="3"/>
  <c r="E24" i="3"/>
  <c r="C24" i="3"/>
  <c r="D24" i="3" s="1"/>
  <c r="F23" i="3"/>
  <c r="E23" i="3"/>
  <c r="C23" i="3"/>
  <c r="D23" i="3" s="1"/>
  <c r="E35" i="3" s="1"/>
  <c r="B15" i="3"/>
  <c r="F14" i="3"/>
  <c r="B14" i="3"/>
  <c r="B13" i="3"/>
  <c r="F12" i="3"/>
  <c r="B12" i="3"/>
  <c r="F11" i="3"/>
  <c r="B11" i="3"/>
  <c r="B10" i="3"/>
  <c r="B9" i="3"/>
  <c r="B8" i="3"/>
  <c r="J5" i="3"/>
  <c r="I5" i="3"/>
  <c r="H5" i="3"/>
  <c r="G5" i="3"/>
  <c r="F5" i="3"/>
  <c r="E5" i="3"/>
  <c r="D5" i="3"/>
  <c r="C5" i="3"/>
  <c r="B5" i="3"/>
  <c r="A5" i="3"/>
  <c r="F12" i="2"/>
  <c r="F13" i="2" s="1"/>
  <c r="F11" i="2"/>
  <c r="F10" i="2"/>
  <c r="F9" i="2"/>
  <c r="K24" i="25" s="1"/>
  <c r="E65" i="14" s="1"/>
  <c r="J5" i="2"/>
  <c r="I5" i="2"/>
  <c r="H5" i="2"/>
  <c r="G5" i="2"/>
  <c r="F5" i="2"/>
  <c r="E5" i="2"/>
  <c r="D5" i="2"/>
  <c r="C5" i="2"/>
  <c r="B5" i="2"/>
  <c r="A5" i="2"/>
  <c r="M37" i="1"/>
  <c r="I37" i="1"/>
  <c r="E37" i="1"/>
  <c r="A37" i="1"/>
  <c r="M32" i="1"/>
  <c r="I32" i="1"/>
  <c r="E32" i="1"/>
  <c r="A32" i="1"/>
  <c r="M26" i="1"/>
  <c r="I26" i="1"/>
  <c r="E26" i="1"/>
  <c r="A26" i="1"/>
  <c r="J5" i="1"/>
  <c r="I5" i="1"/>
  <c r="H5" i="1"/>
  <c r="G5" i="1"/>
  <c r="F5" i="1"/>
  <c r="E5" i="1"/>
  <c r="D5" i="1"/>
  <c r="C5" i="1"/>
  <c r="B5" i="1"/>
  <c r="A5" i="1"/>
  <c r="N6" i="24" l="1"/>
  <c r="V6" i="24"/>
  <c r="AD6" i="24"/>
  <c r="G11" i="5"/>
  <c r="G14" i="5"/>
  <c r="G10" i="5"/>
  <c r="A52" i="8"/>
  <c r="H31" i="8"/>
  <c r="A24" i="8"/>
  <c r="A11" i="8"/>
  <c r="E24" i="8"/>
  <c r="H38" i="8"/>
  <c r="N7" i="9"/>
  <c r="B27" i="9"/>
  <c r="B28" i="9"/>
  <c r="B29" i="9"/>
  <c r="C30" i="9"/>
  <c r="C31" i="9"/>
  <c r="C32" i="9"/>
  <c r="D33" i="9"/>
  <c r="D34" i="9"/>
  <c r="D35" i="9"/>
  <c r="N35" i="10"/>
  <c r="J35" i="10"/>
  <c r="F35" i="10"/>
  <c r="M34" i="10"/>
  <c r="O35" i="10"/>
  <c r="K35" i="10"/>
  <c r="G35" i="10"/>
  <c r="N34" i="10"/>
  <c r="J34" i="10"/>
  <c r="F34" i="10"/>
  <c r="M33" i="10"/>
  <c r="I33" i="10"/>
  <c r="E33" i="10"/>
  <c r="L32" i="10"/>
  <c r="H32" i="10"/>
  <c r="O31" i="10"/>
  <c r="K31" i="10"/>
  <c r="G31" i="10"/>
  <c r="N30" i="10"/>
  <c r="J30" i="10"/>
  <c r="F30" i="10"/>
  <c r="M29" i="10"/>
  <c r="I29" i="10"/>
  <c r="E29" i="10"/>
  <c r="L28" i="10"/>
  <c r="H28" i="10"/>
  <c r="H35" i="10"/>
  <c r="K34" i="10"/>
  <c r="E34" i="10"/>
  <c r="K33" i="10"/>
  <c r="F33" i="10"/>
  <c r="K32" i="10"/>
  <c r="F32" i="10"/>
  <c r="L31" i="10"/>
  <c r="F31" i="10"/>
  <c r="L30" i="10"/>
  <c r="G30" i="10"/>
  <c r="L29" i="10"/>
  <c r="G29" i="10"/>
  <c r="M28" i="10"/>
  <c r="G28" i="10"/>
  <c r="N27" i="10"/>
  <c r="J27" i="10"/>
  <c r="F27" i="10"/>
  <c r="M26" i="10"/>
  <c r="I26" i="10"/>
  <c r="E26" i="10"/>
  <c r="L25" i="10"/>
  <c r="H25" i="10"/>
  <c r="O24" i="10"/>
  <c r="K24" i="10"/>
  <c r="G24" i="10"/>
  <c r="N23" i="10"/>
  <c r="J23" i="10"/>
  <c r="F23" i="10"/>
  <c r="M22" i="10"/>
  <c r="I22" i="10"/>
  <c r="E22" i="10"/>
  <c r="L21" i="10"/>
  <c r="H21" i="10"/>
  <c r="O20" i="10"/>
  <c r="K20" i="10"/>
  <c r="G20" i="10"/>
  <c r="N19" i="10"/>
  <c r="J19" i="10"/>
  <c r="F19" i="10"/>
  <c r="M18" i="10"/>
  <c r="I18" i="10"/>
  <c r="E18" i="10"/>
  <c r="E13" i="10"/>
  <c r="L35" i="10"/>
  <c r="O34" i="10"/>
  <c r="H34" i="10"/>
  <c r="N33" i="10"/>
  <c r="H33" i="10"/>
  <c r="N32" i="10"/>
  <c r="I32" i="10"/>
  <c r="N31" i="10"/>
  <c r="I31" i="10"/>
  <c r="O30" i="10"/>
  <c r="I30" i="10"/>
  <c r="O29" i="10"/>
  <c r="J29" i="10"/>
  <c r="O28" i="10"/>
  <c r="J28" i="10"/>
  <c r="E28" i="10"/>
  <c r="L27" i="10"/>
  <c r="H27" i="10"/>
  <c r="O26" i="10"/>
  <c r="K26" i="10"/>
  <c r="G26" i="10"/>
  <c r="N25" i="10"/>
  <c r="J25" i="10"/>
  <c r="F25" i="10"/>
  <c r="M24" i="10"/>
  <c r="I24" i="10"/>
  <c r="E24" i="10"/>
  <c r="L23" i="10"/>
  <c r="H23" i="10"/>
  <c r="O22" i="10"/>
  <c r="K22" i="10"/>
  <c r="G22" i="10"/>
  <c r="N21" i="10"/>
  <c r="J21" i="10"/>
  <c r="F21" i="10"/>
  <c r="I35" i="10"/>
  <c r="L34" i="10"/>
  <c r="G34" i="10"/>
  <c r="L33" i="10"/>
  <c r="G33" i="10"/>
  <c r="M32" i="10"/>
  <c r="G32" i="10"/>
  <c r="M31" i="10"/>
  <c r="H31" i="10"/>
  <c r="M30" i="10"/>
  <c r="H30" i="10"/>
  <c r="N29" i="10"/>
  <c r="H29" i="10"/>
  <c r="N28" i="10"/>
  <c r="I28" i="10"/>
  <c r="O27" i="10"/>
  <c r="K27" i="10"/>
  <c r="G27" i="10"/>
  <c r="N26" i="10"/>
  <c r="J26" i="10"/>
  <c r="F26" i="10"/>
  <c r="M25" i="10"/>
  <c r="I25" i="10"/>
  <c r="E25" i="10"/>
  <c r="L24" i="10"/>
  <c r="H24" i="10"/>
  <c r="O23" i="10"/>
  <c r="K23" i="10"/>
  <c r="G23" i="10"/>
  <c r="N22" i="10"/>
  <c r="J22" i="10"/>
  <c r="F22" i="10"/>
  <c r="M21" i="10"/>
  <c r="I21" i="10"/>
  <c r="G10" i="10"/>
  <c r="I13" i="10"/>
  <c r="H18" i="10"/>
  <c r="N18" i="10"/>
  <c r="H19" i="10"/>
  <c r="M19" i="10"/>
  <c r="H20" i="10"/>
  <c r="M20" i="10"/>
  <c r="K21" i="10"/>
  <c r="E23" i="10"/>
  <c r="J24" i="10"/>
  <c r="O25" i="10"/>
  <c r="I27" i="10"/>
  <c r="F29" i="10"/>
  <c r="E31" i="10"/>
  <c r="O32" i="10"/>
  <c r="E35" i="10"/>
  <c r="E36" i="3"/>
  <c r="D36" i="9"/>
  <c r="E35" i="9"/>
  <c r="F34" i="9"/>
  <c r="B34" i="9"/>
  <c r="C33" i="9"/>
  <c r="D32" i="9"/>
  <c r="E31" i="9"/>
  <c r="F30" i="9"/>
  <c r="B30" i="9"/>
  <c r="C29" i="9"/>
  <c r="D28" i="9"/>
  <c r="E27" i="9"/>
  <c r="A10" i="9"/>
  <c r="I10" i="9"/>
  <c r="D27" i="9"/>
  <c r="E28" i="9"/>
  <c r="E29" i="9"/>
  <c r="E30" i="9"/>
  <c r="F31" i="9"/>
  <c r="F32" i="9"/>
  <c r="F33" i="9"/>
  <c r="B35" i="9"/>
  <c r="B36" i="9"/>
  <c r="K7" i="9"/>
  <c r="M10" i="9"/>
  <c r="F27" i="9"/>
  <c r="F28" i="9"/>
  <c r="F29" i="9"/>
  <c r="B31" i="9"/>
  <c r="B32" i="9"/>
  <c r="B33" i="9"/>
  <c r="C34" i="9"/>
  <c r="C35" i="9"/>
  <c r="C36" i="9"/>
  <c r="E10" i="9"/>
  <c r="C27" i="9"/>
  <c r="C28" i="9"/>
  <c r="D29" i="9"/>
  <c r="D30" i="9"/>
  <c r="D31" i="9"/>
  <c r="E32" i="9"/>
  <c r="E33" i="9"/>
  <c r="E34" i="9"/>
  <c r="F35" i="9"/>
  <c r="F36" i="9"/>
  <c r="A13" i="10"/>
  <c r="K13" i="10"/>
  <c r="J18" i="10"/>
  <c r="O18" i="10"/>
  <c r="I19" i="10"/>
  <c r="O19" i="10"/>
  <c r="I20" i="10"/>
  <c r="N20" i="10"/>
  <c r="O21" i="10"/>
  <c r="I23" i="10"/>
  <c r="N24" i="10"/>
  <c r="H26" i="10"/>
  <c r="M27" i="10"/>
  <c r="K29" i="10"/>
  <c r="J31" i="10"/>
  <c r="J33" i="10"/>
  <c r="M35" i="10"/>
  <c r="K26" i="29"/>
  <c r="K22" i="29"/>
  <c r="K18" i="29"/>
  <c r="K14" i="29"/>
  <c r="K10" i="29"/>
  <c r="K6" i="29"/>
  <c r="K2" i="29"/>
  <c r="K25" i="29"/>
  <c r="K21" i="29"/>
  <c r="K17" i="29"/>
  <c r="K13" i="29"/>
  <c r="K9" i="29"/>
  <c r="K5" i="29"/>
  <c r="K27" i="29"/>
  <c r="K23" i="29"/>
  <c r="K19" i="29"/>
  <c r="K15" i="29"/>
  <c r="K11" i="29"/>
  <c r="K7" i="29"/>
  <c r="K3" i="29"/>
  <c r="K20" i="29"/>
  <c r="K4" i="29"/>
  <c r="K16" i="29"/>
  <c r="K12" i="29"/>
  <c r="K8" i="29"/>
  <c r="K24" i="29"/>
  <c r="H17" i="13"/>
  <c r="A8" i="13"/>
  <c r="A23" i="13"/>
  <c r="A11" i="13"/>
  <c r="A29" i="13"/>
  <c r="B24" i="23"/>
  <c r="F15" i="3" s="1"/>
  <c r="M5" i="24"/>
  <c r="U5" i="24"/>
  <c r="AC5" i="24"/>
  <c r="L7" i="24"/>
  <c r="AF7" i="24"/>
  <c r="AD9" i="24"/>
  <c r="J4" i="25"/>
  <c r="D45" i="14" s="1"/>
  <c r="H11" i="13"/>
  <c r="AC17" i="24"/>
  <c r="Y17" i="24"/>
  <c r="U17" i="24"/>
  <c r="Q17" i="24"/>
  <c r="M17" i="24"/>
  <c r="AB17" i="24"/>
  <c r="W17" i="24"/>
  <c r="R17" i="24"/>
  <c r="L17" i="24"/>
  <c r="AE17" i="24"/>
  <c r="X17" i="24"/>
  <c r="P17" i="24"/>
  <c r="J17" i="24"/>
  <c r="AD5" i="24"/>
  <c r="AD15" i="24" s="1"/>
  <c r="Z5" i="24"/>
  <c r="V5" i="24"/>
  <c r="R5" i="24"/>
  <c r="R15" i="24" s="1"/>
  <c r="H11" i="25" s="1"/>
  <c r="N5" i="24"/>
  <c r="J5" i="24"/>
  <c r="AD17" i="24"/>
  <c r="V17" i="24"/>
  <c r="O17" i="24"/>
  <c r="AF17" i="24"/>
  <c r="Z17" i="24"/>
  <c r="S17" i="24"/>
  <c r="K17" i="24"/>
  <c r="AE5" i="24"/>
  <c r="AE16" i="24" s="1"/>
  <c r="P24" i="25" s="1"/>
  <c r="G65" i="14" s="1"/>
  <c r="AA5" i="24"/>
  <c r="AA15" i="24" s="1"/>
  <c r="H20" i="25" s="1"/>
  <c r="W5" i="24"/>
  <c r="W15" i="24" s="1"/>
  <c r="H16" i="25" s="1"/>
  <c r="S5" i="24"/>
  <c r="O5" i="24"/>
  <c r="O16" i="24" s="1"/>
  <c r="P8" i="25" s="1"/>
  <c r="G49" i="14" s="1"/>
  <c r="K5" i="24"/>
  <c r="K15" i="24" s="1"/>
  <c r="H4" i="25" s="1"/>
  <c r="P5" i="24"/>
  <c r="X5" i="24"/>
  <c r="AF5" i="24"/>
  <c r="N9" i="24"/>
  <c r="AE11" i="24"/>
  <c r="AA11" i="24"/>
  <c r="W11" i="24"/>
  <c r="S11" i="24"/>
  <c r="O11" i="24"/>
  <c r="K11" i="24"/>
  <c r="AF11" i="24"/>
  <c r="Z11" i="24"/>
  <c r="U11" i="24"/>
  <c r="P11" i="24"/>
  <c r="J11" i="24"/>
  <c r="AD11" i="24"/>
  <c r="Y11" i="24"/>
  <c r="T11" i="24"/>
  <c r="N11" i="24"/>
  <c r="AB11" i="24"/>
  <c r="V11" i="24"/>
  <c r="Q11" i="24"/>
  <c r="L11" i="24"/>
  <c r="X11" i="24"/>
  <c r="AE13" i="24"/>
  <c r="AA13" i="24"/>
  <c r="W13" i="24"/>
  <c r="S13" i="24"/>
  <c r="O13" i="24"/>
  <c r="K13" i="24"/>
  <c r="AF13" i="24"/>
  <c r="Z13" i="24"/>
  <c r="U13" i="24"/>
  <c r="P13" i="24"/>
  <c r="J13" i="24"/>
  <c r="AD13" i="24"/>
  <c r="Y13" i="24"/>
  <c r="T13" i="24"/>
  <c r="N13" i="24"/>
  <c r="AB13" i="24"/>
  <c r="V13" i="24"/>
  <c r="Q13" i="24"/>
  <c r="L13" i="24"/>
  <c r="X13" i="24"/>
  <c r="AC13" i="24"/>
  <c r="N17" i="24"/>
  <c r="K20" i="25"/>
  <c r="E61" i="14" s="1"/>
  <c r="B26" i="24"/>
  <c r="B21" i="24"/>
  <c r="B25" i="24"/>
  <c r="B21" i="4" s="1"/>
  <c r="F19" i="14"/>
  <c r="Q5" i="24"/>
  <c r="AE7" i="24"/>
  <c r="AE15" i="24" s="1"/>
  <c r="H24" i="25" s="1"/>
  <c r="AA7" i="24"/>
  <c r="W7" i="24"/>
  <c r="S7" i="24"/>
  <c r="S16" i="24" s="1"/>
  <c r="P12" i="25" s="1"/>
  <c r="G53" i="14" s="1"/>
  <c r="AC7" i="24"/>
  <c r="AC15" i="24" s="1"/>
  <c r="H22" i="25" s="1"/>
  <c r="X7" i="24"/>
  <c r="R7" i="24"/>
  <c r="N7" i="24"/>
  <c r="J7" i="24"/>
  <c r="J16" i="24" s="1"/>
  <c r="P3" i="25" s="1"/>
  <c r="G44" i="14" s="1"/>
  <c r="AB7" i="24"/>
  <c r="V7" i="24"/>
  <c r="Q7" i="24"/>
  <c r="M7" i="24"/>
  <c r="AD7" i="24"/>
  <c r="Y7" i="24"/>
  <c r="T7" i="24"/>
  <c r="O7" i="24"/>
  <c r="O15" i="24" s="1"/>
  <c r="H8" i="25" s="1"/>
  <c r="K7" i="24"/>
  <c r="U7" i="24"/>
  <c r="R25" i="25"/>
  <c r="N25" i="25"/>
  <c r="J25" i="25"/>
  <c r="D66" i="14" s="1"/>
  <c r="M24" i="25"/>
  <c r="K22" i="25"/>
  <c r="E63" i="14" s="1"/>
  <c r="R21" i="25"/>
  <c r="N21" i="25"/>
  <c r="J21" i="25"/>
  <c r="D62" i="14" s="1"/>
  <c r="M20" i="25"/>
  <c r="K18" i="25"/>
  <c r="E59" i="14" s="1"/>
  <c r="R17" i="25"/>
  <c r="N17" i="25"/>
  <c r="J17" i="25"/>
  <c r="D58" i="14" s="1"/>
  <c r="M16" i="25"/>
  <c r="K14" i="25"/>
  <c r="E55" i="14" s="1"/>
  <c r="R13" i="25"/>
  <c r="N13" i="25"/>
  <c r="J13" i="25"/>
  <c r="D54" i="14" s="1"/>
  <c r="R12" i="25"/>
  <c r="N12" i="25"/>
  <c r="J12" i="25"/>
  <c r="D53" i="14" s="1"/>
  <c r="R11" i="25"/>
  <c r="N11" i="25"/>
  <c r="J11" i="25"/>
  <c r="D52" i="14" s="1"/>
  <c r="R10" i="25"/>
  <c r="N10" i="25"/>
  <c r="J10" i="25"/>
  <c r="D51" i="14" s="1"/>
  <c r="R9" i="25"/>
  <c r="N9" i="25"/>
  <c r="J9" i="25"/>
  <c r="D50" i="14" s="1"/>
  <c r="R8" i="25"/>
  <c r="N8" i="25"/>
  <c r="J8" i="25"/>
  <c r="D49" i="14" s="1"/>
  <c r="R7" i="25"/>
  <c r="N7" i="25"/>
  <c r="J7" i="25"/>
  <c r="D48" i="14" s="1"/>
  <c r="R6" i="25"/>
  <c r="N6" i="25"/>
  <c r="J6" i="25"/>
  <c r="D47" i="14" s="1"/>
  <c r="R5" i="25"/>
  <c r="N5" i="25"/>
  <c r="M25" i="25"/>
  <c r="K23" i="25"/>
  <c r="E64" i="14" s="1"/>
  <c r="R22" i="25"/>
  <c r="N22" i="25"/>
  <c r="J22" i="25"/>
  <c r="D63" i="14" s="1"/>
  <c r="M21" i="25"/>
  <c r="K19" i="25"/>
  <c r="E60" i="14" s="1"/>
  <c r="R18" i="25"/>
  <c r="N18" i="25"/>
  <c r="J18" i="25"/>
  <c r="D59" i="14" s="1"/>
  <c r="M17" i="25"/>
  <c r="K15" i="25"/>
  <c r="E56" i="14" s="1"/>
  <c r="R14" i="25"/>
  <c r="N14" i="25"/>
  <c r="J14" i="25"/>
  <c r="D55" i="14" s="1"/>
  <c r="M13" i="25"/>
  <c r="M12" i="25"/>
  <c r="O12" i="25" s="1"/>
  <c r="M11" i="25"/>
  <c r="M10" i="25"/>
  <c r="M9" i="25"/>
  <c r="M8" i="25"/>
  <c r="M7" i="25"/>
  <c r="M6" i="25"/>
  <c r="M5" i="25"/>
  <c r="M4" i="25"/>
  <c r="K25" i="25"/>
  <c r="E66" i="14" s="1"/>
  <c r="R24" i="25"/>
  <c r="N24" i="25"/>
  <c r="J24" i="25"/>
  <c r="D65" i="14" s="1"/>
  <c r="M23" i="25"/>
  <c r="K21" i="25"/>
  <c r="E62" i="14" s="1"/>
  <c r="R20" i="25"/>
  <c r="N20" i="25"/>
  <c r="J20" i="25"/>
  <c r="D61" i="14" s="1"/>
  <c r="M19" i="25"/>
  <c r="K17" i="25"/>
  <c r="E58" i="14" s="1"/>
  <c r="R16" i="25"/>
  <c r="N16" i="25"/>
  <c r="J16" i="25"/>
  <c r="D57" i="14" s="1"/>
  <c r="M15" i="25"/>
  <c r="K13" i="25"/>
  <c r="E54" i="14" s="1"/>
  <c r="K12" i="25"/>
  <c r="E53" i="14" s="1"/>
  <c r="K11" i="25"/>
  <c r="E52" i="14" s="1"/>
  <c r="K10" i="25"/>
  <c r="E51" i="14" s="1"/>
  <c r="K9" i="25"/>
  <c r="E50" i="14" s="1"/>
  <c r="K8" i="25"/>
  <c r="E49" i="14" s="1"/>
  <c r="K7" i="25"/>
  <c r="E48" i="14" s="1"/>
  <c r="K6" i="25"/>
  <c r="E47" i="14" s="1"/>
  <c r="K5" i="25"/>
  <c r="E46" i="14" s="1"/>
  <c r="K4" i="25"/>
  <c r="E45" i="14" s="1"/>
  <c r="K3" i="25"/>
  <c r="E44" i="14" s="1"/>
  <c r="J23" i="25"/>
  <c r="D64" i="14" s="1"/>
  <c r="M22" i="25"/>
  <c r="N15" i="25"/>
  <c r="M14" i="25"/>
  <c r="N4" i="25"/>
  <c r="J3" i="25"/>
  <c r="R23" i="25"/>
  <c r="R19" i="25"/>
  <c r="N19" i="25"/>
  <c r="M18" i="25"/>
  <c r="J15" i="25"/>
  <c r="D56" i="14" s="1"/>
  <c r="J5" i="25"/>
  <c r="D46" i="14" s="1"/>
  <c r="M3" i="25"/>
  <c r="N23" i="25"/>
  <c r="J19" i="25"/>
  <c r="D60" i="14" s="1"/>
  <c r="K16" i="25"/>
  <c r="E57" i="14" s="1"/>
  <c r="R3" i="25"/>
  <c r="R15" i="25"/>
  <c r="R4" i="25"/>
  <c r="N3" i="25"/>
  <c r="F8" i="3"/>
  <c r="H23" i="13"/>
  <c r="B16" i="23"/>
  <c r="L5" i="24"/>
  <c r="T5" i="24"/>
  <c r="AB5" i="24"/>
  <c r="Z7" i="24"/>
  <c r="Z15" i="24" s="1"/>
  <c r="H19" i="25" s="1"/>
  <c r="M11" i="24"/>
  <c r="AC12" i="24"/>
  <c r="Y12" i="24"/>
  <c r="U12" i="24"/>
  <c r="Q12" i="24"/>
  <c r="M12" i="24"/>
  <c r="AE12" i="24"/>
  <c r="Z12" i="24"/>
  <c r="T12" i="24"/>
  <c r="O12" i="24"/>
  <c r="J12" i="24"/>
  <c r="AD12" i="24"/>
  <c r="X12" i="24"/>
  <c r="S12" i="24"/>
  <c r="S15" i="24" s="1"/>
  <c r="N12" i="24"/>
  <c r="AF12" i="24"/>
  <c r="AA12" i="24"/>
  <c r="V12" i="24"/>
  <c r="P12" i="24"/>
  <c r="K12" i="24"/>
  <c r="W12" i="24"/>
  <c r="M13" i="24"/>
  <c r="AC14" i="24"/>
  <c r="Y14" i="24"/>
  <c r="U14" i="24"/>
  <c r="Q14" i="24"/>
  <c r="M14" i="24"/>
  <c r="AE14" i="24"/>
  <c r="Z14" i="24"/>
  <c r="T14" i="24"/>
  <c r="O14" i="24"/>
  <c r="J14" i="24"/>
  <c r="AD14" i="24"/>
  <c r="X14" i="24"/>
  <c r="S14" i="24"/>
  <c r="N14" i="24"/>
  <c r="N16" i="24" s="1"/>
  <c r="P7" i="25" s="1"/>
  <c r="G48" i="14" s="1"/>
  <c r="AF14" i="24"/>
  <c r="AA14" i="24"/>
  <c r="V14" i="24"/>
  <c r="P14" i="24"/>
  <c r="K14" i="24"/>
  <c r="W14" i="24"/>
  <c r="T17" i="24"/>
  <c r="B10" i="25"/>
  <c r="B26" i="23"/>
  <c r="M6" i="24"/>
  <c r="M15" i="24" s="1"/>
  <c r="H6" i="25" s="1"/>
  <c r="Q6" i="24"/>
  <c r="U6" i="24"/>
  <c r="U15" i="24" s="1"/>
  <c r="H14" i="25" s="1"/>
  <c r="Y6" i="24"/>
  <c r="Y16" i="24" s="1"/>
  <c r="P18" i="25" s="1"/>
  <c r="G59" i="14" s="1"/>
  <c r="AE9" i="24"/>
  <c r="AA9" i="24"/>
  <c r="AA16" i="24" s="1"/>
  <c r="P20" i="25" s="1"/>
  <c r="G61" i="14" s="1"/>
  <c r="W9" i="24"/>
  <c r="S9" i="24"/>
  <c r="O9" i="24"/>
  <c r="K9" i="24"/>
  <c r="M9" i="24"/>
  <c r="R9" i="24"/>
  <c r="X9" i="24"/>
  <c r="AC9" i="24"/>
  <c r="AC10" i="24"/>
  <c r="Y10" i="24"/>
  <c r="U10" i="24"/>
  <c r="Q10" i="24"/>
  <c r="M10" i="24"/>
  <c r="L10" i="24"/>
  <c r="R10" i="24"/>
  <c r="R16" i="24" s="1"/>
  <c r="P11" i="25" s="1"/>
  <c r="G52" i="14" s="1"/>
  <c r="W10" i="24"/>
  <c r="AB10" i="24"/>
  <c r="L12" i="25"/>
  <c r="L23" i="25"/>
  <c r="K27" i="28"/>
  <c r="K31" i="28"/>
  <c r="J9" i="24"/>
  <c r="P9" i="24"/>
  <c r="U9" i="24"/>
  <c r="Z9" i="24"/>
  <c r="AF9" i="24"/>
  <c r="AF16" i="24" s="1"/>
  <c r="P25" i="25" s="1"/>
  <c r="G66" i="14" s="1"/>
  <c r="J10" i="24"/>
  <c r="O10" i="24"/>
  <c r="T10" i="24"/>
  <c r="Z10" i="24"/>
  <c r="AE10" i="24"/>
  <c r="K33" i="28"/>
  <c r="K29" i="28"/>
  <c r="K25" i="28"/>
  <c r="K21" i="28"/>
  <c r="K17" i="28"/>
  <c r="K13" i="28"/>
  <c r="K9" i="28"/>
  <c r="K5" i="28"/>
  <c r="K36" i="28"/>
  <c r="K32" i="28"/>
  <c r="K28" i="28"/>
  <c r="K24" i="28"/>
  <c r="K20" i="28"/>
  <c r="K16" i="28"/>
  <c r="K12" i="28"/>
  <c r="K8" i="28"/>
  <c r="K4" i="28"/>
  <c r="K34" i="28"/>
  <c r="K30" i="28"/>
  <c r="K26" i="28"/>
  <c r="K22" i="28"/>
  <c r="K18" i="28"/>
  <c r="K14" i="28"/>
  <c r="K10" i="28"/>
  <c r="K6" i="28"/>
  <c r="K2" i="28"/>
  <c r="K23" i="28"/>
  <c r="K7" i="28"/>
  <c r="K35" i="28"/>
  <c r="K19" i="28"/>
  <c r="K3" i="28"/>
  <c r="E9" i="14"/>
  <c r="N17" i="15"/>
  <c r="B22" i="24"/>
  <c r="L6" i="24"/>
  <c r="P6" i="24"/>
  <c r="T6" i="24"/>
  <c r="X6" i="24"/>
  <c r="X15" i="24" s="1"/>
  <c r="H17" i="25" s="1"/>
  <c r="AB6" i="24"/>
  <c r="AB15" i="24" s="1"/>
  <c r="H21" i="25" s="1"/>
  <c r="AC8" i="24"/>
  <c r="Y8" i="24"/>
  <c r="U8" i="24"/>
  <c r="Q8" i="24"/>
  <c r="M8" i="24"/>
  <c r="L8" i="24"/>
  <c r="R8" i="24"/>
  <c r="W8" i="24"/>
  <c r="AB8" i="24"/>
  <c r="L9" i="24"/>
  <c r="Q9" i="24"/>
  <c r="V9" i="24"/>
  <c r="V15" i="24" s="1"/>
  <c r="H15" i="25" s="1"/>
  <c r="AB9" i="24"/>
  <c r="K10" i="24"/>
  <c r="P10" i="24"/>
  <c r="V10" i="24"/>
  <c r="AA10" i="24"/>
  <c r="AF10" i="24"/>
  <c r="B8" i="25"/>
  <c r="K15" i="28"/>
  <c r="B7" i="25"/>
  <c r="B9" i="25" s="1"/>
  <c r="O23" i="25"/>
  <c r="X16" i="24" l="1"/>
  <c r="P17" i="25" s="1"/>
  <c r="G58" i="14" s="1"/>
  <c r="N15" i="24"/>
  <c r="H7" i="25" s="1"/>
  <c r="L16" i="24"/>
  <c r="P5" i="25" s="1"/>
  <c r="G46" i="14" s="1"/>
  <c r="Y15" i="24"/>
  <c r="H18" i="25" s="1"/>
  <c r="N23" i="15" s="1"/>
  <c r="AB16" i="24"/>
  <c r="P21" i="25" s="1"/>
  <c r="G62" i="14" s="1"/>
  <c r="P15" i="24"/>
  <c r="H9" i="25" s="1"/>
  <c r="Q9" i="25" s="1"/>
  <c r="H50" i="14" s="1"/>
  <c r="M16" i="24"/>
  <c r="P6" i="25" s="1"/>
  <c r="G47" i="14" s="1"/>
  <c r="T16" i="24"/>
  <c r="P13" i="25" s="1"/>
  <c r="G54" i="14" s="1"/>
  <c r="Q16" i="24"/>
  <c r="P10" i="25" s="1"/>
  <c r="G51" i="14" s="1"/>
  <c r="Q17" i="25"/>
  <c r="H58" i="14" s="1"/>
  <c r="O17" i="25"/>
  <c r="N22" i="15"/>
  <c r="L17" i="25"/>
  <c r="B58" i="14"/>
  <c r="Q8" i="25"/>
  <c r="H49" i="14" s="1"/>
  <c r="O8" i="25"/>
  <c r="L8" i="25"/>
  <c r="N13" i="15"/>
  <c r="B49" i="14"/>
  <c r="Q24" i="25"/>
  <c r="H65" i="14" s="1"/>
  <c r="L24" i="25"/>
  <c r="N29" i="15"/>
  <c r="O24" i="25"/>
  <c r="B65" i="14"/>
  <c r="O9" i="25"/>
  <c r="N14" i="15"/>
  <c r="Q11" i="25"/>
  <c r="H52" i="14" s="1"/>
  <c r="O11" i="25"/>
  <c r="L11" i="25"/>
  <c r="N16" i="15"/>
  <c r="B52" i="14"/>
  <c r="B11" i="25"/>
  <c r="E21" i="14"/>
  <c r="J10" i="6"/>
  <c r="Q6" i="25"/>
  <c r="H47" i="14" s="1"/>
  <c r="O6" i="25"/>
  <c r="L6" i="25"/>
  <c r="N11" i="15"/>
  <c r="B47" i="14"/>
  <c r="O4" i="25"/>
  <c r="N9" i="15"/>
  <c r="L4" i="25"/>
  <c r="B45" i="14"/>
  <c r="Q20" i="25"/>
  <c r="H61" i="14" s="1"/>
  <c r="L20" i="25"/>
  <c r="N25" i="15"/>
  <c r="O20" i="25"/>
  <c r="B61" i="14"/>
  <c r="O14" i="25"/>
  <c r="L14" i="25"/>
  <c r="N19" i="15"/>
  <c r="B55" i="14"/>
  <c r="L19" i="25"/>
  <c r="O19" i="25"/>
  <c r="N24" i="15"/>
  <c r="B60" i="14"/>
  <c r="Q7" i="25"/>
  <c r="H48" i="14" s="1"/>
  <c r="O7" i="25"/>
  <c r="L7" i="25"/>
  <c r="N12" i="15"/>
  <c r="B48" i="14"/>
  <c r="O18" i="25"/>
  <c r="Q18" i="25"/>
  <c r="H59" i="14" s="1"/>
  <c r="B59" i="14"/>
  <c r="O22" i="25"/>
  <c r="L22" i="25"/>
  <c r="N27" i="15"/>
  <c r="B63" i="14"/>
  <c r="L16" i="25"/>
  <c r="O16" i="25"/>
  <c r="N21" i="15"/>
  <c r="B57" i="14"/>
  <c r="L15" i="25"/>
  <c r="O15" i="25"/>
  <c r="N20" i="15"/>
  <c r="B56" i="14"/>
  <c r="Q21" i="25"/>
  <c r="H62" i="14" s="1"/>
  <c r="O21" i="25"/>
  <c r="L21" i="25"/>
  <c r="N26" i="15"/>
  <c r="B62" i="14"/>
  <c r="I9" i="4"/>
  <c r="B19" i="4"/>
  <c r="D18" i="14"/>
  <c r="J15" i="24"/>
  <c r="H3" i="25" s="1"/>
  <c r="P16" i="24"/>
  <c r="P9" i="25" s="1"/>
  <c r="G50" i="14" s="1"/>
  <c r="U16" i="24"/>
  <c r="P14" i="25" s="1"/>
  <c r="G55" i="14" s="1"/>
  <c r="AC16" i="24"/>
  <c r="P22" i="25" s="1"/>
  <c r="G63" i="14" s="1"/>
  <c r="W16" i="24"/>
  <c r="P16" i="25" s="1"/>
  <c r="G57" i="14" s="1"/>
  <c r="G22" i="9"/>
  <c r="G20" i="9"/>
  <c r="G18" i="9"/>
  <c r="G16" i="9"/>
  <c r="G14" i="9"/>
  <c r="G19" i="9"/>
  <c r="G15" i="9"/>
  <c r="G21" i="9"/>
  <c r="G13" i="9"/>
  <c r="G17" i="9"/>
  <c r="B17" i="23"/>
  <c r="B18" i="23" s="1"/>
  <c r="F10" i="3" s="1"/>
  <c r="E37" i="3"/>
  <c r="D19" i="14"/>
  <c r="B22" i="4"/>
  <c r="I10" i="4"/>
  <c r="V16" i="24"/>
  <c r="P15" i="25" s="1"/>
  <c r="G56" i="14" s="1"/>
  <c r="L15" i="24"/>
  <c r="H5" i="25" s="1"/>
  <c r="Z16" i="24"/>
  <c r="P19" i="25" s="1"/>
  <c r="G60" i="14" s="1"/>
  <c r="I10" i="5"/>
  <c r="D23" i="14"/>
  <c r="D44" i="14"/>
  <c r="D42" i="13"/>
  <c r="B13" i="25"/>
  <c r="G10" i="6"/>
  <c r="D21" i="14"/>
  <c r="O17" i="15"/>
  <c r="F53" i="14"/>
  <c r="B23" i="23"/>
  <c r="F9" i="3"/>
  <c r="AD16" i="24"/>
  <c r="P23" i="25" s="1"/>
  <c r="G64" i="14" s="1"/>
  <c r="Q15" i="24"/>
  <c r="H10" i="25" s="1"/>
  <c r="I21" i="9"/>
  <c r="I19" i="9"/>
  <c r="I17" i="9"/>
  <c r="I15" i="9"/>
  <c r="I13" i="9"/>
  <c r="I23" i="9"/>
  <c r="I16" i="9"/>
  <c r="I20" i="9"/>
  <c r="I18" i="9"/>
  <c r="I22" i="9"/>
  <c r="I14" i="9"/>
  <c r="B12" i="25"/>
  <c r="E22" i="14"/>
  <c r="J11" i="6"/>
  <c r="O28" i="15"/>
  <c r="F64" i="14"/>
  <c r="D22" i="14"/>
  <c r="G11" i="6"/>
  <c r="D20" i="14"/>
  <c r="B20" i="4"/>
  <c r="I11" i="4"/>
  <c r="H14" i="11"/>
  <c r="D14" i="11"/>
  <c r="H13" i="11"/>
  <c r="D13" i="11"/>
  <c r="H12" i="11"/>
  <c r="D12" i="11"/>
  <c r="E14" i="11"/>
  <c r="A14" i="11"/>
  <c r="E13" i="11"/>
  <c r="A13" i="11"/>
  <c r="E12" i="11"/>
  <c r="A12" i="11"/>
  <c r="C14" i="11"/>
  <c r="C13" i="11"/>
  <c r="C12" i="11"/>
  <c r="G14" i="11"/>
  <c r="G13" i="11"/>
  <c r="G12" i="11"/>
  <c r="F14" i="11"/>
  <c r="F13" i="11"/>
  <c r="F12" i="11"/>
  <c r="B12" i="11"/>
  <c r="B14" i="11"/>
  <c r="B13" i="11"/>
  <c r="F17" i="14"/>
  <c r="K10" i="3"/>
  <c r="T15" i="24"/>
  <c r="H13" i="25" s="1"/>
  <c r="B25" i="23"/>
  <c r="K9" i="3" s="1"/>
  <c r="K16" i="24"/>
  <c r="P4" i="25" s="1"/>
  <c r="G45" i="14" s="1"/>
  <c r="AF15" i="24"/>
  <c r="H25" i="25" s="1"/>
  <c r="E14" i="12"/>
  <c r="A14" i="12"/>
  <c r="E13" i="12"/>
  <c r="A13" i="12"/>
  <c r="E12" i="12"/>
  <c r="A12" i="12"/>
  <c r="F14" i="12"/>
  <c r="B14" i="12"/>
  <c r="F13" i="12"/>
  <c r="B13" i="12"/>
  <c r="F12" i="12"/>
  <c r="B12" i="12"/>
  <c r="G14" i="12"/>
  <c r="G13" i="12"/>
  <c r="G12" i="12"/>
  <c r="C14" i="12"/>
  <c r="C13" i="12"/>
  <c r="C12" i="12"/>
  <c r="H14" i="12"/>
  <c r="H13" i="12"/>
  <c r="H12" i="12"/>
  <c r="D14" i="12"/>
  <c r="D13" i="12"/>
  <c r="D12" i="12"/>
  <c r="B23" i="14"/>
  <c r="I11" i="5"/>
  <c r="F23" i="14" s="1"/>
  <c r="M43" i="14" l="1"/>
  <c r="L18" i="25"/>
  <c r="F59" i="14" s="1"/>
  <c r="L9" i="25"/>
  <c r="Q19" i="25"/>
  <c r="H60" i="14" s="1"/>
  <c r="B50" i="14"/>
  <c r="K21" i="9"/>
  <c r="H21" i="9"/>
  <c r="J21" i="9" s="1"/>
  <c r="L21" i="9"/>
  <c r="N21" i="9"/>
  <c r="O23" i="15"/>
  <c r="F48" i="14"/>
  <c r="O12" i="15"/>
  <c r="O25" i="15"/>
  <c r="F61" i="14"/>
  <c r="O29" i="15"/>
  <c r="F65" i="14"/>
  <c r="O13" i="15"/>
  <c r="F49" i="14"/>
  <c r="O22" i="15"/>
  <c r="F58" i="14"/>
  <c r="Q13" i="25"/>
  <c r="H54" i="14" s="1"/>
  <c r="O13" i="25"/>
  <c r="L13" i="25"/>
  <c r="N18" i="15"/>
  <c r="B54" i="14"/>
  <c r="F22" i="14"/>
  <c r="K11" i="6"/>
  <c r="Q10" i="25"/>
  <c r="H51" i="14" s="1"/>
  <c r="O10" i="25"/>
  <c r="L10" i="25"/>
  <c r="N15" i="15"/>
  <c r="B51" i="14"/>
  <c r="N15" i="9"/>
  <c r="L15" i="9"/>
  <c r="K15" i="9"/>
  <c r="H15" i="9"/>
  <c r="J15" i="9" s="1"/>
  <c r="K18" i="9"/>
  <c r="H18" i="9"/>
  <c r="J18" i="9" s="1"/>
  <c r="N18" i="9"/>
  <c r="L18" i="9"/>
  <c r="F56" i="14"/>
  <c r="O20" i="15"/>
  <c r="O21" i="15"/>
  <c r="F57" i="14"/>
  <c r="Q22" i="25"/>
  <c r="H63" i="14" s="1"/>
  <c r="O11" i="15"/>
  <c r="F47" i="14"/>
  <c r="F52" i="14"/>
  <c r="O16" i="15"/>
  <c r="Q25" i="25"/>
  <c r="H66" i="14" s="1"/>
  <c r="O25" i="25"/>
  <c r="L25" i="25"/>
  <c r="B66" i="14"/>
  <c r="N30" i="15"/>
  <c r="H17" i="9"/>
  <c r="J17" i="9" s="1"/>
  <c r="K17" i="9"/>
  <c r="N17" i="9"/>
  <c r="L17" i="9"/>
  <c r="L19" i="9"/>
  <c r="N19" i="9"/>
  <c r="H19" i="9"/>
  <c r="J19" i="9" s="1"/>
  <c r="K19" i="9"/>
  <c r="K20" i="9"/>
  <c r="L20" i="9"/>
  <c r="N20" i="9"/>
  <c r="H20" i="9"/>
  <c r="J20" i="9" s="1"/>
  <c r="O26" i="15"/>
  <c r="F62" i="14"/>
  <c r="Q16" i="25"/>
  <c r="H57" i="14" s="1"/>
  <c r="O27" i="15"/>
  <c r="F63" i="14"/>
  <c r="Q14" i="25"/>
  <c r="H55" i="14" s="1"/>
  <c r="Q4" i="25"/>
  <c r="H45" i="14" s="1"/>
  <c r="F21" i="14"/>
  <c r="K10" i="6"/>
  <c r="O14" i="15"/>
  <c r="F50" i="14"/>
  <c r="A28" i="14"/>
  <c r="F13" i="3"/>
  <c r="B2" i="24"/>
  <c r="B17" i="14"/>
  <c r="A9" i="14"/>
  <c r="K16" i="9"/>
  <c r="N16" i="9"/>
  <c r="L16" i="9"/>
  <c r="H16" i="9"/>
  <c r="J16" i="9" s="1"/>
  <c r="O3" i="25"/>
  <c r="L3" i="25"/>
  <c r="N8" i="15"/>
  <c r="Q3" i="25"/>
  <c r="B44" i="14"/>
  <c r="A42" i="13"/>
  <c r="Q5" i="25"/>
  <c r="H46" i="14" s="1"/>
  <c r="O5" i="25"/>
  <c r="L5" i="25"/>
  <c r="N10" i="15"/>
  <c r="B46" i="14"/>
  <c r="K13" i="9"/>
  <c r="H13" i="9"/>
  <c r="L13" i="9"/>
  <c r="N13" i="9"/>
  <c r="K14" i="9"/>
  <c r="H14" i="9"/>
  <c r="J14" i="9" s="1"/>
  <c r="L14" i="9"/>
  <c r="N14" i="9"/>
  <c r="K22" i="9"/>
  <c r="H22" i="9"/>
  <c r="J22" i="9" s="1"/>
  <c r="L22" i="9"/>
  <c r="N22" i="9"/>
  <c r="Q15" i="25"/>
  <c r="H56" i="14" s="1"/>
  <c r="F60" i="14"/>
  <c r="O24" i="15"/>
  <c r="O19" i="15"/>
  <c r="F55" i="14"/>
  <c r="O9" i="15"/>
  <c r="F45" i="14"/>
  <c r="O30" i="15" l="1"/>
  <c r="F66" i="14"/>
  <c r="K23" i="9"/>
  <c r="L23" i="9" s="1"/>
  <c r="H44" i="14"/>
  <c r="K43" i="14" s="1"/>
  <c r="J42" i="13"/>
  <c r="O15" i="15"/>
  <c r="F51" i="14"/>
  <c r="H23" i="9"/>
  <c r="J23" i="9" s="1"/>
  <c r="J13" i="9"/>
  <c r="O10" i="15"/>
  <c r="F46" i="14"/>
  <c r="F44" i="14"/>
  <c r="O8" i="15"/>
  <c r="G42" i="13"/>
  <c r="B16" i="24"/>
  <c r="B14" i="24"/>
  <c r="B12" i="24"/>
  <c r="B8" i="4"/>
  <c r="O18" i="15"/>
  <c r="F54" i="14"/>
  <c r="B17" i="24" l="1"/>
  <c r="G11" i="4" s="1"/>
  <c r="H11" i="4" s="1"/>
  <c r="B24" i="24"/>
  <c r="F11" i="4"/>
  <c r="B20" i="14"/>
  <c r="B15" i="24"/>
  <c r="G10" i="4" s="1"/>
  <c r="H10" i="4" s="1"/>
  <c r="B19" i="14"/>
  <c r="F10" i="4"/>
  <c r="B13" i="24"/>
  <c r="B23" i="24"/>
  <c r="B18" i="14"/>
  <c r="F9" i="4"/>
  <c r="B18" i="24" l="1"/>
  <c r="G9" i="4"/>
  <c r="H9" i="4" s="1"/>
  <c r="E20" i="14"/>
  <c r="F20" i="14" s="1"/>
  <c r="J11" i="4"/>
  <c r="E18" i="14"/>
  <c r="F18" i="14" s="1"/>
  <c r="M9" i="14" s="1"/>
  <c r="J9" i="4"/>
  <c r="B19" i="24" l="1"/>
  <c r="H12" i="4" s="1"/>
  <c r="B20" i="24"/>
  <c r="B28" i="24" s="1"/>
  <c r="G12" i="4"/>
  <c r="I9" i="14" l="1"/>
  <c r="B24" i="4"/>
</calcChain>
</file>

<file path=xl/sharedStrings.xml><?xml version="1.0" encoding="utf-8"?>
<sst xmlns="http://schemas.openxmlformats.org/spreadsheetml/2006/main" count="34748" uniqueCount="7905">
  <si>
    <t>NUTRIMETRÍA · NMX-43  |  INICIO</t>
  </si>
  <si>
    <t>Panel de control y navegación del portafolio académico.</t>
  </si>
  <si>
    <t>NMX-43 · Portafolio de Bases de la Nutrición I y II</t>
  </si>
  <si>
    <t>NUTRIENTES
23</t>
  </si>
  <si>
    <t>FASE ACTUAL
9</t>
  </si>
  <si>
    <t>ACCESOS RÁPIDOS</t>
  </si>
  <si>
    <t>Hoja</t>
  </si>
  <si>
    <t>Propósito</t>
  </si>
  <si>
    <t>INDICE_UDD</t>
  </si>
  <si>
    <t>FICHAS_ECUACIONES</t>
  </si>
  <si>
    <t>COMPARADOR_CRITERIOS</t>
  </si>
  <si>
    <t>CASOS_CICLO_VITAL</t>
  </si>
  <si>
    <t>PROTOCOLOS_RESUMIDOS</t>
  </si>
  <si>
    <t>Protocolos resumidos</t>
  </si>
  <si>
    <t>GLOSARIO_CLINICO</t>
  </si>
  <si>
    <t>Glosario</t>
  </si>
  <si>
    <t>FUENTES_UDD</t>
  </si>
  <si>
    <t>COBERTURA_UDD</t>
  </si>
  <si>
    <t>PRUEBAS_UDD</t>
  </si>
  <si>
    <t>NUTRIMETRÍA · NMX-43  |  DATOS</t>
  </si>
  <si>
    <t>Entradas principales del caso académico.</t>
  </si>
  <si>
    <t>CASO ACADÉMICO · ENTRADAS EDITABLES</t>
  </si>
  <si>
    <t>Código del caso</t>
  </si>
  <si>
    <t>CASO-DEMO-01</t>
  </si>
  <si>
    <t>Identificador interno</t>
  </si>
  <si>
    <t>RESUMEN AUTOMÁTICO</t>
  </si>
  <si>
    <t>Nombre opcional</t>
  </si>
  <si>
    <t>Caso demostrativo</t>
  </si>
  <si>
    <t>Texto</t>
  </si>
  <si>
    <t>Edad equivalente (años)</t>
  </si>
  <si>
    <t>Fecha</t>
  </si>
  <si>
    <t>Edad equivalente (meses)</t>
  </si>
  <si>
    <t>Edad</t>
  </si>
  <si>
    <t>Años o meses</t>
  </si>
  <si>
    <t>IMC informativo</t>
  </si>
  <si>
    <t>Unidad de edad</t>
  </si>
  <si>
    <t>Años</t>
  </si>
  <si>
    <t>Lista</t>
  </si>
  <si>
    <t>Suma de macros (%)</t>
  </si>
  <si>
    <t>Sexo</t>
  </si>
  <si>
    <t>Femenino</t>
  </si>
  <si>
    <t>Estado de entrada</t>
  </si>
  <si>
    <t>Peso</t>
  </si>
  <si>
    <t>kg</t>
  </si>
  <si>
    <t>Uso</t>
  </si>
  <si>
    <t>Académico; no diagnóstico</t>
  </si>
  <si>
    <t>Talla</t>
  </si>
  <si>
    <t>cm</t>
  </si>
  <si>
    <t>Estado fisiológico</t>
  </si>
  <si>
    <t>Ninguno</t>
  </si>
  <si>
    <t>Advertencia: los resultados son estimaciones poblacionales. El requerimiento energético individual debe contrastarse con evolución del peso, crecimiento, gestación o lactancia y con el contexto clínico.</t>
  </si>
  <si>
    <t>Actividad NASEM</t>
  </si>
  <si>
    <t>Poco activo</t>
  </si>
  <si>
    <t>Actividad FAO 6–18</t>
  </si>
  <si>
    <t>Ligera</t>
  </si>
  <si>
    <t>Método energético</t>
  </si>
  <si>
    <t>Schofield × PAL</t>
  </si>
  <si>
    <t>PAL manual Schofield</t>
  </si>
  <si>
    <t>múltiplo BMR</t>
  </si>
  <si>
    <t>Semanas de gestación</t>
  </si>
  <si>
    <t>0–42</t>
  </si>
  <si>
    <t>IMC pregestacional</t>
  </si>
  <si>
    <t>Normal</t>
  </si>
  <si>
    <t>Meses posparto</t>
  </si>
  <si>
    <t>0–12</t>
  </si>
  <si>
    <t>Tipo de lactancia</t>
  </si>
  <si>
    <t>No aplica</t>
  </si>
  <si>
    <t>Modo de macronutrientes</t>
  </si>
  <si>
    <t>Porcentual</t>
  </si>
  <si>
    <t>Proteína seleccionada</t>
  </si>
  <si>
    <t>g/kg/día</t>
  </si>
  <si>
    <t>Proteína</t>
  </si>
  <si>
    <t>% energía</t>
  </si>
  <si>
    <t>Lípidos</t>
  </si>
  <si>
    <t>Carbohidratos</t>
  </si>
  <si>
    <t>Agua consumida</t>
  </si>
  <si>
    <t>L/día</t>
  </si>
  <si>
    <t>Fibra consumida</t>
  </si>
  <si>
    <t>g/día</t>
  </si>
  <si>
    <t>Energía manual</t>
  </si>
  <si>
    <t>kcal/día</t>
  </si>
  <si>
    <t>NUTRIMETRÍA · NMX-43  |  ENERGÍA</t>
  </si>
  <si>
    <t>Motores activos: Schofield 1985, FAO/WHO/UNU 2004, factorial de 24 horas y NASEM EER 2023.</t>
  </si>
  <si>
    <t>DATOS DEL CASO</t>
  </si>
  <si>
    <t>Edad equivalente</t>
  </si>
  <si>
    <t>años</t>
  </si>
  <si>
    <t>BMR Schofield 1985</t>
  </si>
  <si>
    <t>kcal/d</t>
  </si>
  <si>
    <t>Indicador</t>
  </si>
  <si>
    <t>Resultado</t>
  </si>
  <si>
    <t>GET Schofield × PAL</t>
  </si>
  <si>
    <t>Diferencia NASEM vs Schofield (%)</t>
  </si>
  <si>
    <t>GET método factorial</t>
  </si>
  <si>
    <t>Alerta</t>
  </si>
  <si>
    <t>EER FAO 2004 (0–18)</t>
  </si>
  <si>
    <t>Uso de resultado</t>
  </si>
  <si>
    <t>Estimación educativa</t>
  </si>
  <si>
    <t>EER NASEM 2023</t>
  </si>
  <si>
    <t>Criterio de control</t>
  </si>
  <si>
    <t>Monitorear peso/crecimiento</t>
  </si>
  <si>
    <t>Resultado seleccionado</t>
  </si>
  <si>
    <t>Actividad FAO</t>
  </si>
  <si>
    <t>Método seleccionado</t>
  </si>
  <si>
    <t>Schofield estima metabolismo basal a partir de peso, edad y sexo. El método factorial combina BMR con horas y razones de actividad física (PAR). FAO pediátrico incorpora gasto y crecimiento. NASEM 2023 se presenta como comparador moderno y contempla embarazo/lactancia con entradas adicionales.</t>
  </si>
  <si>
    <t>PAL manual</t>
  </si>
  <si>
    <t>Método recomendado</t>
  </si>
  <si>
    <t>Instrucciones:
1) Asigne una actividad a cada fila.
2) Registre horas hasta completar 24.
3) El PAL se calcula como Σ(horas × PAR) / 24.
4) Si el total no es 24, el resultado queda ND.
Los PAR son ejemplos de FAO/WHO/UNU y no sustituyen una medición individual.</t>
  </si>
  <si>
    <t>MÉTODO FACTORIAL · 24 HORAS</t>
  </si>
  <si>
    <t>Actividad</t>
  </si>
  <si>
    <t>Horas/día</t>
  </si>
  <si>
    <t>PAR</t>
  </si>
  <si>
    <t>Horas × PAR</t>
  </si>
  <si>
    <t>Fuente/nota</t>
  </si>
  <si>
    <t>Estado</t>
  </si>
  <si>
    <t>Dormir</t>
  </si>
  <si>
    <t>Cuidado personal</t>
  </si>
  <si>
    <t>Comer</t>
  </si>
  <si>
    <t>Sentado / oficina</t>
  </si>
  <si>
    <t>Trabajo doméstico general</t>
  </si>
  <si>
    <t>Conducir automóvil</t>
  </si>
  <si>
    <t>Caminar sin carga</t>
  </si>
  <si>
    <t>Ocio ligero</t>
  </si>
  <si>
    <t>Viaje en bus</t>
  </si>
  <si>
    <t>Total horas</t>
  </si>
  <si>
    <t>Suma horas×PAR</t>
  </si>
  <si>
    <t>PAL factorial</t>
  </si>
  <si>
    <t>GET factorial</t>
  </si>
  <si>
    <t>NUTRIMETRÍA · NMX-43  |  MACRONUTRIENTES</t>
  </si>
  <si>
    <t>Distribución por porcentaje o proteína g/kg, conversión 4-9-4, DRI y AMDR.</t>
  </si>
  <si>
    <t>ENTRADAS DE DISTRIBUCIÓN</t>
  </si>
  <si>
    <t>Energía seleccionada</t>
  </si>
  <si>
    <t>Componente</t>
  </si>
  <si>
    <t>Referencia</t>
  </si>
  <si>
    <t>Adecuación</t>
  </si>
  <si>
    <t>Modo</t>
  </si>
  <si>
    <t>g/kg/d</t>
  </si>
  <si>
    <t>%</t>
  </si>
  <si>
    <t>TOTAL</t>
  </si>
  <si>
    <t>CHO</t>
  </si>
  <si>
    <t>REFERENCIAS Y CONTROL</t>
  </si>
  <si>
    <t>Interpretación académica:
• RDA/AI y AMDR son referencias diferentes.
• El modo porcentual convierte energía a gramos mediante factores 4-9-4.
• El modo g/kg fija proteína, conserva el porcentaje de grasa y calcula CHO como residuo.
• Un porcentaje de adecuación no sustituye la evaluación clínica ni implica seguridad por sobre la referencia.</t>
  </si>
  <si>
    <t>Interpretación</t>
  </si>
  <si>
    <t>RDA/AI proteína</t>
  </si>
  <si>
    <t>RDA/AI carbohidratos</t>
  </si>
  <si>
    <t>AMDR proteína</t>
  </si>
  <si>
    <t>AMDR lípidos</t>
  </si>
  <si>
    <t>AMDR CHO</t>
  </si>
  <si>
    <t>Cierre energético</t>
  </si>
  <si>
    <t>Tolerancia configurable</t>
  </si>
  <si>
    <t>NUTRIMETRÍA · NMX-43  |  ÍNDICE_CARGA_GLICÉMICA</t>
  </si>
  <si>
    <t>Cálculo por porción, clasificación y trazabilidad del valor publicado.</t>
  </si>
  <si>
    <t>ÍNDICE Y CARGA GLICÉMICA · CÁLCULO EDUCATIVO</t>
  </si>
  <si>
    <t>Entrada</t>
  </si>
  <si>
    <t>Valor</t>
  </si>
  <si>
    <t>Unidad/estado</t>
  </si>
  <si>
    <t>Fuente o nota</t>
  </si>
  <si>
    <t>Unidad</t>
  </si>
  <si>
    <t>Clasificación</t>
  </si>
  <si>
    <t>Fuente_ID</t>
  </si>
  <si>
    <t>Alimento o categoría</t>
  </si>
  <si>
    <t>Productos lácteos (promedio de categoría)</t>
  </si>
  <si>
    <t>IG_BASE</t>
  </si>
  <si>
    <t>Índice glicémico</t>
  </si>
  <si>
    <t>IG recuperado</t>
  </si>
  <si>
    <t>Glucosa=100</t>
  </si>
  <si>
    <t>Automático</t>
  </si>
  <si>
    <t>Carga glicémica</t>
  </si>
  <si>
    <t>IG manual (opcional)</t>
  </si>
  <si>
    <t>0–100</t>
  </si>
  <si>
    <t>Sobrescribe el recuperado</t>
  </si>
  <si>
    <t>Carbohidratos disponibles</t>
  </si>
  <si>
    <t>g</t>
  </si>
  <si>
    <t>IG efectivo</t>
  </si>
  <si>
    <t>Usado en el cálculo</t>
  </si>
  <si>
    <t>Escala de IG</t>
  </si>
  <si>
    <t>CHO disponibles por porción</t>
  </si>
  <si>
    <t>Entrada del usuario</t>
  </si>
  <si>
    <t>Advertencia</t>
  </si>
  <si>
    <t>Descripción de porción</t>
  </si>
  <si>
    <t>Porción con 30 g de CHO disponibles</t>
  </si>
  <si>
    <t>texto</t>
  </si>
  <si>
    <t>Opcional</t>
  </si>
  <si>
    <t>Fuente específica del valor manual</t>
  </si>
  <si>
    <t>texto/URL</t>
  </si>
  <si>
    <t>Obligatoria si se usa IG manual</t>
  </si>
  <si>
    <t>FÓRMULA, CLASIFICACIÓN Y USO CORRECTO</t>
  </si>
  <si>
    <t>Carga glicémica = índice glicémico × gramos de carbohidratos disponibles de la porción ÷ 100. Clasificación configurada: IG bajo ≤55, medio 56–69 y alto ≥70; carga glicémica baja ≤10, media 11–19 y alta ≥20. Los valores de categoría incluidos son promedios educativos y no deben asignarse automáticamente a un producto o preparación concreta. Para un caso real, utilice un valor publicado que coincida con el alimento, método y preparación, y registre la fuente.</t>
  </si>
  <si>
    <t>TRAZABILIDAD DEL REGISTRO SELECCIONADO</t>
  </si>
  <si>
    <t>ID</t>
  </si>
  <si>
    <t>Alimento publicado</t>
  </si>
  <si>
    <t>Preparación/alcance</t>
  </si>
  <si>
    <t>Ámbito</t>
  </si>
  <si>
    <t>IG</t>
  </si>
  <si>
    <t>Escala</t>
  </si>
  <si>
    <t>Año</t>
  </si>
  <si>
    <t>Observaciones</t>
  </si>
  <si>
    <t>NUTRIMETRÍA · NMX-43  |  AGUA_FIBRA</t>
  </si>
  <si>
    <t>AI de agua total y fibra según edad, sexo y estado fisiológico.</t>
  </si>
  <si>
    <t>AGUA Y FIBRA · REFERENCIAS DRI Y ADECUACIÓN</t>
  </si>
  <si>
    <t>Procedencia</t>
  </si>
  <si>
    <t>Ingesta</t>
  </si>
  <si>
    <t>Adecuación (%)</t>
  </si>
  <si>
    <t>Agua total ingresada</t>
  </si>
  <si>
    <t>L/d</t>
  </si>
  <si>
    <t>DATOS</t>
  </si>
  <si>
    <t>Agua total</t>
  </si>
  <si>
    <t>Fibra dietaria ingresada</t>
  </si>
  <si>
    <t>g/d</t>
  </si>
  <si>
    <t>Fibra dietaria</t>
  </si>
  <si>
    <t>INTERPRETACIÓN Y LÍMITES</t>
  </si>
  <si>
    <t>El valor de agua corresponde a agua total (bebidas + humedad de los alimentos) cuando se utiliza la AI de los DRI. La cifra no debe interpretarse como una prescripción universal de agua para beber. La fibra se muestra como AI y puede no estar establecida para lactantes menores de 1 año en esta matriz. Los semáforos usan límites técnicos configurables (90–110 %) y no reemplazan la evaluación clínica.</t>
  </si>
  <si>
    <t>DATOS DEL PERFIL</t>
  </si>
  <si>
    <t>Variable</t>
  </si>
  <si>
    <t>NUTRIMETRÍA · NMX-43  |  NUTRIENTES</t>
  </si>
  <si>
    <t>Estructura de NUTRIENTES preparada para el desarrollo por fases.</t>
  </si>
  <si>
    <t>Nombre</t>
  </si>
  <si>
    <t>Símbolo</t>
  </si>
  <si>
    <t>Categoría</t>
  </si>
  <si>
    <t>Subcategoría</t>
  </si>
  <si>
    <t>Unidad principal</t>
  </si>
  <si>
    <t>Presente INTA</t>
  </si>
  <si>
    <t>DRI</t>
  </si>
  <si>
    <t>UL</t>
  </si>
  <si>
    <t>Estado ficha</t>
  </si>
  <si>
    <t>Última revisión</t>
  </si>
  <si>
    <t>MIN-FE</t>
  </si>
  <si>
    <t>Hierro</t>
  </si>
  <si>
    <t>Fe</t>
  </si>
  <si>
    <t>Mineral</t>
  </si>
  <si>
    <t>Oligoelemento</t>
  </si>
  <si>
    <t>mg</t>
  </si>
  <si>
    <t>Sí</t>
  </si>
  <si>
    <t>VERIFICADO_SECUNDARIO</t>
  </si>
  <si>
    <t>MIN-ZN</t>
  </si>
  <si>
    <t>Zinc</t>
  </si>
  <si>
    <t>Zn</t>
  </si>
  <si>
    <t>MIN-CU</t>
  </si>
  <si>
    <t>Cobre</t>
  </si>
  <si>
    <t>Cu</t>
  </si>
  <si>
    <t>MIN-CA</t>
  </si>
  <si>
    <t>Calcio</t>
  </si>
  <si>
    <t>Ca</t>
  </si>
  <si>
    <t>Macromineral</t>
  </si>
  <si>
    <t>MIN-P</t>
  </si>
  <si>
    <t>Fósforo</t>
  </si>
  <si>
    <t>P</t>
  </si>
  <si>
    <t>MIN-SE</t>
  </si>
  <si>
    <t>Selenio</t>
  </si>
  <si>
    <t>Se</t>
  </si>
  <si>
    <t>µg</t>
  </si>
  <si>
    <t>MIN-K</t>
  </si>
  <si>
    <t>Potasio</t>
  </si>
  <si>
    <t>K</t>
  </si>
  <si>
    <t>Electrolito</t>
  </si>
  <si>
    <t>No establecido</t>
  </si>
  <si>
    <t>MIN-MG</t>
  </si>
  <si>
    <t>Magnesio</t>
  </si>
  <si>
    <t>Mg</t>
  </si>
  <si>
    <t>MIN-NA</t>
  </si>
  <si>
    <t>Sodio</t>
  </si>
  <si>
    <t>Na</t>
  </si>
  <si>
    <t>Según sistema</t>
  </si>
  <si>
    <t>MIN-CL</t>
  </si>
  <si>
    <t>Cloruro</t>
  </si>
  <si>
    <t>Cl⁻</t>
  </si>
  <si>
    <t>No</t>
  </si>
  <si>
    <t>VIT-A</t>
  </si>
  <si>
    <t>Vitamina A</t>
  </si>
  <si>
    <t>RAE</t>
  </si>
  <si>
    <t>Vitamina liposoluble</t>
  </si>
  <si>
    <t>Liposoluble</t>
  </si>
  <si>
    <t>µg RAE</t>
  </si>
  <si>
    <t>VIT-D</t>
  </si>
  <si>
    <t>Vitamina D</t>
  </si>
  <si>
    <t>D</t>
  </si>
  <si>
    <t>VIT-E</t>
  </si>
  <si>
    <t>Vitamina E</t>
  </si>
  <si>
    <t>α-TE</t>
  </si>
  <si>
    <t>VIT-K</t>
  </si>
  <si>
    <t>Vitamina K</t>
  </si>
  <si>
    <t>VIT-C</t>
  </si>
  <si>
    <t>Vitamina C</t>
  </si>
  <si>
    <t>C</t>
  </si>
  <si>
    <t>Vitamina hidrosoluble</t>
  </si>
  <si>
    <t>Hidrosoluble</t>
  </si>
  <si>
    <t>VIT-B1</t>
  </si>
  <si>
    <t>Tiamina</t>
  </si>
  <si>
    <t>B1</t>
  </si>
  <si>
    <t>Complejo B</t>
  </si>
  <si>
    <t>VIT-B2</t>
  </si>
  <si>
    <t>Riboflavina</t>
  </si>
  <si>
    <t>B2</t>
  </si>
  <si>
    <t>VIT-B3</t>
  </si>
  <si>
    <t>Niacina</t>
  </si>
  <si>
    <t>B3</t>
  </si>
  <si>
    <t>mg NE</t>
  </si>
  <si>
    <t>VIT-B5</t>
  </si>
  <si>
    <t>Ácido pantoténico</t>
  </si>
  <si>
    <t>B5</t>
  </si>
  <si>
    <t>VIT-B6</t>
  </si>
  <si>
    <t>Vitamina B6</t>
  </si>
  <si>
    <t>B6</t>
  </si>
  <si>
    <t>VIT-B7</t>
  </si>
  <si>
    <t>Biotina</t>
  </si>
  <si>
    <t>B7</t>
  </si>
  <si>
    <t>VIT-B9</t>
  </si>
  <si>
    <t>Folato</t>
  </si>
  <si>
    <t>B9</t>
  </si>
  <si>
    <t>µg DFE</t>
  </si>
  <si>
    <t>VIT-B12</t>
  </si>
  <si>
    <t>Cobalamina</t>
  </si>
  <si>
    <t>B12</t>
  </si>
  <si>
    <t>NUTRIMETRÍA · NMX-43  |  FICHA DE NUTRIENTE</t>
  </si>
  <si>
    <t>Ficha automatizada de consulta rápida para 23 vitaminas y minerales.</t>
  </si>
  <si>
    <t>NUTRIENTE</t>
  </si>
  <si>
    <t>CLASE</t>
  </si>
  <si>
    <t>UNIDAD</t>
  </si>
  <si>
    <t>Use la flecha de la celda amarilla para seleccionar el nutriente.</t>
  </si>
  <si>
    <t>1. IDENTIFICACIÓN</t>
  </si>
  <si>
    <t>2. FUNCIONES FISIOLÓGICAS</t>
  </si>
  <si>
    <t>3. IMPORTANCIA CLÍNICA</t>
  </si>
  <si>
    <t>4. METABOLISMO RESUMIDO</t>
  </si>
  <si>
    <t>5. ABSORCIÓN</t>
  </si>
  <si>
    <t>6. TRANSPORTE Y ALMACENAMIENTO</t>
  </si>
  <si>
    <t>7. EXCRECIÓN</t>
  </si>
  <si>
    <t>8. BIODISPONIBILIDAD</t>
  </si>
  <si>
    <t>9. FUENTES ALIMENTARIAS</t>
  </si>
  <si>
    <t>10. DÉFICIT Y EXCESO</t>
  </si>
  <si>
    <t>11. APLICACIÓN CLÍNICA</t>
  </si>
  <si>
    <t>12. INTERACCIONES DESTACADAS</t>
  </si>
  <si>
    <t>13. BIOMARCADORES</t>
  </si>
  <si>
    <t>14. PERLAS CLÍNICAS</t>
  </si>
  <si>
    <t>15. REFERENCIAS Y ADVERTENCIA</t>
  </si>
  <si>
    <t>NUTRIMETRÍA · NMX-43  |  FUENTES_ALIMENTARIAS</t>
  </si>
  <si>
    <t>Selección de alimentos INTA, cálculo por gramaje, porcentaje de referencia y ranking por 100 g.</t>
  </si>
  <si>
    <t>ENCABEZADO INTA</t>
  </si>
  <si>
    <t>OBJETIVO</t>
  </si>
  <si>
    <t>TIPO</t>
  </si>
  <si>
    <t>LÍMITE</t>
  </si>
  <si>
    <t>DISPONIBLE INTA</t>
  </si>
  <si>
    <t>#</t>
  </si>
  <si>
    <t>Alimento</t>
  </si>
  <si>
    <t>Grupo</t>
  </si>
  <si>
    <t>Porción doméstica</t>
  </si>
  <si>
    <t>Gramaje</t>
  </si>
  <si>
    <t>Valor/100 g</t>
  </si>
  <si>
    <t>Aporte</t>
  </si>
  <si>
    <t>% referencia</t>
  </si>
  <si>
    <t>ND</t>
  </si>
  <si>
    <t>Estado dato</t>
  </si>
  <si>
    <t>Fuente</t>
  </si>
  <si>
    <t>Observación</t>
  </si>
  <si>
    <t>Mango</t>
  </si>
  <si>
    <t>1 taza aprox.</t>
  </si>
  <si>
    <t>Higado de vacuno cocido</t>
  </si>
  <si>
    <t>1 porción</t>
  </si>
  <si>
    <t>Espinaca cocida</t>
  </si>
  <si>
    <t>Huevo entero cocido</t>
  </si>
  <si>
    <t>1 unidad mediana</t>
  </si>
  <si>
    <t>Yogurt natural</t>
  </si>
  <si>
    <t>1 envase</t>
  </si>
  <si>
    <t>Leche fluida entera</t>
  </si>
  <si>
    <t>Leche de Burra</t>
  </si>
  <si>
    <t>Semillas de hinojo</t>
  </si>
  <si>
    <t>Leche evaporada</t>
  </si>
  <si>
    <t>Pan trigo</t>
  </si>
  <si>
    <t>SRC-NMX21</t>
  </si>
  <si>
    <t>El total conocido no convierte los datos s/i en cero.</t>
  </si>
  <si>
    <t>Rango</t>
  </si>
  <si>
    <t>El ranking se expresa por 100 g de porción comestible y no representa una porción recomendada. Las medidas domésticas son textos editables y no provienen de la tabla INTA. Cloruro y biotina permanecen como ND porque no están disponibles en la base alimentaria incorporada.</t>
  </si>
  <si>
    <t>NUTRIMETRÍA · NMX-43  |  REQUERIMIENTOS</t>
  </si>
  <si>
    <t>Consulta automática de RDA/AI y UL/CDRR por edad, sexo y estado fisiológico.</t>
  </si>
  <si>
    <t>EDAD</t>
  </si>
  <si>
    <t>SEXO</t>
  </si>
  <si>
    <t>ESTADO</t>
  </si>
  <si>
    <t>GRUPO RESUELTO</t>
  </si>
  <si>
    <t>TIPO LÍMITE</t>
  </si>
  <si>
    <t>FUENTE</t>
  </si>
  <si>
    <t>EAR</t>
  </si>
  <si>
    <t>RDA</t>
  </si>
  <si>
    <t>AI</t>
  </si>
  <si>
    <t>Objetivo</t>
  </si>
  <si>
    <t>Tipo</t>
  </si>
  <si>
    <t>CDRR</t>
  </si>
  <si>
    <t>Límite</t>
  </si>
  <si>
    <t>Tipo límite</t>
  </si>
  <si>
    <t>0–6 m</t>
  </si>
  <si>
    <t>Ambos</t>
  </si>
  <si>
    <t>0–0.5</t>
  </si>
  <si>
    <t>7–12 m</t>
  </si>
  <si>
    <t>0.5–1</t>
  </si>
  <si>
    <t>1–3 a</t>
  </si>
  <si>
    <t>1–4</t>
  </si>
  <si>
    <t>4–8 a</t>
  </si>
  <si>
    <t>4–9</t>
  </si>
  <si>
    <t>M 9–13</t>
  </si>
  <si>
    <t>Masculino</t>
  </si>
  <si>
    <t>9–14</t>
  </si>
  <si>
    <t>F 9–13</t>
  </si>
  <si>
    <t>M 14–18</t>
  </si>
  <si>
    <t>14–19</t>
  </si>
  <si>
    <t>F 14–18</t>
  </si>
  <si>
    <t>M 19–30</t>
  </si>
  <si>
    <t>19–31</t>
  </si>
  <si>
    <t>F 19–30</t>
  </si>
  <si>
    <t>M 31–50</t>
  </si>
  <si>
    <t>31–51</t>
  </si>
  <si>
    <t>F 31–50</t>
  </si>
  <si>
    <t>M 51–70</t>
  </si>
  <si>
    <t>51–71</t>
  </si>
  <si>
    <t>F 51–70</t>
  </si>
  <si>
    <t>M &gt;70</t>
  </si>
  <si>
    <t>71–999</t>
  </si>
  <si>
    <t>F &gt;70</t>
  </si>
  <si>
    <t>Embarazo</t>
  </si>
  <si>
    <t>14–51</t>
  </si>
  <si>
    <t>Lactancia</t>
  </si>
  <si>
    <t>Nota: la Fase 6 normaliza RDA/AI y UL/CDRR. Las EAR completas no se incorporaron porque la tabla adjunta no las contiene de forma íntegra. Un UL o CDRR no es una meta de consumo.</t>
  </si>
  <si>
    <t>NUTRIMETRÍA · NMX-43  |  INTERACCIONES</t>
  </si>
  <si>
    <t>Consulta filtrable de interacciones nutriente–nutriente y medicamento–nutriente.</t>
  </si>
  <si>
    <t>MAGNESIO</t>
  </si>
  <si>
    <t>Las interacciones describen mecanismos y riesgos educativos. No indican suspender, iniciar ni separar medicamentos sin revisar su ficha y al equipo tratante.</t>
  </si>
  <si>
    <t>Agente</t>
  </si>
  <si>
    <t>Dirección</t>
  </si>
  <si>
    <t>Mecanismo</t>
  </si>
  <si>
    <t>Relevancia práctica</t>
  </si>
  <si>
    <t>Evidencia</t>
  </si>
  <si>
    <t>NUTRIMETRÍA · NMX-43  |  BIOMARCADORES</t>
  </si>
  <si>
    <t>Biomarcadores seleccionados, utilidad, criterios y limitaciones de interpretación.</t>
  </si>
  <si>
    <t>No se cargan rangos universales. Cada resultado debe interpretarse con método, población, laboratorio, función renal, inflamación y contexto clínico.</t>
  </si>
  <si>
    <t>Examen</t>
  </si>
  <si>
    <t>Muestra</t>
  </si>
  <si>
    <t>Qué evalúa</t>
  </si>
  <si>
    <t>Criterio general</t>
  </si>
  <si>
    <t>Limitaciones</t>
  </si>
  <si>
    <t>NUTRIMETRÍA · NMX-43  |  CASOS_CLÍNICOS</t>
  </si>
  <si>
    <t>ID NUT.</t>
  </si>
  <si>
    <t>NIVEL</t>
  </si>
  <si>
    <t>PACIENTE</t>
  </si>
  <si>
    <t>ANTECEDENTES</t>
  </si>
  <si>
    <t>INGESTA</t>
  </si>
  <si>
    <t>SIGNOS Y SÍNTOMAS</t>
  </si>
  <si>
    <t>LABORATORIO</t>
  </si>
  <si>
    <t>PREGUNTAS</t>
  </si>
  <si>
    <t>INTERPRETACIÓN ESPERADA</t>
  </si>
  <si>
    <t>CASO EDUCATIVO: no representa diagnóstico ni tratamiento de una persona real. La orientación final depende de evaluación clínica, laboratorio, medicamentos y protocolos locales.</t>
  </si>
  <si>
    <t>INTEGRACIÓN CON LOS ALIMENTOS SELECCIONADOS</t>
  </si>
  <si>
    <t>Este bloque usa solo los alimentos del módulo FUENTES_ALIMENTARIAS. No sustituye el análisis de la dieta completa ni la evaluación clínica del caso.</t>
  </si>
  <si>
    <t>NUTRIMETRÍA · NMX-43  |  RESULTADOS</t>
  </si>
  <si>
    <t>Panel integrado de energía, macronutrientes, agua, fibra e índice/carga glicémica.</t>
  </si>
  <si>
    <t>RESULTADOS INTEGRADOS · FASE 4</t>
  </si>
  <si>
    <t>Aporte/resultado</t>
  </si>
  <si>
    <t>Energía</t>
  </si>
  <si>
    <t>Método energético seleccionado</t>
  </si>
  <si>
    <t>DRI + distribución</t>
  </si>
  <si>
    <t>AMDR según edad</t>
  </si>
  <si>
    <t>AI incluye bebidas y alimentos</t>
  </si>
  <si>
    <t>Según IG y CHO de la porción</t>
  </si>
  <si>
    <t>RESUMEN INTERPRETATIVO</t>
  </si>
  <si>
    <t>ALERTAS DE USO</t>
  </si>
  <si>
    <t>Los resultados estiman requerimientos para fines de aprendizaje. Las ecuaciones no miden el gasto energético individual y las DRI se aplican principalmente a poblaciones sanas. AI, RDA y AMDR no son conceptos equivalentes. Un porcentaje superior a 100 % no implica por sí solo beneficio ni toxicidad. La carga glicémica depende de una porción definida y de un IG publicado compatible con el alimento y su preparación.</t>
  </si>
  <si>
    <t>MICRONUTRIENTES · APORTE CONOCIDO DE LOS ALIMENTOS SELECCIONADOS</t>
  </si>
  <si>
    <t>Nutriente</t>
  </si>
  <si>
    <t>Adecuación %</t>
  </si>
  <si>
    <t>Interpretación educativa: superar 100% de una RDA/AI no significa toxicidad. La comparación con UL o CDRR se mantiene separada. Las DRI se aplican principalmente a personas aparentemente sanas.</t>
  </si>
  <si>
    <t>NUTRIMETRÍA · NMX-43  |  RESUMEN_ESTUDIO</t>
  </si>
  <si>
    <t>Matriz de repaso rápido de los 23 micronutrientes incluidos.</t>
  </si>
  <si>
    <t>Función principal</t>
  </si>
  <si>
    <t>Fuente alimentaria destacada</t>
  </si>
  <si>
    <t>Déficit</t>
  </si>
  <si>
    <t>Exceso</t>
  </si>
  <si>
    <t>Interacción</t>
  </si>
  <si>
    <t>Biomarcador</t>
  </si>
  <si>
    <t>Perla clínica</t>
  </si>
  <si>
    <t>Disponible INTA</t>
  </si>
  <si>
    <t>Aporte demo</t>
  </si>
  <si>
    <t>Transporte y almacenamiento de oxígeno mediante hemoglobina y mioglobina.</t>
  </si>
  <si>
    <t>Hígado y carnes rojas</t>
  </si>
  <si>
    <t>Fatiga, palidez, menor rendimiento, alteración cognitiva y anemia microcítica/hipocrómica.</t>
  </si>
  <si>
    <t>La sobrecarga puede dañar hígado, corazón y otros tejidos.</t>
  </si>
  <si>
    <t>Vitamina C: Aumenta absorción</t>
  </si>
  <si>
    <t>Ferritina</t>
  </si>
  <si>
    <t>Ferritina baja apoya depósitos disminuidos, pero ferritina normal/alta no excluye deficiencia con inflamación.</t>
  </si>
  <si>
    <t>SRC-ODS-IRON</t>
  </si>
  <si>
    <t>Actividad catalítica de numerosas enzimas.</t>
  </si>
  <si>
    <t>Ostras y otros mariscos</t>
  </si>
  <si>
    <t>Retraso del crecimiento, alopecia, dermatitis, diarrea, alteración del gusto, mala cicatrización e inmunidad deteriorada.</t>
  </si>
  <si>
    <t>Dosis elevadas sostenidas pueden causar náuseas, reducir cobre, alterar perfil lipídico y deteriorar función inmunitaria.</t>
  </si>
  <si>
    <t>Cobre: Dosis altas de zinc reducen cobre</t>
  </si>
  <si>
    <t>Zinc plasmático/sérico</t>
  </si>
  <si>
    <t>Zinc alto en suplementos puede inducir deficiencia de cobre.</t>
  </si>
  <si>
    <t>SRC-ODS-ZINC</t>
  </si>
  <si>
    <t>Metabolismo del hierro y formación de tejido conectivo.</t>
  </si>
  <si>
    <t>Hígado</t>
  </si>
  <si>
    <t>Anemia, neutropenia, alteraciones óseas, despigmentación y neuropatía/mielopatía.</t>
  </si>
  <si>
    <t>Náuseas, dolor abdominal y daño hepático; el riesgo es mayor en trastornos hereditarios del metabolismo del cobre.</t>
  </si>
  <si>
    <t>Zinc suplementario: Disminuye absorción de cobre</t>
  </si>
  <si>
    <t>Cobre sérico y ceruloplasmina</t>
  </si>
  <si>
    <t>Zinc y cobre compiten de forma clínicamente relevante en suplementos.</t>
  </si>
  <si>
    <t>SRC-ODS-COPPER</t>
  </si>
  <si>
    <t>Estructura ósea y dental.</t>
  </si>
  <si>
    <t>Leche, yogur y queso</t>
  </si>
  <si>
    <t>La ingesta insuficiente crónica contribuye a baja masa ósea y osteoporosis; hipocalcemia clínica suele reflejar alteraciones hormonales, renales o vitamínicas más que dieta aislada.</t>
  </si>
  <si>
    <t>Hipercalcemia/hipercalciuria, estreñimiento y riesgo de cálculos en contextos susceptibles; suplementos excesivos pueden interferir con medicamentos.</t>
  </si>
  <si>
    <t>Vitamina D: Aumenta absorción de calcio</t>
  </si>
  <si>
    <t>Calcio ionizado/total</t>
  </si>
  <si>
    <t>Calcio sérico normal no descarta ingesta baja.</t>
  </si>
  <si>
    <t>SRC-ODS-CALCIUM</t>
  </si>
  <si>
    <t>Lácteos</t>
  </si>
  <si>
    <t>Rara por dieta aislada; puede causar debilidad, dolor óseo, alteraciones hematológicas y osteomalacia en casos graves.</t>
  </si>
  <si>
    <t>Hiperfosfatemia, especialmente con enfermedad renal, altera metabolismo mineral y puede favorecer calcificación vascular y trastorno óseo.</t>
  </si>
  <si>
    <t>Antiácidos con aluminio: Disminuye absorción de fósforo</t>
  </si>
  <si>
    <t>Fósforo sérico</t>
  </si>
  <si>
    <t>Los aditivos fosfatados pueden aportar fósforo altamente absorbible.</t>
  </si>
  <si>
    <t>SRC-ODS-PHOSPHORUS</t>
  </si>
  <si>
    <t>Defensa antioxidante mediante glutatión peroxidasas.</t>
  </si>
  <si>
    <t>Pescados y mariscos</t>
  </si>
  <si>
    <t>Puede deteriorar función de selenoproteínas; se ha asociado a cardiomiopatía en contextos endémicos y puede agravar alteraciones tiroideas.</t>
  </si>
  <si>
    <t>Selenosis: caída de cabello, uñas frágiles, aliento a ajo, náuseas, alteraciones neurológicas y cutáneas.</t>
  </si>
  <si>
    <t>Yodo/función tiroidea: Relación funcional</t>
  </si>
  <si>
    <t>Selenio sérico/plasmático</t>
  </si>
  <si>
    <t>El contenido de selenio de un alimento puede variar por suelo.</t>
  </si>
  <si>
    <t>SRC-ODS-SELENIUM</t>
  </si>
  <si>
    <t>Potencial de membrana y transmisión nerviosa.</t>
  </si>
  <si>
    <t>Papas</t>
  </si>
  <si>
    <t>Hipopotasemia: debilidad, calambres, estreñimiento y arritmias; suele deberse a pérdidas o redistribución más que a dieta aislada.</t>
  </si>
  <si>
    <t>Hiperpotasemia puede causar debilidad y arritmias; riesgo con insuficiencia renal, ciertos fármacos y suplementos/sustitutos de sal.</t>
  </si>
  <si>
    <t>IECA/ARA-II: Puede aumentar potasio sérico</t>
  </si>
  <si>
    <t>Potasio sérico</t>
  </si>
  <si>
    <t>Potasio sérico no mide consumo dietario.</t>
  </si>
  <si>
    <t>SRC-ODS-POTASSIUM</t>
  </si>
  <si>
    <t>Síntesis de proteínas y ácidos nucleicos.</t>
  </si>
  <si>
    <t>Semillas y frutos secos</t>
  </si>
  <si>
    <t>Pérdida de apetito, náuseas, debilidad; casos más graves con calambres, alteraciones neuromusculares, hipocalcemia, hipopotasemia y arritmias.</t>
  </si>
  <si>
    <t>El alimento rara vez causa toxicidad en personas sanas; suplementos o fármacos con magnesio pueden causar diarrea y, con insuficiencia renal, toxicidad sistémica.</t>
  </si>
  <si>
    <t>Inhibidores de bomba de protones: Puede disminuir magnesio</t>
  </si>
  <si>
    <t>Magnesio sérico</t>
  </si>
  <si>
    <t>El UL se aplica al magnesio de suplementos/medicamentos, no al de alimentos.</t>
  </si>
  <si>
    <t>SRC-ODS-MAGNESIUM</t>
  </si>
  <si>
    <t>Volumen extracelular y balance hídrico.</t>
  </si>
  <si>
    <t>Sal de mesa</t>
  </si>
  <si>
    <t>Hiponatremia produce cefalea, confusión, náuseas, convulsiones o coma; suele ser un trastorno de agua y regulación, no simple baja ingesta.</t>
  </si>
  <si>
    <t>Una ingesta elevada favorece presión arterial y riesgo cardiovascular en la población; hiper­natremia suele reflejar déficit de agua.</t>
  </si>
  <si>
    <t>Potasio y patrón DASH: Modula efecto sobre presión arterial</t>
  </si>
  <si>
    <t>Sodio sérico</t>
  </si>
  <si>
    <t>Sodio sérico no equivale a consumo de sal.</t>
  </si>
  <si>
    <t>SRC-NASEM-SODIUM-2019</t>
  </si>
  <si>
    <t>Equilibrio osmótico y electroneutralidad.</t>
  </si>
  <si>
    <t>Hipocloremia puede acompañar alcalosis metabólica, vómitos y depleción de volumen; los síntomas dependen del trastorno subyacente.</t>
  </si>
  <si>
    <t>Hipercloremia puede acompañar deshidratación, acidosis metabólica o cargas elevadas de cloruro en contextos clínicos.</t>
  </si>
  <si>
    <t>Vómitos/aspiración gástrica: Aumenta pérdida de cloruro</t>
  </si>
  <si>
    <t>Cloruro sérico</t>
  </si>
  <si>
    <t>Debe llamarse cloruro, no cloro elemental.</t>
  </si>
  <si>
    <t>SRC-DRI-CHLORIDE-2005</t>
  </si>
  <si>
    <t>Visión, especialmente adaptación a oscuridad.</t>
  </si>
  <si>
    <t>Ceguera nocturna, xeroftalmía, queratinización epitelial, mayor susceptibilidad a infecciones y alteración del crecimiento.</t>
  </si>
  <si>
    <t>Toxicidad aguda o crónica por retinol: cefalea, alteraciones hepáticas, óseas y cutáneas; riesgo teratogénico en embarazo.</t>
  </si>
  <si>
    <t>Zinc: Relación funcional</t>
  </si>
  <si>
    <t>Retinol sérico</t>
  </si>
  <si>
    <t>Retinol y beta-caroteno no tienen la misma toxicidad.</t>
  </si>
  <si>
    <t>SRC-ODS-VITA</t>
  </si>
  <si>
    <t>Favorece absorción de calcio y fósforo.</t>
  </si>
  <si>
    <t>Pescados grasos</t>
  </si>
  <si>
    <t>Raquitismo en niños, osteomalacia en adultos, debilidad muscular y contribución a baja salud ósea.</t>
  </si>
  <si>
    <t>Toxicidad por suplementos: hipercalcemia, hipercalciuria, náuseas, debilidad, cálculos y daño renal; no suele deberse al sol.</t>
  </si>
  <si>
    <t>Orlistat/colestiramina: Reduce absorción</t>
  </si>
  <si>
    <t>25-hidroxivitamina D</t>
  </si>
  <si>
    <t>25(OH)D evalúa estado; 1,25(OH)₂D no refleja reservas habituales.</t>
  </si>
  <si>
    <t>SRC-ODS-VITD</t>
  </si>
  <si>
    <t>Antioxidante liposoluble de membranas.</t>
  </si>
  <si>
    <t>Aceites vegetales</t>
  </si>
  <si>
    <t>Neuropatía periférica, ataxia, debilidad muscular, retinopatía y hemólisis en casos graves.</t>
  </si>
  <si>
    <t>Dosis altas de suplementos pueden aumentar tendencia hemorrágica e interactuar con anticoagulantes; el alimento rara vez causa toxicidad.</t>
  </si>
  <si>
    <t>Anticoagulantes/antiagregantes: Puede aumentar sangrado</t>
  </si>
  <si>
    <t>α-tocoferol sérico ajustado por lípidos</t>
  </si>
  <si>
    <t>Requerimientos se expresan como α-tocoferol.</t>
  </si>
  <si>
    <t>SRC-ODS-VITE</t>
  </si>
  <si>
    <t>γ-carboxilación de factores de coagulación.</t>
  </si>
  <si>
    <t>Espinaca y hojas verdes</t>
  </si>
  <si>
    <t>Sangrado, prolongación de tiempo de protrombina y enfermedad hemorrágica del recién nacido sin profilaxis.</t>
  </si>
  <si>
    <t>No se ha establecido UL para formas naturales K1/K2; menadiona no se usa como equivalente dietario seguro.</t>
  </si>
  <si>
    <t>Warfarina: Antagonismo farmacológico</t>
  </si>
  <si>
    <t>Tiempo de protrombina/INR</t>
  </si>
  <si>
    <t>Warfarina exige consistencia, no necesariamente ausencia de vitamina K.</t>
  </si>
  <si>
    <t>SRC-ODS-VITK</t>
  </si>
  <si>
    <t>Cofactor en síntesis de colágeno.</t>
  </si>
  <si>
    <t>Cítricos</t>
  </si>
  <si>
    <t>Fatiga, gingivitis, petequias, mala cicatrización, dolor articular y anemia; escorbuto en casos graves.</t>
  </si>
  <si>
    <t>Diarrea, náuseas y cólicos; altas dosis pueden aumentar oxalato urinario en personas susceptibles y distorsionar algunas pruebas.</t>
  </si>
  <si>
    <t>Hierro no hemo: Aumenta absorción</t>
  </si>
  <si>
    <t>Vitamina C plasmática</t>
  </si>
  <si>
    <t>Facilita hierro no hemo.</t>
  </si>
  <si>
    <t>SRC-ODS-VITC</t>
  </si>
  <si>
    <t>Descarboxilación oxidativa de carbohidratos.</t>
  </si>
  <si>
    <t>Carne de cerdo</t>
  </si>
  <si>
    <t>Beriberi seco (neuropatía), beriberi húmedo (insuficiencia cardíaca/edema) y encefalopatía de Wernicke en alto riesgo.</t>
  </si>
  <si>
    <t>No se ha establecido UL por falta de evidencia de toxicidad oral habitual.</t>
  </si>
  <si>
    <t>Alcohol: Disminuye disponibilidad</t>
  </si>
  <si>
    <t>Tiamina difosfato en sangre total</t>
  </si>
  <si>
    <t>Reservas pequeñas: el déficit puede progresar rápido.</t>
  </si>
  <si>
    <t>SRC-ODS-B1</t>
  </si>
  <si>
    <t>Reacciones de óxido-reducción.</t>
  </si>
  <si>
    <t>Leche y yogur</t>
  </si>
  <si>
    <t>Queilosis, estomatitis angular, glositis, dermatitis y alteraciones oculares; suele acompañar otras deficiencias.</t>
  </si>
  <si>
    <t>No se ha establecido UL; absorción limitada y excreción urinaria reducen riesgo.</t>
  </si>
  <si>
    <t>Luz: Degrada riboflavina</t>
  </si>
  <si>
    <t>Coeficiente de activación de glutatión reductasa eritrocitaria</t>
  </si>
  <si>
    <t>La luz degrada riboflavina.</t>
  </si>
  <si>
    <t>SRC-ODS-B2</t>
  </si>
  <si>
    <t>Formación de NAD y NADP.</t>
  </si>
  <si>
    <t>Pollo y pavo</t>
  </si>
  <si>
    <t>Pelagra: dermatitis fotosensible, diarrea y alteraciones neuropsiquiátricas; puede progresar a muerte.</t>
  </si>
  <si>
    <t>Ácido nicotínico en dosis farmacológicas puede causar rubor, prurito, hiperglucemia, hiperuricemia y daño hepático.</t>
  </si>
  <si>
    <t>Estatinas + niacina farmacológica: Aumenta riesgo de efectos adversos</t>
  </si>
  <si>
    <t>Metabolitos urinarios de N-metilnicotinamida</t>
  </si>
  <si>
    <t>NE incluye contribución de triptófano.</t>
  </si>
  <si>
    <t>SRC-ODS-B3</t>
  </si>
  <si>
    <t>Transferencia de grupos acilo.</t>
  </si>
  <si>
    <t>Carnes y aves</t>
  </si>
  <si>
    <t>Fatiga, irritabilidad, alteraciones gastrointestinales y sensación de ardor en pies en casos experimentales; no es específica.</t>
  </si>
  <si>
    <t>No se ha establecido UL; dosis muy altas pueden causar diarrea y molestias gastrointestinales.</t>
  </si>
  <si>
    <t>Sin interacción mayor priorizada: No aplicable</t>
  </si>
  <si>
    <t>Sin biomarcador rutinario priorizado</t>
  </si>
  <si>
    <t>Está ampliamente distribuida.</t>
  </si>
  <si>
    <t>SRC-ODS-B5</t>
  </si>
  <si>
    <t>Metabolismo de aminoácidos y glucógeno.</t>
  </si>
  <si>
    <t>Aves</t>
  </si>
  <si>
    <t>Dermatitis, queilosis, glositis, anemia microcítica, depresión, confusión, inmunidad alterada y convulsiones en casos graves.</t>
  </si>
  <si>
    <t>Suplementación crónica elevada puede causar neuropatía sensitiva, ataxia y lesiones cutáneas.</t>
  </si>
  <si>
    <t>Isoniazida/cicloserina: Aumenta riesgo de deficiencia</t>
  </si>
  <si>
    <t>Piridoxal-5-fosfato plasmático</t>
  </si>
  <si>
    <t>PLP es el biomarcador funcional principal.</t>
  </si>
  <si>
    <t>SRC-ODS-B6</t>
  </si>
  <si>
    <t>Cofactor de carboxilasas.</t>
  </si>
  <si>
    <t>Huevo cocido</t>
  </si>
  <si>
    <t>Dermatitis, alopecia, conjuntivitis, depresión, letargo, parestesias y alteraciones neurológicas; muy rara en personas sanas.</t>
  </si>
  <si>
    <t>No hay toxicidad oral bien establecida, pero dosis altas pueden producir resultados falsos en troponina, pruebas tiroideas y otras inmunoanalíticas.</t>
  </si>
  <si>
    <t>Inmunoensayos de laboratorio: Interfiere resultados</t>
  </si>
  <si>
    <t>Es B7, aunque la pauta diga B8.</t>
  </si>
  <si>
    <t>SRC-ODS-B7</t>
  </si>
  <si>
    <t>Transferencias de un carbono.</t>
  </si>
  <si>
    <t>Verduras de hoja</t>
  </si>
  <si>
    <t>Anemia megaloblástica, glositis, homocisteína elevada y, en embarazo temprano, mayor riesgo de defectos del tubo neural.</t>
  </si>
  <si>
    <t>Ácido fólico alto puede enmascarar manifestaciones hematológicas de B12; el UL se aplica a ácido fólico de suplementos y fortificados, no folato natural.</t>
  </si>
  <si>
    <t>Vitamina B12: Puede ocultar manifestación hematológica</t>
  </si>
  <si>
    <t>Folato sérico</t>
  </si>
  <si>
    <t>DFE diferencia biodisponibilidad.</t>
  </si>
  <si>
    <t>SRC-ODS-B9</t>
  </si>
  <si>
    <t>Síntesis de ADN y formación eritrocitaria.</t>
  </si>
  <si>
    <t>Almejas y otros mariscos</t>
  </si>
  <si>
    <t>Anemia megaloblástica, glositis, parestesias, pérdida de vibración, alteración de marcha, cognición y ánimo; MMA y homocisteína pueden aumentar.</t>
  </si>
  <si>
    <t>No se ha establecido UL; toxicidad oral es baja, aunque los suplementos no deben sustituir diagnóstico.</t>
  </si>
  <si>
    <t>Metformina: Disminuye estado/absorción</t>
  </si>
  <si>
    <t>Vitamina B12 sérica</t>
  </si>
  <si>
    <t>Puede existir daño neurológico sin anemia.</t>
  </si>
  <si>
    <t>SRC-ODS-B12</t>
  </si>
  <si>
    <t>NUTRIMETRÍA · NMX-43  |  FUENTES</t>
  </si>
  <si>
    <t>Trazabilidad documental y estado de verificación.</t>
  </si>
  <si>
    <t>Tema</t>
  </si>
  <si>
    <t>Institución/autor</t>
  </si>
  <si>
    <t>Título</t>
  </si>
  <si>
    <t>Nivel</t>
  </si>
  <si>
    <t>URL</t>
  </si>
  <si>
    <t>Fecha consulta</t>
  </si>
  <si>
    <t>Módulo</t>
  </si>
  <si>
    <t>PORTAFOLIO-2026</t>
  </si>
  <si>
    <t>Pauta académica</t>
  </si>
  <si>
    <t>Universidad Autónoma de Chile / Mg. Javier Arriagada Gacitúa</t>
  </si>
  <si>
    <t>Portafolios Bases de la Nutrición II</t>
  </si>
  <si>
    <t>Documento docente</t>
  </si>
  <si>
    <t>A</t>
  </si>
  <si>
    <t>Archivo adjunto</t>
  </si>
  <si>
    <t>Todos</t>
  </si>
  <si>
    <t>VERIFICADO</t>
  </si>
  <si>
    <t>Base obligatoria de requisitos académicos.</t>
  </si>
  <si>
    <t>NMX21</t>
  </si>
  <si>
    <t>Diseño y base alimentaria</t>
  </si>
  <si>
    <t>Nutrimetría / INTA 2018 según el archivo de referencia</t>
  </si>
  <si>
    <t>NMX-21 Distribución Alimentaria INTA2018 aprobado</t>
  </si>
  <si>
    <t>Excel de referencia</t>
  </si>
  <si>
    <t>Diseño, alimentos y normalización Fase 6</t>
  </si>
  <si>
    <t>Base INTA y tabla DRI reutilizadas sin modificar el original; licencia comercial pendiente.</t>
  </si>
  <si>
    <t>SRC-FAO-ENER-2004</t>
  </si>
  <si>
    <t>Energía y método factorial</t>
  </si>
  <si>
    <t>FAO/WHO/UNU</t>
  </si>
  <si>
    <t>Human Energy Requirements</t>
  </si>
  <si>
    <t>Informe técnico</t>
  </si>
  <si>
    <t>https://www.fao.org/4/y5686e/y5686e00.htm</t>
  </si>
  <si>
    <t>ENERGÍA</t>
  </si>
  <si>
    <t>Ecuaciones pediátricas, Schofield reproducido, PAL/PAR y crecimiento.</t>
  </si>
  <si>
    <t>SRC-SCHOFIELD-1985</t>
  </si>
  <si>
    <t>Metabolismo basal</t>
  </si>
  <si>
    <t>W. N. Schofield</t>
  </si>
  <si>
    <t>Predicting basal metabolic rate, new standards and review of previous work</t>
  </si>
  <si>
    <t>Artículo original</t>
  </si>
  <si>
    <t>https://pubmed.ncbi.nlm.nih.gov/4044297/</t>
  </si>
  <si>
    <t>Ecuaciones por edad y sexo basadas en peso.</t>
  </si>
  <si>
    <t>SRC-NASEM-ENER-2023</t>
  </si>
  <si>
    <t>National Academies of Sciences, Engineering, and Medicine</t>
  </si>
  <si>
    <t>Dietary Reference Intakes for Energy</t>
  </si>
  <si>
    <t>Informe normativo</t>
  </si>
  <si>
    <t>https://www.ncbi.nlm.nih.gov/books/NBK591034/</t>
  </si>
  <si>
    <t>EER por edad, sexo, actividad y etapa fisiológica.</t>
  </si>
  <si>
    <t>SRC-DRI-SUMMARY</t>
  </si>
  <si>
    <t>DRI de macro y micronutrientes</t>
  </si>
  <si>
    <t>Institute of Medicine / National Academies</t>
  </si>
  <si>
    <t>Dietary Reference Intakes: Reference Tables</t>
  </si>
  <si>
    <t>Tablas normativas</t>
  </si>
  <si>
    <t>https://www.ncbi.nlm.nih.gov/books/NBK208874/</t>
  </si>
  <si>
    <t>MACRONUTRIENTES; AGUA_FIBRA; REQUERIMIENTOS; FASE 6</t>
  </si>
  <si>
    <t>RDA/AI y tablas de referencia; los informes específicos tienen años distintos.</t>
  </si>
  <si>
    <t>SRC-ATWATER</t>
  </si>
  <si>
    <t>Conversión energética</t>
  </si>
  <si>
    <t>FAO</t>
  </si>
  <si>
    <t>Food energy – methods of analysis and conversion factors</t>
  </si>
  <si>
    <t>https://www.fao.org/4/y5022e/y5022e04.htm</t>
  </si>
  <si>
    <t>MACRONUTRIENTES; CONFIG</t>
  </si>
  <si>
    <t>Factores generales 4 kcal/g proteína, 9 grasa y 4 CHO.</t>
  </si>
  <si>
    <t>SRC-GI-2021</t>
  </si>
  <si>
    <t>Atkinson, Brand-Miller, Foster-Powell, Buyken y Goletzke</t>
  </si>
  <si>
    <t>International tables of glycemic index and glycemic load values 2021: a systematic review</t>
  </si>
  <si>
    <t>Revisión sistemática</t>
  </si>
  <si>
    <t>https://pubmed.ncbi.nlm.nih.gov/34258626/</t>
  </si>
  <si>
    <t>ÍNDICE_CARGA_GLICÉMICA</t>
  </si>
  <si>
    <t>Más de 4.000 alimentos; el prototipo usa promedios de categorías con advertencia.</t>
  </si>
  <si>
    <t>SRC-GI-CUTOFFS</t>
  </si>
  <si>
    <t>Clasificación IG/CG</t>
  </si>
  <si>
    <t>University of Sydney Glycemic Index Research Service</t>
  </si>
  <si>
    <t>GI FAQs and glycemic-load cut-offs</t>
  </si>
  <si>
    <t>—</t>
  </si>
  <si>
    <t>Fuente académica secundaria</t>
  </si>
  <si>
    <t>B</t>
  </si>
  <si>
    <t>https://glycemicindex.com/faqs/</t>
  </si>
  <si>
    <t>ÍNDICE_CARGA_GLICÉMICA; CONFIG</t>
  </si>
  <si>
    <t>IG ≤55 bajo, 56–69 medio, ≥70 alto; GL según guías del grupo.</t>
  </si>
  <si>
    <t>SRC-NIH-ODS</t>
  </si>
  <si>
    <t>Fichas de nutrientes</t>
  </si>
  <si>
    <t>NIH Office of Dietary Supplements</t>
  </si>
  <si>
    <t>Vitamin and Mineral Supplement Fact Sheets</t>
  </si>
  <si>
    <t>Institucional</t>
  </si>
  <si>
    <t>https://ods.od.nih.gov/factsheets/list-VitaminsMinerals/</t>
  </si>
  <si>
    <t>FASE 5</t>
  </si>
  <si>
    <t>Fuente auxiliar para fichas; revisar referencias primarias específicas.</t>
  </si>
  <si>
    <t>Iron — Fact Sheet for Health Professionals</t>
  </si>
  <si>
    <t>Actualización continua</t>
  </si>
  <si>
    <t>https://ods.od.nih.gov/factsheets/Iron-HealthProfessional/</t>
  </si>
  <si>
    <t>Funciones, absorción, deficiencia, exceso, fuentes e interacciones.</t>
  </si>
  <si>
    <t>Zinc — Fact Sheet for Health Professionals</t>
  </si>
  <si>
    <t>https://ods.od.nih.gov/factsheets/Zinc-HealthProfessional/</t>
  </si>
  <si>
    <t>Funciones, biodisponibilidad, déficit, exceso e interacciones.</t>
  </si>
  <si>
    <t>Copper — Fact Sheet for Health Professionals</t>
  </si>
  <si>
    <t>https://ods.od.nih.gov/factsheets/Copper-HealthProfessional/</t>
  </si>
  <si>
    <t>Metabolismo, déficit, toxicidad e interacción con zinc.</t>
  </si>
  <si>
    <t>Calcium — Fact Sheet for Health Professionals</t>
  </si>
  <si>
    <t>https://ods.od.nih.gov/factsheets/Calcium-HealthProfessional/</t>
  </si>
  <si>
    <t>Absorción, funciones, exceso e interacciones.</t>
  </si>
  <si>
    <t>Phosphorus — Fact Sheet for Health Professionals</t>
  </si>
  <si>
    <t>https://ods.od.nih.gov/factsheets/Phosphorus-HealthProfessional/</t>
  </si>
  <si>
    <t>Funciones, balance, déficit y exceso.</t>
  </si>
  <si>
    <t>Selenium — Fact Sheet for Health Professionals</t>
  </si>
  <si>
    <t>https://ods.od.nih.gov/factsheets/Selenium-HealthProfessional/</t>
  </si>
  <si>
    <t>Selenoproteínas, deficiencia y toxicidad.</t>
  </si>
  <si>
    <t>Potassium — Fact Sheet for Health Professionals</t>
  </si>
  <si>
    <t>https://ods.od.nih.gov/factsheets/Potassium-HealthProfessional/</t>
  </si>
  <si>
    <t>Funciones, hipopotasemia, hiperpotasemia e interacciones farmacológicas.</t>
  </si>
  <si>
    <t>Magnesium — Fact Sheet for Health Professionals</t>
  </si>
  <si>
    <t>https://ods.od.nih.gov/factsheets/Magnesium-HealthProfessional/</t>
  </si>
  <si>
    <t>Funciones enzimáticas, déficit, exceso e interacciones.</t>
  </si>
  <si>
    <t>National Academies / NCBI Bookshelf</t>
  </si>
  <si>
    <t>Dietary Reference Intakes for Sodium and Potassium</t>
  </si>
  <si>
    <t>https://www.ncbi.nlm.nih.gov/books/NBK538102/</t>
  </si>
  <si>
    <t>AI, CDRR, fisiología y ausencia de EAR/RDA/UL.</t>
  </si>
  <si>
    <t>SRC-NCBI-CHLORIDE</t>
  </si>
  <si>
    <t>National Library of Medicine / NCBI Bookshelf</t>
  </si>
  <si>
    <t>Serum Chloride — Clinical Methods</t>
  </si>
  <si>
    <t>Libro clínico de referencia</t>
  </si>
  <si>
    <t>https://www.ncbi.nlm.nih.gov/books/NBK309/</t>
  </si>
  <si>
    <t>Fisiología clínica, pérdidas y limitaciones del cloruro sérico.</t>
  </si>
  <si>
    <t>Institute of Medicine / NCBI</t>
  </si>
  <si>
    <t>Dietary Reference Intakes for Water, Potassium, Sodium, Chloride, and Sulfate</t>
  </si>
  <si>
    <t>https://www.ncbi.nlm.nih.gov/nlmcatalog/101209392</t>
  </si>
  <si>
    <t>Requerimientos y marco de referencia para cloruro.</t>
  </si>
  <si>
    <t>Vitamin A and Carotenoids — Fact Sheet for Health Professionals</t>
  </si>
  <si>
    <t>https://ods.od.nih.gov/factsheets/VitaminA-HealthProfessional/</t>
  </si>
  <si>
    <t>Retinoides, carotenoides, deficiencia, toxicidad e interacciones.</t>
  </si>
  <si>
    <t>Vitamin D — Fact Sheet for Health Professionals</t>
  </si>
  <si>
    <t>https://ods.od.nih.gov/factsheets/VitaminD-HealthProfessional/</t>
  </si>
  <si>
    <t>Metabolismo, 25(OH)D, deficiencia, exceso e interacciones.</t>
  </si>
  <si>
    <t>Vitamin E — Fact Sheet for Health Professionals</t>
  </si>
  <si>
    <t>https://ods.od.nih.gov/factsheets/VitaminE-HealthProfessional/</t>
  </si>
  <si>
    <t>α-tocoferol, antioxidación, déficit y seguridad.</t>
  </si>
  <si>
    <t>Vitamin K — Fact Sheet for Health Professionals</t>
  </si>
  <si>
    <t>https://ods.od.nih.gov/factsheets/VitaminK-HealthProfessional/</t>
  </si>
  <si>
    <t>Coagulación, hueso, deficiencia e interacción con warfarina.</t>
  </si>
  <si>
    <t>Vitamin C — Fact Sheet for Health Professionals</t>
  </si>
  <si>
    <t>https://ods.od.nih.gov/factsheets/VitaminC-HealthProfessional/</t>
  </si>
  <si>
    <t>Colágeno, antioxidación, hierro no hemo y toxicidad.</t>
  </si>
  <si>
    <t>Thiamin — Fact Sheet for Health Professionals</t>
  </si>
  <si>
    <t>https://ods.od.nih.gov/factsheets/Thiamin-HealthProfessional/</t>
  </si>
  <si>
    <t>Metabolismo energético, déficit y riesgo por alcohol.</t>
  </si>
  <si>
    <t>Riboflavin — Fact Sheet for Health Professionals</t>
  </si>
  <si>
    <t>https://ods.od.nih.gov/factsheets/Riboflavin-HealthProfessional/</t>
  </si>
  <si>
    <t>FMN/FAD, deficiencia y estado nutricional.</t>
  </si>
  <si>
    <t>Niacin — Fact Sheet for Health Professionals</t>
  </si>
  <si>
    <t>https://ods.od.nih.gov/factsheets/Niacin-HealthProfessional/</t>
  </si>
  <si>
    <t>NAD/NADP, pelagra y toxicidad farmacológica.</t>
  </si>
  <si>
    <t>Pantothenic Acid — Fact Sheet for Health Professionals</t>
  </si>
  <si>
    <t>https://ods.od.nih.gov/factsheets/PantothenicAcid-HealthProfessional/</t>
  </si>
  <si>
    <t>Coenzima A, déficit raro y seguridad.</t>
  </si>
  <si>
    <t>Vitamin B6 — Fact Sheet for Health Professionals</t>
  </si>
  <si>
    <t>https://ods.od.nih.gov/factsheets/VitaminB6-HealthProfessional/</t>
  </si>
  <si>
    <t>PLP, metabolismo aminoacídico, déficit, toxicidad e interacciones.</t>
  </si>
  <si>
    <t>Biotin — Fact Sheet for Health Professionals</t>
  </si>
  <si>
    <t>https://ods.od.nih.gov/factsheets/Biotin-HealthProfessional/</t>
  </si>
  <si>
    <t>Carboxilasas, déficit raro e interferencia analítica.</t>
  </si>
  <si>
    <t>Folate — Fact Sheet for Health Professionals</t>
  </si>
  <si>
    <t>https://ods.od.nih.gov/factsheets/Folate-HealthProfessional/</t>
  </si>
  <si>
    <t>Unidades DFE, síntesis de ADN, déficit e interacciones.</t>
  </si>
  <si>
    <t>Vitamina B12</t>
  </si>
  <si>
    <t>Vitamin B12 — Fact Sheet for Health Professionals</t>
  </si>
  <si>
    <t>https://ods.od.nih.gov/factsheets/VitaminB12-HealthProfessional/</t>
  </si>
  <si>
    <t>Absorción con factor intrínseco, biomarcadores e interacciones.</t>
  </si>
  <si>
    <t>SRC-NMX43-F6-NORM</t>
  </si>
  <si>
    <t>Normalización técnica</t>
  </si>
  <si>
    <t>Nutrimetría Excel Lab</t>
  </si>
  <si>
    <t>Normalización de DRI y cálculo por gramaje para NMX-43</t>
  </si>
  <si>
    <t>Transformación documentada</t>
  </si>
  <si>
    <t>Archivo interno</t>
  </si>
  <si>
    <t>REQUERIMIENTOS; FUENTES_ALIMENTARIAS; RESULTADOS</t>
  </si>
  <si>
    <t>Transformación de tablas adjuntas; no reemplaza documentos primarios.</t>
  </si>
  <si>
    <t>SRC-USUARIO</t>
  </si>
  <si>
    <t>Entrada manual</t>
  </si>
  <si>
    <t>Usuario del libro</t>
  </si>
  <si>
    <t>Valor publicado ingresado manualmente</t>
  </si>
  <si>
    <t>Fuente aportada por el usuario</t>
  </si>
  <si>
    <t>Debe registrarse en la hoja correspondiente</t>
  </si>
  <si>
    <t>PENDIENTE_PRIMARIA</t>
  </si>
  <si>
    <t>No se considera verificada hasta registrar y revisar la fuente exacta.</t>
  </si>
  <si>
    <t>SRC-NMX43-F7-QA</t>
  </si>
  <si>
    <t>Gobernanza y control de calidad</t>
  </si>
  <si>
    <t>Documentación, cobertura y auditoría estructural de NMX-43</t>
  </si>
  <si>
    <t>Documentación interna</t>
  </si>
  <si>
    <t>DOCUMENTACIÓN; COBERTURA; PRUEBAS</t>
  </si>
  <si>
    <t>Resume decisiones, limitaciones y controles; no sustituye fuentes científicas primarias.</t>
  </si>
  <si>
    <t>NUTRIMETRÍA · NMX-43  |  PRUEBAS</t>
  </si>
  <si>
    <t>70 controles registrados: 67 aprobados y 3 verificaciones manuales pendientes.</t>
  </si>
  <si>
    <t>Descripción</t>
  </si>
  <si>
    <t>Resultado obtenido</t>
  </si>
  <si>
    <t>Resultado esperado</t>
  </si>
  <si>
    <t>Tolerancia</t>
  </si>
  <si>
    <t>T-01</t>
  </si>
  <si>
    <t>NASEM 2023, mujer adulta poco activa</t>
  </si>
  <si>
    <t>25 a; 65 kg; 165 cm</t>
  </si>
  <si>
    <t>APROBADA</t>
  </si>
  <si>
    <t>Comparación con ecuación independiente.</t>
  </si>
  <si>
    <t>T-02</t>
  </si>
  <si>
    <t>NASEM 2023, hombre adulto inactivo</t>
  </si>
  <si>
    <t>25 a; 70 kg; 175 cm</t>
  </si>
  <si>
    <t>T-03</t>
  </si>
  <si>
    <t>Schofield hombre 18–30 años</t>
  </si>
  <si>
    <t>25 a; 70 kg</t>
  </si>
  <si>
    <t>Ecuación basada en peso.</t>
  </si>
  <si>
    <t>T-04</t>
  </si>
  <si>
    <t>Schofield mujer 30–60 años</t>
  </si>
  <si>
    <t>35 a; 60 kg</t>
  </si>
  <si>
    <t>T-05</t>
  </si>
  <si>
    <t>GET por Schofield × PAL manual</t>
  </si>
  <si>
    <t>BMR × 1,50</t>
  </si>
  <si>
    <t>PAL manual.</t>
  </si>
  <si>
    <t>T-06</t>
  </si>
  <si>
    <t>PAL factorial 24 horas</t>
  </si>
  <si>
    <t>Σ horas×PAR=36; 24 h</t>
  </si>
  <si>
    <t>Tabla de actividades visible.</t>
  </si>
  <si>
    <t>T-07</t>
  </si>
  <si>
    <t>BMR × PAL factorial</t>
  </si>
  <si>
    <t>Usa el BMR de Schofield.</t>
  </si>
  <si>
    <t>T-08</t>
  </si>
  <si>
    <t>FAO niño de 10 años, actividad moderada</t>
  </si>
  <si>
    <t>10 a; 30 kg</t>
  </si>
  <si>
    <t>Incluye costo energético del crecimiento.</t>
  </si>
  <si>
    <t>T-09</t>
  </si>
  <si>
    <t>MACRONUTRIENTES</t>
  </si>
  <si>
    <t>Proteína desde porcentaje</t>
  </si>
  <si>
    <t>2000 kcal; 15/30/55 %</t>
  </si>
  <si>
    <t>Factores 4-9-4.</t>
  </si>
  <si>
    <t>T-10</t>
  </si>
  <si>
    <t>Lípidos desde porcentaje</t>
  </si>
  <si>
    <t>T-11</t>
  </si>
  <si>
    <t>CHO desde porcentaje</t>
  </si>
  <si>
    <t>T-12</t>
  </si>
  <si>
    <t>Cierre porcentual</t>
  </si>
  <si>
    <t>T-13</t>
  </si>
  <si>
    <t>AGUA Y FIBRA</t>
  </si>
  <si>
    <t>AI agua total mujer adulta</t>
  </si>
  <si>
    <t>25 a; femenino</t>
  </si>
  <si>
    <t>Agua total.</t>
  </si>
  <si>
    <t>T-14</t>
  </si>
  <si>
    <t>AI fibra mujer adulta</t>
  </si>
  <si>
    <t>AI.</t>
  </si>
  <si>
    <t>T-15</t>
  </si>
  <si>
    <t>AI agua total hombre adulto</t>
  </si>
  <si>
    <t>25 a; masculino</t>
  </si>
  <si>
    <t>T-16</t>
  </si>
  <si>
    <t>AI fibra hombre adulto</t>
  </si>
  <si>
    <t>T-17</t>
  </si>
  <si>
    <t>NASEM embarazo, segundo trimestre</t>
  </si>
  <si>
    <t>25 a; sem 20; IMC normal</t>
  </si>
  <si>
    <t>Incluye depósito energético configurado.</t>
  </si>
  <si>
    <t>T-18</t>
  </si>
  <si>
    <t>RDA proteína en embarazo</t>
  </si>
  <si>
    <t>25 a; embarazo</t>
  </si>
  <si>
    <t>Matriz DRI.</t>
  </si>
  <si>
    <t>T-19</t>
  </si>
  <si>
    <t>AI agua total en embarazo</t>
  </si>
  <si>
    <t>T-20</t>
  </si>
  <si>
    <t>NASEM lactancia exclusiva 0–6 meses</t>
  </si>
  <si>
    <t>25 a; 3 meses posparto</t>
  </si>
  <si>
    <t>Ajuste neto configurado.</t>
  </si>
  <si>
    <t>T-21</t>
  </si>
  <si>
    <t>RDA CHO en lactancia</t>
  </si>
  <si>
    <t>25 a; lactancia</t>
  </si>
  <si>
    <t>T-22</t>
  </si>
  <si>
    <t>AGUA_FIBRA</t>
  </si>
  <si>
    <t>Fibra en lactante sin AI cargada</t>
  </si>
  <si>
    <t>6 meses; femenino</t>
  </si>
  <si>
    <t>ND no se convierte en cero.</t>
  </si>
  <si>
    <t>T-23</t>
  </si>
  <si>
    <t>IG 73; CHO 30 g</t>
  </si>
  <si>
    <t>IG×CHO/100.</t>
  </si>
  <si>
    <t>T-24</t>
  </si>
  <si>
    <t>Clasificación IG alto</t>
  </si>
  <si>
    <t>IG 73</t>
  </si>
  <si>
    <t>ALTO</t>
  </si>
  <si>
    <t>Límites CONFIG.</t>
  </si>
  <si>
    <t>T-25</t>
  </si>
  <si>
    <t>Clasificación carga alta</t>
  </si>
  <si>
    <t>CG 21,9</t>
  </si>
  <si>
    <t>ALTA</t>
  </si>
  <si>
    <t>T-26</t>
  </si>
  <si>
    <t>CONTROL GENERAL</t>
  </si>
  <si>
    <t>Escaneo de errores de fórmula</t>
  </si>
  <si>
    <t>Libro completo</t>
  </si>
  <si>
    <t>Búsqueda de #REF!, #DIV/0!, #VALUE!, #NAME?, #N/A y #NUM! sin coincidencias.</t>
  </si>
  <si>
    <t>T-27</t>
  </si>
  <si>
    <t>PROTECCIÓN</t>
  </si>
  <si>
    <t>Protección y desbloqueo selectivo de celdas</t>
  </si>
  <si>
    <t>Hojas de interfaz</t>
  </si>
  <si>
    <t>Pendiente</t>
  </si>
  <si>
    <t>Revisión en Microsoft Excel</t>
  </si>
  <si>
    <t>NO EJECUTADA</t>
  </si>
  <si>
    <t>Programada para la Fase 7; no se declara aprobada.</t>
  </si>
  <si>
    <t>T-28</t>
  </si>
  <si>
    <t>Cobertura de nutrientes</t>
  </si>
  <si>
    <t>Catálogo y FICHAS_BASE</t>
  </si>
  <si>
    <t>Los 23 nutrientes tienen ficha.</t>
  </si>
  <si>
    <t>T-29</t>
  </si>
  <si>
    <t>Campos obligatorios por nutriente</t>
  </si>
  <si>
    <t>18 campos por ficha</t>
  </si>
  <si>
    <t>Estructura uniforme.</t>
  </si>
  <si>
    <t>T-30</t>
  </si>
  <si>
    <t>Contenido no vacío</t>
  </si>
  <si>
    <t>414 registros</t>
  </si>
  <si>
    <t>No se detectó contenido obligatorio vacío.</t>
  </si>
  <si>
    <t>T-31</t>
  </si>
  <si>
    <t>CASOS</t>
  </si>
  <si>
    <t>Un caso por nutriente</t>
  </si>
  <si>
    <t>CASOS_BASE</t>
  </si>
  <si>
    <t>Cobertura completa.</t>
  </si>
  <si>
    <t>T-32</t>
  </si>
  <si>
    <t>INTERACCIONES</t>
  </si>
  <si>
    <t>Trazabilidad de interacciones</t>
  </si>
  <si>
    <t>35 registros</t>
  </si>
  <si>
    <t>Cada interacción tiene fuente y estado.</t>
  </si>
  <si>
    <t>T-33</t>
  </si>
  <si>
    <t>BIOMARCADORES</t>
  </si>
  <si>
    <t>Limitaciones documentadas</t>
  </si>
  <si>
    <t>26 registros</t>
  </si>
  <si>
    <t>No se cargaron rangos universales.</t>
  </si>
  <si>
    <t>T-34</t>
  </si>
  <si>
    <t>FUENTES</t>
  </si>
  <si>
    <t>Fuentes institucionales Fase 5</t>
  </si>
  <si>
    <t>Filas añadidas</t>
  </si>
  <si>
    <t>Todas las fuentes añadidas tienen URL institucional.</t>
  </si>
  <si>
    <t>T-35</t>
  </si>
  <si>
    <t>NOMENCLATURA</t>
  </si>
  <si>
    <t>Biotina B7/B8</t>
  </si>
  <si>
    <t>Catálogo y observación</t>
  </si>
  <si>
    <t>La discrepancia B8 queda documentada.</t>
  </si>
  <si>
    <t>T-36</t>
  </si>
  <si>
    <t>RESUMEN</t>
  </si>
  <si>
    <t>Cobertura del resumen de estudio</t>
  </si>
  <si>
    <t>TablaResumenEstudio</t>
  </si>
  <si>
    <t>Una fila por nutriente.</t>
  </si>
  <si>
    <t>T-37</t>
  </si>
  <si>
    <t>URLs válidas en fuentes añadidas</t>
  </si>
  <si>
    <t>24 URLs</t>
  </si>
  <si>
    <t>T-38</t>
  </si>
  <si>
    <t>SELECTORES</t>
  </si>
  <si>
    <t>Cambio dinámico a cobalamina</t>
  </si>
  <si>
    <t>4 hojas vinculadas</t>
  </si>
  <si>
    <t>VIT-B12 | Metformina | Vitamina B12 sérica | Caso adulto mayor</t>
  </si>
  <si>
    <t>Contenido B12 en las cuatro vistas</t>
  </si>
  <si>
    <t>Se verificó ficha, interacción, biomarcador y caso.</t>
  </si>
  <si>
    <t>T-39</t>
  </si>
  <si>
    <t>Escaneo de errores tras Fase 5</t>
  </si>
  <si>
    <t>Se excluyeron menciones textuales de códigos de error en hojas de documentación.</t>
  </si>
  <si>
    <t>T-40</t>
  </si>
  <si>
    <t>BIBLIOGRAFÍA</t>
  </si>
  <si>
    <t>Mínimo dos referencias por ficha</t>
  </si>
  <si>
    <t>23 fichas</t>
  </si>
  <si>
    <t>Cada ficha identifica una fuente principal y una referencia normativa/clínica complementaria.</t>
  </si>
  <si>
    <t>T-41</t>
  </si>
  <si>
    <t>FASE 6</t>
  </si>
  <si>
    <t>Mapeo de nutrientes a INTA</t>
  </si>
  <si>
    <t>23 nutrientes</t>
  </si>
  <si>
    <t>Cloruro y biotina no están disponibles.</t>
  </si>
  <si>
    <t>T-42</t>
  </si>
  <si>
    <t>DRI_BASE</t>
  </si>
  <si>
    <t>Filas micronutrientes normalizadas</t>
  </si>
  <si>
    <t>23 × 18 grupos</t>
  </si>
  <si>
    <t>RDA/AI y UL/CDRR con fuente.</t>
  </si>
  <si>
    <t>T-43</t>
  </si>
  <si>
    <t>REQUERIMIENTOS</t>
  </si>
  <si>
    <t>Hierro mujer 25 años</t>
  </si>
  <si>
    <t>Femenino; 25 a</t>
  </si>
  <si>
    <t>RDA adulta.</t>
  </si>
  <si>
    <t>T-44</t>
  </si>
  <si>
    <t>Biotina adulta</t>
  </si>
  <si>
    <t>AI; sin RDA/UL.</t>
  </si>
  <si>
    <t>T-45</t>
  </si>
  <si>
    <t>Cloruro adulto</t>
  </si>
  <si>
    <t>AI en mg/d.</t>
  </si>
  <si>
    <t>T-46</t>
  </si>
  <si>
    <t>PORCIÓN</t>
  </si>
  <si>
    <t>Lenteja cocida: hierro por 150 g</t>
  </si>
  <si>
    <t>Valor/100 g × 1,5</t>
  </si>
  <si>
    <t>Cálculo proporcional.</t>
  </si>
  <si>
    <t>T-47</t>
  </si>
  <si>
    <t>Hierro de cinco alimentos demostrativos</t>
  </si>
  <si>
    <t>Suma conocida</t>
  </si>
  <si>
    <t>ND aparte.</t>
  </si>
  <si>
    <t>T-48</t>
  </si>
  <si>
    <t>REFERENCIA</t>
  </si>
  <si>
    <t>Objetivo de hierro enlazado</t>
  </si>
  <si>
    <t>Mujer 25 a</t>
  </si>
  <si>
    <t>Selector y DRI_BASE.</t>
  </si>
  <si>
    <t>T-49</t>
  </si>
  <si>
    <t>RESULTADOS</t>
  </si>
  <si>
    <t>Cobertura de micronutrientes</t>
  </si>
  <si>
    <t>Tabla resultados</t>
  </si>
  <si>
    <t>T-50</t>
  </si>
  <si>
    <t>ND INTA</t>
  </si>
  <si>
    <t>Cloruro y biotina sin composición</t>
  </si>
  <si>
    <t>Estados</t>
  </si>
  <si>
    <t>ND EN INTA | ND EN INTA</t>
  </si>
  <si>
    <t>No se inventan aportes.</t>
  </si>
  <si>
    <t>T-51</t>
  </si>
  <si>
    <t>RANKING</t>
  </si>
  <si>
    <t>Primer alimento por hierro/100 g</t>
  </si>
  <si>
    <t>Ranking</t>
  </si>
  <si>
    <t>Bebida lactea años dorados</t>
  </si>
  <si>
    <t>Orden descendente.</t>
  </si>
  <si>
    <t>T-52</t>
  </si>
  <si>
    <t>SODIO</t>
  </si>
  <si>
    <t>Límite adulto identificado</t>
  </si>
  <si>
    <t>2300.0 CDRR</t>
  </si>
  <si>
    <t>2300 CDRR</t>
  </si>
  <si>
    <t>CDRR no es UL.</t>
  </si>
  <si>
    <t>T-53</t>
  </si>
  <si>
    <t>Escaneo de errores tras Fase 6</t>
  </si>
  <si>
    <t>Se excluyen menciones textuales de códigos de error.</t>
  </si>
  <si>
    <t>T-54</t>
  </si>
  <si>
    <t>LÍMITES</t>
  </si>
  <si>
    <t>Prioridad de alerta sobre UL</t>
  </si>
  <si>
    <t>Cobre demo</t>
  </si>
  <si>
    <t>SOBRE UL · PARCIAL</t>
  </si>
  <si>
    <t>La alerta de límite prevalece sobre el estado parcial.</t>
  </si>
  <si>
    <t>T-55</t>
  </si>
  <si>
    <t>Identificadores de fuente únicos</t>
  </si>
  <si>
    <t>37 registros</t>
  </si>
  <si>
    <t>No existen Source_ID duplicados.</t>
  </si>
  <si>
    <t>T-56</t>
  </si>
  <si>
    <t>Referencias internas resueltas</t>
  </si>
  <si>
    <t>1011 referencias</t>
  </si>
  <si>
    <t>No existen Source_ID faltantes.</t>
  </si>
  <si>
    <t>T-57</t>
  </si>
  <si>
    <t>Campos obligatorios completos</t>
  </si>
  <si>
    <t>37 fuentes</t>
  </si>
  <si>
    <t>ID, tema, autor/institución, título, tipo, nivel, módulo y estado.</t>
  </si>
  <si>
    <t>T-58</t>
  </si>
  <si>
    <t>Se excluyeron menciones textuales en documentación.</t>
  </si>
  <si>
    <t>T-59</t>
  </si>
  <si>
    <t>DOCUMENTACIÓN</t>
  </si>
  <si>
    <t>Hojas visibles documentadas</t>
  </si>
  <si>
    <t>Guía de hojas</t>
  </si>
  <si>
    <t>Cobertura de interfaz y gobernanza.</t>
  </si>
  <si>
    <t>T-60</t>
  </si>
  <si>
    <t>Hojas técnicas documentadas</t>
  </si>
  <si>
    <t>Señaladas como no editables.</t>
  </si>
  <si>
    <t>T-61</t>
  </si>
  <si>
    <t>COBERTURA</t>
  </si>
  <si>
    <t>Requisitos registrados</t>
  </si>
  <si>
    <t>Matriz COBERTURA</t>
  </si>
  <si>
    <t>Inventario del portafolio y gobernanza.</t>
  </si>
  <si>
    <t>T-62</t>
  </si>
  <si>
    <t>Estados de cobertura completos</t>
  </si>
  <si>
    <t>48 requisitos</t>
  </si>
  <si>
    <t>Sin estados vacíos.</t>
  </si>
  <si>
    <t>T-63</t>
  </si>
  <si>
    <t>VALIDACIONES</t>
  </si>
  <si>
    <t>Validaciones en DATOS</t>
  </si>
  <si>
    <t>Hoja DATOS</t>
  </si>
  <si>
    <t>Listas y restricciones del perfil.</t>
  </si>
  <si>
    <t>T-64</t>
  </si>
  <si>
    <t>Validaciones de selectores y alimentos</t>
  </si>
  <si>
    <t>8 hojas de interfaz</t>
  </si>
  <si>
    <t>Nutrientes, IG, actividades y alimentos.</t>
  </si>
  <si>
    <t>T-65</t>
  </si>
  <si>
    <t>TABLAS</t>
  </si>
  <si>
    <t>Nombres de tabla únicos</t>
  </si>
  <si>
    <t>15 tablas</t>
  </si>
  <si>
    <t>Evita conflictos estructurales.</t>
  </si>
  <si>
    <t>T-66</t>
  </si>
  <si>
    <t>NAVEGACIÓN</t>
  </si>
  <si>
    <t>Enlaces a documentación y cobertura</t>
  </si>
  <si>
    <t>23 hojas</t>
  </si>
  <si>
    <t>Botones H5 e I5.</t>
  </si>
  <si>
    <t>T-67</t>
  </si>
  <si>
    <t>PAQUETE</t>
  </si>
  <si>
    <t>Ausencia de macros VBA</t>
  </si>
  <si>
    <t>Archivo XLSX</t>
  </si>
  <si>
    <t>Sin macros</t>
  </si>
  <si>
    <t>No existe vbaProject.bin.</t>
  </si>
  <si>
    <t>T-68</t>
  </si>
  <si>
    <t>Ausencia de vínculos externos de libro</t>
  </si>
  <si>
    <t>Sin externalLinks</t>
  </si>
  <si>
    <t>No se detectan relaciones xl/externalLinks.</t>
  </si>
  <si>
    <t>T-69</t>
  </si>
  <si>
    <t>Protección y desbloqueo selectivo</t>
  </si>
  <si>
    <t>Microsoft Excel</t>
  </si>
  <si>
    <t>Revisión manual</t>
  </si>
  <si>
    <t>El editor actual no expone protección de hoja; seguir DOCUMENTACIÓN.</t>
  </si>
  <si>
    <t>T-70</t>
  </si>
  <si>
    <t>IMPRESIÓN</t>
  </si>
  <si>
    <t>Áreas de impresión y escalado</t>
  </si>
  <si>
    <t>Objetivos por hoja documentados en DOCUMENTACIÓN.</t>
  </si>
  <si>
    <t>T-71</t>
  </si>
  <si>
    <t>INVENTARIO</t>
  </si>
  <si>
    <t>Cantidad de hojas finales</t>
  </si>
  <si>
    <t>35 hojas</t>
  </si>
  <si>
    <t>Incluye AUDITORÍA_FINAL.</t>
  </si>
  <si>
    <t>T-72</t>
  </si>
  <si>
    <t>ARQUITECTURA</t>
  </si>
  <si>
    <t>Hojas obligatorias presentes</t>
  </si>
  <si>
    <t>Conjunto requerido</t>
  </si>
  <si>
    <t>No faltan módulos obligatorios.</t>
  </si>
  <si>
    <t>T-73</t>
  </si>
  <si>
    <t>Sin duplicados.</t>
  </si>
  <si>
    <t>T-74</t>
  </si>
  <si>
    <t>TRAZABILIDAD</t>
  </si>
  <si>
    <t>Source_ID internos resueltos</t>
  </si>
  <si>
    <t>Bases y CONFIG</t>
  </si>
  <si>
    <t>No quedan alias sin registro.</t>
  </si>
  <si>
    <t>T-75</t>
  </si>
  <si>
    <t>Campos esenciales completos</t>
  </si>
  <si>
    <t>Registro de fuentes</t>
  </si>
  <si>
    <t>ID, institución, título, nivel, módulo y estado.</t>
  </si>
  <si>
    <t>T-76</t>
  </si>
  <si>
    <t>T-77</t>
  </si>
  <si>
    <t>Validaciones de datos activas</t>
  </si>
  <si>
    <t>Incluye DATOS y selectores.</t>
  </si>
  <si>
    <t>T-78</t>
  </si>
  <si>
    <t>Requisitos documentados</t>
  </si>
  <si>
    <t>Todos tienen estado.</t>
  </si>
  <si>
    <t>T-79</t>
  </si>
  <si>
    <t>REGISTRO PREVIO</t>
  </si>
  <si>
    <t>Consistencia de pruebas F1–F7</t>
  </si>
  <si>
    <t>70 totales</t>
  </si>
  <si>
    <t>67 aprobadas / 3 pendientes</t>
  </si>
  <si>
    <t>No se modificaron resultados previos.</t>
  </si>
  <si>
    <t>T-80</t>
  </si>
  <si>
    <t>Se excluyen menciones textuales.</t>
  </si>
  <si>
    <t>T-81</t>
  </si>
  <si>
    <t>PAQUETE XLSX</t>
  </si>
  <si>
    <t>Estructura ZIP/Open XML</t>
  </si>
  <si>
    <t>Archivo temporal</t>
  </si>
  <si>
    <t>Contiene workbook.xml y Content_Types.</t>
  </si>
  <si>
    <t>T-82</t>
  </si>
  <si>
    <t>SEGURIDAD</t>
  </si>
  <si>
    <t>Ausencia de VBA y vínculos externos</t>
  </si>
  <si>
    <t>Paquete XLSX</t>
  </si>
  <si>
    <t>VBA=False; externos=False</t>
  </si>
  <si>
    <t>El libro permanece .xlsx sin macros.</t>
  </si>
  <si>
    <t>T-83</t>
  </si>
  <si>
    <t>REAPERTURA</t>
  </si>
  <si>
    <t>Reimportación del archivo exportado</t>
  </si>
  <si>
    <t>Artifact Tool</t>
  </si>
  <si>
    <t>La hoja AUDITORÍA_FINAL permanece disponible.</t>
  </si>
  <si>
    <t>T-84</t>
  </si>
  <si>
    <t>INSPECCIÓN FINAL</t>
  </si>
  <si>
    <t>Rangos clave legibles y calculados</t>
  </si>
  <si>
    <t>INICIO; RESULTADOS; AUDITORÍA_FINAL</t>
  </si>
  <si>
    <t>Inspección dirigida de valores y fórmulas.</t>
  </si>
  <si>
    <t>NUTRIMETRÍA · NMX-43  |  CONFIG</t>
  </si>
  <si>
    <t>Constantes, límites y políticas del motor.</t>
  </si>
  <si>
    <t>Clave</t>
  </si>
  <si>
    <t>FACTOR_KCAL_PROTEINA</t>
  </si>
  <si>
    <t>kcal/g</t>
  </si>
  <si>
    <t>Conversión</t>
  </si>
  <si>
    <t>Factor general de Atwater.</t>
  </si>
  <si>
    <t>FACTOR_KCAL_CHO</t>
  </si>
  <si>
    <t>Carbohidratos disponibles.</t>
  </si>
  <si>
    <t>FACTOR_KCAL_LIPIDOS</t>
  </si>
  <si>
    <t>TOLERANCIA_CIERRE_ENERGETICO</t>
  </si>
  <si>
    <t>Control</t>
  </si>
  <si>
    <t>INTERNA</t>
  </si>
  <si>
    <t>Tolerancia técnica; no criterio clínico.</t>
  </si>
  <si>
    <t>TEXTO_ND</t>
  </si>
  <si>
    <t>Política</t>
  </si>
  <si>
    <t>Dato no disponible/no establecido.</t>
  </si>
  <si>
    <t>IG_BAJO_MAX</t>
  </si>
  <si>
    <t>índice</t>
  </si>
  <si>
    <t>Escala glucosa=100.</t>
  </si>
  <si>
    <t>IG_MEDIO_MAX</t>
  </si>
  <si>
    <t>Desde 56 hasta 69.</t>
  </si>
  <si>
    <t>GL_BAJO_MAX</t>
  </si>
  <si>
    <t>carga</t>
  </si>
  <si>
    <t>Por porción.</t>
  </si>
  <si>
    <t>GL_MEDIO_MAX</t>
  </si>
  <si>
    <t>Desde 11 hasta 19.</t>
  </si>
  <si>
    <t>ADECUACION_BAJO</t>
  </si>
  <si>
    <t>Semáforo</t>
  </si>
  <si>
    <t>Umbral didáctico configurable.</t>
  </si>
  <si>
    <t>ADECUACION_ALTO</t>
  </si>
  <si>
    <t>No equivale a UL ni toxicidad.</t>
  </si>
  <si>
    <t>PAL_SEDENTARIO_CENTRO</t>
  </si>
  <si>
    <t>Centro aproximado dentro de 1,40–1,69.</t>
  </si>
  <si>
    <t>PAL_MODERADO_CENTRO</t>
  </si>
  <si>
    <t>Centro aproximado dentro de 1,70–1,99.</t>
  </si>
  <si>
    <t>PAL_VIGOROSO_CENTRO</t>
  </si>
  <si>
    <t>Centro aproximado dentro de 2,00–2,40.</t>
  </si>
  <si>
    <t>AJUSTE_FAO_LIGERA</t>
  </si>
  <si>
    <t>factor</t>
  </si>
  <si>
    <t>Energía pediátrica</t>
  </si>
  <si>
    <t>15% bajo actividad moderada desde 6 años.</t>
  </si>
  <si>
    <t>AJUSTE_FAO_MODERADA</t>
  </si>
  <si>
    <t>Referencia promedio/moderada.</t>
  </si>
  <si>
    <t>AJUSTE_FAO_INTENSA</t>
  </si>
  <si>
    <t>15% sobre actividad moderada desde 6 años.</t>
  </si>
  <si>
    <t>PREG_DEPOSICION_BAJO_PESO</t>
  </si>
  <si>
    <t>NASEM 2023</t>
  </si>
  <si>
    <t>2º–3º trimestre.</t>
  </si>
  <si>
    <t>PREG_DEPOSICION_NORMAL</t>
  </si>
  <si>
    <t>PREG_DEPOSICION_SOBREPESO</t>
  </si>
  <si>
    <t>PREG_DEPOSICION_OBESIDAD</t>
  </si>
  <si>
    <t>LACTANCIA_0_6_NETO</t>
  </si>
  <si>
    <t>540 producción − 140 movilización.</t>
  </si>
  <si>
    <t>LACTANCIA_7_12</t>
  </si>
  <si>
    <t>Lactancia parcial.</t>
  </si>
  <si>
    <t>SISTEMA_DRI_ACTIVO</t>
  </si>
  <si>
    <t>DRI EE.UU./Canadá</t>
  </si>
  <si>
    <t>Gobernanza</t>
  </si>
  <si>
    <t>No mezclar con EFSA.</t>
  </si>
  <si>
    <t>FUENTE_ENERGIA_PRINCIPAL</t>
  </si>
  <si>
    <t>FAO/WHO/UNU 2004</t>
  </si>
  <si>
    <t>NASEM 2023 queda como comparador moderno.</t>
  </si>
  <si>
    <t>VERSION_MINIMA_EXCEL</t>
  </si>
  <si>
    <t>Microsoft 365 / Excel 2021</t>
  </si>
  <si>
    <t>Compatibilidad</t>
  </si>
  <si>
    <t>Sin macros.</t>
  </si>
  <si>
    <t>USO_AUTORIZADO</t>
  </si>
  <si>
    <t>Académico privado</t>
  </si>
  <si>
    <t>Licencia</t>
  </si>
  <si>
    <t>Comercialización bloqueada hasta revisar licencia INTA.</t>
  </si>
  <si>
    <t>FASE_ACTUAL</t>
  </si>
  <si>
    <t>fase</t>
  </si>
  <si>
    <t>Fase 8: auditoría automatizada completada; tres controles manuales permanecen pendientes.</t>
  </si>
  <si>
    <t>FICHAS_CARGADAS</t>
  </si>
  <si>
    <t>nutrientes</t>
  </si>
  <si>
    <t>Fase 5</t>
  </si>
  <si>
    <t>18 campos uniformes por nutriente.</t>
  </si>
  <si>
    <t>INTERACCIONES_CARGADAS</t>
  </si>
  <si>
    <t>registros</t>
  </si>
  <si>
    <t>Con fuente y estado.</t>
  </si>
  <si>
    <t>BIOMARCADORES_CARGADOS</t>
  </si>
  <si>
    <t>Sin rangos universales.</t>
  </si>
  <si>
    <t>CASOS_CARGADOS</t>
  </si>
  <si>
    <t>casos</t>
  </si>
  <si>
    <t>Un caso por nutriente.</t>
  </si>
  <si>
    <t>ALIMENTOS_SELECCIONABLES</t>
  </si>
  <si>
    <t>alimentos</t>
  </si>
  <si>
    <t>Fase 6</t>
  </si>
  <si>
    <t>Base para validación de datos.</t>
  </si>
  <si>
    <t>NUTRIENTES_CUANTIFICABLES</t>
  </si>
  <si>
    <t>Cloruro y biotina no están en la base.</t>
  </si>
  <si>
    <t>FILAS_DRI_NORMALIZADAS</t>
  </si>
  <si>
    <t>filas</t>
  </si>
  <si>
    <t>Incluye macro, agua, fibra y micronutrientes.</t>
  </si>
  <si>
    <t>ALIMENTOS_POR_CASO</t>
  </si>
  <si>
    <t>Entradas editables.</t>
  </si>
  <si>
    <t>TOP_FUENTES</t>
  </si>
  <si>
    <t>Ranking por 100 g.</t>
  </si>
  <si>
    <t>POLITICA_TOTAL_PARCIAL</t>
  </si>
  <si>
    <t>Sumar conocido + contar ND</t>
  </si>
  <si>
    <t>ND nunca se transforma en cero.</t>
  </si>
  <si>
    <t>HOJAS_TOTALES</t>
  </si>
  <si>
    <t>hojas</t>
  </si>
  <si>
    <t>Fase 7</t>
  </si>
  <si>
    <t>23 visibles/documentales y 11 técnicas.</t>
  </si>
  <si>
    <t>FUENTES_REGISTRADAS</t>
  </si>
  <si>
    <t>fuentes</t>
  </si>
  <si>
    <t>Incluye fuentes científicas, internas y entrada del usuario.</t>
  </si>
  <si>
    <t>REQUISITOS_COBERTURA</t>
  </si>
  <si>
    <t>requisitos</t>
  </si>
  <si>
    <t>Matriz COBERTURA.</t>
  </si>
  <si>
    <t>PRUEBAS_APROBADAS</t>
  </si>
  <si>
    <t>pruebas</t>
  </si>
  <si>
    <t>PRUEBAS</t>
  </si>
  <si>
    <t>De 70 controles registrados.</t>
  </si>
  <si>
    <t>PRUEBAS_PENDIENTES</t>
  </si>
  <si>
    <t>T-27, T-69 y T-70.</t>
  </si>
  <si>
    <t>PROTECCION_HOJAS</t>
  </si>
  <si>
    <t>Pendiente manual</t>
  </si>
  <si>
    <t>PENDIENTE</t>
  </si>
  <si>
    <t>Configurar en Microsoft Excel.</t>
  </si>
  <si>
    <t>AREAS_IMPRESION</t>
  </si>
  <si>
    <t>Objetivos documentados en DOCUMENTACIÓN.</t>
  </si>
  <si>
    <t>Fase 8</t>
  </si>
  <si>
    <t>Auditoría automatizada completada.</t>
  </si>
  <si>
    <t>HOJAS_FINALES</t>
  </si>
  <si>
    <t>PRUEBAS_TOTALES</t>
  </si>
  <si>
    <t>Registro acumulado.</t>
  </si>
  <si>
    <t>PRUEBAS_APROBADAS_FINAL</t>
  </si>
  <si>
    <t>Controles aprobados.</t>
  </si>
  <si>
    <t>PRUEBAS_PENDIENTES_FINAL</t>
  </si>
  <si>
    <t>Protección, impresión y comprobación manual.</t>
  </si>
  <si>
    <t>ESTADO_ENTREGA</t>
  </si>
  <si>
    <t>Final académica</t>
  </si>
  <si>
    <t>No validada clínicamente ni autorizada para comercialización.</t>
  </si>
  <si>
    <t>NUTRIMETRÍA · NMX-43  |  DICCIONARIO</t>
  </si>
  <si>
    <t>Estructura de DICCIONARIO preparada para el desarrollo por fases.</t>
  </si>
  <si>
    <t>Término</t>
  </si>
  <si>
    <t>Definición operativa</t>
  </si>
  <si>
    <t>Nota</t>
  </si>
  <si>
    <t>Requerimiento promedio estimado.</t>
  </si>
  <si>
    <t>No es una meta individual.</t>
  </si>
  <si>
    <t>Ingesta dietaria recomendada.</t>
  </si>
  <si>
    <t>Se deriva del EAR cuando existe evidencia suficiente.</t>
  </si>
  <si>
    <t>Ingesta adecuada.</t>
  </si>
  <si>
    <t>Se usa cuando no puede establecerse EAR/RDA.</t>
  </si>
  <si>
    <t>Nivel máximo tolerable de ingesta.</t>
  </si>
  <si>
    <t>No es una meta de consumo.</t>
  </si>
  <si>
    <t>Dato no disponible/no informado.</t>
  </si>
  <si>
    <t>No equivale a cero.</t>
  </si>
  <si>
    <t>CHO disponibles</t>
  </si>
  <si>
    <t>Carbohidratos digeribles usados para cálculo energético/carga glicémica.</t>
  </si>
  <si>
    <t>Distinguir de carbohidratos totales.</t>
  </si>
  <si>
    <t>Vitamina B7.</t>
  </si>
  <si>
    <t>La pauta la menciona como B8; discrepancia registrada.</t>
  </si>
  <si>
    <t>Anión cloruro, no cloro elemental.</t>
  </si>
  <si>
    <t>Definir unidad y fuente.</t>
  </si>
  <si>
    <t>Ingesta de reducción del riesgo de enfermedad crónica.</t>
  </si>
  <si>
    <t>Para sodio; no es un UL.</t>
  </si>
  <si>
    <t>Aporte conocido</t>
  </si>
  <si>
    <t>Suma de datos numéricos disponibles para los alimentos seleccionados.</t>
  </si>
  <si>
    <t>No incluye componentes s/i.</t>
  </si>
  <si>
    <t>Resultado parcial</t>
  </si>
  <si>
    <t>Existe al menos un alimento con dato ND para el nutriente.</t>
  </si>
  <si>
    <t>No interpretar como ingesta total completa.</t>
  </si>
  <si>
    <t>Ranking por 100 g</t>
  </si>
  <si>
    <t>Orden según concentración por 100 g.</t>
  </si>
  <si>
    <t>No equivale a una porción recomendada.</t>
  </si>
  <si>
    <t>Identificador único utilizado para vincular un dato con FUENTES.</t>
  </si>
  <si>
    <t>Debe existir en el registro de fuentes.</t>
  </si>
  <si>
    <t>Dato resumido desde una fuente institucional o tabla derivada.</t>
  </si>
  <si>
    <t>No equivale a revisión de todos los documentos primarios.</t>
  </si>
  <si>
    <t>PENDIENTE MANUAL</t>
  </si>
  <si>
    <t>Control que debe ejecutarse en Microsoft Excel u otro entorno no disponible.</t>
  </si>
  <si>
    <t>No se declara aprobado.</t>
  </si>
  <si>
    <t>Hoja técnica</t>
  </si>
  <si>
    <t>Hoja auxiliar para motores o bases.</t>
  </si>
  <si>
    <t>No debe editarse durante el uso normal.</t>
  </si>
  <si>
    <t>NUTRIMETRÍA · NMX-43  |  OBSERVACIONES</t>
  </si>
  <si>
    <t>Discrepancias académicas, legales y técnicas.</t>
  </si>
  <si>
    <t>Impacto</t>
  </si>
  <si>
    <t>OBS-001</t>
  </si>
  <si>
    <t>La pauta docente escribe B8; el catálogo usa B7 y conserva la discrepancia.</t>
  </si>
  <si>
    <t>Académico</t>
  </si>
  <si>
    <t>ABIERTO</t>
  </si>
  <si>
    <t>OBS-002</t>
  </si>
  <si>
    <t>Cloro/cloruro</t>
  </si>
  <si>
    <t>El motor deberá trabajar con cloruro y documentar la unidad.</t>
  </si>
  <si>
    <t>OBS-003</t>
  </si>
  <si>
    <t>Licencia INTA</t>
  </si>
  <si>
    <t>No se autoriza comercialización hasta verificar redistribución y atribución.</t>
  </si>
  <si>
    <t>Legal</t>
  </si>
  <si>
    <t>BLOQUEANTE</t>
  </si>
  <si>
    <t>OBS-004</t>
  </si>
  <si>
    <t>No mezclar EAR/RDA/AI/UL ni sistemas DRI y EFSA.</t>
  </si>
  <si>
    <t>Metodológico</t>
  </si>
  <si>
    <t>CONTROLADO</t>
  </si>
  <si>
    <t>OBS-005</t>
  </si>
  <si>
    <t>Valores ausentes</t>
  </si>
  <si>
    <t>s/i y ND no se transforman en cero.</t>
  </si>
  <si>
    <t>Técnico</t>
  </si>
  <si>
    <t>OBS-006</t>
  </si>
  <si>
    <t>Fase 4</t>
  </si>
  <si>
    <t>Motores energéticos y de macronutrientes implementados con fuentes rastreables.</t>
  </si>
  <si>
    <t>Alcance</t>
  </si>
  <si>
    <t>COMPLETADO</t>
  </si>
  <si>
    <t>OBS-007</t>
  </si>
  <si>
    <t>Los valores precargados son promedios de categoría; para aplicación individual debe registrarse un valor específico compatible.</t>
  </si>
  <si>
    <t>OBS-008</t>
  </si>
  <si>
    <t>Los umbrales 90–110 % son técnicos y configurables; no son diagnóstico ni criterio universal de suficiencia/toxicidad.</t>
  </si>
  <si>
    <t>OBS-009</t>
  </si>
  <si>
    <t>Protección</t>
  </si>
  <si>
    <t>La protección final y las celdas desbloqueadas se verificarán en Microsoft Excel durante Fase 7.</t>
  </si>
  <si>
    <t>OBS-010</t>
  </si>
  <si>
    <t>NASEM/FAO</t>
  </si>
  <si>
    <t>Los sistemas energéticos se muestran por separado y no se promedian automáticamente.</t>
  </si>
  <si>
    <t>OBS-011</t>
  </si>
  <si>
    <t>Fichas Fase 5</t>
  </si>
  <si>
    <t>Las 23 fichas son resúmenes académicos concisos basados principalmente en fuentes institucionales; el estado es VERIFICADO_SECUNDARIO.</t>
  </si>
  <si>
    <t>OBS-012</t>
  </si>
  <si>
    <t>Fuentes alimentarias</t>
  </si>
  <si>
    <t>Las fichas listan al menos cinco fuentes cualitativas. El cálculo cuantitativo por porción con INTA se integrará en la siguiente fase.</t>
  </si>
  <si>
    <t>COMPLETADO FASE 6</t>
  </si>
  <si>
    <t>OBS-013</t>
  </si>
  <si>
    <t>Biomarcadores</t>
  </si>
  <si>
    <t>No se cargaron intervalos universales; cada prueba incluye limitaciones de método y contexto.</t>
  </si>
  <si>
    <t>Clínico</t>
  </si>
  <si>
    <t>OBS-014</t>
  </si>
  <si>
    <t>Interacciones</t>
  </si>
  <si>
    <t>Las interacciones no autorizan modificar medicamentos ni suplementos; requieren revisar ficha farmacológica y equipo tratante.</t>
  </si>
  <si>
    <t>Seguridad</t>
  </si>
  <si>
    <t>OBS-015</t>
  </si>
  <si>
    <t>Casos clínicos</t>
  </si>
  <si>
    <t>Los 23 casos son educativos y ficticios; no representan diagnóstico ni tratamiento individual.</t>
  </si>
  <si>
    <t>OBS-016</t>
  </si>
  <si>
    <t>Aporte cuantitativo</t>
  </si>
  <si>
    <t>Los resultados corresponden solo a los diez alimentos editables, no a la dieta diaria completa.</t>
  </si>
  <si>
    <t>OBS-017</t>
  </si>
  <si>
    <t>Datos s/i</t>
  </si>
  <si>
    <t>La suma usa valores conocidos y contabiliza ND por separado; no reemplaza s/i por cero.</t>
  </si>
  <si>
    <t>OBS-018</t>
  </si>
  <si>
    <t>Cloruro y biotina</t>
  </si>
  <si>
    <t>Tienen AI en DRI_BASE, pero no composición en ALIMENTOS_INTA; su aporte queda ND.</t>
  </si>
  <si>
    <t>OBS-019</t>
  </si>
  <si>
    <t>Porciones domésticas</t>
  </si>
  <si>
    <t>Son textos editables sin equivalencia automática porque la fuente INTA no documenta medidas caseras.</t>
  </si>
  <si>
    <t>Trazabilidad</t>
  </si>
  <si>
    <t>OBS-020</t>
  </si>
  <si>
    <t>El top 10 es por 100 g y no recomienda tamaños de porción.</t>
  </si>
  <si>
    <t>OBS-021</t>
  </si>
  <si>
    <t>La matriz carga RDA/AI y UL/CDRR; las EAR completas permanecen pendientes.</t>
  </si>
  <si>
    <t>OBS-022</t>
  </si>
  <si>
    <t>Documentación Fase 7</t>
  </si>
  <si>
    <t>Se añadió una guía de uso y arquitectura para las 34 hojas.</t>
  </si>
  <si>
    <t>OBS-023</t>
  </si>
  <si>
    <t>Cobertura</t>
  </si>
  <si>
    <t>Se documentaron 48 requisitos con estado incluido, parcial, pendiente o bloqueado.</t>
  </si>
  <si>
    <t>OBS-024</t>
  </si>
  <si>
    <t>Fuentes</t>
  </si>
  <si>
    <t>Se corrigieron alias de Source_ID y se añadió una fuente explícita para entradas manuales.</t>
  </si>
  <si>
    <t>OBS-025</t>
  </si>
  <si>
    <t>La protección real de hojas no puede aplicarse desde el editor actual y requiere Microsoft Excel.</t>
  </si>
  <si>
    <t>OBS-026</t>
  </si>
  <si>
    <t>Impresión</t>
  </si>
  <si>
    <t>Las áreas y orientaciones objetivo están documentadas, pero deben aplicarse en Microsoft Excel.</t>
  </si>
  <si>
    <t>OBS-027</t>
  </si>
  <si>
    <t>La auditoría final deberá incorporar los resultados de protección, impresión, reapertura y revisión visual en Excel.</t>
  </si>
  <si>
    <t>OBS-028</t>
  </si>
  <si>
    <t>Auditoría final</t>
  </si>
  <si>
    <t>La auditoría automatizada de estructura, fuentes, fórmulas, tablas, validaciones y cobertura fue ejecutada.</t>
  </si>
  <si>
    <t>OBS-029</t>
  </si>
  <si>
    <t>Protección final</t>
  </si>
  <si>
    <t>La protección de hojas y celdas continúa pendiente de ejecución en Microsoft Excel.</t>
  </si>
  <si>
    <t>OBS-030</t>
  </si>
  <si>
    <t>Impresión final</t>
  </si>
  <si>
    <t>Las áreas de impresión continúan pendientes de ejecución en Microsoft Excel.</t>
  </si>
  <si>
    <t>OBS-031</t>
  </si>
  <si>
    <t>Entrega</t>
  </si>
  <si>
    <t>El archivo final es apto para revisión académica privada, no para comercialización ni validación clínica.</t>
  </si>
  <si>
    <t>ENTREGA FINAL</t>
  </si>
  <si>
    <t>OBS-032</t>
  </si>
  <si>
    <t>Cierre</t>
  </si>
  <si>
    <t>La fase 8 no convierte controles manuales no realizados en aprobados.</t>
  </si>
  <si>
    <t>Honestidad</t>
  </si>
  <si>
    <t>NUTRIMETRÍA · NMX-43  |  CHANGELOG</t>
  </si>
  <si>
    <t>Historial de versiones.</t>
  </si>
  <si>
    <t>Versión</t>
  </si>
  <si>
    <t>Fase</t>
  </si>
  <si>
    <t>Cambio</t>
  </si>
  <si>
    <t>Autoría</t>
  </si>
  <si>
    <t>1.0-F3</t>
  </si>
  <si>
    <t>Fase 3</t>
  </si>
  <si>
    <t>Contenedor, hojas, CONFIG, LISTAS, catálogo, bases, fuentes y copia de ALIMENTOS.</t>
  </si>
  <si>
    <t>COMPLETADA</t>
  </si>
  <si>
    <t xml:space="preserve">Nutrimetría </t>
  </si>
  <si>
    <t>1.0-F4</t>
  </si>
  <si>
    <t>Motores de energía, método factorial, macronutrientes, agua, fibra, IG/CG, resultados integrados, fuentes y 26 pruebas aprobadas.</t>
  </si>
  <si>
    <t>1.0-F5</t>
  </si>
  <si>
    <t>23 fichas automatizadas, 414 registros de contenido, 35 interacciones, 26 biomarcadores, 23 casos, resumen de estudio, 24 fuentes y 13 pruebas estructurales/dinámicas.</t>
  </si>
  <si>
    <t>1.0-F6</t>
  </si>
  <si>
    <t>DRI de 23 micronutrientes, selección de 10 alimentos, cálculo por gramaje, matriz de 23 nutrientes, ranking top 10, integración con resultados/resumen/casos y 14 pruebas.</t>
  </si>
  <si>
    <t>1.0-F7</t>
  </si>
  <si>
    <t>Documentación completa, matriz de cobertura, auditoría de fuentes, navegación ampliada, estilo de entradas, 16 controles y checklist manual de protección/impresión.</t>
  </si>
  <si>
    <t>COMPLETADA CON 2 CONTROLES MANUALES</t>
  </si>
  <si>
    <t>1.0-F8</t>
  </si>
  <si>
    <t>Auditoría final, hoja AUDITORÍA_FINAL, 49 requisitos, 84 pruebas, verificación de paquete, reapertura e inspección dirigida.</t>
  </si>
  <si>
    <t>COMPLETADA CON 3 CONTROLES MANUALES</t>
  </si>
  <si>
    <t>1.1-UDD</t>
  </si>
  <si>
    <t>Fase 9</t>
  </si>
  <si>
    <t>Biblioteca UDD integrada: 9 hojas, cobertura de 238 elementos, derechos controlados y motores sin cambios.</t>
  </si>
  <si>
    <t>COMPLETADA CON 3 CONTROLES MANUALES HEREDADOS</t>
  </si>
  <si>
    <t>Nutrimetría</t>
  </si>
  <si>
    <t>NMX43_ID</t>
  </si>
  <si>
    <t>ESTADO_DATO</t>
  </si>
  <si>
    <t>FUENTE_ID</t>
  </si>
  <si>
    <t>NUTRIMETRÍA  ·  NMX-21</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</si>
  <si>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</si>
  <si>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</si>
  <si>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</si>
  <si>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</si>
  <si>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</si>
  <si>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</si>
  <si>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</si>
  <si>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</si>
  <si>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</si>
  <si>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</si>
  <si>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</si>
  <si>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</si>
  <si>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</si>
  <si>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</si>
  <si>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</si>
  <si>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</si>
  <si>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</si>
  <si>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</si>
  <si>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</si>
  <si>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</si>
  <si>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</si>
  <si>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</si>
  <si>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</si>
  <si>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</si>
  <si>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</si>
  <si>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</si>
  <si>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</si>
  <si>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</si>
  <si>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</si>
  <si>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</si>
  <si>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Columna31</t>
  </si>
  <si>
    <t>Columna32</t>
  </si>
  <si>
    <t>Columna33</t>
  </si>
  <si>
    <t>Columna34</t>
  </si>
  <si>
    <t>Columna35</t>
  </si>
  <si>
    <t>Columna36</t>
  </si>
  <si>
    <t>Columna37</t>
  </si>
  <si>
    <t>INTA-0001</t>
  </si>
  <si>
    <t>SEGÚN_CELDA</t>
  </si>
  <si>
    <t>Composición por 100 g de porción comestible. Celdas 's/i' = sin información en la fuente (NO es cero).</t>
  </si>
  <si>
    <t>INTA-0002</t>
  </si>
  <si>
    <t>▶ INICIO</t>
  </si>
  <si>
    <t>▶ DATOS</t>
  </si>
  <si>
    <t>● ALIMENTOS</t>
  </si>
  <si>
    <t>▶ CALCULOS</t>
  </si>
  <si>
    <t>▶ RESULTADOS</t>
  </si>
  <si>
    <t>▶ REQUERIMIENTOS</t>
  </si>
  <si>
    <t>▶ FUENTES</t>
  </si>
  <si>
    <t>▶ PRUEBAS</t>
  </si>
  <si>
    <t>▶ CONFIG</t>
  </si>
  <si>
    <t>▶ CHANGELOG</t>
  </si>
  <si>
    <t>INTA-0003</t>
  </si>
  <si>
    <t>INTA-0004</t>
  </si>
  <si>
    <t>REGISTROS (618 alimentos · 34 nutrientes)</t>
  </si>
  <si>
    <t>INTA-0005</t>
  </si>
  <si>
    <t>No modifique esta hoja: es la base de datos. Los valores 's/i' deben permanecer como texto.</t>
  </si>
  <si>
    <t>INTA-0006</t>
  </si>
  <si>
    <t>Energía (kcal)</t>
  </si>
  <si>
    <t>Humedad (g)</t>
  </si>
  <si>
    <t>Cenizas (g)</t>
  </si>
  <si>
    <t>Proteínas (g)</t>
  </si>
  <si>
    <t>H de C disp. (g)</t>
  </si>
  <si>
    <t>Azúcares tot. (g)</t>
  </si>
  <si>
    <t>Fibra (g)</t>
  </si>
  <si>
    <t>Lípidos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</si>
  <si>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</si>
  <si>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</si>
  <si>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</si>
  <si>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</si>
  <si>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</si>
  <si>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</si>
  <si>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</si>
  <si>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</si>
  <si>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</si>
  <si>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</si>
  <si>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</si>
  <si>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</si>
  <si>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</si>
  <si>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</si>
  <si>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</si>
  <si>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</si>
  <si>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</si>
  <si>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Sodio (mg)</t>
  </si>
  <si>
    <t>Potasio (mg)</t>
  </si>
  <si>
    <t>Calcio (mg)</t>
  </si>
  <si>
    <t>Fósforo (mg)</t>
  </si>
  <si>
    <t>Magnesio (mg)</t>
  </si>
  <si>
    <t>Hierro (mg)</t>
  </si>
  <si>
    <t>Zinc (mg)</t>
  </si>
  <si>
    <t>Cobre (mg)</t>
  </si>
  <si>
    <t>Selenio (µg)</t>
  </si>
  <si>
    <t>INTA-0007</t>
  </si>
  <si>
    <t>Leche materna</t>
  </si>
  <si>
    <t>Leche y derivados</t>
  </si>
  <si>
    <t>sin documentar</t>
  </si>
  <si>
    <t>s/i</t>
  </si>
  <si>
    <t>INTA-0008</t>
  </si>
  <si>
    <t>INTA-0009</t>
  </si>
  <si>
    <t>Leche de cabra con Vit. D</t>
  </si>
  <si>
    <t>INTA-0010</t>
  </si>
  <si>
    <t>INTA-0011</t>
  </si>
  <si>
    <t>Leche fluida entera 2</t>
  </si>
  <si>
    <t>INTA-0012</t>
  </si>
  <si>
    <t>Leche entera con sabor</t>
  </si>
  <si>
    <t>INTA-0013</t>
  </si>
  <si>
    <t>Leche semidescremada</t>
  </si>
  <si>
    <t>INTA-0014</t>
  </si>
  <si>
    <t>Leche semidescremada con sabor</t>
  </si>
  <si>
    <t>INTA-0015</t>
  </si>
  <si>
    <t>Leche semidescremada con sabor chocolate</t>
  </si>
  <si>
    <t>INTA-0016</t>
  </si>
  <si>
    <t>Leche semidescremada con sabor frutilla</t>
  </si>
  <si>
    <t>INTA-0017</t>
  </si>
  <si>
    <t>Leche semidescremada sin lactosa</t>
  </si>
  <si>
    <t>INTA-0018</t>
  </si>
  <si>
    <t>Leche descremada</t>
  </si>
  <si>
    <t>INTA-0019</t>
  </si>
  <si>
    <t>Leche descremada 2</t>
  </si>
  <si>
    <t>INTA-0020</t>
  </si>
  <si>
    <t>Leche en polvo 26% MG</t>
  </si>
  <si>
    <t>INTA-0021</t>
  </si>
  <si>
    <t>Leche en polvo 26% MG con Vit. D</t>
  </si>
  <si>
    <t>INTA-0022</t>
  </si>
  <si>
    <t>Leche en polvo 18% MG extra calcio</t>
  </si>
  <si>
    <t>INTA-0023</t>
  </si>
  <si>
    <t>Leche en polvo 12% MG</t>
  </si>
  <si>
    <t>INTA-0024</t>
  </si>
  <si>
    <t>Leche en polvo descremada</t>
  </si>
  <si>
    <t>INTA-0025</t>
  </si>
  <si>
    <t>Leche en polvo descremada extra calcio</t>
  </si>
  <si>
    <t>INTA-0026</t>
  </si>
  <si>
    <t>Leche en polvo purita cereal</t>
  </si>
  <si>
    <t>INTA-0027</t>
  </si>
  <si>
    <t>Leche condensada</t>
  </si>
  <si>
    <t>INTA-0028</t>
  </si>
  <si>
    <t>INTA-0029</t>
  </si>
  <si>
    <t>Quesillo</t>
  </si>
  <si>
    <t>INTA-0030</t>
  </si>
  <si>
    <t>Quesillo 0% MG</t>
  </si>
  <si>
    <t>INTA-0031</t>
  </si>
  <si>
    <t>Quesillo sin sal</t>
  </si>
  <si>
    <t>INTA-0032</t>
  </si>
  <si>
    <t>Queso cabra</t>
  </si>
  <si>
    <t>INTA-0033</t>
  </si>
  <si>
    <t>Queso chanco</t>
  </si>
  <si>
    <t>INTA-0034</t>
  </si>
  <si>
    <t>Queso cheddar</t>
  </si>
  <si>
    <t>INTA-0035</t>
  </si>
  <si>
    <t>Queso crema</t>
  </si>
  <si>
    <t>INTA-0036</t>
  </si>
  <si>
    <t>Queso crema 2</t>
  </si>
  <si>
    <t>INTA-0037</t>
  </si>
  <si>
    <t>Queso fresco</t>
  </si>
  <si>
    <t>INTA-0038</t>
  </si>
  <si>
    <t>Queso fresco 2</t>
  </si>
  <si>
    <t>INTA-0039</t>
  </si>
  <si>
    <t>Queso fresco light</t>
  </si>
  <si>
    <t>INTA-0040</t>
  </si>
  <si>
    <t>Queso gouda</t>
  </si>
  <si>
    <t>INTA-0041</t>
  </si>
  <si>
    <t>Queso gouda 2</t>
  </si>
  <si>
    <t>INTA-0042</t>
  </si>
  <si>
    <t>Queso mantecoso</t>
  </si>
  <si>
    <t>INTA-0043</t>
  </si>
  <si>
    <t>Queso mozarella</t>
  </si>
  <si>
    <t>INTA-0044</t>
  </si>
  <si>
    <t>Queso parmesano</t>
  </si>
  <si>
    <t>INTA-0045</t>
  </si>
  <si>
    <t>Queso parmesano 2</t>
  </si>
  <si>
    <t>INTA-0046</t>
  </si>
  <si>
    <t>Queso pategras</t>
  </si>
  <si>
    <t>INTA-0047</t>
  </si>
  <si>
    <t>Queso reggianito</t>
  </si>
  <si>
    <t>INTA-0048</t>
  </si>
  <si>
    <t>Queso suizo</t>
  </si>
  <si>
    <t>INTA-0049</t>
  </si>
  <si>
    <t>Queso untable</t>
  </si>
  <si>
    <t>INTA-0050</t>
  </si>
  <si>
    <t>Ricota</t>
  </si>
  <si>
    <t>INTA-0051</t>
  </si>
  <si>
    <t>INTA-0052</t>
  </si>
  <si>
    <t>Yogurt light</t>
  </si>
  <si>
    <t>INTA-0053</t>
  </si>
  <si>
    <t>Yogurt con sabor</t>
  </si>
  <si>
    <t>INTA-0054</t>
  </si>
  <si>
    <t>Yogurt sin lactosa</t>
  </si>
  <si>
    <t>INTA-0055</t>
  </si>
  <si>
    <t>Yogurt con frutas</t>
  </si>
  <si>
    <t>INTA-0056</t>
  </si>
  <si>
    <t>Yogurt con frutas bajo en grasa</t>
  </si>
  <si>
    <t>INTA-0057</t>
  </si>
  <si>
    <t>Yogurt con fruta sin lactosa</t>
  </si>
  <si>
    <t>INTA-0058</t>
  </si>
  <si>
    <t>Tofu</t>
  </si>
  <si>
    <t>INTA-0059</t>
  </si>
  <si>
    <t>Tofu 2</t>
  </si>
  <si>
    <t>INTA-0060</t>
  </si>
  <si>
    <t>Huevo entero</t>
  </si>
  <si>
    <t>HUEVOS</t>
  </si>
  <si>
    <t>INTA-0061</t>
  </si>
  <si>
    <t>INTA-0062</t>
  </si>
  <si>
    <t>Clara de huevo</t>
  </si>
  <si>
    <t>INTA-0063</t>
  </si>
  <si>
    <t>Yema de huevo</t>
  </si>
  <si>
    <t>INTA-0064</t>
  </si>
  <si>
    <t>Huevo de codorniz</t>
  </si>
  <si>
    <t>INTA-0065</t>
  </si>
  <si>
    <t>Pollo cocido</t>
  </si>
  <si>
    <t>Carnes y Vísceras</t>
  </si>
  <si>
    <t>INTA-0066</t>
  </si>
  <si>
    <t>Pollo pierna</t>
  </si>
  <si>
    <t>INTA-0067</t>
  </si>
  <si>
    <t>Pollo pechuga</t>
  </si>
  <si>
    <t>INTA-0068</t>
  </si>
  <si>
    <t>Pollo pechuga deshuesado</t>
  </si>
  <si>
    <t>INTA-0069</t>
  </si>
  <si>
    <t>Pato cocido</t>
  </si>
  <si>
    <t>INTA-0070</t>
  </si>
  <si>
    <t>Pavo pierna</t>
  </si>
  <si>
    <t>INTA-0071</t>
  </si>
  <si>
    <t>Pavo rostizado</t>
  </si>
  <si>
    <t>INTA-0072</t>
  </si>
  <si>
    <t>INTA-0073</t>
  </si>
  <si>
    <t>Cazuela de cerdo</t>
  </si>
  <si>
    <t>INTA-0074</t>
  </si>
  <si>
    <t>Lomito de cerdo</t>
  </si>
  <si>
    <t>INTA-0075</t>
  </si>
  <si>
    <t>Pierna de cerdo marinada</t>
  </si>
  <si>
    <t>INTA-0076</t>
  </si>
  <si>
    <t>Chuleta de cerdo centro marinada</t>
  </si>
  <si>
    <t>INTA-0077</t>
  </si>
  <si>
    <t>Chuleta de cerdo vetada marinada</t>
  </si>
  <si>
    <t>INTA-0078</t>
  </si>
  <si>
    <t>Costillar de cerdo</t>
  </si>
  <si>
    <t>INTA-0079</t>
  </si>
  <si>
    <t>Costillar de cerdo marinado</t>
  </si>
  <si>
    <t>INTA-0080</t>
  </si>
  <si>
    <t>Filete de cerdo</t>
  </si>
  <si>
    <t>INTA-0081</t>
  </si>
  <si>
    <t>Pulpa de cerdo</t>
  </si>
  <si>
    <t>INTA-0082</t>
  </si>
  <si>
    <t>Cazuela de cordero</t>
  </si>
  <si>
    <t>INTA-0083</t>
  </si>
  <si>
    <t>Chuleta de cordero</t>
  </si>
  <si>
    <t>INTA-0084</t>
  </si>
  <si>
    <t>Pulpa de cordero</t>
  </si>
  <si>
    <t>INTA-0085</t>
  </si>
  <si>
    <t>Conejo</t>
  </si>
  <si>
    <t>INTA-0086</t>
  </si>
  <si>
    <t>Conejo 2</t>
  </si>
  <si>
    <t>INTA-0087</t>
  </si>
  <si>
    <t>Conejo horneado</t>
  </si>
  <si>
    <t>INTA-0088</t>
  </si>
  <si>
    <t>Filete</t>
  </si>
  <si>
    <t>INTA-0089</t>
  </si>
  <si>
    <t>Guachalomo</t>
  </si>
  <si>
    <t>INTA-0090</t>
  </si>
  <si>
    <t>Lomo centro marinado</t>
  </si>
  <si>
    <t>INTA-0091</t>
  </si>
  <si>
    <t>Lomo liso</t>
  </si>
  <si>
    <t>INTA-0092</t>
  </si>
  <si>
    <t>Lomo vetado</t>
  </si>
  <si>
    <t>INTA-0093</t>
  </si>
  <si>
    <t>Asiento picana</t>
  </si>
  <si>
    <t>INTA-0094</t>
  </si>
  <si>
    <t>Plateada</t>
  </si>
  <si>
    <t>INTA-0095</t>
  </si>
  <si>
    <t>Pollo ganso</t>
  </si>
  <si>
    <t>INTA-0096</t>
  </si>
  <si>
    <t>Posta negra</t>
  </si>
  <si>
    <t>INTA-0097</t>
  </si>
  <si>
    <t>Posta rosada</t>
  </si>
  <si>
    <t>INTA-0098</t>
  </si>
  <si>
    <t>Cazuela de vacuno</t>
  </si>
  <si>
    <t>INTA-0099</t>
  </si>
  <si>
    <t>Carne vacuno</t>
  </si>
  <si>
    <t>INTA-0100</t>
  </si>
  <si>
    <t>Carne vacuno 5% MG</t>
  </si>
  <si>
    <t>INTA-0101</t>
  </si>
  <si>
    <t>Carne vacuno 10% MG</t>
  </si>
  <si>
    <t>INTA-0102</t>
  </si>
  <si>
    <t>Guatita de pollo cocido</t>
  </si>
  <si>
    <t>INTA-0103</t>
  </si>
  <si>
    <t>Molleja o contre de pollo cocido</t>
  </si>
  <si>
    <t>INTA-0104</t>
  </si>
  <si>
    <t>Corazón vacuno cocido</t>
  </si>
  <si>
    <t>INTA-0105</t>
  </si>
  <si>
    <t>Riñón de vacuno cocido</t>
  </si>
  <si>
    <t>INTA-0106</t>
  </si>
  <si>
    <t>Criadillas de vacuno</t>
  </si>
  <si>
    <t>INTA-0107</t>
  </si>
  <si>
    <t>Arrollado de huaso</t>
  </si>
  <si>
    <t>INTA-0108</t>
  </si>
  <si>
    <t>Proteina de soja (carne vegetal)</t>
  </si>
  <si>
    <t>INTA-0109</t>
  </si>
  <si>
    <t>Charqui de vacuno</t>
  </si>
  <si>
    <t>INTA-0110</t>
  </si>
  <si>
    <t>Choricillo cocido</t>
  </si>
  <si>
    <t>INTA-0111</t>
  </si>
  <si>
    <t>Chorizo</t>
  </si>
  <si>
    <t>INTA-0112</t>
  </si>
  <si>
    <t>Higado de cordero cocido</t>
  </si>
  <si>
    <t>INTA-0113</t>
  </si>
  <si>
    <t>Hígado de pollo cocido</t>
  </si>
  <si>
    <t>INTA-0114</t>
  </si>
  <si>
    <t>INTA-0115</t>
  </si>
  <si>
    <t>Lengua de vacuno</t>
  </si>
  <si>
    <t>INTA-0116</t>
  </si>
  <si>
    <t>Lengua vacuno cocida</t>
  </si>
  <si>
    <t>INTA-0117</t>
  </si>
  <si>
    <t>Ubre</t>
  </si>
  <si>
    <t>INTA-0118</t>
  </si>
  <si>
    <t>Jamón de cerdo</t>
  </si>
  <si>
    <t>INTA-0119</t>
  </si>
  <si>
    <t>Jamón cerdo extramagro</t>
  </si>
  <si>
    <t>INTA-0120</t>
  </si>
  <si>
    <t>Jamón crudo</t>
  </si>
  <si>
    <t>INTA-0121</t>
  </si>
  <si>
    <t>Jamón pavo</t>
  </si>
  <si>
    <t>INTA-0122</t>
  </si>
  <si>
    <t>Jamón de pavo ahumado</t>
  </si>
  <si>
    <t>INTA-0123</t>
  </si>
  <si>
    <t>Jamón pavo acaramelado</t>
  </si>
  <si>
    <t>INTA-0124</t>
  </si>
  <si>
    <t>Jamón picado</t>
  </si>
  <si>
    <t>INTA-0125</t>
  </si>
  <si>
    <t>Longaniza</t>
  </si>
  <si>
    <t>INTA-0126</t>
  </si>
  <si>
    <t>Longaniza 2</t>
  </si>
  <si>
    <t>INTA-0127</t>
  </si>
  <si>
    <t>Mortadela</t>
  </si>
  <si>
    <t>INTA-0128</t>
  </si>
  <si>
    <t>Nugget de pollo</t>
  </si>
  <si>
    <t>INTA-0129</t>
  </si>
  <si>
    <t>Paté</t>
  </si>
  <si>
    <t>INTA-0130</t>
  </si>
  <si>
    <t>Paté 2</t>
  </si>
  <si>
    <t>INTA-0131</t>
  </si>
  <si>
    <t>Pechuga pavo ahumado</t>
  </si>
  <si>
    <t>INTA-0132</t>
  </si>
  <si>
    <t>Pechuga pavo cocida</t>
  </si>
  <si>
    <t>INTA-0133</t>
  </si>
  <si>
    <t>Pechuga pavo cocida 2</t>
  </si>
  <si>
    <t>INTA-0134</t>
  </si>
  <si>
    <t>Pechuga de pollo cocida</t>
  </si>
  <si>
    <t>INTA-0135</t>
  </si>
  <si>
    <t>Pepperoni</t>
  </si>
  <si>
    <t>INTA-0136</t>
  </si>
  <si>
    <t>Pernil</t>
  </si>
  <si>
    <t>INTA-0137</t>
  </si>
  <si>
    <t>Prieta</t>
  </si>
  <si>
    <t>INTA-0138</t>
  </si>
  <si>
    <t>Prieta 2</t>
  </si>
  <si>
    <t>INTA-0139</t>
  </si>
  <si>
    <t>Queso cabeza</t>
  </si>
  <si>
    <t>INTA-0140</t>
  </si>
  <si>
    <t>Queso cabeza 2</t>
  </si>
  <si>
    <t>INTA-0141</t>
  </si>
  <si>
    <t>Salame</t>
  </si>
  <si>
    <t>INTA-0142</t>
  </si>
  <si>
    <t>Salame 2</t>
  </si>
  <si>
    <t>INTA-0143</t>
  </si>
  <si>
    <t>Seso cocido</t>
  </si>
  <si>
    <t>INTA-0144</t>
  </si>
  <si>
    <t>Tocino</t>
  </si>
  <si>
    <t>INTA-0145</t>
  </si>
  <si>
    <t>Turin</t>
  </si>
  <si>
    <t>INTA-0146</t>
  </si>
  <si>
    <t>Vienesa</t>
  </si>
  <si>
    <t>INTA-0147</t>
  </si>
  <si>
    <t>Vienesa de pavo</t>
  </si>
  <si>
    <t>INTA-0148</t>
  </si>
  <si>
    <t>Vienesa de pollo</t>
  </si>
  <si>
    <t>INTA-0149</t>
  </si>
  <si>
    <t>Almeja</t>
  </si>
  <si>
    <t>INTA-0150</t>
  </si>
  <si>
    <t>Almeja conserva en agua</t>
  </si>
  <si>
    <t>INTA-0151</t>
  </si>
  <si>
    <t>Caracol de mar</t>
  </si>
  <si>
    <t>INTA-0152</t>
  </si>
  <si>
    <t>Cholga en agua</t>
  </si>
  <si>
    <t>INTA-0153</t>
  </si>
  <si>
    <t>Cholga conserva en aceite</t>
  </si>
  <si>
    <t>INTA-0154</t>
  </si>
  <si>
    <t>Chorito conserva en aceite</t>
  </si>
  <si>
    <t>INTA-0155</t>
  </si>
  <si>
    <t>Chorito en agua</t>
  </si>
  <si>
    <t>INTA-0156</t>
  </si>
  <si>
    <t>Chorito</t>
  </si>
  <si>
    <t>INTA-0157</t>
  </si>
  <si>
    <t>Erizo</t>
  </si>
  <si>
    <t>INTA-0158</t>
  </si>
  <si>
    <t>Jibia</t>
  </si>
  <si>
    <t>INTA-0159</t>
  </si>
  <si>
    <t>Loco</t>
  </si>
  <si>
    <t>INTA-0160</t>
  </si>
  <si>
    <t>Macha en conserva en agua</t>
  </si>
  <si>
    <t>INTA-0161</t>
  </si>
  <si>
    <t>Navajuela</t>
  </si>
  <si>
    <t>INTA-0162</t>
  </si>
  <si>
    <t>Ostra</t>
  </si>
  <si>
    <t>INTA-0163</t>
  </si>
  <si>
    <t>Piure</t>
  </si>
  <si>
    <t>INTA-0164</t>
  </si>
  <si>
    <t>Camaron congelado</t>
  </si>
  <si>
    <t>INTA-0165</t>
  </si>
  <si>
    <t>Camaron</t>
  </si>
  <si>
    <t>INTA-0166</t>
  </si>
  <si>
    <t>Centollón</t>
  </si>
  <si>
    <t>INTA-0167</t>
  </si>
  <si>
    <t>Centolla</t>
  </si>
  <si>
    <t>INTA-0168</t>
  </si>
  <si>
    <t>Jaiva</t>
  </si>
  <si>
    <t>INTA-0169</t>
  </si>
  <si>
    <t>Atún conserva en agua</t>
  </si>
  <si>
    <t>INTA-0170</t>
  </si>
  <si>
    <t>Atún conserva en agua 2</t>
  </si>
  <si>
    <t>INTA-0171</t>
  </si>
  <si>
    <t>Atún conserva en aceite</t>
  </si>
  <si>
    <t>INTA-0172</t>
  </si>
  <si>
    <t>Cojinova</t>
  </si>
  <si>
    <t>INTA-0173</t>
  </si>
  <si>
    <t>Congrio colorado</t>
  </si>
  <si>
    <t>INTA-0174</t>
  </si>
  <si>
    <t>Jurel conserva en agua</t>
  </si>
  <si>
    <t>INTA-0175</t>
  </si>
  <si>
    <t>Jurel conserva en aceite</t>
  </si>
  <si>
    <t>INTA-0176</t>
  </si>
  <si>
    <t>Lenguado</t>
  </si>
  <si>
    <t>INTA-0177</t>
  </si>
  <si>
    <t>Lenguado 2</t>
  </si>
  <si>
    <t>INTA-0178</t>
  </si>
  <si>
    <t>Merluza o pescada</t>
  </si>
  <si>
    <t>INTA-0179</t>
  </si>
  <si>
    <t>Mero</t>
  </si>
  <si>
    <t>INTA-0180</t>
  </si>
  <si>
    <t>Pejegallo</t>
  </si>
  <si>
    <t>INTA-0181</t>
  </si>
  <si>
    <t>Pejerrey</t>
  </si>
  <si>
    <t>INTA-0182</t>
  </si>
  <si>
    <t>Reineta</t>
  </si>
  <si>
    <t>INTA-0183</t>
  </si>
  <si>
    <t>Roncador</t>
  </si>
  <si>
    <t>INTA-0184</t>
  </si>
  <si>
    <t>Salmón coho fresco</t>
  </si>
  <si>
    <t>INTA-0185</t>
  </si>
  <si>
    <t>Salmón</t>
  </si>
  <si>
    <t>INTA-0186</t>
  </si>
  <si>
    <t>Salmón filete sin piel</t>
  </si>
  <si>
    <t>INTA-0187</t>
  </si>
  <si>
    <t>Sardina conserva en aceite</t>
  </si>
  <si>
    <t>INTA-0188</t>
  </si>
  <si>
    <t>Sardina española</t>
  </si>
  <si>
    <t>INTA-0189</t>
  </si>
  <si>
    <t>Sierra</t>
  </si>
  <si>
    <t>INTA-0190</t>
  </si>
  <si>
    <t>Trucha congelada</t>
  </si>
  <si>
    <t>INTA-0191</t>
  </si>
  <si>
    <t>Trucha de cultivo</t>
  </si>
  <si>
    <t>INTA-0192</t>
  </si>
  <si>
    <t>Trucha filete</t>
  </si>
  <si>
    <t>INTA-0193</t>
  </si>
  <si>
    <t>Trucha fresca de mar</t>
  </si>
  <si>
    <t>INTA-0194</t>
  </si>
  <si>
    <t>Kanikama (carne de pescado procesada)</t>
  </si>
  <si>
    <t>INTA-0195</t>
  </si>
  <si>
    <t>Ovas (masago)</t>
  </si>
  <si>
    <t>INTA-0196</t>
  </si>
  <si>
    <t>Paté de trucha ahumada</t>
  </si>
  <si>
    <t>INTA-0197</t>
  </si>
  <si>
    <t>Arveja seca</t>
  </si>
  <si>
    <t>leguminosas y oleaginosas</t>
  </si>
  <si>
    <t>INTA-0198</t>
  </si>
  <si>
    <t>Arveja harina</t>
  </si>
  <si>
    <t>INTA-0199</t>
  </si>
  <si>
    <t>Arvejas</t>
  </si>
  <si>
    <t>INTA-0200</t>
  </si>
  <si>
    <t>Arvejas conserva</t>
  </si>
  <si>
    <t>INTA-0201</t>
  </si>
  <si>
    <t>Garbanzo cocido</t>
  </si>
  <si>
    <t>INTA-0202</t>
  </si>
  <si>
    <t>Garbanzo</t>
  </si>
  <si>
    <t>INTA-0203</t>
  </si>
  <si>
    <t>Garbanzo harina</t>
  </si>
  <si>
    <t>INTA-0204</t>
  </si>
  <si>
    <t>Haba</t>
  </si>
  <si>
    <t>INTA-0205</t>
  </si>
  <si>
    <t>Haba seca</t>
  </si>
  <si>
    <t>INTA-0206</t>
  </si>
  <si>
    <t>Lenteja cocida</t>
  </si>
  <si>
    <t>INTA-0207</t>
  </si>
  <si>
    <t>Lenteja</t>
  </si>
  <si>
    <t>INTA-0208</t>
  </si>
  <si>
    <t>Lenteja harina</t>
  </si>
  <si>
    <t>INTA-0209</t>
  </si>
  <si>
    <t>Poroto cocido</t>
  </si>
  <si>
    <t>INTA-0210</t>
  </si>
  <si>
    <t>Poroto</t>
  </si>
  <si>
    <t>INTA-0211</t>
  </si>
  <si>
    <t>Poroto de soya</t>
  </si>
  <si>
    <t>INTA-0212</t>
  </si>
  <si>
    <t>Poroto de soya cocido</t>
  </si>
  <si>
    <t>INTA-0213</t>
  </si>
  <si>
    <t>Porotos granados</t>
  </si>
  <si>
    <t>INTA-0214</t>
  </si>
  <si>
    <t>Porotos negros</t>
  </si>
  <si>
    <t>INTA-0215</t>
  </si>
  <si>
    <t>Almendras</t>
  </si>
  <si>
    <t>semillas, almendras y nueces</t>
  </si>
  <si>
    <t>INTA-0216</t>
  </si>
  <si>
    <t>Almendras tostadas</t>
  </si>
  <si>
    <t>INTA-0217</t>
  </si>
  <si>
    <t>Avellana</t>
  </si>
  <si>
    <t>INTA-0218</t>
  </si>
  <si>
    <t>Castaña de cajú</t>
  </si>
  <si>
    <t>INTA-0219</t>
  </si>
  <si>
    <t>Macadamia</t>
  </si>
  <si>
    <t>INTA-0220</t>
  </si>
  <si>
    <t>Maní</t>
  </si>
  <si>
    <t>INTA-0221</t>
  </si>
  <si>
    <t>Maní Japonés</t>
  </si>
  <si>
    <t>INTA-0222</t>
  </si>
  <si>
    <t>Maní tostado salado</t>
  </si>
  <si>
    <t>INTA-0223</t>
  </si>
  <si>
    <t>Nueces</t>
  </si>
  <si>
    <t>INTA-0224</t>
  </si>
  <si>
    <t>Nueces 2</t>
  </si>
  <si>
    <t>INTA-0225</t>
  </si>
  <si>
    <t>Pistacho</t>
  </si>
  <si>
    <t>INTA-0226</t>
  </si>
  <si>
    <t>Castaña cruda pelada</t>
  </si>
  <si>
    <t>INTA-0227</t>
  </si>
  <si>
    <t>Piñón</t>
  </si>
  <si>
    <t>INTA-0228</t>
  </si>
  <si>
    <t>Piñón deshidratado</t>
  </si>
  <si>
    <t>INTA-0229</t>
  </si>
  <si>
    <t>Chía</t>
  </si>
  <si>
    <t>INTA-0230</t>
  </si>
  <si>
    <t>Semilla amapola</t>
  </si>
  <si>
    <t>INTA-0231</t>
  </si>
  <si>
    <t>Semilla tostada de sésamo</t>
  </si>
  <si>
    <t>INTA-0232</t>
  </si>
  <si>
    <t>Semilla maravilla tostada pelada</t>
  </si>
  <si>
    <t>INTA-0233</t>
  </si>
  <si>
    <t>Semilla zapallo</t>
  </si>
  <si>
    <t>INTA-0234</t>
  </si>
  <si>
    <t>Semillas de linaza</t>
  </si>
  <si>
    <t>INTA-0235</t>
  </si>
  <si>
    <t>Crutones</t>
  </si>
  <si>
    <t>cereales y derivados</t>
  </si>
  <si>
    <t>INTA-0236</t>
  </si>
  <si>
    <t>Pan blanco sin sal</t>
  </si>
  <si>
    <t>INTA-0237</t>
  </si>
  <si>
    <t>Pan de centeno</t>
  </si>
  <si>
    <t>INTA-0238</t>
  </si>
  <si>
    <t>Pan de miel</t>
  </si>
  <si>
    <t>INTA-0239</t>
  </si>
  <si>
    <t>Pan especial</t>
  </si>
  <si>
    <t>INTA-0240</t>
  </si>
  <si>
    <t>Pan hallulla</t>
  </si>
  <si>
    <t>INTA-0241</t>
  </si>
  <si>
    <t>Pan integral</t>
  </si>
  <si>
    <t>INTA-0242</t>
  </si>
  <si>
    <t>Pan marraqueta</t>
  </si>
  <si>
    <t>INTA-0243</t>
  </si>
  <si>
    <t>Pan molde</t>
  </si>
  <si>
    <t>INTA-0244</t>
  </si>
  <si>
    <t>Pan molde 2</t>
  </si>
  <si>
    <t>INTA-0245</t>
  </si>
  <si>
    <t>Pan pita blanco</t>
  </si>
  <si>
    <t>INTA-0246</t>
  </si>
  <si>
    <t>Pan rallado seco</t>
  </si>
  <si>
    <t>INTA-0247</t>
  </si>
  <si>
    <t>Pan salvado de trigo</t>
  </si>
  <si>
    <t>INTA-0248</t>
  </si>
  <si>
    <t>INTA-0249</t>
  </si>
  <si>
    <t>Tortilla para tacos</t>
  </si>
  <si>
    <t>INTA-0250</t>
  </si>
  <si>
    <t>Arroz blanco</t>
  </si>
  <si>
    <t>INTA-0251</t>
  </si>
  <si>
    <t>Arroz blanco cocido</t>
  </si>
  <si>
    <t>INTA-0252</t>
  </si>
  <si>
    <t>Arroz integral</t>
  </si>
  <si>
    <t>INTA-0253</t>
  </si>
  <si>
    <t>Arroz integral cocido</t>
  </si>
  <si>
    <t>INTA-0254</t>
  </si>
  <si>
    <t>Cabritas</t>
  </si>
  <si>
    <t>INTA-0255</t>
  </si>
  <si>
    <t>Choclo</t>
  </si>
  <si>
    <t>INTA-0256</t>
  </si>
  <si>
    <t>Choclo cocido</t>
  </si>
  <si>
    <t>INTA-0257</t>
  </si>
  <si>
    <t>Choclo congelado</t>
  </si>
  <si>
    <t>INTA-0258</t>
  </si>
  <si>
    <t>Mote trigo cocido</t>
  </si>
  <si>
    <t>INTA-0259</t>
  </si>
  <si>
    <t>Mote trigo</t>
  </si>
  <si>
    <t>INTA-0260</t>
  </si>
  <si>
    <t>Quinoa</t>
  </si>
  <si>
    <t>INTA-0261</t>
  </si>
  <si>
    <t>Quinoa 2</t>
  </si>
  <si>
    <t>INTA-0262</t>
  </si>
  <si>
    <t>Quinoa cocida</t>
  </si>
  <si>
    <t>INTA-0263</t>
  </si>
  <si>
    <t>Salvado de avena</t>
  </si>
  <si>
    <t>INTA-0264</t>
  </si>
  <si>
    <t>Salvado de trigo</t>
  </si>
  <si>
    <t>INTA-0265</t>
  </si>
  <si>
    <t>Avena</t>
  </si>
  <si>
    <t>INTA-0266</t>
  </si>
  <si>
    <t>Cereal de maíz</t>
  </si>
  <si>
    <t>INTA-0267</t>
  </si>
  <si>
    <t>Cereal de maíz 2</t>
  </si>
  <si>
    <t>INTA-0268</t>
  </si>
  <si>
    <t>Granola</t>
  </si>
  <si>
    <t>INTA-0269</t>
  </si>
  <si>
    <t>Burgol</t>
  </si>
  <si>
    <t>INTA-0270</t>
  </si>
  <si>
    <t>Cuscús cocido</t>
  </si>
  <si>
    <t>INTA-0271</t>
  </si>
  <si>
    <t>Cuscús seco</t>
  </si>
  <si>
    <t>INTA-0272</t>
  </si>
  <si>
    <t>Fideos</t>
  </si>
  <si>
    <t>INTA-0273</t>
  </si>
  <si>
    <t>Fideos cocidos</t>
  </si>
  <si>
    <t>INTA-0274</t>
  </si>
  <si>
    <t>Fideos de arroz cocido</t>
  </si>
  <si>
    <t>INTA-0275</t>
  </si>
  <si>
    <t>Galleta champaña</t>
  </si>
  <si>
    <t>INTA-0276</t>
  </si>
  <si>
    <t>Galleta cereal avena</t>
  </si>
  <si>
    <t>INTA-0277</t>
  </si>
  <si>
    <t>Galleta cereal berries</t>
  </si>
  <si>
    <t>INTA-0278</t>
  </si>
  <si>
    <t>Galleta cereal cacao</t>
  </si>
  <si>
    <t>INTA-0279</t>
  </si>
  <si>
    <t>Galleta cereal clásica</t>
  </si>
  <si>
    <t>INTA-0280</t>
  </si>
  <si>
    <t>Galleta cereal fibra cacao</t>
  </si>
  <si>
    <t>INTA-0281</t>
  </si>
  <si>
    <t>Galleta chips de chocolate</t>
  </si>
  <si>
    <t>INTA-0282</t>
  </si>
  <si>
    <t>Galleta chocolate</t>
  </si>
  <si>
    <t>INTA-0283</t>
  </si>
  <si>
    <t>Galleta de arroz</t>
  </si>
  <si>
    <t>INTA-0284</t>
  </si>
  <si>
    <t>Galleta de arroz 2</t>
  </si>
  <si>
    <t>INTA-0285</t>
  </si>
  <si>
    <t>Galleta de arroz sésamo</t>
  </si>
  <si>
    <t>INTA-0286</t>
  </si>
  <si>
    <t>Galleta de arroz sin sal</t>
  </si>
  <si>
    <t>INTA-0287</t>
  </si>
  <si>
    <t>Galleta de arroz trigo avena</t>
  </si>
  <si>
    <t>INTA-0288</t>
  </si>
  <si>
    <t>Galleta mantequilla</t>
  </si>
  <si>
    <t>INTA-0289</t>
  </si>
  <si>
    <t>Galleta mini cocaditas</t>
  </si>
  <si>
    <t>INTA-0290</t>
  </si>
  <si>
    <t>Galleta mini limón</t>
  </si>
  <si>
    <t>INTA-0291</t>
  </si>
  <si>
    <t>Galleta mini mantequilla</t>
  </si>
  <si>
    <t>INTA-0292</t>
  </si>
  <si>
    <t>Galleta mini vino</t>
  </si>
  <si>
    <t>INTA-0293</t>
  </si>
  <si>
    <t>Galleta soda</t>
  </si>
  <si>
    <t>INTA-0294</t>
  </si>
  <si>
    <t>Galleta vainilla</t>
  </si>
  <si>
    <t>INTA-0295</t>
  </si>
  <si>
    <t>Galleta vino</t>
  </si>
  <si>
    <t>INTA-0296</t>
  </si>
  <si>
    <t>Galletas cracker</t>
  </si>
  <si>
    <t>INTA-0297</t>
  </si>
  <si>
    <t>Galletas de agua</t>
  </si>
  <si>
    <t>INTA-0298</t>
  </si>
  <si>
    <t>Galletas de arroz</t>
  </si>
  <si>
    <t>INTA-0299</t>
  </si>
  <si>
    <t>Harina de centeno</t>
  </si>
  <si>
    <t>INTA-0300</t>
  </si>
  <si>
    <t>Harina de trigo</t>
  </si>
  <si>
    <t>INTA-0301</t>
  </si>
  <si>
    <t>Harina de yuca</t>
  </si>
  <si>
    <t>INTA-0302</t>
  </si>
  <si>
    <t>Harina de trigo tostada</t>
  </si>
  <si>
    <t>INTA-0303</t>
  </si>
  <si>
    <t>Chuchoca</t>
  </si>
  <si>
    <t>INTA-0304</t>
  </si>
  <si>
    <t>Chuño</t>
  </si>
  <si>
    <t>INTA-0305</t>
  </si>
  <si>
    <t>Maicena</t>
  </si>
  <si>
    <t>INTA-0306</t>
  </si>
  <si>
    <t>Sémola</t>
  </si>
  <si>
    <t>INTA-0307</t>
  </si>
  <si>
    <t>Sémola 2</t>
  </si>
  <si>
    <t>INTA-0308</t>
  </si>
  <si>
    <t>Tapioca</t>
  </si>
  <si>
    <t>INTA-0309</t>
  </si>
  <si>
    <t>Camote</t>
  </si>
  <si>
    <t>INTA-0310</t>
  </si>
  <si>
    <t>Papa cocida</t>
  </si>
  <si>
    <t>INTA-0311</t>
  </si>
  <si>
    <t>Papa cruda</t>
  </si>
  <si>
    <t>INTA-0312</t>
  </si>
  <si>
    <t>Papa entera rojiza</t>
  </si>
  <si>
    <t>INTA-0313</t>
  </si>
  <si>
    <t>Aceite de canola</t>
  </si>
  <si>
    <t>aceites y grasas</t>
  </si>
  <si>
    <t>INTA-0314</t>
  </si>
  <si>
    <t>Aceite de coco</t>
  </si>
  <si>
    <t>INTA-0315</t>
  </si>
  <si>
    <t>Aceite de maíz</t>
  </si>
  <si>
    <t>INTA-0316</t>
  </si>
  <si>
    <t>Aceite de maravilla</t>
  </si>
  <si>
    <t>INTA-0317</t>
  </si>
  <si>
    <t>Aceite de maravilla (USDA)</t>
  </si>
  <si>
    <t>INTA-0318</t>
  </si>
  <si>
    <t>Aceite de maravilla (Schmidt)</t>
  </si>
  <si>
    <t>INTA-0319</t>
  </si>
  <si>
    <t>Aceite de oliva</t>
  </si>
  <si>
    <t>INTA-0320</t>
  </si>
  <si>
    <t>Aceite de oliva extra virgen</t>
  </si>
  <si>
    <t>INTA-0321</t>
  </si>
  <si>
    <t>Aceite de palma</t>
  </si>
  <si>
    <t>INTA-0322</t>
  </si>
  <si>
    <t>Aceite de soja</t>
  </si>
  <si>
    <t>INTA-0323</t>
  </si>
  <si>
    <t>Aceite de soja (USDA)</t>
  </si>
  <si>
    <t>INTA-0324</t>
  </si>
  <si>
    <t>Aceite palta orgánico</t>
  </si>
  <si>
    <t>INTA-0325</t>
  </si>
  <si>
    <t>Crema ácida</t>
  </si>
  <si>
    <t>INTA-0326</t>
  </si>
  <si>
    <t>Crema chantilly</t>
  </si>
  <si>
    <t>INTA-0327</t>
  </si>
  <si>
    <t>Crema de leche light</t>
  </si>
  <si>
    <t>INTA-0328</t>
  </si>
  <si>
    <t>Grasa animal</t>
  </si>
  <si>
    <t>INTA-0329</t>
  </si>
  <si>
    <t>Manteca vegetal</t>
  </si>
  <si>
    <t>INTA-0330</t>
  </si>
  <si>
    <t>Mantequilla (USDA)</t>
  </si>
  <si>
    <t>INTA-0331</t>
  </si>
  <si>
    <t>Mantequilla (Analisis INTA)</t>
  </si>
  <si>
    <t>INTA-0332</t>
  </si>
  <si>
    <t>Margarina (USDA)</t>
  </si>
  <si>
    <t>INTA-0333</t>
  </si>
  <si>
    <t>Margarina (Analisis INTA)</t>
  </si>
  <si>
    <t>INTA-0334</t>
  </si>
  <si>
    <t>Margarina reducida en grasa</t>
  </si>
  <si>
    <t>INTA-0335</t>
  </si>
  <si>
    <t>Margarina reducida en grasa (Mercado)</t>
  </si>
  <si>
    <t>INTA-0336</t>
  </si>
  <si>
    <t>Mayonesa</t>
  </si>
  <si>
    <t>INTA-0337</t>
  </si>
  <si>
    <t>Mayonesa casera</t>
  </si>
  <si>
    <t>INTA-0338</t>
  </si>
  <si>
    <t>Espárrago</t>
  </si>
  <si>
    <t>Verduras y hortalizas</t>
  </si>
  <si>
    <t>INTA-0339</t>
  </si>
  <si>
    <t>INTA-0340</t>
  </si>
  <si>
    <t>Espinaca</t>
  </si>
  <si>
    <t>INTA-0341</t>
  </si>
  <si>
    <t>Hinojo bulbo</t>
  </si>
  <si>
    <t>INTA-0342</t>
  </si>
  <si>
    <t>Lechuga</t>
  </si>
  <si>
    <t>INTA-0343</t>
  </si>
  <si>
    <t>Lechuga escarola</t>
  </si>
  <si>
    <t>INTA-0344</t>
  </si>
  <si>
    <t>Lechuga roja</t>
  </si>
  <si>
    <t>INTA-0345</t>
  </si>
  <si>
    <t>Luche</t>
  </si>
  <si>
    <t>INTA-0346</t>
  </si>
  <si>
    <t>Luche Ahumado</t>
  </si>
  <si>
    <t>INTA-0347</t>
  </si>
  <si>
    <t>Nabos</t>
  </si>
  <si>
    <t>INTA-0348</t>
  </si>
  <si>
    <t>Penca</t>
  </si>
  <si>
    <t>INTA-0349</t>
  </si>
  <si>
    <t>Pepino</t>
  </si>
  <si>
    <t>INTA-0350</t>
  </si>
  <si>
    <t>Pepinillos en conserva</t>
  </si>
  <si>
    <t>INTA-0351</t>
  </si>
  <si>
    <t>Pickles</t>
  </si>
  <si>
    <t>INTA-0352</t>
  </si>
  <si>
    <t>Pimentón rojo</t>
  </si>
  <si>
    <t>INTA-0353</t>
  </si>
  <si>
    <t>Pimentón verde</t>
  </si>
  <si>
    <t>INTA-0354</t>
  </si>
  <si>
    <t>Poroto verde enlatado</t>
  </si>
  <si>
    <t>INTA-0355</t>
  </si>
  <si>
    <t>Porotos verdes</t>
  </si>
  <si>
    <t>INTA-0356</t>
  </si>
  <si>
    <t>Puerro</t>
  </si>
  <si>
    <t>INTA-0357</t>
  </si>
  <si>
    <t>Rabanito</t>
  </si>
  <si>
    <t>INTA-0358</t>
  </si>
  <si>
    <t>Repollitos de bruselas</t>
  </si>
  <si>
    <t>INTA-0359</t>
  </si>
  <si>
    <t>Repollitos de bruselas cocido con sal</t>
  </si>
  <si>
    <t>INTA-0360</t>
  </si>
  <si>
    <t>Repollo</t>
  </si>
  <si>
    <t>INTA-0361</t>
  </si>
  <si>
    <t>Repollo morado</t>
  </si>
  <si>
    <t>INTA-0362</t>
  </si>
  <si>
    <t>Tomate</t>
  </si>
  <si>
    <t>INTA-0363</t>
  </si>
  <si>
    <t>Ulte</t>
  </si>
  <si>
    <t>INTA-0364</t>
  </si>
  <si>
    <t>Zanahoria</t>
  </si>
  <si>
    <t>INTA-0365</t>
  </si>
  <si>
    <t>Zanahoria cocida con sal</t>
  </si>
  <si>
    <t>INTA-0366</t>
  </si>
  <si>
    <t>Zapallo italiano</t>
  </si>
  <si>
    <t>INTA-0367</t>
  </si>
  <si>
    <t>Zapallo italianos cocido con sal</t>
  </si>
  <si>
    <t>INTA-0368</t>
  </si>
  <si>
    <t>Zapallo</t>
  </si>
  <si>
    <t>INTA-0369</t>
  </si>
  <si>
    <t>Aceitunas negras</t>
  </si>
  <si>
    <t>Frutas</t>
  </si>
  <si>
    <t>INTA-0370</t>
  </si>
  <si>
    <t>Aceitunas verdes</t>
  </si>
  <si>
    <t>INTA-0371</t>
  </si>
  <si>
    <t>Arándanos azul</t>
  </si>
  <si>
    <t>INTA-0372</t>
  </si>
  <si>
    <t>Arándanos rojo</t>
  </si>
  <si>
    <t>INTA-0373</t>
  </si>
  <si>
    <t>Caqui</t>
  </si>
  <si>
    <t>INTA-0374</t>
  </si>
  <si>
    <t>Cerezas</t>
  </si>
  <si>
    <t>INTA-0375</t>
  </si>
  <si>
    <t>Chirimoya</t>
  </si>
  <si>
    <t>INTA-0376</t>
  </si>
  <si>
    <t>Ciruelas</t>
  </si>
  <si>
    <t>INTA-0377</t>
  </si>
  <si>
    <t>Ciruelas desecadas</t>
  </si>
  <si>
    <t>INTA-0378</t>
  </si>
  <si>
    <t>Clementinas</t>
  </si>
  <si>
    <t>INTA-0379</t>
  </si>
  <si>
    <t>Damasco</t>
  </si>
  <si>
    <t>INTA-0380</t>
  </si>
  <si>
    <t>Damascos secos</t>
  </si>
  <si>
    <t>INTA-0381</t>
  </si>
  <si>
    <t>Durazno</t>
  </si>
  <si>
    <t>INTA-0382</t>
  </si>
  <si>
    <t>Duraznos en conserva</t>
  </si>
  <si>
    <t>INTA-0383</t>
  </si>
  <si>
    <t>Frambuesa</t>
  </si>
  <si>
    <t>INTA-0384</t>
  </si>
  <si>
    <t>Frutilla</t>
  </si>
  <si>
    <t>INTA-0385</t>
  </si>
  <si>
    <t>Granada</t>
  </si>
  <si>
    <t>INTA-0386</t>
  </si>
  <si>
    <t>Grosella roja y blanca</t>
  </si>
  <si>
    <t>INTA-0387</t>
  </si>
  <si>
    <t>Guayaba</t>
  </si>
  <si>
    <t>INTA-0388</t>
  </si>
  <si>
    <t>Guindas</t>
  </si>
  <si>
    <t>INTA-0389</t>
  </si>
  <si>
    <t>Guindas ácidas rojas</t>
  </si>
  <si>
    <t>INTA-0390</t>
  </si>
  <si>
    <t>Higos frescos</t>
  </si>
  <si>
    <t>INTA-0391</t>
  </si>
  <si>
    <t>Higos secos</t>
  </si>
  <si>
    <t>INTA-0392</t>
  </si>
  <si>
    <t>Huesillo</t>
  </si>
  <si>
    <t>INTA-0393</t>
  </si>
  <si>
    <t>Kiwi</t>
  </si>
  <si>
    <t>INTA-0394</t>
  </si>
  <si>
    <t>Limón fruto</t>
  </si>
  <si>
    <t>INTA-0395</t>
  </si>
  <si>
    <t>Mandarina</t>
  </si>
  <si>
    <t>INTA-0396</t>
  </si>
  <si>
    <t>INTA-0397</t>
  </si>
  <si>
    <t>Manzana</t>
  </si>
  <si>
    <t>INTA-0398</t>
  </si>
  <si>
    <t>Manzana fuji</t>
  </si>
  <si>
    <t>INTA-0399</t>
  </si>
  <si>
    <t>Manzana golden</t>
  </si>
  <si>
    <t>INTA-0400</t>
  </si>
  <si>
    <t>Manzana roja</t>
  </si>
  <si>
    <t>INTA-0401</t>
  </si>
  <si>
    <t>Manzana sin cáscara</t>
  </si>
  <si>
    <t>INTA-0402</t>
  </si>
  <si>
    <t>Manzana verde</t>
  </si>
  <si>
    <t>INTA-0403</t>
  </si>
  <si>
    <t>Melón</t>
  </si>
  <si>
    <t>INTA-0404</t>
  </si>
  <si>
    <t>Membrillo</t>
  </si>
  <si>
    <t>INTA-0405</t>
  </si>
  <si>
    <t>Mora</t>
  </si>
  <si>
    <t>INTA-0406</t>
  </si>
  <si>
    <t>Naranja</t>
  </si>
  <si>
    <t>INTA-0407</t>
  </si>
  <si>
    <t>Níspero</t>
  </si>
  <si>
    <t>INTA-0408</t>
  </si>
  <si>
    <t>Palta</t>
  </si>
  <si>
    <t>INTA-0409</t>
  </si>
  <si>
    <t>Palta hass</t>
  </si>
  <si>
    <t>INTA-0410</t>
  </si>
  <si>
    <t>Papaya</t>
  </si>
  <si>
    <t>INTA-0411</t>
  </si>
  <si>
    <t>Pasas</t>
  </si>
  <si>
    <t>INTA-0412</t>
  </si>
  <si>
    <t>Pepino dulce</t>
  </si>
  <si>
    <t>INTA-0413</t>
  </si>
  <si>
    <t>Azúcar</t>
  </si>
  <si>
    <t>de Dulces y miel</t>
  </si>
  <si>
    <t>INTA-0414</t>
  </si>
  <si>
    <t>Azúcar flor</t>
  </si>
  <si>
    <t>INTA-0415</t>
  </si>
  <si>
    <t>Azúcar light con estevia</t>
  </si>
  <si>
    <t>INTA-0416</t>
  </si>
  <si>
    <t>Azúcar light con sucralosa</t>
  </si>
  <si>
    <t>INTA-0417</t>
  </si>
  <si>
    <t>Azúcar rubia</t>
  </si>
  <si>
    <t>INTA-0418</t>
  </si>
  <si>
    <t>Miel de abeja</t>
  </si>
  <si>
    <t>INTA-0419</t>
  </si>
  <si>
    <t>Miel de abeja 2</t>
  </si>
  <si>
    <t>INTA-0420</t>
  </si>
  <si>
    <t>Miel de palma</t>
  </si>
  <si>
    <t>INTA-0421</t>
  </si>
  <si>
    <t>Alfajor</t>
  </si>
  <si>
    <t>dulces</t>
  </si>
  <si>
    <t>INTA-0422</t>
  </si>
  <si>
    <t>Barra cereal</t>
  </si>
  <si>
    <t>INTA-0423</t>
  </si>
  <si>
    <t>Barra sabor chocolate con relleno</t>
  </si>
  <si>
    <t>INTA-0424</t>
  </si>
  <si>
    <t>Berlín</t>
  </si>
  <si>
    <t>INTA-0425</t>
  </si>
  <si>
    <t>Biscocho simple</t>
  </si>
  <si>
    <t>INTA-0426</t>
  </si>
  <si>
    <t>Cacao en polvo sin azúcar</t>
  </si>
  <si>
    <t>INTA-0427</t>
  </si>
  <si>
    <t>Chancaca</t>
  </si>
  <si>
    <t>INTA-0428</t>
  </si>
  <si>
    <t>Chocolate de leche con almendras</t>
  </si>
  <si>
    <t>INTA-0429</t>
  </si>
  <si>
    <t>Chocolate amargo 60-69% cacao</t>
  </si>
  <si>
    <t>INTA-0430</t>
  </si>
  <si>
    <t>Chocolate amargo 70-85% cacao</t>
  </si>
  <si>
    <t>INTA-0431</t>
  </si>
  <si>
    <t>Chocolate de leche</t>
  </si>
  <si>
    <t>INTA-0432</t>
  </si>
  <si>
    <t>Cacao en polvo con azúcar</t>
  </si>
  <si>
    <t>INTA-0433</t>
  </si>
  <si>
    <t>Fruta confitada</t>
  </si>
  <si>
    <t>INTA-0434</t>
  </si>
  <si>
    <t>Jalea polvo</t>
  </si>
  <si>
    <t>INTA-0435</t>
  </si>
  <si>
    <t>Jalea reconstituida</t>
  </si>
  <si>
    <t>INTA-0436</t>
  </si>
  <si>
    <t>Jalea reconstituida sin azúcar</t>
  </si>
  <si>
    <t>INTA-0437</t>
  </si>
  <si>
    <t>Jalea polvo sin azúcar</t>
  </si>
  <si>
    <t>INTA-0438</t>
  </si>
  <si>
    <t>Manjar</t>
  </si>
  <si>
    <t>INTA-0439</t>
  </si>
  <si>
    <t>Mermelada damasco</t>
  </si>
  <si>
    <t>INTA-0440</t>
  </si>
  <si>
    <t>Mermelada membrillo</t>
  </si>
  <si>
    <t>INTA-0441</t>
  </si>
  <si>
    <t>Mermelada sin azúcar adicionada</t>
  </si>
  <si>
    <t>INTA-0442</t>
  </si>
  <si>
    <t>Dulce de membrillo</t>
  </si>
  <si>
    <t>INTA-0443</t>
  </si>
  <si>
    <t>Mousse vainilla</t>
  </si>
  <si>
    <t>INTA-0444</t>
  </si>
  <si>
    <t>Muffins arándano</t>
  </si>
  <si>
    <t>INTA-0445</t>
  </si>
  <si>
    <t>Oblea bañada con cobertura sabor chocolate</t>
  </si>
  <si>
    <t>INTA-0446</t>
  </si>
  <si>
    <t>Cono de barquillo azucarado</t>
  </si>
  <si>
    <t>INTA-0447</t>
  </si>
  <si>
    <t>Pie de limón</t>
  </si>
  <si>
    <t>INTA-0448</t>
  </si>
  <si>
    <t>Strudel de manzana</t>
  </si>
  <si>
    <t>INTA-0449</t>
  </si>
  <si>
    <t>Marshmallow</t>
  </si>
  <si>
    <t>INTA-0450</t>
  </si>
  <si>
    <t>Sustancia simple (Marshmallow)</t>
  </si>
  <si>
    <t>INTA-0451</t>
  </si>
  <si>
    <t>Sustancia (Marshmallow) con chocolate</t>
  </si>
  <si>
    <t>INTA-0452</t>
  </si>
  <si>
    <t>Arroz con leche</t>
  </si>
  <si>
    <t>postres de leches</t>
  </si>
  <si>
    <t>INTA-0453</t>
  </si>
  <si>
    <t>Flan de vainilla</t>
  </si>
  <si>
    <t>INTA-0454</t>
  </si>
  <si>
    <t>Flan sabor vainilla</t>
  </si>
  <si>
    <t>INTA-0455</t>
  </si>
  <si>
    <t>Flan reconstituido</t>
  </si>
  <si>
    <t>INTA-0456</t>
  </si>
  <si>
    <t>Leche asada con salsa de caramelo</t>
  </si>
  <si>
    <t>INTA-0457</t>
  </si>
  <si>
    <t>Sémola con leche con salsa caramelo</t>
  </si>
  <si>
    <t>INTA-0458</t>
  </si>
  <si>
    <t>Bebida de soya sabor manzana</t>
  </si>
  <si>
    <t>Jugos y Néctares</t>
  </si>
  <si>
    <t>INTA-0459</t>
  </si>
  <si>
    <t>Jugo de limón</t>
  </si>
  <si>
    <t>INTA-0460</t>
  </si>
  <si>
    <t>Jugo de mandarina</t>
  </si>
  <si>
    <t>INTA-0461</t>
  </si>
  <si>
    <t>Jugo de maqui</t>
  </si>
  <si>
    <t>INTA-0462</t>
  </si>
  <si>
    <t>Jugo de naranja</t>
  </si>
  <si>
    <t>INTA-0463</t>
  </si>
  <si>
    <t>Jugo de pomelo</t>
  </si>
  <si>
    <t>INTA-0464</t>
  </si>
  <si>
    <t>Néctar damasco</t>
  </si>
  <si>
    <t>INTA-0465</t>
  </si>
  <si>
    <t>Néctar damasco light</t>
  </si>
  <si>
    <t>INTA-0466</t>
  </si>
  <si>
    <t>Néctar durazno</t>
  </si>
  <si>
    <t>INTA-0467</t>
  </si>
  <si>
    <t>Néctar durazno light</t>
  </si>
  <si>
    <t>INTA-0468</t>
  </si>
  <si>
    <t>Néctar manzana</t>
  </si>
  <si>
    <t>INTA-0469</t>
  </si>
  <si>
    <t>Néctar naranja</t>
  </si>
  <si>
    <t>INTA-0470</t>
  </si>
  <si>
    <t>Néctar naranja light</t>
  </si>
  <si>
    <t>INTA-0471</t>
  </si>
  <si>
    <t>Néctar uva light</t>
  </si>
  <si>
    <t>INTA-0472</t>
  </si>
  <si>
    <t>Refresco polvo bajo en calorías</t>
  </si>
  <si>
    <t>Refrescos en Polvo</t>
  </si>
  <si>
    <t>INTA-0473</t>
  </si>
  <si>
    <t>Refresco en polvo light durazno</t>
  </si>
  <si>
    <t>INTA-0474</t>
  </si>
  <si>
    <t>Refresco polvo light naranja</t>
  </si>
  <si>
    <t>INTA-0475</t>
  </si>
  <si>
    <t>Refresco polvo light piña</t>
  </si>
  <si>
    <t>INTA-0476</t>
  </si>
  <si>
    <t>Agua</t>
  </si>
  <si>
    <t>bebidas</t>
  </si>
  <si>
    <t>INTA-0477</t>
  </si>
  <si>
    <t>Bebida cola light</t>
  </si>
  <si>
    <t>INTA-0478</t>
  </si>
  <si>
    <t>Bebida cola tradicional</t>
  </si>
  <si>
    <t>INTA-0479</t>
  </si>
  <si>
    <t>Bebida energética</t>
  </si>
  <si>
    <t>INTA-0480</t>
  </si>
  <si>
    <t>Bebida gaseosa sabor limón</t>
  </si>
  <si>
    <t>INTA-0481</t>
  </si>
  <si>
    <t>Bebida gaseosa sabor naranja</t>
  </si>
  <si>
    <t>INTA-0482</t>
  </si>
  <si>
    <t>Bebida gaseosa sabor piña</t>
  </si>
  <si>
    <t>INTA-0483</t>
  </si>
  <si>
    <t>Bebida gaseosa sabor piña libre de</t>
  </si>
  <si>
    <t>INTA-0484</t>
  </si>
  <si>
    <t>Bebida isotónica sabor lima limón</t>
  </si>
  <si>
    <t>INTA-0485</t>
  </si>
  <si>
    <t>Bebida isotónica</t>
  </si>
  <si>
    <t>INTA-0486</t>
  </si>
  <si>
    <t>Cerveza</t>
  </si>
  <si>
    <t>alcoholes</t>
  </si>
  <si>
    <t>INTA-0487</t>
  </si>
  <si>
    <t>Champagna</t>
  </si>
  <si>
    <t>INTA-0488</t>
  </si>
  <si>
    <t>Licor de café</t>
  </si>
  <si>
    <t>INTA-0489</t>
  </si>
  <si>
    <t>Licor de menta</t>
  </si>
  <si>
    <t>INTA-0490</t>
  </si>
  <si>
    <t>Martini</t>
  </si>
  <si>
    <t>INTA-0491</t>
  </si>
  <si>
    <t>Pisco</t>
  </si>
  <si>
    <t>INTA-0492</t>
  </si>
  <si>
    <t>Pisco sour</t>
  </si>
  <si>
    <t>INTA-0493</t>
  </si>
  <si>
    <t>Ron</t>
  </si>
  <si>
    <t>INTA-0494</t>
  </si>
  <si>
    <t>Vodka</t>
  </si>
  <si>
    <t>INTA-0495</t>
  </si>
  <si>
    <t>Whisky</t>
  </si>
  <si>
    <t>INTA-0496</t>
  </si>
  <si>
    <t>Vino blanco</t>
  </si>
  <si>
    <t>INTA-0497</t>
  </si>
  <si>
    <t>Vino tinto</t>
  </si>
  <si>
    <t>INTA-0498</t>
  </si>
  <si>
    <t>Vino tinto 2</t>
  </si>
  <si>
    <t>INTA-0499</t>
  </si>
  <si>
    <t>Hojuelas papas fritas</t>
  </si>
  <si>
    <t>productos salados</t>
  </si>
  <si>
    <t>INTA-0500</t>
  </si>
  <si>
    <t>Hojuelas papas fritas sabor crema y cebolla</t>
  </si>
  <si>
    <t>INTA-0501</t>
  </si>
  <si>
    <t>Suflé sabor queso</t>
  </si>
  <si>
    <t>INTA-0502</t>
  </si>
  <si>
    <t>Pesto</t>
  </si>
  <si>
    <t>Salsas</t>
  </si>
  <si>
    <t>INTA-0503</t>
  </si>
  <si>
    <t>Salsa ají</t>
  </si>
  <si>
    <t>INTA-0504</t>
  </si>
  <si>
    <t>Salsa blanca casera</t>
  </si>
  <si>
    <t>INTA-0505</t>
  </si>
  <si>
    <t>Salsa de tomates</t>
  </si>
  <si>
    <t>INTA-0506</t>
  </si>
  <si>
    <t>Salsa de tomates con cebolla</t>
  </si>
  <si>
    <t>INTA-0507</t>
  </si>
  <si>
    <t>Salsa tártara</t>
  </si>
  <si>
    <t>INTA-0508</t>
  </si>
  <si>
    <t>Salsa teriyaki</t>
  </si>
  <si>
    <t>INTA-0509</t>
  </si>
  <si>
    <t>Salsa verde</t>
  </si>
  <si>
    <t>INTA-0510</t>
  </si>
  <si>
    <t>Ajo en polvo</t>
  </si>
  <si>
    <t>Especias</t>
  </si>
  <si>
    <t>INTA-0511</t>
  </si>
  <si>
    <t>Albahaca fresca</t>
  </si>
  <si>
    <t>INTA-0512</t>
  </si>
  <si>
    <t>Albahaca seca</t>
  </si>
  <si>
    <t>INTA-0513</t>
  </si>
  <si>
    <t>Azafrán</t>
  </si>
  <si>
    <t>INTA-0514</t>
  </si>
  <si>
    <t>Canela</t>
  </si>
  <si>
    <t>INTA-0515</t>
  </si>
  <si>
    <t>Cardamomo</t>
  </si>
  <si>
    <t>INTA-0516</t>
  </si>
  <si>
    <t>Cebolla en polvo</t>
  </si>
  <si>
    <t>INTA-0517</t>
  </si>
  <si>
    <t>Clavo de olor</t>
  </si>
  <si>
    <t>INTA-0518</t>
  </si>
  <si>
    <t>Cúrcuma en polvo</t>
  </si>
  <si>
    <t>INTA-0519</t>
  </si>
  <si>
    <t>Curry</t>
  </si>
  <si>
    <t>INTA-0520</t>
  </si>
  <si>
    <t>Eneldo fresco</t>
  </si>
  <si>
    <t>INTA-0521</t>
  </si>
  <si>
    <t>Eneldo seco</t>
  </si>
  <si>
    <t>INTA-0522</t>
  </si>
  <si>
    <t>Estragón seco</t>
  </si>
  <si>
    <t>INTA-0523</t>
  </si>
  <si>
    <t>Hierbabuena</t>
  </si>
  <si>
    <t>INTA-0524</t>
  </si>
  <si>
    <t>Jengibre</t>
  </si>
  <si>
    <t>INTA-0525</t>
  </si>
  <si>
    <t>Laurel deshidratado</t>
  </si>
  <si>
    <t>INTA-0526</t>
  </si>
  <si>
    <t>Locoto fresco</t>
  </si>
  <si>
    <t>INTA-0527</t>
  </si>
  <si>
    <t>Locoto verde</t>
  </si>
  <si>
    <t>INTA-0528</t>
  </si>
  <si>
    <t>Menta fresca</t>
  </si>
  <si>
    <t>INTA-0529</t>
  </si>
  <si>
    <t>Menta seca</t>
  </si>
  <si>
    <t>INTA-0530</t>
  </si>
  <si>
    <t>Merkén</t>
  </si>
  <si>
    <t>INTA-0531</t>
  </si>
  <si>
    <t>Nuez moscada</t>
  </si>
  <si>
    <t>INTA-0532</t>
  </si>
  <si>
    <t>Orégano seco</t>
  </si>
  <si>
    <t>INTA-0533</t>
  </si>
  <si>
    <t>Paprika</t>
  </si>
  <si>
    <t>INTA-0534</t>
  </si>
  <si>
    <t>Pimentón deshidratado</t>
  </si>
  <si>
    <t>INTA-0535</t>
  </si>
  <si>
    <t>Perejil fresco</t>
  </si>
  <si>
    <t>INTA-0536</t>
  </si>
  <si>
    <t>Perejil seco</t>
  </si>
  <si>
    <t>INTA-0537</t>
  </si>
  <si>
    <t>Pimienta blanca</t>
  </si>
  <si>
    <t>INTA-0538</t>
  </si>
  <si>
    <t>Pimienta negra</t>
  </si>
  <si>
    <t>INTA-0539</t>
  </si>
  <si>
    <t>Pimienta roja</t>
  </si>
  <si>
    <t>INTA-0540</t>
  </si>
  <si>
    <t>Romero fresco</t>
  </si>
  <si>
    <t>INTA-0541</t>
  </si>
  <si>
    <t>Romero seco</t>
  </si>
  <si>
    <t>INTA-0542</t>
  </si>
  <si>
    <t>Sal de mar</t>
  </si>
  <si>
    <t>INTA-0543</t>
  </si>
  <si>
    <t>INTA-0544</t>
  </si>
  <si>
    <t>Semilla de amapola</t>
  </si>
  <si>
    <t>INTA-0545</t>
  </si>
  <si>
    <t>Semilla de comino</t>
  </si>
  <si>
    <t>INTA-0546</t>
  </si>
  <si>
    <t>INTA-0547</t>
  </si>
  <si>
    <t>Semilla de mostaza</t>
  </si>
  <si>
    <t>INTA-0548</t>
  </si>
  <si>
    <t>Tomillo fresco</t>
  </si>
  <si>
    <t>INTA-0549</t>
  </si>
  <si>
    <t>Tomillo seco</t>
  </si>
  <si>
    <t>INTA-0550</t>
  </si>
  <si>
    <t>Endulzante agave líquido</t>
  </si>
  <si>
    <t>Endulzantes</t>
  </si>
  <si>
    <t>INTA-0551</t>
  </si>
  <si>
    <t>Endulzante agave en tableta</t>
  </si>
  <si>
    <t>INTA-0552</t>
  </si>
  <si>
    <t>Endulzante más stevia líquido</t>
  </si>
  <si>
    <t>INTA-0553</t>
  </si>
  <si>
    <t>Endulzante sucralosa líquido</t>
  </si>
  <si>
    <t>INTA-0554</t>
  </si>
  <si>
    <t>Carne asada</t>
  </si>
  <si>
    <t>platos preparados</t>
  </si>
  <si>
    <t>INTA-0555</t>
  </si>
  <si>
    <t>Cebolla en escabeche</t>
  </si>
  <si>
    <t>INTA-0556</t>
  </si>
  <si>
    <t>Cerdo a la mostaza</t>
  </si>
  <si>
    <t>INTA-0557</t>
  </si>
  <si>
    <t>Crema de cebolla</t>
  </si>
  <si>
    <t>INTA-0558</t>
  </si>
  <si>
    <t>Lentejas con arroz</t>
  </si>
  <si>
    <t>INTA-0559</t>
  </si>
  <si>
    <t>Manzana asada</t>
  </si>
  <si>
    <t>INTA-0560</t>
  </si>
  <si>
    <t>Puré manzana</t>
  </si>
  <si>
    <t>INTA-0561</t>
  </si>
  <si>
    <t>Puré manzana plátano</t>
  </si>
  <si>
    <t>INTA-0562</t>
  </si>
  <si>
    <t>Puré pera con canela</t>
  </si>
  <si>
    <t>INTA-0563</t>
  </si>
  <si>
    <t>Puré pera plátano</t>
  </si>
  <si>
    <t>INTA-0564</t>
  </si>
  <si>
    <t>Mariscal</t>
  </si>
  <si>
    <t>INTA-0565</t>
  </si>
  <si>
    <t>Pollo a la mostaza</t>
  </si>
  <si>
    <t>INTA-0566</t>
  </si>
  <si>
    <t>Sopa de sémola</t>
  </si>
  <si>
    <t>INTA-0567</t>
  </si>
  <si>
    <t>Sopa de verduras</t>
  </si>
  <si>
    <t>INTA-0568</t>
  </si>
  <si>
    <t>Tomate con papas</t>
  </si>
  <si>
    <t>INTA-0569</t>
  </si>
  <si>
    <t>Torta de durazno con crema</t>
  </si>
  <si>
    <t>INTA-0570</t>
  </si>
  <si>
    <t>Verduras guisadas</t>
  </si>
  <si>
    <t>INTA-0571</t>
  </si>
  <si>
    <t>Alimentos con formulaciones Especiales</t>
  </si>
  <si>
    <t>INTA-0572</t>
  </si>
  <si>
    <t>Crema años dorados arveja</t>
  </si>
  <si>
    <t>INTA-0573</t>
  </si>
  <si>
    <t>Crema años dorados espárrago</t>
  </si>
  <si>
    <t>INTA-0574</t>
  </si>
  <si>
    <t>Crema años dorados lentejas</t>
  </si>
  <si>
    <t>INTA-0575</t>
  </si>
  <si>
    <t>Crema años dorados verduras</t>
  </si>
  <si>
    <t>INTA-0576</t>
  </si>
  <si>
    <t>Cyclinex 1 amino acid mix</t>
  </si>
  <si>
    <t>INTA-0577</t>
  </si>
  <si>
    <t>Cyclinex 2</t>
  </si>
  <si>
    <t>INTA-0578</t>
  </si>
  <si>
    <t>Dialamine</t>
  </si>
  <si>
    <t>INTA-0579</t>
  </si>
  <si>
    <t>Essential amino acid mix</t>
  </si>
  <si>
    <t>INTA-0580</t>
  </si>
  <si>
    <t>GA1 Anamix infant</t>
  </si>
  <si>
    <t>INTA-0581</t>
  </si>
  <si>
    <t>Glutarex 1</t>
  </si>
  <si>
    <t>INTA-0582</t>
  </si>
  <si>
    <t>Glutarex 2</t>
  </si>
  <si>
    <t>INTA-0583</t>
  </si>
  <si>
    <t>IVA Anamix infant</t>
  </si>
  <si>
    <t>INTA-0584</t>
  </si>
  <si>
    <t>Ketonex 1</t>
  </si>
  <si>
    <t>INTA-0585</t>
  </si>
  <si>
    <t>Ketonex 2</t>
  </si>
  <si>
    <t>INTA-0586</t>
  </si>
  <si>
    <t>Leche continuación</t>
  </si>
  <si>
    <t>INTA-0587</t>
  </si>
  <si>
    <t>Fórmula láctea prematuro</t>
  </si>
  <si>
    <t>INTA-0588</t>
  </si>
  <si>
    <t>Fórmula láctea prematuro 2</t>
  </si>
  <si>
    <t>INTA-0589</t>
  </si>
  <si>
    <t>Fórmula láctea Purita Cereal</t>
  </si>
  <si>
    <t>INTA-0590</t>
  </si>
  <si>
    <t>Leche Purita Fortificada</t>
  </si>
  <si>
    <t>INTA-0591</t>
  </si>
  <si>
    <t>Bebida láctea Purita Mamá</t>
  </si>
  <si>
    <t>INTA-0592</t>
  </si>
  <si>
    <t>Sopa crema de ave Mi sopita</t>
  </si>
  <si>
    <t>INTA-0593</t>
  </si>
  <si>
    <t>Sopa crema de legumbres Mi sopita</t>
  </si>
  <si>
    <t>INTA-0594</t>
  </si>
  <si>
    <t>Sopa crema de verduras Mi sopita</t>
  </si>
  <si>
    <t>INTA-0595</t>
  </si>
  <si>
    <t>MMA-PA Anamix Infant</t>
  </si>
  <si>
    <t>INTA-0596</t>
  </si>
  <si>
    <t>Monogen</t>
  </si>
  <si>
    <t>INTA-0597</t>
  </si>
  <si>
    <t>MSUD Anamix Infant</t>
  </si>
  <si>
    <t>INTA-0598</t>
  </si>
  <si>
    <t>MSUD Maxamaid</t>
  </si>
  <si>
    <t>INTA-0599</t>
  </si>
  <si>
    <t>MSUD Maxamum</t>
  </si>
  <si>
    <t>INTA-0600</t>
  </si>
  <si>
    <t>MSUD Med A Plus</t>
  </si>
  <si>
    <t>INTA-0601</t>
  </si>
  <si>
    <t>MSUD Med B Plus</t>
  </si>
  <si>
    <t>INTA-0602</t>
  </si>
  <si>
    <t>MSUD OAcMedB Plus</t>
  </si>
  <si>
    <t>INTA-0603</t>
  </si>
  <si>
    <t>P-AM2</t>
  </si>
  <si>
    <t>INTA-0604</t>
  </si>
  <si>
    <t>Phenex 1</t>
  </si>
  <si>
    <t>INTA-0605</t>
  </si>
  <si>
    <t>Phenex 2</t>
  </si>
  <si>
    <t>INTA-0606</t>
  </si>
  <si>
    <t>PKU2 Nutri Concentrated</t>
  </si>
  <si>
    <t>INTA-0607</t>
  </si>
  <si>
    <t>PKU 2 Nutri Energy</t>
  </si>
  <si>
    <t>INTA-0608</t>
  </si>
  <si>
    <t>PKU Anamix Infant</t>
  </si>
  <si>
    <t>INTA-0609</t>
  </si>
  <si>
    <t>PKU Fórmula</t>
  </si>
  <si>
    <t>INTA-0610</t>
  </si>
  <si>
    <t>PKU Med B Plus</t>
  </si>
  <si>
    <t>INTA-0611</t>
  </si>
  <si>
    <t>Portagen</t>
  </si>
  <si>
    <t>INTA-0612</t>
  </si>
  <si>
    <t>Propimex 1</t>
  </si>
  <si>
    <t>INTA-0613</t>
  </si>
  <si>
    <t>Propimex 2</t>
  </si>
  <si>
    <t>INTA-0614</t>
  </si>
  <si>
    <t>Tyr 2</t>
  </si>
  <si>
    <t>INTA-0615</t>
  </si>
  <si>
    <t>Tyrex 1</t>
  </si>
  <si>
    <t>INTA-0616</t>
  </si>
  <si>
    <t>Tyrex 2 Advanta</t>
  </si>
  <si>
    <t>INTA-0617</t>
  </si>
  <si>
    <t>XLEU Maxamaid</t>
  </si>
  <si>
    <t>INTA-0618</t>
  </si>
  <si>
    <t>XLEU Maxamum</t>
  </si>
  <si>
    <t>INTA-0619</t>
  </si>
  <si>
    <t>XLYSLOW TRY Maxamaid</t>
  </si>
  <si>
    <t>INTA-0620</t>
  </si>
  <si>
    <t>XLYSLOW TRY Maxamum</t>
  </si>
  <si>
    <t>INTA-0621</t>
  </si>
  <si>
    <t>XMTV Maxamaid</t>
  </si>
  <si>
    <t>INTA-0622</t>
  </si>
  <si>
    <t>XP Maxamaid</t>
  </si>
  <si>
    <t>INTA-0623</t>
  </si>
  <si>
    <t>XP Maxamum</t>
  </si>
  <si>
    <t>INTA-0624</t>
  </si>
  <si>
    <t>XPHEN TYR Maxamum</t>
  </si>
  <si>
    <t>Edad_años</t>
  </si>
  <si>
    <t>Convertida desde DATOS</t>
  </si>
  <si>
    <t>Edad_meses</t>
  </si>
  <si>
    <t>meses</t>
  </si>
  <si>
    <t>Estado_fisiológico</t>
  </si>
  <si>
    <t>Actividad_NASEM</t>
  </si>
  <si>
    <t>Actividad_FAO</t>
  </si>
  <si>
    <t>PAL_manual</t>
  </si>
  <si>
    <t>Semanas_gestación</t>
  </si>
  <si>
    <t>sem</t>
  </si>
  <si>
    <t>IMC_pregestacional</t>
  </si>
  <si>
    <t>Meses_posparto</t>
  </si>
  <si>
    <t>Tipo_lactancia</t>
  </si>
  <si>
    <t>BMR_Schofield</t>
  </si>
  <si>
    <t>Schofield 1985</t>
  </si>
  <si>
    <t>GET_Schofield_PAL</t>
  </si>
  <si>
    <t>BMR × PAL manual</t>
  </si>
  <si>
    <t>PAL_factorial</t>
  </si>
  <si>
    <t>Σ horas×PAR / 24</t>
  </si>
  <si>
    <t>GET_factorial</t>
  </si>
  <si>
    <t>EER_FAO_0_18</t>
  </si>
  <si>
    <t>EER_NASEM_base</t>
  </si>
  <si>
    <t>NASEM 2023, sin ajuste fisiológico</t>
  </si>
  <si>
    <t>EER_NASEM_final</t>
  </si>
  <si>
    <t>NASEM 2023, incluye embarazo/lactancia</t>
  </si>
  <si>
    <t>Método_seleccionado</t>
  </si>
  <si>
    <t>Resultado_seleccionado</t>
  </si>
  <si>
    <t>Salida principal</t>
  </si>
  <si>
    <t>Método_recomendado</t>
  </si>
  <si>
    <t>Regla didáctica por edad/estado</t>
  </si>
  <si>
    <t>Diferencia_NASEM_vs_Schofield</t>
  </si>
  <si>
    <t>Comparación</t>
  </si>
  <si>
    <t>Alerta_aplicabilidad</t>
  </si>
  <si>
    <t>Revisar antes de interpretar</t>
  </si>
  <si>
    <t>FASE 6 · MATRIZ DE APORTE DE 10 ALIMENTOS × 23 MICRONUTRIENTES</t>
  </si>
  <si>
    <t>Nutriente_ID</t>
  </si>
  <si>
    <t>Valor/100g</t>
  </si>
  <si>
    <t>Energía_seleccionada</t>
  </si>
  <si>
    <t>Modo_macros</t>
  </si>
  <si>
    <t>Proteína_gkg</t>
  </si>
  <si>
    <t>Proteína_pct</t>
  </si>
  <si>
    <t>Lípidos_pct</t>
  </si>
  <si>
    <t>CHO_pct</t>
  </si>
  <si>
    <t>Proteína_g</t>
  </si>
  <si>
    <t>Calculado</t>
  </si>
  <si>
    <t>Proteína_kcal</t>
  </si>
  <si>
    <t>Lípidos_g</t>
  </si>
  <si>
    <t>Lípidos_kcal</t>
  </si>
  <si>
    <t>TOTAL CONOCIDO</t>
  </si>
  <si>
    <t>CHO_g</t>
  </si>
  <si>
    <t>DATOS ND</t>
  </si>
  <si>
    <t>CHO_kcal</t>
  </si>
  <si>
    <t>ALIMENTOS SELECCIONADOS</t>
  </si>
  <si>
    <t>Suma_kcal</t>
  </si>
  <si>
    <t>Suma_pct</t>
  </si>
  <si>
    <t>Diferencia_energía</t>
  </si>
  <si>
    <t>Referencia_proteína</t>
  </si>
  <si>
    <t>RDA o AI</t>
  </si>
  <si>
    <t>Referencia_CHO</t>
  </si>
  <si>
    <t>Adecuación_proteína</t>
  </si>
  <si>
    <t>Aporte/ref</t>
  </si>
  <si>
    <t>Adecuación_CHO</t>
  </si>
  <si>
    <t>AMDR_proteína</t>
  </si>
  <si>
    <t>AMDR_lípidos</t>
  </si>
  <si>
    <t>AMDR_CHO</t>
  </si>
  <si>
    <t>Estado_cierre</t>
  </si>
  <si>
    <t>Tolerancia técnica</t>
  </si>
  <si>
    <t>FASE 6 · ADECUACIÓN DE MICRONUTRIENTES DE LOS ALIMENTOS SELECCIONADOS</t>
  </si>
  <si>
    <t>Tipo objetivo</t>
  </si>
  <si>
    <t>% límite</t>
  </si>
  <si>
    <t>Agua_ingresada</t>
  </si>
  <si>
    <t>Fibra_ingresada</t>
  </si>
  <si>
    <t>Referencia_agua_AI</t>
  </si>
  <si>
    <t>DRI total water</t>
  </si>
  <si>
    <t>Referencia_fibra_AI</t>
  </si>
  <si>
    <t>DRI fiber</t>
  </si>
  <si>
    <t>Adecuación_agua</t>
  </si>
  <si>
    <t>Ingesta / AI</t>
  </si>
  <si>
    <t>Adecuación_fibra</t>
  </si>
  <si>
    <t>Estado_agua</t>
  </si>
  <si>
    <t>Umbrales técnicos CONFIG</t>
  </si>
  <si>
    <t>Estado_fibra</t>
  </si>
  <si>
    <t>Datos_ND</t>
  </si>
  <si>
    <t>conteo</t>
  </si>
  <si>
    <t>Resultados no evaluables</t>
  </si>
  <si>
    <t>DRI_ID</t>
  </si>
  <si>
    <t>Edad_min</t>
  </si>
  <si>
    <t>Edad_max</t>
  </si>
  <si>
    <t>Unidad_edad</t>
  </si>
  <si>
    <t>Estado_dato</t>
  </si>
  <si>
    <t>Tipo_referencia</t>
  </si>
  <si>
    <t>Tipo_límite</t>
  </si>
  <si>
    <t>PROTEINA-F-Nin-0-0.5</t>
  </si>
  <si>
    <t>PROTEINA</t>
  </si>
  <si>
    <t>AI lactantes 0–6 meses</t>
  </si>
  <si>
    <t>PROTEINA-F-Nin-0.5-1</t>
  </si>
  <si>
    <t>PROTEINA-F-Nin-1-4</t>
  </si>
  <si>
    <t>PROTEINA-F-Nin-4-9</t>
  </si>
  <si>
    <t>PROTEINA-F-Nin-9-14</t>
  </si>
  <si>
    <t>PROTEINA-F-Nin-14-19</t>
  </si>
  <si>
    <t>PROTEINA-F-Nin-19-999</t>
  </si>
  <si>
    <t>CHO-F-Nin-0-0.5</t>
  </si>
  <si>
    <t>CHO-F-Nin-0.5-1</t>
  </si>
  <si>
    <t>CHO-F-Nin-1-999</t>
  </si>
  <si>
    <t>FIBRA-F-Nin-1-4</t>
  </si>
  <si>
    <t>FIBRA</t>
  </si>
  <si>
    <t>FIBRA-F-Nin-4-9</t>
  </si>
  <si>
    <t>FIBRA-F-Nin-9-14</t>
  </si>
  <si>
    <t>FIBRA-F-Nin-14-19</t>
  </si>
  <si>
    <t>FIBRA-F-Nin-19-51</t>
  </si>
  <si>
    <t>FIBRA-F-Nin-51-999</t>
  </si>
  <si>
    <t>AGUA_TOTAL-F-Nin-0-0.5</t>
  </si>
  <si>
    <t>AGUA_TOTAL</t>
  </si>
  <si>
    <t>AGUA_TOTAL-F-Nin-0.5-1</t>
  </si>
  <si>
    <t>AGUA_TOTAL-F-Nin-1-4</t>
  </si>
  <si>
    <t>AGUA_TOTAL-F-Nin-4-9</t>
  </si>
  <si>
    <t>AGUA_TOTAL-F-Nin-9-14</t>
  </si>
  <si>
    <t>AGUA_TOTAL-F-Nin-14-19</t>
  </si>
  <si>
    <t>AGUA_TOTAL-F-Nin-19-999</t>
  </si>
  <si>
    <t>PROTEINA-M-Nin-0-0.5</t>
  </si>
  <si>
    <t>PROTEINA-M-Nin-0.5-1</t>
  </si>
  <si>
    <t>PROTEINA-M-Nin-1-4</t>
  </si>
  <si>
    <t>PROTEINA-M-Nin-4-9</t>
  </si>
  <si>
    <t>PROTEINA-M-Nin-9-14</t>
  </si>
  <si>
    <t>PROTEINA-M-Nin-14-19</t>
  </si>
  <si>
    <t>PROTEINA-M-Nin-19-999</t>
  </si>
  <si>
    <t>CHO-M-Nin-0-0.5</t>
  </si>
  <si>
    <t>CHO-M-Nin-0.5-1</t>
  </si>
  <si>
    <t>CHO-M-Nin-1-999</t>
  </si>
  <si>
    <t>FIBRA-M-Nin-1-4</t>
  </si>
  <si>
    <t>FIBRA-M-Nin-4-9</t>
  </si>
  <si>
    <t>FIBRA-M-Nin-9-14</t>
  </si>
  <si>
    <t>FIBRA-M-Nin-14-19</t>
  </si>
  <si>
    <t>FIBRA-M-Nin-19-51</t>
  </si>
  <si>
    <t>FIBRA-M-Nin-51-999</t>
  </si>
  <si>
    <t>AGUA_TOTAL-M-Nin-0-0.5</t>
  </si>
  <si>
    <t>AGUA_TOTAL-M-Nin-0.5-1</t>
  </si>
  <si>
    <t>AGUA_TOTAL-M-Nin-1-4</t>
  </si>
  <si>
    <t>AGUA_TOTAL-M-Nin-4-9</t>
  </si>
  <si>
    <t>AGUA_TOTAL-M-Nin-9-14</t>
  </si>
  <si>
    <t>AGUA_TOTAL-M-Nin-14-19</t>
  </si>
  <si>
    <t>AGUA_TOTAL-M-Nin-19-999</t>
  </si>
  <si>
    <t>PROTEINA-F-Emb-14-51</t>
  </si>
  <si>
    <t>CHO-F-Emb-14-51</t>
  </si>
  <si>
    <t>FIBRA-F-Emb-14-51</t>
  </si>
  <si>
    <t>AGUA_TOTAL-F-Emb-14-51</t>
  </si>
  <si>
    <t>PROTEINA-F-Lac-14-51</t>
  </si>
  <si>
    <t>CHO-F-Lac-14-51</t>
  </si>
  <si>
    <t>FIBRA-F-Lac-14-51</t>
  </si>
  <si>
    <t>AGUA_TOTAL-F-Lac-14-51</t>
  </si>
  <si>
    <t>VIT-A-A-Nin-0-0.5</t>
  </si>
  <si>
    <t>Normalizado desde la tabla DRI del NMX-21; revisar fuente oficial. EAR no cargada.</t>
  </si>
  <si>
    <t>VIT-A-A-Nin-0.5-1</t>
  </si>
  <si>
    <t>VIT-A-A-Nin-1-4</t>
  </si>
  <si>
    <t>VIT-A-A-Nin-4-9</t>
  </si>
  <si>
    <t>VIT-A-M-Nin-9-14</t>
  </si>
  <si>
    <t>VIT-A-F-Nin-9-14</t>
  </si>
  <si>
    <t>VIT-A-M-Nin-14-19</t>
  </si>
  <si>
    <t>VIT-A-F-Nin-14-19</t>
  </si>
  <si>
    <t>VIT-A-M-Nin-19-31</t>
  </si>
  <si>
    <t>VIT-A-F-Nin-19-31</t>
  </si>
  <si>
    <t>VIT-A-M-Nin-31-51</t>
  </si>
  <si>
    <t>VIT-A-F-Nin-31-51</t>
  </si>
  <si>
    <t>VIT-A-M-Nin-51-71</t>
  </si>
  <si>
    <t>VIT-A-F-Nin-51-71</t>
  </si>
  <si>
    <t>VIT-A-M-Nin-71-999</t>
  </si>
  <si>
    <t>VIT-A-F-Nin-71-999</t>
  </si>
  <si>
    <t>VIT-A-F-Emb-14-51</t>
  </si>
  <si>
    <t>VIT-A-F-Lac-14-51</t>
  </si>
  <si>
    <t>VIT-D-A-Nin-0-0.5</t>
  </si>
  <si>
    <t>VIT-D-A-Nin-0.5-1</t>
  </si>
  <si>
    <t>VIT-D-A-Nin-1-4</t>
  </si>
  <si>
    <t>VIT-D-A-Nin-4-9</t>
  </si>
  <si>
    <t>VIT-D-M-Nin-9-14</t>
  </si>
  <si>
    <t>VIT-D-F-Nin-9-14</t>
  </si>
  <si>
    <t>VIT-D-M-Nin-14-19</t>
  </si>
  <si>
    <t>VIT-D-F-Nin-14-19</t>
  </si>
  <si>
    <t>VIT-D-M-Nin-19-31</t>
  </si>
  <si>
    <t>VIT-D-F-Nin-19-31</t>
  </si>
  <si>
    <t>VIT-D-M-Nin-31-51</t>
  </si>
  <si>
    <t>VIT-D-F-Nin-31-51</t>
  </si>
  <si>
    <t>VIT-D-M-Nin-51-71</t>
  </si>
  <si>
    <t>VIT-D-F-Nin-51-71</t>
  </si>
  <si>
    <t>VIT-D-M-Nin-71-999</t>
  </si>
  <si>
    <t>VIT-D-F-Nin-71-999</t>
  </si>
  <si>
    <t>VIT-D-F-Emb-14-51</t>
  </si>
  <si>
    <t>VIT-D-F-Lac-14-51</t>
  </si>
  <si>
    <t>VIT-E-A-Nin-0-0.5</t>
  </si>
  <si>
    <t>VIT-E-A-Nin-0.5-1</t>
  </si>
  <si>
    <t>VIT-E-A-Nin-1-4</t>
  </si>
  <si>
    <t>VIT-E-A-Nin-4-9</t>
  </si>
  <si>
    <t>VIT-E-M-Nin-9-14</t>
  </si>
  <si>
    <t>VIT-E-F-Nin-9-14</t>
  </si>
  <si>
    <t>VIT-E-M-Nin-14-19</t>
  </si>
  <si>
    <t>VIT-E-F-Nin-14-19</t>
  </si>
  <si>
    <t>VIT-E-M-Nin-19-31</t>
  </si>
  <si>
    <t>VIT-E-F-Nin-19-31</t>
  </si>
  <si>
    <t>VIT-E-M-Nin-31-51</t>
  </si>
  <si>
    <t>VIT-E-F-Nin-31-51</t>
  </si>
  <si>
    <t>VIT-E-M-Nin-51-71</t>
  </si>
  <si>
    <t>VIT-E-F-Nin-51-71</t>
  </si>
  <si>
    <t>VIT-E-M-Nin-71-999</t>
  </si>
  <si>
    <t>VIT-E-F-Nin-71-999</t>
  </si>
  <si>
    <t>VIT-E-F-Emb-14-51</t>
  </si>
  <si>
    <t>VIT-E-F-Lac-14-51</t>
  </si>
  <si>
    <t>VIT-K-A-Nin-0-0.5</t>
  </si>
  <si>
    <t>VIT-K-A-Nin-0.5-1</t>
  </si>
  <si>
    <t>VIT-K-A-Nin-1-4</t>
  </si>
  <si>
    <t>VIT-K-A-Nin-4-9</t>
  </si>
  <si>
    <t>VIT-K-M-Nin-9-14</t>
  </si>
  <si>
    <t>VIT-K-F-Nin-9-14</t>
  </si>
  <si>
    <t>VIT-K-M-Nin-14-19</t>
  </si>
  <si>
    <t>VIT-K-F-Nin-14-19</t>
  </si>
  <si>
    <t>VIT-K-M-Nin-19-31</t>
  </si>
  <si>
    <t>VIT-K-F-Nin-19-31</t>
  </si>
  <si>
    <t>VIT-K-M-Nin-31-51</t>
  </si>
  <si>
    <t>VIT-K-F-Nin-31-51</t>
  </si>
  <si>
    <t>VIT-K-M-Nin-51-71</t>
  </si>
  <si>
    <t>VIT-K-F-Nin-51-71</t>
  </si>
  <si>
    <t>VIT-K-M-Nin-71-999</t>
  </si>
  <si>
    <t>VIT-K-F-Nin-71-999</t>
  </si>
  <si>
    <t>VIT-K-F-Emb-14-51</t>
  </si>
  <si>
    <t>VIT-K-F-Lac-14-51</t>
  </si>
  <si>
    <t>VIT-C-A-Nin-0-0.5</t>
  </si>
  <si>
    <t>VIT-C-A-Nin-0.5-1</t>
  </si>
  <si>
    <t>VIT-C-A-Nin-1-4</t>
  </si>
  <si>
    <t>VIT-C-A-Nin-4-9</t>
  </si>
  <si>
    <t>VIT-C-M-Nin-9-14</t>
  </si>
  <si>
    <t>VIT-C-F-Nin-9-14</t>
  </si>
  <si>
    <t>VIT-C-M-Nin-14-19</t>
  </si>
  <si>
    <t>VIT-C-F-Nin-14-19</t>
  </si>
  <si>
    <t>VIT-C-M-Nin-19-31</t>
  </si>
  <si>
    <t>VIT-C-F-Nin-19-31</t>
  </si>
  <si>
    <t>VIT-C-M-Nin-31-51</t>
  </si>
  <si>
    <t>VIT-C-F-Nin-31-51</t>
  </si>
  <si>
    <t>VIT-C-M-Nin-51-71</t>
  </si>
  <si>
    <t>VIT-C-F-Nin-51-71</t>
  </si>
  <si>
    <t>VIT-C-M-Nin-71-999</t>
  </si>
  <si>
    <t>VIT-C-F-Nin-71-999</t>
  </si>
  <si>
    <t>VIT-C-F-Emb-14-51</t>
  </si>
  <si>
    <t>VIT-C-F-Lac-14-51</t>
  </si>
  <si>
    <t>VIT-B1-A-Nin-0-0.5</t>
  </si>
  <si>
    <t>VIT-B1-A-Nin-0.5-1</t>
  </si>
  <si>
    <t>VIT-B1-A-Nin-1-4</t>
  </si>
  <si>
    <t>VIT-B1-A-Nin-4-9</t>
  </si>
  <si>
    <t>VIT-B1-M-Nin-9-14</t>
  </si>
  <si>
    <t>VIT-B1-F-Nin-9-14</t>
  </si>
  <si>
    <t>VIT-B1-M-Nin-14-19</t>
  </si>
  <si>
    <t>VIT-B1-F-Nin-14-19</t>
  </si>
  <si>
    <t>VIT-B1-M-Nin-19-31</t>
  </si>
  <si>
    <t>VIT-B1-F-Nin-19-31</t>
  </si>
  <si>
    <t>VIT-B1-M-Nin-31-51</t>
  </si>
  <si>
    <t>VIT-B1-F-Nin-31-51</t>
  </si>
  <si>
    <t>VIT-B1-M-Nin-51-71</t>
  </si>
  <si>
    <t>VIT-B1-F-Nin-51-71</t>
  </si>
  <si>
    <t>VIT-B1-M-Nin-71-999</t>
  </si>
  <si>
    <t>VIT-B1-F-Nin-71-999</t>
  </si>
  <si>
    <t>VIT-B1-F-Emb-14-51</t>
  </si>
  <si>
    <t>VIT-B1-F-Lac-14-51</t>
  </si>
  <si>
    <t>VIT-B2-A-Nin-0-0.5</t>
  </si>
  <si>
    <t>VIT-B2-A-Nin-0.5-1</t>
  </si>
  <si>
    <t>VIT-B2-A-Nin-1-4</t>
  </si>
  <si>
    <t>VIT-B2-A-Nin-4-9</t>
  </si>
  <si>
    <t>VIT-B2-M-Nin-9-14</t>
  </si>
  <si>
    <t>VIT-B2-F-Nin-9-14</t>
  </si>
  <si>
    <t>VIT-B2-M-Nin-14-19</t>
  </si>
  <si>
    <t>VIT-B2-F-Nin-14-19</t>
  </si>
  <si>
    <t>VIT-B2-M-Nin-19-31</t>
  </si>
  <si>
    <t>VIT-B2-F-Nin-19-31</t>
  </si>
  <si>
    <t>VIT-B2-M-Nin-31-51</t>
  </si>
  <si>
    <t>VIT-B2-F-Nin-31-51</t>
  </si>
  <si>
    <t>VIT-B2-M-Nin-51-71</t>
  </si>
  <si>
    <t>VIT-B2-F-Nin-51-71</t>
  </si>
  <si>
    <t>VIT-B2-M-Nin-71-999</t>
  </si>
  <si>
    <t>VIT-B2-F-Nin-71-999</t>
  </si>
  <si>
    <t>VIT-B2-F-Emb-14-51</t>
  </si>
  <si>
    <t>VIT-B2-F-Lac-14-51</t>
  </si>
  <si>
    <t>VIT-B3-A-Nin-0-0.5</t>
  </si>
  <si>
    <t>VIT-B3-A-Nin-0.5-1</t>
  </si>
  <si>
    <t>VIT-B3-A-Nin-1-4</t>
  </si>
  <si>
    <t>VIT-B3-A-Nin-4-9</t>
  </si>
  <si>
    <t>VIT-B3-M-Nin-9-14</t>
  </si>
  <si>
    <t>VIT-B3-F-Nin-9-14</t>
  </si>
  <si>
    <t>VIT-B3-M-Nin-14-19</t>
  </si>
  <si>
    <t>VIT-B3-F-Nin-14-19</t>
  </si>
  <si>
    <t>VIT-B3-M-Nin-19-31</t>
  </si>
  <si>
    <t>VIT-B3-F-Nin-19-31</t>
  </si>
  <si>
    <t>VIT-B3-M-Nin-31-51</t>
  </si>
  <si>
    <t>VIT-B3-F-Nin-31-51</t>
  </si>
  <si>
    <t>VIT-B3-M-Nin-51-71</t>
  </si>
  <si>
    <t>VIT-B3-F-Nin-51-71</t>
  </si>
  <si>
    <t>VIT-B3-M-Nin-71-999</t>
  </si>
  <si>
    <t>VIT-B3-F-Nin-71-999</t>
  </si>
  <si>
    <t>VIT-B3-F-Emb-14-51</t>
  </si>
  <si>
    <t>VIT-B3-F-Lac-14-51</t>
  </si>
  <si>
    <t>VIT-B5-A-Nin-0-0.5</t>
  </si>
  <si>
    <t>VIT-B5-A-Nin-0.5-1</t>
  </si>
  <si>
    <t>VIT-B5-A-Nin-1-4</t>
  </si>
  <si>
    <t>VIT-B5-A-Nin-4-9</t>
  </si>
  <si>
    <t>VIT-B5-M-Nin-9-14</t>
  </si>
  <si>
    <t>VIT-B5-F-Nin-9-14</t>
  </si>
  <si>
    <t>VIT-B5-M-Nin-14-19</t>
  </si>
  <si>
    <t>VIT-B5-F-Nin-14-19</t>
  </si>
  <si>
    <t>VIT-B5-M-Nin-19-31</t>
  </si>
  <si>
    <t>VIT-B5-F-Nin-19-31</t>
  </si>
  <si>
    <t>VIT-B5-M-Nin-31-51</t>
  </si>
  <si>
    <t>VIT-B5-F-Nin-31-51</t>
  </si>
  <si>
    <t>VIT-B5-M-Nin-51-71</t>
  </si>
  <si>
    <t>VIT-B5-F-Nin-51-71</t>
  </si>
  <si>
    <t>VIT-B5-M-Nin-71-999</t>
  </si>
  <si>
    <t>VIT-B5-F-Nin-71-999</t>
  </si>
  <si>
    <t>VIT-B5-F-Emb-14-51</t>
  </si>
  <si>
    <t>VIT-B5-F-Lac-14-51</t>
  </si>
  <si>
    <t>VIT-B6-A-Nin-0-0.5</t>
  </si>
  <si>
    <t>VIT-B6-A-Nin-0.5-1</t>
  </si>
  <si>
    <t>VIT-B6-A-Nin-1-4</t>
  </si>
  <si>
    <t>VIT-B6-A-Nin-4-9</t>
  </si>
  <si>
    <t>VIT-B6-M-Nin-9-14</t>
  </si>
  <si>
    <t>VIT-B6-F-Nin-9-14</t>
  </si>
  <si>
    <t>VIT-B6-M-Nin-14-19</t>
  </si>
  <si>
    <t>VIT-B6-F-Nin-14-19</t>
  </si>
  <si>
    <t>VIT-B6-M-Nin-19-31</t>
  </si>
  <si>
    <t>VIT-B6-F-Nin-19-31</t>
  </si>
  <si>
    <t>VIT-B6-M-Nin-31-51</t>
  </si>
  <si>
    <t>VIT-B6-F-Nin-31-51</t>
  </si>
  <si>
    <t>VIT-B6-M-Nin-51-71</t>
  </si>
  <si>
    <t>VIT-B6-F-Nin-51-71</t>
  </si>
  <si>
    <t>VIT-B6-M-Nin-71-999</t>
  </si>
  <si>
    <t>VIT-B6-F-Nin-71-999</t>
  </si>
  <si>
    <t>VIT-B6-F-Emb-14-51</t>
  </si>
  <si>
    <t>VIT-B6-F-Lac-14-51</t>
  </si>
  <si>
    <t>VIT-B9-A-Nin-0-0.5</t>
  </si>
  <si>
    <t>VIT-B9-A-Nin-0.5-1</t>
  </si>
  <si>
    <t>VIT-B9-A-Nin-1-4</t>
  </si>
  <si>
    <t>VIT-B9-A-Nin-4-9</t>
  </si>
  <si>
    <t>VIT-B9-M-Nin-9-14</t>
  </si>
  <si>
    <t>VIT-B9-F-Nin-9-14</t>
  </si>
  <si>
    <t>VIT-B9-M-Nin-14-19</t>
  </si>
  <si>
    <t>VIT-B9-F-Nin-14-19</t>
  </si>
  <si>
    <t>VIT-B9-M-Nin-19-31</t>
  </si>
  <si>
    <t>VIT-B9-F-Nin-19-31</t>
  </si>
  <si>
    <t>VIT-B9-M-Nin-31-51</t>
  </si>
  <si>
    <t>VIT-B9-F-Nin-31-51</t>
  </si>
  <si>
    <t>VIT-B9-M-Nin-51-71</t>
  </si>
  <si>
    <t>VIT-B9-F-Nin-51-71</t>
  </si>
  <si>
    <t>VIT-B9-M-Nin-71-999</t>
  </si>
  <si>
    <t>VIT-B9-F-Nin-71-999</t>
  </si>
  <si>
    <t>VIT-B9-F-Emb-14-51</t>
  </si>
  <si>
    <t>VIT-B9-F-Lac-14-51</t>
  </si>
  <si>
    <t>VIT-B12-A-Nin-0-0.5</t>
  </si>
  <si>
    <t>VIT-B12-A-Nin-0.5-1</t>
  </si>
  <si>
    <t>VIT-B12-A-Nin-1-4</t>
  </si>
  <si>
    <t>VIT-B12-A-Nin-4-9</t>
  </si>
  <si>
    <t>VIT-B12-M-Nin-9-14</t>
  </si>
  <si>
    <t>VIT-B12-F-Nin-9-14</t>
  </si>
  <si>
    <t>VIT-B12-M-Nin-14-19</t>
  </si>
  <si>
    <t>VIT-B12-F-Nin-14-19</t>
  </si>
  <si>
    <t>VIT-B12-M-Nin-19-31</t>
  </si>
  <si>
    <t>VIT-B12-F-Nin-19-31</t>
  </si>
  <si>
    <t>VIT-B12-M-Nin-31-51</t>
  </si>
  <si>
    <t>VIT-B12-F-Nin-31-51</t>
  </si>
  <si>
    <t>VIT-B12-M-Nin-51-71</t>
  </si>
  <si>
    <t>VIT-B12-F-Nin-51-71</t>
  </si>
  <si>
    <t>VIT-B12-M-Nin-71-999</t>
  </si>
  <si>
    <t>VIT-B12-F-Nin-71-999</t>
  </si>
  <si>
    <t>VIT-B12-F-Emb-14-51</t>
  </si>
  <si>
    <t>VIT-B12-F-Lac-14-51</t>
  </si>
  <si>
    <t>MIN-CA-A-Nin-0-0.5</t>
  </si>
  <si>
    <t>MIN-CA-A-Nin-0.5-1</t>
  </si>
  <si>
    <t>MIN-CA-A-Nin-1-4</t>
  </si>
  <si>
    <t>MIN-CA-A-Nin-4-9</t>
  </si>
  <si>
    <t>MIN-CA-M-Nin-9-14</t>
  </si>
  <si>
    <t>MIN-CA-F-Nin-9-14</t>
  </si>
  <si>
    <t>MIN-CA-M-Nin-14-19</t>
  </si>
  <si>
    <t>MIN-CA-F-Nin-14-19</t>
  </si>
  <si>
    <t>MIN-CA-M-Nin-19-31</t>
  </si>
  <si>
    <t>MIN-CA-F-Nin-19-31</t>
  </si>
  <si>
    <t>MIN-CA-M-Nin-31-51</t>
  </si>
  <si>
    <t>MIN-CA-F-Nin-31-51</t>
  </si>
  <si>
    <t>MIN-CA-M-Nin-51-71</t>
  </si>
  <si>
    <t>MIN-CA-F-Nin-51-71</t>
  </si>
  <si>
    <t>MIN-CA-M-Nin-71-999</t>
  </si>
  <si>
    <t>MIN-CA-F-Nin-71-999</t>
  </si>
  <si>
    <t>MIN-CA-F-Emb-14-51</t>
  </si>
  <si>
    <t>MIN-CA-F-Lac-14-51</t>
  </si>
  <si>
    <t>MIN-P-A-Nin-0-0.5</t>
  </si>
  <si>
    <t>MIN-P-A-Nin-0.5-1</t>
  </si>
  <si>
    <t>MIN-P-A-Nin-1-4</t>
  </si>
  <si>
    <t>MIN-P-A-Nin-4-9</t>
  </si>
  <si>
    <t>MIN-P-M-Nin-9-14</t>
  </si>
  <si>
    <t>MIN-P-F-Nin-9-14</t>
  </si>
  <si>
    <t>MIN-P-M-Nin-14-19</t>
  </si>
  <si>
    <t>MIN-P-F-Nin-14-19</t>
  </si>
  <si>
    <t>MIN-P-M-Nin-19-31</t>
  </si>
  <si>
    <t>MIN-P-F-Nin-19-31</t>
  </si>
  <si>
    <t>MIN-P-M-Nin-31-51</t>
  </si>
  <si>
    <t>MIN-P-F-Nin-31-51</t>
  </si>
  <si>
    <t>MIN-P-M-Nin-51-71</t>
  </si>
  <si>
    <t>MIN-P-F-Nin-51-71</t>
  </si>
  <si>
    <t>MIN-P-M-Nin-71-999</t>
  </si>
  <si>
    <t>MIN-P-F-Nin-71-999</t>
  </si>
  <si>
    <t>MIN-P-F-Emb-14-51</t>
  </si>
  <si>
    <t>MIN-P-F-Lac-14-51</t>
  </si>
  <si>
    <t>MIN-MG-A-Nin-0-0.5</t>
  </si>
  <si>
    <t>MIN-MG-A-Nin-0.5-1</t>
  </si>
  <si>
    <t>MIN-MG-A-Nin-1-4</t>
  </si>
  <si>
    <t>MIN-MG-A-Nin-4-9</t>
  </si>
  <si>
    <t>MIN-MG-M-Nin-9-14</t>
  </si>
  <si>
    <t>MIN-MG-F-Nin-9-14</t>
  </si>
  <si>
    <t>MIN-MG-M-Nin-14-19</t>
  </si>
  <si>
    <t>MIN-MG-F-Nin-14-19</t>
  </si>
  <si>
    <t>MIN-MG-M-Nin-19-31</t>
  </si>
  <si>
    <t>MIN-MG-F-Nin-19-31</t>
  </si>
  <si>
    <t>MIN-MG-M-Nin-31-51</t>
  </si>
  <si>
    <t>MIN-MG-F-Nin-31-51</t>
  </si>
  <si>
    <t>MIN-MG-M-Nin-51-71</t>
  </si>
  <si>
    <t>MIN-MG-F-Nin-51-71</t>
  </si>
  <si>
    <t>MIN-MG-M-Nin-71-999</t>
  </si>
  <si>
    <t>MIN-MG-F-Nin-71-999</t>
  </si>
  <si>
    <t>MIN-MG-F-Emb-14-51</t>
  </si>
  <si>
    <t>MIN-MG-F-Lac-14-51</t>
  </si>
  <si>
    <t>MIN-FE-A-Nin-0-0.5</t>
  </si>
  <si>
    <t>MIN-FE-A-Nin-0.5-1</t>
  </si>
  <si>
    <t>MIN-FE-A-Nin-1-4</t>
  </si>
  <si>
    <t>MIN-FE-A-Nin-4-9</t>
  </si>
  <si>
    <t>MIN-FE-M-Nin-9-14</t>
  </si>
  <si>
    <t>MIN-FE-F-Nin-9-14</t>
  </si>
  <si>
    <t>MIN-FE-M-Nin-14-19</t>
  </si>
  <si>
    <t>MIN-FE-F-Nin-14-19</t>
  </si>
  <si>
    <t>MIN-FE-M-Nin-19-31</t>
  </si>
  <si>
    <t>MIN-FE-F-Nin-19-31</t>
  </si>
  <si>
    <t>MIN-FE-M-Nin-31-51</t>
  </si>
  <si>
    <t>MIN-FE-F-Nin-31-51</t>
  </si>
  <si>
    <t>MIN-FE-M-Nin-51-71</t>
  </si>
  <si>
    <t>MIN-FE-F-Nin-51-71</t>
  </si>
  <si>
    <t>MIN-FE-M-Nin-71-999</t>
  </si>
  <si>
    <t>MIN-FE-F-Nin-71-999</t>
  </si>
  <si>
    <t>MIN-FE-F-Emb-14-51</t>
  </si>
  <si>
    <t>MIN-FE-F-Lac-14-51</t>
  </si>
  <si>
    <t>MIN-ZN-A-Nin-0-0.5</t>
  </si>
  <si>
    <t>MIN-ZN-A-Nin-0.5-1</t>
  </si>
  <si>
    <t>MIN-ZN-A-Nin-1-4</t>
  </si>
  <si>
    <t>MIN-ZN-A-Nin-4-9</t>
  </si>
  <si>
    <t>MIN-ZN-M-Nin-9-14</t>
  </si>
  <si>
    <t>MIN-ZN-F-Nin-9-14</t>
  </si>
  <si>
    <t>MIN-ZN-M-Nin-14-19</t>
  </si>
  <si>
    <t>MIN-ZN-F-Nin-14-19</t>
  </si>
  <si>
    <t>MIN-ZN-M-Nin-19-31</t>
  </si>
  <si>
    <t>MIN-ZN-F-Nin-19-31</t>
  </si>
  <si>
    <t>MIN-ZN-M-Nin-31-51</t>
  </si>
  <si>
    <t>MIN-ZN-F-Nin-31-51</t>
  </si>
  <si>
    <t>MIN-ZN-M-Nin-51-71</t>
  </si>
  <si>
    <t>MIN-ZN-F-Nin-51-71</t>
  </si>
  <si>
    <t>MIN-ZN-M-Nin-71-999</t>
  </si>
  <si>
    <t>MIN-ZN-F-Nin-71-999</t>
  </si>
  <si>
    <t>MIN-ZN-F-Emb-14-51</t>
  </si>
  <si>
    <t>MIN-ZN-F-Lac-14-51</t>
  </si>
  <si>
    <t>MIN-CU-A-Nin-0-0.5</t>
  </si>
  <si>
    <t>MIN-CU-A-Nin-0.5-1</t>
  </si>
  <si>
    <t>MIN-CU-A-Nin-1-4</t>
  </si>
  <si>
    <t>MIN-CU-A-Nin-4-9</t>
  </si>
  <si>
    <t>MIN-CU-M-Nin-9-14</t>
  </si>
  <si>
    <t>MIN-CU-F-Nin-9-14</t>
  </si>
  <si>
    <t>MIN-CU-M-Nin-14-19</t>
  </si>
  <si>
    <t>MIN-CU-F-Nin-14-19</t>
  </si>
  <si>
    <t>MIN-CU-M-Nin-19-31</t>
  </si>
  <si>
    <t>MIN-CU-F-Nin-19-31</t>
  </si>
  <si>
    <t>MIN-CU-M-Nin-31-51</t>
  </si>
  <si>
    <t>MIN-CU-F-Nin-31-51</t>
  </si>
  <si>
    <t>MIN-CU-M-Nin-51-71</t>
  </si>
  <si>
    <t>MIN-CU-F-Nin-51-71</t>
  </si>
  <si>
    <t>MIN-CU-M-Nin-71-999</t>
  </si>
  <si>
    <t>MIN-CU-F-Nin-71-999</t>
  </si>
  <si>
    <t>MIN-CU-F-Emb-14-51</t>
  </si>
  <si>
    <t>MIN-CU-F-Lac-14-51</t>
  </si>
  <si>
    <t>MIN-SE-A-Nin-0-0.5</t>
  </si>
  <si>
    <t>MIN-SE-A-Nin-0.5-1</t>
  </si>
  <si>
    <t>MIN-SE-A-Nin-1-4</t>
  </si>
  <si>
    <t>MIN-SE-A-Nin-4-9</t>
  </si>
  <si>
    <t>MIN-SE-M-Nin-9-14</t>
  </si>
  <si>
    <t>MIN-SE-F-Nin-9-14</t>
  </si>
  <si>
    <t>MIN-SE-M-Nin-14-19</t>
  </si>
  <si>
    <t>MIN-SE-F-Nin-14-19</t>
  </si>
  <si>
    <t>MIN-SE-M-Nin-19-31</t>
  </si>
  <si>
    <t>MIN-SE-F-Nin-19-31</t>
  </si>
  <si>
    <t>MIN-SE-M-Nin-31-51</t>
  </si>
  <si>
    <t>MIN-SE-F-Nin-31-51</t>
  </si>
  <si>
    <t>MIN-SE-M-Nin-51-71</t>
  </si>
  <si>
    <t>MIN-SE-F-Nin-51-71</t>
  </si>
  <si>
    <t>MIN-SE-M-Nin-71-999</t>
  </si>
  <si>
    <t>MIN-SE-F-Nin-71-999</t>
  </si>
  <si>
    <t>MIN-SE-F-Emb-14-51</t>
  </si>
  <si>
    <t>MIN-SE-F-Lac-14-51</t>
  </si>
  <si>
    <t>MIN-K-A-Nin-0-0.5</t>
  </si>
  <si>
    <t>MIN-K-A-Nin-0.5-1</t>
  </si>
  <si>
    <t>MIN-K-A-Nin-1-4</t>
  </si>
  <si>
    <t>MIN-K-A-Nin-4-9</t>
  </si>
  <si>
    <t>MIN-K-M-Nin-9-14</t>
  </si>
  <si>
    <t>MIN-K-F-Nin-9-14</t>
  </si>
  <si>
    <t>MIN-K-M-Nin-14-19</t>
  </si>
  <si>
    <t>MIN-K-F-Nin-14-19</t>
  </si>
  <si>
    <t>MIN-K-M-Nin-19-31</t>
  </si>
  <si>
    <t>MIN-K-F-Nin-19-31</t>
  </si>
  <si>
    <t>MIN-K-M-Nin-31-51</t>
  </si>
  <si>
    <t>MIN-K-F-Nin-31-51</t>
  </si>
  <si>
    <t>MIN-K-M-Nin-51-71</t>
  </si>
  <si>
    <t>MIN-K-F-Nin-51-71</t>
  </si>
  <si>
    <t>MIN-K-M-Nin-71-999</t>
  </si>
  <si>
    <t>MIN-K-F-Nin-71-999</t>
  </si>
  <si>
    <t>MIN-K-F-Emb-14-51</t>
  </si>
  <si>
    <t>MIN-K-F-Lac-14-51</t>
  </si>
  <si>
    <t>MIN-NA-A-Nin-0-0.5</t>
  </si>
  <si>
    <t>MIN-NA-A-Nin-0.5-1</t>
  </si>
  <si>
    <t>MIN-NA-A-Nin-1-4</t>
  </si>
  <si>
    <t>MIN-NA-A-Nin-4-9</t>
  </si>
  <si>
    <t>MIN-NA-M-Nin-9-14</t>
  </si>
  <si>
    <t>MIN-NA-F-Nin-9-14</t>
  </si>
  <si>
    <t>MIN-NA-M-Nin-14-19</t>
  </si>
  <si>
    <t>MIN-NA-F-Nin-14-19</t>
  </si>
  <si>
    <t>MIN-NA-M-Nin-19-31</t>
  </si>
  <si>
    <t>MIN-NA-F-Nin-19-31</t>
  </si>
  <si>
    <t>MIN-NA-M-Nin-31-51</t>
  </si>
  <si>
    <t>MIN-NA-F-Nin-31-51</t>
  </si>
  <si>
    <t>MIN-NA-M-Nin-51-71</t>
  </si>
  <si>
    <t>MIN-NA-F-Nin-51-71</t>
  </si>
  <si>
    <t>MIN-NA-M-Nin-71-999</t>
  </si>
  <si>
    <t>MIN-NA-F-Nin-71-999</t>
  </si>
  <si>
    <t>MIN-NA-F-Emb-14-51</t>
  </si>
  <si>
    <t>MIN-NA-F-Lac-14-51</t>
  </si>
  <si>
    <t>VIT-B7-A-Nin-0-0.5</t>
  </si>
  <si>
    <t>Solo AI; EAR, RDA y UL no establecidos.</t>
  </si>
  <si>
    <t>MIN-CL-A-Nin-0-0.5</t>
  </si>
  <si>
    <t>AI de cloruro. No disponible en la base INTA.</t>
  </si>
  <si>
    <t>VIT-B7-A-Nin-0.5-1</t>
  </si>
  <si>
    <t>MIN-CL-A-Nin-0.5-1</t>
  </si>
  <si>
    <t>VIT-B7-A-Nin-1-4</t>
  </si>
  <si>
    <t>MIN-CL-A-Nin-1-4</t>
  </si>
  <si>
    <t>VIT-B7-A-Nin-4-9</t>
  </si>
  <si>
    <t>MIN-CL-A-Nin-4-9</t>
  </si>
  <si>
    <t>VIT-B7-M-Nin-9-14</t>
  </si>
  <si>
    <t>MIN-CL-M-Nin-9-14</t>
  </si>
  <si>
    <t>VIT-B7-F-Nin-9-14</t>
  </si>
  <si>
    <t>MIN-CL-F-Nin-9-14</t>
  </si>
  <si>
    <t>VIT-B7-M-Nin-14-19</t>
  </si>
  <si>
    <t>MIN-CL-M-Nin-14-19</t>
  </si>
  <si>
    <t>VIT-B7-F-Nin-14-19</t>
  </si>
  <si>
    <t>MIN-CL-F-Nin-14-19</t>
  </si>
  <si>
    <t>VIT-B7-M-Nin-19-31</t>
  </si>
  <si>
    <t>MIN-CL-M-Nin-19-31</t>
  </si>
  <si>
    <t>VIT-B7-F-Nin-19-31</t>
  </si>
  <si>
    <t>MIN-CL-F-Nin-19-31</t>
  </si>
  <si>
    <t>VIT-B7-M-Nin-31-51</t>
  </si>
  <si>
    <t>MIN-CL-M-Nin-31-51</t>
  </si>
  <si>
    <t>VIT-B7-F-Nin-31-51</t>
  </si>
  <si>
    <t>MIN-CL-F-Nin-31-51</t>
  </si>
  <si>
    <t>VIT-B7-M-Nin-51-71</t>
  </si>
  <si>
    <t>MIN-CL-M-Nin-51-71</t>
  </si>
  <si>
    <t>VIT-B7-F-Nin-51-71</t>
  </si>
  <si>
    <t>MIN-CL-F-Nin-51-71</t>
  </si>
  <si>
    <t>VIT-B7-M-Nin-71-999</t>
  </si>
  <si>
    <t>MIN-CL-M-Nin-71-999</t>
  </si>
  <si>
    <t>VIT-B7-F-Nin-71-999</t>
  </si>
  <si>
    <t>MIN-CL-F-Nin-71-999</t>
  </si>
  <si>
    <t>VIT-B7-F-Emb-14-51</t>
  </si>
  <si>
    <t>MIN-CL-F-Emb-14-51</t>
  </si>
  <si>
    <t>VIT-B7-F-Lac-14-51</t>
  </si>
  <si>
    <t>MIN-CL-F-Lac-14-51</t>
  </si>
  <si>
    <t>Campo</t>
  </si>
  <si>
    <t>Orden</t>
  </si>
  <si>
    <t>Contenido</t>
  </si>
  <si>
    <t>Fecha_revisión</t>
  </si>
  <si>
    <t>Clave_lookup</t>
  </si>
  <si>
    <t>IDENTIFICACION</t>
  </si>
  <si>
    <t>Hierro (Fe). Mineral traza. Formas dietarias principales: hierro hemo en alimentos animales y hierro no hemo en alimentos vegetales y fortificados.</t>
  </si>
  <si>
    <t>MIN-FE|IDENTIFICACION</t>
  </si>
  <si>
    <t>FUNCIONES</t>
  </si>
  <si>
    <t>• Transporte y almacenamiento de oxígeno mediante hemoglobina y mioglobina.
• Transferencia de electrones y producción de energía.
• Cofactor de enzimas implicadas en síntesis de ADN y metabolismo oxidativo.
• Apoyo al desarrollo neurológico y la función inmunitaria.</t>
  </si>
  <si>
    <t>MIN-FE|FUNCIONES</t>
  </si>
  <si>
    <t>ORGANOS_TEJIDOS</t>
  </si>
  <si>
    <t>Médula ósea, eritrocitos, músculo, hígado, bazo, sistema nervioso e intestino delgado.</t>
  </si>
  <si>
    <t>MIN-FE|ORGANOS_TEJIDOS</t>
  </si>
  <si>
    <t>IMPORTANCIA_CLINICA</t>
  </si>
  <si>
    <t>La deficiencia puede progresar desde agotamiento de depósitos hasta anemia ferropénica. La interpretación requiere considerar inflamación, pérdidas sanguíneas y etapa del ciclo vital.</t>
  </si>
  <si>
    <t>MIN-FE|IMPORTANCIA_CLINICA</t>
  </si>
  <si>
    <t>METABOLISMO</t>
  </si>
  <si>
    <t>Ingesta hemo/no hemo → absorción principalmente duodenal → transporte por transferrina → utilización eritroide o almacenamiento como ferritina/hemosiderina → reciclaje por macrófagos → pérdidas basales y sanguíneas.</t>
  </si>
  <si>
    <t>MIN-FE|METABOLISMO</t>
  </si>
  <si>
    <t>ABSORCION</t>
  </si>
  <si>
    <t>El hierro hemo se absorbe con mayor eficiencia. El hierro no hemo requiere reducción y transporte en el enterocito; la absorción se regula según depósitos y demanda.</t>
  </si>
  <si>
    <t>MIN-FE|ABSORCION</t>
  </si>
  <si>
    <t>TRANSPORTE</t>
  </si>
  <si>
    <t>La transferrina transporta hierro férrico en plasma. La ferroportina exporta hierro desde enterocitos y macrófagos; la hepcidina regula este flujo.</t>
  </si>
  <si>
    <t>MIN-FE|TRANSPORTE</t>
  </si>
  <si>
    <t>ALMACENAMIENTO</t>
  </si>
  <si>
    <t>Principalmente ferritina en hígado, bazo, médula ósea y músculo; la hemosiderina aumenta cuando los depósitos son elevados.</t>
  </si>
  <si>
    <t>MIN-FE|ALMACENAMIENTO</t>
  </si>
  <si>
    <t>EXCRECION</t>
  </si>
  <si>
    <t>No existe una vía regulada importante de excreción; se pierde por descamación, sudor, orina, tubo digestivo y sangrado.</t>
  </si>
  <si>
    <t>MIN-FE|EXCRECION</t>
  </si>
  <si>
    <t>BIODISPONIBILIDAD_MEJORA</t>
  </si>
  <si>
    <t>Vitamina C, carne/pescado/aves en la comida, mayor necesidad fisiológica y depósitos bajos mejoran la absorción del hierro no hemo.</t>
  </si>
  <si>
    <t>MIN-FE|BIODISPONIBILIDAD_MEJORA</t>
  </si>
  <si>
    <t>BIODISPONIBILIDAD_REDUCE</t>
  </si>
  <si>
    <t>Fitatos, algunos polifenoles y exceso de inhibidores en la misma comida reducen la absorción no hemo. La inflamación aumenta hepcidina y limita la disponibilidad.</t>
  </si>
  <si>
    <t>MIN-FE|BIODISPONIBILIDAD_REDUCE</t>
  </si>
  <si>
    <t>FUENTES_ALIMENTARIAS</t>
  </si>
  <si>
    <t>Hígado y carnes rojas; mariscos; lentejas y porotos; semillas; cereales fortificados. El hierro hemo y no hemo no tienen la misma biodisponibilidad.</t>
  </si>
  <si>
    <t>MIN-FE|FUENTES_ALIMENTARIAS</t>
  </si>
  <si>
    <t>DEFICIT</t>
  </si>
  <si>
    <t>Fatiga, palidez, menor rendimiento, alteración cognitiva y anemia microcítica/hipocrómica. Riesgo mayor en lactantes, adolescentes, menstruación abundante, embarazo, pérdidas digestivas y dietas con baja biodisponibilidad.</t>
  </si>
  <si>
    <t>MIN-FE|DEFICIT</t>
  </si>
  <si>
    <t>EXCESO</t>
  </si>
  <si>
    <t>La sobrecarga puede dañar hígado, corazón y otros tejidos. La toxicidad aguda por suplementos es una urgencia; la hemocromatosis altera la regulación del hierro.</t>
  </si>
  <si>
    <t>MIN-FE|EXCESO</t>
  </si>
  <si>
    <t>APLICACION_CLINICA</t>
  </si>
  <si>
    <t>Evaluación académica de anemia: integrar ingesta, hemograma, ferritina, saturación de transferrina, inflamación y posibles pérdidas; no interpretar un único dato aislado.</t>
  </si>
  <si>
    <t>MIN-FE|APLICACION_CLINICA</t>
  </si>
  <si>
    <t>PERLAS</t>
  </si>
  <si>
    <t>• Ferritina baja apoya depósitos disminuidos, pero ferritina normal/alta no excluye deficiencia con inflamación.
• Vitamina C favorece hierro no hemo.
• No asumir que todo hierro alimentario tiene igual biodisponibilidad.
• El exceso de suplemento no corrige causas de sangrado.</t>
  </si>
  <si>
    <t>MIN-FE|PERLAS</t>
  </si>
  <si>
    <t>REFERENCIAS</t>
  </si>
  <si>
    <t>1) SRC-ODS-IRON: fuente institucional principal para funciones, metabolismo, déficit, exceso e interacciones.
2) SRC-DRI-SUMMARY: referencia normativa o clínica complementaria para requerimientos e interpretación.</t>
  </si>
  <si>
    <t>MIN-FE|REFERENCIAS</t>
  </si>
  <si>
    <t>ADVERTENCIA</t>
  </si>
  <si>
    <t>Material educativo. No sustituye evaluación clínica, diagnóstico, tratamiento ni indicaciones farmacológicas.</t>
  </si>
  <si>
    <t>MIN-FE|ADVERTENCIA</t>
  </si>
  <si>
    <t>Zinc (Zn). Mineral traza presente en proteínas y enzimas; no posee un depósito corporal especializado de gran tamaño.</t>
  </si>
  <si>
    <t>MIN-ZN|IDENTIFICACION</t>
  </si>
  <si>
    <t>• Actividad catalítica de numerosas enzimas.
• Síntesis de ADN y proteínas.
• Crecimiento, desarrollo y cicatrización.
• Función inmunitaria y percepción del gusto.</t>
  </si>
  <si>
    <t>MIN-ZN|FUNCIONES</t>
  </si>
  <si>
    <t>Intestino, hígado, páncreas, piel, sistema inmunitario, músculo y hueso.</t>
  </si>
  <si>
    <t>MIN-ZN|ORGANOS_TEJIDOS</t>
  </si>
  <si>
    <t>La homeostasis depende de absorción intestinal y pérdidas. La deficiencia afecta crecimiento, inmunidad y cicatrización.</t>
  </si>
  <si>
    <t>MIN-ZN|IMPORTANCIA_CLINICA</t>
  </si>
  <si>
    <t>Ingesta → absorción en intestino delgado → transporte unido principalmente a albúmina → distribución tisular → intercambio rápido con reservas celulares → excreción sobre todo fecal.</t>
  </si>
  <si>
    <t>MIN-ZN|METABOLISMO</t>
  </si>
  <si>
    <t>La absorción ocurre en intestino delgado mediante transportadores regulados por el estado de zinc y la composición de la dieta.</t>
  </si>
  <si>
    <t>MIN-ZN|ABSORCION</t>
  </si>
  <si>
    <t>Circula unido sobre todo a albúmina y otras proteínas; entra y sale de células mediante familias de transportadores ZIP y ZnT.</t>
  </si>
  <si>
    <t>MIN-ZN|TRANSPORTE</t>
  </si>
  <si>
    <t>No hay un órgano de depósito específico; músculo y hueso contienen gran parte del zinc corporal por su masa.</t>
  </si>
  <si>
    <t>MIN-ZN|ALMACENAMIENTO</t>
  </si>
  <si>
    <t>Principalmente por heces; también orina, sudor, semen, menstruación y descamación.</t>
  </si>
  <si>
    <t>MIN-ZN|EXCRECION</t>
  </si>
  <si>
    <t>Proteínas animales y fermentación/germinación que reduzcan fitatos pueden mejorar la biodisponibilidad.</t>
  </si>
  <si>
    <t>MIN-ZN|BIODISPONIBILIDAD_MEJORA</t>
  </si>
  <si>
    <t>Fitatos reducen la absorción; dietas vegetales no planificadas pueden requerir atención a la biodisponibilidad.</t>
  </si>
  <si>
    <t>MIN-ZN|BIODISPONIBILIDAD_REDUCE</t>
  </si>
  <si>
    <t>Ostras y otros mariscos; carne bovina; aves; lácteos; legumbres, semillas y frutos secos.</t>
  </si>
  <si>
    <t>MIN-ZN|FUENTES_ALIMENTARIAS</t>
  </si>
  <si>
    <t>Retraso del crecimiento, alopecia, dermatitis, diarrea, alteración del gusto, mala cicatrización e inmunidad deteriorada. Riesgo en malabsorción, cirugía bariátrica, alcoholismo y dietas muy altas en fitatos.</t>
  </si>
  <si>
    <t>MIN-ZN|DEFICIT</t>
  </si>
  <si>
    <t>MIN-ZN|EXCESO</t>
  </si>
  <si>
    <t>En diarrea crónica, malabsorción o cicatrización deficiente, revisar ingesta, pérdidas y contexto clínico antes de atribuir los síntomas al zinc.</t>
  </si>
  <si>
    <t>MIN-ZN|APLICACION_CLINICA</t>
  </si>
  <si>
    <t>• Zinc alto en suplementos puede inducir deficiencia de cobre.
• El zinc plasmático cambia con inflamación y hora del día.
• Fitatos importan tanto como la cantidad ingerida.
• No usar zinc para todas las infecciones sin indicación.</t>
  </si>
  <si>
    <t>MIN-ZN|PERLAS</t>
  </si>
  <si>
    <t>1) SRC-ODS-ZINC: fuente institucional principal para funciones, metabolismo, déficit, exceso e interacciones.
2) SRC-DRI-SUMMARY: referencia normativa o clínica complementaria para requerimientos e interpretación.</t>
  </si>
  <si>
    <t>MIN-ZN|REFERENCIAS</t>
  </si>
  <si>
    <t>MIN-ZN|ADVERTENCIA</t>
  </si>
  <si>
    <t>Cobre (Cu). Mineral traza que alterna estados de oxidación y actúa como cofactor en cuproenzimas.</t>
  </si>
  <si>
    <t>MIN-CU|IDENTIFICACION</t>
  </si>
  <si>
    <t>• Metabolismo del hierro y formación de tejido conectivo.
• Producción de energía mitocondrial.
• Defensa antioxidante.
• Síntesis de neurotransmisores y pigmentos.</t>
  </si>
  <si>
    <t>MIN-CU|FUNCIONES</t>
  </si>
  <si>
    <t>Hígado, cerebro, corazón, riñón, tejido conectivo, sangre e intestino.</t>
  </si>
  <si>
    <t>MIN-CU|ORGANOS_TEJIDOS</t>
  </si>
  <si>
    <t>La deficiencia puede imitar trastornos hematológicos o neurológicos; el exceso se relaciona con enfermedades de acumulación como Wilson.</t>
  </si>
  <si>
    <t>MIN-CU|IMPORTANCIA_CLINICA</t>
  </si>
  <si>
    <t>Ingesta → absorción intestinal → transporte portal unido a proteínas → captación hepática → incorporación a ceruloplasmina y enzimas → excreción biliar.</t>
  </si>
  <si>
    <t>MIN-CU|METABOLISMO</t>
  </si>
  <si>
    <t>Se absorbe principalmente en intestino delgado; la absorción y exportación están reguladas por transportadores celulares.</t>
  </si>
  <si>
    <t>MIN-CU|ABSORCION</t>
  </si>
  <si>
    <t>La albúmina y otras proteínas lo transportan hacia el hígado; gran parte del cobre circulante está asociado a ceruloplasmina.</t>
  </si>
  <si>
    <t>MIN-CU|TRANSPORTE</t>
  </si>
  <si>
    <t>Hígado y otros tejidos; el almacenamiento corporal total es limitado.</t>
  </si>
  <si>
    <t>MIN-CU|ALMACENAMIENTO</t>
  </si>
  <si>
    <t>Principalmente por bilis y heces; la excreción urinaria suele ser baja.</t>
  </si>
  <si>
    <t>MIN-CU|EXCRECION</t>
  </si>
  <si>
    <t>Una dieta variada con mariscos, semillas, frutos secos, legumbres y vísceras suele aportar cobre suficiente.</t>
  </si>
  <si>
    <t>MIN-CU|BIODISPONIBILIDAD_MEJORA</t>
  </si>
  <si>
    <t>Dosis altas de zinc inducen metalotioneína intestinal y disminuyen la absorción de cobre.</t>
  </si>
  <si>
    <t>MIN-CU|BIODISPONIBILIDAD_REDUCE</t>
  </si>
  <si>
    <t>Hígado; mariscos; semillas y frutos secos; cacao; legumbres.</t>
  </si>
  <si>
    <t>MIN-CU|FUENTES_ALIMENTARIAS</t>
  </si>
  <si>
    <t>Anemia, neutropenia, alteraciones óseas, despigmentación y neuropatía/mielopatía. Riesgo con malabsorción, nutrición parenteral inadecuada o exceso crónico de zinc.</t>
  </si>
  <si>
    <t>MIN-CU|DEFICIT</t>
  </si>
  <si>
    <t>MIN-CU|EXCESO</t>
  </si>
  <si>
    <t>Ante anemia y neutropenia sin explicación, revisar cirugía gastrointestinal, malabsorción y uso de suplementos de zinc.</t>
  </si>
  <si>
    <t>MIN-CU|APLICACION_CLINICA</t>
  </si>
  <si>
    <t>• Zinc y cobre compiten de forma clínicamente relevante en suplementos.
• Ceruloplasmina aumenta con inflamación y embarazo.
• El cobre sérico aislado no siempre refleja reservas.
• La enfermedad de Wilson requiere manejo especializado.</t>
  </si>
  <si>
    <t>MIN-CU|PERLAS</t>
  </si>
  <si>
    <t>1) SRC-ODS-COPPER: fuente institucional principal para funciones, metabolismo, déficit, exceso e interacciones.
2) SRC-DRI-SUMMARY: referencia normativa o clínica complementaria para requerimientos e interpretación.</t>
  </si>
  <si>
    <t>MIN-CU|REFERENCIAS</t>
  </si>
  <si>
    <t>MIN-CU|ADVERTENCIA</t>
  </si>
  <si>
    <t>Calcio (Ca). Macromineral; la mayor parte se encuentra como hidroxiapatita en huesos y dientes.</t>
  </si>
  <si>
    <t>MIN-CA|IDENTIFICACION</t>
  </si>
  <si>
    <t>• Estructura ósea y dental.
• Contracción muscular.
• Transmisión nerviosa y señalización celular.
• Coagulación y función enzimática.</t>
  </si>
  <si>
    <t>MIN-CA|FUNCIONES</t>
  </si>
  <si>
    <t>Hueso, dientes, músculo, sistema nervioso, glándulas paratiroides, riñón e intestino.</t>
  </si>
  <si>
    <t>MIN-CA|ORGANOS_TEJIDOS</t>
  </si>
  <si>
    <t>El calcio sérico se regula estrechamente; un valor normal no confirma ingesta adecuada ni salud ósea.</t>
  </si>
  <si>
    <t>MIN-CA|IMPORTANCIA_CLINICA</t>
  </si>
  <si>
    <t>Ingesta → absorción intestinal activa y pasiva → intercambio con hueso → regulación por PTH, vitamina D y riñón → excreción fecal y urinaria.</t>
  </si>
  <si>
    <t>MIN-CA|METABOLISMO</t>
  </si>
  <si>
    <t>Ocurre sobre todo en intestino delgado. La vía activa dependiente de vitamina D es más importante con ingestas bajas; la fracción absorbida varía por dosis, edad y alimento.</t>
  </si>
  <si>
    <t>MIN-CA|ABSORCION</t>
  </si>
  <si>
    <t>Circula ionizado, unido a albúmina y complejado con aniones.</t>
  </si>
  <si>
    <t>MIN-CA|TRANSPORTE</t>
  </si>
  <si>
    <t>Aproximadamente 99% en huesos y dientes; el esqueleto actúa como reserva dinámica.</t>
  </si>
  <si>
    <t>MIN-CA|ALMACENAMIENTO</t>
  </si>
  <si>
    <t>Heces, orina y sudor; el riñón regula la reabsorción.</t>
  </si>
  <si>
    <t>MIN-CA|EXCRECION</t>
  </si>
  <si>
    <t>Vitamina D adecuada, dosis divididas cuando son altas y ciertas formas solubles favorecen absorción.</t>
  </si>
  <si>
    <t>MIN-CA|BIODISPONIBILIDAD_MEJORA</t>
  </si>
  <si>
    <t>Fitatos/oxalatos de algunos alimentos pueden reducir absorción de esa fuente; aclorhidria afecta carbonato de calcio; grandes dosis únicas se absorben peor.</t>
  </si>
  <si>
    <t>MIN-CA|BIODISPONIBILIDAD_REDUCE</t>
  </si>
  <si>
    <t>Leche, yogur y queso; sardinas o salmón con espinas; tofu preparado con calcio; bebidas fortificadas; verduras de bajo oxalato.</t>
  </si>
  <si>
    <t>MIN-CA|FUENTES_ALIMENTARIAS</t>
  </si>
  <si>
    <t>MIN-CA|DEFICIT</t>
  </si>
  <si>
    <t>MIN-CA|EXCESO</t>
  </si>
  <si>
    <t>En salud ósea, integrar calcio dietario, vitamina D, ejercicio, edad, función renal, medicamentos y riesgo de caídas.</t>
  </si>
  <si>
    <t>MIN-CA|APLICACION_CLINICA</t>
  </si>
  <si>
    <t>• Calcio sérico normal no descarta ingesta baja.
• Vitamina D facilita absorción, pero no sustituye calcio dietario.
• Revisar interacción con levotiroxina, antibióticos y bisfosfonatos.
• Priorizar alimentos y dosis apropiadas.</t>
  </si>
  <si>
    <t>MIN-CA|PERLAS</t>
  </si>
  <si>
    <t>1) SRC-ODS-CALCIUM: fuente institucional principal para funciones, metabolismo, déficit, exceso e interacciones.
2) SRC-DRI-SUMMARY: referencia normativa o clínica complementaria para requerimientos e interpretación.</t>
  </si>
  <si>
    <t>MIN-CA|REFERENCIAS</t>
  </si>
  <si>
    <t>MIN-CA|ADVERTENCIA</t>
  </si>
  <si>
    <t>Fósforo (P). Macromineral presente como fosfato inorgánico y orgánico; gran parte está en hueso.</t>
  </si>
  <si>
    <t>MIN-P|IDENTIFICACION</t>
  </si>
  <si>
    <t>• Estructura ósea y dental.
• Componente de ATP, ácidos nucleicos y fosfolípidos.
• Fosforilación y señalización celular.
• Regulación ácido–base.</t>
  </si>
  <si>
    <t>MIN-P|FUNCIONES</t>
  </si>
  <si>
    <t>Hueso, dientes, músculo, riñón, intestino y todas las células.</t>
  </si>
  <si>
    <t>MIN-P|ORGANOS_TEJIDOS</t>
  </si>
  <si>
    <t>El balance depende de intestino, hueso y riñón. En enfermedad renal puede acumularse aunque la ingesta aparente no sea extrema.</t>
  </si>
  <si>
    <t>MIN-P|IMPORTANCIA_CLINICA</t>
  </si>
  <si>
    <t>Ingesta → absorción intestinal → distribución intracelular y ósea → regulación por PTH, vitamina D y FGF23 → excreción renal.</t>
  </si>
  <si>
    <t>MIN-P|METABOLISMO</t>
  </si>
  <si>
    <t>Se absorbe eficientemente en intestino; los aditivos fosfatados suelen ser muy biodisponibles.</t>
  </si>
  <si>
    <t>MIN-P|ABSORCION</t>
  </si>
  <si>
    <t>Circula como fosfato inorgánico; la concentración sérica está sujeta a regulación renal y hormonal.</t>
  </si>
  <si>
    <t>MIN-P|TRANSPORTE</t>
  </si>
  <si>
    <t>Principalmente huesos y dientes; el resto está en tejidos blandos y líquidos.</t>
  </si>
  <si>
    <t>MIN-P|ALMACENAMIENTO</t>
  </si>
  <si>
    <t>Sobre todo renal; una parte se elimina en heces.</t>
  </si>
  <si>
    <t>MIN-P|EXCRECION</t>
  </si>
  <si>
    <t>Vitamina D aumenta absorción intestinal. Los fosfatos de aditivos y alimentos animales suelen ser más disponibles que el fósforo ligado a fitato.</t>
  </si>
  <si>
    <t>MIN-P|BIODISPONIBILIDAD_MEJORA</t>
  </si>
  <si>
    <t>Fitato reduce disponibilidad del fósforo vegetal; antiácidos con aluminio pueden unir fosfato.</t>
  </si>
  <si>
    <t>MIN-P|BIODISPONIBILIDAD_REDUCE</t>
  </si>
  <si>
    <t>Lácteos; carnes y aves; pescados; legumbres; frutos secos y alimentos con aditivos fosfatados.</t>
  </si>
  <si>
    <t>MIN-P|FUENTES_ALIMENTARIAS</t>
  </si>
  <si>
    <t>MIN-P|DEFICIT</t>
  </si>
  <si>
    <t>MIN-P|EXCESO</t>
  </si>
  <si>
    <t>En enfermedad renal crónica, diferenciar fósforo natural, aditivos fosfatados, función renal y tratamiento indicado.</t>
  </si>
  <si>
    <t>MIN-P|APLICACION_CLINICA</t>
  </si>
  <si>
    <t>• Los aditivos fosfatados pueden aportar fósforo altamente absorbible.
• El fósforo sérico varía con hora, comida y función renal.
• Dieta baja en fósforo no debe aplicarse sin contexto.
• El balance calcio–fósforo es regulado hormonalmente.</t>
  </si>
  <si>
    <t>MIN-P|PERLAS</t>
  </si>
  <si>
    <t>1) SRC-ODS-PHOSPHORUS: fuente institucional principal para funciones, metabolismo, déficit, exceso e interacciones.
2) SRC-DRI-SUMMARY: referencia normativa o clínica complementaria para requerimientos e interpretación.</t>
  </si>
  <si>
    <t>MIN-P|REFERENCIAS</t>
  </si>
  <si>
    <t>MIN-P|ADVERTENCIA</t>
  </si>
  <si>
    <t>Selenio (Se). Mineral traza incorporado como selenocisteína en selenoproteínas.</t>
  </si>
  <si>
    <t>MIN-SE|IDENTIFICACION</t>
  </si>
  <si>
    <t>• Defensa antioxidante mediante glutatión peroxidasas.
• Metabolismo de hormonas tiroideas.
• Síntesis de ADN y reproducción.
• Función inmunitaria.</t>
  </si>
  <si>
    <t>MIN-SE|FUNCIONES</t>
  </si>
  <si>
    <t>Tiroides, hígado, riñón, músculo y sistema reproductor.</t>
  </si>
  <si>
    <t>MIN-SE|ORGANOS_TEJIDOS</t>
  </si>
  <si>
    <t>Tanto la deficiencia como el exceso tienen una ventana relativamente estrecha; el contenido alimentario depende del suelo.</t>
  </si>
  <si>
    <t>MIN-SE|IMPORTANCIA_CLINICA</t>
  </si>
  <si>
    <t>Ingesta de formas orgánicas/inorgánicas → absorción intestinal → metabolismo hepático → incorporación a selenoproteínas → excreción urinaria predominante.</t>
  </si>
  <si>
    <t>MIN-SE|METABOLISMO</t>
  </si>
  <si>
    <t>La absorción suele ser alta; depende de la forma química más que de otros componentes de la comida.</t>
  </si>
  <si>
    <t>MIN-SE|ABSORCION</t>
  </si>
  <si>
    <t>Selenoproteína P transporta una parte importante; también circulan otras formas unidas a proteínas.</t>
  </si>
  <si>
    <t>MIN-SE|TRANSPORTE</t>
  </si>
  <si>
    <t>No existe un gran depósito regulado; músculo y otros tejidos contienen selenio corporal.</t>
  </si>
  <si>
    <t>MIN-SE|ALMACENAMIENTO</t>
  </si>
  <si>
    <t>Principalmente orina; también heces y aire espirado con exceso alto.</t>
  </si>
  <si>
    <t>MIN-SE|EXCRECION</t>
  </si>
  <si>
    <t>Dieta variada; fuentes concentradas deben consumirse con moderación por variabilidad del contenido.</t>
  </si>
  <si>
    <t>MIN-SE|BIODISPONIBILIDAD_MEJORA</t>
  </si>
  <si>
    <t>Malabsorción y nutrición parenteral sin aporte adecuado pueden reducir estado. No hay un inhibidor dietario único dominante como en hierro o zinc.</t>
  </si>
  <si>
    <t>MIN-SE|BIODISPONIBILIDAD_REDUCE</t>
  </si>
  <si>
    <t>Pescados y mariscos; carnes; huevos; cereales; nueces de Brasil, cuyo contenido puede variar ampliamente.</t>
  </si>
  <si>
    <t>MIN-SE|FUENTES_ALIMENTARIAS</t>
  </si>
  <si>
    <t>MIN-SE|DEFICIT</t>
  </si>
  <si>
    <t>MIN-SE|EXCESO</t>
  </si>
  <si>
    <t>Revisar suplementos múltiples y alimentos extremadamente concentrados cuando exista sospecha de exceso.</t>
  </si>
  <si>
    <t>MIN-SE|APLICACION_CLINICA</t>
  </si>
  <si>
    <t>• El contenido de selenio de un alimento puede variar por suelo.
• Más no es mejor: existe riesgo de selenosis.
• El selenio participa en metabolismo tiroideo, pero no reemplaza evaluación tiroidea.
• Evitar duplicar suplementos.</t>
  </si>
  <si>
    <t>MIN-SE|PERLAS</t>
  </si>
  <si>
    <t>1) SRC-ODS-SELENIUM: fuente institucional principal para funciones, metabolismo, déficit, exceso e interacciones.
2) SRC-DRI-SUMMARY: referencia normativa o clínica complementaria para requerimientos e interpretación.</t>
  </si>
  <si>
    <t>MIN-SE|REFERENCIAS</t>
  </si>
  <si>
    <t>MIN-SE|ADVERTENCIA</t>
  </si>
  <si>
    <t>Potasio (K). Principal catión intracelular y electrolito esencial.</t>
  </si>
  <si>
    <t>MIN-K|IDENTIFICACION</t>
  </si>
  <si>
    <t>• Potencial de membrana y transmisión nerviosa.
• Contracción muscular y ritmo cardíaco.
• Balance de líquidos y ácido–base.
• Modulación de presión arterial en el contexto dietario.</t>
  </si>
  <si>
    <t>MIN-K|FUNCIONES</t>
  </si>
  <si>
    <t>Músculo, corazón, nervios, riñón y todas las células.</t>
  </si>
  <si>
    <t>MIN-K|ORGANOS_TEJIDOS</t>
  </si>
  <si>
    <t>El potasio sérico refleja distribución y excreción, no la ingesta de forma directa. Alteraciones graves pueden ser urgencias.</t>
  </si>
  <si>
    <t>MIN-K|IMPORTANCIA_CLINICA</t>
  </si>
  <si>
    <t>Ingesta → absorción intestinal eficiente → entrada celular regulada por insulina y catecolaminas → balance renal → excreción urinaria.</t>
  </si>
  <si>
    <t>MIN-K|METABOLISMO</t>
  </si>
  <si>
    <t>Se absorbe principalmente en intestino delgado y colon; la mayoría del potasio dietario es biodisponible.</t>
  </si>
  <si>
    <t>MIN-K|ABSORCION</t>
  </si>
  <si>
    <t>Circula como ion libre; la bomba Na+/K+-ATPasa mantiene el gradiente celular.</t>
  </si>
  <si>
    <t>MIN-K|TRANSPORTE</t>
  </si>
  <si>
    <t>Principalmente dentro de células, sobre todo músculo; no hay depósito separado.</t>
  </si>
  <si>
    <t>MIN-K|ALMACENAMIENTO</t>
  </si>
  <si>
    <t>Principalmente renal; también heces y sudor.</t>
  </si>
  <si>
    <t>MIN-K|EXCRECION</t>
  </si>
  <si>
    <t>Una dieta rica en frutas, verduras, legumbres y lácteos aporta potasio junto con otros nutrientes.</t>
  </si>
  <si>
    <t>MIN-K|BIODISPONIBILIDAD_MEJORA</t>
  </si>
  <si>
    <t>Pérdidas por vómitos, diarrea, diuréticos o sudor extremo pueden disminuir potasio corporal; no es un problema de absorción dietaria habitual.</t>
  </si>
  <si>
    <t>MIN-K|BIODISPONIBILIDAD_REDUCE</t>
  </si>
  <si>
    <t>Papas; legumbres; plátano y otras frutas; yogur/leche; verduras de hoja y tomate.</t>
  </si>
  <si>
    <t>MIN-K|FUENTES_ALIMENTARIAS</t>
  </si>
  <si>
    <t>MIN-K|DEFICIT</t>
  </si>
  <si>
    <t>MIN-K|EXCESO</t>
  </si>
  <si>
    <t>Antes de recomendar aumentar potasio, revisar función renal y medicamentos como IECA, ARA-II y diuréticos ahorradores de potasio.</t>
  </si>
  <si>
    <t>MIN-K|APLICACION_CLINICA</t>
  </si>
  <si>
    <t>• Potasio sérico no mide consumo dietario.
• La función renal determina la seguridad de suplementos.
• Sustitutos de sal pueden contener potasio.
• Pérdidas gastrointestinales son causa frecuente de hipopotasemia.</t>
  </si>
  <si>
    <t>MIN-K|PERLAS</t>
  </si>
  <si>
    <t>1) SRC-ODS-POTASSIUM: fuente institucional principal para funciones, metabolismo, déficit, exceso e interacciones.
2) SRC-DRI-SUMMARY: referencia normativa o clínica complementaria para requerimientos e interpretación.</t>
  </si>
  <si>
    <t>MIN-K|REFERENCIAS</t>
  </si>
  <si>
    <t>MIN-K|ADVERTENCIA</t>
  </si>
  <si>
    <t>Magnesio (Mg). Macromineral y cofactor en cientos de reacciones enzimáticas.</t>
  </si>
  <si>
    <t>MIN-MG|IDENTIFICACION</t>
  </si>
  <si>
    <t>• Síntesis de proteínas y ácidos nucleicos.
• Función muscular y nerviosa.
• Metabolismo energético y glucosa.
• Regulación de presión arterial y estabilidad de ATP.</t>
  </si>
  <si>
    <t>MIN-MG|FUNCIONES</t>
  </si>
  <si>
    <t>Hueso, músculo, sistema nervioso, corazón, riñón e intestino.</t>
  </si>
  <si>
    <t>MIN-MG|ORGANOS_TEJIDOS</t>
  </si>
  <si>
    <t>El magnesio sérico representa una fracción pequeña del total corporal y puede permanecer normal pese a reservas reducidas.</t>
  </si>
  <si>
    <t>MIN-MG|IMPORTANCIA_CLINICA</t>
  </si>
  <si>
    <t>Ingesta → absorción intestinal pasiva y activa → intercambio con hueso y células → filtración y reabsorción renal → excreción urinaria.</t>
  </si>
  <si>
    <t>MIN-MG|METABOLISMO</t>
  </si>
  <si>
    <t>Ocurre en intestino delgado y colon; aumenta proporcionalmente cuando la ingesta es baja.</t>
  </si>
  <si>
    <t>MIN-MG|ABSORCION</t>
  </si>
  <si>
    <t>Circula ionizado, unido a proteínas o complejado; entra a células mediante transportadores específicos.</t>
  </si>
  <si>
    <t>MIN-MG|TRANSPORTE</t>
  </si>
  <si>
    <t>Aproximadamente la mitad o más en hueso; el resto en músculo y tejidos blandos.</t>
  </si>
  <si>
    <t>MIN-MG|ALMACENAMIENTO</t>
  </si>
  <si>
    <t>Principalmente por riñón, que ajusta reabsorción según estado.</t>
  </si>
  <si>
    <t>MIN-MG|EXCRECION</t>
  </si>
  <si>
    <t>Diversidad de legumbres, frutos secos, semillas, granos integrales y verduras verdes.</t>
  </si>
  <si>
    <t>MIN-MG|BIODISPONIBILIDAD_MEJORA</t>
  </si>
  <si>
    <t>Diarrea, malabsorción, alcoholismo, algunos diuréticos e inhibidores de bomba de protones pueden reducir estado.</t>
  </si>
  <si>
    <t>MIN-MG|BIODISPONIBILIDAD_REDUCE</t>
  </si>
  <si>
    <t>Semillas y frutos secos; legumbres; granos integrales; verduras verdes; cacao.</t>
  </si>
  <si>
    <t>MIN-MG|FUENTES_ALIMENTARIAS</t>
  </si>
  <si>
    <t>MIN-MG|DEFICIT</t>
  </si>
  <si>
    <t>MIN-MG|EXCESO</t>
  </si>
  <si>
    <t>En hipomagnesemia, revisar pérdidas gastrointestinales, medicamentos, alcohol y función renal, no solo la ingesta.</t>
  </si>
  <si>
    <t>MIN-MG|APLICACION_CLINICA</t>
  </si>
  <si>
    <t>• El UL se aplica al magnesio de suplementos/medicamentos, no al de alimentos.
• Magnesio sérico tiene sensibilidad limitada.
• Separar suplementos de ciertos antibióticos y bisfosfonatos.
• Función renal es clave para seguridad.</t>
  </si>
  <si>
    <t>MIN-MG|PERLAS</t>
  </si>
  <si>
    <t>1) SRC-ODS-MAGNESIUM: fuente institucional principal para funciones, metabolismo, déficit, exceso e interacciones.
2) SRC-DRI-SUMMARY: referencia normativa o clínica complementaria para requerimientos e interpretación.</t>
  </si>
  <si>
    <t>MIN-MG|REFERENCIAS</t>
  </si>
  <si>
    <t>MIN-MG|ADVERTENCIA</t>
  </si>
  <si>
    <t>Sodio (Na). Principal catión extracelular; se consume sobre todo como cloruro de sodio.</t>
  </si>
  <si>
    <t>MIN-NA|IDENTIFICACION</t>
  </si>
  <si>
    <t>• Volumen extracelular y balance hídrico.
• Potencial de membrana y transmisión nerviosa.
• Contracción muscular.
• Transporte intestinal de nutrientes.</t>
  </si>
  <si>
    <t>MIN-NA|FUNCIONES</t>
  </si>
  <si>
    <t>Líquido extracelular, riñón, sistema nervioso, músculo y sistema cardiovascular.</t>
  </si>
  <si>
    <t>MIN-NA|ORGANOS_TEJIDOS</t>
  </si>
  <si>
    <t>La concentración sérica refleja balance de agua más que consumo. NASEM 2019 estableció AI y CDRR, no EAR/RDA/UL.</t>
  </si>
  <si>
    <t>MIN-NA|IMPORTANCIA_CLINICA</t>
  </si>
  <si>
    <t>Ingesta → absorción intestinal casi completa → distribución extracelular → regulación renal y hormonal → excreción urinaria y pérdidas variables por sudor.</t>
  </si>
  <si>
    <t>MIN-NA|METABOLISMO</t>
  </si>
  <si>
    <t>Muy eficiente en intestino; acompaña agua y otros solutos.</t>
  </si>
  <si>
    <t>MIN-NA|ABSORCION</t>
  </si>
  <si>
    <t>Circula como ion libre en plasma y líquido extracelular.</t>
  </si>
  <si>
    <t>MIN-NA|TRANSPORTE</t>
  </si>
  <si>
    <t>No existe depósito clásico; parte puede asociarse a tejidos y piel, pero la regulación principal es del balance corporal y renal.</t>
  </si>
  <si>
    <t>MIN-NA|ALMACENAMIENTO</t>
  </si>
  <si>
    <t>Principalmente renal; también sudor y heces. Aldosterona, sistema renina–angiotensina y péptidos natriuréticos participan.</t>
  </si>
  <si>
    <t>MIN-NA|EXCRECION</t>
  </si>
  <si>
    <t>No suele existir problema de absorción. La adecuación se evalúa por patrón global y pérdidas extraordinarias.</t>
  </si>
  <si>
    <t>MIN-NA|BIODISPONIBILIDAD_MEJORA</t>
  </si>
  <si>
    <t>Pérdidas por sudor extremo, vómitos/diarrea o diuréticos pueden alterar balance; beber exceso de agua también puede producir hiponatremia.</t>
  </si>
  <si>
    <t>MIN-NA|BIODISPONIBILIDAD_REDUCE</t>
  </si>
  <si>
    <t>Sal de mesa; panes; embutidos; quesos; sopas, salsas, snacks y otros productos procesados.</t>
  </si>
  <si>
    <t>MIN-NA|FUENTES_ALIMENTARIAS</t>
  </si>
  <si>
    <t>MIN-NA|DEFICIT</t>
  </si>
  <si>
    <t>MIN-NA|EXCESO</t>
  </si>
  <si>
    <t>Evaluar sodio dietario mediante alimentos procesados, sal añadida y, cuando corresponde, excreción urinaria; no inferir ingesta desde sodio sérico.</t>
  </si>
  <si>
    <t>MIN-NA|APLICACION_CLINICA</t>
  </si>
  <si>
    <t>• Sodio sérico no equivale a consumo de sal.
• DRI 2019 usa AI y CDRR, no UL.
• La mayor parte proviene de alimentos procesados y sal añadida.
• Deportistas no deben usar recomendaciones generales sin estimar pérdidas y contexto.</t>
  </si>
  <si>
    <t>MIN-NA|PERLAS</t>
  </si>
  <si>
    <t>1) SRC-NASEM-SODIUM-2019: fuente institucional principal para funciones, metabolismo, déficit, exceso e interacciones.
2) SRC-DRI-SUMMARY: referencia normativa o clínica complementaria para requerimientos e interpretación.</t>
  </si>
  <si>
    <t>MIN-NA|REFERENCIAS</t>
  </si>
  <si>
    <t>MIN-NA|ADVERTENCIA</t>
  </si>
  <si>
    <t>Cloruro (Cl⁻). Principal anión extracelular; suele consumirse junto con sodio como sal.</t>
  </si>
  <si>
    <t>MIN-CL|IDENTIFICACION</t>
  </si>
  <si>
    <t>• Equilibrio osmótico y electroneutralidad.
• Balance ácido–base.
• Formación de ácido clorhídrico gástrico.
• Transporte de CO₂ mediante intercambio cloruro–bicarbonato.</t>
  </si>
  <si>
    <t>MIN-CL|FUNCIONES</t>
  </si>
  <si>
    <t>Plasma, líquido extracelular, estómago, eritrocitos y riñón.</t>
  </si>
  <si>
    <t>MIN-CL|ORGANOS_TEJIDOS</t>
  </si>
  <si>
    <t>El cloruro sérico se interpreta junto con sodio, bicarbonato, hidratación y función renal; no es un marcador directo de ingesta.</t>
  </si>
  <si>
    <t>MIN-CL|IMPORTANCIA_CLINICA</t>
  </si>
  <si>
    <t>Ingesta → absorción intestinal → distribución extracelular → intercambio con bicarbonato → regulación renal → excreción urinaria y pérdidas gastrointestinales/sudor.</t>
  </si>
  <si>
    <t>MIN-CL|METABOLISMO</t>
  </si>
  <si>
    <t>Se absorbe eficientemente en intestino, asociado a sodio y otros cationes.</t>
  </si>
  <si>
    <t>MIN-CL|ABSORCION</t>
  </si>
  <si>
    <t>Circula como anión libre; participa en intercambiadores y canales celulares.</t>
  </si>
  <si>
    <t>MIN-CL|TRANSPORTE</t>
  </si>
  <si>
    <t>No existe depósito separado; la mayor parte está en líquido extracelular.</t>
  </si>
  <si>
    <t>MIN-CL|ALMACENAMIENTO</t>
  </si>
  <si>
    <t>Principalmente renal; también sudor y tubo digestivo.</t>
  </si>
  <si>
    <t>MIN-CL|EXCRECION</t>
  </si>
  <si>
    <t>No suele requerir facilitadores de absorción; una dieta habitual aporta cloruro principalmente como sal.</t>
  </si>
  <si>
    <t>MIN-CL|BIODISPONIBILIDAD_MEJORA</t>
  </si>
  <si>
    <t>Vómitos prolongados, aspiración gástrica, diarrea, diuréticos y sudor intenso pueden aumentar pérdidas.</t>
  </si>
  <si>
    <t>MIN-CL|BIODISPONIBILIDAD_REDUCE</t>
  </si>
  <si>
    <t>Sal de mesa; panes; quesos; carnes procesadas; sopas, salsas y alimentos salados.</t>
  </si>
  <si>
    <t>MIN-CL|FUENTES_ALIMENTARIAS</t>
  </si>
  <si>
    <t>MIN-CL|DEFICIT</t>
  </si>
  <si>
    <t>MIN-CL|EXCESO</t>
  </si>
  <si>
    <t>Interpretar cloruro en panel de electrolitos junto con bicarbonato, sodio, estado de volumen y causa de pérdidas.</t>
  </si>
  <si>
    <t>MIN-CL|APLICACION_CLINICA</t>
  </si>
  <si>
    <t>• Debe llamarse cloruro, no cloro elemental.
• Cloruro sérico no mide ingesta.
• Vómitos prolongados pueden causar pérdida de cloruro y alcalosis.
• La fuente dietaria principal es NaCl.</t>
  </si>
  <si>
    <t>MIN-CL|PERLAS</t>
  </si>
  <si>
    <t>1) SRC-DRI-CHLORIDE-2005: fuente institucional principal para funciones, metabolismo, déficit, exceso e interacciones.
2) SRC-NCBI-CHLORIDE: referencia normativa o clínica complementaria para requerimientos e interpretación.</t>
  </si>
  <si>
    <t>MIN-CL|REFERENCIAS</t>
  </si>
  <si>
    <t>MIN-CL|ADVERTENCIA</t>
  </si>
  <si>
    <t>Vitamina A. Liposoluble. Incluye retinol y ésteres de retinilo preformados; carotenoides provitamina A como beta-caroteno.</t>
  </si>
  <si>
    <t>VIT-A|IDENTIFICACION</t>
  </si>
  <si>
    <t>• Visión, especialmente adaptación a oscuridad.
• Diferenciación epitelial y expresión génica.
• Función inmunitaria.
• Crecimiento, reproducción y desarrollo.</t>
  </si>
  <si>
    <t>VIT-A|FUNCIONES</t>
  </si>
  <si>
    <t>Retina, hígado, piel, mucosas, sistema inmunitario y tejidos reproductivos.</t>
  </si>
  <si>
    <t>VIT-A|ORGANOS_TEJIDOS</t>
  </si>
  <si>
    <t>La deficiencia afecta visión y epitelios. El exceso de vitamina A preformada es tóxico y teratogénico; los carotenoides no se comportan igual.</t>
  </si>
  <si>
    <t>VIT-A|IMPORTANCIA_CLINICA</t>
  </si>
  <si>
    <t>Ingesta → incorporación en micelas → absorción intestinal → quilomicrones → almacenamiento hepático → transporte por proteína fijadora de retinol → acción nuclear/visual → excreción biliar y urinaria de metabolitos.</t>
  </si>
  <si>
    <t>VIT-A|METABOLISMO</t>
  </si>
  <si>
    <t>Requiere digestión de grasas y formación de micelas; los ésteres se hidrolizan y los carotenoides se convierten parcialmente a retinol.</t>
  </si>
  <si>
    <t>VIT-A|ABSORCION</t>
  </si>
  <si>
    <t>Inicialmente en quilomicrones; desde hígado, retinol unido a RBP y transtiretina.</t>
  </si>
  <si>
    <t>VIT-A|TRANSPORTE</t>
  </si>
  <si>
    <t>Principalmente en hígado como ésteres de retinilo.</t>
  </si>
  <si>
    <t>VIT-A|ALMACENAMIENTO</t>
  </si>
  <si>
    <t>Metabolitos por bilis, heces y orina.</t>
  </si>
  <si>
    <t>VIT-A|EXCRECION</t>
  </si>
  <si>
    <t>Grasa dietaria suficiente, cocción/triturado de vegetales y estado adecuado de zinc favorecen utilización.</t>
  </si>
  <si>
    <t>VIT-A|BIODISPONIBILIDAD_MEJORA</t>
  </si>
  <si>
    <t>Malabsorción de grasas, enfermedad hepática y algunos fármacos que reducen absorción de lípidos.</t>
  </si>
  <si>
    <t>VIT-A|BIODISPONIBILIDAD_REDUCE</t>
  </si>
  <si>
    <t>Hígado; lácteos y huevos; zanahoria; camote/zapallo; espinaca y otras hojas verdes.</t>
  </si>
  <si>
    <t>VIT-A|FUENTES_ALIMENTARIAS</t>
  </si>
  <si>
    <t>VIT-A|DEFICIT</t>
  </si>
  <si>
    <t>Toxicidad aguda o crónica por retinol: cefalea, alteraciones hepáticas, óseas y cutáneas; riesgo teratogénico en embarazo. Beta-caroteno puede causar carotenodermia sin toxicidad retinoide equivalente.</t>
  </si>
  <si>
    <t>VIT-A|EXCESO</t>
  </si>
  <si>
    <t>En embarazo, distinguir vitamina A preformada de carotenoides y evitar duplicación de suplementos sin indicación.</t>
  </si>
  <si>
    <t>VIT-A|APLICACION_CLINICA</t>
  </si>
  <si>
    <t>• Retinol y beta-caroteno no tienen la misma toxicidad.
• El hígado es el principal depósito.
• La malabsorción de grasas aumenta riesgo.
• Embarazo requiere especial precaución con retinoides y suplementos.</t>
  </si>
  <si>
    <t>VIT-A|PERLAS</t>
  </si>
  <si>
    <t>1) SRC-ODS-VITA: fuente institucional principal para funciones, metabolismo, déficit, exceso e interacciones.
2) SRC-DRI-SUMMARY: referencia normativa o clínica complementaria para requerimientos e interpretación.</t>
  </si>
  <si>
    <t>VIT-A|REFERENCIAS</t>
  </si>
  <si>
    <t>VIT-A|ADVERTENCIA</t>
  </si>
  <si>
    <t>Vitamina D. Liposoluble. Formas principales: D2 (ergocalciferol) y D3 (colecalciferol); 25(OH)D es la forma circulante usada para evaluar estado.</t>
  </si>
  <si>
    <t>VIT-D|IDENTIFICACION</t>
  </si>
  <si>
    <t>• Favorece absorción de calcio y fósforo.
• Mineralización y remodelado óseo.
• Función muscular.
• Regulación génica e inmunitaria.</t>
  </si>
  <si>
    <t>VIT-D|FUNCIONES</t>
  </si>
  <si>
    <t>Piel, hígado, riñón, intestino, hueso, músculo y sistema inmunitario.</t>
  </si>
  <si>
    <t>VIT-D|ORGANOS_TEJIDOS</t>
  </si>
  <si>
    <t>El estado depende de síntesis cutánea, dieta, absorción y metabolismo. La 25(OH)D es el biomarcador principal; la 1,25(OH)₂D no es prueba rutinaria de reservas.</t>
  </si>
  <si>
    <t>VIT-D|IMPORTANCIA_CLINICA</t>
  </si>
  <si>
    <t>Síntesis cutánea o ingesta → transporte por DBP/quilomicrones → 25-hidroxilación hepática → 1α-hidroxilación renal y extrarrenal → acción por receptor VDR → catabolismo.</t>
  </si>
  <si>
    <t>VIT-D|METABOLISMO</t>
  </si>
  <si>
    <t>Se absorbe con grasa en intestino y se incorpora en quilomicrones; puede absorberse también sin una comida muy grasa, pero la malabsorción lipídica reduce disponibilidad.</t>
  </si>
  <si>
    <t>VIT-D|ABSORCION</t>
  </si>
  <si>
    <t>Principalmente unida a proteína fijadora de vitamina D (DBP).</t>
  </si>
  <si>
    <t>VIT-D|TRANSPORTE</t>
  </si>
  <si>
    <t>Tejido adiposo y músculo; reservas variables.</t>
  </si>
  <si>
    <t>VIT-D|ALMACENAMIENTO</t>
  </si>
  <si>
    <t>Metabolitos principalmente por bilis/heces; poca excreción urinaria intacta.</t>
  </si>
  <si>
    <t>VIT-D|EXCRECION</t>
  </si>
  <si>
    <t>Exposición solar segura y contextual, alimentos fortificados y grasa dietaria adecuada; la absorción depende del estado gastrointestinal.</t>
  </si>
  <si>
    <t>VIT-D|BIODISPONIBILIDAD_MEJORA</t>
  </si>
  <si>
    <t>Malabsorción de grasas, obesidad por secuestro/distribución, enfermedad hepática o renal y algunos medicamentos.</t>
  </si>
  <si>
    <t>VIT-D|BIODISPONIBILIDAD_REDUCE</t>
  </si>
  <si>
    <t>Pescados grasos; aceite de hígado de pescado; alimentos fortificados; yema de huevo; hongos expuestos a UV.</t>
  </si>
  <si>
    <t>VIT-D|FUENTES_ALIMENTARIAS</t>
  </si>
  <si>
    <t>VIT-D|DEFICIT</t>
  </si>
  <si>
    <t>VIT-D|EXCESO</t>
  </si>
  <si>
    <t>Interpretar 25(OH)D con método de laboratorio, estación, riesgo óseo, malabsorción, función renal y tratamiento.</t>
  </si>
  <si>
    <t>VIT-D|APLICACION_CLINICA</t>
  </si>
  <si>
    <t>• 25(OH)D evalúa estado; 1,25(OH)₂D no refleja reservas habituales.
• Toxicidad suele ser por suplementos, no por sol.
• Vitamina D y calcio actúan de forma coordinada.
• No existe un umbral único universal para todos los desenlaces.</t>
  </si>
  <si>
    <t>VIT-D|PERLAS</t>
  </si>
  <si>
    <t>1) SRC-ODS-VITD: fuente institucional principal para funciones, metabolismo, déficit, exceso e interacciones.
2) SRC-DRI-SUMMARY: referencia normativa o clínica complementaria para requerimientos e interpretación.</t>
  </si>
  <si>
    <t>VIT-D|REFERENCIAS</t>
  </si>
  <si>
    <t>VIT-D|ADVERTENCIA</t>
  </si>
  <si>
    <t>Vitamina E. Liposoluble. Ocho formas naturales; el α-tocoferol es la forma mantenida preferentemente en plasma y usada para requerimientos.</t>
  </si>
  <si>
    <t>VIT-E|IDENTIFICACION</t>
  </si>
  <si>
    <t>• Antioxidante liposoluble de membranas.
• Protección de ácidos grasos poliinsaturados.
• Modulación de señalización y expresión génica.
• Apoyo a función inmunitaria.</t>
  </si>
  <si>
    <t>VIT-E|FUNCIONES</t>
  </si>
  <si>
    <t>Membranas celulares, tejido adiposo, hígado, sistema nervioso y eritrocitos.</t>
  </si>
  <si>
    <t>VIT-E|ORGANOS_TEJIDOS</t>
  </si>
  <si>
    <t>La deficiencia es rara sin malabsorción de grasa o trastornos genéticos. Dosis altas pueden afectar coagulación.</t>
  </si>
  <si>
    <t>VIT-E|IMPORTANCIA_CLINICA</t>
  </si>
  <si>
    <t>Ingesta → micelas y absorción intestinal → quilomicrones → hígado → selección de α-tocoferol por α-TTP → lipoproteínas → catabolismo y excreción.</t>
  </si>
  <si>
    <t>VIT-E|METABOLISMO</t>
  </si>
  <si>
    <t>Depende de digestión y absorción de grasas; se incorpora en quilomicrones.</t>
  </si>
  <si>
    <t>VIT-E|ABSORCION</t>
  </si>
  <si>
    <t>En lipoproteínas plasmáticas; el hígado discrimina formas mediante α-TTP.</t>
  </si>
  <si>
    <t>VIT-E|TRANSPORTE</t>
  </si>
  <si>
    <t>Principalmente tejido adiposo; también músculo e hígado.</t>
  </si>
  <si>
    <t>VIT-E|ALMACENAMIENTO</t>
  </si>
  <si>
    <t>Metabolitos por bilis/heces y orina.</t>
  </si>
  <si>
    <t>VIT-E|EXCRECION</t>
  </si>
  <si>
    <t>Grasa dietaria y función pancreatobiliar adecuadas.</t>
  </si>
  <si>
    <t>VIT-E|BIODISPONIBILIDAD_MEJORA</t>
  </si>
  <si>
    <t>Malabsorción de grasas, abetalipoproteinemia y algunos trastornos genéticos.</t>
  </si>
  <si>
    <t>VIT-E|BIODISPONIBILIDAD_REDUCE</t>
  </si>
  <si>
    <t>Aceites vegetales; almendras; semillas de maravilla; palta; espinaca y otras verduras.</t>
  </si>
  <si>
    <t>VIT-E|FUENTES_ALIMENTARIAS</t>
  </si>
  <si>
    <t>VIT-E|DEFICIT</t>
  </si>
  <si>
    <t>VIT-E|EXCESO</t>
  </si>
  <si>
    <t>En trastornos de malabsorción lipídica o enfermedades genéticas, evaluar vitamina E ajustada por lípidos y manejo especializado.</t>
  </si>
  <si>
    <t>VIT-E|APLICACION_CLINICA</t>
  </si>
  <si>
    <t>• Requerimientos se expresan como α-tocoferol.
• La concentración sérica depende de lípidos circulantes.
• Dosis altas pueden aumentar sangrado.
• Deficiencia dietaria aislada es poco común.</t>
  </si>
  <si>
    <t>VIT-E|PERLAS</t>
  </si>
  <si>
    <t>1) SRC-ODS-VITE: fuente institucional principal para funciones, metabolismo, déficit, exceso e interacciones.
2) SRC-DRI-SUMMARY: referencia normativa o clínica complementaria para requerimientos e interpretación.</t>
  </si>
  <si>
    <t>VIT-E|REFERENCIAS</t>
  </si>
  <si>
    <t>VIT-E|ADVERTENCIA</t>
  </si>
  <si>
    <t>Vitamina K. Liposoluble. K1 (filoquinona) predomina en vegetales; K2 agrupa menaquinonas de alimentos y metabolismo microbiano.</t>
  </si>
  <si>
    <t>VIT-K|IDENTIFICACION</t>
  </si>
  <si>
    <t>• γ-carboxilación de factores de coagulación.
• Activación de proteínas reguladoras de coagulación.
• Carboxilación de osteocalcina y proteínas de matriz.
• Participación en metabolismo óseo.</t>
  </si>
  <si>
    <t>VIT-K|FUNCIONES</t>
  </si>
  <si>
    <t>Hígado, hueso, vasos sanguíneos e intestino.</t>
  </si>
  <si>
    <t>VIT-K|ORGANOS_TEJIDOS</t>
  </si>
  <si>
    <t>La deficiencia clínicamente importante altera coagulación. La constancia de ingesta es esencial en personas que usan antagonistas de vitamina K.</t>
  </si>
  <si>
    <t>VIT-K|IMPORTANCIA_CLINICA</t>
  </si>
  <si>
    <t>Ingesta → micelas y absorción intestinal → quilomicrones → captación hepática y tisular → ciclo de vitamina K → excreción biliar/urinaria de metabolitos.</t>
  </si>
  <si>
    <t>VIT-K|METABOLISMO</t>
  </si>
  <si>
    <t>Requiere grasa y bilis; la absorción de K1 desde vegetales es variable.</t>
  </si>
  <si>
    <t>VIT-K|ABSORCION</t>
  </si>
  <si>
    <t>Quilomicrones y otras lipoproteínas.</t>
  </si>
  <si>
    <t>VIT-K|TRANSPORTE</t>
  </si>
  <si>
    <t>Reservas corporales relativamente pequeñas; hígado y tejidos.</t>
  </si>
  <si>
    <t>VIT-K|ALMACENAMIENTO</t>
  </si>
  <si>
    <t>Metabolitos en bilis, heces y orina.</t>
  </si>
  <si>
    <t>VIT-K|EXCRECION</t>
  </si>
  <si>
    <t>Consumo con grasa y función hepatobiliar adecuada.</t>
  </si>
  <si>
    <t>VIT-K|BIODISPONIBILIDAD_MEJORA</t>
  </si>
  <si>
    <t>Malabsorción de grasas, obstrucción biliar, algunos antibióticos prolongados y secuestradores de ácidos biliares.</t>
  </si>
  <si>
    <t>VIT-K|BIODISPONIBILIDAD_REDUCE</t>
  </si>
  <si>
    <t>Espinaca y hojas verdes; brócoli; repollo; aceites de soya/canola; alimentos fermentados con menaquinonas.</t>
  </si>
  <si>
    <t>VIT-K|FUENTES_ALIMENTARIAS</t>
  </si>
  <si>
    <t>VIT-K|DEFICIT</t>
  </si>
  <si>
    <t>VIT-K|EXCESO</t>
  </si>
  <si>
    <t>Con warfarina, mantener ingesta relativamente consistente y seguir el plan del equipo tratante; no eliminar verduras automáticamente.</t>
  </si>
  <si>
    <t>VIT-K|APLICACION_CLINICA</t>
  </si>
  <si>
    <t>• Warfarina exige consistencia, no necesariamente ausencia de vitamina K.
• Recién nacidos requieren profilaxis según protocolos.
• PT/INR cambia en deficiencia clínica, pero no detecta bien cambios leves.
• Es liposoluble y depende de bilis.</t>
  </si>
  <si>
    <t>VIT-K|PERLAS</t>
  </si>
  <si>
    <t>1) SRC-ODS-VITK: fuente institucional principal para funciones, metabolismo, déficit, exceso e interacciones.
2) SRC-DRI-SUMMARY: referencia normativa o clínica complementaria para requerimientos e interpretación.</t>
  </si>
  <si>
    <t>VIT-K|REFERENCIAS</t>
  </si>
  <si>
    <t>VIT-K|ADVERTENCIA</t>
  </si>
  <si>
    <t>Vitamina C (ácido ascórbico/dehidroascórbico). Hidrosoluble y antioxidante.</t>
  </si>
  <si>
    <t>VIT-C|IDENTIFICACION</t>
  </si>
  <si>
    <t>• Cofactor en síntesis de colágeno.
• Antioxidante y regeneración de vitamina E.
• Síntesis de carnitina y catecolaminas.
• Mejora absorción de hierro no hemo.</t>
  </si>
  <si>
    <t>VIT-C|FUNCIONES</t>
  </si>
  <si>
    <t>Tejido conectivo, piel, vasos, suprarrenales, leucocitos e intestino.</t>
  </si>
  <si>
    <t>VIT-C|ORGANOS_TEJIDOS</t>
  </si>
  <si>
    <t>La deficiencia grave causa escorbuto. Las necesidades aumentan en fumadores; el exceso suplementario puede causar efectos gastrointestinales.</t>
  </si>
  <si>
    <t>VIT-C|IMPORTANCIA_CLINICA</t>
  </si>
  <si>
    <t>Ingesta → absorción intestinal saturable → transporte plasmático → captación celular → reciclaje redox → excreción urinaria cuando se supera el umbral renal.</t>
  </si>
  <si>
    <t>VIT-C|METABOLISMO</t>
  </si>
  <si>
    <t>Transportadores dependientes de sodio absorben ascorbato; la fracción absorbida disminuye con dosis orales altas.</t>
  </si>
  <si>
    <t>VIT-C|ABSORCION</t>
  </si>
  <si>
    <t>Circula principalmente como ascorbato libre; transportadores celulares concentran vitamina C en tejidos.</t>
  </si>
  <si>
    <t>VIT-C|TRANSPORTE</t>
  </si>
  <si>
    <t>Reservas limitadas, con concentraciones altas en suprarrenales, hipófisis, cerebro y leucocitos.</t>
  </si>
  <si>
    <t>VIT-C|ALMACENAMIENTO</t>
  </si>
  <si>
    <t>Orina como ascorbato y metabolitos; aumenta con ingestas elevadas.</t>
  </si>
  <si>
    <t>VIT-C|EXCRECION</t>
  </si>
  <si>
    <t>Frutas y verduras frescas; combinar con fuentes de hierro no hemo.</t>
  </si>
  <si>
    <t>VIT-C|BIODISPONIBILIDAD_MEJORA</t>
  </si>
  <si>
    <t>Calor prolongado, almacenamiento, agua de cocción y tabaquismo reducen aporte o estado.</t>
  </si>
  <si>
    <t>VIT-C|BIODISPONIBILIDAD_REDUCE</t>
  </si>
  <si>
    <t>Cítricos; kiwi; pimentón; frutillas; brócoli y otras frutas/verduras frescas.</t>
  </si>
  <si>
    <t>VIT-C|FUENTES_ALIMENTARIAS</t>
  </si>
  <si>
    <t>VIT-C|DEFICIT</t>
  </si>
  <si>
    <t>VIT-C|EXCESO</t>
  </si>
  <si>
    <t>En dieta muy restrictiva, alcoholismo o inseguridad alimentaria, revisar consumo de frutas/verduras y signos de tejido conectivo.</t>
  </si>
  <si>
    <t>VIT-C|APLICACION_CLINICA</t>
  </si>
  <si>
    <t>• Facilita hierro no hemo.
• La absorción se satura con dosis altas.
• Cocción y almacenamiento reducen contenido.
• Fumadores tienen requerimiento mayor en DRI.</t>
  </si>
  <si>
    <t>VIT-C|PERLAS</t>
  </si>
  <si>
    <t>1) SRC-ODS-VITC: fuente institucional principal para funciones, metabolismo, déficit, exceso e interacciones.
2) SRC-DRI-SUMMARY: referencia normativa o clínica complementaria para requerimientos e interpretación.</t>
  </si>
  <si>
    <t>VIT-C|REFERENCIAS</t>
  </si>
  <si>
    <t>VIT-C|ADVERTENCIA</t>
  </si>
  <si>
    <t>Tiamina (vitamina B1). Hidrosoluble. Forma coenzimática principal: tiamina pirofosfato/difosfato (TPP/TDP).</t>
  </si>
  <si>
    <t>VIT-B1|IDENTIFICACION</t>
  </si>
  <si>
    <t>• Descarboxilación oxidativa de carbohidratos.
• Función de transcetolasa en vía de pentosas.
• Producción de energía.
• Función nerviosa.</t>
  </si>
  <si>
    <t>VIT-B1|FUNCIONES</t>
  </si>
  <si>
    <t>Cerebro, nervios periféricos, corazón, músculo e hígado.</t>
  </si>
  <si>
    <t>VIT-B1|ORGANOS_TEJIDOS</t>
  </si>
  <si>
    <t>Las reservas son pequeñas y el déficit puede aparecer rápidamente con alcoholismo, inanición o vómitos prolongados.</t>
  </si>
  <si>
    <t>VIT-B1|IMPORTANCIA_CLINICA</t>
  </si>
  <si>
    <t>Ingesta → liberación de formas fosforiladas → absorción intestinal → fosforilación a TDP → uso enzimático → desfosforilación y excreción urinaria.</t>
  </si>
  <si>
    <t>VIT-B1|METABOLISMO</t>
  </si>
  <si>
    <t>Transporte activo a dosis fisiológicas y difusión pasiva a dosis altas; el alcohol interfiere con absorción y utilización.</t>
  </si>
  <si>
    <t>VIT-B1|ABSORCION</t>
  </si>
  <si>
    <t>Circula libre y fosforilada; los eritrocitos contienen TDP.</t>
  </si>
  <si>
    <t>VIT-B1|TRANSPORTE</t>
  </si>
  <si>
    <t>Reservas limitadas en hígado, corazón, riñón, músculo y cerebro.</t>
  </si>
  <si>
    <t>VIT-B1|ALMACENAMIENTO</t>
  </si>
  <si>
    <t>Principalmente orina; aumenta cuando los tejidos están saturados.</t>
  </si>
  <si>
    <t>VIT-B1|EXCRECION</t>
  </si>
  <si>
    <t>Ingesta regular de granos enriquecidos/integrales, legumbres, carne de cerdo y semillas.</t>
  </si>
  <si>
    <t>VIT-B1|BIODISPONIBILIDAD_MEJORA</t>
  </si>
  <si>
    <t>Alcohol, malnutrición, vómitos persistentes, cirugía bariátrica y pérdidas con algunos tratamientos.</t>
  </si>
  <si>
    <t>VIT-B1|BIODISPONIBILIDAD_REDUCE</t>
  </si>
  <si>
    <t>Carne de cerdo; cereales integrales o enriquecidos; legumbres; semillas; frutos secos.</t>
  </si>
  <si>
    <t>VIT-B1|FUENTES_ALIMENTARIAS</t>
  </si>
  <si>
    <t>VIT-B1|DEFICIT</t>
  </si>
  <si>
    <t>VIT-B1|EXCESO</t>
  </si>
  <si>
    <t>En riesgo de realimentación o alcoholismo, la deficiencia es una urgencia clínica y requiere protocolos médicos, no solo corrección dietaria.</t>
  </si>
  <si>
    <t>VIT-B1|APLICACION_CLINICA</t>
  </si>
  <si>
    <t>• Reservas pequeñas: el déficit puede progresar rápido.
• Alcohol afecta absorción y utilización.
• Wernicke es una emergencia.
• La ingesta debe ser regular.</t>
  </si>
  <si>
    <t>VIT-B1|PERLAS</t>
  </si>
  <si>
    <t>1) SRC-ODS-B1: fuente institucional principal para funciones, metabolismo, déficit, exceso e interacciones.
2) SRC-DRI-SUMMARY: referencia normativa o clínica complementaria para requerimientos e interpretación.</t>
  </si>
  <si>
    <t>VIT-B1|REFERENCIAS</t>
  </si>
  <si>
    <t>VIT-B1|ADVERTENCIA</t>
  </si>
  <si>
    <t>Riboflavina (vitamina B2). Hidrosoluble. Precursor de FMN y FAD.</t>
  </si>
  <si>
    <t>VIT-B2|IDENTIFICACION</t>
  </si>
  <si>
    <t>• Reacciones de óxido-reducción.
• Metabolismo energético de carbohidratos, grasas y proteínas.
• Metabolismo de otras vitaminas.
• Mantenimiento de piel y mucosas.</t>
  </si>
  <si>
    <t>VIT-B2|FUNCIONES</t>
  </si>
  <si>
    <t>Todas las células; hígado, intestino, piel, mucosa oral y eritrocitos.</t>
  </si>
  <si>
    <t>VIT-B2|ORGANOS_TEJIDOS</t>
  </si>
  <si>
    <t>La deficiencia suele coexistir con otras carencias y afecta tejidos de recambio rápido.</t>
  </si>
  <si>
    <t>VIT-B2|IMPORTANCIA_CLINICA</t>
  </si>
  <si>
    <t>Ingesta de flavoproteínas → liberación digestiva → absorción intestinal → conversión a FMN/FAD → unión a enzimas → catabolismo y excreción urinaria.</t>
  </si>
  <si>
    <t>VIT-B2|METABOLISMO</t>
  </si>
  <si>
    <t>Principalmente en intestino delgado proximal mediante transporte saturable; requiere liberación de las coenzimas alimentarias.</t>
  </si>
  <si>
    <t>VIT-B2|ABSORCION</t>
  </si>
  <si>
    <t>Circula unida a proteínas y como riboflavina; se convierte intracelularmente en FMN/FAD.</t>
  </si>
  <si>
    <t>VIT-B2|TRANSPORTE</t>
  </si>
  <si>
    <t>Reservas limitadas, principalmente hígado y otros tejidos.</t>
  </si>
  <si>
    <t>VIT-B2|ALMACENAMIENTO</t>
  </si>
  <si>
    <t>Orina; el exceso puede producir color amarillo intenso sin indicar toxicidad.</t>
  </si>
  <si>
    <t>VIT-B2|EXCRECION</t>
  </si>
  <si>
    <t>Lácteos, huevos, carnes, alimentos enriquecidos y verduras; mantener alimentos protegidos de la luz.</t>
  </si>
  <si>
    <t>VIT-B2|BIODISPONIBILIDAD_MEJORA</t>
  </si>
  <si>
    <t>La luz destruye riboflavina en alimentos; alcohol y dietas restrictivas elevan riesgo.</t>
  </si>
  <si>
    <t>VIT-B2|BIODISPONIBILIDAD_REDUCE</t>
  </si>
  <si>
    <t>Leche y yogur; huevos; carnes; alimentos enriquecidos; almendras y hongos.</t>
  </si>
  <si>
    <t>VIT-B2|FUENTES_ALIMENTARIAS</t>
  </si>
  <si>
    <t>VIT-B2|DEFICIT</t>
  </si>
  <si>
    <t>VIT-B2|EXCESO</t>
  </si>
  <si>
    <t>En lesiones orales inespecíficas, valorar dieta completa y otras deficiencias, no asumir B2 como única causa.</t>
  </si>
  <si>
    <t>VIT-B2|APLICACION_CLINICA</t>
  </si>
  <si>
    <t>• La luz degrada riboflavina.
• FMN y FAD son formas coenzimáticas.
• Orina amarilla tras suplemento no significa daño.
• La deficiencia aislada es poco frecuente.</t>
  </si>
  <si>
    <t>VIT-B2|PERLAS</t>
  </si>
  <si>
    <t>1) SRC-ODS-B2: fuente institucional principal para funciones, metabolismo, déficit, exceso e interacciones.
2) SRC-DRI-SUMMARY: referencia normativa o clínica complementaria para requerimientos e interpretación.</t>
  </si>
  <si>
    <t>VIT-B2|REFERENCIAS</t>
  </si>
  <si>
    <t>VIT-B2|ADVERTENCIA</t>
  </si>
  <si>
    <t>Niacina (vitamina B3). Incluye ácido nicotínico y nicotinamida; se expresa como equivalentes de niacina (NE). El triptófano puede contribuir.</t>
  </si>
  <si>
    <t>VIT-B3|IDENTIFICACION</t>
  </si>
  <si>
    <t>• Formación de NAD y NADP.
• Metabolismo energético y reacciones redox.
• Reparación de ADN y señalización.
• Síntesis de ácidos grasos y esteroides.</t>
  </si>
  <si>
    <t>VIT-B3|FUNCIONES</t>
  </si>
  <si>
    <t>Todas las células; hígado, piel, sistema nervioso y tubo digestivo.</t>
  </si>
  <si>
    <t>VIT-B3|ORGANOS_TEJIDOS</t>
  </si>
  <si>
    <t>La deficiencia grave causa pelagra. La toxicidad se asocia a dosis farmacológicas, no al consumo habitual de alimentos.</t>
  </si>
  <si>
    <t>VIT-B3|IMPORTANCIA_CLINICA</t>
  </si>
  <si>
    <t>Ingesta o síntesis desde triptófano → absorción intestinal → conversión a NAD/NADP → reciclaje celular → metilación y excreción urinaria.</t>
  </si>
  <si>
    <t>VIT-B3|METABOLISMO</t>
  </si>
  <si>
    <t>Se absorbe eficientemente en intestino; formas unidas en algunos cereales pueden ser menos disponibles sin procesamiento adecuado.</t>
  </si>
  <si>
    <t>VIT-B3|ABSORCION</t>
  </si>
  <si>
    <t>Circula como nicotinamida y otros metabolitos; se distribuye a tejidos para síntesis de coenzimas.</t>
  </si>
  <si>
    <t>VIT-B3|TRANSPORTE</t>
  </si>
  <si>
    <t>Reservas limitadas; el NAD/NADP está ampliamente distribuido.</t>
  </si>
  <si>
    <t>VIT-B3|ALMACENAMIENTO</t>
  </si>
  <si>
    <t>Metabolitos metilados por orina.</t>
  </si>
  <si>
    <t>VIT-B3|EXCRECION</t>
  </si>
  <si>
    <t>Proteínas suficientes aportan triptófano; procesamiento alcalino del maíz mejora disponibilidad de niacina ligada.</t>
  </si>
  <si>
    <t>VIT-B3|BIODISPONIBILIDAD_MEJORA</t>
  </si>
  <si>
    <t>Dietas basadas en maíz sin nixtamalización, baja proteína, alcoholismo y malabsorción.</t>
  </si>
  <si>
    <t>VIT-B3|BIODISPONIBILIDAD_REDUCE</t>
  </si>
  <si>
    <t>Pollo y pavo; atún y otros pescados; carne; maní; cereales enriquecidos.</t>
  </si>
  <si>
    <t>VIT-B3|FUENTES_ALIMENTARIAS</t>
  </si>
  <si>
    <t>VIT-B3|DEFICIT</t>
  </si>
  <si>
    <t>Ácido nicotínico en dosis farmacológicas puede causar rubor, prurito, hiperglucemia, hiperuricemia y daño hepático. Nicotinamida tiene perfil distinto.</t>
  </si>
  <si>
    <t>VIT-B3|EXCESO</t>
  </si>
  <si>
    <t>Diferenciar niacina dietaria de tratamiento farmacológico con niacina; no extrapolar UL y efectos sin considerar la forma.</t>
  </si>
  <si>
    <t>VIT-B3|APLICACION_CLINICA</t>
  </si>
  <si>
    <t>• NE incluye contribución de triptófano.
• Pelagra clásica: dermatitis, diarrea y demencia.
• Toxicidad se relaciona con dosis farmacológicas.
• Ácido nicotínico y nicotinamida no son idénticos.</t>
  </si>
  <si>
    <t>VIT-B3|PERLAS</t>
  </si>
  <si>
    <t>1) SRC-ODS-B3: fuente institucional principal para funciones, metabolismo, déficit, exceso e interacciones.
2) SRC-DRI-SUMMARY: referencia normativa o clínica complementaria para requerimientos e interpretación.</t>
  </si>
  <si>
    <t>VIT-B3|REFERENCIAS</t>
  </si>
  <si>
    <t>VIT-B3|ADVERTENCIA</t>
  </si>
  <si>
    <t>Ácido pantoténico (vitamina B5). Hidrosoluble; componente de coenzima A y proteína transportadora de acilos.</t>
  </si>
  <si>
    <t>VIT-B5|IDENTIFICACION</t>
  </si>
  <si>
    <t>• Transferencia de grupos acilo.
• Síntesis y oxidación de ácidos grasos.
• Producción de energía.
• Síntesis de colesterol, hormonas esteroideas y acetilcolina.</t>
  </si>
  <si>
    <t>VIT-B5|FUNCIONES</t>
  </si>
  <si>
    <t>Todas las células, especialmente hígado y tejidos metabólicamente activos.</t>
  </si>
  <si>
    <t>VIT-B5|ORGANOS_TEJIDOS</t>
  </si>
  <si>
    <t>Está ampliamente distribuido en alimentos; la deficiencia aislada es excepcional.</t>
  </si>
  <si>
    <t>VIT-B5|IMPORTANCIA_CLINICA</t>
  </si>
  <si>
    <t>Ingesta de CoA/fosfopanteteína → hidrólisis digestiva → absorción intestinal → síntesis celular de CoA → degradación y excreción.</t>
  </si>
  <si>
    <t>VIT-B5|METABOLISMO</t>
  </si>
  <si>
    <t>Se absorbe en intestino delgado por transporte dependiente de sodio y difusión a dosis altas.</t>
  </si>
  <si>
    <t>VIT-B5|ABSORCION</t>
  </si>
  <si>
    <t>Circula como pantotenato libre.</t>
  </si>
  <si>
    <t>VIT-B5|TRANSPORTE</t>
  </si>
  <si>
    <t>No hay gran reserva específica; forma parte de CoA en tejidos.</t>
  </si>
  <si>
    <t>VIT-B5|ALMACENAMIENTO</t>
  </si>
  <si>
    <t>Principalmente orina, en relación con la ingesta.</t>
  </si>
  <si>
    <t>VIT-B5|EXCRECION</t>
  </si>
  <si>
    <t>Dieta variada; se encuentra en carnes, huevos, lácteos, legumbres, granos y verduras.</t>
  </si>
  <si>
    <t>VIT-B5|BIODISPONIBILIDAD_MEJORA</t>
  </si>
  <si>
    <t>Procesamiento intenso puede producir pérdidas; la deficiencia ocurre sobre todo en desnutrición experimental o múltiple.</t>
  </si>
  <si>
    <t>VIT-B5|BIODISPONIBILIDAD_REDUCE</t>
  </si>
  <si>
    <t>Carnes y aves; huevos; hongos; palta; legumbres y granos integrales.</t>
  </si>
  <si>
    <t>VIT-B5|FUENTES_ALIMENTARIAS</t>
  </si>
  <si>
    <t>VIT-B5|DEFICIT</t>
  </si>
  <si>
    <t>VIT-B5|EXCESO</t>
  </si>
  <si>
    <t>No atribuir síntomas inespecíficos a B5 sin descartar causas más frecuentes y deficiencias múltiples.</t>
  </si>
  <si>
    <t>VIT-B5|APLICACION_CLINICA</t>
  </si>
  <si>
    <t>• Está ampliamente distribuida.
• La deficiencia aislada es muy rara.
• Forma parte de CoA.
• No existe biomarcador rutinario ampliamente usado.</t>
  </si>
  <si>
    <t>VIT-B5|PERLAS</t>
  </si>
  <si>
    <t>1) SRC-ODS-B5: fuente institucional principal para funciones, metabolismo, déficit, exceso e interacciones.
2) SRC-DRI-SUMMARY: referencia normativa o clínica complementaria para requerimientos e interpretación.</t>
  </si>
  <si>
    <t>VIT-B5|REFERENCIAS</t>
  </si>
  <si>
    <t>VIT-B5|ADVERTENCIA</t>
  </si>
  <si>
    <t>Vitamina B6. Hidrosoluble. Formas: piridoxina, piridoxal y piridoxamina; coenzima principal PLP.</t>
  </si>
  <si>
    <t>VIT-B6|IDENTIFICACION</t>
  </si>
  <si>
    <t>• Metabolismo de aminoácidos y glucógeno.
• Síntesis de neurotransmisores.
• Formación de hemoglobina.
• Metabolismo de homocisteína y función inmunitaria.</t>
  </si>
  <si>
    <t>VIT-B6|FUNCIONES</t>
  </si>
  <si>
    <t>Hígado, cerebro, músculo, sangre y sistema inmunitario.</t>
  </si>
  <si>
    <t>VIT-B6|ORGANOS_TEJIDOS</t>
  </si>
  <si>
    <t>La deficiencia puede causar anemia, dermatitis y síntomas neurológicos; dosis altas crónicas de piridoxina pueden causar neuropatía.</t>
  </si>
  <si>
    <t>VIT-B6|IMPORTANCIA_CLINICA</t>
  </si>
  <si>
    <t>Ingesta de formas fosforiladas → desfosforilación y absorción → activación hepática a PLP → transporte unido a albúmina → función coenzimática → catabolismo a ácido 4-piridóxico.</t>
  </si>
  <si>
    <t>VIT-B6|METABOLISMO</t>
  </si>
  <si>
    <t>Principalmente yeyuno por difusión pasiva después de desfosforilación.</t>
  </si>
  <si>
    <t>VIT-B6|ABSORCION</t>
  </si>
  <si>
    <t>PLP circula sobre todo unido a albúmina.</t>
  </si>
  <si>
    <t>VIT-B6|TRANSPORTE</t>
  </si>
  <si>
    <t>Mayor reserva en músculo unida a glucógeno fosforilasa; también hígado.</t>
  </si>
  <si>
    <t>VIT-B6|ALMACENAMIENTO</t>
  </si>
  <si>
    <t>Metabolitos por orina, especialmente ácido 4-piridóxico.</t>
  </si>
  <si>
    <t>VIT-B6|EXCRECION</t>
  </si>
  <si>
    <t>Dieta variada con carnes, pescado, papas, legumbres, plátano y alimentos fortificados.</t>
  </si>
  <si>
    <t>VIT-B6|BIODISPONIBILIDAD_MEJORA</t>
  </si>
  <si>
    <t>Isoniazida, cicloserina y algunos anticonvulsivantes alteran metabolismo; alcoholismo y malabsorción aumentan riesgo.</t>
  </si>
  <si>
    <t>VIT-B6|BIODISPONIBILIDAD_REDUCE</t>
  </si>
  <si>
    <t>Aves; pescados; papas; garbanzos; plátano y cereales fortificados.</t>
  </si>
  <si>
    <t>VIT-B6|FUENTES_ALIMENTARIAS</t>
  </si>
  <si>
    <t>VIT-B6|DEFICIT</t>
  </si>
  <si>
    <t>VIT-B6|EXCESO</t>
  </si>
  <si>
    <t>En uso de isoniazida, la prevención y dosis son decisiones clínicas; el Excel solo identifica la interacción.</t>
  </si>
  <si>
    <t>VIT-B6|APLICACION_CLINICA</t>
  </si>
  <si>
    <t>• PLP es el biomarcador funcional principal.
• Altas dosis crónicas pueden dañar nervios.
• Interactúa con levodopa sin carbidopa.
• La deficiencia puede coexistir con inflamación.</t>
  </si>
  <si>
    <t>VIT-B6|PERLAS</t>
  </si>
  <si>
    <t>1) SRC-ODS-B6: fuente institucional principal para funciones, metabolismo, déficit, exceso e interacciones.
2) SRC-DRI-SUMMARY: referencia normativa o clínica complementaria para requerimientos e interpretación.</t>
  </si>
  <si>
    <t>VIT-B6|REFERENCIAS</t>
  </si>
  <si>
    <t>VIT-B6|ADVERTENCIA</t>
  </si>
  <si>
    <t>Biotina (vitamina B7). Hidrosoluble; la pauta docente la denomina B8, discrepancia registrada.</t>
  </si>
  <si>
    <t>VIT-B7|IDENTIFICACION</t>
  </si>
  <si>
    <t>• Cofactor de carboxilasas.
• Metabolismo de ácidos grasos.
• Gluconeogénesis.
• Catabolismo de aminoácidos.</t>
  </si>
  <si>
    <t>VIT-B7|FUNCIONES</t>
  </si>
  <si>
    <t>Hígado, músculo, piel y todas las células con carboxilasas dependientes de biotina.</t>
  </si>
  <si>
    <t>VIT-B7|ORGANOS_TEJIDOS</t>
  </si>
  <si>
    <t>La deficiencia es rara; el principal riesgo práctico actual es la interferencia de dosis altas con inmunoensayos de laboratorio.</t>
  </si>
  <si>
    <t>VIT-B7|IMPORTANCIA_CLINICA</t>
  </si>
  <si>
    <t>Ingesta de biotina libre o unida a proteínas → liberación por biotinidasa → absorción intestinal → incorporación a carboxilasas → reciclaje por biotinidasa → excreción urinaria.</t>
  </si>
  <si>
    <t>VIT-B7|METABOLISMO</t>
  </si>
  <si>
    <t>Se absorbe en intestino delgado y colon por transportador multivitamínico dependiente de sodio.</t>
  </si>
  <si>
    <t>VIT-B7|ABSORCION</t>
  </si>
  <si>
    <t>Circula libre y unida a proteínas en pequeña proporción.</t>
  </si>
  <si>
    <t>VIT-B7|TRANSPORTE</t>
  </si>
  <si>
    <t>No hay gran depósito corporal; está distribuida en enzimas tisulares.</t>
  </si>
  <si>
    <t>VIT-B7|ALMACENAMIENTO</t>
  </si>
  <si>
    <t>Orina como biotina y metabolitos.</t>
  </si>
  <si>
    <t>VIT-B7|EXCRECION</t>
  </si>
  <si>
    <t>Dieta variada; cocción de clara de huevo inactiva avidina.</t>
  </si>
  <si>
    <t>VIT-B7|BIODISPONIBILIDAD_MEJORA</t>
  </si>
  <si>
    <t>Consumo crónico de clara de huevo cruda por avidina, nutrición parenteral sin aporte y deficiencia de biotinidasa.</t>
  </si>
  <si>
    <t>VIT-B7|BIODISPONIBILIDAD_REDUCE</t>
  </si>
  <si>
    <t>Huevo cocido; hígado; salmón; frutos secos y semillas; camote.</t>
  </si>
  <si>
    <t>VIT-B7|FUENTES_ALIMENTARIAS</t>
  </si>
  <si>
    <t>VIT-B7|DEFICIT</t>
  </si>
  <si>
    <t>VIT-B7|EXCESO</t>
  </si>
  <si>
    <t>Antes de exámenes, informar al laboratorio y al equipo de salud sobre suplementos de biotina; no suspender sin instrucciones profesionales.</t>
  </si>
  <si>
    <t>VIT-B7|APLICACION_CLINICA</t>
  </si>
  <si>
    <t>• Es B7, aunque la pauta diga B8.
• Clara cruda contiene avidina.
• Dosis altas interfieren con análisis clínicos.
• No hay marcador rutinario simple.</t>
  </si>
  <si>
    <t>VIT-B7|PERLAS</t>
  </si>
  <si>
    <t>1) SRC-ODS-B7: fuente institucional principal para funciones, metabolismo, déficit, exceso e interacciones.
2) SRC-DRI-SUMMARY: referencia normativa o clínica complementaria para requerimientos e interpretación.</t>
  </si>
  <si>
    <t>VIT-B7|REFERENCIAS</t>
  </si>
  <si>
    <t>VIT-B7|ADVERTENCIA</t>
  </si>
  <si>
    <t>Folato (vitamina B9). Hidrosoluble. Folatos alimentarios y ácido fólico sintético; requerimientos se expresan como equivalentes dietarios de folato (DFE).</t>
  </si>
  <si>
    <t>VIT-B9|IDENTIFICACION</t>
  </si>
  <si>
    <t>• Transferencias de un carbono.
• Síntesis de ADN y división celular.
• Formación de eritrocitos.
• Metabolismo de homocisteína y desarrollo del tubo neural.</t>
  </si>
  <si>
    <t>VIT-B9|FUNCIONES</t>
  </si>
  <si>
    <t>Médula ósea, hígado, intestino, placenta y tejidos de rápida proliferación.</t>
  </si>
  <si>
    <t>VIT-B9|ORGANOS_TEJIDOS</t>
  </si>
  <si>
    <t>La suficiencia periconcepcional reduce riesgo de defectos del tubo neural. Dosis altas de ácido fólico pueden ocultar anemia de B12 sin detener daño neurológico.</t>
  </si>
  <si>
    <t>VIT-B9|IMPORTANCIA_CLINICA</t>
  </si>
  <si>
    <t>Ingesta de poliglutamatos/ácido fólico → desconjugación y absorción intestinal → reducción/metilación → transporte como 5-metil-THF → ciclo de un carbono → circulación enterohepática y excreción.</t>
  </si>
  <si>
    <t>VIT-B9|METABOLISMO</t>
  </si>
  <si>
    <t>Principalmente duodeno/yeyuno proximal; los folatos alimentarios requieren desconjugación, mientras el ácido fólico tiene mayor biodisponibilidad.</t>
  </si>
  <si>
    <t>VIT-B9|ABSORCION</t>
  </si>
  <si>
    <t>Principalmente 5-metil-THF en plasma unido débilmente a proteínas.</t>
  </si>
  <si>
    <t>VIT-B9|TRANSPORTE</t>
  </si>
  <si>
    <t>Hígado contiene reserva moderada; existe circulación enterohepática.</t>
  </si>
  <si>
    <t>VIT-B9|ALMACENAMIENTO</t>
  </si>
  <si>
    <t>Orina y bilis; pérdidas por recambio celular.</t>
  </si>
  <si>
    <t>VIT-B9|EXCRECION</t>
  </si>
  <si>
    <t>Alimentos fortificados, legumbres, verduras de hoja y planificación periconcepcional según guías.</t>
  </si>
  <si>
    <t>VIT-B9|BIODISPONIBILIDAD_MEJORA</t>
  </si>
  <si>
    <t>Cocción prolongada, alcohol, malabsorción y medicamentos antifolato/anticonvulsivantes.</t>
  </si>
  <si>
    <t>VIT-B9|BIODISPONIBILIDAD_REDUCE</t>
  </si>
  <si>
    <t>Verduras de hoja; legumbres; cítricos; palta; cereales y harinas fortificadas.</t>
  </si>
  <si>
    <t>VIT-B9|FUENTES_ALIMENTARIAS</t>
  </si>
  <si>
    <t>VIT-B9|DEFICIT</t>
  </si>
  <si>
    <t>VIT-B9|EXCESO</t>
  </si>
  <si>
    <t>En anemia macrocítica, evaluar folato y B12 antes de asumir una sola causa; en embarazo seguir recomendaciones oficiales.</t>
  </si>
  <si>
    <t>VIT-B9|APLICACION_CLINICA</t>
  </si>
  <si>
    <t>• DFE diferencia biodisponibilidad.
• Folato y B12 están metabólicamente conectados.
• El UL corresponde al ácido fólico sintético.
• La prevención del tubo neural comienza antes de saber que existe embarazo.</t>
  </si>
  <si>
    <t>VIT-B9|PERLAS</t>
  </si>
  <si>
    <t>1) SRC-ODS-B9: fuente institucional principal para funciones, metabolismo, déficit, exceso e interacciones.
2) SRC-DRI-SUMMARY: referencia normativa o clínica complementaria para requerimientos e interpretación.</t>
  </si>
  <si>
    <t>VIT-B9|REFERENCIAS</t>
  </si>
  <si>
    <t>VIT-B9|ADVERTENCIA</t>
  </si>
  <si>
    <t>Vitamina B12 (cobalamina). Hidrosoluble. Formas coenzimáticas: metilcobalamina y adenosilcobalamina.</t>
  </si>
  <si>
    <t>VIT-B12|IDENTIFICACION</t>
  </si>
  <si>
    <t>• Síntesis de ADN y formación eritrocitaria.
• Mantenimiento de mielina y función neurológica.
• Conversión de metilmalonil-CoA.
• Metabolismo de homocisteína.</t>
  </si>
  <si>
    <t>VIT-B12|FUNCIONES</t>
  </si>
  <si>
    <t>Médula ósea, sistema nervioso, hígado, estómago, páncreas e íleon.</t>
  </si>
  <si>
    <t>VIT-B12|ORGANOS_TEJIDOS</t>
  </si>
  <si>
    <t>La absorción es compleja y las reservas hepáticas duran años. La deficiencia puede causar daño neurológico incluso sin anemia.</t>
  </si>
  <si>
    <t>VIT-B12|IMPORTANCIA_CLINICA</t>
  </si>
  <si>
    <t>Liberación gástrica de proteína alimentaria → unión a haptocorrina → transferencia a factor intrínseco → absorción ileal → transcobalamina → uso celular → almacenamiento hepático y circulación enterohepática.</t>
  </si>
  <si>
    <t>VIT-B12|METABOLISMO</t>
  </si>
  <si>
    <t>Requiere ácido y pepsina para liberar B12 alimentaria, factor intrínseco e íleon funcional; una pequeña fracción de dosis altas se absorbe pasivamente.</t>
  </si>
  <si>
    <t>VIT-B12|ABSORCION</t>
  </si>
  <si>
    <t>Transcobalamina transporta B12 disponible a tejidos; haptocorrina transporta gran parte de la B12 sérica.</t>
  </si>
  <si>
    <t>VIT-B12|TRANSPORTE</t>
  </si>
  <si>
    <t>Principalmente hígado, con reservas suficientes para varios años.</t>
  </si>
  <si>
    <t>VIT-B12|ALMACENAMIENTO</t>
  </si>
  <si>
    <t>Bilis con amplia reabsorción enterohepática; pequeñas pérdidas urinarias y fecales.</t>
  </si>
  <si>
    <t>VIT-B12|EXCRECION</t>
  </si>
  <si>
    <t>Alimentos animales, fortificados y suplementos apropiados según patrón dietario y capacidad de absorción.</t>
  </si>
  <si>
    <t>VIT-B12|BIODISPONIBILIDAD_MEJORA</t>
  </si>
  <si>
    <t>Anemia perniciosa, cirugía gástrica/ileal, enfermedad ileal, metformina y supresión ácida prolongada.</t>
  </si>
  <si>
    <t>VIT-B12|BIODISPONIBILIDAD_REDUCE</t>
  </si>
  <si>
    <t>Almejas y otros mariscos; pescados; carnes; huevos y lácteos; alimentos vegetales fortificados.</t>
  </si>
  <si>
    <t>VIT-B12|FUENTES_ALIMENTARIAS</t>
  </si>
  <si>
    <t>VIT-B12|DEFICIT</t>
  </si>
  <si>
    <t>VIT-B12|EXCESO</t>
  </si>
  <si>
    <t>En personas veganas, adultos mayores, metformina o cirugía bariátrica, planificar fuentes y seguimiento según riesgo.</t>
  </si>
  <si>
    <t>VIT-B12|APLICACION_CLINICA</t>
  </si>
  <si>
    <t>• Puede existir daño neurológico sin anemia.
• Metformina y supresores de ácido aumentan riesgo.
• MMA ayuda cuando B12 sérica es dudosa.
• Las reservas hepáticas retrasan la aparición de síntomas.</t>
  </si>
  <si>
    <t>VIT-B12|PERLAS</t>
  </si>
  <si>
    <t>1) SRC-ODS-B12: fuente institucional principal para funciones, metabolismo, déficit, exceso e interacciones.
2) SRC-DRI-SUMMARY: referencia normativa o clínica complementaria para requerimientos e interpretación.</t>
  </si>
  <si>
    <t>VIT-B12|REFERENCIAS</t>
  </si>
  <si>
    <t>VIT-B12|ADVERTENCIA</t>
  </si>
  <si>
    <t>INTERACCIONES_RESUMEN</t>
  </si>
  <si>
    <t>Vitamina C | Nutriente–nutriente | Aumenta absorción
Útil al combinar alimentos vegetales ricos en hierro con fuente de vitamina C.
Fitatos y polifenoles | Alimento–nutriente | Disminuye absorción no hemo
Relevancia depende del patrón dietario total; no implica eliminar alimentos saludables.</t>
  </si>
  <si>
    <t>MIN-FE|INTERACCIONES_RESUMEN</t>
  </si>
  <si>
    <t>BIOMARCADORES_RESUMEN</t>
  </si>
  <si>
    <t>Ferritina | Depósitos de hierro
Limitación: Reactante de fase aguda; aumenta con inflamación, infección, hígado y obesidad.
Saturación de transferrina | Hierro disponible para eritropoyesis
Limitación: Varía con hierro sérico, hora y transferrina.</t>
  </si>
  <si>
    <t>MIN-FE|BIOMARCADORES_RESUMEN</t>
  </si>
  <si>
    <t>Cobre | Nutriente–nutriente | Dosis altas de zinc reducen cobre
Vigilar suplementos crónicos de zinc.
Quinolonas y tetraciclinas | Medicamento–nutriente | Reduce absorción de ambos
Separación horaria solo según indicación farmacéutica/médica.</t>
  </si>
  <si>
    <t>MIN-ZN|INTERACCIONES_RESUMEN</t>
  </si>
  <si>
    <t>Zinc plasmático/sérico | Estado circulante de zinc
Limitación: Sensibilidad limitada; cambia con ayuno, hora, inflamación y embarazo.</t>
  </si>
  <si>
    <t>MIN-ZN|BIOMARCADORES_RESUMEN</t>
  </si>
  <si>
    <t>Zinc suplementario | Nutriente–nutriente | Disminuye absorción de cobre
Causa reconocida de deficiencia adquirida de cobre.</t>
  </si>
  <si>
    <t>MIN-CU|INTERACCIONES_RESUMEN</t>
  </si>
  <si>
    <t>Cobre sérico y ceruloplasmina | Transporte y estado de cobre
Limitación: Aumentan con inflamación, estrógenos y embarazo; pueden ser bajos en Wilson avanzado o deficiencia.</t>
  </si>
  <si>
    <t>MIN-CU|BIOMARCADORES_RESUMEN</t>
  </si>
  <si>
    <t>Vitamina D | Nutriente–nutriente | Aumenta absorción de calcio
Ambos deben evaluarse en salud ósea.
Levotiroxina | Medicamento–nutriente | Reduce absorción del medicamento
Separar según instrucciones del medicamento; no modificar tratamiento por cuenta propia.
Tetraciclinas/quinolonas | Medicamento–nutriente | Reduce absorción del antibiótico
Revisar indicación de separación horaria.</t>
  </si>
  <si>
    <t>MIN-CA|INTERACCIONES_RESUMEN</t>
  </si>
  <si>
    <t>Calcio ionizado/total | Homeostasis extracelular
Limitación: No refleja ingesta ni reservas óseas; regulación homeostática estrecha.</t>
  </si>
  <si>
    <t>MIN-CA|BIOMARCADORES_RESUMEN</t>
  </si>
  <si>
    <t>Antiácidos con aluminio | Medicamento–nutriente | Disminuye absorción de fósforo
Uso prolongado puede contribuir a hipofosfatemia.</t>
  </si>
  <si>
    <t>MIN-P|INTERACCIONES_RESUMEN</t>
  </si>
  <si>
    <t>Fósforo sérico | Fosfato circulante
Limitación: Ritmo circadiano, comidas, hormonas y función renal afectan valor.</t>
  </si>
  <si>
    <t>MIN-P|BIOMARCADORES_RESUMEN</t>
  </si>
  <si>
    <t>Yodo/función tiroidea | Nutriente–nutriente | Relación funcional
No suplementar selenio para enfermedad tiroidea sin evaluación.</t>
  </si>
  <si>
    <t>MIN-SE|INTERACCIONES_RESUMEN</t>
  </si>
  <si>
    <t>Selenio sérico/plasmático | Estado reciente de selenio
Limitación: Inflamación y forma suplementaria afectan interpretación.</t>
  </si>
  <si>
    <t>MIN-SE|BIOMARCADORES_RESUMEN</t>
  </si>
  <si>
    <t>IECA/ARA-II | Medicamento–nutriente | Puede aumentar potasio sérico
Riesgo mayor con insuficiencia renal o suplementos.
Diuréticos | Medicamento–nutriente | Variable
Requiere revisar tipo de diurético y función renal.</t>
  </si>
  <si>
    <t>MIN-K|INTERACCIONES_RESUMEN</t>
  </si>
  <si>
    <t>Potasio sérico | Concentración extracelular
Limitación: Hemólisis, pH, insulina y redistribución pueden falsear o modificar valor; no mide ingesta.</t>
  </si>
  <si>
    <t>MIN-K|BIOMARCADORES_RESUMEN</t>
  </si>
  <si>
    <t>Inhibidores de bomba de protones | Medicamento–nutriente | Puede disminuir magnesio
Considerar en personas con síntomas o factores de riesgo.
Tetraciclinas/quinolonas | Medicamento–nutriente | Reduce absorción del antibiótico
Separación horaria según ficha del medicamento.</t>
  </si>
  <si>
    <t>MIN-MG|INTERACCIONES_RESUMEN</t>
  </si>
  <si>
    <t>Magnesio sérico | Magnesio extracelular
Limitación: Representa pequeña fracción corporal; puede ser normal con reservas bajas.</t>
  </si>
  <si>
    <t>MIN-MG|BIOMARCADORES_RESUMEN</t>
  </si>
  <si>
    <t>Potasio y patrón DASH | Patrón dietario | Modula efecto sobre presión arterial
No evaluar sodio de forma aislada del patrón global.</t>
  </si>
  <si>
    <t>MIN-NA|INTERACCIONES_RESUMEN</t>
  </si>
  <si>
    <t>Sodio sérico | Balance de agua y sodio relativo
Limitación: No estima consumo dietario de sodio.
Sodio urinario de 24 horas | Aproximación a ingesta reciente
Limitación: Recolección incompleta y variabilidad diaria limitan precisión.</t>
  </si>
  <si>
    <t>MIN-NA|BIOMARCADORES_RESUMEN</t>
  </si>
  <si>
    <t>Vómitos/aspiración gástrica | Condición–nutriente | Aumenta pérdida de cloruro
Puede acompañar alcalosis metabólica hipoclorémica.</t>
  </si>
  <si>
    <t>MIN-CL|INTERACCIONES_RESUMEN</t>
  </si>
  <si>
    <t>Cloruro sérico | Balance electrolítico y ácido–base
Limitación: No refleja ingesta; depende de hidratación, riñón y pérdidas.</t>
  </si>
  <si>
    <t>MIN-CL|BIOMARCADORES_RESUMEN</t>
  </si>
  <si>
    <t>Zinc | Nutriente–nutriente | Relación funcional
Deficiencias múltiples pueden coexistir.
Orlistat/colestiramina | Medicamento–nutriente | Reduce absorción
Vigilar vitaminas liposolubles según indicación clínica.</t>
  </si>
  <si>
    <t>VIT-A|INTERACCIONES_RESUMEN</t>
  </si>
  <si>
    <t>Retinol sérico | Vitamina A circulante
Limitación: Homeostático; inflamación reduce retinol/RBP y limita interpretación individual.</t>
  </si>
  <si>
    <t>VIT-A|BIOMARCADORES_RESUMEN</t>
  </si>
  <si>
    <t>Orlistat/colestiramina | Medicamento–nutriente | Reduce absorción
Revisar estado en uso prolongado o malabsorción.
Glucocorticoides | Medicamento–nutriente | Afecta metabolismo óseo/vitamina D
Importante en terapia crónica.</t>
  </si>
  <si>
    <t>VIT-D|INTERACCIONES_RESUMEN</t>
  </si>
  <si>
    <t>25-hidroxivitamina D | Estado de vitamina D
Limitación: Variación estacional, método analítico, obesidad y enfermedad afectan interpretación.</t>
  </si>
  <si>
    <t>VIT-D|BIOMARCADORES_RESUMEN</t>
  </si>
  <si>
    <t>Anticoagulantes/antiagregantes | Medicamento–nutriente | Puede aumentar sangrado
No usar dosis altas sin supervisión.</t>
  </si>
  <si>
    <t>VIT-E|INTERACCIONES_RESUMEN</t>
  </si>
  <si>
    <t>α-tocoferol sérico ajustado por lípidos | Estado de vitamina E
Limitación: Concentración absoluta depende de lipoproteínas.</t>
  </si>
  <si>
    <t>VIT-E|BIOMARCADORES_RESUMEN</t>
  </si>
  <si>
    <t>Warfarina | Medicamento–nutriente | Antagonismo farmacológico
Mantener ingesta consistente y seguir control de INR.
Secuestradores de ácidos biliares | Medicamento–nutriente | Reduce absorción
Uso prolongado requiere evaluación.</t>
  </si>
  <si>
    <t>VIT-K|INTERACCIONES_RESUMEN</t>
  </si>
  <si>
    <t>Tiempo de protrombina/INR | Función de coagulación dependiente de vitamina K
Limitación: Poco sensible para deficiencia subclínica; muchos fármacos y enfermedades lo modifican.</t>
  </si>
  <si>
    <t>VIT-K|BIOMARCADORES_RESUMEN</t>
  </si>
  <si>
    <t>Hierro no hemo | Nutriente–nutriente | Aumenta absorción
Útil en comidas basadas en plantas.</t>
  </si>
  <si>
    <t>VIT-C|INTERACCIONES_RESUMEN</t>
  </si>
  <si>
    <t>Vitamina C plasmática | Ingesta reciente/estado circulante
Limitación: Muy sensible a ingesta reciente, ayuno y estabilidad de muestra.</t>
  </si>
  <si>
    <t>VIT-C|BIOMARCADORES_RESUMEN</t>
  </si>
  <si>
    <t>Alcohol | Condición–nutriente | Disminuye disponibilidad
Riesgo de Wernicke requiere atención urgente.</t>
  </si>
  <si>
    <t>VIT-B1|INTERACCIONES_RESUMEN</t>
  </si>
  <si>
    <t>Tiamina difosfato en sangre total | Forma coenzimática predominante
Limitación: Método y preanalítica importan; no reemplaza tratamiento urgente en sospecha de Wernicke.</t>
  </si>
  <si>
    <t>VIT-B1|BIOMARCADORES_RESUMEN</t>
  </si>
  <si>
    <t>Luz | Procesamiento–nutriente | Degrada riboflavina
Proteger alimentos sensibles de la luz.</t>
  </si>
  <si>
    <t>VIT-B2|INTERACCIONES_RESUMEN</t>
  </si>
  <si>
    <t>Coeficiente de activación de glutatión reductasa eritrocitaria | Estado funcional de riboflavina
Limitación: Método y puntos de corte no son universales.</t>
  </si>
  <si>
    <t>VIT-B2|BIOMARCADORES_RESUMEN</t>
  </si>
  <si>
    <t>Estatinas + niacina farmacológica | Medicamento–nutriente | Aumenta riesgo de efectos adversos
No extrapolar a niacina dietaria; manejo médico.</t>
  </si>
  <si>
    <t>VIT-B3|INTERACCIONES_RESUMEN</t>
  </si>
  <si>
    <t>Metabolitos urinarios de N-metilnicotinamida | Estado de niacina
Limitación: No es prueba rutinaria y depende de recolección/creatinina.</t>
  </si>
  <si>
    <t>VIT-B3|BIOMARCADORES_RESUMEN</t>
  </si>
  <si>
    <t>Sin interacción mayor priorizada | Registro académico | No aplicable
Evita inventar interacciones por completar una ficha.</t>
  </si>
  <si>
    <t>VIT-B5|INTERACCIONES_RESUMEN</t>
  </si>
  <si>
    <t>Sin biomarcadores cargados.</t>
  </si>
  <si>
    <t>VIT-B5|BIOMARCADORES_RESUMEN</t>
  </si>
  <si>
    <t>Isoniazida/cicloserina | Medicamento–nutriente | Aumenta riesgo de deficiencia
Prevención y dosis deben ser indicadas por el equipo tratante.
Levodopa sin carbidopa | Medicamento–nutriente | Reduce efecto del medicamento
La interacción se minimiza con carbidopa; no modificar tratamiento.</t>
  </si>
  <si>
    <t>VIT-B6|INTERACCIONES_RESUMEN</t>
  </si>
  <si>
    <t>Piridoxal-5-fosfato plasmático | Estado de vitamina B6
Limitación: Disminuye con inflamación y otros factores; interpretar contexto.</t>
  </si>
  <si>
    <t>VIT-B6|BIOMARCADORES_RESUMEN</t>
  </si>
  <si>
    <t>Inmunoensayos de laboratorio | Suplemento–prueba | Interfiere resultados
Puede producir resultados falsamente altos o bajos.</t>
  </si>
  <si>
    <t>VIT-B7|INTERACCIONES_RESUMEN</t>
  </si>
  <si>
    <t>VIT-B7|BIOMARCADORES_RESUMEN</t>
  </si>
  <si>
    <t>Vitamina B12 | Nutriente–nutriente | Puede ocultar manifestación hematológica
Evaluar B12 ante anemia macrocítica o riesgo neurológico.
Metotrexato y antifolatos | Medicamento–nutriente | Antagonismo
Uso de folato depende de indicación y enfermedad.</t>
  </si>
  <si>
    <t>VIT-B9|INTERACCIONES_RESUMEN</t>
  </si>
  <si>
    <t>Folato sérico | Ingesta reciente/estado circulante
Limitación: Cambia con ingesta reciente; no representa reservas prolongadas por sí solo.
Folato eritrocitario | Estado de folato durante vida del eritrocito
Limitación: Metodología compleja y variabilidad analítica.</t>
  </si>
  <si>
    <t>VIT-B9|BIOMARCADORES_RESUMEN</t>
  </si>
  <si>
    <t>Metformina | Medicamento–nutriente | Disminuye estado/absorción
Considerar seguimiento en personas de riesgo.
IBP y bloqueadores H2 | Medicamento–nutriente | Reduce liberación de B12 alimentaria
Riesgo aumenta con uso prolongado y edad.</t>
  </si>
  <si>
    <t>VIT-B12|INTERACCIONES_RESUMEN</t>
  </si>
  <si>
    <t>Vitamina B12 sérica | B12 circulante total
Limitación: Puede ser normal en deficiencia funcional o alterarse por proteínas transportadoras.
Ácido metilmalónico | Deficiencia funcional de B12
Limitación: También aumenta con insuficiencia renal y edad.
Homocisteína | Metabolismo de B12/folato/B6
Limitación: Se altera por folato, B6, riñón, genética y otros factores.</t>
  </si>
  <si>
    <t>VIT-B12|BIOMARCADORES_RESUMEN</t>
  </si>
  <si>
    <t>Interacción_ID</t>
  </si>
  <si>
    <t>Relevancia</t>
  </si>
  <si>
    <t>_rango_coincidencia</t>
  </si>
  <si>
    <t>INT-FE-C</t>
  </si>
  <si>
    <t>Nutriente–nutriente</t>
  </si>
  <si>
    <t>Aumenta absorción</t>
  </si>
  <si>
    <t>Reduce hierro férrico y favorece solubilidad del hierro no hemo.</t>
  </si>
  <si>
    <t>Útil al combinar alimentos vegetales ricos en hierro con fuente de vitamina C.</t>
  </si>
  <si>
    <t>Consistente</t>
  </si>
  <si>
    <t>INT-FE-PHY</t>
  </si>
  <si>
    <t>Fitatos y polifenoles</t>
  </si>
  <si>
    <t>Alimento–nutriente</t>
  </si>
  <si>
    <t>Disminuye absorción no hemo</t>
  </si>
  <si>
    <t>Forman complejos o reducen solubilidad en la comida.</t>
  </si>
  <si>
    <t>Relevancia depende del patrón dietario total; no implica eliminar alimentos saludables.</t>
  </si>
  <si>
    <t>INT-ZN-CU</t>
  </si>
  <si>
    <t>Dosis altas de zinc reducen cobre</t>
  </si>
  <si>
    <t>La metalotioneína intestinal retiene cobre y favorece su pérdida fecal.</t>
  </si>
  <si>
    <t>Vigilar suplementos crónicos de zinc.</t>
  </si>
  <si>
    <t>Alta</t>
  </si>
  <si>
    <t>INT-ZN-ABX</t>
  </si>
  <si>
    <t>Quinolonas y tetraciclinas</t>
  </si>
  <si>
    <t>Medicamento–nutriente</t>
  </si>
  <si>
    <t>Reduce absorción de ambos</t>
  </si>
  <si>
    <t>Quelación en el tubo digestivo.</t>
  </si>
  <si>
    <t>Separación horaria solo según indicación farmacéutica/médica.</t>
  </si>
  <si>
    <t>INT-CU-ZN</t>
  </si>
  <si>
    <t>Zinc suplementario</t>
  </si>
  <si>
    <t>Disminuye absorción de cobre</t>
  </si>
  <si>
    <t>Inducción de metalotioneína intestinal.</t>
  </si>
  <si>
    <t>Causa reconocida de deficiencia adquirida de cobre.</t>
  </si>
  <si>
    <t>INT-CA-D</t>
  </si>
  <si>
    <t>Aumenta absorción de calcio</t>
  </si>
  <si>
    <t>Estimula proteínas de transporte intestinal y homeostasis mineral.</t>
  </si>
  <si>
    <t>Ambos deben evaluarse en salud ósea.</t>
  </si>
  <si>
    <t>INT-CA-LEV</t>
  </si>
  <si>
    <t>Levotiroxina</t>
  </si>
  <si>
    <t>Reduce absorción del medicamento</t>
  </si>
  <si>
    <t>Formación de complejos y cambios de disponibilidad intestinal.</t>
  </si>
  <si>
    <t>Separar según instrucciones del medicamento; no modificar tratamiento por cuenta propia.</t>
  </si>
  <si>
    <t>INT-CA-ABX</t>
  </si>
  <si>
    <t>Tetraciclinas/quinolonas</t>
  </si>
  <si>
    <t>Reduce absorción del antibiótico</t>
  </si>
  <si>
    <t>Quelación con calcio.</t>
  </si>
  <si>
    <t>Revisar indicación de separación horaria.</t>
  </si>
  <si>
    <t>INT-P-ANT</t>
  </si>
  <si>
    <t>Antiácidos con aluminio</t>
  </si>
  <si>
    <t>Disminuye absorción de fósforo</t>
  </si>
  <si>
    <t>Unión intestinal del fosfato.</t>
  </si>
  <si>
    <t>Uso prolongado puede contribuir a hipofosfatemia.</t>
  </si>
  <si>
    <t>INT-SE-I</t>
  </si>
  <si>
    <t>Yodo/función tiroidea</t>
  </si>
  <si>
    <t>Relación funcional</t>
  </si>
  <si>
    <t>Selenoenzimas participan en conversión y regulación de hormonas tiroideas.</t>
  </si>
  <si>
    <t>No suplementar selenio para enfermedad tiroidea sin evaluación.</t>
  </si>
  <si>
    <t>Contextual</t>
  </si>
  <si>
    <t>INT-K-ACE</t>
  </si>
  <si>
    <t>IECA/ARA-II</t>
  </si>
  <si>
    <t>Puede aumentar potasio sérico</t>
  </si>
  <si>
    <t>Disminuyen señales hormonales que favorecen excreción renal de potasio.</t>
  </si>
  <si>
    <t>Riesgo mayor con insuficiencia renal o suplementos.</t>
  </si>
  <si>
    <t>INT-K-DIUR</t>
  </si>
  <si>
    <t>Diuréticos</t>
  </si>
  <si>
    <t>Tiazidas y asa pueden aumentar pérdidas; ahorradores de potasio pueden aumentarlo.</t>
  </si>
  <si>
    <t>Requiere revisar tipo de diurético y función renal.</t>
  </si>
  <si>
    <t>INT-MG-PPI</t>
  </si>
  <si>
    <t>Inhibidores de bomba de protones</t>
  </si>
  <si>
    <t>Puede disminuir magnesio</t>
  </si>
  <si>
    <t>Uso prolongado se ha asociado a hipomagnesemia.</t>
  </si>
  <si>
    <t>Considerar en personas con síntomas o factores de riesgo.</t>
  </si>
  <si>
    <t>INT-MG-ABX</t>
  </si>
  <si>
    <t>Quelación intestinal.</t>
  </si>
  <si>
    <t>Separación horaria según ficha del medicamento.</t>
  </si>
  <si>
    <t>INT-NA-BP</t>
  </si>
  <si>
    <t>Potasio y patrón DASH</t>
  </si>
  <si>
    <t>Patrón dietario</t>
  </si>
  <si>
    <t>Modula efecto sobre presión arterial</t>
  </si>
  <si>
    <t>El efecto de sodio se integra con patrón dietario, presión basal y potasio.</t>
  </si>
  <si>
    <t>No evaluar sodio de forma aislada del patrón global.</t>
  </si>
  <si>
    <t>INT-CL-VOM</t>
  </si>
  <si>
    <t>Vómitos/aspiración gástrica</t>
  </si>
  <si>
    <t>Condición–nutriente</t>
  </si>
  <si>
    <t>Aumenta pérdida de cloruro</t>
  </si>
  <si>
    <t>Pérdida de HCl y volumen extracelular.</t>
  </si>
  <si>
    <t>Puede acompañar alcalosis metabólica hipoclorémica.</t>
  </si>
  <si>
    <t>INT-A-ZN</t>
  </si>
  <si>
    <t>El zinc participa en síntesis y transporte de proteína fijadora de retinol.</t>
  </si>
  <si>
    <t>Deficiencias múltiples pueden coexistir.</t>
  </si>
  <si>
    <t>INT-A-ORL</t>
  </si>
  <si>
    <t>Orlistat/colestiramina</t>
  </si>
  <si>
    <t>Reduce absorción</t>
  </si>
  <si>
    <t>Disminuyen absorción de grasas o ácidos biliares.</t>
  </si>
  <si>
    <t>Vigilar vitaminas liposolubles según indicación clínica.</t>
  </si>
  <si>
    <t>INT-D-ORL</t>
  </si>
  <si>
    <t>Disminuyen absorción de grasas y vitamina D.</t>
  </si>
  <si>
    <t>Revisar estado en uso prolongado o malabsorción.</t>
  </si>
  <si>
    <t>INT-D-STEROID</t>
  </si>
  <si>
    <t>Glucocorticoides</t>
  </si>
  <si>
    <t>Afecta metabolismo óseo/vitamina D</t>
  </si>
  <si>
    <t>Reducen absorción de calcio y alteran metabolismo óseo.</t>
  </si>
  <si>
    <t>Importante en terapia crónica.</t>
  </si>
  <si>
    <t>INT-E-ANTICOAG</t>
  </si>
  <si>
    <t>Anticoagulantes/antiagregantes</t>
  </si>
  <si>
    <t>Puede aumentar sangrado</t>
  </si>
  <si>
    <t>Dosis altas de vitamina E pueden afectar hemostasia.</t>
  </si>
  <si>
    <t>No usar dosis altas sin supervisión.</t>
  </si>
  <si>
    <t>INT-K-WARF</t>
  </si>
  <si>
    <t>Warfarina</t>
  </si>
  <si>
    <t>Antagonismo farmacológico</t>
  </si>
  <si>
    <t>Warfarina inhibe reciclaje de vitamina K; cambios bruscos en ingesta alteran anticoagulación.</t>
  </si>
  <si>
    <t>Mantener ingesta consistente y seguir control de INR.</t>
  </si>
  <si>
    <t>INT-K-BILE</t>
  </si>
  <si>
    <t>Secuestradores de ácidos biliares</t>
  </si>
  <si>
    <t>Menor formación de micelas para vitaminas liposolubles.</t>
  </si>
  <si>
    <t>Uso prolongado requiere evaluación.</t>
  </si>
  <si>
    <t>INT-C-FE</t>
  </si>
  <si>
    <t>Hierro no hemo</t>
  </si>
  <si>
    <t>Reduce y solubiliza hierro no hemo.</t>
  </si>
  <si>
    <t>Útil en comidas basadas en plantas.</t>
  </si>
  <si>
    <t>INT-B1-ALC</t>
  </si>
  <si>
    <t>Alcohol</t>
  </si>
  <si>
    <t>Disminuye disponibilidad</t>
  </si>
  <si>
    <t>Reduce ingesta, absorción, activación y almacenamiento de tiamina.</t>
  </si>
  <si>
    <t>Riesgo de Wernicke requiere atención urgente.</t>
  </si>
  <si>
    <t>INT-B2-LIGHT</t>
  </si>
  <si>
    <t>Luz</t>
  </si>
  <si>
    <t>Procesamiento–nutriente</t>
  </si>
  <si>
    <t>Degrada riboflavina</t>
  </si>
  <si>
    <t>La exposición lumínica destruye riboflavina en alimentos.</t>
  </si>
  <si>
    <t>Proteger alimentos sensibles de la luz.</t>
  </si>
  <si>
    <t>INT-B3-STATIN</t>
  </si>
  <si>
    <t>Estatinas + niacina farmacológica</t>
  </si>
  <si>
    <t>Aumenta riesgo de efectos adversos</t>
  </si>
  <si>
    <t>La combinación en dosis farmacológicas puede aumentar miopatía y hepatotoxicidad.</t>
  </si>
  <si>
    <t>No extrapolar a niacina dietaria; manejo médico.</t>
  </si>
  <si>
    <t>INT-B5-NONE</t>
  </si>
  <si>
    <t>Sin interacción mayor priorizada</t>
  </si>
  <si>
    <t>Registro académico</t>
  </si>
  <si>
    <t>No aplicable</t>
  </si>
  <si>
    <t>No se incorporó una interacción clínicamente prioritaria en esta versión.</t>
  </si>
  <si>
    <t>Evita inventar interacciones por completar una ficha.</t>
  </si>
  <si>
    <t>INT-B6-ISON</t>
  </si>
  <si>
    <t>Isoniazida/cicloserina</t>
  </si>
  <si>
    <t>Aumenta riesgo de deficiencia</t>
  </si>
  <si>
    <t>Forman derivados o interfieren con metabolismo de PLP.</t>
  </si>
  <si>
    <t>Prevención y dosis deben ser indicadas por el equipo tratante.</t>
  </si>
  <si>
    <t>INT-B6-LEVO</t>
  </si>
  <si>
    <t>Levodopa sin carbidopa</t>
  </si>
  <si>
    <t>Reduce efecto del medicamento</t>
  </si>
  <si>
    <t>PLP acelera descarboxilación periférica de levodopa.</t>
  </si>
  <si>
    <t>La interacción se minimiza con carbidopa; no modificar tratamiento.</t>
  </si>
  <si>
    <t>INT-B7-LAB</t>
  </si>
  <si>
    <t>Inmunoensayos de laboratorio</t>
  </si>
  <si>
    <t>Suplemento–prueba</t>
  </si>
  <si>
    <t>Interfiere resultados</t>
  </si>
  <si>
    <t>Biotina alta altera ensayos basados en estreptavidina-biotina.</t>
  </si>
  <si>
    <t>Puede producir resultados falsamente altos o bajos.</t>
  </si>
  <si>
    <t>INT-B9-B12</t>
  </si>
  <si>
    <t>Puede ocultar manifestación hematológica</t>
  </si>
  <si>
    <t>Ácido fólico corrige anemia megaloblástica sin detener daño neurológico por B12.</t>
  </si>
  <si>
    <t>Evaluar B12 ante anemia macrocítica o riesgo neurológico.</t>
  </si>
  <si>
    <t>INT-B9-MTX</t>
  </si>
  <si>
    <t>Metotrexato y antifolatos</t>
  </si>
  <si>
    <t>Antagonismo</t>
  </si>
  <si>
    <t>Inhiben rutas dependientes de folato.</t>
  </si>
  <si>
    <t>Uso de folato depende de indicación y enfermedad.</t>
  </si>
  <si>
    <t>INT-B12-METF</t>
  </si>
  <si>
    <t>Metformina</t>
  </si>
  <si>
    <t>Disminuye estado/absorción</t>
  </si>
  <si>
    <t>Uso prolongado puede reducir absorción y concentraciones de B12.</t>
  </si>
  <si>
    <t>Considerar seguimiento en personas de riesgo.</t>
  </si>
  <si>
    <t>INT-B12-PPI</t>
  </si>
  <si>
    <t>IBP y bloqueadores H2</t>
  </si>
  <si>
    <t>Reduce liberación de B12 alimentaria</t>
  </si>
  <si>
    <t>Menor acidez dificulta liberar B12 unida a proteínas.</t>
  </si>
  <si>
    <t>Riesgo aumenta con uso prolongado y edad.</t>
  </si>
  <si>
    <t>Biomarcador_ID</t>
  </si>
  <si>
    <t>Qué_evalúa</t>
  </si>
  <si>
    <t>Criterio</t>
  </si>
  <si>
    <t>BIO-FE-FERR</t>
  </si>
  <si>
    <t>Suero</t>
  </si>
  <si>
    <t>Depósitos de hierro</t>
  </si>
  <si>
    <t>µg/L o ng/mL</t>
  </si>
  <si>
    <t>Valor bajo apoya depleción; usar criterio del laboratorio y población.</t>
  </si>
  <si>
    <t>Reactante de fase aguda; aumenta con inflamación, infección, hígado y obesidad.</t>
  </si>
  <si>
    <t>BIO-FE-TSAT</t>
  </si>
  <si>
    <t>Saturación de transferrina</t>
  </si>
  <si>
    <t>Hierro disponible para eritropoyesis</t>
  </si>
  <si>
    <t>Interpretar con ferritina, hemograma y contexto.</t>
  </si>
  <si>
    <t>Varía con hierro sérico, hora y transferrina.</t>
  </si>
  <si>
    <t>BIO-ZN-PLASMA</t>
  </si>
  <si>
    <t>Plasma o suero</t>
  </si>
  <si>
    <t>Estado circulante de zinc</t>
  </si>
  <si>
    <t>µg/dL o µmol/L</t>
  </si>
  <si>
    <t>Útil en contexto poblacional o clínico seleccionado.</t>
  </si>
  <si>
    <t>Sensibilidad limitada; cambia con ayuno, hora, inflamación y embarazo.</t>
  </si>
  <si>
    <t>BIO-CU-CER</t>
  </si>
  <si>
    <t>Transporte y estado de cobre</t>
  </si>
  <si>
    <t>µg/dL; mg/dL</t>
  </si>
  <si>
    <t>Interpretar ambos y contexto clínico.</t>
  </si>
  <si>
    <t>Aumentan con inflamación, estrógenos y embarazo; pueden ser bajos en Wilson avanzado o deficiencia.</t>
  </si>
  <si>
    <t>BIO-CA-ION</t>
  </si>
  <si>
    <t>Homeostasis extracelular</t>
  </si>
  <si>
    <t>mmol/L o mg/dL</t>
  </si>
  <si>
    <t>Ionizado es fisiológicamente activo; total requiere considerar albúmina.</t>
  </si>
  <si>
    <t>No refleja ingesta ni reservas óseas; regulación homeostática estrecha.</t>
  </si>
  <si>
    <t>BIO-P-SER</t>
  </si>
  <si>
    <t>Fosfato circulante</t>
  </si>
  <si>
    <t>mg/dL o mmol/L</t>
  </si>
  <si>
    <t>Usar rango del laboratorio, edad y función renal.</t>
  </si>
  <si>
    <t>Ritmo circadiano, comidas, hormonas y función renal afectan valor.</t>
  </si>
  <si>
    <t>BIO-SE-SER</t>
  </si>
  <si>
    <t>Suero o plasma</t>
  </si>
  <si>
    <t>Estado reciente de selenio</t>
  </si>
  <si>
    <t>µg/L</t>
  </si>
  <si>
    <t>Puede apoyar evaluación en contextos específicos.</t>
  </si>
  <si>
    <t>Inflamación y forma suplementaria afectan interpretación.</t>
  </si>
  <si>
    <t>BIO-K-SER</t>
  </si>
  <si>
    <t>Suero/plasma</t>
  </si>
  <si>
    <t>Concentración extracelular</t>
  </si>
  <si>
    <t>mmol/L</t>
  </si>
  <si>
    <t>Alteraciones importantes requieren evaluación clínica rápida.</t>
  </si>
  <si>
    <t>Hemólisis, pH, insulina y redistribución pueden falsear o modificar valor; no mide ingesta.</t>
  </si>
  <si>
    <t>BIO-MG-SER</t>
  </si>
  <si>
    <t>Magnesio extracelular</t>
  </si>
  <si>
    <t>Útil para detectar alteraciones claras.</t>
  </si>
  <si>
    <t>Representa pequeña fracción corporal; puede ser normal con reservas bajas.</t>
  </si>
  <si>
    <t>BIO-NA-SER</t>
  </si>
  <si>
    <t>Balance de agua y sodio relativo</t>
  </si>
  <si>
    <t>Interpretar con osmolaridad, volumen y clínica.</t>
  </si>
  <si>
    <t>No estima consumo dietario de sodio.</t>
  </si>
  <si>
    <t>BIO-NA-URINE</t>
  </si>
  <si>
    <t>Sodio urinario de 24 horas</t>
  </si>
  <si>
    <t>Orina 24 h</t>
  </si>
  <si>
    <t>Aproximación a ingesta reciente</t>
  </si>
  <si>
    <t>mmol/d o mg/d</t>
  </si>
  <si>
    <t>Múltiples recolecciones mejoran estimación habitual.</t>
  </si>
  <si>
    <t>Recolección incompleta y variabilidad diaria limitan precisión.</t>
  </si>
  <si>
    <t>BIO-CL-SER</t>
  </si>
  <si>
    <t>Balance electrolítico y ácido–base</t>
  </si>
  <si>
    <t>Interpretar junto con sodio y bicarbonato.</t>
  </si>
  <si>
    <t>No refleja ingesta; depende de hidratación, riñón y pérdidas.</t>
  </si>
  <si>
    <t>BIO-A-RET</t>
  </si>
  <si>
    <t>Vitamina A circulante</t>
  </si>
  <si>
    <t>µmol/L o µg/dL</t>
  </si>
  <si>
    <t>Valores bajos pueden apoyar deficiencia en contexto apropiado.</t>
  </si>
  <si>
    <t>Homeostático; inflamación reduce retinol/RBP y limita interpretación individual.</t>
  </si>
  <si>
    <t>BIO-D-25OHD</t>
  </si>
  <si>
    <t>Estado de vitamina D</t>
  </si>
  <si>
    <t>ng/mL o nmol/L</t>
  </si>
  <si>
    <t>Usar criterio del laboratorio/guía; no existe un umbral único para todos los desenlaces.</t>
  </si>
  <si>
    <t>Variación estacional, método analítico, obesidad y enfermedad afectan interpretación.</t>
  </si>
  <si>
    <t>BIO-E-ATO</t>
  </si>
  <si>
    <t>Estado de vitamina E</t>
  </si>
  <si>
    <t>mg/L o relación con lípidos</t>
  </si>
  <si>
    <t>Interpretar junto con colesterol/triglicéridos.</t>
  </si>
  <si>
    <t>Concentración absoluta depende de lipoproteínas.</t>
  </si>
  <si>
    <t>BIO-K-PT</t>
  </si>
  <si>
    <t>Plasma</t>
  </si>
  <si>
    <t>Función de coagulación dependiente de vitamina K</t>
  </si>
  <si>
    <t>s o INR</t>
  </si>
  <si>
    <t>Se altera en deficiencia clínica importante.</t>
  </si>
  <si>
    <t>Poco sensible para deficiencia subclínica; muchos fármacos y enfermedades lo modifican.</t>
  </si>
  <si>
    <t>BIO-C-PLASMA</t>
  </si>
  <si>
    <t>Ingesta reciente/estado circulante</t>
  </si>
  <si>
    <t>µmol/L</t>
  </si>
  <si>
    <t>Usar protocolo de manejo de muestra y criterio local.</t>
  </si>
  <si>
    <t>Muy sensible a ingesta reciente, ayuno y estabilidad de muestra.</t>
  </si>
  <si>
    <t>BIO-B1-TDP</t>
  </si>
  <si>
    <t>Sangre total</t>
  </si>
  <si>
    <t>Forma coenzimática predominante</t>
  </si>
  <si>
    <t>nmol/L</t>
  </si>
  <si>
    <t>Prueba preferida en muchos laboratorios especializados.</t>
  </si>
  <si>
    <t>Método y preanalítica importan; no reemplaza tratamiento urgente en sospecha de Wernicke.</t>
  </si>
  <si>
    <t>BIO-B2-EGRAC</t>
  </si>
  <si>
    <t>Eritrocitos</t>
  </si>
  <si>
    <t>Estado funcional de riboflavina</t>
  </si>
  <si>
    <t>Razón</t>
  </si>
  <si>
    <t>Uso principalmente especializado/investigación.</t>
  </si>
  <si>
    <t>Método y puntos de corte no son universales.</t>
  </si>
  <si>
    <t>BIO-B3-URINE</t>
  </si>
  <si>
    <t>Orina</t>
  </si>
  <si>
    <t>Estado de niacina</t>
  </si>
  <si>
    <t>Disponible en evaluación especializada.</t>
  </si>
  <si>
    <t>No es prueba rutinaria y depende de recolección/creatinina.</t>
  </si>
  <si>
    <t>BIO-B6-PLP</t>
  </si>
  <si>
    <t>Estado de vitamina B6</t>
  </si>
  <si>
    <t>Biomarcador usado con mayor frecuencia.</t>
  </si>
  <si>
    <t>Disminuye con inflamación y otros factores; interpretar contexto.</t>
  </si>
  <si>
    <t>BIO-B9-SER</t>
  </si>
  <si>
    <t>Útil junto con hemograma y B12.</t>
  </si>
  <si>
    <t>Cambia con ingesta reciente; no representa reservas prolongadas por sí solo.</t>
  </si>
  <si>
    <t>BIO-B9-RBC</t>
  </si>
  <si>
    <t>Folato eritrocitario</t>
  </si>
  <si>
    <t>Estado de folato durante vida del eritrocito</t>
  </si>
  <si>
    <t>Puede reflejar estado más prolongado.</t>
  </si>
  <si>
    <t>Metodología compleja y variabilidad analítica.</t>
  </si>
  <si>
    <t>BIO-B12-SER</t>
  </si>
  <si>
    <t>B12 circulante total</t>
  </si>
  <si>
    <t>pg/mL o pmol/L</t>
  </si>
  <si>
    <t>Resultado bajo apoya deficiencia; zona intermedia requiere pruebas funcionales.</t>
  </si>
  <si>
    <t>Puede ser normal en deficiencia funcional o alterarse por proteínas transportadoras.</t>
  </si>
  <si>
    <t>BIO-B12-MMA</t>
  </si>
  <si>
    <t>Ácido metilmalónico</t>
  </si>
  <si>
    <t>Suero u orina</t>
  </si>
  <si>
    <t>Deficiencia funcional de B12</t>
  </si>
  <si>
    <t>nmol/L o unidades del laboratorio</t>
  </si>
  <si>
    <t>Aumenta con deficiencia de B12.</t>
  </si>
  <si>
    <t>También aumenta con insuficiencia renal y edad.</t>
  </si>
  <si>
    <t>BIO-B12-HCY</t>
  </si>
  <si>
    <t>Homocisteína</t>
  </si>
  <si>
    <t>Metabolismo de B12/folato/B6</t>
  </si>
  <si>
    <t>Marcador sensible pero no específico.</t>
  </si>
  <si>
    <t>Se altera por folato, B6, riñón, genética y otros factores.</t>
  </si>
  <si>
    <t>IG_ID</t>
  </si>
  <si>
    <t>Alimento_publicado</t>
  </si>
  <si>
    <t>País/ámbito</t>
  </si>
  <si>
    <t>IG-MANUAL</t>
  </si>
  <si>
    <t>El usuario aporta un valor publicado específico</t>
  </si>
  <si>
    <t>Registrar la fuente exacta en la hoja ÍNDICE_CARGA_GLICÉMICA.</t>
  </si>
  <si>
    <t>IG-LEG-CAT</t>
  </si>
  <si>
    <t>Legumbres (promedio de categoría)</t>
  </si>
  <si>
    <t>Promedio de múltiples alimentos/preparaciones</t>
  </si>
  <si>
    <t>Internacional</t>
  </si>
  <si>
    <t>Promedio de categoría; no sustituye el valor de una preparación o producto específico.</t>
  </si>
  <si>
    <t>IG-DAIRY-CAT</t>
  </si>
  <si>
    <t>Promedio de múltiples productos</t>
  </si>
  <si>
    <t>Promedio de categoría; composición y azúcares añadidos modifican el resultado.</t>
  </si>
  <si>
    <t>IG-RICE-WHITE</t>
  </si>
  <si>
    <t>Arroz blanco (promedio publicado)</t>
  </si>
  <si>
    <t>Promedio de variedades y preparaciones</t>
  </si>
  <si>
    <t>Varía por variedad, cocción, enfriamiento y procesamiento.</t>
  </si>
  <si>
    <t>IG-RICE-BROWN</t>
  </si>
  <si>
    <t>Arroz integral (promedio publicado)</t>
  </si>
  <si>
    <t>No emparejar automáticamente con un alimento INTA sin validar la preparación.</t>
  </si>
  <si>
    <t>IG-OATS-CAT</t>
  </si>
  <si>
    <t>Avena y muesli (promedio de categoría)</t>
  </si>
  <si>
    <t>Promedio de productos</t>
  </si>
  <si>
    <t>El grado de procesamiento y la formulación cambian el IG.</t>
  </si>
  <si>
    <t>IG-POTATO-CAT</t>
  </si>
  <si>
    <t>Papa (promedio de categoría)</t>
  </si>
  <si>
    <t>Amplia variabilidad por variedad, cocción, temperatura y estructura del alimento.</t>
  </si>
  <si>
    <t>Método_energético</t>
  </si>
  <si>
    <t>Mes</t>
  </si>
  <si>
    <t>Masculino kcal/kg/d</t>
  </si>
  <si>
    <t>Femenino kcal/kg/d</t>
  </si>
  <si>
    <t>Edad_entera</t>
  </si>
  <si>
    <t>Masculino_g_d</t>
  </si>
  <si>
    <t>Femenino_g_d</t>
  </si>
  <si>
    <t>Proteína_min</t>
  </si>
  <si>
    <t>Proteína_max</t>
  </si>
  <si>
    <t>Lípidos_min</t>
  </si>
  <si>
    <t>Lípidos_max</t>
  </si>
  <si>
    <t>CHO_min</t>
  </si>
  <si>
    <t>CHO_max</t>
  </si>
  <si>
    <t>Encabezado_INTA</t>
  </si>
  <si>
    <t>Disponible_INTA</t>
  </si>
  <si>
    <t>Índice_D_AO</t>
  </si>
  <si>
    <t>Inactivo</t>
  </si>
  <si>
    <t>FAO 2004 (0–18 años)</t>
  </si>
  <si>
    <t>FAO tabla 5.1</t>
  </si>
  <si>
    <t>Moderada</t>
  </si>
  <si>
    <t>Vestirse, ducharse</t>
  </si>
  <si>
    <t>Otro/No especificado</t>
  </si>
  <si>
    <t>Activo</t>
  </si>
  <si>
    <t>Intensa</t>
  </si>
  <si>
    <t>Método factorial</t>
  </si>
  <si>
    <t>Actividad alimentaria</t>
  </si>
  <si>
    <t>Muy activo</t>
  </si>
  <si>
    <t>NASEM EER 2023</t>
  </si>
  <si>
    <t>Cocinar</t>
  </si>
  <si>
    <t>Preparación de alimentos</t>
  </si>
  <si>
    <t>Manual</t>
  </si>
  <si>
    <t>Trabajo sedentario</t>
  </si>
  <si>
    <t>Actividad doméstica</t>
  </si>
  <si>
    <t>Transporte</t>
  </si>
  <si>
    <t>Transporte sentado</t>
  </si>
  <si>
    <t>De pie / cargas ligeras</t>
  </si>
  <si>
    <t>Trabajo ligero</t>
  </si>
  <si>
    <t>Ritmos variables</t>
  </si>
  <si>
    <t>TV, conversar</t>
  </si>
  <si>
    <t>Ejercicio aeróbico bajo</t>
  </si>
  <si>
    <t>Ejemplo FAO</t>
  </si>
  <si>
    <t>Trabajo agrícola no mecanizado</t>
  </si>
  <si>
    <t>Actividad vigorosa</t>
  </si>
  <si>
    <t>Recolectar agua/leña</t>
  </si>
  <si>
    <t>Tareas domésticas no mecanizadas</t>
  </si>
  <si>
    <t>Barrer/lavar a mano</t>
  </si>
  <si>
    <t>NUTRIMETRÍA · NMX-43  |  DOCUMENTACIÓN</t>
  </si>
  <si>
    <t>Guía de uso, arquitectura, motores, decisiones, limitaciones y verificación manual.</t>
  </si>
  <si>
    <t>ESTADO DE LA DOCUMENTACIÓN Y CONTROL DE CALIDAD</t>
  </si>
  <si>
    <t>FLUJO RECOMENDADO</t>
  </si>
  <si>
    <t>1</t>
  </si>
  <si>
    <t>Complete DATOS y revise el estado LISTO.</t>
  </si>
  <si>
    <t>2</t>
  </si>
  <si>
    <t>Revise ENERGÍA, MACRONUTRIENTES y AGUA_FIBRA.</t>
  </si>
  <si>
    <t>3</t>
  </si>
  <si>
    <t>Use FUENTES_ALIMENTARIAS para ingresar hasta 10 alimentos y gramajes.</t>
  </si>
  <si>
    <t>4</t>
  </si>
  <si>
    <t>Consulte REQUERIMIENTOS y FICHA_NUTRIENTE.</t>
  </si>
  <si>
    <t>5</t>
  </si>
  <si>
    <t>Revise RESULTADOS, casos y resumen de estudio.</t>
  </si>
  <si>
    <t>6</t>
  </si>
  <si>
    <t>Consulte FUENTES, PRUEBAS, OBSERVACIONES y COBERTURA antes de distribuir.</t>
  </si>
  <si>
    <t>GUÍA DE HOJAS</t>
  </si>
  <si>
    <t>¿Editar?</t>
  </si>
  <si>
    <t>Entradas principales</t>
  </si>
  <si>
    <t>Salida</t>
  </si>
  <si>
    <t>Interfaz</t>
  </si>
  <si>
    <t>INICIO</t>
  </si>
  <si>
    <t>Portada, estado y accesos rápidos.</t>
  </si>
  <si>
    <t>Ninguna</t>
  </si>
  <si>
    <t>Navegación y resumen del proyecto.</t>
  </si>
  <si>
    <t>Punto de entrada recomendado.</t>
  </si>
  <si>
    <t>Perfil único del caso académico.</t>
  </si>
  <si>
    <t>Identificación, antropometría, fisiología, actividad y distribución.</t>
  </si>
  <si>
    <t>Variables utilizadas por los motores.</t>
  </si>
  <si>
    <t>Celdas amarillas editables.</t>
  </si>
  <si>
    <t>Cálculo y comparación energética.</t>
  </si>
  <si>
    <t>Parcial</t>
  </si>
  <si>
    <t>Tabla factorial de 24 horas.</t>
  </si>
  <si>
    <t>Schofield, FAO, NASEM y método factorial.</t>
  </si>
  <si>
    <t>Revisar dominio de aplicabilidad.</t>
  </si>
  <si>
    <t>Distribución de proteína, grasa y CHO.</t>
  </si>
  <si>
    <t>No directo</t>
  </si>
  <si>
    <t>Lee DATOS.</t>
  </si>
  <si>
    <t>Gramos, kcal, porcentajes y cierre energético.</t>
  </si>
  <si>
    <t>Las entradas se cambian en DATOS.</t>
  </si>
  <si>
    <t>Cálculo de IG y carga glicémica.</t>
  </si>
  <si>
    <t>Alimento/categoría, IG manual, CHO y fuente.</t>
  </si>
  <si>
    <t>IG efectivo, carga y clasificación.</t>
  </si>
  <si>
    <t>Valor manual exige fuente específica.</t>
  </si>
  <si>
    <t>RDA/AI y adecuación de agua/fibra.</t>
  </si>
  <si>
    <t>Referencias, ingesta y porcentaje.</t>
  </si>
  <si>
    <t>Agua total incluye bebidas y alimentos.</t>
  </si>
  <si>
    <t>Consulta</t>
  </si>
  <si>
    <t>NUTRIENTES</t>
  </si>
  <si>
    <t>Catálogo maestro de 23 nutrientes.</t>
  </si>
  <si>
    <t>ID, unidad, disponibilidad y estado.</t>
  </si>
  <si>
    <t>Base de selectores.</t>
  </si>
  <si>
    <t>FICHA_NUTRIENTE</t>
  </si>
  <si>
    <t>Ficha académica automatizada.</t>
  </si>
  <si>
    <t>Selector de nutriente.</t>
  </si>
  <si>
    <t>Metabolismo, déficit, exceso, fuentes y referencias.</t>
  </si>
  <si>
    <t>Uso educativo.</t>
  </si>
  <si>
    <t>Cálculo por alimento y gramaje.</t>
  </si>
  <si>
    <t>Nutriente, alimentos, porción textual y gramaje.</t>
  </si>
  <si>
    <t>Aporte, % referencia, ND y ranking.</t>
  </si>
  <si>
    <t>Máximo 10 alimentos por caso.</t>
  </si>
  <si>
    <t>Consulta de RDA/AI y UL/CDRR.</t>
  </si>
  <si>
    <t>Selector de nutriente; perfil desde DATOS.</t>
  </si>
  <si>
    <t>Matriz por ciclo vital.</t>
  </si>
  <si>
    <t>EAR completa permanece parcial.</t>
  </si>
  <si>
    <t>Interacciones filtradas.</t>
  </si>
  <si>
    <t>Mecanismo, dirección, relevancia y fuente.</t>
  </si>
  <si>
    <t>No modificar medicamentos.</t>
  </si>
  <si>
    <t>Biomarcadores y limitaciones.</t>
  </si>
  <si>
    <t>Examen, muestra, utilidad y limitaciones.</t>
  </si>
  <si>
    <t>Estudio</t>
  </si>
  <si>
    <t>CASOS_CLÍNICOS</t>
  </si>
  <si>
    <t>Casos educativos por nutriente.</t>
  </si>
  <si>
    <t>Preguntas e interpretación esperada.</t>
  </si>
  <si>
    <t>Casos ficticios.</t>
  </si>
  <si>
    <t>Resultados</t>
  </si>
  <si>
    <t>Panel integrado del caso.</t>
  </si>
  <si>
    <t>Lee todos los módulos.</t>
  </si>
  <si>
    <t>Energía, macros, agua, fibra, IG/CG y micronutrientes.</t>
  </si>
  <si>
    <t>No es diagnóstico.</t>
  </si>
  <si>
    <t>RESUMEN_ESTUDIO</t>
  </si>
  <si>
    <t>Matriz de repaso rápido.</t>
  </si>
  <si>
    <t>Resumen de 23 nutrientes y aporte demo.</t>
  </si>
  <si>
    <t>Filtrable mediante tabla.</t>
  </si>
  <si>
    <t>Registro de trazabilidad.</t>
  </si>
  <si>
    <t>Fuente_ID, URL, nivel y estado.</t>
  </si>
  <si>
    <t>Toda cifra debe remitir a una fuente.</t>
  </si>
  <si>
    <t>Pruebas ejecutadas y pendientes.</t>
  </si>
  <si>
    <t>Resultado obtenido, esperado y estado.</t>
  </si>
  <si>
    <t>No aprobar controles no ejecutados.</t>
  </si>
  <si>
    <t>CONFIG</t>
  </si>
  <si>
    <t>Constantes y políticas.</t>
  </si>
  <si>
    <t>Solo desarrollo</t>
  </si>
  <si>
    <t>Constantes y umbrales.</t>
  </si>
  <si>
    <t>Factores y límites trazables.</t>
  </si>
  <si>
    <t>Modificar con control de cambios.</t>
  </si>
  <si>
    <t>DICCIONARIO</t>
  </si>
  <si>
    <t>Definiciones operativas.</t>
  </si>
  <si>
    <t>EAR, RDA, AI, UL, ND, CDRR, etc.</t>
  </si>
  <si>
    <t>Evita mezclar conceptos.</t>
  </si>
  <si>
    <t>OBSERVACIONES</t>
  </si>
  <si>
    <t>Riesgos, discrepancias y pendientes.</t>
  </si>
  <si>
    <t>Estado de limitaciones.</t>
  </si>
  <si>
    <t>Incluye licencia INTA.</t>
  </si>
  <si>
    <t>CHANGELOG</t>
  </si>
  <si>
    <t>Historial por versión/fase.</t>
  </si>
  <si>
    <t>Cambios y estado.</t>
  </si>
  <si>
    <t>Registrar cada modificación.</t>
  </si>
  <si>
    <t>Documentación</t>
  </si>
  <si>
    <t>Manual técnico y de uso.</t>
  </si>
  <si>
    <t>Arquitectura, motores, decisiones y checklist.</t>
  </si>
  <si>
    <t>Creada en Fase 7.</t>
  </si>
  <si>
    <t>Cobertura del portafolio.</t>
  </si>
  <si>
    <t>Requisitos incluidos, parciales y pendientes.</t>
  </si>
  <si>
    <t>Técnica</t>
  </si>
  <si>
    <t>ALIMENTOS_INTA</t>
  </si>
  <si>
    <t>Base de 618 alimentos y 34 componentes.</t>
  </si>
  <si>
    <t>No editar.</t>
  </si>
  <si>
    <t>Valores por 100 g.</t>
  </si>
  <si>
    <t>s/i no equivale a cero.</t>
  </si>
  <si>
    <t>CALCULOS_ENERGÍA</t>
  </si>
  <si>
    <t>Motor auxiliar energético.</t>
  </si>
  <si>
    <t>Ecuaciones y resultados intermedios.</t>
  </si>
  <si>
    <t>Hoja técnica.</t>
  </si>
  <si>
    <t>CALCULOS_NUTRIENTES</t>
  </si>
  <si>
    <t>Motor de macros y aporte alimentario.</t>
  </si>
  <si>
    <t>Matrices por alimentos y nutrientes.</t>
  </si>
  <si>
    <t>CALCULOS_ADECUACIÓN</t>
  </si>
  <si>
    <t>Adecuación y límites.</t>
  </si>
  <si>
    <t>RDA/AI, UL/CDRR, ND y estados.</t>
  </si>
  <si>
    <t>Matriz normalizada de referencias.</t>
  </si>
  <si>
    <t>468 filas de macro y micronutrientes.</t>
  </si>
  <si>
    <t>EAR completa no cargada.</t>
  </si>
  <si>
    <t>FICHAS_BASE</t>
  </si>
  <si>
    <t>Contenido de 23 fichas.</t>
  </si>
  <si>
    <t>414 registros normalizados.</t>
  </si>
  <si>
    <t>Fuente y estado por campo.</t>
  </si>
  <si>
    <t>INTERACCIONES_BASE</t>
  </si>
  <si>
    <t>Base de interacciones.</t>
  </si>
  <si>
    <t>35 registros.</t>
  </si>
  <si>
    <t>Fuente y evidencia.</t>
  </si>
  <si>
    <t>BIOMARCADORES_BASE</t>
  </si>
  <si>
    <t>Base de biomarcadores.</t>
  </si>
  <si>
    <t>26 registros.</t>
  </si>
  <si>
    <t>Incluye limitaciones.</t>
  </si>
  <si>
    <t>Base de casos académicos.</t>
  </si>
  <si>
    <t>23 casos.</t>
  </si>
  <si>
    <t>Uno por nutriente.</t>
  </si>
  <si>
    <t>Valores de IG y trazabilidad.</t>
  </si>
  <si>
    <t>No salvo desarrollo</t>
  </si>
  <si>
    <t>Registro publicado o manual.</t>
  </si>
  <si>
    <t>IG por alimento/categoría.</t>
  </si>
  <si>
    <t>No emparejar sin validar.</t>
  </si>
  <si>
    <t>LISTAS</t>
  </si>
  <si>
    <t>Catálogos y mapeos.</t>
  </si>
  <si>
    <t>Validaciones, actividades y encabezados INTA.</t>
  </si>
  <si>
    <t>AUDITORÍA_FINAL</t>
  </si>
  <si>
    <t>Auditoría automatizada y entrega final.</t>
  </si>
  <si>
    <t>Estado final, pruebas y pendientes.</t>
  </si>
  <si>
    <t>Creada en Fase 8.</t>
  </si>
  <si>
    <t>MOTORES Y FÓRMULAS PRINCIPALES</t>
  </si>
  <si>
    <t>Motor</t>
  </si>
  <si>
    <t>Lógica</t>
  </si>
  <si>
    <t>Hojas</t>
  </si>
  <si>
    <t>Limitación</t>
  </si>
  <si>
    <t>E-01</t>
  </si>
  <si>
    <t>TMB = coeficiente por peso + constante según sexo/edad.</t>
  </si>
  <si>
    <t>ENERGÍA; CALCULOS_ENERGÍA</t>
  </si>
  <si>
    <t>Estimación poblacional, no medición.</t>
  </si>
  <si>
    <t>E-02</t>
  </si>
  <si>
    <t>FAO/WHO/UNU 0–18</t>
  </si>
  <si>
    <t>Ecuaciones por edad/sexo, crecimiento y ajuste de actividad.</t>
  </si>
  <si>
    <t>Aplicabilidad pediátrica.</t>
  </si>
  <si>
    <t>E-03</t>
  </si>
  <si>
    <t>PAL = Σ(horas × PAR) / 24; GET = TMB × PAL.</t>
  </si>
  <si>
    <t>Las horas deben sumar 24.</t>
  </si>
  <si>
    <t>E-04</t>
  </si>
  <si>
    <t>EER según edad, sexo, peso, talla, actividad y fisiología.</t>
  </si>
  <si>
    <t>Comparador moderno.</t>
  </si>
  <si>
    <t>E-05</t>
  </si>
  <si>
    <t>Macronutrientes 4-9-4</t>
  </si>
  <si>
    <t>g = energía × porcentaje / factor energético.</t>
  </si>
  <si>
    <t>Factores generales.</t>
  </si>
  <si>
    <t>E-06</t>
  </si>
  <si>
    <t>CG = IG × CHO disponibles de la porción / 100.</t>
  </si>
  <si>
    <t>Depende de porción y preparación.</t>
  </si>
  <si>
    <t>E-07</t>
  </si>
  <si>
    <t>Aporte por alimento</t>
  </si>
  <si>
    <t>Aporte = valor/100 g × gramaje / 100.</t>
  </si>
  <si>
    <t>s/i se conserva como ND.</t>
  </si>
  <si>
    <t>E-08</t>
  </si>
  <si>
    <t>Resolución DRI</t>
  </si>
  <si>
    <t>Coincidencia por nutriente, edad, sexo y estado fisiológico.</t>
  </si>
  <si>
    <t>REQUERIMIENTOS; DRI_BASE</t>
  </si>
  <si>
    <t>RDA/AI y UL/CDRR separados.</t>
  </si>
  <si>
    <t>E-09</t>
  </si>
  <si>
    <t>% = aporte conocido / RDA o AI × 100.</t>
  </si>
  <si>
    <t>CALCULOS_ADECUACIÓN; RESULTADOS</t>
  </si>
  <si>
    <t>No equivale a diagnóstico.</t>
  </si>
  <si>
    <t>E-10</t>
  </si>
  <si>
    <t>Política ND</t>
  </si>
  <si>
    <t>Suma valores conocidos y cuenta ND por separado.</t>
  </si>
  <si>
    <t>FUENTES_ALIMENTARIAS; RESULTADOS</t>
  </si>
  <si>
    <t>ND nunca se convierte en cero.</t>
  </si>
  <si>
    <t>DECISIONES METODOLÓGICAS</t>
  </si>
  <si>
    <t>Decisión</t>
  </si>
  <si>
    <t>Selección</t>
  </si>
  <si>
    <t>D-01</t>
  </si>
  <si>
    <t>Sistema principal de energía</t>
  </si>
  <si>
    <t>FAO/WHO/UNU; NASEM como comparador.</t>
  </si>
  <si>
    <t>Evita promediar sistemas incompatibles.</t>
  </si>
  <si>
    <t>D-02</t>
  </si>
  <si>
    <t>Sistema principal DRI</t>
  </si>
  <si>
    <t>Estados Unidos/Canadá.</t>
  </si>
  <si>
    <t>EFSA no se mezcla en el motor.</t>
  </si>
  <si>
    <t>D-03</t>
  </si>
  <si>
    <t>Composición alimentaria</t>
  </si>
  <si>
    <t>Base INTA incorporada desde NMX-21.</t>
  </si>
  <si>
    <t>Uso académico privado; licencia comercial pendiente.</t>
  </si>
  <si>
    <t>D-04</t>
  </si>
  <si>
    <t>Se utilizan carbohidratos disponibles cuando la base lo informa.</t>
  </si>
  <si>
    <t>Necesario para energía y carga glicémica.</t>
  </si>
  <si>
    <t>D-05</t>
  </si>
  <si>
    <t>Datos ausentes</t>
  </si>
  <si>
    <t>s/i y ND permanecen ausentes.</t>
  </si>
  <si>
    <t>No se imputan ceros.</t>
  </si>
  <si>
    <t>D-06</t>
  </si>
  <si>
    <t>Se identifica como B7 y se documenta la mención B8 del portafolio.</t>
  </si>
  <si>
    <t>No se corrige silenciosamente.</t>
  </si>
  <si>
    <t>D-07</t>
  </si>
  <si>
    <t>Se usa cloruro, no cloro elemental.</t>
  </si>
  <si>
    <t>Composición alimentaria ND en INTA.</t>
  </si>
  <si>
    <t>D-08</t>
  </si>
  <si>
    <t>No se completó sin fuente primaria íntegra.</t>
  </si>
  <si>
    <t>La cobertura se marca parcial.</t>
  </si>
  <si>
    <t>D-09</t>
  </si>
  <si>
    <t>Texto editable sin conversión automática.</t>
  </si>
  <si>
    <t>INTA no documenta medidas caseras.</t>
  </si>
  <si>
    <t>D-10</t>
  </si>
  <si>
    <t>No se cargan rangos universales.</t>
  </si>
  <si>
    <t>Método y laboratorio modifican la interpretación.</t>
  </si>
  <si>
    <t>D-11</t>
  </si>
  <si>
    <t>Medicamentos</t>
  </si>
  <si>
    <t>Las interacciones no autorizan cambios de tratamiento.</t>
  </si>
  <si>
    <t>Requieren equipo tratante.</t>
  </si>
  <si>
    <t>D-12</t>
  </si>
  <si>
    <t>Casos</t>
  </si>
  <si>
    <t>Ficticios y educativos.</t>
  </si>
  <si>
    <t>No representan diagnóstico individual.</t>
  </si>
  <si>
    <t>D-13</t>
  </si>
  <si>
    <t>Semáforos</t>
  </si>
  <si>
    <t>Umbrales técnicos configurables.</t>
  </si>
  <si>
    <t>No sustituyen UL ni criterios clínicos.</t>
  </si>
  <si>
    <t>D-14</t>
  </si>
  <si>
    <t>Macros</t>
  </si>
  <si>
    <t>Sin VBA/macros.</t>
  </si>
  <si>
    <t>Compatibilidad y seguridad.</t>
  </si>
  <si>
    <t>D-15</t>
  </si>
  <si>
    <t>Compatibilidad objetivo</t>
  </si>
  <si>
    <t>Microsoft 365 / Excel 2021.</t>
  </si>
  <si>
    <t>Se usan XLOOKUP, FILTER, LET y TEXTJOIN.</t>
  </si>
  <si>
    <t>LIMITACIONES Y SEGURIDAD</t>
  </si>
  <si>
    <t>L-01</t>
  </si>
  <si>
    <t>Redistribución comercial bloqueada hasta confirmar licencia y atribución.</t>
  </si>
  <si>
    <t>L-02</t>
  </si>
  <si>
    <t>EAR incompletas</t>
  </si>
  <si>
    <t>La matriz contiene RDA/AI y UL/CDRR; no todas las EAR.</t>
  </si>
  <si>
    <t>PARCIAL</t>
  </si>
  <si>
    <t>L-03</t>
  </si>
  <si>
    <t>Alimentos seleccionados</t>
  </si>
  <si>
    <t>El módulo cuantitativo usa hasta 10 alimentos, no la dieta completa.</t>
  </si>
  <si>
    <t>L-04</t>
  </si>
  <si>
    <t>Biotina y cloruro</t>
  </si>
  <si>
    <t>Tienen referencia, pero no composición en la base INTA incorporada.</t>
  </si>
  <si>
    <t>L-05</t>
  </si>
  <si>
    <t>Los valores de categoría no sustituyen un valor específico compatible.</t>
  </si>
  <si>
    <t>L-06</t>
  </si>
  <si>
    <t>Ecuaciones energéticas</t>
  </si>
  <si>
    <t>Tienen error predictivo individual.</t>
  </si>
  <si>
    <t>L-07</t>
  </si>
  <si>
    <t>Poblaciones clínicas</t>
  </si>
  <si>
    <t>Las DRI se orientan principalmente a personas sanas.</t>
  </si>
  <si>
    <t>L-08</t>
  </si>
  <si>
    <t>Rangos de laboratorio</t>
  </si>
  <si>
    <t>No se incluyen rangos universales.</t>
  </si>
  <si>
    <t>L-09</t>
  </si>
  <si>
    <t>Protección de hoja</t>
  </si>
  <si>
    <t>El editor utilizado no expone protección de hoja; requiere comprobación manual en Excel.</t>
  </si>
  <si>
    <t>L-10</t>
  </si>
  <si>
    <t>Áreas de impresión</t>
  </si>
  <si>
    <t>El editor utilizado no expone page setup; requiere configuración manual en Excel.</t>
  </si>
  <si>
    <t>L-11</t>
  </si>
  <si>
    <t>Recalculo Excel</t>
  </si>
  <si>
    <t>Debe comprobarse en Excel de escritorio antes de distribución.</t>
  </si>
  <si>
    <t>L-12</t>
  </si>
  <si>
    <t>Validación clínica</t>
  </si>
  <si>
    <t>No se declara validación clínica.</t>
  </si>
  <si>
    <t>NO APLICA</t>
  </si>
  <si>
    <t>CHECKLIST MANUAL EN MICROSOFT EXCEL</t>
  </si>
  <si>
    <t>Comprobación</t>
  </si>
  <si>
    <t>M-01</t>
  </si>
  <si>
    <t>Abrir en Microsoft Excel 365/2021</t>
  </si>
  <si>
    <t>El archivo abre sin reparación y recalcula.</t>
  </si>
  <si>
    <t>M-02</t>
  </si>
  <si>
    <t>Proteger hojas de fórmulas</t>
  </si>
  <si>
    <t>Bloquear fórmulas y hojas técnicas; permitir seleccionar celdas desbloqueadas.</t>
  </si>
  <si>
    <t>M-03</t>
  </si>
  <si>
    <t>Desbloquear entradas</t>
  </si>
  <si>
    <t>DATOS B8:B32; ENERGÍA A23:B34; IG B10:B15/D15; selectores C7:D7; alimentos B13:B22/E13:F22.</t>
  </si>
  <si>
    <t>M-04</t>
  </si>
  <si>
    <t>Configurar impresión</t>
  </si>
  <si>
    <t>Definir áreas de impresión según la tabla de esta guía.</t>
  </si>
  <si>
    <t>M-05</t>
  </si>
  <si>
    <t>Repetir encabezados</t>
  </si>
  <si>
    <t>Repetir filas de encabezado en tablas extensas.</t>
  </si>
  <si>
    <t>M-06</t>
  </si>
  <si>
    <t>Probar desplegables</t>
  </si>
  <si>
    <t>Cambiar sexo, estado fisiológico, nutrientes y alimentos.</t>
  </si>
  <si>
    <t>M-07</t>
  </si>
  <si>
    <t>Probar datos ND</t>
  </si>
  <si>
    <t>Elegir biotina/cloruro y alimentos con s/i.</t>
  </si>
  <si>
    <t>M-08</t>
  </si>
  <si>
    <t>Guardar y reabrir</t>
  </si>
  <si>
    <t>Confirmar que fórmulas, tablas, validaciones y gráficos persisten.</t>
  </si>
  <si>
    <t>M-09</t>
  </si>
  <si>
    <t>Verificar impresión PDF</t>
  </si>
  <si>
    <t>Revisar cortes de texto, orientación y escalado.</t>
  </si>
  <si>
    <t>M-10</t>
  </si>
  <si>
    <t>Registrar resultado</t>
  </si>
  <si>
    <t>Actualizar PRUEBAS T-69/T-70 y CHANGELOG tras completar la revisión.</t>
  </si>
  <si>
    <t>OBJETIVOS DE IMPRESIÓN PARA LA VERIFICACIÓN MANUAL</t>
  </si>
  <si>
    <t>Área sugerida</t>
  </si>
  <si>
    <t>Orientación</t>
  </si>
  <si>
    <t>Escalado</t>
  </si>
  <si>
    <t>A1:N41</t>
  </si>
  <si>
    <t>Horizontal</t>
  </si>
  <si>
    <t>1 página de ancho</t>
  </si>
  <si>
    <t>A1:F32</t>
  </si>
  <si>
    <t>Vertical</t>
  </si>
  <si>
    <t>A1:N37</t>
  </si>
  <si>
    <t>A1:J24</t>
  </si>
  <si>
    <t>A1:J31</t>
  </si>
  <si>
    <t>A1:K28</t>
  </si>
  <si>
    <t>A1:N66</t>
  </si>
  <si>
    <t>A1:N42</t>
  </si>
  <si>
    <t>A1:O39</t>
  </si>
  <si>
    <t>A1:H60</t>
  </si>
  <si>
    <t>A1:N48</t>
  </si>
  <si>
    <t>A1:O30</t>
  </si>
  <si>
    <t>A1:L44</t>
  </si>
  <si>
    <t>Ajustar a 1 página de ancho</t>
  </si>
  <si>
    <t>A1:J70</t>
  </si>
  <si>
    <t>A1:G130</t>
  </si>
  <si>
    <t>A1:G61</t>
  </si>
  <si>
    <t>NUTRIMETRÍA · NMX-43  |  COBERTURA</t>
  </si>
  <si>
    <t>Matriz de cobertura del portafolio y estado de implementación de NMX-43.</t>
  </si>
  <si>
    <t>RESUMEN DE COBERTURA</t>
  </si>
  <si>
    <t>Requisito</t>
  </si>
  <si>
    <t>Hoja/módulo</t>
  </si>
  <si>
    <t>Implementación</t>
  </si>
  <si>
    <t>Fuente/evidencia</t>
  </si>
  <si>
    <t>P-01</t>
  </si>
  <si>
    <t>Energía FAO 0–18 años</t>
  </si>
  <si>
    <t>Motor de cálculo</t>
  </si>
  <si>
    <t>INCLUIDO</t>
  </si>
  <si>
    <t>Distingue edad, sexo y actividad.</t>
  </si>
  <si>
    <t>P-02</t>
  </si>
  <si>
    <t>Por sexo y grupo etario.</t>
  </si>
  <si>
    <t>P-03</t>
  </si>
  <si>
    <t>Tabla 24 horas</t>
  </si>
  <si>
    <t>Control de suma de horas.</t>
  </si>
  <si>
    <t>P-04</t>
  </si>
  <si>
    <t>Comparación energética</t>
  </si>
  <si>
    <t>ENERGÍA; RESULTADOS</t>
  </si>
  <si>
    <t>Comparador</t>
  </si>
  <si>
    <t>Fuentes de cada método</t>
  </si>
  <si>
    <t>No promedia sistemas.</t>
  </si>
  <si>
    <t>P-05</t>
  </si>
  <si>
    <t>Proteínas ciclo vital</t>
  </si>
  <si>
    <t>MACRONUTRIENTES; DRI_BASE</t>
  </si>
  <si>
    <t>Cálculo y referencia</t>
  </si>
  <si>
    <t>RDA/AI.</t>
  </si>
  <si>
    <t>P-06</t>
  </si>
  <si>
    <t>Lípidos ciclo vital</t>
  </si>
  <si>
    <t>AMDR y gramos</t>
  </si>
  <si>
    <t>Distribución energética.</t>
  </si>
  <si>
    <t>P-07</t>
  </si>
  <si>
    <t>Carbohidratos ciclo vital</t>
  </si>
  <si>
    <t>RDA/AI y gramos</t>
  </si>
  <si>
    <t>CHO disponibles en base.</t>
  </si>
  <si>
    <t>P-08</t>
  </si>
  <si>
    <t>ÍNDICE_CARGA_GLICÉMICA; IG_BASE</t>
  </si>
  <si>
    <t>Consulta y entrada manual</t>
  </si>
  <si>
    <t>Advertencia de variabilidad.</t>
  </si>
  <si>
    <t>P-09</t>
  </si>
  <si>
    <t>Cálculo</t>
  </si>
  <si>
    <t>P-10</t>
  </si>
  <si>
    <t>AGUA_FIBRA; DRI_BASE</t>
  </si>
  <si>
    <t>AI y adecuación</t>
  </si>
  <si>
    <t>ND en grupos sin referencia.</t>
  </si>
  <si>
    <t>P-11</t>
  </si>
  <si>
    <t>Agua total, no solo bebida.</t>
  </si>
  <si>
    <t>P-12</t>
  </si>
  <si>
    <t>23 vitaminas y minerales</t>
  </si>
  <si>
    <t>Catálogo</t>
  </si>
  <si>
    <t>10 minerales y 13 vitaminas.</t>
  </si>
  <si>
    <t>P-13</t>
  </si>
  <si>
    <t>Identificación uniforme</t>
  </si>
  <si>
    <t>FICHA_NUTRIENTE; FICHAS_BASE</t>
  </si>
  <si>
    <t>Ficha automática</t>
  </si>
  <si>
    <t>Nombre, símbolo, clase y unidad.</t>
  </si>
  <si>
    <t>P-14</t>
  </si>
  <si>
    <t>Funciones fisiológicas</t>
  </si>
  <si>
    <t>Resumen educativo</t>
  </si>
  <si>
    <t>Fuentes ODS</t>
  </si>
  <si>
    <t>3–5 funciones.</t>
  </si>
  <si>
    <t>P-15</t>
  </si>
  <si>
    <t>Metabolismo resumido</t>
  </si>
  <si>
    <t>Secuencia metabólica</t>
  </si>
  <si>
    <t>Ingesta a excreción.</t>
  </si>
  <si>
    <t>P-16</t>
  </si>
  <si>
    <t>Absorción y biodisponibilidad</t>
  </si>
  <si>
    <t>Resumen</t>
  </si>
  <si>
    <t>Factores favorables/desfavorables.</t>
  </si>
  <si>
    <t>P-17</t>
  </si>
  <si>
    <t>Transporte y almacenamiento</t>
  </si>
  <si>
    <t>Por nutriente.</t>
  </si>
  <si>
    <t>P-18</t>
  </si>
  <si>
    <t>EAR, RDA, AI y UL</t>
  </si>
  <si>
    <t>Matriz separada</t>
  </si>
  <si>
    <t>RDA/AI y UL/CDRR cargados; EAR incompletas.</t>
  </si>
  <si>
    <t>P-19</t>
  </si>
  <si>
    <t>Ciclo vital y fisiología</t>
  </si>
  <si>
    <t>Selector automático</t>
  </si>
  <si>
    <t>Edad, sexo, embarazo y lactancia.</t>
  </si>
  <si>
    <t>P-20</t>
  </si>
  <si>
    <t>Cinco fuentes alimentarias</t>
  </si>
  <si>
    <t>Fuentes cualitativas</t>
  </si>
  <si>
    <t>Alimentos habituales.</t>
  </si>
  <si>
    <t>P-21</t>
  </si>
  <si>
    <t>Aporte por porción y gramaje</t>
  </si>
  <si>
    <t>Motor cuantitativo</t>
  </si>
  <si>
    <t>Hasta 10 alimentos.</t>
  </si>
  <si>
    <t>P-22</t>
  </si>
  <si>
    <t>Porcentaje de RDA/AI</t>
  </si>
  <si>
    <t>Solo aporte conocido.</t>
  </si>
  <si>
    <t>P-23</t>
  </si>
  <si>
    <t>Síntomas y grupos de riesgo.</t>
  </si>
  <si>
    <t>P-24</t>
  </si>
  <si>
    <t>Exceso/toxicidad</t>
  </si>
  <si>
    <t>Fuentes ODS/DRI</t>
  </si>
  <si>
    <t>Distingue suplemento/alimento.</t>
  </si>
  <si>
    <t>P-25</t>
  </si>
  <si>
    <t>Interacciones nutriente–nutriente</t>
  </si>
  <si>
    <t>Base filtrable</t>
  </si>
  <si>
    <t>Dirección y relevancia.</t>
  </si>
  <si>
    <t>P-26</t>
  </si>
  <si>
    <t>Interacciones medicamento–nutriente</t>
  </si>
  <si>
    <t>Sin cambios de tratamiento.</t>
  </si>
  <si>
    <t>P-27</t>
  </si>
  <si>
    <t>P-28</t>
  </si>
  <si>
    <t>Aplicaciones clínicas</t>
  </si>
  <si>
    <t>P-29</t>
  </si>
  <si>
    <t>Caso clínico por nutriente</t>
  </si>
  <si>
    <t>CASOS_CLÍNICOS; CASOS_BASE</t>
  </si>
  <si>
    <t>23 casos</t>
  </si>
  <si>
    <t>Ficticios.</t>
  </si>
  <si>
    <t>P-30</t>
  </si>
  <si>
    <t>Perlas clínicas</t>
  </si>
  <si>
    <t>3–5 ideas.</t>
  </si>
  <si>
    <t>P-31</t>
  </si>
  <si>
    <t>Mínimo dos referencias</t>
  </si>
  <si>
    <t>FICHA_NUTRIENTE; FUENTES</t>
  </si>
  <si>
    <t>Fuente principal + normativa</t>
  </si>
  <si>
    <t>Registrado por ficha.</t>
  </si>
  <si>
    <t>P-32</t>
  </si>
  <si>
    <t>Tratamiento ND</t>
  </si>
  <si>
    <t>Política técnica</t>
  </si>
  <si>
    <t>No convierte ausente en cero.</t>
  </si>
  <si>
    <t>P-33</t>
  </si>
  <si>
    <t>REQUERIMIENTOS; RESULTADOS</t>
  </si>
  <si>
    <t>Referencia con composición ND</t>
  </si>
  <si>
    <t>DRI/ODS</t>
  </si>
  <si>
    <t>Limitación visible.</t>
  </si>
  <si>
    <t>P-34</t>
  </si>
  <si>
    <t>Resumen de estudio</t>
  </si>
  <si>
    <t>Tabla filtrable</t>
  </si>
  <si>
    <t>Derivado de fichas</t>
  </si>
  <si>
    <t>23 nutrientes.</t>
  </si>
  <si>
    <t>P-35</t>
  </si>
  <si>
    <t>Tabla de gobernanza</t>
  </si>
  <si>
    <t>Múltiples</t>
  </si>
  <si>
    <t>Fuente_ID y estado.</t>
  </si>
  <si>
    <t>P-36</t>
  </si>
  <si>
    <t>Pruebas independientes</t>
  </si>
  <si>
    <t>70 controles</t>
  </si>
  <si>
    <t>67 aprobadas y 3 pendientes manuales.</t>
  </si>
  <si>
    <t>P-37</t>
  </si>
  <si>
    <t>Configuración central</t>
  </si>
  <si>
    <t>Constantes y políticas</t>
  </si>
  <si>
    <t>Fuentes por parámetro</t>
  </si>
  <si>
    <t>Sin números ocultos principales.</t>
  </si>
  <si>
    <t>P-38</t>
  </si>
  <si>
    <t>Diccionario</t>
  </si>
  <si>
    <t>Definiciones</t>
  </si>
  <si>
    <t>Terminología DRI.</t>
  </si>
  <si>
    <t>P-39</t>
  </si>
  <si>
    <t>Observaciones académicas</t>
  </si>
  <si>
    <t>Registro de discrepancias</t>
  </si>
  <si>
    <t>B7/B8, cloruro, licencia.</t>
  </si>
  <si>
    <t>P-40</t>
  </si>
  <si>
    <t>Historial de versiones</t>
  </si>
  <si>
    <t>Registro por fase</t>
  </si>
  <si>
    <t>F3–F7.</t>
  </si>
  <si>
    <t>P-41</t>
  </si>
  <si>
    <t>Diseño visual Nutrimetría</t>
  </si>
  <si>
    <t>Todas las hojas visibles</t>
  </si>
  <si>
    <t>Interfaz coherente</t>
  </si>
  <si>
    <t>NMX-21</t>
  </si>
  <si>
    <t>Paleta, navegación y tarjetas.</t>
  </si>
  <si>
    <t>P-42</t>
  </si>
  <si>
    <t>Validaciones de datos</t>
  </si>
  <si>
    <t>DATOS y selectores</t>
  </si>
  <si>
    <t>Desplegables</t>
  </si>
  <si>
    <t>Validaciones activas.</t>
  </si>
  <si>
    <t>P-43</t>
  </si>
  <si>
    <t>Protección de fórmulas</t>
  </si>
  <si>
    <t>El editor no expone esta función.</t>
  </si>
  <si>
    <t>P-44</t>
  </si>
  <si>
    <t>Hojas visibles</t>
  </si>
  <si>
    <t>Page setup</t>
  </si>
  <si>
    <t>Configurar en Excel.</t>
  </si>
  <si>
    <t>P-45</t>
  </si>
  <si>
    <t>Uso académico y seguridad</t>
  </si>
  <si>
    <t>INICIO; DOCUMENTACIÓN</t>
  </si>
  <si>
    <t>Advertencias</t>
  </si>
  <si>
    <t>No diagnóstico ni prescripción.</t>
  </si>
  <si>
    <t>P-46</t>
  </si>
  <si>
    <t>Licencia comercial INTA</t>
  </si>
  <si>
    <t>OBSERVACIONES; INICIO</t>
  </si>
  <si>
    <t>Bloqueo de distribución</t>
  </si>
  <si>
    <t>Requiere autorización/licencia.</t>
  </si>
  <si>
    <t>P-47</t>
  </si>
  <si>
    <t>Manual de uso</t>
  </si>
  <si>
    <t>Guía por hoja</t>
  </si>
  <si>
    <t>Flujo, motores y checklist.</t>
  </si>
  <si>
    <t>P-48</t>
  </si>
  <si>
    <t>Matriz de cobertura</t>
  </si>
  <si>
    <t>Trazabilidad de requisitos</t>
  </si>
  <si>
    <t>Estado por requisito.</t>
  </si>
  <si>
    <t>P-49</t>
  </si>
  <si>
    <t>Auditoría final y entrega</t>
  </si>
  <si>
    <t>AUDITORÍA_FINAL; PRUEBAS; CHANGELOG</t>
  </si>
  <si>
    <t>Verificación automatizada y checklist manual</t>
  </si>
  <si>
    <t>La protección y page setup continúan como controles manuales.</t>
  </si>
  <si>
    <t>AMPLIACIÓN DE COBERTURA · UDD</t>
  </si>
  <si>
    <t>UDD-01</t>
  </si>
  <si>
    <t>Índice</t>
  </si>
  <si>
    <t>9 ciclos</t>
  </si>
  <si>
    <t>Por pestañas</t>
  </si>
  <si>
    <t>UDD-02</t>
  </si>
  <si>
    <t>Ecuaciones</t>
  </si>
  <si>
    <t>41</t>
  </si>
  <si>
    <t>EQ-01–41</t>
  </si>
  <si>
    <t>Sin motor</t>
  </si>
  <si>
    <t>UDD-03</t>
  </si>
  <si>
    <t>Criterios</t>
  </si>
  <si>
    <t>60</t>
  </si>
  <si>
    <t>Tablas/cuadros</t>
  </si>
  <si>
    <t>Sin puntos completos</t>
  </si>
  <si>
    <t>UDD-04</t>
  </si>
  <si>
    <t>UDD-05</t>
  </si>
  <si>
    <t>Protocolos</t>
  </si>
  <si>
    <t>24</t>
  </si>
  <si>
    <t>PRO-01–24</t>
  </si>
  <si>
    <t>UDD≠ISAK</t>
  </si>
  <si>
    <t>UDD-06</t>
  </si>
  <si>
    <t>44</t>
  </si>
  <si>
    <t>Propio</t>
  </si>
  <si>
    <t>Educativo</t>
  </si>
  <si>
    <t>UDD-07</t>
  </si>
  <si>
    <t>77</t>
  </si>
  <si>
    <t>Refs/web/derechos</t>
  </si>
  <si>
    <t>Protecciones</t>
  </si>
  <si>
    <t>UDD-08</t>
  </si>
  <si>
    <t>238</t>
  </si>
  <si>
    <t>Inventario</t>
  </si>
  <si>
    <t>Documental</t>
  </si>
  <si>
    <t>UDD-09</t>
  </si>
  <si>
    <t>Pruebas</t>
  </si>
  <si>
    <t>86</t>
  </si>
  <si>
    <t>70+16</t>
  </si>
  <si>
    <t>16 aprobadas</t>
  </si>
  <si>
    <t>NUTRIMETRÍA · NMX-43  |  AUDITORÍA FINAL Y ENTREGA</t>
  </si>
  <si>
    <t>Fase 8 · verificación automatizada, estado del producto, pendientes manuales y condiciones de entrega.</t>
  </si>
  <si>
    <t>RESULTADO AUTOMATIZADO</t>
  </si>
  <si>
    <t>HOJAS
45</t>
  </si>
  <si>
    <t>FUENTES
114</t>
  </si>
  <si>
    <t>PENDIENTES
3</t>
  </si>
  <si>
    <t>CONTROLES AUTOMATIZADOS DE FASE 8</t>
  </si>
  <si>
    <t>Área</t>
  </si>
  <si>
    <t>Obtenido</t>
  </si>
  <si>
    <t>Esperado</t>
  </si>
  <si>
    <t>CONTROLES MANUALES PENDIENTES</t>
  </si>
  <si>
    <t>CONDICIONES DE ENTREGA</t>
  </si>
  <si>
    <t>Estado técnico</t>
  </si>
  <si>
    <t>Aprobado automáticamente si T-71 a T-84 resultan APROBADA.</t>
  </si>
  <si>
    <t>Uso autorizado</t>
  </si>
  <si>
    <t>Académico privado.</t>
  </si>
  <si>
    <t>No declarada.</t>
  </si>
  <si>
    <t>Comercialización</t>
  </si>
  <si>
    <t>Bloqueada hasta verificar licencia y redistribución de la base INTA.</t>
  </si>
  <si>
    <t>Protección de hojas</t>
  </si>
  <si>
    <t>Pendiente de aplicar y verificar en Microsoft Excel.</t>
  </si>
  <si>
    <t>Pendientes de aplicar y verificar en Microsoft Excel.</t>
  </si>
  <si>
    <t>Archivo original</t>
  </si>
  <si>
    <t>NMX-21 no fue modificado.</t>
  </si>
  <si>
    <t>La fase 8 completa la auditoría automatizada y prepara el entregable final. El libro no se declara completamente cerrado para distribución hasta ejecutar los tres controles manuales registrados en PRUEBAS: protección de fórmulas/hojas, áreas de impresión y comprobación final en Microsoft Excel. Esta limitación se mantiene visible para evitar una afirmación de validación no ejecutada.</t>
  </si>
  <si>
    <t>Estructura Open XML</t>
  </si>
  <si>
    <t>Paquete válido.</t>
  </si>
  <si>
    <t>Sin VBA ni vínculos externos</t>
  </si>
  <si>
    <t>False / False</t>
  </si>
  <si>
    <t>Formato .xlsx.</t>
  </si>
  <si>
    <t>Reimportación del archivo</t>
  </si>
  <si>
    <t>35 hojas conservadas.</t>
  </si>
  <si>
    <t>Rangos clave</t>
  </si>
  <si>
    <t>Valores y fórmulas inspeccionados.</t>
  </si>
  <si>
    <t>AUDITORÍA AUTOMATIZADA APROBADA · 3 CONTROLES MANUALES PENDIENTES
Pruebas registradas: 84. Aprobadas: 81. Pendientes/no aprobadas: 3.
El archivo queda listo para comprobación final en Microsoft Excel y uso académico privado.</t>
  </si>
  <si>
    <t>PRUEBAS FUNCIONALES DE REPARACIÓN  ·  NMX-43 v1_0 → REPARADO</t>
  </si>
  <si>
    <t>Prueba</t>
  </si>
  <si>
    <t>CASOS_CLÍNICOS · ID nutriente</t>
  </si>
  <si>
    <t>C7=Hierro</t>
  </si>
  <si>
    <t>G7 = MIN-FE</t>
  </si>
  <si>
    <t>OK</t>
  </si>
  <si>
    <t>CASOS_CLÍNICOS · contenido</t>
  </si>
  <si>
    <t>Paciente/ingesta pobladas</t>
  </si>
  <si>
    <t>Poblado</t>
  </si>
  <si>
    <t>FUENTES · ID nutriente</t>
  </si>
  <si>
    <t>C7=Magnesio</t>
  </si>
  <si>
    <t>G7 = MIN-MG</t>
  </si>
  <si>
    <t>FUENTES · encabezado INTA</t>
  </si>
  <si>
    <t>K7 = Magnesio (mg)</t>
  </si>
  <si>
    <t>FUENTES · unidad</t>
  </si>
  <si>
    <t>N7 = mg</t>
  </si>
  <si>
    <t>FUENTES · objetivo RDA</t>
  </si>
  <si>
    <t>A10 = 310</t>
  </si>
  <si>
    <t>310</t>
  </si>
  <si>
    <t>FUENTES · ranking</t>
  </si>
  <si>
    <t>B27:F36 poblado</t>
  </si>
  <si>
    <t>Vitamina C + Fitatos</t>
  </si>
  <si>
    <t>Vitamina C; Fitatos</t>
  </si>
  <si>
    <t>Ferritina + Sat. transferrina</t>
  </si>
  <si>
    <t>Ferritina; Sat.transf.</t>
  </si>
  <si>
    <t>REQUERIMIENTOS · Hierro</t>
  </si>
  <si>
    <t>Mujer 25, Ninguno</t>
  </si>
  <si>
    <t>18 mg (RDA)</t>
  </si>
  <si>
    <t>18 mg RDA</t>
  </si>
  <si>
    <t>REQUERIMIENTOS · Magnesio</t>
  </si>
  <si>
    <t>310 mg (RDA)</t>
  </si>
  <si>
    <t>310 mg RDA</t>
  </si>
  <si>
    <t>REQUERIMIENTOS · Sodio</t>
  </si>
  <si>
    <t>AI 1500 vs CDRR 2300</t>
  </si>
  <si>
    <t>AI 1500 / CDRR 2300</t>
  </si>
  <si>
    <t>CALCULOS_ADECUACIÓN · Hierro</t>
  </si>
  <si>
    <t>Perfil mujer 25</t>
  </si>
  <si>
    <t>Objetivo = 18</t>
  </si>
  <si>
    <t>18</t>
  </si>
  <si>
    <t>ALIMENTOS_INTA vs NMX-21</t>
  </si>
  <si>
    <t>619×38 celdas</t>
  </si>
  <si>
    <t>0 diferencias</t>
  </si>
  <si>
    <t>ALIMENTOS_INTA · integridad</t>
  </si>
  <si>
    <t>618 IDs/nombres únicos</t>
  </si>
  <si>
    <t>618 / 618</t>
  </si>
  <si>
    <t>ALIMENTOS_INTA · 's/i'</t>
  </si>
  <si>
    <t>preservado como texto</t>
  </si>
  <si>
    <t>6997 celdas s/i</t>
  </si>
  <si>
    <t>ListObject TablaAlimentosINTA</t>
  </si>
  <si>
    <t>D7:AO625 limpio</t>
  </si>
  <si>
    <t>D7:AO625</t>
  </si>
  <si>
    <t>Fórmulas con prefijo UDF</t>
  </si>
  <si>
    <t>auditoría XML</t>
  </si>
  <si>
    <t>0</t>
  </si>
  <si>
    <t>Recálculo LibreOffice</t>
  </si>
  <si>
    <t>1765 fórmulas</t>
  </si>
  <si>
    <t>0 errores nuevos</t>
  </si>
  <si>
    <t>solo I33 preexistente</t>
  </si>
  <si>
    <t>Nota: verificación realizada con LibreOffice headless (no se dispuso de Microsoft Excel/COM). El único error remanente (PRUEBAS!I33) es texto preexistente del archivo original, no una fórmula.</t>
  </si>
  <si>
    <t>CONTROLES DE INTEGRACIÓN UDD · FASE 9</t>
  </si>
  <si>
    <t>N43-UDD-001</t>
  </si>
  <si>
    <t>Arquitectura</t>
  </si>
  <si>
    <t>Nueve hojas UDD</t>
  </si>
  <si>
    <t>9</t>
  </si>
  <si>
    <t>Integración documental; sin motor clínico.</t>
  </si>
  <si>
    <t>N43-UDD-002</t>
  </si>
  <si>
    <t>Fichas</t>
  </si>
  <si>
    <t>Ecuaciones documentadas</t>
  </si>
  <si>
    <t>N43-UDD-003</t>
  </si>
  <si>
    <t>Criterios/cuadros</t>
  </si>
  <si>
    <t>N43-UDD-004</t>
  </si>
  <si>
    <t>N43-UDD-005</t>
  </si>
  <si>
    <t>Referencias manual</t>
  </si>
  <si>
    <t>62</t>
  </si>
  <si>
    <t>N43-UDD-006</t>
  </si>
  <si>
    <t>Elementos cubiertos</t>
  </si>
  <si>
    <t>N43-UDD-007</t>
  </si>
  <si>
    <t>Casos académicos</t>
  </si>
  <si>
    <t>16</t>
  </si>
  <si>
    <t>N43-UDD-008</t>
  </si>
  <si>
    <t>Derechos</t>
  </si>
  <si>
    <t>Instrumentos no reproducidos</t>
  </si>
  <si>
    <t>N43-UDD-009</t>
  </si>
  <si>
    <t>Figuras</t>
  </si>
  <si>
    <t>Tanner sin imágenes</t>
  </si>
  <si>
    <t>N43-UDD-010</t>
  </si>
  <si>
    <t>Funciones modernas añadidas</t>
  </si>
  <si>
    <t>N43-UDD-011</t>
  </si>
  <si>
    <t>Motores clínicos nuevos</t>
  </si>
  <si>
    <t>N43-UDD-012</t>
  </si>
  <si>
    <t>Conservación</t>
  </si>
  <si>
    <t>COBERTURA presente</t>
  </si>
  <si>
    <t>N43-UDD-013</t>
  </si>
  <si>
    <t>AUDITORÍA_FINAL presente</t>
  </si>
  <si>
    <t>N43-UDD-014</t>
  </si>
  <si>
    <t>Navegación</t>
  </si>
  <si>
    <t>Ciclos indexados</t>
  </si>
  <si>
    <t>N43-UDD-015</t>
  </si>
  <si>
    <t>Remisión</t>
  </si>
  <si>
    <t>NMX referenciados</t>
  </si>
  <si>
    <t>N43-UDD-016</t>
  </si>
  <si>
    <t>Capítulos completos copiados</t>
  </si>
  <si>
    <t>N43-UDD-017</t>
  </si>
  <si>
    <t>Ejemplos desarrollados por dificultad</t>
  </si>
  <si>
    <t>Incluye un caso básico, uno intermedio y uno avanzado.</t>
  </si>
  <si>
    <t>NUTRIMETRÍA · NMX-43 | ÍNDICE UDD</t>
  </si>
  <si>
    <t>Biblioteca formativa por ciclo vital; cálculos y clasificaciones se remiten a NMX especializados.</t>
  </si>
  <si>
    <t>ÍNDICE</t>
  </si>
  <si>
    <t>ECUACIONES</t>
  </si>
  <si>
    <t>CRITERIOS</t>
  </si>
  <si>
    <t>PROTOCOLOS</t>
  </si>
  <si>
    <t>GLOSARIO</t>
  </si>
  <si>
    <t>Ciclo_vital</t>
  </si>
  <si>
    <t>Contenido_formativo</t>
  </si>
  <si>
    <t>Recursos</t>
  </si>
  <si>
    <t>Hoja_principal</t>
  </si>
  <si>
    <t>NMX_relacionados</t>
  </si>
  <si>
    <t>Restricción</t>
  </si>
  <si>
    <t>Gestante</t>
  </si>
  <si>
    <t>IMC y referencias gestacionales</t>
  </si>
  <si>
    <t>Fichas/criterios/casos</t>
  </si>
  <si>
    <t>NMX-03; NMX-44</t>
  </si>
  <si>
    <t>Sin clasificación automática</t>
  </si>
  <si>
    <t>Abrir pestaña indicada</t>
  </si>
  <si>
    <t>Recién nacido</t>
  </si>
  <si>
    <t>Peso, longitud e índice ponderal</t>
  </si>
  <si>
    <t>Fichas/protocolos</t>
  </si>
  <si>
    <t>NMX-14; NMX-28</t>
  </si>
  <si>
    <t>Fuente oficial requerida</t>
  </si>
  <si>
    <t>Recién nacido pretérmino</t>
  </si>
  <si>
    <t>Edad corregida y conflictos</t>
  </si>
  <si>
    <t>Fichas/casos</t>
  </si>
  <si>
    <t>CF-001/CF-002</t>
  </si>
  <si>
    <t>Lactante y preescolar</t>
  </si>
  <si>
    <t>Longitud, perímetro cefálico y LMS</t>
  </si>
  <si>
    <t>Protocolos/fichas</t>
  </si>
  <si>
    <t>NMX-14</t>
  </si>
  <si>
    <t>Sin tablas LMS</t>
  </si>
  <si>
    <t>Escolar y adolescente</t>
  </si>
  <si>
    <t>Cintura, talla diana y pliegues</t>
  </si>
  <si>
    <t>Fichas/criterios</t>
  </si>
  <si>
    <t>NMX-14; NMX-28; NMX-44</t>
  </si>
  <si>
    <t>No Tanner</t>
  </si>
  <si>
    <t>Adulto</t>
  </si>
  <si>
    <t>Pérdida, áreas, cintura y composición</t>
  </si>
  <si>
    <t>NMX-03; NMX-20; NMX-28</t>
  </si>
  <si>
    <t>No duplica motores</t>
  </si>
  <si>
    <t>Adulto mayor</t>
  </si>
  <si>
    <t>Estimaciones, pantorrilla y MNA externo</t>
  </si>
  <si>
    <t>NMX-03; NMX-28; NMX-44</t>
  </si>
  <si>
    <t>MNA protegido</t>
  </si>
  <si>
    <t>Hospitalizado / tamizaje</t>
  </si>
  <si>
    <t>NRS, VGS y resultados externos</t>
  </si>
  <si>
    <t>Fuentes/casos</t>
  </si>
  <si>
    <t>NMX-44</t>
  </si>
  <si>
    <t>No formularios</t>
  </si>
  <si>
    <t>Situaciones especiales</t>
  </si>
  <si>
    <t>Amputación, PC y Down</t>
  </si>
  <si>
    <t>Referencia explícita</t>
  </si>
  <si>
    <t>CATÁLOGO DE NMX RELACIONADOS</t>
  </si>
  <si>
    <t>NMX</t>
  </si>
  <si>
    <t>Rol</t>
  </si>
  <si>
    <t>Regla NMX-43</t>
  </si>
  <si>
    <t>Destino</t>
  </si>
  <si>
    <t>NMX-03</t>
  </si>
  <si>
    <t>Ficha clínica</t>
  </si>
  <si>
    <t>Adulto/adulto mayor</t>
  </si>
  <si>
    <t>No copiar motor</t>
  </si>
  <si>
    <t>Consume resultados.</t>
  </si>
  <si>
    <t>Motor pediátrico</t>
  </si>
  <si>
    <t>0–19 años</t>
  </si>
  <si>
    <t>No copiar LMS</t>
  </si>
  <si>
    <t>Tablas oficiales versionadas.</t>
  </si>
  <si>
    <t>NMX-20</t>
  </si>
  <si>
    <t>Composición corporal</t>
  </si>
  <si>
    <t>Durnin/Siri/Brožek</t>
  </si>
  <si>
    <t>No duplicar ecuaciones</t>
  </si>
  <si>
    <t>UDD separado de ISAK.</t>
  </si>
  <si>
    <t>NMX-28</t>
  </si>
  <si>
    <t>Antropometría</t>
  </si>
  <si>
    <t>Protocolos/estimaciones</t>
  </si>
  <si>
    <t>NMX-43 sólo enseña</t>
  </si>
  <si>
    <t>Unidades y dominios.</t>
  </si>
  <si>
    <t>Especiales/tamizajes</t>
  </si>
  <si>
    <t>Hospitalizado/derechos</t>
  </si>
  <si>
    <t>POTENCIAL</t>
  </si>
  <si>
    <t>Sólo resultados externos</t>
  </si>
  <si>
    <t>Licencias pendientes.</t>
  </si>
  <si>
    <t>NUTRIMETRÍA · NMX-43 | FICHAS DE ECUACIONES</t>
  </si>
  <si>
    <t>41 fichas educativas; fórmulas como texto, sin motor clínico.</t>
  </si>
  <si>
    <t>Ficha_ID</t>
  </si>
  <si>
    <t>Elemento_ID</t>
  </si>
  <si>
    <t>Fórmula_documental</t>
  </si>
  <si>
    <t>Variables</t>
  </si>
  <si>
    <t>Población</t>
  </si>
  <si>
    <t>Ejemplo</t>
  </si>
  <si>
    <t>Página</t>
  </si>
  <si>
    <t>Riesgo</t>
  </si>
  <si>
    <t>F-EC-001</t>
  </si>
  <si>
    <t>EQ-01</t>
  </si>
  <si>
    <t>Adecuación del peso</t>
  </si>
  <si>
    <t>Explicar la ecuación y remitir su ejecución al NMX especializado.</t>
  </si>
  <si>
    <t>Peso actual × 100 / peso ideal</t>
  </si>
  <si>
    <t>PA=peso actual; PI=peso ideal.</t>
  </si>
  <si>
    <t>General</t>
  </si>
  <si>
    <t>Adultos</t>
  </si>
  <si>
    <t>PA=60 kg y PI=65 kg → 92,3%.</t>
  </si>
  <si>
    <t>92,3%</t>
  </si>
  <si>
    <t>[3] Grant J, Custer P, Thurlow J. Current techniques of nutritional assessmen...</t>
  </si>
  <si>
    <t>Cotejo primario/oficial pendiente.</t>
  </si>
  <si>
    <t>REQUIERE_COTEJO_PRIMARIO</t>
  </si>
  <si>
    <t>MEDIO</t>
  </si>
  <si>
    <t>FICHA DOCUMENTAL; SIN MOTOR</t>
  </si>
  <si>
    <t>F-EC-002</t>
  </si>
  <si>
    <t>EQ-02</t>
  </si>
  <si>
    <t>Adecuación de pliegue o perímetro</t>
  </si>
  <si>
    <t>Valor observado × 100 / percentil 50 de referencia</t>
  </si>
  <si>
    <t>VO=valor observado; P50=percentil 50.</t>
  </si>
  <si>
    <t>VO=12 y P50=15 → 80%.</t>
  </si>
  <si>
    <t>80,0%</t>
  </si>
  <si>
    <t>F-EC-003</t>
  </si>
  <si>
    <t>EQ-03</t>
  </si>
  <si>
    <t>Índice de contextura por carpo</t>
  </si>
  <si>
    <t>Talla (cm) / circunferencia de carpo (cm)</t>
  </si>
  <si>
    <t>T=talla cm; CC=carpo cm.</t>
  </si>
  <si>
    <t>adimensional</t>
  </si>
  <si>
    <t>170/16 → 10,63.</t>
  </si>
  <si>
    <t>10,63</t>
  </si>
  <si>
    <t>NMX-03, NMX-28, NMX-43</t>
  </si>
  <si>
    <t>F-EC-004</t>
  </si>
  <si>
    <t>EQ-04</t>
  </si>
  <si>
    <t>Puntaje Z LMS</t>
  </si>
  <si>
    <t>((X/M)^L − 1) / (L × S)</t>
  </si>
  <si>
    <t>X, L, M y S según tablas oficiales.</t>
  </si>
  <si>
    <t>z</t>
  </si>
  <si>
    <t>Pediatría</t>
  </si>
  <si>
    <t>Parámetros ficticios X=12, M=11,5, L=1, S=0,1.</t>
  </si>
  <si>
    <t>z≈0,43; no clínico</t>
  </si>
  <si>
    <t>[8] Frisancho A. Anthropometric Standards. An Interactive Nutritional Referen...</t>
  </si>
  <si>
    <t>Cotejo primario/oficial pendiente. Conflictos: CF-004.</t>
  </si>
  <si>
    <t>REQUIERE_TABLAS_OFICIALES</t>
  </si>
  <si>
    <t>F-EC-005</t>
  </si>
  <si>
    <t>EQ-05</t>
  </si>
  <si>
    <t>IMC</t>
  </si>
  <si>
    <t>Peso (kg) / talla² (m²)</t>
  </si>
  <si>
    <t>P=peso kg; T=talla m.</t>
  </si>
  <si>
    <t>kg/m²</t>
  </si>
  <si>
    <t>Gestantes/adultos/personas mayores</t>
  </si>
  <si>
    <t>70/1,70².</t>
  </si>
  <si>
    <t>24,22 kg/m²</t>
  </si>
  <si>
    <t>Manual UDD / elaboración propia</t>
  </si>
  <si>
    <t>Ejemplo aritmético; no diagnóstico.</t>
  </si>
  <si>
    <t>VERIFICADA_MATEMÁTICA</t>
  </si>
  <si>
    <t>NMX-03, NMX-28</t>
  </si>
  <si>
    <t>F-EC-006</t>
  </si>
  <si>
    <t>EQ-06</t>
  </si>
  <si>
    <t>Índice ponderal neonatal</t>
  </si>
  <si>
    <t>Peso (g) × 100 / longitud³ (cm³)</t>
  </si>
  <si>
    <t>P=peso g; L=longitud cm.</t>
  </si>
  <si>
    <t>g/cm³</t>
  </si>
  <si>
    <t>Recién nacidos</t>
  </si>
  <si>
    <t>Neonatal</t>
  </si>
  <si>
    <t>3200×100/50³.</t>
  </si>
  <si>
    <t>2,56 g/cm³</t>
  </si>
  <si>
    <t>[24] Delgado Beltrán P, Melchor Marcos JC, Rodríguez- Alarcón Gómez J, Linare...</t>
  </si>
  <si>
    <t>F-EC-007</t>
  </si>
  <si>
    <t>EQ-07</t>
  </si>
  <si>
    <t>Edad corregida del prematuro</t>
  </si>
  <si>
    <t>Edad actual (sem) − (40 − edad gestacional al nacer)</t>
  </si>
  <si>
    <t>EA=edad actual; EG=edad gestacional.</t>
  </si>
  <si>
    <t>semanas</t>
  </si>
  <si>
    <t>Prematuros</t>
  </si>
  <si>
    <t>0–36 meses</t>
  </si>
  <si>
    <t>20−(40−32).</t>
  </si>
  <si>
    <t>12 semanas; fórmula en conflicto</t>
  </si>
  <si>
    <t>[2] Ministerio de Salud. Patrones de crecimiento para la evaluación nutricion...</t>
  </si>
  <si>
    <t>No automatizar hasta resolver conflicto/cotejo. Conflictos: CF-002.</t>
  </si>
  <si>
    <t>CONFLICTO_DETECTADO</t>
  </si>
  <si>
    <t>F-EC-008</t>
  </si>
  <si>
    <t>EQ-08</t>
  </si>
  <si>
    <t>Talla diana niño</t>
  </si>
  <si>
    <t>(Talla padre + talla madre)/2 + 6,5</t>
  </si>
  <si>
    <t>TP=talla padre; TM=talla madre.</t>
  </si>
  <si>
    <t>Escolar/adolescente</t>
  </si>
  <si>
    <t>(175+162)/2+6,5.</t>
  </si>
  <si>
    <t>175,0 cm</t>
  </si>
  <si>
    <t>[7] Ministerio de Salud de Chile. Norma para la evaluacion nutricional de niñ...</t>
  </si>
  <si>
    <t>No automatizar hasta resolver conflicto/cotejo. Conflictos: CF-032.</t>
  </si>
  <si>
    <t>NMX-14, NMX-28</t>
  </si>
  <si>
    <t>F-EC-009</t>
  </si>
  <si>
    <t>EQ-09</t>
  </si>
  <si>
    <t>Talla diana niña</t>
  </si>
  <si>
    <t>(Talla padre + talla madre)/2 − 6,5</t>
  </si>
  <si>
    <t>(175+162)/2−6,5.</t>
  </si>
  <si>
    <t>162,0 cm</t>
  </si>
  <si>
    <t>No automatizar hasta resolver conflicto/cotejo.</t>
  </si>
  <si>
    <t>F-EC-010</t>
  </si>
  <si>
    <t>EQ-10</t>
  </si>
  <si>
    <t>ACT 3–5 años</t>
  </si>
  <si>
    <t>2,651 + 0,541×peso − 0,094×(PSE+PT) − 0,159×sexo</t>
  </si>
  <si>
    <t>Variables según fórmula y fuente.</t>
  </si>
  <si>
    <t>L</t>
  </si>
  <si>
    <t>Niños chilenos</t>
  </si>
  <si>
    <t>3–5 años</t>
  </si>
  <si>
    <t>Ejemplo de sustitución; no clínico.</t>
  </si>
  <si>
    <t>No calculado</t>
  </si>
  <si>
    <t>[28] Velásquez M, Salazar G, Vio F, Díaz N, Anziani A. Validación de ecuacion...</t>
  </si>
  <si>
    <t>F-EC-011</t>
  </si>
  <si>
    <t>EQ-11</t>
  </si>
  <si>
    <t>Grasa corporal kg 3–5 años</t>
  </si>
  <si>
    <t>−1,524 + 0,371×peso + 0,114×(PT+PSE) − 0,238×edad + 0,378×sexo − 0,105×pantor...</t>
  </si>
  <si>
    <t>Cotejo primario/oficial pendiente. Fórmula truncada en la matriz; no reconstruir.</t>
  </si>
  <si>
    <t>F-EC-012</t>
  </si>
  <si>
    <t>EQ-12</t>
  </si>
  <si>
    <t>Slaughter suma ≤35 mm niños</t>
  </si>
  <si>
    <t>1,21×Σ2 − 0,008×Σ2² − constante por maduración/origen</t>
  </si>
  <si>
    <t>Niños/adolescentes</t>
  </si>
  <si>
    <t>8–18 años</t>
  </si>
  <si>
    <t>[31] Slaughter M, Lohman T, Boileau R, Horswill C, Stillman R, Van Loan M, et...</t>
  </si>
  <si>
    <t>Cotejo primario/oficial pendiente. Conflictos: CF-023.</t>
  </si>
  <si>
    <t>F-EC-013</t>
  </si>
  <si>
    <t>EQ-13</t>
  </si>
  <si>
    <t>Slaughter suma ≤35 mm niñas</t>
  </si>
  <si>
    <t>1,33×Σ2 − 0,013×Σ2² − 2,5</t>
  </si>
  <si>
    <t>Σ2=suma de dos pliegues.</t>
  </si>
  <si>
    <t>Σ2=30 mm.</t>
  </si>
  <si>
    <t>25,69%</t>
  </si>
  <si>
    <t>F-EC-014</t>
  </si>
  <si>
    <t>EQ-14</t>
  </si>
  <si>
    <t>Slaughter suma &gt;35 mm niños</t>
  </si>
  <si>
    <t>0,783×Σ2 + 1,6</t>
  </si>
  <si>
    <t>Σ2=40 mm.</t>
  </si>
  <si>
    <t>32,92%</t>
  </si>
  <si>
    <t>F-EC-015</t>
  </si>
  <si>
    <t>EQ-15</t>
  </si>
  <si>
    <t>Slaughter suma &gt;35 mm niñas</t>
  </si>
  <si>
    <t>0,546×Σ2 + 9,7</t>
  </si>
  <si>
    <t>31,54%</t>
  </si>
  <si>
    <t>F-EC-016</t>
  </si>
  <si>
    <t>EQ-16</t>
  </si>
  <si>
    <t>Densidad corporal Brook niños</t>
  </si>
  <si>
    <t>1,1690 − 0,0788×log10(Σ4)</t>
  </si>
  <si>
    <t>Σ4=suma de cuatro pliegues.</t>
  </si>
  <si>
    <t>kg/L</t>
  </si>
  <si>
    <t>Niños</t>
  </si>
  <si>
    <t>1–15 años</t>
  </si>
  <si>
    <t>Σ4=40 mm.</t>
  </si>
  <si>
    <t>1,0428 kg/L</t>
  </si>
  <si>
    <t>[32] Brook C. Determination of body composition of children from skinfold mea...</t>
  </si>
  <si>
    <t>F-EC-017</t>
  </si>
  <si>
    <t>EQ-17</t>
  </si>
  <si>
    <t>Densidad corporal Brook niñas</t>
  </si>
  <si>
    <t>1,2063 − 0,0999×log10(Σ4)</t>
  </si>
  <si>
    <t>1,0463 kg/L</t>
  </si>
  <si>
    <t>F-EC-018</t>
  </si>
  <si>
    <t>EQ-18</t>
  </si>
  <si>
    <t>Porcentaje de pérdida de peso</t>
  </si>
  <si>
    <t>(Peso habitual − peso actual) ×100 / peso habitual</t>
  </si>
  <si>
    <t>PH=peso habitual; PA=peso actual.</t>
  </si>
  <si>
    <t>(80−72)×100/80.</t>
  </si>
  <si>
    <t>10,0%</t>
  </si>
  <si>
    <t>[39] Gurney J, Jelliﬀe D. Arm anthropometry in nutritional assessment: nomogr...</t>
  </si>
  <si>
    <t>F-EC-019</t>
  </si>
  <si>
    <t>EQ-19</t>
  </si>
  <si>
    <t>Área braquial total</t>
  </si>
  <si>
    <t>CB² / (4π)</t>
  </si>
  <si>
    <t>CB=circunferencia de brazo cm.</t>
  </si>
  <si>
    <t>cm²</t>
  </si>
  <si>
    <t>CB=30 cm.</t>
  </si>
  <si>
    <t>71,62 cm²</t>
  </si>
  <si>
    <t>VERIFICACIÓN_MATEMÁTICA</t>
  </si>
  <si>
    <t>F-EC-020</t>
  </si>
  <si>
    <t>EQ-20</t>
  </si>
  <si>
    <t>Circunferencia muscular del brazo</t>
  </si>
  <si>
    <t>CB − π×PCT(cm)</t>
  </si>
  <si>
    <t>CB cm; PCT convertido de mm a cm.</t>
  </si>
  <si>
    <t>CB=30; PCT=12 mm=1,2 cm.</t>
  </si>
  <si>
    <t>26,23 cm; revisar</t>
  </si>
  <si>
    <t>No automatizar hasta resolver conflicto/cotejo. Conflictos: CF-012.</t>
  </si>
  <si>
    <t>NO_RECOMENDADO_TRANSCRIBIR</t>
  </si>
  <si>
    <t>F-EC-021</t>
  </si>
  <si>
    <t>EQ-21</t>
  </si>
  <si>
    <t>Área muscular del brazo</t>
  </si>
  <si>
    <t>CMB² / (4π)</t>
  </si>
  <si>
    <t>CMB en cm.</t>
  </si>
  <si>
    <t>CMB=26,23 cm.</t>
  </si>
  <si>
    <t>54,76 cm²</t>
  </si>
  <si>
    <t>Ejemplo aritmético; no diagnóstico. Conflictos: CF-013.</t>
  </si>
  <si>
    <t>F-EC-022</t>
  </si>
  <si>
    <t>EQ-22</t>
  </si>
  <si>
    <t>Área grasa braquial</t>
  </si>
  <si>
    <t>Área braquial total − AMB</t>
  </si>
  <si>
    <t>ABT y AMB.</t>
  </si>
  <si>
    <t>71,62−54,76.</t>
  </si>
  <si>
    <t>16,86 cm²</t>
  </si>
  <si>
    <t>F-EC-023</t>
  </si>
  <si>
    <t>EQ-23</t>
  </si>
  <si>
    <t>AMB corregida hombres</t>
  </si>
  <si>
    <t>AMB − 10</t>
  </si>
  <si>
    <t>AMB no corregida.</t>
  </si>
  <si>
    <t>54,76−10.</t>
  </si>
  <si>
    <t>44,76 cm²</t>
  </si>
  <si>
    <t>[40] Heymsfield S, McManus C, Smith J, Stevens V, Nixon D. Anthropometric mea...</t>
  </si>
  <si>
    <t>F-EC-024</t>
  </si>
  <si>
    <t>EQ-24</t>
  </si>
  <si>
    <t>AMB corregida mujeres</t>
  </si>
  <si>
    <t>AMB − 6,5</t>
  </si>
  <si>
    <t>54,76−6,5.</t>
  </si>
  <si>
    <t>48,26 cm²</t>
  </si>
  <si>
    <t>F-EC-025</t>
  </si>
  <si>
    <t>EQ-25</t>
  </si>
  <si>
    <t>Relación cintura-cadera</t>
  </si>
  <si>
    <t>Cintura (cm) / cadera (cm)</t>
  </si>
  <si>
    <t>Cintura y cadera en misma unidad.</t>
  </si>
  <si>
    <t>razón</t>
  </si>
  <si>
    <t>90/100.</t>
  </si>
  <si>
    <t>0,90</t>
  </si>
  <si>
    <t>[42] Gray D, Bray G, Gemayel N, Kaplan K. Eﬀect of obesity on bioelectrical i...</t>
  </si>
  <si>
    <t>No automatizar hasta resolver conflicto/cotejo. Conflictos: CF-014.</t>
  </si>
  <si>
    <t>F-EC-026</t>
  </si>
  <si>
    <t>EQ-26</t>
  </si>
  <si>
    <t>Relación cintura-talla</t>
  </si>
  <si>
    <t>Cintura (cm) / talla (cm)</t>
  </si>
  <si>
    <t>Cintura y talla en misma unidad.</t>
  </si>
  <si>
    <t>85/170.</t>
  </si>
  <si>
    <t>0,50</t>
  </si>
  <si>
    <t>[43] Koch E, Romero T, Manríquez L, Taylor A, Román C, Paredes M, et al. Razó...</t>
  </si>
  <si>
    <t>F-EC-027</t>
  </si>
  <si>
    <t>EQ-27</t>
  </si>
  <si>
    <t>Densidad Durnin-Womersley</t>
  </si>
  <si>
    <t>c − m×log10(PT+PSE+PSI+PB)</t>
  </si>
  <si>
    <t>c,m por sexo/edad; Σ4 pliegues.</t>
  </si>
  <si>
    <t>16–72 años</t>
  </si>
  <si>
    <t>c=1,16; m=0,063; Σ4=60.</t>
  </si>
  <si>
    <t>1,0480 kg/L; coeficientes ficticios</t>
  </si>
  <si>
    <t>[45] Durnin J, Womersley J. Body fat assessed from total body density and its...</t>
  </si>
  <si>
    <t>Cotejo primario/oficial pendiente. Conflictos: CF-009.</t>
  </si>
  <si>
    <t>NMX-03, NMX-20, NMX-28</t>
  </si>
  <si>
    <t>F-EC-028</t>
  </si>
  <si>
    <t>EQ-28</t>
  </si>
  <si>
    <t>Conversión Siri</t>
  </si>
  <si>
    <t>(4,95 / densidad − 4,50) ×100</t>
  </si>
  <si>
    <t>D=densidad kg/L.</t>
  </si>
  <si>
    <t>D=1,05.</t>
  </si>
  <si>
    <t>21,43%</t>
  </si>
  <si>
    <t>Cotejo primario/oficial pendiente. Conflictos: CF-010.</t>
  </si>
  <si>
    <t>NMX-03, NMX-20</t>
  </si>
  <si>
    <t>F-EC-029</t>
  </si>
  <si>
    <t>EQ-29</t>
  </si>
  <si>
    <t>Conversión Brožek</t>
  </si>
  <si>
    <t>(4,57 / densidad − 4,142) ×100</t>
  </si>
  <si>
    <t>21,13%</t>
  </si>
  <si>
    <t>Cotejo primario/oficial pendiente. Conflictos: CF-011.</t>
  </si>
  <si>
    <t>F-EC-030</t>
  </si>
  <si>
    <t>EQ-30</t>
  </si>
  <si>
    <t>Peso estimado hombre 60–90</t>
  </si>
  <si>
    <t>0,98×CP + 1,16×AR + 1,73×CB + 0,37×PSE − 81,69</t>
  </si>
  <si>
    <t>CP, AR, CB, PSE según fuente.</t>
  </si>
  <si>
    <t>Personas mayores</t>
  </si>
  <si>
    <t>60–90 años</t>
  </si>
  <si>
    <t>35,50,30,15.</t>
  </si>
  <si>
    <t>70,26 kg; verificar unidades</t>
  </si>
  <si>
    <t>[48] Chumlea W, Roche A, Steinbaugh M. Estimating stature from knee height fo...</t>
  </si>
  <si>
    <t>REQUIERE_COTEJO_UNIDADES</t>
  </si>
  <si>
    <t>F-EC-031</t>
  </si>
  <si>
    <t>EQ-31</t>
  </si>
  <si>
    <t>Peso estimado mujer 60–90</t>
  </si>
  <si>
    <t>1,27×CP + 0,87×AR + 0,98×CB + 0,40×PSE − 62,35</t>
  </si>
  <si>
    <t>59,30 kg; verificar unidades</t>
  </si>
  <si>
    <t>F-EC-032</t>
  </si>
  <si>
    <t>EQ-32</t>
  </si>
  <si>
    <t>Talla por altura de rodilla hombre</t>
  </si>
  <si>
    <t>64,19 − 0,04×edad + 2,02×altura de rodilla</t>
  </si>
  <si>
    <t>E=edad; AR=altura de rodilla.</t>
  </si>
  <si>
    <t>E=70; AR=50.</t>
  </si>
  <si>
    <t>162,39 cm</t>
  </si>
  <si>
    <t>F-EC-033</t>
  </si>
  <si>
    <t>EQ-33</t>
  </si>
  <si>
    <t>Talla por altura de rodilla mujer</t>
  </si>
  <si>
    <t>84,88 − 0,24×edad + 1,83×altura de rodilla</t>
  </si>
  <si>
    <t>159,58 cm</t>
  </si>
  <si>
    <t>F-EC-034</t>
  </si>
  <si>
    <t>EQ-34</t>
  </si>
  <si>
    <t>Talla rodilla-maléolo hombre</t>
  </si>
  <si>
    <t>1,121×LRM − 0,117×edad + 119,6</t>
  </si>
  <si>
    <t>LRM y edad.</t>
  </si>
  <si>
    <t>Adultos mayores</t>
  </si>
  <si>
    <t>LRM=45; edad=70.</t>
  </si>
  <si>
    <t>161,86 cm</t>
  </si>
  <si>
    <t>[49] Angel Arango L, Zamora Jaimes J. The prediction of size from the knee-ex...</t>
  </si>
  <si>
    <t>F-EC-035</t>
  </si>
  <si>
    <t>EQ-35</t>
  </si>
  <si>
    <t>Talla rodilla-maléolo mujer</t>
  </si>
  <si>
    <t>1,263×LRM − 0,159×edad + 107,7</t>
  </si>
  <si>
    <t>153,41 cm</t>
  </si>
  <si>
    <t>F-EC-036</t>
  </si>
  <si>
    <t>EQ-36</t>
  </si>
  <si>
    <t>Talla por media brazada</t>
  </si>
  <si>
    <t>2 × media brazada</t>
  </si>
  <si>
    <t>MB=media brazada.</t>
  </si>
  <si>
    <t>MB=82 cm.</t>
  </si>
  <si>
    <t>164 cm</t>
  </si>
  <si>
    <t>[13] Borba De Amorim R, Coelho Santa Cruz MA, Borges De Souza PR, Corrêa Da M...</t>
  </si>
  <si>
    <t>F-EC-037</t>
  </si>
  <si>
    <t>EQ-37</t>
  </si>
  <si>
    <t>Peso corregido por amputación</t>
  </si>
  <si>
    <t>Peso observado / (1 − proporción amputada)</t>
  </si>
  <si>
    <t>PO=peso observado; p=proporción.</t>
  </si>
  <si>
    <t>Personas con amputación</t>
  </si>
  <si>
    <t>70/(1−0,059).</t>
  </si>
  <si>
    <t>74,39 kg; conflicto</t>
  </si>
  <si>
    <t>[51] Osterkamp L. Current perspective on assessment of human body proportions...</t>
  </si>
  <si>
    <t>No automatizar hasta resolver conflicto/cotejo. Conflictos: CF-019.</t>
  </si>
  <si>
    <t>NMX-28, NMX-44 potencial</t>
  </si>
  <si>
    <t>F-EC-038</t>
  </si>
  <si>
    <t>EQ-38</t>
  </si>
  <si>
    <t>Talla Stevenson por longitud tibial</t>
  </si>
  <si>
    <t>3,26×longitud de pierna inferior + 30,8</t>
  </si>
  <si>
    <t>LPI=longitud pierna inferior.</t>
  </si>
  <si>
    <t>Parálisis cerebral</t>
  </si>
  <si>
    <t>LPI=35 cm.</t>
  </si>
  <si>
    <t>144,9 cm</t>
  </si>
  <si>
    <t>[53] Amezquita G. MV, Hodgson B. MI. Estimación de la talla en la evaluación ...</t>
  </si>
  <si>
    <t>F-EC-039</t>
  </si>
  <si>
    <t>EQ-39</t>
  </si>
  <si>
    <t>Talla Stevenson por altura de rodilla</t>
  </si>
  <si>
    <t>2,69×altura de rodilla + 24,2</t>
  </si>
  <si>
    <t>AR=altura de rodilla.</t>
  </si>
  <si>
    <t>AR=45 cm.</t>
  </si>
  <si>
    <t>145,25 cm</t>
  </si>
  <si>
    <t>F-EC-040</t>
  </si>
  <si>
    <t>EQ-40</t>
  </si>
  <si>
    <t>NRS-2002 puntaje total</t>
  </si>
  <si>
    <t>No reproducida: registrar puntaje externo oficial.</t>
  </si>
  <si>
    <t>Puntaje externo del instrumento oficial.</t>
  </si>
  <si>
    <t>puntos</t>
  </si>
  <si>
    <t>Hospitalizados</t>
  </si>
  <si>
    <t>Registrar puntaje y versión; no reproducir ítems.</t>
  </si>
  <si>
    <t>No calculado por derechos</t>
  </si>
  <si>
    <t>[60] Kondrup J, Allison S, Elia M, Vellas B, Plauth M, Clinical E and, et al....</t>
  </si>
  <si>
    <t>DERECHOS_PENDIENTES</t>
  </si>
  <si>
    <t>NMX-03, NMX-44 potencial</t>
  </si>
  <si>
    <t>F-EC-041</t>
  </si>
  <si>
    <t>EQ-41</t>
  </si>
  <si>
    <t>MNA-SF puntaje</t>
  </si>
  <si>
    <t>Puntaje externo MNA®-SF.</t>
  </si>
  <si>
    <t>≥65 años</t>
  </si>
  <si>
    <t>[14] Nestlé Nutrition Institute. Cribar e intervenir. La nutrición puede hace...</t>
  </si>
  <si>
    <t>INSTRUMENTO_PROTEGIDO</t>
  </si>
  <si>
    <t>NUTRIMETRÍA · NMX-43 | COMPARADOR DE CRITERIOS</t>
  </si>
  <si>
    <t>60 registros; no se copian tablas ni puntos de corte completos.</t>
  </si>
  <si>
    <t>Criterio_ID</t>
  </si>
  <si>
    <t>Ciclo</t>
  </si>
  <si>
    <t>Clase_fuente</t>
  </si>
  <si>
    <t>Conflictos</t>
  </si>
  <si>
    <t>Acción</t>
  </si>
  <si>
    <t>CR-001</t>
  </si>
  <si>
    <t>TAB-01</t>
  </si>
  <si>
    <t>Clasificación de la contextura según circunferencia de carpo para la clasificación de la contextura ósea</t>
  </si>
  <si>
    <t>General/adultos</t>
  </si>
  <si>
    <t>Según tabla</t>
  </si>
  <si>
    <t>Según celdas de la tabla</t>
  </si>
  <si>
    <t>[3] Grant J, Custer P, Thurlow J. Current techniques of nutritional assessment. Surg Clin North Am. 1981;61(3):437–63.</t>
  </si>
  <si>
    <t>FUENTE_HISTÓRICA</t>
  </si>
  <si>
    <t>Cotejar fuente antes de automatizar.</t>
  </si>
  <si>
    <t>No reproducir tabla completa ni puntos de corte.</t>
  </si>
  <si>
    <t>COMPARADOR DOCUMENTAL</t>
  </si>
  <si>
    <t>CR-002</t>
  </si>
  <si>
    <t>TAB-02</t>
  </si>
  <si>
    <t>Clasificación de la contextura según ancho de codo y edad</t>
  </si>
  <si>
    <t>[4] Frisancho A. New standards of weight and body composition by frame size and height for assessment of nutritional status of adults and the elderly. Am J Clin Nutr. 1984;40(4):808–19.</t>
  </si>
  <si>
    <t>NMX-03, NMX-43</t>
  </si>
  <si>
    <t>CR-003</t>
  </si>
  <si>
    <t>TAB-03</t>
  </si>
  <si>
    <t>Equivalencias entre el puntaje Z y los percentiles en una distribución normal</t>
  </si>
  <si>
    <t>[8] Frisancho A. Anthropometric Standards. An Interactive Nutritional Reference of Body Size and Body Composition for Children and Adults. 4th ed. The University of Michigan Press; 2008. 1–333 p.</t>
  </si>
  <si>
    <t>FUENTE_PRIMARIA</t>
  </si>
  <si>
    <t>CR-004</t>
  </si>
  <si>
    <t>TAB-04</t>
  </si>
  <si>
    <t>Incremento de peso recomendado según el estado nutricional pregestacional</t>
  </si>
  <si>
    <t>Gestantes</t>
  </si>
  <si>
    <t>Gestación</t>
  </si>
  <si>
    <t>[17] Ministerio de Salud. Agenda Salud de la Mujer. Santiago, Chile; 2019.</t>
  </si>
  <si>
    <t>NORMA_OFICIAL</t>
  </si>
  <si>
    <t>COTEJO_OFICIAL_Y_VIGENCIA_PENDIENTE</t>
  </si>
  <si>
    <t>CR-005</t>
  </si>
  <si>
    <t>TAB-05</t>
  </si>
  <si>
    <t>Incremento de peso según estado nutricional pregestacional (IOM)</t>
  </si>
  <si>
    <t>[18] Institute of Medicine (IOM). Weight Gain During Pregnancy: Reexamining t...</t>
  </si>
  <si>
    <t>CF-021</t>
  </si>
  <si>
    <t>Mantener como alternativa explícita, no predeterminada en Chile.</t>
  </si>
  <si>
    <t>CR-006</t>
  </si>
  <si>
    <t>TAB-06</t>
  </si>
  <si>
    <t>Incremento de peso total recomendado para embarazo gemelar según estado nutri...</t>
  </si>
  <si>
    <t>CR-007</t>
  </si>
  <si>
    <t>TAB-07</t>
  </si>
  <si>
    <t>Clasificación de los recién nacidos según su edad gestacional</t>
  </si>
  <si>
    <t>Recién nacidos, lactantes y pediatría</t>
  </si>
  <si>
    <t>0–5 años</t>
  </si>
  <si>
    <t>[21] Organización Mundial de la Salud. Nacidos Demasiado Pronto: Informe de A...</t>
  </si>
  <si>
    <t>CR-008</t>
  </si>
  <si>
    <t>TAB-08</t>
  </si>
  <si>
    <t>Clasificación de los recién nacidos según su peso de nacimiento</t>
  </si>
  <si>
    <t>[22] Velázquez Quintana, Nora Inés, Masud Yunes Zárraga JL, Ávila Reyes R. Re...</t>
  </si>
  <si>
    <t>CR-009</t>
  </si>
  <si>
    <t>TAB-09</t>
  </si>
  <si>
    <t>Clasificación del recién nacido según peso corporal y edad gestacional</t>
  </si>
  <si>
    <t>[9] Strain H, Becerra C, Castillo C, Leyton B, Santander S. Norma Técnica par...</t>
  </si>
  <si>
    <t>MANUAL_ACADÉMICO</t>
  </si>
  <si>
    <t>CR-010</t>
  </si>
  <si>
    <t>TAB-10</t>
  </si>
  <si>
    <t>Frecuencia recomendada para la evaluación nutricional de recién nacidos y lac...</t>
  </si>
  <si>
    <t>CR-011</t>
  </si>
  <si>
    <t>TAB-11</t>
  </si>
  <si>
    <t>Criterios para el ajuste de la edad cronológica según peso de nacimiento</t>
  </si>
  <si>
    <t>CF-001</t>
  </si>
  <si>
    <t>Adoptar una regla oficial vigente y conservar versión; no mezclar.</t>
  </si>
  <si>
    <t>CR-012</t>
  </si>
  <si>
    <t>TAB-12</t>
  </si>
  <si>
    <t>Criterios para la aproximación de la edad cronológica</t>
  </si>
  <si>
    <t>CR-013</t>
  </si>
  <si>
    <t>TAB-13</t>
  </si>
  <si>
    <t>Criterios para el registro de la información asociada al diagnóstico nutricio...</t>
  </si>
  <si>
    <t>CR-014</t>
  </si>
  <si>
    <t>TAB-14</t>
  </si>
  <si>
    <t>Criterios para la calificación del estado nutricional desde el mes de vida ha...</t>
  </si>
  <si>
    <t>CF-003, CF-030</t>
  </si>
  <si>
    <t>Definir inclusividad exacta y probar 60/61 meses. | Cotejar edición oficial vigente antes de habilitar clasificación.</t>
  </si>
  <si>
    <t>CR-015</t>
  </si>
  <si>
    <t>TAB-15</t>
  </si>
  <si>
    <t>Clasificación de la talla corporal según indicador Talla/Edad</t>
  </si>
  <si>
    <t>CR-016</t>
  </si>
  <si>
    <t>TAB-16</t>
  </si>
  <si>
    <t>Criterios para la clasificación de la circunferencia craneana</t>
  </si>
  <si>
    <t>CF-031</t>
  </si>
  <si>
    <t>Usar cortes oficiales exactos y pruebas de frontera.</t>
  </si>
  <si>
    <t>CR-017</t>
  </si>
  <si>
    <t>TAB-17</t>
  </si>
  <si>
    <t>Ecuaciones predictivas de la composición corporal en niños chilenos entre los...</t>
  </si>
  <si>
    <t>CR-018</t>
  </si>
  <si>
    <t>TAB-18</t>
  </si>
  <si>
    <t>Edad biológica en niñas de acuerdo con el desarrollo mamario</t>
  </si>
  <si>
    <t>Niños y adolescentes</t>
  </si>
  <si>
    <t>3–19 años</t>
  </si>
  <si>
    <t>[29] Pizarro T, Rodríguez L, Benavides X, Atalah E, Mardones F, Rozowski J, e...</t>
  </si>
  <si>
    <t>DERECHOS_IMAGEN_Y_GOBERNANZA_PENDIENTES</t>
  </si>
  <si>
    <t>CR-019</t>
  </si>
  <si>
    <t>TAB-19</t>
  </si>
  <si>
    <t>Edad biológica en niños según el desarrollo genital</t>
  </si>
  <si>
    <t>CR-020</t>
  </si>
  <si>
    <t>TAB-20</t>
  </si>
  <si>
    <t>Criterios de clasificación de la circunferencia de cintura</t>
  </si>
  <si>
    <t>CR-021</t>
  </si>
  <si>
    <t>TAB-21</t>
  </si>
  <si>
    <t>Estimación del porcentaje de grasa corporal en niños y niñas entre 8 y 18 años</t>
  </si>
  <si>
    <t>CR-022</t>
  </si>
  <si>
    <t>TAB-22</t>
  </si>
  <si>
    <t>Ecuaciones para la estimación de la densidad corporal en niños y niñas entre ...</t>
  </si>
  <si>
    <t>CR-023</t>
  </si>
  <si>
    <t>TAB-23</t>
  </si>
  <si>
    <t>Ecuaciones para la estimación de la densidad corporal en niños y niñas</t>
  </si>
  <si>
    <t>[34] Weststrate JA, Deurenberg P. Body composition in children: proposal for ...</t>
  </si>
  <si>
    <t>CR-024</t>
  </si>
  <si>
    <t>TAB-24</t>
  </si>
  <si>
    <t>Ecuaciones para la estimación del porcentaje de grasa corporal desde pliegues...</t>
  </si>
  <si>
    <t>CR-025</t>
  </si>
  <si>
    <t>TAB-25</t>
  </si>
  <si>
    <t>Criterios para la clasificación del estado nutricional según el porcentaje de...</t>
  </si>
  <si>
    <t>[35] Lohman T, Roche A, Martorel R. Anthropometric standardization reference ...</t>
  </si>
  <si>
    <t>CR-026</t>
  </si>
  <si>
    <t>TAB-29</t>
  </si>
  <si>
    <t>Determinación del peso ideal en sujetos con obesidad</t>
  </si>
  <si>
    <t>≥18 años</t>
  </si>
  <si>
    <t>[38] Deitel M, Greenstein R. Recommendations for reporting weight loss. Obes ...</t>
  </si>
  <si>
    <t>CR-027</t>
  </si>
  <si>
    <t>TAB-30</t>
  </si>
  <si>
    <t>Criterios de clasificación del porcentaje de pérdida de peso corporal en el t...</t>
  </si>
  <si>
    <t>CR-028</t>
  </si>
  <si>
    <t>TAB-31</t>
  </si>
  <si>
    <t>Criterios de clasificación según pliegues cutáneos tricipital y subescapular</t>
  </si>
  <si>
    <t>CR-029</t>
  </si>
  <si>
    <t>TAB-32</t>
  </si>
  <si>
    <t>Criterios según circunferencia del brazo y pliegue tricipital en adultos hosp...</t>
  </si>
  <si>
    <t>CR-030</t>
  </si>
  <si>
    <t>TAB-33</t>
  </si>
  <si>
    <t>Percentiles para la clasificación del pliegue cutáneo tricipital</t>
  </si>
  <si>
    <t>CR-031</t>
  </si>
  <si>
    <t>TAB-34</t>
  </si>
  <si>
    <t>Percentiles para la clasificación del área grasa braquial</t>
  </si>
  <si>
    <t>CR-032</t>
  </si>
  <si>
    <t>TAB-35</t>
  </si>
  <si>
    <t>Criterios para la clasificación de la masa grasa según PCT y AGB</t>
  </si>
  <si>
    <t>CR-033</t>
  </si>
  <si>
    <t>TAB-36</t>
  </si>
  <si>
    <t>Percentiles para la clasificación de la circunferencia del brazo</t>
  </si>
  <si>
    <t>CR-034</t>
  </si>
  <si>
    <t>TAB-37</t>
  </si>
  <si>
    <t>Criterios según circunferencia muscular del brazo en hospitalizados y no hosp...</t>
  </si>
  <si>
    <t>CR-035</t>
  </si>
  <si>
    <t>TAB-38</t>
  </si>
  <si>
    <t>Percentiles para la clasificación de la circunferencia muscular del brazo</t>
  </si>
  <si>
    <t>[1] Frisancho AR. New norms of upper limb fat and muscle areas for assessment...</t>
  </si>
  <si>
    <t>CR-036</t>
  </si>
  <si>
    <t>TAB-39</t>
  </si>
  <si>
    <t>Percentiles para la clasificación del área muscular del brazo según edad y sexo</t>
  </si>
  <si>
    <t>CR-037</t>
  </si>
  <si>
    <t>TAB-40</t>
  </si>
  <si>
    <t>Criterios de clasificación de la masa muscular según CMB y AMB</t>
  </si>
  <si>
    <t>CR-038</t>
  </si>
  <si>
    <t>TAB-41</t>
  </si>
  <si>
    <t>Diagnóstico de obesidad abdominal para población chilena según circunferencia...</t>
  </si>
  <si>
    <t>[41] Ministerio de Salud. Orientación Técnica Programa de Salud Cardiovascula...</t>
  </si>
  <si>
    <t>CR-039</t>
  </si>
  <si>
    <t>TAB-42</t>
  </si>
  <si>
    <t>Riesgo de complicaciones metabólicas por circunferencia de cintura en poblaci...</t>
  </si>
  <si>
    <t>CR-040</t>
  </si>
  <si>
    <t>TAB-43</t>
  </si>
  <si>
    <t>Criterios de riesgo metabólico según relación cintura-cadera</t>
  </si>
  <si>
    <t>CR-041</t>
  </si>
  <si>
    <t>TAB-44</t>
  </si>
  <si>
    <t>Criterio de riesgo cardiovascular según relación cintura-talla</t>
  </si>
  <si>
    <t>CR-042</t>
  </si>
  <si>
    <t>TAB-45</t>
  </si>
  <si>
    <t>Ecuaciones para densidad corporal a partir de cuatro pliegues cutáneos</t>
  </si>
  <si>
    <t>CR-043</t>
  </si>
  <si>
    <t>TAB-46</t>
  </si>
  <si>
    <t>Criterios de clasificación del porcentaje de grasa corporal en adultos</t>
  </si>
  <si>
    <t>CR-044</t>
  </si>
  <si>
    <t>TAB-47</t>
  </si>
  <si>
    <t>Criterios de clasificación del estado nutricional del adulto mayor según IMC</t>
  </si>
  <si>
    <t>≥60/65 años</t>
  </si>
  <si>
    <t>[46] Ministerio de Salud. Manual de Aplicación del Examen de Medicina Prevent...</t>
  </si>
  <si>
    <t>CF-015</t>
  </si>
  <si>
    <t>Cotejar EMPAM/MINSAL y definir inclusividad.</t>
  </si>
  <si>
    <t>CR-045</t>
  </si>
  <si>
    <t>TAB-48</t>
  </si>
  <si>
    <t>Ecuaciones para estimación del peso corporal en personas de 60 a 90 años</t>
  </si>
  <si>
    <t>CF-016</t>
  </si>
  <si>
    <t>Guardar dominio de cada ecuación separado de definición clínica.</t>
  </si>
  <si>
    <t>CR-046</t>
  </si>
  <si>
    <t>TAB-49</t>
  </si>
  <si>
    <t>Ecuaciones para estimación de talla por altura de rodilla en personas de 60 a...</t>
  </si>
  <si>
    <t>CR-047</t>
  </si>
  <si>
    <t>TAB-50</t>
  </si>
  <si>
    <t>Estimación de talla corporal mediante longitud rodilla-maléolo externo</t>
  </si>
  <si>
    <t>CR-048</t>
  </si>
  <si>
    <t>TAB-51</t>
  </si>
  <si>
    <t>Estimación de talla mediante longitud del antebrazo en mayores de 65 años</t>
  </si>
  <si>
    <t>[50] Todorovic V, Russell C, Elia M. The ‘must’ explanatory booklet. A Guide ...</t>
  </si>
  <si>
    <t>CF-018</t>
  </si>
  <si>
    <t>Registrar tabla, sexo, rango y fuente; no interpolar sin indicación.</t>
  </si>
  <si>
    <t>CR-049</t>
  </si>
  <si>
    <t>TAB-52</t>
  </si>
  <si>
    <t>Percentiles de circunferencia de brazo en personas mayores</t>
  </si>
  <si>
    <t>CR-050</t>
  </si>
  <si>
    <t>TAB-54</t>
  </si>
  <si>
    <t>Percentiles de área grasa braquial en personas mayores</t>
  </si>
  <si>
    <t>CR-051</t>
  </si>
  <si>
    <t>TAB-55</t>
  </si>
  <si>
    <t>Percentiles de circunferencia muscular del brazo en personas mayores</t>
  </si>
  <si>
    <t>CR-052</t>
  </si>
  <si>
    <t>TAB-56</t>
  </si>
  <si>
    <t>Percentiles de área muscular del brazo en personas mayores</t>
  </si>
  <si>
    <t>CR-053</t>
  </si>
  <si>
    <t>TAB-57</t>
  </si>
  <si>
    <t>Predicción del porcentaje de grasa corporal en sujetos con parálisis cerebral</t>
  </si>
  <si>
    <t>Parálisis cerebral pediátrica</t>
  </si>
  <si>
    <t>[54] Gurka M, Kuperminc M, Busby M, Bennis J, Grossberg R, Houlihan C, et al....</t>
  </si>
  <si>
    <t>CF-024</t>
  </si>
  <si>
    <t>Módulo separado con dominio y fuente primaria.</t>
  </si>
  <si>
    <t>CR-054</t>
  </si>
  <si>
    <t>TAB-58</t>
  </si>
  <si>
    <t>Acciones a seguir según resultados de un tamizaje nutricional</t>
  </si>
  <si>
    <t>Adultos hospitalizados/personas mayores</t>
  </si>
  <si>
    <t>[59] Comité de Nutricionistas de Metabolismo y Nutrición Clínica, Federación ...</t>
  </si>
  <si>
    <t>CF-036</t>
  </si>
  <si>
    <t>Etiquetar como síntesis académica y cotejar guías actuales.</t>
  </si>
  <si>
    <t>CR-055</t>
  </si>
  <si>
    <t>TAB-59</t>
  </si>
  <si>
    <t>Etapa I: Tamizaje inicial NRS-2002</t>
  </si>
  <si>
    <t>DERECHOS_Y_VERSIÓN_PENDIENTES</t>
  </si>
  <si>
    <t>CR-056</t>
  </si>
  <si>
    <t>TAB-60</t>
  </si>
  <si>
    <t>Etapa II: Clasificación del riesgo nutricional NRS-2002</t>
  </si>
  <si>
    <t>CF-034</t>
  </si>
  <si>
    <t>Usar fuente ESPEN oficial y pruebas de imagen/página.</t>
  </si>
  <si>
    <t>CR-057</t>
  </si>
  <si>
    <t>CUA-01</t>
  </si>
  <si>
    <t>Variación del peso esperado según edad del lactante</t>
  </si>
  <si>
    <t>n/a</t>
  </si>
  <si>
    <t>Según cuadro</t>
  </si>
  <si>
    <t>CR-058</t>
  </si>
  <si>
    <t>CUA-02</t>
  </si>
  <si>
    <t>Criterios de clasificación nutricional del recién nacido pretérmino</t>
  </si>
  <si>
    <t>[23] Milad M, Novoa J, Fabres J, Samamé M, Aspillaga C. Recomendación sobre C...</t>
  </si>
  <si>
    <t>CR-059</t>
  </si>
  <si>
    <t>CUA-03</t>
  </si>
  <si>
    <t>Criterios para el diagnóstico nutricional integrado pediátrico</t>
  </si>
  <si>
    <t>[27] Ministerio de Salud. Norma para el manejo ambulatorio de la malnutrición...</t>
  </si>
  <si>
    <t>CR-060</t>
  </si>
  <si>
    <t>CUA-04</t>
  </si>
  <si>
    <t>Características de las herramientas de tamizaje nutricional</t>
  </si>
  <si>
    <t>Hospitalizados/personas mayores</t>
  </si>
  <si>
    <t>NUTRIMETRÍA · NMX-43 | CASOS POR CICLO VITAL</t>
  </si>
  <si>
    <t>16 casos originales, formativos y no diagnósticos.</t>
  </si>
  <si>
    <t>Caso_ID</t>
  </si>
  <si>
    <t>Datos/contexto</t>
  </si>
  <si>
    <t>Tarea formativa</t>
  </si>
  <si>
    <t>Cautela</t>
  </si>
  <si>
    <t>CAS-001</t>
  </si>
  <si>
    <t>Selección de referencia gestacional</t>
  </si>
  <si>
    <t>Peso pregestacional 62 kg; talla 1,62 m; semana 24.</t>
  </si>
  <si>
    <t>Calcular IMC y decidir qué fuente verificar.</t>
  </si>
  <si>
    <t>IMC≈23,62; no clasificar sin norma vigente.</t>
  </si>
  <si>
    <t>EQ-05; TAB-04; TAB-05; PRO-18</t>
  </si>
  <si>
    <t>NMX-03 / NMX-44</t>
  </si>
  <si>
    <t>Intermedio</t>
  </si>
  <si>
    <t>No diagnóstico.</t>
  </si>
  <si>
    <t>APROBADO_ACADÉMICO</t>
  </si>
  <si>
    <t>CAS-002</t>
  </si>
  <si>
    <t>Indicador neonatal</t>
  </si>
  <si>
    <t>Peso 3200 g; longitud 50 cm; EG 39 semanas.</t>
  </si>
  <si>
    <t>Calcular índice ponderal y mapear protocolos.</t>
  </si>
  <si>
    <t>2,56 g/cm³; clasificación requiere fuente.</t>
  </si>
  <si>
    <t>EQ-06; PRO-01; PRO-03</t>
  </si>
  <si>
    <t>NMX-14 / NMX-28</t>
  </si>
  <si>
    <t>Básico</t>
  </si>
  <si>
    <t>No clasificar.</t>
  </si>
  <si>
    <t>CAS-003</t>
  </si>
  <si>
    <t>Edad corregida y conflicto</t>
  </si>
  <si>
    <t>Edad actual 20 sem; EG al nacer 32 sem.</t>
  </si>
  <si>
    <t>Resolver fórmula y detectar CF-001/002.</t>
  </si>
  <si>
    <t>12 semanas según transcripción; cotejo oficial.</t>
  </si>
  <si>
    <t>EQ-07; PRO-19; TAB-11</t>
  </si>
  <si>
    <t>Regla en conflicto.</t>
  </si>
  <si>
    <t>CAS-004</t>
  </si>
  <si>
    <t>Longitud y perímetro cefálico</t>
  </si>
  <si>
    <t>18 meses, sin bipedestación estable.</t>
  </si>
  <si>
    <t>Elegir instrumento y resumir protocolo.</t>
  </si>
  <si>
    <t>Infantómetro y cinta occipitofrontal.</t>
  </si>
  <si>
    <t>PRO-03; PRO-13; FIG-07</t>
  </si>
  <si>
    <t>No copiar figura.</t>
  </si>
  <si>
    <t>CAS-005</t>
  </si>
  <si>
    <t>LMS con parámetros ficticios</t>
  </si>
  <si>
    <t>X=12; L=1; M=11,5; S=0,1.</t>
  </si>
  <si>
    <t>Calcular z y explicar límite.</t>
  </si>
  <si>
    <t>z≈0,43; no clasificar sin tablas oficiales.</t>
  </si>
  <si>
    <t>EQ-04; TAB-14</t>
  </si>
  <si>
    <t>Parámetros ficticios.</t>
  </si>
  <si>
    <t>CAS-006</t>
  </si>
  <si>
    <t>Cintura y Tanner</t>
  </si>
  <si>
    <t>Cintura medida; estadio externo.</t>
  </si>
  <si>
    <t>Separar medición de imagen protegida.</t>
  </si>
  <si>
    <t>Registrar sitio y estadio externo; no imágenes.</t>
  </si>
  <si>
    <t>PRO-10; INS-04; FIG-13/14</t>
  </si>
  <si>
    <t>NMX-14 / NMX-28 / NMX-44</t>
  </si>
  <si>
    <t>Derechos.</t>
  </si>
  <si>
    <t>CAS-007</t>
  </si>
  <si>
    <t>Slaughter histórico</t>
  </si>
  <si>
    <t>Femenino; Σ2=30 mm.</t>
  </si>
  <si>
    <t>Calcular y reconocer límites.</t>
  </si>
  <si>
    <t>25,69%; método histórico.</t>
  </si>
  <si>
    <t>EQ-13; TAB-21; CF-023</t>
  </si>
  <si>
    <t>No motor en NMX-43.</t>
  </si>
  <si>
    <t>CAS-008</t>
  </si>
  <si>
    <t>Pérdida y adecuación</t>
  </si>
  <si>
    <t>PH=80; PA=72; referencia=75 kg.</t>
  </si>
  <si>
    <t>Calcular dos indicadores.</t>
  </si>
  <si>
    <t>Pérdida 10%; adecuación 96%.</t>
  </si>
  <si>
    <t>EQ-18; EQ-01; TAB-30</t>
  </si>
  <si>
    <t>NMX-03 / NMX-28</t>
  </si>
  <si>
    <t>No clasificar severidad.</t>
  </si>
  <si>
    <t>CAS-009</t>
  </si>
  <si>
    <t>Áreas braquiales</t>
  </si>
  <si>
    <t>CB=30 cm; PCT=12 mm.</t>
  </si>
  <si>
    <t>Convertir y encadenar cálculos.</t>
  </si>
  <si>
    <t>ABT≈71,62; CMB≈26,23; AMB≈54,76; AGB≈16,86.</t>
  </si>
  <si>
    <t>EQ-19 a EQ-22; CF-012/013</t>
  </si>
  <si>
    <t>Avanzado</t>
  </si>
  <si>
    <t>Validar unidades.</t>
  </si>
  <si>
    <t>CAS-010</t>
  </si>
  <si>
    <t>Cintura y conflicto de corte</t>
  </si>
  <si>
    <t>Cintura=90; cadera=100; talla=170.</t>
  </si>
  <si>
    <t>Calcular RCC/RCT y auditar corte.</t>
  </si>
  <si>
    <t>0,90 y 0,50; CF-014.</t>
  </si>
  <si>
    <t>EQ-25; EQ-26; TAB-43/44</t>
  </si>
  <si>
    <t>No usar corte sospechoso.</t>
  </si>
  <si>
    <t>CAS-011</t>
  </si>
  <si>
    <t>Peso y talla estimados</t>
  </si>
  <si>
    <t>Hombre 70 a; AR=50; CP=35; CB=30; PSE=15.</t>
  </si>
  <si>
    <t>Calcular EQ-30 y EQ-32.</t>
  </si>
  <si>
    <t>Peso≈70,26; talla≈162,39.</t>
  </si>
  <si>
    <t>EQ-30; EQ-32; PRO-05</t>
  </si>
  <si>
    <t>Cotejar unidades/dominio.</t>
  </si>
  <si>
    <t>CAS-012</t>
  </si>
  <si>
    <t>Pantorrilla y MNA®-SF</t>
  </si>
  <si>
    <t>CP=30,5; puntaje externo=10.</t>
  </si>
  <si>
    <t>Registrar medición y resultado externo.</t>
  </si>
  <si>
    <t>Guardar puntaje/version; no ítems.</t>
  </si>
  <si>
    <t>PRO-12; EQ-41; INS-03</t>
  </si>
  <si>
    <t>Instrumento protegido.</t>
  </si>
  <si>
    <t>CAS-013</t>
  </si>
  <si>
    <t>NRS-2002 externo</t>
  </si>
  <si>
    <t>Puntaje oficial externo=4.</t>
  </si>
  <si>
    <t>Registrar sin reproducir instrumento.</t>
  </si>
  <si>
    <t>Guardar puntaje, fecha, versión y fuente.</t>
  </si>
  <si>
    <t>EQ-40; INS-01; TAB-59/60</t>
  </si>
  <si>
    <t>No copiar tabla.</t>
  </si>
  <si>
    <t>CAS-014</t>
  </si>
  <si>
    <t>Situación especial</t>
  </si>
  <si>
    <t>Peso por amputación</t>
  </si>
  <si>
    <t>Peso observado 70; proporción 5,9%.</t>
  </si>
  <si>
    <t>Resolver y reconocer CF-019.</t>
  </si>
  <si>
    <t>≈74,39 kg; no implementar aún.</t>
  </si>
  <si>
    <t>EQ-37; PRO-22; FIG-15</t>
  </si>
  <si>
    <t>NMX-28 / NMX-44</t>
  </si>
  <si>
    <t>Fórmula en conflicto.</t>
  </si>
  <si>
    <t>CAS-015</t>
  </si>
  <si>
    <t>LPI=35 cm; GMFCS externo.</t>
  </si>
  <si>
    <t>Calcular talla y declarar dominio.</t>
  </si>
  <si>
    <t>≈144,9 cm; seleccionar referencia específica.</t>
  </si>
  <si>
    <t>EQ-38; PRO-23; TAB-57</t>
  </si>
  <si>
    <t>No extrapolar.</t>
  </si>
  <si>
    <t>CAS-016</t>
  </si>
  <si>
    <t>Síndrome de Down</t>
  </si>
  <si>
    <t>Edad/sexo conocidos; curva no definida.</t>
  </si>
  <si>
    <t>Diseñar registro de curva/version.</t>
  </si>
  <si>
    <t>Selección explícita; no curva silenciosa.</t>
  </si>
  <si>
    <t>PRO-24; POP-09; CF-025</t>
  </si>
  <si>
    <t>NMX-14 / NMX-44</t>
  </si>
  <si>
    <t>Sin consenso único.</t>
  </si>
  <si>
    <t>NUTRIMETRÍA · NMX-43 | PROTOCOLOS RESUMIDOS</t>
  </si>
  <si>
    <t>24 resúmenes propios; UDD no se etiqueta como ISAK.</t>
  </si>
  <si>
    <t>Protocolo_ID</t>
  </si>
  <si>
    <t>Metodología</t>
  </si>
  <si>
    <t>Medida</t>
  </si>
  <si>
    <t>Lado</t>
  </si>
  <si>
    <t>Posición</t>
  </si>
  <si>
    <t>Instrumento</t>
  </si>
  <si>
    <t>Precisión</t>
  </si>
  <si>
    <t>Repeticiones</t>
  </si>
  <si>
    <t>Condición</t>
  </si>
  <si>
    <t>P-UDD-001</t>
  </si>
  <si>
    <t>PRO-01</t>
  </si>
  <si>
    <t>Peso corporal &lt;2 años</t>
  </si>
  <si>
    <t>UDD_RESUMIDO</t>
  </si>
  <si>
    <t>Balanza para lactantes; mínima ropa; sin zapatos; control de tara.</t>
  </si>
  <si>
    <t>Según fuente</t>
  </si>
  <si>
    <t>Según resumen del manual</t>
  </si>
  <si>
    <t>Recién nacidos/lactantes</t>
  </si>
  <si>
    <t>0–&lt;2 años</t>
  </si>
  <si>
    <t>Manual UDD y referencias citadas en la sección</t>
  </si>
  <si>
    <t>COTEJO_PRIMARIO_PENDIENTE</t>
  </si>
  <si>
    <t>Versionar protocolo y fuente; no mezclar reglas de distintas referencias.</t>
  </si>
  <si>
    <t>RESUMEN PROPIO; NO REPRODUCE CAPÍTULO/FIGURA</t>
  </si>
  <si>
    <t>P-UDD-002</t>
  </si>
  <si>
    <t>PRO-02</t>
  </si>
  <si>
    <t>Peso corporal en adolescentes/adultos</t>
  </si>
  <si>
    <t>Centro de balanza; mínima ropa; sin zapatos; idealmente vejiga/recto evacuados.</t>
  </si>
  <si>
    <t>Adolescentes/adultos</t>
  </si>
  <si>
    <t>Adolescencia y adultez</t>
  </si>
  <si>
    <t>NMX-03, NMX-14, NMX-28</t>
  </si>
  <si>
    <t>P-UDD-003</t>
  </si>
  <si>
    <t>PRO-03</t>
  </si>
  <si>
    <t>Longitud recumbente</t>
  </si>
  <si>
    <t>Infantómetro; alineación corporal y lectura perpendicular.</t>
  </si>
  <si>
    <t>Lactantes/niños pequeños</t>
  </si>
  <si>
    <t>&lt;2 años o sin bipedestación</t>
  </si>
  <si>
    <t>P-UDD-004</t>
  </si>
  <si>
    <t>PRO-04</t>
  </si>
  <si>
    <t>Talla de pie</t>
  </si>
  <si>
    <t>Plano de Frankfurt; puntos corporales en contacto; estadiómetro.</t>
  </si>
  <si>
    <t>Preescolares a adultos</t>
  </si>
  <si>
    <t>≥2 años</t>
  </si>
  <si>
    <t>P-UDD-005</t>
  </si>
  <si>
    <t>PRO-05</t>
  </si>
  <si>
    <t>Altura de rodilla</t>
  </si>
  <si>
    <t>Posición supina; 90° muslo-rodilla y pie-pantorrilla; pierna izquierda.</t>
  </si>
  <si>
    <t>Personas sin bipedestación/personas mayores</t>
  </si>
  <si>
    <t>P-UDD-006</t>
  </si>
  <si>
    <t>PRO-06</t>
  </si>
  <si>
    <t>Longitud de antebrazo</t>
  </si>
  <si>
    <t>Brazo izquierdo cruzado; codo a apófisis estiloides; redondeo 0,5 cm.</t>
  </si>
  <si>
    <t>&gt;65 años</t>
  </si>
  <si>
    <t>P-UDD-007</t>
  </si>
  <si>
    <t>PRO-07</t>
  </si>
  <si>
    <t>Media brazada/demi-span</t>
  </si>
  <si>
    <t>Medición desde esternón a dedo medio; estimación de talla.</t>
  </si>
  <si>
    <t>Adultos/personas mayores</t>
  </si>
  <si>
    <t>P-UDD-008</t>
  </si>
  <si>
    <t>PRO-08</t>
  </si>
  <si>
    <t>Circunferencia de brazo</t>
  </si>
  <si>
    <t>Transversal</t>
  </si>
  <si>
    <t>Punto medio acromion-olécranon; cinta sin comprimir.</t>
  </si>
  <si>
    <t>P-UDD-009</t>
  </si>
  <si>
    <t>PRO-09</t>
  </si>
  <si>
    <t>Circunferencia de cadera</t>
  </si>
  <si>
    <t>Nivel máximo de glúteos; plano horizontal; sin compresión.</t>
  </si>
  <si>
    <t>P-UDD-010</t>
  </si>
  <si>
    <t>PRO-10</t>
  </si>
  <si>
    <t>Cintura pediátrica</t>
  </si>
  <si>
    <t>Borde superior de cresta ilíaca; brazos cruzados; fin de espiración.</t>
  </si>
  <si>
    <t>P-UDD-011</t>
  </si>
  <si>
    <t>PRO-11</t>
  </si>
  <si>
    <t>Cintura en adultos/personas mayores</t>
  </si>
  <si>
    <t>Protocolo descrito por el manual; sitio anatómico debe versionarse.</t>
  </si>
  <si>
    <t>P-UDD-012</t>
  </si>
  <si>
    <t>PRO-12</t>
  </si>
  <si>
    <t>Circunferencia de pantorrilla</t>
  </si>
  <si>
    <t>Máximo perímetro; de pie o supino con rodilla a 90°.</t>
  </si>
  <si>
    <t>Personas mayores/personas con limitación</t>
  </si>
  <si>
    <t>P-UDD-013</t>
  </si>
  <si>
    <t>PRO-13</t>
  </si>
  <si>
    <t>Perímetro cefálico</t>
  </si>
  <si>
    <t>Cinta por máxima circunferencia occipitofrontal.</t>
  </si>
  <si>
    <t>Lactantes</t>
  </si>
  <si>
    <t>0–3 años aprox.</t>
  </si>
  <si>
    <t>NMX-43</t>
  </si>
  <si>
    <t>P-UDD-014</t>
  </si>
  <si>
    <t>PRO-14</t>
  </si>
  <si>
    <t>Pliegue bicipital UDD</t>
  </si>
  <si>
    <t>UDD</t>
  </si>
  <si>
    <t>Brazo no dominante; punto medio; lectura tras ~3 s; tres repeticiones y promedio.</t>
  </si>
  <si>
    <t>Brazo no dominante</t>
  </si>
  <si>
    <t>Plicómetro</t>
  </si>
  <si>
    <t>3 y promedio</t>
  </si>
  <si>
    <t>mm</t>
  </si>
  <si>
    <t>CONFLICTO_PROTOCOLO</t>
  </si>
  <si>
    <t>Protocolo UDD: no rotular como ISAK sin cotejar edición oficial, lado, sitio, repeticiones y TEM.</t>
  </si>
  <si>
    <t>NMX-20, NMX-28</t>
  </si>
  <si>
    <t>P-UDD-015</t>
  </si>
  <si>
    <t>PRO-15</t>
  </si>
  <si>
    <t>Pliegue subescapular UDD</t>
  </si>
  <si>
    <t>Ángulo inferior de escápula derecha; diagonal; tres repeticiones.</t>
  </si>
  <si>
    <t>Escápula derecha</t>
  </si>
  <si>
    <t>P-UDD-016</t>
  </si>
  <si>
    <t>PRO-16</t>
  </si>
  <si>
    <t>Pliegue suprailíaco UDD</t>
  </si>
  <si>
    <t>Sobre cresta ilíaca, línea medioaxilar, oblicuo anterior-descendente; tres repeticiones.</t>
  </si>
  <si>
    <t>Según sitio descrito</t>
  </si>
  <si>
    <t>P-UDD-017</t>
  </si>
  <si>
    <t>PRO-17</t>
  </si>
  <si>
    <t>Pliegue tricipital UDD</t>
  </si>
  <si>
    <t>Brazo no dominante; punto medio posterior; tres repeticiones y promedio.</t>
  </si>
  <si>
    <t>P-UDD-018</t>
  </si>
  <si>
    <t>PRO-18</t>
  </si>
  <si>
    <t>Evaluación gestacional</t>
  </si>
  <si>
    <t>Curva Atalah modificada 2019 + seguimiento de ganancia ponderal.</t>
  </si>
  <si>
    <t>IMC/semana</t>
  </si>
  <si>
    <t>Semanas 6–42</t>
  </si>
  <si>
    <t>P-UDD-019</t>
  </si>
  <si>
    <t>PRO-19</t>
  </si>
  <si>
    <t>Corrección de edad pediátrica por peso de nacimiento</t>
  </si>
  <si>
    <t>Tabla 11 del manual; difiere del motor NMX-14.</t>
  </si>
  <si>
    <t>meses/semanas</t>
  </si>
  <si>
    <t>P-UDD-020</t>
  </si>
  <si>
    <t>PRO-20</t>
  </si>
  <si>
    <t>Diagnóstico nutricional pediátrico integrado</t>
  </si>
  <si>
    <t>Integra indicador primario, talla, tendencia y antecedentes.</t>
  </si>
  <si>
    <t>z/percentil</t>
  </si>
  <si>
    <t>P-UDD-021</t>
  </si>
  <si>
    <t>PRO-21</t>
  </si>
  <si>
    <t>Tamizaje nutricional y conducta</t>
  </si>
  <si>
    <t>Aplicar instrumento validado; definir conducta y reevaluación.</t>
  </si>
  <si>
    <t>puntaje</t>
  </si>
  <si>
    <t>P-UDD-022</t>
  </si>
  <si>
    <t>PRO-22</t>
  </si>
  <si>
    <t>Evaluación en amputaciones</t>
  </si>
  <si>
    <t>Ajuste por proporción de segmento; exige aclarar peso actual/pre-amputación.</t>
  </si>
  <si>
    <t>kg/%</t>
  </si>
  <si>
    <t>NMX-44 potencial</t>
  </si>
  <si>
    <t>P-UDD-023</t>
  </si>
  <si>
    <t>PRO-23</t>
  </si>
  <si>
    <t>Evaluación en parálisis cerebral</t>
  </si>
  <si>
    <t>Medidas segmentarias, GMFCS y curvas específicas.</t>
  </si>
  <si>
    <t>cm/kg/%</t>
  </si>
  <si>
    <t>P-UDD-024</t>
  </si>
  <si>
    <t>PRO-24</t>
  </si>
  <si>
    <t>Evaluación en síndrome de Down</t>
  </si>
  <si>
    <t>Manual señala ausencia de consenso MINSAL y propone referencias alternativas.</t>
  </si>
  <si>
    <t>NUTRIMETRÍA · NMX-43 | GLOSARIO CLÍNICO</t>
  </si>
  <si>
    <t>Definiciones educativas propias.</t>
  </si>
  <si>
    <t>Definición</t>
  </si>
  <si>
    <t>Origen</t>
  </si>
  <si>
    <t>GLO-001</t>
  </si>
  <si>
    <t>Relación porcentual entre valor observado y referencia; no equivale a diagnóstico.</t>
  </si>
  <si>
    <t>Definición educativa propia</t>
  </si>
  <si>
    <t>Consultar fuente especializada cuando aplique.</t>
  </si>
  <si>
    <t>GLO-002</t>
  </si>
  <si>
    <t>Medición corporal bajo un protocolo definido.</t>
  </si>
  <si>
    <t>GLO-003</t>
  </si>
  <si>
    <t>Estimación geométrica a partir de la circunferencia braquial.</t>
  </si>
  <si>
    <t>GLO-004</t>
  </si>
  <si>
    <t>Diferencia entre área braquial total y área muscular.</t>
  </si>
  <si>
    <t>GLO-005</t>
  </si>
  <si>
    <t>Área muscular braquial</t>
  </si>
  <si>
    <t>Estimación del componente muscular del brazo.</t>
  </si>
  <si>
    <t>GLO-006</t>
  </si>
  <si>
    <t>Circunferencia braquial</t>
  </si>
  <si>
    <t>Perímetro del brazo en un punto anatómico definido.</t>
  </si>
  <si>
    <t>GLO-007</t>
  </si>
  <si>
    <t>Circunferencia de cintura</t>
  </si>
  <si>
    <t>Perímetro abdominal cuyo sitio debe registrarse.</t>
  </si>
  <si>
    <t>GLO-008</t>
  </si>
  <si>
    <t>Perímetro al nivel máximo de glúteos según protocolo.</t>
  </si>
  <si>
    <t>GLO-009</t>
  </si>
  <si>
    <t>Perímetro máximo de pantorrilla; interpretación poblacional.</t>
  </si>
  <si>
    <t>GLO-010</t>
  </si>
  <si>
    <t>Estimación derivada de CB y pliegue tricipital.</t>
  </si>
  <si>
    <t>GLO-011</t>
  </si>
  <si>
    <t>Criterio de clasificación</t>
  </si>
  <si>
    <t>Regla con fuente, versión, población y límites.</t>
  </si>
  <si>
    <t>GLO-012</t>
  </si>
  <si>
    <t>Densidad corporal</t>
  </si>
  <si>
    <t>Relación masa/volumen usada en modelos de composición corporal.</t>
  </si>
  <si>
    <t>GLO-013</t>
  </si>
  <si>
    <t>Diagnóstico nutricional</t>
  </si>
  <si>
    <t>Conclusión clínica integrada; NMX-43 no la emite.</t>
  </si>
  <si>
    <t>GLO-014</t>
  </si>
  <si>
    <t>Dominio de ecuación</t>
  </si>
  <si>
    <t>Población, edad, sexo, unidades y condiciones de validación.</t>
  </si>
  <si>
    <t>GLO-015</t>
  </si>
  <si>
    <t>Edad corregida</t>
  </si>
  <si>
    <t>Ajuste por prematuridad bajo regla oficial versionada.</t>
  </si>
  <si>
    <t>GLO-016</t>
  </si>
  <si>
    <t>Ejemplo formativo</t>
  </si>
  <si>
    <t>Caso didáctico sin valor diagnóstico.</t>
  </si>
  <si>
    <t>GLO-017</t>
  </si>
  <si>
    <t>Estado de verificación</t>
  </si>
  <si>
    <t>Nivel de revisión documental.</t>
  </si>
  <si>
    <t>GLO-018</t>
  </si>
  <si>
    <t>Fuente oficial</t>
  </si>
  <si>
    <t>Documento de autoridad normativa competente.</t>
  </si>
  <si>
    <t>GLO-019</t>
  </si>
  <si>
    <t>Fuente primaria</t>
  </si>
  <si>
    <t>Publicación original del método.</t>
  </si>
  <si>
    <t>GLO-020</t>
  </si>
  <si>
    <t>Peso/talla²; interpretación según ciclo vital.</t>
  </si>
  <si>
    <t>GLO-021</t>
  </si>
  <si>
    <t>Relación peso/longitud³ en recién nacidos.</t>
  </si>
  <si>
    <t>GLO-022</t>
  </si>
  <si>
    <t>Instrumento protegido</t>
  </si>
  <si>
    <t>Formulario, imagen o diseño con restricciones de licencia.</t>
  </si>
  <si>
    <t>GLO-023</t>
  </si>
  <si>
    <t>LMS</t>
  </si>
  <si>
    <t>Método de curvas con parámetros L, M y S.</t>
  </si>
  <si>
    <t>GLO-024</t>
  </si>
  <si>
    <t>Condición que restringe interpretación o automatización.</t>
  </si>
  <si>
    <t>GLO-025</t>
  </si>
  <si>
    <t>Media brazada</t>
  </si>
  <si>
    <t>Distancia esternón-dedo medio para estimar talla en contextos específicos.</t>
  </si>
  <si>
    <t>GLO-026</t>
  </si>
  <si>
    <t>Motor clínico</t>
  </si>
  <si>
    <t>Módulo especializado de cálculo y clasificación.</t>
  </si>
  <si>
    <t>GLO-027</t>
  </si>
  <si>
    <t>NMX especializado</t>
  </si>
  <si>
    <t>Libro responsable de ejecutar el contenido clínico.</t>
  </si>
  <si>
    <t>GLO-028</t>
  </si>
  <si>
    <t>Percentil</t>
  </si>
  <si>
    <t>Posición relativa en una distribución de referencia.</t>
  </si>
  <si>
    <t>GLO-029</t>
  </si>
  <si>
    <t>Pliegue cutáneo</t>
  </si>
  <si>
    <t>Espesor de piel y tejido subcutáneo medido con plicómetro.</t>
  </si>
  <si>
    <t>GLO-030</t>
  </si>
  <si>
    <t>Protocolo versionado</t>
  </si>
  <si>
    <t>Procedimiento con fuente, lado, posición, equipo y repeticiones.</t>
  </si>
  <si>
    <t>GLO-031</t>
  </si>
  <si>
    <t>Punto de corte</t>
  </si>
  <si>
    <t>Valor que separa categorías.</t>
  </si>
  <si>
    <t>GLO-032</t>
  </si>
  <si>
    <t>Puntaje Z</t>
  </si>
  <si>
    <t>Desviaciones estándar respecto a una referencia.</t>
  </si>
  <si>
    <t>GLO-033</t>
  </si>
  <si>
    <t>Cociente cintura/cadera.</t>
  </si>
  <si>
    <t>GLO-034</t>
  </si>
  <si>
    <t>Cociente cintura/talla.</t>
  </si>
  <si>
    <t>GLO-035</t>
  </si>
  <si>
    <t>Riesgo documental</t>
  </si>
  <si>
    <t>Riesgo de error por fuente, unidad, vigencia o derechos.</t>
  </si>
  <si>
    <t>GLO-036</t>
  </si>
  <si>
    <t>Siri</t>
  </si>
  <si>
    <t>Conversión histórica de densidad a porcentaje de grasa.</t>
  </si>
  <si>
    <t>GLO-037</t>
  </si>
  <si>
    <t>Brožek</t>
  </si>
  <si>
    <t>Conversión histórica alternativa de densidad a grasa.</t>
  </si>
  <si>
    <t>GLO-038</t>
  </si>
  <si>
    <t>Tamizaje</t>
  </si>
  <si>
    <t>Proceso breve para identificar necesidad de evaluación adicional.</t>
  </si>
  <si>
    <t>GLO-039</t>
  </si>
  <si>
    <t>Talla diana</t>
  </si>
  <si>
    <t>Estimación genética aproximada basada en tallas parentales.</t>
  </si>
  <si>
    <t>GLO-040</t>
  </si>
  <si>
    <t>Talla estimada</t>
  </si>
  <si>
    <t>Aproximación mediante segmentos corporales.</t>
  </si>
  <si>
    <t>GLO-041</t>
  </si>
  <si>
    <t>Vínculo entre dato, fuente, página, versión y prueba.</t>
  </si>
  <si>
    <t>GLO-042</t>
  </si>
  <si>
    <t>Universidad del Desarrollo; manual usado como biblioteca secundaria.</t>
  </si>
  <si>
    <t>GLO-043</t>
  </si>
  <si>
    <t>Unidad cruda</t>
  </si>
  <si>
    <t>Unidad original antes de conversiones.</t>
  </si>
  <si>
    <t>GLO-044</t>
  </si>
  <si>
    <t>Vigencia</t>
  </si>
  <si>
    <t>Estado temporal de una norma o recomendación.</t>
  </si>
  <si>
    <t>NUTRIMETRÍA · NMX-43 | FUENTES UDD</t>
  </si>
  <si>
    <t>62 referencias, 9 fuentes web y 6 registros de derechos.</t>
  </si>
  <si>
    <t>Referencia/título</t>
  </si>
  <si>
    <t>Uso/limitación</t>
  </si>
  <si>
    <t>REF-01</t>
  </si>
  <si>
    <t>Referencia manual</t>
  </si>
  <si>
    <t>Frisancho AR. New norms of upper limb fat and muscle areas for assessment of ...</t>
  </si>
  <si>
    <t>Cita abreviada; consultar obra primaria.</t>
  </si>
  <si>
    <t>Manual UDD 2018</t>
  </si>
  <si>
    <t>REF-02</t>
  </si>
  <si>
    <t>Ministerio de Salud. Patrones de crecimiento para la evaluación nutricional d...</t>
  </si>
  <si>
    <t>COTEJO_OFICIAL_PENDIENTE</t>
  </si>
  <si>
    <t>REF-03</t>
  </si>
  <si>
    <t>Grant J, Custer P, Thurlow J. Current techniques of nutritional assessment. S...</t>
  </si>
  <si>
    <t>REF-04</t>
  </si>
  <si>
    <t>Frisancho A. New standards of weight and body composition by frame size and h...</t>
  </si>
  <si>
    <t>REF-05</t>
  </si>
  <si>
    <t>PAHO. Indicadores de Salud: Elementos Básicos para el Análisis de la Situació...</t>
  </si>
  <si>
    <t>REF-06</t>
  </si>
  <si>
    <t>Planas Vilà M, Pérez-Portabella Maristany C, Martínez Acosta C. Valoración de...</t>
  </si>
  <si>
    <t>VERIFICACIÓN_SECUNDARIA</t>
  </si>
  <si>
    <t>REF-07</t>
  </si>
  <si>
    <t>Ministerio de Salud de Chile. Norma para la evaluacion nutricional de niños, ...</t>
  </si>
  <si>
    <t>REF-08</t>
  </si>
  <si>
    <t>Frisancho A. Anthropometric Standards. An Interactive Nutritional Reference o...</t>
  </si>
  <si>
    <t>REF-09</t>
  </si>
  <si>
    <t>Strain H, Becerra C, Castillo C, Leyton B, Santander S. Norma Técnica para la...</t>
  </si>
  <si>
    <t>REF-10</t>
  </si>
  <si>
    <t>CDC. Anthropometry Procedures Manual. National Health and Nutrition Examina- ...</t>
  </si>
  <si>
    <t>REF-11</t>
  </si>
  <si>
    <t>Almeida M, Nascimento M, Nunes M. Avaliacao nutricional de idosos. In: Nascim...</t>
  </si>
  <si>
    <t>REF-12</t>
  </si>
  <si>
    <t>Westat I. National Health and Nutrition Examination Survey III. Body Measurem...</t>
  </si>
  <si>
    <t>REF-13</t>
  </si>
  <si>
    <t>Borba De Amorim R, Coelho Santa Cruz MA, Borges De Souza PR, Corrêa Da Mota J...</t>
  </si>
  <si>
    <t>REF-14</t>
  </si>
  <si>
    <t>Nestlé Nutrition Institute. Cribar e intervenir. La nutrición puede hacer la ...</t>
  </si>
  <si>
    <t>DERECHOS_CONFIRMADOS_PARCIALMENTE</t>
  </si>
  <si>
    <t>REF-15</t>
  </si>
  <si>
    <t>Ministerio de Salud de Chile. Guía Perinatal. Chile; 2015 p. 1–466.</t>
  </si>
  <si>
    <t>REF-16</t>
  </si>
  <si>
    <t>Atalah E, Castillo C, Castro R, Aldea A. Propuesta de un nuevo estándar de ev...</t>
  </si>
  <si>
    <t>REF-17</t>
  </si>
  <si>
    <t>Ministerio de Salud. Agenda Salud de la Mujer. Santiago, Chile; 2019.</t>
  </si>
  <si>
    <t>REF-18</t>
  </si>
  <si>
    <t>Institute of Medicine (IOM). Weight Gain During Pregnancy: Reexamining the Gu...</t>
  </si>
  <si>
    <t>REF-19</t>
  </si>
  <si>
    <t>Philipson E. Nutrition in multifetal pregnancy. In: Lammi-keefe C, Couch S, P...</t>
  </si>
  <si>
    <t>REF-20</t>
  </si>
  <si>
    <t>Gobierno de Chile CCC. Orientaciones técnicas para la atención en Clínicas de...</t>
  </si>
  <si>
    <t>REF-21</t>
  </si>
  <si>
    <t>Organización Mundial de la Salud. Nacidos Demasiado Pronto: Informe de Accció...</t>
  </si>
  <si>
    <t>REF-22</t>
  </si>
  <si>
    <t>Velázquez Quintana, Nora Inés, Masud Yunes Zárraga JL, Ávila Reyes R. Recién ...</t>
  </si>
  <si>
    <t>REF-23</t>
  </si>
  <si>
    <t>Milad M, Novoa J, Fabres J, Samamé M, Aspillaga C. Recomendación sobre Curvas...</t>
  </si>
  <si>
    <t>REF-24</t>
  </si>
  <si>
    <t>Delgado Beltrán P, Melchor Marcos JC, Rodríguez- Alarcón Gómez J, Linares Uri...</t>
  </si>
  <si>
    <t>REF-25</t>
  </si>
  <si>
    <t>Papageorghiou A, Ohuma E, Altman D, Todros T, Cheikh Ismail L, Lambert A, et ...</t>
  </si>
  <si>
    <t>REF-26</t>
  </si>
  <si>
    <t>Stirnemann J, Villar J, Salomon L, Ohuma E, Ruyan P, Altman D, et al. Interna...</t>
  </si>
  <si>
    <t>REF-27</t>
  </si>
  <si>
    <t>Ministerio de Salud. Norma para el manejo ambulatorio de la malnutrición por ...</t>
  </si>
  <si>
    <t>REF-28</t>
  </si>
  <si>
    <t>Velásquez M, Salazar G, Vio F, Díaz N, Anziani A. Validación de ecuaciones an...</t>
  </si>
  <si>
    <t>REF-29</t>
  </si>
  <si>
    <t>Pizarro T, Rodríguez L, Benavides X, Atalah E, Mardones F, Rozowski J, et al....</t>
  </si>
  <si>
    <t>REF-30</t>
  </si>
  <si>
    <t>Fernández J, Redden D, Petrobielli A, Allison D. Waist circumference percenti...</t>
  </si>
  <si>
    <t>REF-31</t>
  </si>
  <si>
    <t>Slaughter M, Lohman T, Boileau R, Horswill C, Stillman R, Van Loan M, et al. ...</t>
  </si>
  <si>
    <t>REF-32</t>
  </si>
  <si>
    <t>Brook C. Determination of body composition of children from skinfold measure-...</t>
  </si>
  <si>
    <t>REF-33</t>
  </si>
  <si>
    <t>Durnin J, Rahaman M. The assessment of the amount of fat in the human body fr...</t>
  </si>
  <si>
    <t>REF-34</t>
  </si>
  <si>
    <t>Weststrate JA, Deurenberg P. Body composition in children: proposal for a met...</t>
  </si>
  <si>
    <t>REF-35</t>
  </si>
  <si>
    <t>Lohman T, Roche A, Martorel R. Anthropometric standardization reference manua...</t>
  </si>
  <si>
    <t>REF-36</t>
  </si>
  <si>
    <t>Deurenberg P, Pieters J, Hautvast J. The assessment of the body fat percentag...</t>
  </si>
  <si>
    <t>REF-37</t>
  </si>
  <si>
    <t>Blackburn G, Thornton P. Nutritional assessment of the hospitalized patient. ...</t>
  </si>
  <si>
    <t>REF-38</t>
  </si>
  <si>
    <t>Deitel M, Greenstein R. Recommendations for reporting weight loss. Obes Surg....</t>
  </si>
  <si>
    <t>REF-39</t>
  </si>
  <si>
    <t>Gurney J, Jelliﬀe D. Arm anthropometry in nutritional assessment: nomogram fo...</t>
  </si>
  <si>
    <t>REF-40</t>
  </si>
  <si>
    <t>Heymsfield S, McManus C, Smith J, Stevens V, Nixon D. Anthropometric measurem...</t>
  </si>
  <si>
    <t>REF-41</t>
  </si>
  <si>
    <t>Ministerio de Salud. Orientación Técnica Programa de Salud Cardiovascular [In...</t>
  </si>
  <si>
    <t>REF-42</t>
  </si>
  <si>
    <t>Gray D, Bray G, Gemayel N, Kaplan K. Eﬀect of obesity on bioelectrical impeda...</t>
  </si>
  <si>
    <t>REF-43</t>
  </si>
  <si>
    <t>Koch E, Romero T, Manríquez L, Taylor A, Román C, Paredes M, et al. Razón cin...</t>
  </si>
  <si>
    <t>REF-45</t>
  </si>
  <si>
    <t>Durnin J, Womersley J. Body fat assessed from total body density and its esti...</t>
  </si>
  <si>
    <t>REF-46</t>
  </si>
  <si>
    <t>Ministerio de Salud. Manual de Aplicación del Examen de Medicina Preventiva d...</t>
  </si>
  <si>
    <t>REF-47</t>
  </si>
  <si>
    <t>Bouillanne O, Morineau G, Dupant C, Coulombel I, Vincent JP, Nicolis I, et al...</t>
  </si>
  <si>
    <t>REF-48</t>
  </si>
  <si>
    <t>Chumlea W, Roche A, Steinbaugh M. Estimating stature from knee height for per...</t>
  </si>
  <si>
    <t>REF-49</t>
  </si>
  <si>
    <t>Angel Arango L, Zamora Jaimes J. The prediction of size from the knee-externa...</t>
  </si>
  <si>
    <t>REF-50</t>
  </si>
  <si>
    <t>Todorovic V, Russell C, Elia M. The ‘must’ explanatory booklet. A Guide to th...</t>
  </si>
  <si>
    <t>REF-51</t>
  </si>
  <si>
    <t>Osterkamp L. Current perspective on assessment of human body proportions of r...</t>
  </si>
  <si>
    <t>REF-52</t>
  </si>
  <si>
    <t>Figueroa MJ, Rojas C, Barja S. Morbimortality associated to nutritional statu...</t>
  </si>
  <si>
    <t>REF-53</t>
  </si>
  <si>
    <t>Amezquita G. MV, Hodgson B. MI. Estimación de la talla en la evaluación nutri...</t>
  </si>
  <si>
    <t>REF-54</t>
  </si>
  <si>
    <t>Gurka M, Kuperminc M, Busby M, Bennis J, Grossberg R, Houlihan C, et al. Asse...</t>
  </si>
  <si>
    <t>REF-55</t>
  </si>
  <si>
    <t>Palisano R, Rosenbaum P, Walter S, Russell D, Wood E, Galuppi B. Gross Motor ...</t>
  </si>
  <si>
    <t>REF-56</t>
  </si>
  <si>
    <t>Pinheiro A, Urteaga C, Canete G, Atalah E. Evaluación del estado nutricional ...</t>
  </si>
  <si>
    <t>REF-57</t>
  </si>
  <si>
    <t>Pastor X, Quintó L, Corretger M, Gassió R. Tablas de crecimiento actualizadas...</t>
  </si>
  <si>
    <t>REF-58</t>
  </si>
  <si>
    <t>Zemel B, Pipan M, Stallings, VA, Hall W, Schadt K, Freedman DS TP. Growth Cha...</t>
  </si>
  <si>
    <t>REF-59</t>
  </si>
  <si>
    <t>Comité de Nutricionistas de Metabolismo y Nutrición Clínica, Federación Latin...</t>
  </si>
  <si>
    <t>REF-60</t>
  </si>
  <si>
    <t>Kondrup J, Allison S, Elia M, Vellas B, Plauth M, Clinical E and, et al. ESPE...</t>
  </si>
  <si>
    <t>REF-61</t>
  </si>
  <si>
    <t>Porben S. Comentario al artículo Detsky AS, McLaughlin JR, Baker JP, Johnston...</t>
  </si>
  <si>
    <t>REF-62</t>
  </si>
  <si>
    <t>Valero M, Díez L, El Kadaoui N, Jiménez A, Rodríguez H, León M. ¿Son las herr...</t>
  </si>
  <si>
    <t>REF-63</t>
  </si>
  <si>
    <t>Lera L, Sánchez H, Ángel B, Albala C. Mini Nutritional Assessment Short-Form:...</t>
  </si>
  <si>
    <t>SRC-01</t>
  </si>
  <si>
    <t>Fuente web</t>
  </si>
  <si>
    <t>Manual UDD — registro del repositorio</t>
  </si>
  <si>
    <t>VERIFICADA_EN_MATRIZ</t>
  </si>
  <si>
    <t>https://repositorio.udd.cl/items/11a4b32f-e93d-4aea-a712-59c47768d826</t>
  </si>
  <si>
    <t>Publicación registrada en 2018; repositorio público no implica licencia abierta.</t>
  </si>
  <si>
    <t>Matriz 2026-08-05</t>
  </si>
  <si>
    <t>SRC-02</t>
  </si>
  <si>
    <t>Manual UDD — PDF</t>
  </si>
  <si>
    <t>https://repositorio.udd.cl/bitstreams/9053bcf1-8392-4566-9e1b-c91831479191/download</t>
  </si>
  <si>
    <t>Fuente secundaria utilizada para páginas, tablas, figuras y referencias.</t>
  </si>
  <si>
    <t>SRC-03</t>
  </si>
  <si>
    <t>Patrones MINSAL 0–19 años</t>
  </si>
  <si>
    <t>https://diprece.minsal.cl/wp-content/uploads/2018/07/Patrones-de-Crecimiento-para-la-Evaluaci%C3%B3n-Nutrici%C3%B3n-de-ni%C3%B1os-ni%C3%B1as-y-adolescentes-desde-el-nacimiento-a-19-a%C3%B1os.pdf</t>
  </si>
  <si>
    <t>Debe verificarse vigencia antes de implementar.</t>
  </si>
  <si>
    <t>SRC-04</t>
  </si>
  <si>
    <t>WHO Child Growth Standards 0–5</t>
  </si>
  <si>
    <t>https://www.who.int/tools/child-growth-standards</t>
  </si>
  <si>
    <t>Tablas y herramientas oficiales OMS.</t>
  </si>
  <si>
    <t>SRC-05</t>
  </si>
  <si>
    <t>WHO Growth Reference 5–19</t>
  </si>
  <si>
    <t>https://www.who.int/tools/growth-reference-data-for-5to19-years</t>
  </si>
  <si>
    <t>Referencia oficial para 61–228 meses.</t>
  </si>
  <si>
    <t>SRC-06</t>
  </si>
  <si>
    <t>ESPEN Guidelines for Nutrition Screening 2002</t>
  </si>
  <si>
    <t>https://espen.org/documents/Screening.pdf</t>
  </si>
  <si>
    <t>Contiene NRS-2002; derechos de reproducción pendientes de aclaración.</t>
  </si>
  <si>
    <t>SRC-07</t>
  </si>
  <si>
    <t>MNA® oficial</t>
  </si>
  <si>
    <t>https://www.mna-elderly.com/</t>
  </si>
  <si>
    <t>Copyright, marca y condiciones para integración electrónica.</t>
  </si>
  <si>
    <t>SRC-08</t>
  </si>
  <si>
    <t>SGA original — PubMed</t>
  </si>
  <si>
    <t>https://pubmed.ncbi.nlm.nih.gov/3820522/</t>
  </si>
  <si>
    <t>Artículo original de Detsky y colaboradores.</t>
  </si>
  <si>
    <t>SRC-09</t>
  </si>
  <si>
    <t>ISAK oficial</t>
  </si>
  <si>
    <t>https://www.isak.global/</t>
  </si>
  <si>
    <t>Estándares, acreditación y software oficial; no equivale al protocolo UDD.</t>
  </si>
  <si>
    <t>DR-001</t>
  </si>
  <si>
    <t>Derechos/licencia</t>
  </si>
  <si>
    <t>MNA-SF — Formulario MNA®-SF y traducciones oficiales</t>
  </si>
  <si>
    <t>CONFIRMADO</t>
  </si>
  <si>
    <t>No copiar en Excel. Solicitar permiso; enlazar formulario oficial y almacenar puntaje/versión.</t>
  </si>
  <si>
    <t>Matriz de derechos</t>
  </si>
  <si>
    <t>DR-002</t>
  </si>
  <si>
    <t>NRS-2002 — Tablas de screening inicial y final NRS-2002</t>
  </si>
  <si>
    <t>INSTRUMENTO_PROTEGIDO / PENDIENTE</t>
  </si>
  <si>
    <t>Solicitar aclaración a ESPEN/Elsevier; mientras tanto no reproducir tabla completa, sólo registrar resultado externo.</t>
  </si>
  <si>
    <t>DR-003</t>
  </si>
  <si>
    <t>VGS/SGA — Formulario y redacción de Subjective Global Assessment</t>
  </si>
  <si>
    <t>Cotejar Detsky 1987, solicitar permiso si se reproduce; modelar variables con redacción propia sólo tras revisión.</t>
  </si>
  <si>
    <t>DR-004</t>
  </si>
  <si>
    <t>Sets fotográficos Tanner — Fotografías de desarrollo mamario y genital</t>
  </si>
  <si>
    <t>PENDIENTE_TITULAR</t>
  </si>
  <si>
    <t>Registrar únicamente estadio clínico y fuente del atlas autorizado.</t>
  </si>
  <si>
    <t>DR-005</t>
  </si>
  <si>
    <t>Protocolo/Manual ISAK — International Standards for Anthropometric Assessment y esquema de acreditación</t>
  </si>
  <si>
    <t>CONFIRMADO_PARCIAL</t>
  </si>
  <si>
    <t>Separar protocolo ISAK del UDD; no copiar manual ni usar la etiqueta sin versión oficial.</t>
  </si>
  <si>
    <t>DR-006</t>
  </si>
  <si>
    <t>Manual de Evaluación Nutricional UDD — Libro/PDF completo, tablas, figuras y diagramación</t>
  </si>
  <si>
    <t>MANUAL_ACADÉMICO CON DERECHOS</t>
  </si>
  <si>
    <t>Usar como índice secundario; citar páginas; reemplazar por fuente primaria/official en motores.</t>
  </si>
  <si>
    <t>NUTRIMETRÍA · NMX-43 | COBERTURA UDD</t>
  </si>
  <si>
    <t>238 elementos cubiertos documentalmente.</t>
  </si>
  <si>
    <t>Subtipo</t>
  </si>
  <si>
    <t>CAP-01</t>
  </si>
  <si>
    <t>CAPÍTULO</t>
  </si>
  <si>
    <t>Estructura</t>
  </si>
  <si>
    <t>Introducción</t>
  </si>
  <si>
    <t>DOCUMENTADO</t>
  </si>
  <si>
    <t>VERIFICADO_EN_PDF</t>
  </si>
  <si>
    <t>BAJO</t>
  </si>
  <si>
    <t>Manual UDD</t>
  </si>
  <si>
    <t>Uso académico.</t>
  </si>
  <si>
    <t>CUBIERTO</t>
  </si>
  <si>
    <t>CAP-02</t>
  </si>
  <si>
    <t>Capítulo 1. Definiciones y términos</t>
  </si>
  <si>
    <t>CAP-03</t>
  </si>
  <si>
    <t>Capítulo 2. Procedimientos antropométricos</t>
  </si>
  <si>
    <t>CAP-04</t>
  </si>
  <si>
    <t>Capítulo 3. Curso de vida</t>
  </si>
  <si>
    <t>CAP-05</t>
  </si>
  <si>
    <t>3.1 Gestante</t>
  </si>
  <si>
    <t>CAP-06</t>
  </si>
  <si>
    <t>3.2 Recién nacido, lactantes y preescolares</t>
  </si>
  <si>
    <t>NMX-14, NMX-43</t>
  </si>
  <si>
    <t>CAP-07</t>
  </si>
  <si>
    <t>3.2.1 Recién nacido</t>
  </si>
  <si>
    <t>CAP-08</t>
  </si>
  <si>
    <t>3.2.2 Recién nacido pretérmino</t>
  </si>
  <si>
    <t>CAP-09</t>
  </si>
  <si>
    <t>3.2.3 Lactantes y preescolares hasta 5 años</t>
  </si>
  <si>
    <t>CAP-10</t>
  </si>
  <si>
    <t>3.3 Escolares y adolescentes</t>
  </si>
  <si>
    <t>CAP-11</t>
  </si>
  <si>
    <t>3.4 Adultos</t>
  </si>
  <si>
    <t>CAP-12</t>
  </si>
  <si>
    <t>3.5 Adultos mayores</t>
  </si>
  <si>
    <t>CAP-13</t>
  </si>
  <si>
    <t>Capítulo 4. Situaciones específicas</t>
  </si>
  <si>
    <t>CAP-14</t>
  </si>
  <si>
    <t>4.1 Amputaciones</t>
  </si>
  <si>
    <t>NMX-43, NMX-44 potencial</t>
  </si>
  <si>
    <t>CAP-15</t>
  </si>
  <si>
    <t>4.2 Parálisis cerebral</t>
  </si>
  <si>
    <t>CAP-16</t>
  </si>
  <si>
    <t>4.3 Síndrome de Down</t>
  </si>
  <si>
    <t>CAP-17</t>
  </si>
  <si>
    <t>Anexos. Tamizajes</t>
  </si>
  <si>
    <t>CAP-18</t>
  </si>
  <si>
    <t>NRS-2002</t>
  </si>
  <si>
    <t>CAP-19</t>
  </si>
  <si>
    <t>VGS/SGA</t>
  </si>
  <si>
    <t>CAP-20</t>
  </si>
  <si>
    <t>MNA-SF</t>
  </si>
  <si>
    <t>CAP-21</t>
  </si>
  <si>
    <t>Referencias</t>
  </si>
  <si>
    <t>TABLA</t>
  </si>
  <si>
    <t>Tabla numerada</t>
  </si>
  <si>
    <t>COMPARADOR_SIN_TABLA</t>
  </si>
  <si>
    <t>No transcribir celdas completas.</t>
  </si>
  <si>
    <t>REFERENCIADO_NO_REPRODUCIDO</t>
  </si>
  <si>
    <t>Derechos/licencia.</t>
  </si>
  <si>
    <t>FIG-01</t>
  </si>
  <si>
    <t>FIGURA</t>
  </si>
  <si>
    <t>Ilustración/protocolo</t>
  </si>
  <si>
    <t>Posición para la determinación de la talla en individuos que pueden ponerse d...</t>
  </si>
  <si>
    <t>METADATO_SIN_IMAGEN</t>
  </si>
  <si>
    <t>[10] CDC. Anthropometry Procedures Manual. National Health and Nutrition Exam...</t>
  </si>
  <si>
    <t>FIG-02</t>
  </si>
  <si>
    <t>Posición esquemática para la medición de la altura de rodilla</t>
  </si>
  <si>
    <t>[12] Westat I. National Health and Nutrition Examination Survey III. Body Mea...</t>
  </si>
  <si>
    <t>FIG-03</t>
  </si>
  <si>
    <t>Posición para la medición de la media brazada</t>
  </si>
  <si>
    <t>[11] Almeida M, Nascimento M, Nunes M. Avaliacao nutricional de idosos. In: N...</t>
  </si>
  <si>
    <t>FIG-04</t>
  </si>
  <si>
    <t>Puntos anatómicos de referencia para la medición de la circunferencia de brazo</t>
  </si>
  <si>
    <t>FIG-05</t>
  </si>
  <si>
    <t>Puntos anatómicos de referencia para la circunferencia de cadera</t>
  </si>
  <si>
    <t>FIG-06</t>
  </si>
  <si>
    <t>Puntos anatómicos para la circunferencia de cintura en niños/adolescentes y a...</t>
  </si>
  <si>
    <t>FIG-07</t>
  </si>
  <si>
    <t>Puntos anatómicos para el perímetro cefálico</t>
  </si>
  <si>
    <t>FIG-08</t>
  </si>
  <si>
    <t>Punto anatómico para pliegue bicipital</t>
  </si>
  <si>
    <t>FIG-09</t>
  </si>
  <si>
    <t>Punto anatómico para pliegue subescapular</t>
  </si>
  <si>
    <t>FIG-10</t>
  </si>
  <si>
    <t>Punto anatómico para pliegue suprailíaco</t>
  </si>
  <si>
    <t>FIG-11</t>
  </si>
  <si>
    <t>Punto anatómico para pliegue tricipital</t>
  </si>
  <si>
    <t>FIG-12</t>
  </si>
  <si>
    <t>Gráfico de evaluación nutricional de la gestante según IMC y edad gestacional</t>
  </si>
  <si>
    <t>FIG-13</t>
  </si>
  <si>
    <t>Set fotográfico para desarrollo mamario según Tanner</t>
  </si>
  <si>
    <t>NO_REPRODUCIR</t>
  </si>
  <si>
    <t>NMX-14, NMX-44 potencial</t>
  </si>
  <si>
    <t>FIG-14</t>
  </si>
  <si>
    <t>Set fotográfico para desarrollo genital masculino según Tanner</t>
  </si>
  <si>
    <t>FIG-15</t>
  </si>
  <si>
    <t>Segmentos corporales y porcentaje de equivalencia respecto al peso corporal</t>
  </si>
  <si>
    <t>NMX-28, NMX-43</t>
  </si>
  <si>
    <t>CUADRO</t>
  </si>
  <si>
    <t>Síntesis</t>
  </si>
  <si>
    <t>PROTOCOLO</t>
  </si>
  <si>
    <t>Procedimiento clínico</t>
  </si>
  <si>
    <t>RESUMEN_FORMATIVO</t>
  </si>
  <si>
    <t>No sustituye protocolo primario.</t>
  </si>
  <si>
    <t>ECUACIÓN</t>
  </si>
  <si>
    <t>Fórmula/punto de corte</t>
  </si>
  <si>
    <t>FICHA_NO_EJECUTABLE</t>
  </si>
  <si>
    <t>Motor en NMX especializado.</t>
  </si>
  <si>
    <t>INS-01</t>
  </si>
  <si>
    <t>INSTRUMENTO</t>
  </si>
  <si>
    <t>Tamizaje/atlas/protocolo</t>
  </si>
  <si>
    <t>FUENTES_UDD / COBERTURA_UDD</t>
  </si>
  <si>
    <t>Kondrup/ESPEN 2002–2003</t>
  </si>
  <si>
    <t>INS-02</t>
  </si>
  <si>
    <t>Detsky et al. 1987</t>
  </si>
  <si>
    <t>INS-03</t>
  </si>
  <si>
    <t>REPRODUCCIÓN_RESTRINGIDA</t>
  </si>
  <si>
    <t>Nestlé Nutrition Institute / MNA</t>
  </si>
  <si>
    <t>INS-04</t>
  </si>
  <si>
    <t>Estadios de Tanner (imágenes)</t>
  </si>
  <si>
    <t>MINSAL/atlas reproducido</t>
  </si>
  <si>
    <t>INS-05</t>
  </si>
  <si>
    <t>Protocolo ISAK</t>
  </si>
  <si>
    <t>NO_PRESENTE_EN_MANUAL</t>
  </si>
  <si>
    <t>ISAK International Standards</t>
  </si>
  <si>
    <t>POP-01</t>
  </si>
  <si>
    <t>POBLACIÓN_ESPECIAL</t>
  </si>
  <si>
    <t>Dominio</t>
  </si>
  <si>
    <t>MAPEADA</t>
  </si>
  <si>
    <t>Manual UDD y fuentes específicas</t>
  </si>
  <si>
    <t>POP-02</t>
  </si>
  <si>
    <t>POP-03</t>
  </si>
  <si>
    <t>POP-04</t>
  </si>
  <si>
    <t>Niños 0–5</t>
  </si>
  <si>
    <t>POP-05</t>
  </si>
  <si>
    <t>Escolares/adolescentes</t>
  </si>
  <si>
    <t>POP-06</t>
  </si>
  <si>
    <t>POP-07</t>
  </si>
  <si>
    <t>POP-08</t>
  </si>
  <si>
    <t>POP-09</t>
  </si>
  <si>
    <t>POP-10</t>
  </si>
  <si>
    <t>Entrada bibliográfica</t>
  </si>
  <si>
    <t>NMX-20, NMX-43</t>
  </si>
  <si>
    <t>NUTRIMETRÍA · NMX-43 | PRUEBAS UDD</t>
  </si>
  <si>
    <t>Plan documental heredado más 18 controles estructurales y técnicos. El escaneo final confirmó cero errores reales de fórmula.</t>
  </si>
  <si>
    <t>Test_ID</t>
  </si>
  <si>
    <t>Prioridad</t>
  </si>
  <si>
    <t>Oráculo</t>
  </si>
  <si>
    <t>PT-001</t>
  </si>
  <si>
    <t>PLAN_UDD</t>
  </si>
  <si>
    <t>Comprobar conteo de tablas</t>
  </si>
  <si>
    <t>Filtrar Tipo=TABLA</t>
  </si>
  <si>
    <t>Conteo=60</t>
  </si>
  <si>
    <t>No ejecutado en integración documental</t>
  </si>
  <si>
    <t>Exacto</t>
  </si>
  <si>
    <t>DOCUMENTAL</t>
  </si>
  <si>
    <t>Índice y cuerpo del PDF</t>
  </si>
  <si>
    <t>HEREDADO_DISEÑADO</t>
  </si>
  <si>
    <t>PT-002</t>
  </si>
  <si>
    <t>Comprobar conteo de figuras</t>
  </si>
  <si>
    <t>Filtrar Tipo=FIGURA</t>
  </si>
  <si>
    <t>Conteo=15</t>
  </si>
  <si>
    <t>PT-003</t>
  </si>
  <si>
    <t>Comprobar conteo de cuadros</t>
  </si>
  <si>
    <t>Filtrar Tipo=CUADRO</t>
  </si>
  <si>
    <t>Conteo=4</t>
  </si>
  <si>
    <t>PT-004</t>
  </si>
  <si>
    <t>Comprobar conteo de referencias</t>
  </si>
  <si>
    <t>Filtrar Tipo=REFERENCIA</t>
  </si>
  <si>
    <t>Conteo=63</t>
  </si>
  <si>
    <t>PT-005</t>
  </si>
  <si>
    <t>Paginación</t>
  </si>
  <si>
    <t>Verificar desplazamiento PDF/impreso</t>
  </si>
  <si>
    <t>PDF 45</t>
  </si>
  <si>
    <t>Página impresa 44</t>
  </si>
  <si>
    <t>PDF UDD</t>
  </si>
  <si>
    <t>PT-006</t>
  </si>
  <si>
    <t>Detectar referencia duplicada</t>
  </si>
  <si>
    <t>Numeración 1–63</t>
  </si>
  <si>
    <t>58 aparece dos veces; registrar anomalía y una fila canónica</t>
  </si>
  <si>
    <t>MEDIA</t>
  </si>
  <si>
    <t>PT-007</t>
  </si>
  <si>
    <t>Aplicar precedencia</t>
  </si>
  <si>
    <t>Manual y artículo original difieren</t>
  </si>
  <si>
    <t>Usar original; manual queda como secundaria</t>
  </si>
  <si>
    <t>GOBERNANZA</t>
  </si>
  <si>
    <t>CRÍTICA</t>
  </si>
  <si>
    <t>Política de fuentes</t>
  </si>
  <si>
    <t>PT-008</t>
  </si>
  <si>
    <t>Edad/indicador</t>
  </si>
  <si>
    <t>Límite de edad 0 meses</t>
  </si>
  <si>
    <t>Edad=0 meses</t>
  </si>
  <si>
    <t>Rango 0–60 OMS 2006</t>
  </si>
  <si>
    <t>FRONTERA</t>
  </si>
  <si>
    <t>OMS/MINSAL oficial</t>
  </si>
  <si>
    <t>PT-009</t>
  </si>
  <si>
    <t>Límite de edad 60 meses</t>
  </si>
  <si>
    <t>Edad=60 meses</t>
  </si>
  <si>
    <t>Último mes estándar 0–5</t>
  </si>
  <si>
    <t>PT-010</t>
  </si>
  <si>
    <t>Límite de edad 61 meses</t>
  </si>
  <si>
    <t>Edad=61 meses</t>
  </si>
  <si>
    <t>Primer mes referencia 5–19</t>
  </si>
  <si>
    <t>PT-011</t>
  </si>
  <si>
    <t>Límite de edad 228 meses</t>
  </si>
  <si>
    <t>Edad=228 meses</t>
  </si>
  <si>
    <t>Último mes 19 años</t>
  </si>
  <si>
    <t>PT-012</t>
  </si>
  <si>
    <t>Prematuridad</t>
  </si>
  <si>
    <t>Comparar reglas de corrección</t>
  </si>
  <si>
    <t>GA=30 sem; peso nacimiento 900 g; edad cronológica 20 m</t>
  </si>
  <si>
    <t>Resultado según regla elegida y versión; nunca mezclar</t>
  </si>
  <si>
    <t>CONFLICTO</t>
  </si>
  <si>
    <t>Norma oficial vigente</t>
  </si>
  <si>
    <t>PT-013</t>
  </si>
  <si>
    <t>Validar signo fórmula</t>
  </si>
  <si>
    <t>Edad actual=20 sem; GA=32</t>
  </si>
  <si>
    <t>Edad corregida=12 sem</t>
  </si>
  <si>
    <t>0 sem</t>
  </si>
  <si>
    <t>UNITARIA</t>
  </si>
  <si>
    <t>Norma oficial</t>
  </si>
  <si>
    <t>PT-014</t>
  </si>
  <si>
    <t>Validar L distinto de cero</t>
  </si>
  <si>
    <t>X, L, M, S de caso oficial</t>
  </si>
  <si>
    <t>z coincide con tabla oficial</t>
  </si>
  <si>
    <t>1e-6</t>
  </si>
  <si>
    <t>Tabla OMS oficial</t>
  </si>
  <si>
    <t>PT-015</t>
  </si>
  <si>
    <t>Caso L=0</t>
  </si>
  <si>
    <t>L=0 y X/M válido</t>
  </si>
  <si>
    <t>Usar ln(X/M)/S; no división por cero</t>
  </si>
  <si>
    <t>Método LMS</t>
  </si>
  <si>
    <t>PT-016</t>
  </si>
  <si>
    <t>Frontera perímetro cefálico</t>
  </si>
  <si>
    <t>z=-2,-1.95,-1.9,1.9,1.95,2</t>
  </si>
  <si>
    <t>Todas las entradas reciben clase oficial sin huecos</t>
  </si>
  <si>
    <t>MINSAL/OMS</t>
  </si>
  <si>
    <t>PT-017</t>
  </si>
  <si>
    <t>Orden de operaciones</t>
  </si>
  <si>
    <t>Padre=180; madre=160; niño</t>
  </si>
  <si>
    <t>176.5 cm</t>
  </si>
  <si>
    <t>0.01 cm</t>
  </si>
  <si>
    <t>Norma original</t>
  </si>
  <si>
    <t>PT-018</t>
  </si>
  <si>
    <t>Padre=180; madre=160; niña</t>
  </si>
  <si>
    <t>163.5 cm</t>
  </si>
  <si>
    <t>PT-019</t>
  </si>
  <si>
    <t>Protocolo UDD</t>
  </si>
  <si>
    <t>Registrar tres repeticiones Bíceps</t>
  </si>
  <si>
    <t>10, 11, 10 mm</t>
  </si>
  <si>
    <t>Promedio=10.333 mm; lado/protocolo guardados</t>
  </si>
  <si>
    <t>0.001 mm</t>
  </si>
  <si>
    <t>Manual UDD + fuente primaria</t>
  </si>
  <si>
    <t>PT-020</t>
  </si>
  <si>
    <t>No mezclar protocolo Bíceps</t>
  </si>
  <si>
    <t>Modo=ISAK; sin versión/licencia</t>
  </si>
  <si>
    <t>Bloqueo o estado PENDIENTE; no asumir reglas UDD</t>
  </si>
  <si>
    <t>PT-021</t>
  </si>
  <si>
    <t>Registrar tres repeticiones Tríceps</t>
  </si>
  <si>
    <t>PT-022</t>
  </si>
  <si>
    <t>No mezclar protocolo Tríceps</t>
  </si>
  <si>
    <t>PT-023</t>
  </si>
  <si>
    <t>Registrar tres repeticiones Subescapular</t>
  </si>
  <si>
    <t>PT-024</t>
  </si>
  <si>
    <t>No mezclar protocolo Subescapular</t>
  </si>
  <si>
    <t>PT-025</t>
  </si>
  <si>
    <t>Registrar tres repeticiones Suprailíaco</t>
  </si>
  <si>
    <t>PT-026</t>
  </si>
  <si>
    <t>No mezclar protocolo Suprailíaco</t>
  </si>
  <si>
    <t>PT-027</t>
  </si>
  <si>
    <t>Unidades</t>
  </si>
  <si>
    <t>Normalizar PCT mm a cm</t>
  </si>
  <si>
    <t>CB=30 cm; PCT=10 mm</t>
  </si>
  <si>
    <t>CMB=26.8584 cm</t>
  </si>
  <si>
    <t>0.0001 cm</t>
  </si>
  <si>
    <t>Gurney/Jelliffe</t>
  </si>
  <si>
    <t>PT-028</t>
  </si>
  <si>
    <t>Rechazar mezcla de unidades</t>
  </si>
  <si>
    <t>CB=300 mm; PCT=10 mm con etiqueta cm</t>
  </si>
  <si>
    <t>Error de unidad o conversión explícita</t>
  </si>
  <si>
    <t>NEGATIVA</t>
  </si>
  <si>
    <t>Modelo de unidades</t>
  </si>
  <si>
    <t>PT-029</t>
  </si>
  <si>
    <t>Áreas</t>
  </si>
  <si>
    <t>AMB dimensional</t>
  </si>
  <si>
    <t>CMB=25 cm</t>
  </si>
  <si>
    <t>AMB=49.7359 cm²</t>
  </si>
  <si>
    <t>0.001 cm²</t>
  </si>
  <si>
    <t>Fórmula primaria</t>
  </si>
  <si>
    <t>PT-030</t>
  </si>
  <si>
    <t>AGB no negativa</t>
  </si>
  <si>
    <t>Área total=50; AMB=55</t>
  </si>
  <si>
    <t>Bloqueo/alerta; no devolver −5 sin aviso</t>
  </si>
  <si>
    <t>Regla de plausibilidad</t>
  </si>
  <si>
    <t>PT-031</t>
  </si>
  <si>
    <t>Durnin-Womersley</t>
  </si>
  <si>
    <t>Seleccionar coeficiente M/17</t>
  </si>
  <si>
    <t>Sexo=M; edad=17; Σ4=50 mm</t>
  </si>
  <si>
    <t>Coeficiente de banda correcto y densidad finita</t>
  </si>
  <si>
    <t>Durnin &amp; Womersley 1974</t>
  </si>
  <si>
    <t>PT-032</t>
  </si>
  <si>
    <t>Seleccionar coeficiente M/20</t>
  </si>
  <si>
    <t>Sexo=M; edad=20; Σ4=50 mm</t>
  </si>
  <si>
    <t>PT-033</t>
  </si>
  <si>
    <t>Seleccionar coeficiente M/30</t>
  </si>
  <si>
    <t>Sexo=M; edad=30; Σ4=50 mm</t>
  </si>
  <si>
    <t>PT-034</t>
  </si>
  <si>
    <t>Seleccionar coeficiente M/40</t>
  </si>
  <si>
    <t>Sexo=M; edad=40; Σ4=50 mm</t>
  </si>
  <si>
    <t>PT-035</t>
  </si>
  <si>
    <t>Seleccionar coeficiente M/50</t>
  </si>
  <si>
    <t>Sexo=M; edad=50; Σ4=50 mm</t>
  </si>
  <si>
    <t>PT-036</t>
  </si>
  <si>
    <t>Seleccionar coeficiente F/17</t>
  </si>
  <si>
    <t>Sexo=F; edad=17; Σ4=50 mm</t>
  </si>
  <si>
    <t>PT-037</t>
  </si>
  <si>
    <t>Seleccionar coeficiente F/20</t>
  </si>
  <si>
    <t>Sexo=F; edad=20; Σ4=50 mm</t>
  </si>
  <si>
    <t>PT-038</t>
  </si>
  <si>
    <t>Seleccionar coeficiente F/30</t>
  </si>
  <si>
    <t>Sexo=F; edad=30; Σ4=50 mm</t>
  </si>
  <si>
    <t>PT-039</t>
  </si>
  <si>
    <t>Seleccionar coeficiente F/40</t>
  </si>
  <si>
    <t>Sexo=F; edad=40; Σ4=50 mm</t>
  </si>
  <si>
    <t>PT-040</t>
  </si>
  <si>
    <t>Seleccionar coeficiente F/50</t>
  </si>
  <si>
    <t>Sexo=F; edad=50; Σ4=50 mm</t>
  </si>
  <si>
    <t>PT-041</t>
  </si>
  <si>
    <t>Rechazar suma no positiva</t>
  </si>
  <si>
    <t>Σ4=0</t>
  </si>
  <si>
    <t>Error de dominio log10</t>
  </si>
  <si>
    <t>Matemática</t>
  </si>
  <si>
    <t>PT-042</t>
  </si>
  <si>
    <t>Siri con densidad patrón</t>
  </si>
  <si>
    <t>D=1.05 kg/L</t>
  </si>
  <si>
    <t>%GC calculado según fórmula/version</t>
  </si>
  <si>
    <t>0.01 %</t>
  </si>
  <si>
    <t>Siri 1961</t>
  </si>
  <si>
    <t>PT-043</t>
  </si>
  <si>
    <t>Brožek con densidad patrón</t>
  </si>
  <si>
    <t>Brožek 1963</t>
  </si>
  <si>
    <t>PT-044</t>
  </si>
  <si>
    <t>R24H</t>
  </si>
  <si>
    <t>No inferir habitualidad</t>
  </si>
  <si>
    <t>Un solo día registrado</t>
  </si>
  <si>
    <t>Salida etiqueta “un día; no habitual”</t>
  </si>
  <si>
    <t>SEGURIDAD_CLÍNICA</t>
  </si>
  <si>
    <t>Metodología R24H</t>
  </si>
  <si>
    <t>PT-045</t>
  </si>
  <si>
    <t>Peso estimado</t>
  </si>
  <si>
    <t>Peso estimado Masculino</t>
  </si>
  <si>
    <t>Medidas dentro de dominio 60–90</t>
  </si>
  <si>
    <t>Resultado coincide con artículo y muestra unidades</t>
  </si>
  <si>
    <t>0.1 kg</t>
  </si>
  <si>
    <t>Chumlea 1985</t>
  </si>
  <si>
    <t>PT-046</t>
  </si>
  <si>
    <t>Peso estimado Femenino</t>
  </si>
  <si>
    <t>PT-047</t>
  </si>
  <si>
    <t>IMC mayor</t>
  </si>
  <si>
    <t>Frontera exacta 32</t>
  </si>
  <si>
    <t>IMC=32.0</t>
  </si>
  <si>
    <t>Clase definida según norma oficial; sin hueco</t>
  </si>
  <si>
    <t>MINSAL EMPAM</t>
  </si>
  <si>
    <t>PT-048</t>
  </si>
  <si>
    <t>Amputación</t>
  </si>
  <si>
    <t>Distinguir peso observado/pre-amputación</t>
  </si>
  <si>
    <t>Peso observado=70; proporción=0.16</t>
  </si>
  <si>
    <t>Cálculo sólo si semántica y fuente confirmadas</t>
  </si>
  <si>
    <t>Osterkamp 1995</t>
  </si>
  <si>
    <t>PT-049</t>
  </si>
  <si>
    <t>PC</t>
  </si>
  <si>
    <t>Talla Stevenson</t>
  </si>
  <si>
    <t>Longitud pierna=30 cm</t>
  </si>
  <si>
    <t>128.6 cm</t>
  </si>
  <si>
    <t>0.1 cm</t>
  </si>
  <si>
    <t>Stevenson/fuente original</t>
  </si>
  <si>
    <t>PT-050</t>
  </si>
  <si>
    <t>Down</t>
  </si>
  <si>
    <t>Exigir referencia explícita</t>
  </si>
  <si>
    <t>Paciente Down; sin curva seleccionada</t>
  </si>
  <si>
    <t>Bloqueo y solicitud de curva/version</t>
  </si>
  <si>
    <t>Fuente oficial/seleccionada</t>
  </si>
  <si>
    <t>PT-051</t>
  </si>
  <si>
    <t>Puerta de licencia NRS-2002</t>
  </si>
  <si>
    <t>Licencia=No/Desconocida</t>
  </si>
  <si>
    <t>No mostrar ni copiar formulario; permitir enlace/resultado externo</t>
  </si>
  <si>
    <t>DERECHOS</t>
  </si>
  <si>
    <t>Titular oficial</t>
  </si>
  <si>
    <t>PT-052</t>
  </si>
  <si>
    <t>Puerta de licencia VGS/SGA</t>
  </si>
  <si>
    <t>PT-053</t>
  </si>
  <si>
    <t>Puerta de licencia MNA-SF</t>
  </si>
  <si>
    <t>PT-054</t>
  </si>
  <si>
    <t>Puntaje por edad</t>
  </si>
  <si>
    <t>Estado=1; enfermedad=1; edad=70</t>
  </si>
  <si>
    <t>Total=3</t>
  </si>
  <si>
    <t>ESPEN oficial</t>
  </si>
  <si>
    <t>PT-055</t>
  </si>
  <si>
    <t>Frontera edad</t>
  </si>
  <si>
    <t>Edad=69 vs 70</t>
  </si>
  <si>
    <t>69 no suma; 70 suma 1</t>
  </si>
  <si>
    <t>PT-056</t>
  </si>
  <si>
    <t>Clasificación 12/11/7</t>
  </si>
  <si>
    <t>Puntajes=12,11,7</t>
  </si>
  <si>
    <t>Normal; riesgo; malnutrición</t>
  </si>
  <si>
    <t>MNA oficial autorizado</t>
  </si>
  <si>
    <t>PT-057</t>
  </si>
  <si>
    <t>Integridad de formulario</t>
  </si>
  <si>
    <t>Intento de alterar orden/logos</t>
  </si>
  <si>
    <t>Bloqueo; usar versión oficial</t>
  </si>
  <si>
    <t>MNA oficial</t>
  </si>
  <si>
    <t>PT-058</t>
  </si>
  <si>
    <t>Cada resultado expone fuente y versión</t>
  </si>
  <si>
    <t>Resultado clínico cualquiera</t>
  </si>
  <si>
    <t>formula_id, source_id, version, protocol_id y timestamp presentes</t>
  </si>
  <si>
    <t>Arquitectura propuesta</t>
  </si>
  <si>
    <t>PT-059</t>
  </si>
  <si>
    <t>PT-060</t>
  </si>
  <si>
    <t>PT-061</t>
  </si>
  <si>
    <t>PT-062</t>
  </si>
  <si>
    <t>PT-063</t>
  </si>
  <si>
    <t>PT-064</t>
  </si>
  <si>
    <t>Interoperabilidad</t>
  </si>
  <si>
    <t>Consumir resultado NMX-28 sin duplicar</t>
  </si>
  <si>
    <t>Antropometría validada en NMX-28</t>
  </si>
  <si>
    <t>NMX-03 almacena valor, unidad, fecha, protocol_id y source_id</t>
  </si>
  <si>
    <t>INTEGRACIÓN</t>
  </si>
  <si>
    <t>Contrato de datos</t>
  </si>
  <si>
    <t>PT-065</t>
  </si>
  <si>
    <t>Reproducibilidad</t>
  </si>
  <si>
    <t>NMX28-AUD</t>
  </si>
  <si>
    <t>Reproducir equivalencia con originales</t>
  </si>
  <si>
    <t>Cinco originales + matriz de casos</t>
  </si>
  <si>
    <t>Cada caso registra celda, entrada, resultado, diferencia y tolerancia</t>
  </si>
  <si>
    <t>AUDITORÍA</t>
  </si>
  <si>
    <t>Originales NMX</t>
  </si>
  <si>
    <t>PT-066</t>
  </si>
  <si>
    <t>Open XML</t>
  </si>
  <si>
    <t>Distinguir métricas</t>
  </si>
  <si>
    <t>Libro integrado</t>
  </si>
  <si>
    <t>Casos≠celdas fórmula≠comparaciones original/integrado</t>
  </si>
  <si>
    <t>Informe auditoría NMX-28</t>
  </si>
  <si>
    <t>PT-067</t>
  </si>
  <si>
    <t>Errores</t>
  </si>
  <si>
    <t>Escanear errores</t>
  </si>
  <si>
    <t>Todos los entregables futuros</t>
  </si>
  <si>
    <t>#REF!, #DIV/0!, #VALUE!, #NAME?, _xlfn, _xludf = 0 o justificados</t>
  </si>
  <si>
    <t>TÉCNICA</t>
  </si>
  <si>
    <t>Open XML/Excel</t>
  </si>
  <si>
    <t>PT-068</t>
  </si>
  <si>
    <t>Rechazar edades imposibles</t>
  </si>
  <si>
    <t>Edad=-1 o 250 años</t>
  </si>
  <si>
    <t>Validación y mensaje; no cálculo</t>
  </si>
  <si>
    <t>Modelo de datos</t>
  </si>
  <si>
    <t>PT-069</t>
  </si>
  <si>
    <t>Requerir sexo cuando ecuación lo usa</t>
  </si>
  <si>
    <t>Sexo vacío en Durnin/Chumlea</t>
  </si>
  <si>
    <t>No calcular; solicitar dato</t>
  </si>
  <si>
    <t>PT-070</t>
  </si>
  <si>
    <t>Rechazar talla cm como m</t>
  </si>
  <si>
    <t>Peso=70 kg; talla=175 etiquetada m</t>
  </si>
  <si>
    <t>Detección de plausibilidad/unidad</t>
  </si>
  <si>
    <t>INTEGRACIÓN_NMX43</t>
  </si>
  <si>
    <t>ESTRUCTURAL</t>
  </si>
  <si>
    <t>Contrato aprobado</t>
  </si>
  <si>
    <t>CORRECCIÓN_CASOS</t>
  </si>
  <si>
    <t>Comprobar tres ejemplos desarrollados por dificultad</t>
  </si>
  <si>
    <t>Revisar EJEMPLOS_CASOS</t>
  </si>
  <si>
    <t>1 básico + 1 intermedio + 1 avanzado</t>
  </si>
  <si>
    <t>Solicitud de corrección del usuario</t>
  </si>
  <si>
    <t>N43-UDD-018</t>
  </si>
  <si>
    <t>CORRECCIÓN_FÓRMULAS</t>
  </si>
  <si>
    <t>Control general</t>
  </si>
  <si>
    <t>Escaneo final de errores de fórmula</t>
  </si>
  <si>
    <t>Libro completo · 45 hojas</t>
  </si>
  <si>
    <t>#REF!, #DIV/0!, #VALUE!, #NAME?, #NUM! y #N/A = 0</t>
  </si>
  <si>
    <t>0 errores reales; menciones documentales excluidas</t>
  </si>
  <si>
    <t>Inspección integral con artifact_tool</t>
  </si>
  <si>
    <t>N43-UDD-019</t>
  </si>
  <si>
    <t>VALIDACIÓN_DATOS</t>
  </si>
  <si>
    <t>Selectores</t>
  </si>
  <si>
    <t>Verificar listas desplegables de nutriente y nivel</t>
  </si>
  <si>
    <t>C7 en 6 hojas; K7 en CASOS_CLÍNICOS</t>
  </si>
  <si>
    <t>Nutriente seleccionable y nivel Básico/Intermedio/Avanzado</t>
  </si>
  <si>
    <t>Validaciones aplicadas y búsqueda combinada funcional</t>
  </si>
  <si>
    <t>FUNCIONAL</t>
  </si>
  <si>
    <t>Contrato de interacción del libro</t>
  </si>
  <si>
    <t>N43-UDD-020</t>
  </si>
  <si>
    <t>USABILIDAD_FINAL</t>
  </si>
  <si>
    <t>Casos y método factorial</t>
  </si>
  <si>
    <t>Validar visibilidad de fórmulas y selección de actividades</t>
  </si>
  <si>
    <t>CASOS_CLÍNICOS + ENERGÍA A23:F34</t>
  </si>
  <si>
    <t>Resultados visibles; actividad seleccionable; fórmulas completas en 12 filas</t>
  </si>
  <si>
    <t>Corregido y verificado</t>
  </si>
  <si>
    <t>Revisión final solicitada</t>
  </si>
  <si>
    <t>N43-UDD-021</t>
  </si>
  <si>
    <t>Hojas técnicas</t>
  </si>
  <si>
    <t>Ocultar hojas auxiliares sin afectar fórmulas</t>
  </si>
  <si>
    <t>CONFIG, ALIMENTOS_INTA, CALCULOS_ENERGÍA, CALCULOS_NUTRIENTES, CALCULOS_ADECUACIÓN, DRI_BASE, FICHAS_BASE, INTERACCIONES_BASE, BIOMARCADORES_BASE, CASOS_BASE, IG_BASE, LISTAS</t>
  </si>
  <si>
    <t>12 hojas técnicas ocultas; módulos de usuario visibles</t>
  </si>
  <si>
    <t>12 hojas técnicas preparadas para ocultamiento</t>
  </si>
  <si>
    <t>Clasificación funcional del libro</t>
  </si>
  <si>
    <t>NUTRIMETRÍA · NMX-43  |  EJEMPLOS DE CASOS CLÍNICOS</t>
  </si>
  <si>
    <t>Tres casos clínico-formativos desarrollados por dificultad. Sirven para aprender razonamiento nutricional; no emiten diagnóstico ni tratamiento.</t>
  </si>
  <si>
    <t>HIERRO</t>
  </si>
  <si>
    <t>CASO-FE</t>
  </si>
  <si>
    <t>BÁSICO</t>
  </si>
  <si>
    <t>EJEMPLO BÁSICO · RAZONAMIENTO CLÍNICO-FORMATIVO</t>
  </si>
  <si>
    <t>Mujer de 20 años con fatiga progresiva, menor tolerancia al ejercicio y menstruaciones abundantes.</t>
  </si>
  <si>
    <t>Dieta con pocas carnes; consume té inmediatamente después del almuerzo y la cena.</t>
  </si>
  <si>
    <t>Legumbres varias veces por semana, pero pocas frutas o verduras ricas en vitamina C junto a las comidas.</t>
  </si>
  <si>
    <t>Palidez, cansancio y menor rendimiento académico y físico.</t>
  </si>
  <si>
    <t>Hemoglobina baja, volumen corpuscular medio bajo y ferritina baja.</t>
  </si>
  <si>
    <t>1) ¿Qué datos apoyan un problema de hierro?
2) ¿Qué factores dietarios pueden reducir o aumentar su biodisponibilidad?
3) ¿Qué aspecto requiere derivación clínica?</t>
  </si>
  <si>
    <t>El patrón es compatible con deficiencia de hierro y debe integrarse con las pérdidas menstruales. El té junto a las comidas puede disminuir la absorción del hierro no hemo, mientras que una fuente de vitamina C puede favorecerla. La causa y el tratamiento requieren evaluación clínica.</t>
  </si>
  <si>
    <t>CASO EDUCATIVO: no representa diagnóstico ni tratamiento de una persona real. La conducta depende de evaluación clínica, laboratorio, medicamentos y protocolos locales.</t>
  </si>
  <si>
    <t>CASO-MG</t>
  </si>
  <si>
    <t>INTERMEDIO</t>
  </si>
  <si>
    <t>EJEMPLO INTERMEDIO · RAZONAMIENTO CLÍNICO-FORMATIVO</t>
  </si>
  <si>
    <t>Paciente con diarrea crónica, calambres musculares y debilidad.</t>
  </si>
  <si>
    <t>Uso prolongado de inhibidor de bomba de protones y episodios gastrointestinales recurrentes.</t>
  </si>
  <si>
    <t>Baja ingesta de legumbres, frutos secos, semillas y verduras de hoja verde.</t>
  </si>
  <si>
    <t>Calambres, debilidad y sensación de fatiga.</t>
  </si>
  <si>
    <t>Magnesio sérico bajo y potasio sérico bajo.</t>
  </si>
  <si>
    <t>1) ¿Qué factores pueden contribuir simultáneamente?
2) ¿Qué relación puede existir con el potasio bajo?
3) ¿Qué limitación tiene el magnesio sérico como biomarcador?</t>
  </si>
  <si>
    <t>La baja ingesta, las pérdidas gastrointestinales y el medicamento pueden contribuir de forma conjunta. La alteración del magnesio puede acompañarse de otros trastornos electrolíticos. El magnesio sérico bajo apoya una alteración clara, pero no representa de manera completa las reservas corporales totales.</t>
  </si>
  <si>
    <t>FOLATO + B12</t>
  </si>
  <si>
    <t>CASO-B9-ADV</t>
  </si>
  <si>
    <t>AVANZADO</t>
  </si>
  <si>
    <t>EJEMPLO AVANZADO · RAZONAMIENTO CLÍNICO-FORMATIVO</t>
  </si>
  <si>
    <t>Mujer con antecedente de anemia macrocítica que inició ácido fólico por cuenta propia. El hemograma mejora, pero progresan parestesias y alteración de la marcha.</t>
  </si>
  <si>
    <t>Dieta vegana sin suplementación regular de B12, uso prolongado de metformina y automedicación con folato.</t>
  </si>
  <si>
    <t>Ácido fólico suplementario alto; ingesta dietaria baja de vitamina B12.</t>
  </si>
  <si>
    <t>Parestesias, pérdida de sensibilidad vibratoria y dificultad para caminar.</t>
  </si>
  <si>
    <t>Vitamina B12 baja o limítrofe, ácido metilmalónico elevado y VCM que puede haberse normalizado.</t>
  </si>
  <si>
    <t>1) ¿Qué deficiencia puede quedar parcialmente enmascarada por el folato?
2) ¿Qué biomarcador apoya una deficiencia funcional de B12?
3) ¿Por qué un hemograma aparentemente mejor no descarta progresión neurológica?
4) ¿Qué antecedentes y medicamentos deben integrarse?</t>
  </si>
  <si>
    <t>El folato puede corregir parcialmente la alteración hematológica mientras continúa el daño neurológico asociado a una deficiencia de vitamina B12. El ácido metilmalónico elevado apoya déficit funcional de B12. La dieta vegana y la metformina aumentan el riesgo; el cuadro exige evaluación y tratamiento supervisado.</t>
  </si>
  <si>
    <t>PRUEBAS APROBADAS
103 / 106</t>
  </si>
  <si>
    <t>ESTADO
69 CASOS ACTIVOS</t>
  </si>
  <si>
    <t>FASE 9 · BIBLIOTECA UDD Y BANCO CLÍNICO-FORMATIVO
El libro incluye 69 casos de micronutrientes: un caso básico, uno intermedio y uno avanzado para cada uno de los 23 micronutrientes. La hoja CASOS_CLÍNICOS permite seleccionar nutriente y nivel, y contiene una matriz de cobertura 69/69.
Los casos son educativos: no representan diagnóstico, prescripción ni tratamiento automático.</t>
  </si>
  <si>
    <t>Seleccione una actividad en cualquiera de las 12 filas amarillas y registre sus horas. PAR, Horas × PAR, fuente y estado se completan automáticamente. El total debe ser 24 horas.</t>
  </si>
  <si>
    <t>Banco interactivo con 69 casos clínico-formativos: un caso básico, uno intermedio y uno avanzado para cada uno de los 23 micronutrientes.</t>
  </si>
  <si>
    <t>ÍNDICE DE CASOS DISPONIBLES · 23 MICRONUTRIENTES × 3 NIVELES</t>
  </si>
  <si>
    <t>MICRONUTRIENTE</t>
  </si>
  <si>
    <t>CASO-FE-BAS</t>
  </si>
  <si>
    <t>CASO-FE-INT</t>
  </si>
  <si>
    <t>CASO-FE-ADV</t>
  </si>
  <si>
    <t>CASO-ZN-BAS</t>
  </si>
  <si>
    <t>CASO-ZN-INT</t>
  </si>
  <si>
    <t>CASO-ZN-ADV</t>
  </si>
  <si>
    <t>CASO-CU-BAS</t>
  </si>
  <si>
    <t>CASO-CU-INT</t>
  </si>
  <si>
    <t>CASO-CU-ADV</t>
  </si>
  <si>
    <t>CASO-CA-BAS</t>
  </si>
  <si>
    <t>CASO-CA-INT</t>
  </si>
  <si>
    <t>CASO-CA-ADV</t>
  </si>
  <si>
    <t>CASO-P-BAS</t>
  </si>
  <si>
    <t>CASO-P-INT</t>
  </si>
  <si>
    <t>CASO-P-ADV</t>
  </si>
  <si>
    <t>CASO-SE-BAS</t>
  </si>
  <si>
    <t>CASO-SE-INT</t>
  </si>
  <si>
    <t>CASO-SE-ADV</t>
  </si>
  <si>
    <t>CASO-K-BAS</t>
  </si>
  <si>
    <t>CASO-K-INT</t>
  </si>
  <si>
    <t>CASO-K-ADV</t>
  </si>
  <si>
    <t>CASO-MG-BAS</t>
  </si>
  <si>
    <t>CASO-MG-INT</t>
  </si>
  <si>
    <t>CASO-MG-ADV</t>
  </si>
  <si>
    <t>CASO-NA-BAS</t>
  </si>
  <si>
    <t>CASO-NA-INT</t>
  </si>
  <si>
    <t>CASO-NA-ADV</t>
  </si>
  <si>
    <t>CASO-CL-BAS</t>
  </si>
  <si>
    <t>CASO-CL-INT</t>
  </si>
  <si>
    <t>CASO-CL-ADV</t>
  </si>
  <si>
    <t>CASO-A-BAS</t>
  </si>
  <si>
    <t>CASO-A-INT</t>
  </si>
  <si>
    <t>CASO-A-ADV</t>
  </si>
  <si>
    <t>CASO-D-BAS</t>
  </si>
  <si>
    <t>CASO-D-INT</t>
  </si>
  <si>
    <t>CASO-D-ADV</t>
  </si>
  <si>
    <t>CASO-E-BAS</t>
  </si>
  <si>
    <t>CASO-E-INT</t>
  </si>
  <si>
    <t>CASO-E-ADV</t>
  </si>
  <si>
    <t>CASO-KV-BAS</t>
  </si>
  <si>
    <t>CASO-KV-INT</t>
  </si>
  <si>
    <t>CASO-KV-ADV</t>
  </si>
  <si>
    <t>CASO-CV-BAS</t>
  </si>
  <si>
    <t>CASO-CV-INT</t>
  </si>
  <si>
    <t>CASO-CV-ADV</t>
  </si>
  <si>
    <t>CASO-B1-BAS</t>
  </si>
  <si>
    <t>CASO-B1-INT</t>
  </si>
  <si>
    <t>CASO-B1-ADV</t>
  </si>
  <si>
    <t>CASO-B2-BAS</t>
  </si>
  <si>
    <t>CASO-B2-INT</t>
  </si>
  <si>
    <t>CASO-B2-ADV</t>
  </si>
  <si>
    <t>CASO-B3-BAS</t>
  </si>
  <si>
    <t>CASO-B3-INT</t>
  </si>
  <si>
    <t>CASO-B3-ADV</t>
  </si>
  <si>
    <t>CASO-B5-BAS</t>
  </si>
  <si>
    <t>CASO-B5-INT</t>
  </si>
  <si>
    <t>CASO-B5-ADV</t>
  </si>
  <si>
    <t>CASO-B6-BAS</t>
  </si>
  <si>
    <t>CASO-B6-INT</t>
  </si>
  <si>
    <t>CASO-B6-ADV</t>
  </si>
  <si>
    <t>CASO-B7-BAS</t>
  </si>
  <si>
    <t>CASO-B7-INT</t>
  </si>
  <si>
    <t>CASO-B7-ADV</t>
  </si>
  <si>
    <t>CASO-B9-BAS</t>
  </si>
  <si>
    <t>CASO-B9-INT</t>
  </si>
  <si>
    <t>CASO-B12-BAS</t>
  </si>
  <si>
    <t>CASO-B12-INT</t>
  </si>
  <si>
    <t>CASO-B12-ADV</t>
  </si>
  <si>
    <t>COBERTURA COMPLETA: 69 DE 69 COMBINACIONES DISPONIBLES. Seleccione el micronutriente en C7 y el nivel en K7.</t>
  </si>
  <si>
    <t>Paciente</t>
  </si>
  <si>
    <t>Antecedentes</t>
  </si>
  <si>
    <t>Signos</t>
  </si>
  <si>
    <t>Laboratorio</t>
  </si>
  <si>
    <t>Preguntas</t>
  </si>
  <si>
    <t>Respuesta_esperada</t>
  </si>
  <si>
    <t>Clave_selector</t>
  </si>
  <si>
    <t>Estudiante de 20 años con cansancio, palidez y menor tolerancia al ejercicio.</t>
  </si>
  <si>
    <t>Menstruaciones abundantes y alimentación con poca carne.</t>
  </si>
  <si>
    <t>Legumbres frecuentes, pero consume té con las comidas y poca vitamina C.</t>
  </si>
  <si>
    <t>Fatiga, palidez y menor rendimiento.</t>
  </si>
  <si>
    <t>Hemoglobina baja, VCM bajo y ferritina baja.</t>
  </si>
  <si>
    <t>1) ¿Qué datos apoyan depleción de hierro? 2) ¿Qué hábitos reducen su absorción? 3) ¿Qué cambio dietario puede favorecer el hierro no hemo?</t>
  </si>
  <si>
    <t>El patrón apoya deficiencia de hierro. Deben integrarse pérdidas menstruales, separar el té de las comidas y combinar legumbres con alimentos ricos en vitamina C; el manejo requiere evaluación clínica.</t>
  </si>
  <si>
    <t>VERIFICADO_EDUCATIVO</t>
  </si>
  <si>
    <t>MIN-FE|Básico</t>
  </si>
  <si>
    <t>Mujer con fatiga y ferritina limítrofe durante un proceso inflamatorio reciente.</t>
  </si>
  <si>
    <t>Menstruaciones regulares, infección reciente y dieta baja en hierro hemo.</t>
  </si>
  <si>
    <t>Ingesta moderada de hierro, con alta frecuencia de fitatos.</t>
  </si>
  <si>
    <t>Cansancio y menor concentración.</t>
  </si>
  <si>
    <t>Ferritina normal-alta, saturación de transferrina baja y proteína C reactiva elevada.</t>
  </si>
  <si>
    <t>1) ¿Por qué la ferritina puede ser engañosa? 2) ¿Qué biomarcadores deben integrarse? 3) ¿Qué factores dietarios afectan la biodisponibilidad?</t>
  </si>
  <si>
    <t>La ferritina es reactante de fase aguda y puede aumentar con inflamación. Debe interpretarse junto con saturación de transferrina, hemograma, inflamación y patrón dietario.</t>
  </si>
  <si>
    <t>MIN-FE|Intermedio</t>
  </si>
  <si>
    <t>Paciente con enfermedad renal crónica, anemia persistente y respuesta limitada a hierro oral.</t>
  </si>
  <si>
    <t>Inflamación crónica, tratamiento renal y pérdidas sanguíneas repetidas.</t>
  </si>
  <si>
    <t>Ingesta adecuada, pero posible utilización reducida del hierro.</t>
  </si>
  <si>
    <t>Fatiga intensa y disnea de esfuerzo.</t>
  </si>
  <si>
    <t>Hemoglobina baja, ferritina normal-alta, saturación de transferrina baja y marcadores inflamatorios elevados.</t>
  </si>
  <si>
    <t>1) ¿Qué diferencia existe entre déficit absoluto y funcional? 2) ¿Cómo influye la inflamación? 3) ¿Por qué no debe indicarse hierro sólo por la ferritina?</t>
  </si>
  <si>
    <t>El cuadro puede reflejar disponibilidad funcional reducida de hierro en contexto inflamatorio. La interpretación y el tratamiento dependen del equipo clínico y del protocolo renal.</t>
  </si>
  <si>
    <t>MIN-FE|Avanzado</t>
  </si>
  <si>
    <t>Adulto joven con dieta vegetariana poco planificada y mala cicatrización.</t>
  </si>
  <si>
    <t>Alta dependencia de cereales integrales y legumbres sin técnicas de reducción de fitatos.</t>
  </si>
  <si>
    <t>Baja ingesta de alimentos animales y alto contenido de fitatos.</t>
  </si>
  <si>
    <t>Alteración del gusto y cicatrización lenta.</t>
  </si>
  <si>
    <t>Zinc plasmático bajo en contexto clínico estable.</t>
  </si>
  <si>
    <t>1) ¿Qué factores dietarios reducen la biodisponibilidad? 2) ¿Qué alimentos o técnicas pueden mejorarla? 3) ¿Qué limita el zinc plasmático?</t>
  </si>
  <si>
    <t>La dieta de baja biodisponibilidad puede aumentar el riesgo. Remojo, germinación, fermentación y una planificación proteica adecuada pueden ayudar; el zinc plasmático debe interpretarse con el contexto clínico.</t>
  </si>
  <si>
    <t>MIN-ZN|Básico</t>
  </si>
  <si>
    <t>Paciente con diarrea crónica, dermatitis y pérdida de peso.</t>
  </si>
  <si>
    <t>Enfermedad intestinal con episodios de malabsorción.</t>
  </si>
  <si>
    <t>Ingesta reducida y escasa proteína animal.</t>
  </si>
  <si>
    <t>Dermatitis periorificial, alteración del gusto y mala cicatrización.</t>
  </si>
  <si>
    <t>Zinc plasmático bajo y marcadores inflamatorios elevados.</t>
  </si>
  <si>
    <t>1) ¿Qué factores aumentan el riesgo? 2) ¿Cómo afecta la inflamación al biomarcador? 3) ¿Por qué no basta la dieta?</t>
  </si>
  <si>
    <t>Malabsorción, pérdidas e ingesta reducida pueden coexistir. El zinc plasmático disminuye durante inflamación y la conducta debe coordinarse con el manejo de la enfermedad intestinal.</t>
  </si>
  <si>
    <t>MIN-ZN|Intermedio</t>
  </si>
  <si>
    <t>Persona que consume varios suplementos de zinc y presenta anemia y neuropatía.</t>
  </si>
  <si>
    <t>Uso prolongado de dosis elevadas sin supervisión.</t>
  </si>
  <si>
    <t>Ingesta dietaria normal, pero exposición suplementaria excesiva.</t>
  </si>
  <si>
    <t>Parestesias, debilidad y mala respuesta al hierro.</t>
  </si>
  <si>
    <t>Zinc elevado, cobre y ceruloplasmina bajos, anemia y neutropenia.</t>
  </si>
  <si>
    <t>1) ¿Qué interacción explica el cuadro? 2) ¿Qué riesgos tiene el exceso crónico? 3) ¿Qué debe revisarse de inmediato?</t>
  </si>
  <si>
    <t>El exceso crónico de zinc puede inducir deficiencia de cobre. Deben revisarse todos los suplementos y derivar para ajuste clínico; no corresponde aumentar zinc ni cobre por cuenta propia.</t>
  </si>
  <si>
    <t>MIN-ZN|Avanzado</t>
  </si>
  <si>
    <t>Persona con dieta muy restrictiva y anemia que no mejora al aumentar hierro.</t>
  </si>
  <si>
    <t>Evita frutos secos, semillas, legumbres, vísceras y mariscos.</t>
  </si>
  <si>
    <t>Ingesta baja de alimentos fuente de cobre.</t>
  </si>
  <si>
    <t>Fatiga y palidez.</t>
  </si>
  <si>
    <t>Cobre sérico y ceruloplasmina bajos.</t>
  </si>
  <si>
    <t>1) ¿Qué funciones del cobre se relacionan con el caso? 2) ¿Qué fuentes dietarias faltan? 3) ¿Por qué no debe asumirse sólo déficit de hierro?</t>
  </si>
  <si>
    <t>El cobre participa en el metabolismo del hierro y la hematopoyesis. La evaluación debe integrar dieta, biomarcadores y otras causas de anemia.</t>
  </si>
  <si>
    <t>MIN-CU|Básico</t>
  </si>
  <si>
    <t>Persona con anemia y parestesias que usa zinc en dosis altas.</t>
  </si>
  <si>
    <t>Suplemento crónico sin indicación profesional.</t>
  </si>
  <si>
    <t>Dieta variada, pero exposición alta a zinc suplementario.</t>
  </si>
  <si>
    <t>Parestesias, debilidad y menor estabilidad al caminar.</t>
  </si>
  <si>
    <t>Cobre y ceruloplasmina bajos, con neutropenia.</t>
  </si>
  <si>
    <t>1) ¿Qué interacción se sospecha? 2) ¿Qué producto debe cuantificarse? 3) ¿Quién debe definir la suspensión o ajuste?</t>
  </si>
  <si>
    <t>El exceso de zinc puede reducir la absorción de cobre. Se requiere cuantificar la dosis total y coordinar la modificación con el equipo tratante.</t>
  </si>
  <si>
    <t>MIN-CU|Intermedio</t>
  </si>
  <si>
    <t>Paciente con antecedente de cirugía bariátrica, anemia y neuropatía progresiva.</t>
  </si>
  <si>
    <t>Seguimiento irregular y baja adherencia al suplemento multivitamínico.</t>
  </si>
  <si>
    <t>Ingesta reducida y absorción comprometida.</t>
  </si>
  <si>
    <t>Alteración de la marcha, parestesias y debilidad.</t>
  </si>
  <si>
    <t>Cobre bajo, ceruloplasmina baja, anemia y neutropenia; B12 también debe evaluarse.</t>
  </si>
  <si>
    <t>1) ¿Qué causas pueden coexistir? 2) ¿Qué diagnósticos diferenciales deben revisarse? 3) ¿Por qué la intervención dietaria aislada es insuficiente?</t>
  </si>
  <si>
    <t>El antecedente bariátrico aumenta el riesgo de malabsorción de cobre y otras deficiencias. Requiere evaluación especializada, reposición supervisada y control de biomarcadores.</t>
  </si>
  <si>
    <t>MIN-CU|Avanzado</t>
  </si>
  <si>
    <t>Mujer de 68 años con baja ingesta de lácteos.</t>
  </si>
  <si>
    <t>Menopausia, sedentarismo y poca exposición solar.</t>
  </si>
  <si>
    <t>Consume pocas fuentes de calcio y alimentos fortificados.</t>
  </si>
  <si>
    <t>Sin síntomas agudos.</t>
  </si>
  <si>
    <t>Calcio sérico normal.</t>
  </si>
  <si>
    <t>1) ¿El calcio sérico normal descarta baja ingesta? 2) ¿Qué factores de salud ósea deben integrarse? 3) ¿Qué fuentes alternativas existen?</t>
  </si>
  <si>
    <t>El calcio sérico está estrechamente regulado y no refleja por sí solo la ingesta. Deben evaluarse dieta, vitamina D, ejercicio, antecedentes y riesgo óseo.</t>
  </si>
  <si>
    <t>MIN-CA|Básico</t>
  </si>
  <si>
    <t>Adulta con intolerancia a la lactosa, baja ingesta de calcio y vitamina D reducida.</t>
  </si>
  <si>
    <t>Evita todos los lácteos sin reemplazos y presenta poca exposición solar.</t>
  </si>
  <si>
    <t>Escasas bebidas fortificadas, tofu con calcio o pescados con espina.</t>
  </si>
  <si>
    <t>Calambres inespecíficos y preocupación por salud ósea.</t>
  </si>
  <si>
    <t>25(OH)D baja; calcio sérico normal.</t>
  </si>
  <si>
    <t>1) ¿Cómo diferenciar intolerancia de exclusión total? 2) ¿Qué fuentes pueden cubrir calcio? 3) ¿Qué relación existe con vitamina D?</t>
  </si>
  <si>
    <t>La exclusión total no siempre es necesaria. Deben planificarse fuentes toleradas o fortificadas y evaluar vitamina D y riesgo óseo.</t>
  </si>
  <si>
    <t>MIN-CA|Intermedio</t>
  </si>
  <si>
    <t>Paciente con enfermedad renal crónica y alteraciones del metabolismo mineral.</t>
  </si>
  <si>
    <t>Hiperparatiroidismo secundario y uso de quelantes.</t>
  </si>
  <si>
    <t>Ingesta variable de calcio y fósforo.</t>
  </si>
  <si>
    <t>Prurito, debilidad y enfermedad ósea renal conocida.</t>
  </si>
  <si>
    <t>Calcio, fósforo, PTH y vitamina D alterados según controles.</t>
  </si>
  <si>
    <t>1) ¿Por qué no puede recomendarse calcio de forma aislada? 2) ¿Qué parámetros deben integrarse? 3) ¿Qué riesgo tiene suplementar sin supervisión?</t>
  </si>
  <si>
    <t>En enfermedad renal, calcio, fósforo, PTH, vitamina D y tratamiento están interrelacionados. La prescripción debe quedar en manos del equipo renal.</t>
  </si>
  <si>
    <t>MIN-CA|Avanzado</t>
  </si>
  <si>
    <t>Adulto que consume abundantes bebidas cola, embutidos y productos ultraprocesados.</t>
  </si>
  <si>
    <t>Desconoce los aditivos fosfatados de las etiquetas.</t>
  </si>
  <si>
    <t>Alta frecuencia de alimentos con fosfatos añadidos.</t>
  </si>
  <si>
    <t>Sin síntomas específicos.</t>
  </si>
  <si>
    <t>Fósforo sérico normal.</t>
  </si>
  <si>
    <t>1) ¿Qué fuentes suelen ser más absorbibles? 2) ¿El fósforo sérico normal refleja la ingesta? 3) ¿Qué buscar en etiquetas?</t>
  </si>
  <si>
    <t>Los aditivos fosfatados suelen ser muy absorbibles. El fósforo sérico no refleja de forma directa la ingesta habitual; conviene revisar ingredientes con términos fosfato.</t>
  </si>
  <si>
    <t>MIN-P|Básico</t>
  </si>
  <si>
    <t>Paciente con enfermedad renal crónica e hiperfosfatemia.</t>
  </si>
  <si>
    <t>Consume carnes procesadas, bebidas con aditivos y usa quelante de forma irregular.</t>
  </si>
  <si>
    <t>Alta carga de fósforo inorgánico.</t>
  </si>
  <si>
    <t>Prurito y enfermedad renal conocida.</t>
  </si>
  <si>
    <t>Fósforo sérico elevado.</t>
  </si>
  <si>
    <t>1) ¿Qué fuentes priorizar para reducción? 2) ¿Qué papel tiene el quelante? 3) ¿Por qué la recomendación depende del estadio renal?</t>
  </si>
  <si>
    <t>Los aditivos son una prioridad por su alta absorción. El manejo depende de función renal, tratamiento, adherencia y evaluación del equipo clínico.</t>
  </si>
  <si>
    <t>MIN-P|Intermedio</t>
  </si>
  <si>
    <t>Paciente con desnutrición que reinicia alimentación rápidamente.</t>
  </si>
  <si>
    <t>Ingesta mínima durante varios días y pérdida de peso importante.</t>
  </si>
  <si>
    <t>Aumento brusco de carbohidratos y energía.</t>
  </si>
  <si>
    <t>Debilidad, edema y deterioro clínico.</t>
  </si>
  <si>
    <t>Fósforo sérico marcadamente bajo, con posibles alteraciones de magnesio y potasio.</t>
  </si>
  <si>
    <t>1) ¿Qué síndrome debe considerarse? 2) ¿Por qué cae el fósforo? 3) ¿Cuál es la prioridad de manejo?</t>
  </si>
  <si>
    <t>El patrón obliga a considerar síndrome de realimentación, una urgencia clínica. La progresión alimentaria y la corrección de electrolitos requieren protocolo y monitorización.</t>
  </si>
  <si>
    <t>MIN-P|Avanzado</t>
  </si>
  <si>
    <t>Adulto que consume nueces de Brasil todos los días junto con un suplemento de selenio.</t>
  </si>
  <si>
    <t>Busca mejorar la función tiroidea sin diagnóstico.</t>
  </si>
  <si>
    <t>Aporte muy concentrado y variable de selenio.</t>
  </si>
  <si>
    <t>Caída de cabello y fragilidad ungueal.</t>
  </si>
  <si>
    <t>Selenio elevado según laboratorio.</t>
  </si>
  <si>
    <t>1) ¿Qué cuadro debe considerarse? 2) ¿Por qué varía el contenido de las nueces? 3) ¿Qué suplementos deben revisarse?</t>
  </si>
  <si>
    <t>El exceso acumulado puede causar selenosis. El contenido de los alimentos varía según el suelo y la duplicación de suplementos aumenta el riesgo.</t>
  </si>
  <si>
    <t>MIN-SE|Básico</t>
  </si>
  <si>
    <t>Paciente con enfermedad intestinal y dieta muy limitada.</t>
  </si>
  <si>
    <t>Malabsorción crónica y pérdida de peso.</t>
  </si>
  <si>
    <t>Baja ingesta de pescados, huevos, carnes y cereales.</t>
  </si>
  <si>
    <t>Debilidad inespecífica.</t>
  </si>
  <si>
    <t>Selenio bajo en contexto clínico y otras deficiencias coexistentes.</t>
  </si>
  <si>
    <t>1) ¿Qué causas deben integrarse? 2) ¿Por qué el déficit aislado es poco frecuente? 3) ¿Qué otras deficiencias deben buscarse?</t>
  </si>
  <si>
    <t>La malabsorción y la dieta restringida pueden reducir el selenio, generalmente junto con otros nutrientes. Se requiere evaluación integral.</t>
  </si>
  <si>
    <t>MIN-SE|Intermedio</t>
  </si>
  <si>
    <t>Persona que combina varios suplementos antioxidantes con alta ingesta de nueces de Brasil.</t>
  </si>
  <si>
    <t>Uso prolongado, sin registrar dosis total.</t>
  </si>
  <si>
    <t>Aporte crónicamente elevado.</t>
  </si>
  <si>
    <t>Halitosis con olor a ajo, alteraciones gastrointestinales, cabello y uñas frágiles y síntomas neurológicos.</t>
  </si>
  <si>
    <t>Selenio elevado y alteración de enzimas hepáticas.</t>
  </si>
  <si>
    <t>1) ¿Qué signos sugieren toxicidad? 2) ¿Por qué debe sumarse la dosis de todos los productos? 3) ¿Qué relación tiene con la función tiroidea?</t>
  </si>
  <si>
    <t>El cuadro es compatible con exposición excesiva a selenio. Deben suspenderse ajustes autónomos y realizar evaluación clínica de toxicidad y función orgánica.</t>
  </si>
  <si>
    <t>MIN-SE|Avanzado</t>
  </si>
  <si>
    <t>Adulto con dieta baja en frutas y verduras y presión arterial elevada.</t>
  </si>
  <si>
    <t>Consume productos procesados con frecuencia.</t>
  </si>
  <si>
    <t>Bajo aporte de potasio dietario.</t>
  </si>
  <si>
    <t>Potasio sérico normal.</t>
  </si>
  <si>
    <t>1) ¿El potasio sérico normal descarta baja ingesta? 2) ¿Qué alimentos aportan potasio? 3) ¿Qué contexto debe revisarse antes de aumentarlo?</t>
  </si>
  <si>
    <t>El potasio sérico está regulado y no representa directamente la ingesta. Frutas, verduras, legumbres y lácteos pueden aportar potasio, salvo restricciones clínicas.</t>
  </si>
  <si>
    <t>MIN-K|Básico</t>
  </si>
  <si>
    <t>Paciente con vómitos, diarrea y uso de diurético.</t>
  </si>
  <si>
    <t>Pérdidas gastrointestinales y renales simultáneas.</t>
  </si>
  <si>
    <t>Ingesta reducida durante varios días.</t>
  </si>
  <si>
    <t>Debilidad, calambres y palpitaciones.</t>
  </si>
  <si>
    <t>Potasio sérico bajo; magnesio también debe evaluarse.</t>
  </si>
  <si>
    <t>1) ¿Qué factores contribuyen? 2) ¿Por qué debe revisarse magnesio? 3) ¿Qué síntomas requieren atención inmediata?</t>
  </si>
  <si>
    <t>Las pérdidas, el diurético y la baja ingesta pueden causar hipopotasemia. La coexistencia de hipomagnesemia puede dificultar la corrección; requiere manejo clínico.</t>
  </si>
  <si>
    <t>MIN-K|Intermedio</t>
  </si>
  <si>
    <t>Adulto mayor con enfermedad renal crónica, debilidad y palpitaciones.</t>
  </si>
  <si>
    <t>Tratamiento con IECA y espironolactona; usa sustituto de sal con potasio.</t>
  </si>
  <si>
    <t>Aumentó frutas, jugos y sustituto de sal tras una recomendación general.</t>
  </si>
  <si>
    <t>Debilidad marcada y ritmo cardíaco irregular.</t>
  </si>
  <si>
    <t>Potasio sérico elevado y función renal reducida.</t>
  </si>
  <si>
    <t>1) ¿Qué factores se potencian? 2) ¿Por qué una recomendación general puede ser peligrosa? 3) ¿Cuál es la prioridad?</t>
  </si>
  <si>
    <t>Enfermedad renal, medicamentos que retienen potasio y sustitutos de sal aumentan el riesgo. La hiperpotasemia sintomática requiere atención clínica urgente.</t>
  </si>
  <si>
    <t>MIN-K|Avanzado</t>
  </si>
  <si>
    <t>Estudiante con dieta basada en refinados y baja en legumbres, semillas y frutos secos.</t>
  </si>
  <si>
    <t>Alta demanda académica y patrón alimentario monótono.</t>
  </si>
  <si>
    <t>Aporte reducido de magnesio.</t>
  </si>
  <si>
    <t>Fatiga y calambres ocasionales.</t>
  </si>
  <si>
    <t>Magnesio sérico dentro del rango del laboratorio.</t>
  </si>
  <si>
    <t>1) ¿El valor sérico descarta baja ingesta? 2) ¿Qué alimentos conviene incorporar? 3) ¿Qué síntomas son inespecíficos?</t>
  </si>
  <si>
    <t>El magnesio sérico puede mantenerse normal pese a una ingesta baja. Debe evaluarse el patrón dietario completo y no atribuir síntomas inespecíficos a una sola causa.</t>
  </si>
  <si>
    <t>MIN-MG|Básico</t>
  </si>
  <si>
    <t>Paciente con diarrea crónica y uso prolongado de inhibidor de bomba de protones.</t>
  </si>
  <si>
    <t>Pérdidas gastrointestinales y medicación de larga duración.</t>
  </si>
  <si>
    <t>Baja ingesta de frutos secos, legumbres y verduras.</t>
  </si>
  <si>
    <t>Calambres y debilidad.</t>
  </si>
  <si>
    <t>Magnesio sérico bajo y potasio bajo.</t>
  </si>
  <si>
    <t>1) ¿Qué factores contribuyen? 2) ¿Qué limitación tiene el magnesio sérico? 3) ¿Qué relación existe con el potasio?</t>
  </si>
  <si>
    <t>Pérdidas, ingesta y medicamento pueden contribuir. El magnesio sérico bajo confirma una alteración importante, aunque no representa las reservas totales.</t>
  </si>
  <si>
    <t>MIN-MG|Intermedio</t>
  </si>
  <si>
    <t>Paciente hospitalizado con hipopotasemia que no corrige pese a reposición.</t>
  </si>
  <si>
    <t>Uso de diuréticos, diarrea y tratamiento prolongado con inhibidor de bomba de protones.</t>
  </si>
  <si>
    <t>Ingesta reducida.</t>
  </si>
  <si>
    <t>Debilidad, temblor y arritmia.</t>
  </si>
  <si>
    <t>Magnesio bajo, potasio bajo y calcio bajo.</t>
  </si>
  <si>
    <t>1) ¿Por qué el potasio puede ser refractario? 2) ¿Qué mecanismos relacionan Mg, K y Ca? 3) ¿Qué prioridad tiene el cuadro?</t>
  </si>
  <si>
    <t>La hipomagnesemia puede favorecer pérdidas renales de potasio y alterar el calcio. El cuadro requiere corrección y monitorización clínica coordinada.</t>
  </si>
  <si>
    <t>MIN-MG|Avanzado</t>
  </si>
  <si>
    <t>Persona con presión arterial elevada que afirma no usar sal de mesa.</t>
  </si>
  <si>
    <t>Consume sopas instantáneas, embutidos, salsas y snacks.</t>
  </si>
  <si>
    <t>Alta ingesta de sodio oculto en procesados.</t>
  </si>
  <si>
    <t>Sodio sérico normal.</t>
  </si>
  <si>
    <t>1) ¿El sodio sérico indica la ingesta? 2) ¿Dónde buscar sodio? 3) ¿Cómo comparar etiquetas?</t>
  </si>
  <si>
    <t>El sodio sérico refleja principalmente el balance de agua, no la ingesta habitual. La revisión debe centrarse en alimentos procesados, porciones y etiquetas.</t>
  </si>
  <si>
    <t>MIN-NA|Básico</t>
  </si>
  <si>
    <t>Paciente con hipertensión que cambia a productos reducidos en sodio, pero mantiene porciones grandes.</t>
  </si>
  <si>
    <t>Antecedentes familiares de enfermedad cardiovascular.</t>
  </si>
  <si>
    <t>Consumo frecuente de pan, quesos, conservas y comidas preparadas.</t>
  </si>
  <si>
    <t>Presión arterial elevada.</t>
  </si>
  <si>
    <t>Excreción urinaria de sodio elevada en evaluación clínica.</t>
  </si>
  <si>
    <t>1) ¿Por qué importa la porción? 2) ¿Qué alimentos aportan sodio sin sabor muy salado? 3) ¿Qué indicador puede aproximar la ingesta?</t>
  </si>
  <si>
    <t>La cantidad total depende del sodio por porción y del número de porciones. El patrón global y, cuando corresponde, la excreción urinaria ayudan a evaluar la exposición.</t>
  </si>
  <si>
    <t>MIN-NA|Intermedio</t>
  </si>
  <si>
    <t>Adulta mayor con confusión y náuseas tras aumentar agua y usar un diurético tiazídico.</t>
  </si>
  <si>
    <t>Enfermedad crónica y reciente restricción extrema de sal.</t>
  </si>
  <si>
    <t>Ingesta elevada de agua y baja ingesta de solutos.</t>
  </si>
  <si>
    <t>Confusión, cefalea y debilidad.</t>
  </si>
  <si>
    <t>Sodio sérico bajo y osmolaridad reducida.</t>
  </si>
  <si>
    <t>1) ¿Por qué la hiponatremia no equivale a déficit dietario simple? 2) ¿Qué factores contribuyen? 3) ¿Qué prioridad tiene la confusión?</t>
  </si>
  <si>
    <t>La hiponatremia es un trastorno del balance de agua y solutos, no una indicación automática de aumentar sal. Los síntomas neurológicos requieren evaluación urgente.</t>
  </si>
  <si>
    <t>MIN-NA|Avanzado</t>
  </si>
  <si>
    <t>Paciente con vómitos durante varios días.</t>
  </si>
  <si>
    <t>Pérdida repetida de contenido gástrico.</t>
  </si>
  <si>
    <t>Ingesta reducida de líquidos y alimentos.</t>
  </si>
  <si>
    <t>Debilidad y signos de deshidratación.</t>
  </si>
  <si>
    <t>Cloruro sérico bajo.</t>
  </si>
  <si>
    <t>1) ¿Qué pérdida explica el cloruro bajo? 2) ¿Qué otros electrolitos deben revisarse? 3) ¿Por qué no basta recomendar alimentos salados?</t>
  </si>
  <si>
    <t>Los vómitos pueden producir pérdida de cloruro y volumen. Deben evaluarse sodio, potasio, bicarbonato y estado de hidratación; el manejo depende de la gravedad.</t>
  </si>
  <si>
    <t>MIN-CL|Básico</t>
  </si>
  <si>
    <t>Paciente con vómitos persistentes y uso de diuréticos.</t>
  </si>
  <si>
    <t>Pérdidas digestivas y renales.</t>
  </si>
  <si>
    <t>Debilidad, sed y mareos.</t>
  </si>
  <si>
    <t>Cloruro bajo, potasio bajo y bicarbonato elevado.</t>
  </si>
  <si>
    <t>1) ¿Qué alteración ácido-base se sugiere? 2) ¿Qué factores mantienen el trastorno? 3) ¿Qué tratamiento no debe improvisarse?</t>
  </si>
  <si>
    <t>El patrón sugiere alcalosis metabólica sensible a cloruro, pero requiere evaluación de volumen, causa y medicación. No debe tratarse sólo con cambios dietarios.</t>
  </si>
  <si>
    <t>MIN-CL|Intermedio</t>
  </si>
  <si>
    <t>Paciente hospitalizado con aspiración nasogástrica prolongada y deterioro renal.</t>
  </si>
  <si>
    <t>Pérdidas continuas y reposición de fluidos variable.</t>
  </si>
  <si>
    <t>Ingesta mínima.</t>
  </si>
  <si>
    <t>Debilidad, hipotensión y alteración del estado mental.</t>
  </si>
  <si>
    <t>Cloruro muy bajo, bicarbonato elevado, potasio bajo y cambios en función renal.</t>
  </si>
  <si>
    <t>1) ¿Cómo se relacionan cloruro, volumen y alcalosis? 2) ¿Qué datos guían la reposición? 3) ¿Cuál es la prioridad?</t>
  </si>
  <si>
    <t>El cuadro integra depleción de volumen, cloruro y potasio con alteración ácido-base. Requiere manejo hospitalario y monitorización estrecha.</t>
  </si>
  <si>
    <t>MIN-CL|Avanzado</t>
  </si>
  <si>
    <t>Niño con dieta muy restrictiva y dificultad para ver al anochecer.</t>
  </si>
  <si>
    <t>Baja ingesta de alimentos animales y vegetales anaranjados o verdes.</t>
  </si>
  <si>
    <t>Escasa variedad alimentaria.</t>
  </si>
  <si>
    <t>Visión nocturna reducida y sequedad ocular.</t>
  </si>
  <si>
    <t>Retinol bajo interpretado con evaluación clínica.</t>
  </si>
  <si>
    <t>1) ¿Qué función está afectada? 2) ¿Qué alimentos aportan vitamina A o carotenoides? 3) ¿Qué riesgo tiene suplementar sin control?</t>
  </si>
  <si>
    <t>La vitamina A participa en la visión y la integridad epitelial. Deben mejorarse fuentes dietarias y derivar; la suplementación excesiva puede ser tóxica.</t>
  </si>
  <si>
    <t>VIT-A|Básico</t>
  </si>
  <si>
    <t>Paciente con enfermedad pancreática y pérdida de peso.</t>
  </si>
  <si>
    <t>Malabsorción de grasas y baja adherencia al tratamiento enzimático.</t>
  </si>
  <si>
    <t>Ingesta suficiente, pero absorción comprometida.</t>
  </si>
  <si>
    <t>Sequedad ocular y mayor susceptibilidad a infecciones.</t>
  </si>
  <si>
    <t>Retinol bajo; proteínas transportadoras y estado inflamatorio deben considerarse.</t>
  </si>
  <si>
    <t>1) ¿Por qué una dieta adecuada puede ser insuficiente? 2) ¿Qué factores alteran el retinol sérico? 3) ¿Qué otras vitaminas deben revisarse?</t>
  </si>
  <si>
    <t>La malabsorción de grasas puede reducir vitaminas A, D, E y K. La interpretación del retinol requiere contexto inflamatorio y nutricional.</t>
  </si>
  <si>
    <t>VIT-A|Intermedio</t>
  </si>
  <si>
    <t>Persona embarazada que consume hígado con frecuencia y un suplemento con retinol.</t>
  </si>
  <si>
    <t>Uso de múltiples productos prenatales sin revisar duplicaciones.</t>
  </si>
  <si>
    <t>Aporte elevado de vitamina A preformada.</t>
  </si>
  <si>
    <t>Cefalea, náuseas y preocupación por seguridad fetal.</t>
  </si>
  <si>
    <t>Enzimas hepáticas alteradas y retinol elevado según evaluación clínica.</t>
  </si>
  <si>
    <t>1) ¿Qué forma de vitamina A plantea mayor riesgo? 2) ¿Por qué importa sumar todas las fuentes? 3) ¿Qué conducta es prioritaria?</t>
  </si>
  <si>
    <t>La vitamina A preformada en exceso puede ser hepatotóxica y teratógena. Se requiere revisión inmediata de suplementos y evaluación clínica.</t>
  </si>
  <si>
    <t>VIT-A|Avanzado</t>
  </si>
  <si>
    <t>Adulta mayor con poca movilidad y baja exposición solar.</t>
  </si>
  <si>
    <t>Dieta con pocos alimentos fortificados.</t>
  </si>
  <si>
    <t>Aporte bajo de vitamina D.</t>
  </si>
  <si>
    <t>Debilidad muscular.</t>
  </si>
  <si>
    <t>25(OH)D baja.</t>
  </si>
  <si>
    <t>1) ¿Cuál es el biomarcador principal? 2) ¿Qué factores de riesgo presenta? 3) ¿Qué aspectos deben acompañar la intervención?</t>
  </si>
  <si>
    <t>La 25(OH)D es el biomarcador principal. Deben integrarse ingesta, exposición solar segura, salud ósea, calcio, riñón y tratamiento.</t>
  </si>
  <si>
    <t>VIT-D|Básico</t>
  </si>
  <si>
    <t>Adulto con obesidad, poca exposición solar y enfermedad hepática.</t>
  </si>
  <si>
    <t>Uso irregular de suplementos y dieta baja en fortificados.</t>
  </si>
  <si>
    <t>Aporte reducido.</t>
  </si>
  <si>
    <t>Dolor musculoesquelético inespecífico.</t>
  </si>
  <si>
    <t>25(OH)D baja; calcio y PTH requieren interpretación conjunta.</t>
  </si>
  <si>
    <t>1) ¿Qué factores modifican el estado de vitamina D? 2) ¿Por qué los síntomas no son diagnósticos? 3) ¿Qué parámetros deben integrarse?</t>
  </si>
  <si>
    <t>Obesidad, enfermedad hepática, exposición solar e ingesta influyen en el estado de vitamina D. Los síntomas son inespecíficos y la evaluación debe ser integral.</t>
  </si>
  <si>
    <t>VIT-D|Intermedio</t>
  </si>
  <si>
    <t>Persona que toma dosis muy altas de vitamina D durante meses.</t>
  </si>
  <si>
    <t>Autosuplementación para prevenir enfermedades.</t>
  </si>
  <si>
    <t>Aporte suplementario muy superior al recomendado.</t>
  </si>
  <si>
    <t>Náuseas, debilidad, poliuria y confusión.</t>
  </si>
  <si>
    <t>25(OH)D muy elevada, hipercalcemia y función renal alterada.</t>
  </si>
  <si>
    <t>1) ¿Qué mecanismo explica los síntomas? 2) ¿Qué órganos pueden afectarse? 3) ¿Cuál es la prioridad?</t>
  </si>
  <si>
    <t>El exceso de vitamina D puede causar hipercalcemia y daño renal. Requiere suspensión supervisada y evaluación clínica urgente.</t>
  </si>
  <si>
    <t>VIT-D|Avanzado</t>
  </si>
  <si>
    <t>Persona que elimina casi todas las grasas de la dieta.</t>
  </si>
  <si>
    <t>Temor a subir de peso y patrón alimentario restrictivo.</t>
  </si>
  <si>
    <t>Baja ingesta de aceites, semillas, frutos secos y palta.</t>
  </si>
  <si>
    <t>Sin signos neurológicos.</t>
  </si>
  <si>
    <t>Sin biomarcador rutinario solicitado.</t>
  </si>
  <si>
    <t>1) ¿Por qué la deficiencia aislada es poco frecuente? 2) ¿Qué fuentes saludables puede incorporar? 3) ¿Qué riesgo tiene una dieta extremadamente baja en grasa?</t>
  </si>
  <si>
    <t>La deficiencia de vitamina E es rara con absorción normal, pero una dieta muy restrictiva puede comprometer calidad nutricional y absorción de vitaminas liposolubles.</t>
  </si>
  <si>
    <t>VIT-E|Básico</t>
  </si>
  <si>
    <t>Paciente con enfermedad colestásica y pérdida de peso.</t>
  </si>
  <si>
    <t>Malabsorción de grasas crónica.</t>
  </si>
  <si>
    <t>Ingesta adecuada, pero absorción comprometida.</t>
  </si>
  <si>
    <t>Debilidad y alteración sensitiva inicial.</t>
  </si>
  <si>
    <t>Alfa-tocoferol bajo en relación con los lípidos.</t>
  </si>
  <si>
    <t>1) ¿Por qué debe ajustarse el biomarcador por lípidos? 2) ¿Qué causa predomina? 3) ¿Qué otras vitaminas deben revisarse?</t>
  </si>
  <si>
    <t>La malabsorción es el principal riesgo. El alfa-tocoferol debe interpretarse en relación con los lípidos y junto con otras vitaminas liposolubles.</t>
  </si>
  <si>
    <t>VIT-E|Intermedio</t>
  </si>
  <si>
    <t>Paciente con malabsorción grave y deterioro neurológico progresivo.</t>
  </si>
  <si>
    <t>Enfermedad hepatobiliar crónica y seguimiento irregular.</t>
  </si>
  <si>
    <t>Absorción de grasas muy reducida.</t>
  </si>
  <si>
    <t>Ataxia, neuropatía periférica y debilidad.</t>
  </si>
  <si>
    <t>Alfa-tocoferol muy bajo respecto de los lípidos.</t>
  </si>
  <si>
    <t>1) ¿Qué manifestaciones son consistentes con déficit grave? 2) ¿Por qué la dieta no basta? 3) ¿Qué tipo de seguimiento requiere?</t>
  </si>
  <si>
    <t>El déficit grave puede afectar sistema nervioso y músculo. Requiere manejo especializado de la malabsorción y reposición supervisada.</t>
  </si>
  <si>
    <t>VIT-E|Avanzado</t>
  </si>
  <si>
    <t>Paciente que usa warfarina y eliminó todas las verduras verdes.</t>
  </si>
  <si>
    <t>Temor a la interacción con el anticoagulante.</t>
  </si>
  <si>
    <t>Ingesta antes variable y ahora muy baja.</t>
  </si>
  <si>
    <t>Moretones ocasionales.</t>
  </si>
  <si>
    <t>INR inestable.</t>
  </si>
  <si>
    <t>1) ¿Debe eliminar vitamina K? 2) ¿Qué principio dietario importa? 3) ¿Quién ajusta el tratamiento?</t>
  </si>
  <si>
    <t>No se recomienda eliminar automáticamente la vitamina K. Es importante mantener una ingesta consistente y coordinar cambios con el equipo de anticoagulación.</t>
  </si>
  <si>
    <t>VIT-K|Básico</t>
  </si>
  <si>
    <t>Paciente con tratamiento antibiótico prolongado y alimentación muy limitada.</t>
  </si>
  <si>
    <t>Hospitalización reciente y bajo consumo de verduras.</t>
  </si>
  <si>
    <t>Ingesta baja de vitamina K.</t>
  </si>
  <si>
    <t>Moretones y sangrado gingival.</t>
  </si>
  <si>
    <t>Tiempo de protrombina prolongado.</t>
  </si>
  <si>
    <t>1) ¿Qué factores pueden contribuir? 2) ¿Por qué debe revisarse medicación y función hepática? 3) ¿Qué prioridad tiene el sangrado?</t>
  </si>
  <si>
    <t>La baja ingesta, antibióticos y otras condiciones pueden alterar la coagulación. El sangrado requiere evaluación clínica y no sólo cambios dietarios.</t>
  </si>
  <si>
    <t>VIT-K|Intermedio</t>
  </si>
  <si>
    <t>Paciente con colestasis, anticoagulación y sangrado activo.</t>
  </si>
  <si>
    <t>Malabsorción de grasas y tratamiento farmacológico complejo.</t>
  </si>
  <si>
    <t>Ingesta variable.</t>
  </si>
  <si>
    <t>Hematomas extensos y sangrado persistente.</t>
  </si>
  <si>
    <t>INR elevado y pruebas hepáticas alteradas.</t>
  </si>
  <si>
    <t>1) ¿Qué factores se superponen? 2) ¿Por qué no debe aumentarse vitamina K sin indicación? 3) ¿Cuál es la prioridad?</t>
  </si>
  <si>
    <t>Malabsorción, enfermedad hepática y anticoagulación pueden coexistir. El sangrado activo es una urgencia y el tratamiento debe ser definido por el equipo clínico.</t>
  </si>
  <si>
    <t>VIT-K|Avanzado</t>
  </si>
  <si>
    <t>Estudiante con dieta sin frutas ni verduras frescas.</t>
  </si>
  <si>
    <t>Alimentación basada en productos refinados.</t>
  </si>
  <si>
    <t>Aporte muy bajo de vitamina C.</t>
  </si>
  <si>
    <t>Gingivitis y mala cicatrización.</t>
  </si>
  <si>
    <t>Vitamina C plasmática baja.</t>
  </si>
  <si>
    <t>1) ¿Qué función explica los signos? 2) ¿Qué alimentos son prioritarios? 3) ¿Qué debe evaluarse si hay sangrado?</t>
  </si>
  <si>
    <t>La vitamina C participa en síntesis de colágeno. Deben incorporarse fuentes regulares y evaluar la gravedad y otras causas de sangrado.</t>
  </si>
  <si>
    <t>VIT-C|Básico</t>
  </si>
  <si>
    <t>Persona fumadora con dieta monótona y fatiga.</t>
  </si>
  <si>
    <t>Tabaquismo intenso y baja ingesta de frutas.</t>
  </si>
  <si>
    <t>Aporte reducido y mayor estrés oxidativo.</t>
  </si>
  <si>
    <t>Equimosis fáciles y mala cicatrización.</t>
  </si>
  <si>
    <t>Vitamina C baja; hemograma y hierro deben revisarse.</t>
  </si>
  <si>
    <t>1) ¿Por qué el tabaquismo aumenta el riesgo? 2) ¿Qué deficiencias pueden coexistir? 3) ¿Cómo mejorar la ingesta sin suplementos excesivos?</t>
  </si>
  <si>
    <t>El tabaquismo se asocia con mayores necesidades y menor estado de vitamina C. Debe mejorarse el patrón alimentario y evaluar anemia u otras causas.</t>
  </si>
  <si>
    <t>VIT-C|Intermedio</t>
  </si>
  <si>
    <t>Paciente con inseguridad alimentaria, dieta muy restrictiva y dolor de piernas.</t>
  </si>
  <si>
    <t>Ingesta casi nula de frutas y verduras durante meses.</t>
  </si>
  <si>
    <t>Aporte severamente insuficiente.</t>
  </si>
  <si>
    <t>Sangrado gingival, petequias, dolor musculoesquelético y mala cicatrización.</t>
  </si>
  <si>
    <t>Vitamina C muy baja y anemia.</t>
  </si>
  <si>
    <t>1) ¿Qué síndrome debe considerarse? 2) ¿Cómo se relaciona con hierro y colágeno? 3) ¿Qué prioridad tiene el caso?</t>
  </si>
  <si>
    <t>El conjunto es compatible con escorbuto y puede coexistir con anemia. Requiere evaluación clínica y corrección nutricional supervisada.</t>
  </si>
  <si>
    <t>VIT-C|Avanzado</t>
  </si>
  <si>
    <t>Persona con dieta muy restrictiva basada en productos refinados.</t>
  </si>
  <si>
    <t>Ingesta insuficiente durante varias semanas.</t>
  </si>
  <si>
    <t>Bajo consumo de cereales enriquecidos, legumbres, carnes y semillas.</t>
  </si>
  <si>
    <t>Fatiga, irritabilidad y debilidad.</t>
  </si>
  <si>
    <t>Sin biomarcador rutinario disponible.</t>
  </si>
  <si>
    <t>1) ¿Qué función cumple la tiamina? 2) ¿Qué alimentos faltan? 3) ¿Por qué los síntomas son inespecíficos?</t>
  </si>
  <si>
    <t>La tiamina participa en el metabolismo energético. Los síntomas iniciales son inespecíficos, por lo que debe evaluarse el patrón completo y otras causas.</t>
  </si>
  <si>
    <t>VIT-B1|Básico</t>
  </si>
  <si>
    <t>Persona con consumo problemático de alcohol y vómitos recurrentes.</t>
  </si>
  <si>
    <t>Ingesta insuficiente y absorción reducida.</t>
  </si>
  <si>
    <t>Muy baja ingesta de alimentos.</t>
  </si>
  <si>
    <t>Confusión, ataxia y alteración ocular.</t>
  </si>
  <si>
    <t>No se espera biomarcador para iniciar manejo urgente.</t>
  </si>
  <si>
    <t>1) ¿Qué síndrome debe considerarse? 2) ¿Por qué no debe esperarse laboratorio? 3) ¿Qué riesgo tiene administrar glucosa sin protocolo?</t>
  </si>
  <si>
    <t>La sospecha de encefalopatía de Wernicke es una emergencia. El tratamiento médico con tiamina no debe retrasarse por pruebas de laboratorio.</t>
  </si>
  <si>
    <t>VIT-B1|Intermedio</t>
  </si>
  <si>
    <t>Paciente desnutrido que reinicia alimentación rápidamente.</t>
  </si>
  <si>
    <t>Pérdida de peso importante y ayuno prolongado.</t>
  </si>
  <si>
    <t>Aumento brusco de carbohidratos.</t>
  </si>
  <si>
    <t>Taquicardia, edema, debilidad y deterioro neurológico.</t>
  </si>
  <si>
    <t>Fósforo, magnesio y potasio bajos; riesgo de déficit de tiamina.</t>
  </si>
  <si>
    <t>1) ¿Qué síndrome debe considerarse? 2) ¿Por qué aumenta la demanda de tiamina? 3) ¿Cómo debe progresar la alimentación?</t>
  </si>
  <si>
    <t>El cuadro obliga a considerar síndrome de realimentación. La tiamina y los electrolitos deben manejarse según protocolo con progresión alimentaria controlada.</t>
  </si>
  <si>
    <t>VIT-B1|Avanzado</t>
  </si>
  <si>
    <t>Adolescente con dieta restrictiva que evita lácteos, huevos y carnes.</t>
  </si>
  <si>
    <t>No utiliza reemplazos fortificados.</t>
  </si>
  <si>
    <t>Baja ingesta de riboflavina.</t>
  </si>
  <si>
    <t>Queilosis, glositis y dermatitis.</t>
  </si>
  <si>
    <t>Sin prueba rutinaria solicitada.</t>
  </si>
  <si>
    <t>1) ¿Qué fuentes faltan? 2) ¿Los signos son específicos? 3) ¿Qué otras deficiencias deben revisarse?</t>
  </si>
  <si>
    <t>Los signos pueden coexistir con otras deficiencias del complejo B. Debe revisarse el patrón dietario completo y las causas de lesiones orales.</t>
  </si>
  <si>
    <t>VIT-B2|Básico</t>
  </si>
  <si>
    <t>Persona vegana con baja variedad y síntomas orales persistentes.</t>
  </si>
  <si>
    <t>No consume bebidas fortificadas ni suplemento.</t>
  </si>
  <si>
    <t>Ingesta baja de riboflavina y otros nutrientes.</t>
  </si>
  <si>
    <t>Queilitis angular, lengua dolorosa y fatiga.</t>
  </si>
  <si>
    <t>Marcador funcional de riboflavina alterado en evaluación especializada.</t>
  </si>
  <si>
    <t>1) ¿Qué alimentos fortificados pueden ayudar? 2) ¿Por qué deben revisarse hierro, B12 y folato? 3) ¿Qué limita la interpretación clínica?</t>
  </si>
  <si>
    <t>El déficit puede coexistir con otras carencias. La intervención requiere variedad, alimentos fortificados y evaluación de anemia y otras vitaminas.</t>
  </si>
  <si>
    <t>VIT-B2|Intermedio</t>
  </si>
  <si>
    <t>Paciente con malabsorción, pérdida de peso y lesiones orales graves.</t>
  </si>
  <si>
    <t>Enfermedad intestinal activa y baja ingesta.</t>
  </si>
  <si>
    <t>Déficit múltiple probable.</t>
  </si>
  <si>
    <t>Queilosis intensa, glositis, dermatitis y debilidad.</t>
  </si>
  <si>
    <t>Riboflavina funcional baja junto con hierro, folato o B12 alterados.</t>
  </si>
  <si>
    <t>1) ¿Por qué no debe tratarse como déficit aislado? 2) ¿Qué causa primaria debe controlarse? 3) ¿Qué seguimiento requiere?</t>
  </si>
  <si>
    <t>En malabsorción es frecuente un déficit combinado. Debe tratarse la enfermedad de base y corregir múltiples nutrientes bajo seguimiento.</t>
  </si>
  <si>
    <t>VIT-B2|Avanzado</t>
  </si>
  <si>
    <t>Persona con dieta muy baja en proteína y poca variedad.</t>
  </si>
  <si>
    <t>Depende de cereales refinados y escasos alimentos proteicos.</t>
  </si>
  <si>
    <t>Baja niacina y bajo triptófano.</t>
  </si>
  <si>
    <t>Fatiga y lesiones cutáneas inespecíficas.</t>
  </si>
  <si>
    <t>Sin biomarcador rutinario.</t>
  </si>
  <si>
    <t>1) ¿Qué relación existe entre triptófano y niacina? 2) ¿Qué alimentos mejorarían el patrón? 3) ¿Por qué no basta un síntoma?</t>
  </si>
  <si>
    <t>El organismo puede formar niacina a partir de triptófano. Debe mejorarse la calidad proteica y evitar atribuir síntomas inespecíficos a una sola vitamina.</t>
  </si>
  <si>
    <t>VIT-B3|Básico</t>
  </si>
  <si>
    <t>Persona con dieta casi exclusiva de maíz no nixtamalizado y poca proteína.</t>
  </si>
  <si>
    <t>Inseguridad alimentaria prolongada.</t>
  </si>
  <si>
    <t>Baja niacina disponible y poco triptófano.</t>
  </si>
  <si>
    <t>Dermatitis fotosensible, diarrea y cambios cognitivos.</t>
  </si>
  <si>
    <t>Evaluación clínica compatible.</t>
  </si>
  <si>
    <t>1) ¿Qué enfermedad debe considerarse? 2) ¿Qué papel tiene la nixtamalización? 3) ¿Qué otros déficits pueden coexistir?</t>
  </si>
  <si>
    <t>El patrón sugiere pelagra. La nixtamalización mejora la disponibilidad de niacina y la proteína aporta triptófano; se requiere intervención integral.</t>
  </si>
  <si>
    <t>VIT-B3|Intermedio</t>
  </si>
  <si>
    <t>Paciente que usa niacina en dosis farmacológicas sin supervisión.</t>
  </si>
  <si>
    <t>Busca reducir colesterol mediante suplementos.</t>
  </si>
  <si>
    <t>Dosis muy superiores a las nutricionales.</t>
  </si>
  <si>
    <t>Rubor intenso, prurito, malestar abdominal y debilidad.</t>
  </si>
  <si>
    <t>Enzimas hepáticas y glucosa elevadas.</t>
  </si>
  <si>
    <t>1) ¿Por qué estas dosis no equivalen a un suplemento nutricional? 2) ¿Qué órganos pueden afectarse? 3) ¿Qué debe hacerse?</t>
  </si>
  <si>
    <t>Las dosis farmacológicas de niacina pueden causar hepatotoxicidad, alteración glucémica y otros efectos. Requiere suspensión y evaluación médica supervisada.</t>
  </si>
  <si>
    <t>VIT-B3|Avanzado</t>
  </si>
  <si>
    <t>Persona que atribuye cansancio inespecífico a una supuesta falta de ácido pantoténico.</t>
  </si>
  <si>
    <t>Dieta variada y sin enfermedad de malabsorción.</t>
  </si>
  <si>
    <t>Aporte probablemente adecuado.</t>
  </si>
  <si>
    <t>Fatiga aislada.</t>
  </si>
  <si>
    <t>1) ¿Qué tan frecuente es el déficit aislado? 2) ¿Qué debe evaluarse antes de suplementar? 3) ¿Qué riesgo tiene atribuir síntomas inespecíficos?</t>
  </si>
  <si>
    <t>La deficiencia aislada es muy rara porque el nutriente está ampliamente distribuido. Deben evaluarse sueño, energía total, anemia y otras causas.</t>
  </si>
  <si>
    <t>VIT-B5|Básico</t>
  </si>
  <si>
    <t>Paciente con desnutrición grave y dieta extremadamente limitada.</t>
  </si>
  <si>
    <t>Ingesta insuficiente de múltiples nutrientes.</t>
  </si>
  <si>
    <t>Escasa variedad durante meses.</t>
  </si>
  <si>
    <t>Fatiga, irritabilidad y sensación de ardor en pies.</t>
  </si>
  <si>
    <t>Sin prueba clínica rutinaria específica.</t>
  </si>
  <si>
    <t>1) ¿Por qué se espera un déficit múltiple? 2) ¿Qué signos se han descrito en deficiencia grave? 3) ¿Cómo debe abordarse?</t>
  </si>
  <si>
    <t>En desnutrición grave puede existir déficit de ácido pantoténico junto con muchas otras carencias. El tratamiento debe ser integral y supervisado.</t>
  </si>
  <si>
    <t>VIT-B5|Intermedio</t>
  </si>
  <si>
    <t>Paciente con nutrición enteral casera incompleta y deterioro progresivo.</t>
  </si>
  <si>
    <t>Fórmula no estandarizada y seguimiento irregular.</t>
  </si>
  <si>
    <t>Aporte incierto de vitaminas y energía.</t>
  </si>
  <si>
    <t>Parestesias, fatiga, alteraciones gastrointestinales y pérdida de peso.</t>
  </si>
  <si>
    <t>Alteraciones de múltiples micronutrientes; no existe un biomarcador rutinario específico de B5.</t>
  </si>
  <si>
    <t>1) ¿Cómo auditar la fórmula? 2) ¿Por qué no puede atribuirse el cuadro sólo a B5? 3) ¿Qué intervención es prioritaria?</t>
  </si>
  <si>
    <t>Debe auditarse la composición completa de la alimentación y corregir energía, proteína y micronutrientes. No es posible confirmar un déficit aislado sólo por síntomas.</t>
  </si>
  <si>
    <t>VIT-B5|Avanzado</t>
  </si>
  <si>
    <t>Persona con dieta monótona y baja en carnes, legumbres, papa y cereales fortificados.</t>
  </si>
  <si>
    <t>Ingesta reducida durante varias semanas.</t>
  </si>
  <si>
    <t>Bajo aporte de vitamina B6.</t>
  </si>
  <si>
    <t>Queilosis, irritabilidad y fatiga.</t>
  </si>
  <si>
    <t>PLP limítrofe.</t>
  </si>
  <si>
    <t>1) ¿Qué funciones dependen de PLP? 2) ¿Qué fuentes dietarias faltan? 3) ¿Qué otras causas deben revisarse?</t>
  </si>
  <si>
    <t>La vitamina B6 participa en metabolismo de aminoácidos y neurotransmisores. Debe mejorarse la variedad y evaluar otras causas de los síntomas.</t>
  </si>
  <si>
    <t>VIT-B6|Básico</t>
  </si>
  <si>
    <t>Paciente en tratamiento con isoniazida que presenta parestesias.</t>
  </si>
  <si>
    <t>Tratamiento médico prolongado.</t>
  </si>
  <si>
    <t>Neuropatía periférica.</t>
  </si>
  <si>
    <t>PLP bajo.</t>
  </si>
  <si>
    <t>1) ¿Qué interacción existe? 2) ¿Quién define la suplementación preventiva? 3) ¿Qué riesgo tiene automedicarse?</t>
  </si>
  <si>
    <t>La isoniazida aumenta el riesgo de deficiencia funcional de B6. La prevención y la dosis deben ser definidas por el equipo tratante.</t>
  </si>
  <si>
    <t>VIT-B6|Intermedio</t>
  </si>
  <si>
    <t>Persona que consume suplementos de vitamina B6 en dosis altas durante meses.</t>
  </si>
  <si>
    <t>Combina varios productos para energía y neuropatía.</t>
  </si>
  <si>
    <t>Aporte suplementario excesivo.</t>
  </si>
  <si>
    <t>Parestesias, pérdida de sensibilidad y dificultad para caminar.</t>
  </si>
  <si>
    <t>PLP elevado; otras causas neurológicas deben descartarse.</t>
  </si>
  <si>
    <t>1) ¿Cómo puede una vitamina causar neuropatía? 2) ¿Por qué deben sumarse todas las dosis? 3) ¿Qué conducta corresponde?</t>
  </si>
  <si>
    <t>El exceso crónico de vitamina B6 puede causar neuropatía sensitiva. Deben revisarse y suspenderse ajustes autónomos bajo evaluación clínica.</t>
  </si>
  <si>
    <t>VIT-B6|Avanzado</t>
  </si>
  <si>
    <t>Persona que toma biotina en dosis altas para el cabello antes de exámenes de laboratorio.</t>
  </si>
  <si>
    <t>No informó el suplemento al laboratorio.</t>
  </si>
  <si>
    <t>Dosis muy superior a la ingesta habitual.</t>
  </si>
  <si>
    <t>Sin síntomas.</t>
  </si>
  <si>
    <t>Resultados tiroideos o cardíacos discordantes.</t>
  </si>
  <si>
    <t>1) ¿Qué problema debe sospecharse? 2) ¿A quién debe informar? 3) ¿Por qué un resultado alterado puede ser falso?</t>
  </si>
  <si>
    <t>La biotina puede interferir con inmunoensayos. Debe informarse al laboratorio y seguir instrucciones profesionales sobre suspensión antes de pruebas.</t>
  </si>
  <si>
    <t>VIT-B7|Básico</t>
  </si>
  <si>
    <t>Persona con dieta muy restrictiva y consumo diario de grandes cantidades de clara de huevo cruda.</t>
  </si>
  <si>
    <t>Patrón mantenido durante meses.</t>
  </si>
  <si>
    <t>Baja variedad y exposición a avidina.</t>
  </si>
  <si>
    <t>Dermatitis, caída de cabello y fatiga.</t>
  </si>
  <si>
    <t>Biotina baja en evaluación especializada.</t>
  </si>
  <si>
    <t>1) ¿Qué compuesto interfiere con la absorción? 2) ¿Cómo cambia al cocinar el huevo? 3) ¿Qué otras causas deben revisarse?</t>
  </si>
  <si>
    <t>La avidina de la clara cruda puede unirse a la biotina; la cocción la desnaturaliza. El déficit adquirido es raro y debe evaluarse el patrón completo.</t>
  </si>
  <si>
    <t>VIT-B7|Intermedio</t>
  </si>
  <si>
    <t>Lactante con convulsiones, dermatitis y alopecia recurrente.</t>
  </si>
  <si>
    <t>Antecedente familiar compatible con trastorno metabólico.</t>
  </si>
  <si>
    <t>Alimentación adecuada para la edad.</t>
  </si>
  <si>
    <t>Convulsiones, hipotonía, dermatitis y alopecia.</t>
  </si>
  <si>
    <t>Hallazgos metabólicos que sugieren deficiencia de biotinidasa.</t>
  </si>
  <si>
    <t>1) ¿Por qué la dieta no explica el cuadro? 2) ¿Qué tipo de condición debe considerarse? 3) ¿Cuál es la prioridad?</t>
  </si>
  <si>
    <t>El cuadro requiere descartar un trastorno hereditario del metabolismo de biotina. Es una situación pediátrica especializada que necesita diagnóstico y tratamiento médico inmediato.</t>
  </si>
  <si>
    <t>VIT-B7|Avanzado</t>
  </si>
  <si>
    <t>Persona con baja ingesta de verduras de hoja, legumbres y alimentos fortificados.</t>
  </si>
  <si>
    <t>Dieta basada en refinados.</t>
  </si>
  <si>
    <t>Aporte reducido de folato.</t>
  </si>
  <si>
    <t>Anemia macrocítica y folato bajo.</t>
  </si>
  <si>
    <t>1) ¿Qué alimentos faltan? 2) ¿Qué otra vitamina debe evaluarse? 3) ¿Por qué no debe iniciarse folato sin revisar B12?</t>
  </si>
  <si>
    <t>El patrón puede reflejar déficit de folato, pero siempre debe evaluarse vitamina B12 antes de una suplementación aislada.</t>
  </si>
  <si>
    <t>VIT-B9|Básico</t>
  </si>
  <si>
    <t>Mujer que planifica embarazo y no consume suplemento de ácido fólico.</t>
  </si>
  <si>
    <t>Dieta irregular y antecedente de baja ingesta de verduras.</t>
  </si>
  <si>
    <t>Aporte dietario insuficiente para el periodo periconcepcional.</t>
  </si>
  <si>
    <t>Folato eritrocitario bajo o limítrofe según evaluación.</t>
  </si>
  <si>
    <t>1) ¿Por qué importa el periodo previo a la concepción? 2) ¿Qué recomendación corresponde a la población? 3) ¿Qué antecedentes modifican la dosis?</t>
  </si>
  <si>
    <t>El folato es crítico antes y al inicio del embarazo. La suplementación debe seguir recomendaciones oficiales y considerar antecedentes clínicos.</t>
  </si>
  <si>
    <t>VIT-B9|Intermedio</t>
  </si>
  <si>
    <t>Mujer con anemia macrocítica que toma ácido fólico por cuenta propia.</t>
  </si>
  <si>
    <t>Dieta vegana sin suplemento de B12 y uso prolongado de metformina.</t>
  </si>
  <si>
    <t>Ácido fólico alto y baja ingesta de B12.</t>
  </si>
  <si>
    <t>Parestesias persistentes pese a mejorar la anemia.</t>
  </si>
  <si>
    <t>B12 baja o limítrofe, ácido metilmalónico elevado y VCM normalizado.</t>
  </si>
  <si>
    <t>1) ¿Qué deficiencia pudo enmascararse? 2) ¿Qué biomarcador ayuda? 3) ¿Por qué el hemograma aislado es insuficiente?</t>
  </si>
  <si>
    <t>El folato puede mejorar la anemia mientras progresa daño neurológico por déficit de B12. Deben evaluarse y tratarse ambas vitaminas bajo supervisión.</t>
  </si>
  <si>
    <t>VIT-B9|Avanzado</t>
  </si>
  <si>
    <t>Persona vegana sin alimentos fortificados ni suplemento.</t>
  </si>
  <si>
    <t>Patrón mantenido durante más de un año.</t>
  </si>
  <si>
    <t>Ingesta prácticamente nula de vitamina B12.</t>
  </si>
  <si>
    <t>Fatiga y parestesias leves.</t>
  </si>
  <si>
    <t>B12 baja y hemograma con macrocitosis.</t>
  </si>
  <si>
    <t>1) ¿Qué fuentes confiables existen en una dieta vegana? 2) ¿Qué síntomas requieren atención? 3) ¿Qué biomarcadores pueden complementar?</t>
  </si>
  <si>
    <t>Las dietas veganas requieren alimentos fortificados o suplemento fiable de B12. Los síntomas neurológicos y la anemia deben evaluarse clínicamente.</t>
  </si>
  <si>
    <t>VIT-B12|Básico</t>
  </si>
  <si>
    <t>Adulto mayor con metformina y uso prolongado de inhibidor de bomba de protones.</t>
  </si>
  <si>
    <t>Baja ingesta de alimentos animales.</t>
  </si>
  <si>
    <t>Riesgo combinado de ingesta y absorción.</t>
  </si>
  <si>
    <t>Parestesias y alteración de la marcha.</t>
  </si>
  <si>
    <t>B12 limítrofe y ácido metilmalónico elevado.</t>
  </si>
  <si>
    <t>1) ¿Qué factores de riesgo existen? 2) ¿Qué biomarcador apoya déficit funcional? 3) ¿Por qué la B12 sérica puede ser insuficiente?</t>
  </si>
  <si>
    <t>Edad, metformina, supresión ácida e ingesta baja elevan el riesgo. El ácido metilmalónico puede apoyar una deficiencia funcional.</t>
  </si>
  <si>
    <t>VIT-B12|Intermedio</t>
  </si>
  <si>
    <t>Paciente con anemia, glositis y deterioro neurológico progresivo.</t>
  </si>
  <si>
    <t>Antecedente de enfermedad autoinmune y gastritis atrófica.</t>
  </si>
  <si>
    <t>Ingesta aparentemente adecuada.</t>
  </si>
  <si>
    <t>Pérdida de sensibilidad, alteración de la marcha y trastornos cognitivos.</t>
  </si>
  <si>
    <t>B12 baja, ácido metilmalónico y homocisteína elevados; anticuerpos compatibles con anemia perniciosa.</t>
  </si>
  <si>
    <t>1) ¿Por qué la ingesta adecuada no evita el déficit? 2) ¿Qué mecanismo de absorción está alterado? 3) ¿Por qué el tratamiento es urgente?</t>
  </si>
  <si>
    <t>La falta de factor intrínseco puede impedir la absorción de B12. El daño neurológico puede progresar y requiere tratamiento médico oportuno.</t>
  </si>
  <si>
    <t>VIT-B12|Avanzado</t>
  </si>
  <si>
    <t>16 casos UDD + 69 casos de micronutrientes</t>
  </si>
  <si>
    <t>23 micronutrientes × 3 niveles</t>
  </si>
  <si>
    <t>Banco dinámico completo en CASOS_CLÍNICOS; casos educativos y no diagnósticos.</t>
  </si>
  <si>
    <t>PRUEBAS APROBADAS
103</t>
  </si>
  <si>
    <t>N43-UDD-022</t>
  </si>
  <si>
    <t>MÉTODO_FACTORIAL</t>
  </si>
  <si>
    <t>Validar selección de actividad y cálculo automático</t>
  </si>
  <si>
    <t>A23:A34 y B23:B34</t>
  </si>
  <si>
    <t>12 listas de actividad; horas 0–24; PAR, producto, fuente y estado automáticos</t>
  </si>
  <si>
    <t>Implementado y verificado</t>
  </si>
  <si>
    <t>Inspección del archivo entregado</t>
  </si>
  <si>
    <t>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</si>
</sst>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48">
    <font>
      <sz val="11"/>
      <name val="Carlito"/>
    </font>
    <font>
      <b/>
      <sz val="18"/>
      <color rgb="FFFFFFFF"/>
      <name val="Carlito"/>
    </font>
    <font>
      <b/>
      <sz val="11"/>
      <color rgb="FF0F3B44"/>
      <name val="Carlito"/>
    </font>
    <font>
      <b/>
      <sz val="9"/>
      <color rgb="FFFFFFFF"/>
      <name val="Carlito"/>
    </font>
    <font>
      <b/>
      <sz val="15"/>
      <color rgb="FFFFFFFF"/>
      <name val="Carlito"/>
    </font>
    <font>
      <b/>
      <sz val="12"/>
      <color rgb="FF0F3B44"/>
      <name val="Carlito"/>
    </font>
    <font>
      <b/>
      <sz val="11"/>
      <color rgb="FFFFFFFF"/>
      <name val="Carlito"/>
    </font>
    <font>
      <b/>
      <sz val="11"/>
      <color rgb="FFFFFFFF"/>
      <name val="Arial"/>
      <family val="2"/>
    </font>
    <font>
      <b/>
      <sz val="9"/>
      <color rgb="FF263238"/>
      <name val="Arial"/>
      <family val="2"/>
    </font>
    <font>
      <sz val="9"/>
      <color rgb="FF263238"/>
      <name val="Arial"/>
      <family val="2"/>
    </font>
    <font>
      <i/>
      <sz val="8"/>
      <color rgb="FF59686C"/>
      <name val="Arial"/>
      <family val="2"/>
    </font>
    <font>
      <b/>
      <sz val="11"/>
      <color rgb="FF263238"/>
      <name val="Carlito"/>
    </font>
    <font>
      <b/>
      <sz val="10"/>
      <color rgb="FF0F3B44"/>
      <name val="Arial"/>
      <family val="2"/>
    </font>
    <font>
      <sz val="9"/>
      <color rgb="FF263238"/>
      <name val="Carlito"/>
    </font>
    <font>
      <b/>
      <sz val="9"/>
      <color rgb="FFFFFFFF"/>
      <name val="Arial"/>
      <family val="2"/>
    </font>
    <font>
      <b/>
      <sz val="12"/>
      <color rgb="FF263238"/>
      <name val="Carlito"/>
    </font>
    <font>
      <b/>
      <i/>
      <sz val="12"/>
      <color rgb="FF59686C"/>
      <name val="Carlito"/>
    </font>
    <font>
      <i/>
      <sz val="11"/>
      <color rgb="FF59686C"/>
      <name val="Carlito"/>
    </font>
    <font>
      <sz val="10"/>
      <color rgb="FF0F3B44"/>
      <name val="Carlito"/>
    </font>
    <font>
      <b/>
      <sz val="10"/>
      <color rgb="FFFFFFFF"/>
      <name val="Carlito"/>
    </font>
    <font>
      <b/>
      <sz val="12"/>
      <color rgb="FFFFFFFF"/>
      <name val="Carlito"/>
    </font>
    <font>
      <b/>
      <i/>
      <sz val="12"/>
      <color rgb="FF263238"/>
      <name val="Carlito"/>
    </font>
    <font>
      <b/>
      <sz val="8"/>
      <color rgb="FFFFFFFF"/>
      <name val="Carlito"/>
    </font>
    <font>
      <sz val="11"/>
      <color theme="10"/>
      <name val="Carlito"/>
    </font>
    <font>
      <sz val="11"/>
      <color rgb="FF263238"/>
      <name val="Carlito"/>
    </font>
    <font>
      <sz val="12"/>
      <color rgb="FF263238"/>
      <name val="Carlito"/>
    </font>
    <font>
      <b/>
      <i/>
      <sz val="12"/>
      <name val="Calibri"/>
      <family val="2"/>
    </font>
    <font>
      <b/>
      <i/>
      <sz val="11"/>
      <name val="Calibri"/>
      <family val="2"/>
    </font>
    <font>
      <b/>
      <sz val="11"/>
      <name val="Arial"/>
      <family val="2"/>
    </font>
    <font>
      <sz val="14"/>
      <name val="Carlito"/>
    </font>
    <font>
      <b/>
      <sz val="12"/>
      <name val="Carlito"/>
    </font>
    <font>
      <b/>
      <i/>
      <sz val="18"/>
      <color theme="0"/>
      <name val="Arial"/>
      <family val="2"/>
    </font>
    <font>
      <b/>
      <sz val="11"/>
      <color theme="0"/>
      <name val="Carlito"/>
    </font>
    <font>
      <b/>
      <sz val="12"/>
      <color rgb="FF0F3B44"/>
      <name val="Carlito"/>
    </font>
    <font>
      <b/>
      <sz val="11"/>
      <color rgb="FFFFFFFF"/>
      <name val="Carlito"/>
    </font>
    <font>
      <b/>
      <sz val="11"/>
      <color rgb="FF1C6B72"/>
      <name val="Carlito"/>
    </font>
    <font>
      <i/>
      <sz val="9"/>
      <color rgb="FF5A6B70"/>
      <name val="Carlito"/>
    </font>
    <font>
      <sz val="12"/>
      <name val="Carlito"/>
    </font>
    <font>
      <sz val="14"/>
      <color rgb="FF0F3B44"/>
      <name val="Carlito"/>
    </font>
    <font>
      <b/>
      <sz val="14"/>
      <color rgb="FFFFFFFF"/>
      <name val="Carlito"/>
    </font>
    <font>
      <b/>
      <sz val="10"/>
      <color rgb="FF0F3B44"/>
      <name val="Carlito"/>
    </font>
    <font>
      <sz val="9"/>
      <name val="Carlito"/>
    </font>
    <font>
      <b/>
      <sz val="9"/>
      <color rgb="FF0F3B44"/>
      <name val="Carlito"/>
    </font>
    <font>
      <b/>
      <i/>
      <sz val="9"/>
      <color rgb="FF7F6000"/>
      <name val="Carlito"/>
    </font>
    <font>
      <i/>
      <sz val="9"/>
      <color rgb="FF7F6000"/>
      <name val="Carlito"/>
    </font>
    <font>
      <sz val="1"/>
      <color rgb="FFFFFFFF"/>
      <name val="Carlito"/>
    </font>
    <font>
      <sz val="10"/>
      <color rgb="FF263238"/>
      <name val="Carlito"/>
    </font>
    <font>
      <sz val="11"/>
      <color theme="1"/>
      <name val="Carlito"/>
    </font>
  </fonts>
  <fills count="70">
    <fill>
      <patternFill patternType="none"/>
    </fill>
    <fill>
      <patternFill patternType="gray125"/>
    </fill>
    <fill>
      <patternFill patternType="solid">
        <fgColor rgb="FF0F3B44"/>
      </patternFill>
    </fill>
    <fill>
      <patternFill patternType="solid">
        <fgColor rgb="FFDDF2F1"/>
      </patternFill>
    </fill>
    <fill>
      <patternFill patternType="solid">
        <fgColor rgb="FF1C6B72"/>
      </patternFill>
    </fill>
    <fill>
      <patternFill patternType="solid">
        <fgColor rgb="FF17324D"/>
      </patternFill>
    </fill>
    <fill>
      <patternFill patternType="solid">
        <fgColor rgb="FFFCE4D6"/>
      </patternFill>
    </fill>
    <fill>
      <patternFill patternType="solid">
        <fgColor rgb="FFF3F6F7"/>
      </patternFill>
    </fill>
    <fill>
      <patternFill patternType="solid">
        <fgColor rgb="FF1C6B72"/>
      </patternFill>
    </fill>
    <fill>
      <patternFill patternType="solid">
        <fgColor rgb="FFF3F6F7"/>
      </patternFill>
    </fill>
    <fill>
      <patternFill patternType="solid">
        <fgColor rgb="FFFFF2CC"/>
      </patternFill>
    </fill>
    <fill>
      <patternFill patternType="solid">
        <fgColor rgb="FFFFFFFF"/>
      </patternFill>
    </fill>
    <fill>
      <patternFill patternType="solid">
        <fgColor rgb="FFE2F0D9"/>
      </patternFill>
    </fill>
    <fill>
      <patternFill patternType="solid">
        <fgColor rgb="FFFCE4D6"/>
      </patternFill>
    </fill>
    <fill>
      <patternFill patternType="solid">
        <fgColor rgb="FF0F3B44"/>
      </patternFill>
    </fill>
    <fill>
      <patternFill patternType="solid">
        <fgColor rgb="FF17324D"/>
      </patternFill>
    </fill>
    <fill>
      <patternFill patternType="solid">
        <fgColor rgb="FFDDF2F1"/>
      </patternFill>
    </fill>
    <fill>
      <patternFill patternType="solid">
        <fgColor rgb="FF0F3B44"/>
      </patternFill>
    </fill>
    <fill>
      <patternFill patternType="solid">
        <fgColor rgb="FFE2F0D9"/>
      </patternFill>
    </fill>
    <fill>
      <patternFill patternType="solid">
        <fgColor rgb="FF17324D"/>
      </patternFill>
    </fill>
    <fill>
      <patternFill patternType="solid">
        <fgColor rgb="FFF3F6F7"/>
      </patternFill>
    </fill>
    <fill>
      <patternFill patternType="solid">
        <fgColor rgb="FF1C6B72"/>
      </patternFill>
    </fill>
    <fill>
      <patternFill patternType="solid">
        <fgColor rgb="FFDDF2F1"/>
      </patternFill>
    </fill>
    <fill>
      <patternFill patternType="solid">
        <fgColor rgb="FFFCE4D6"/>
      </patternFill>
    </fill>
    <fill>
      <patternFill patternType="solid">
        <fgColor rgb="FF0F3B44"/>
      </patternFill>
    </fill>
    <fill>
      <patternFill patternType="solid">
        <fgColor rgb="FFDDF2F1"/>
      </patternFill>
    </fill>
    <fill>
      <patternFill patternType="solid">
        <fgColor rgb="FFF3F6F7"/>
      </patternFill>
    </fill>
    <fill>
      <patternFill patternType="solid">
        <fgColor rgb="FF1C6B72"/>
      </patternFill>
    </fill>
    <fill>
      <patternFill patternType="solid">
        <fgColor rgb="FF17324D"/>
      </patternFill>
    </fill>
    <fill>
      <patternFill patternType="solid">
        <fgColor rgb="FFE2F0D9"/>
      </patternFill>
    </fill>
    <fill>
      <patternFill patternType="solid">
        <fgColor rgb="FFFCE4D6"/>
      </patternFill>
    </fill>
    <fill>
      <patternFill patternType="solid">
        <fgColor rgb="FF0F3B44"/>
      </patternFill>
    </fill>
    <fill>
      <patternFill patternType="solid">
        <fgColor rgb="FFDDF2F1"/>
      </patternFill>
    </fill>
    <fill>
      <patternFill patternType="solid">
        <fgColor rgb="FF17324D"/>
      </patternFill>
    </fill>
    <fill>
      <patternFill patternType="solid">
        <fgColor rgb="FF1C6B72"/>
      </patternFill>
    </fill>
    <fill>
      <patternFill patternType="solid">
        <fgColor rgb="FFE2F0D9"/>
      </patternFill>
    </fill>
    <fill>
      <patternFill patternType="solid">
        <fgColor rgb="FFFCE4D6"/>
      </patternFill>
    </fill>
    <fill>
      <patternFill patternType="solid">
        <fgColor rgb="FFF4CCCC"/>
      </patternFill>
    </fill>
    <fill>
      <patternFill patternType="solid">
        <fgColor rgb="FFFFF2CC"/>
      </patternFill>
    </fill>
    <fill>
      <patternFill patternType="solid">
        <fgColor rgb="FF0F3B44"/>
      </patternFill>
    </fill>
    <fill>
      <patternFill patternType="solid">
        <fgColor rgb="FFDDF2F1"/>
      </patternFill>
    </fill>
    <fill>
      <patternFill patternType="solid">
        <fgColor rgb="FF17324D"/>
      </patternFill>
    </fill>
    <fill>
      <patternFill patternType="solid">
        <fgColor rgb="FF1C6B72"/>
      </patternFill>
    </fill>
    <fill>
      <patternFill patternType="solid">
        <fgColor rgb="FFE2F0D9"/>
      </patternFill>
    </fill>
    <fill>
      <patternFill patternType="solid">
        <fgColor rgb="FFFCE4D6"/>
      </patternFill>
    </fill>
    <fill>
      <patternFill patternType="solid">
        <fgColor rgb="FF1C6B72"/>
      </patternFill>
    </fill>
    <fill>
      <patternFill patternType="solid">
        <fgColor rgb="FFE2F0D9"/>
      </patternFill>
    </fill>
    <fill>
      <patternFill patternType="solid">
        <fgColor rgb="FF0F3B44"/>
      </patternFill>
    </fill>
    <fill>
      <patternFill patternType="solid">
        <fgColor rgb="FFDDF2F1"/>
      </patternFill>
    </fill>
    <fill>
      <patternFill patternType="solid">
        <fgColor rgb="FF17324D"/>
      </patternFill>
    </fill>
    <fill>
      <patternFill patternType="solid">
        <fgColor rgb="FF1C6B72"/>
      </patternFill>
    </fill>
    <fill>
      <patternFill patternType="solid">
        <fgColor rgb="FFDDF2F1"/>
      </patternFill>
    </fill>
    <fill>
      <patternFill patternType="solid">
        <fgColor rgb="FFE2F0D9"/>
      </patternFill>
    </fill>
    <fill>
      <patternFill patternType="solid">
        <fgColor rgb="FFFFF2CC"/>
      </patternFill>
    </fill>
    <fill>
      <patternFill patternType="solid">
        <fgColor rgb="FFFCE4D6"/>
      </patternFill>
    </fill>
    <fill>
      <patternFill patternType="solid">
        <fgColor rgb="FFF4CCCC"/>
      </patternFill>
    </fill>
    <fill>
      <patternFill patternType="solid">
        <fgColor rgb="FFFFF2CC"/>
      </patternFill>
    </fill>
    <fill>
      <patternFill patternType="solid">
        <fgColor rgb="FFFCE4D6"/>
      </patternFill>
    </fill>
    <fill>
      <patternFill patternType="solid">
        <fgColor rgb="FFDDF2F1"/>
      </patternFill>
    </fill>
    <fill>
      <patternFill patternType="solid">
        <fgColor rgb="FFFFF2CC"/>
      </patternFill>
    </fill>
    <fill>
      <patternFill patternType="solid">
        <fgColor rgb="FFE2F0D9"/>
      </patternFill>
    </fill>
    <fill>
      <patternFill patternType="solid">
        <fgColor rgb="FF1C6B72"/>
      </patternFill>
    </fill>
    <fill>
      <patternFill patternType="solid">
        <fgColor rgb="FF17324D"/>
      </patternFill>
    </fill>
    <fill>
      <patternFill patternType="solid">
        <fgColor rgb="FF0F3B44"/>
      </patternFill>
    </fill>
    <fill>
      <patternFill patternType="solid">
        <fgColor rgb="FFF3F6F7"/>
      </patternFill>
    </fill>
    <fill>
      <patternFill patternType="solid">
        <fgColor rgb="FFE2F0D9"/>
      </patternFill>
    </fill>
    <fill>
      <patternFill patternType="solid">
        <fgColor rgb="FFFCE4D6"/>
      </patternFill>
    </fill>
    <fill>
      <patternFill patternType="solid">
        <fgColor rgb="FFF4CCCC"/>
      </patternFill>
    </fill>
    <fill>
      <patternFill patternType="solid">
        <fgColor rgb="FFDDF2F1"/>
      </patternFill>
    </fill>
    <fill>
      <patternFill patternType="solid">
        <fgColor theme="4" tint="0.79998168889431442"/>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BFCAD0"/>
      </left>
      <right style="thin">
        <color rgb="FFBFCAD0"/>
      </right>
      <top style="thin">
        <color rgb="FFBFCAD0"/>
      </top>
      <bottom style="thin">
        <color rgb="FFBFCAD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0" fontId="23" fillId="0" borderId="0"/>
  </cellStyleXfs>
  <cellXfs count="302">
    <xf numFmtId="0" fontId="0" fillId="0" borderId="0" xfId="0"/>
    <xf numFmtId="0" fontId="3" fillId="4" borderId="0" xfId="0" applyFont="1" applyFill="1" applyAlignment="1">
      <alignment horizontal="center"/>
    </xf>
    <xf numFmtId="0" fontId="3" fillId="5" borderId="0" xfId="0" applyFont="1" applyFill="1" applyAlignment="1">
      <alignment horizontal="center"/>
    </xf>
    <xf numFmtId="0" fontId="0" fillId="6" borderId="0" xfId="0" applyFill="1" applyAlignment="1">
      <alignment wrapText="1"/>
    </xf>
    <xf numFmtId="0" fontId="6" fillId="5" borderId="0" xfId="0" applyFont="1" applyFill="1"/>
    <xf numFmtId="0" fontId="6" fillId="2" borderId="0" xfId="0" applyFont="1" applyFill="1"/>
    <xf numFmtId="0" fontId="10" fillId="11" borderId="0" xfId="0" applyFont="1" applyFill="1"/>
    <xf numFmtId="0" fontId="6" fillId="14" borderId="0" xfId="0" applyFont="1" applyFill="1"/>
    <xf numFmtId="0" fontId="14" fillId="15" borderId="0" xfId="0" applyFont="1" applyFill="1" applyAlignment="1">
      <alignment horizontal="center" vertical="center" wrapText="1"/>
    </xf>
    <xf numFmtId="0" fontId="9" fillId="0" borderId="0" xfId="0" applyFont="1" applyAlignment="1">
      <alignment vertical="center" wrapText="1"/>
    </xf>
    <xf numFmtId="0" fontId="6" fillId="15" borderId="0" xfId="0" applyFont="1" applyFill="1"/>
    <xf numFmtId="0" fontId="16" fillId="11" borderId="0" xfId="0" applyFont="1" applyFill="1" applyAlignment="1">
      <alignment horizontal="center" vertical="center" wrapText="1"/>
    </xf>
    <xf numFmtId="0" fontId="17" fillId="11" borderId="0" xfId="0" applyFont="1" applyFill="1"/>
    <xf numFmtId="0" fontId="6" fillId="17" borderId="0" xfId="0" applyFont="1" applyFill="1" applyAlignment="1">
      <alignment wrapText="1"/>
    </xf>
    <xf numFmtId="0" fontId="14" fillId="24" borderId="0" xfId="0" applyFont="1" applyFill="1" applyAlignment="1">
      <alignment horizontal="center" vertical="center" wrapText="1"/>
    </xf>
    <xf numFmtId="0" fontId="6" fillId="24" borderId="0" xfId="0" applyFont="1" applyFill="1" applyAlignment="1">
      <alignment wrapText="1"/>
    </xf>
    <xf numFmtId="0" fontId="6" fillId="27" borderId="0" xfId="0" applyFont="1" applyFill="1" applyAlignment="1">
      <alignment wrapText="1"/>
    </xf>
    <xf numFmtId="165" fontId="0" fillId="0" borderId="0" xfId="0" applyNumberFormat="1"/>
    <xf numFmtId="0" fontId="6" fillId="28" borderId="0" xfId="0" applyFont="1" applyFill="1" applyAlignment="1">
      <alignment wrapText="1"/>
    </xf>
    <xf numFmtId="2" fontId="0" fillId="0" borderId="0" xfId="0" applyNumberFormat="1"/>
    <xf numFmtId="0" fontId="22" fillId="33" borderId="0" xfId="0" applyFont="1" applyFill="1" applyAlignment="1">
      <alignment horizontal="center" vertical="center"/>
    </xf>
    <xf numFmtId="0" fontId="22" fillId="34" borderId="0" xfId="0" applyFont="1" applyFill="1" applyAlignment="1">
      <alignment horizontal="center" vertical="center"/>
    </xf>
    <xf numFmtId="0" fontId="6" fillId="34" borderId="0" xfId="0" applyFont="1" applyFill="1"/>
    <xf numFmtId="0" fontId="6" fillId="34" borderId="0" xfId="0" applyFont="1" applyFill="1" applyAlignment="1">
      <alignment wrapText="1"/>
    </xf>
    <xf numFmtId="0" fontId="0" fillId="36" borderId="0" xfId="0" applyFill="1" applyAlignment="1">
      <alignment wrapText="1"/>
    </xf>
    <xf numFmtId="0" fontId="2" fillId="40" borderId="0" xfId="0" applyFont="1" applyFill="1"/>
    <xf numFmtId="0" fontId="22" fillId="41" borderId="0" xfId="0" applyFont="1" applyFill="1" applyAlignment="1">
      <alignment horizontal="center" vertical="center"/>
    </xf>
    <xf numFmtId="0" fontId="22" fillId="42" borderId="0" xfId="0" applyFont="1" applyFill="1" applyAlignment="1">
      <alignment horizontal="center" vertical="center"/>
    </xf>
    <xf numFmtId="0" fontId="6" fillId="42" borderId="0" xfId="0" applyFont="1" applyFill="1" applyAlignment="1">
      <alignment wrapText="1"/>
    </xf>
    <xf numFmtId="0" fontId="6" fillId="45" borderId="0" xfId="0" applyFont="1" applyFill="1" applyAlignment="1">
      <alignment wrapText="1"/>
    </xf>
    <xf numFmtId="0" fontId="0" fillId="0" borderId="0" xfId="0"/>
    <xf numFmtId="0" fontId="19" fillId="33" borderId="0" xfId="0" applyFont="1" applyFill="1" applyAlignment="1">
      <alignment horizontal="center" vertical="center"/>
    </xf>
    <xf numFmtId="0" fontId="19" fillId="45" borderId="0" xfId="0" applyFont="1" applyFill="1" applyAlignment="1">
      <alignment horizontal="center" vertical="center"/>
    </xf>
    <xf numFmtId="0" fontId="5" fillId="7" borderId="0" xfId="0" applyFont="1" applyFill="1" applyAlignment="1">
      <alignment horizontal="center" vertical="center" wrapText="1"/>
    </xf>
    <xf numFmtId="0" fontId="0" fillId="13" borderId="0" xfId="0" applyFill="1" applyAlignment="1">
      <alignment vertical="top" wrapText="1"/>
    </xf>
    <xf numFmtId="0" fontId="20" fillId="28" borderId="0" xfId="0" applyFont="1" applyFill="1" applyAlignment="1">
      <alignment horizontal="center" vertical="center" wrapText="1"/>
    </xf>
    <xf numFmtId="0" fontId="5" fillId="26" borderId="0" xfId="0" applyFont="1" applyFill="1" applyAlignment="1">
      <alignment horizontal="center" vertical="center" wrapText="1"/>
    </xf>
    <xf numFmtId="0" fontId="0" fillId="0" borderId="0" xfId="0" applyAlignment="1">
      <alignment wrapText="1"/>
    </xf>
    <xf numFmtId="0" fontId="15" fillId="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1" fillId="9" borderId="1" xfId="0" applyFont="1" applyFill="1" applyBorder="1"/>
    <xf numFmtId="0" fontId="12" fillId="12" borderId="1" xfId="0" applyFont="1" applyFill="1" applyBorder="1"/>
    <xf numFmtId="166" fontId="12" fillId="12" borderId="1" xfId="0" applyNumberFormat="1" applyFont="1" applyFill="1" applyBorder="1" applyAlignment="1">
      <alignment horizontal="center" vertical="center" wrapText="1"/>
    </xf>
    <xf numFmtId="166" fontId="12" fillId="12" borderId="1" xfId="0" applyNumberFormat="1" applyFont="1" applyFill="1" applyBorder="1"/>
    <xf numFmtId="0" fontId="26" fillId="9" borderId="1" xfId="0" applyFont="1" applyFill="1" applyBorder="1" applyAlignment="1">
      <alignment horizontal="left" vertical="center" wrapText="1"/>
    </xf>
    <xf numFmtId="0" fontId="27" fillId="9" borderId="1" xfId="0" applyFont="1" applyFill="1" applyBorder="1" applyAlignment="1">
      <alignment horizontal="left"/>
    </xf>
    <xf numFmtId="0" fontId="12" fillId="12" borderId="1" xfId="0" applyFont="1" applyFill="1" applyBorder="1" applyAlignment="1">
      <alignment horizontal="left" vertical="center" wrapText="1"/>
    </xf>
    <xf numFmtId="0" fontId="12" fillId="12" borderId="1" xfId="0" applyFont="1" applyFill="1" applyBorder="1" applyAlignment="1">
      <alignment horizontal="left"/>
    </xf>
    <xf numFmtId="0" fontId="12" fillId="12" borderId="1" xfId="0" applyFont="1" applyFill="1" applyBorder="1" applyAlignment="1">
      <alignment horizontal="center"/>
    </xf>
    <xf numFmtId="0" fontId="16" fillId="11" borderId="0" xfId="0" applyFont="1" applyFill="1" applyAlignment="1">
      <alignment horizontal="left" vertical="center" wrapText="1"/>
    </xf>
    <xf numFmtId="2" fontId="9" fillId="0" borderId="1" xfId="0" applyNumberFormat="1" applyFont="1" applyBorder="1" applyAlignment="1">
      <alignment vertical="center" wrapText="1"/>
    </xf>
    <xf numFmtId="0" fontId="2" fillId="12" borderId="1" xfId="0" applyFont="1" applyFill="1" applyBorder="1"/>
    <xf numFmtId="2" fontId="2" fillId="12" borderId="1" xfId="0" applyNumberFormat="1" applyFont="1" applyFill="1" applyBorder="1"/>
    <xf numFmtId="0" fontId="14" fillId="15"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0" borderId="1" xfId="0" applyFont="1" applyBorder="1" applyAlignment="1">
      <alignment vertical="center" wrapText="1"/>
    </xf>
    <xf numFmtId="165" fontId="8" fillId="7" borderId="1" xfId="0" applyNumberFormat="1" applyFont="1" applyFill="1" applyBorder="1" applyAlignment="1">
      <alignment horizontal="center" vertical="center" wrapText="1"/>
    </xf>
    <xf numFmtId="165" fontId="9" fillId="0" borderId="1" xfId="0" applyNumberFormat="1" applyFont="1" applyBorder="1" applyAlignment="1">
      <alignment vertical="center" wrapText="1"/>
    </xf>
    <xf numFmtId="0" fontId="15" fillId="9" borderId="1" xfId="0" applyFont="1" applyFill="1" applyBorder="1" applyAlignment="1">
      <alignment horizontal="left" vertical="center" wrapText="1"/>
    </xf>
    <xf numFmtId="0" fontId="11" fillId="9" borderId="1" xfId="0" applyFont="1" applyFill="1" applyBorder="1" applyAlignment="1">
      <alignment horizontal="left"/>
    </xf>
    <xf numFmtId="0" fontId="17" fillId="11" borderId="0" xfId="0" applyFont="1" applyFill="1" applyAlignment="1">
      <alignment horizontal="left"/>
    </xf>
    <xf numFmtId="0" fontId="8" fillId="7" borderId="1" xfId="0" applyFont="1" applyFill="1" applyBorder="1" applyAlignment="1">
      <alignment horizontal="left" vertical="center" wrapText="1"/>
    </xf>
    <xf numFmtId="0" fontId="8" fillId="38" borderId="1" xfId="0" applyFont="1" applyFill="1" applyBorder="1" applyAlignment="1">
      <alignment horizontal="left" vertical="center" wrapText="1"/>
    </xf>
    <xf numFmtId="0" fontId="9" fillId="0" borderId="1" xfId="0" applyFont="1" applyBorder="1" applyAlignment="1">
      <alignment horizontal="left" vertical="center" wrapText="1"/>
    </xf>
    <xf numFmtId="0" fontId="12" fillId="38" borderId="1" xfId="0" applyFont="1" applyFill="1" applyBorder="1" applyAlignment="1">
      <alignment horizontal="left" vertical="center" wrapText="1"/>
    </xf>
    <xf numFmtId="0" fontId="9" fillId="38"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0" borderId="1" xfId="0" applyFont="1" applyBorder="1" applyAlignment="1">
      <alignment horizontal="center" vertical="center" wrapText="1"/>
    </xf>
    <xf numFmtId="165" fontId="12" fillId="12" borderId="1" xfId="0" applyNumberFormat="1" applyFont="1" applyFill="1" applyBorder="1" applyAlignment="1">
      <alignment horizontal="center" vertical="center" wrapText="1"/>
    </xf>
    <xf numFmtId="165" fontId="12" fillId="12" borderId="1" xfId="0" applyNumberFormat="1" applyFont="1" applyFill="1" applyBorder="1" applyAlignment="1">
      <alignment vertical="center" wrapText="1"/>
    </xf>
    <xf numFmtId="0" fontId="12" fillId="12" borderId="1" xfId="0" applyFont="1" applyFill="1" applyBorder="1" applyAlignment="1">
      <alignment vertical="center" wrapText="1"/>
    </xf>
    <xf numFmtId="0" fontId="0" fillId="18" borderId="1" xfId="0" applyFill="1" applyBorder="1" applyAlignment="1">
      <alignment wrapText="1"/>
    </xf>
    <xf numFmtId="164" fontId="0" fillId="0" borderId="1" xfId="0" applyNumberFormat="1" applyBorder="1" applyAlignment="1">
      <alignment wrapText="1"/>
    </xf>
    <xf numFmtId="0" fontId="5" fillId="7"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6" fillId="27" borderId="1" xfId="0" applyFont="1" applyFill="1" applyBorder="1" applyAlignment="1">
      <alignment wrapText="1"/>
    </xf>
    <xf numFmtId="0" fontId="0" fillId="38" borderId="1" xfId="0" applyFill="1" applyBorder="1"/>
    <xf numFmtId="0" fontId="0" fillId="0" borderId="1" xfId="0" applyBorder="1"/>
    <xf numFmtId="165" fontId="0" fillId="38" borderId="1" xfId="0" applyNumberFormat="1" applyFill="1" applyBorder="1"/>
    <xf numFmtId="0" fontId="2" fillId="26" borderId="1" xfId="0" applyFont="1" applyFill="1" applyBorder="1"/>
    <xf numFmtId="0" fontId="8" fillId="9" borderId="1" xfId="0" applyFont="1" applyFill="1" applyBorder="1" applyAlignment="1">
      <alignment horizontal="center"/>
    </xf>
    <xf numFmtId="0" fontId="9" fillId="38" borderId="1" xfId="0" applyFont="1" applyFill="1" applyBorder="1" applyAlignment="1">
      <alignment horizontal="center"/>
    </xf>
    <xf numFmtId="164" fontId="9" fillId="38" borderId="1" xfId="0" applyNumberFormat="1" applyFont="1" applyFill="1" applyBorder="1" applyAlignment="1">
      <alignment horizontal="center"/>
    </xf>
    <xf numFmtId="2" fontId="9" fillId="38" borderId="1" xfId="0" applyNumberFormat="1" applyFont="1" applyFill="1" applyBorder="1" applyAlignment="1">
      <alignment horizontal="center"/>
    </xf>
    <xf numFmtId="165" fontId="9" fillId="38" borderId="1" xfId="0" applyNumberFormat="1" applyFont="1" applyFill="1" applyBorder="1" applyAlignment="1">
      <alignment horizontal="center"/>
    </xf>
    <xf numFmtId="2" fontId="12" fillId="12" borderId="1" xfId="0" applyNumberFormat="1" applyFont="1" applyFill="1" applyBorder="1"/>
    <xf numFmtId="0" fontId="32" fillId="0" borderId="0" xfId="0" applyFont="1"/>
    <xf numFmtId="0" fontId="33" fillId="0" borderId="0" xfId="0" applyFont="1"/>
    <xf numFmtId="0" fontId="34" fillId="39" borderId="13" xfId="0" applyFont="1" applyFill="1" applyBorder="1" applyAlignment="1">
      <alignment horizontal="center"/>
    </xf>
    <xf numFmtId="0" fontId="0" fillId="0" borderId="13" xfId="0" applyBorder="1"/>
    <xf numFmtId="0" fontId="35" fillId="0" borderId="13" xfId="0" applyFont="1" applyBorder="1" applyAlignment="1">
      <alignment horizontal="center"/>
    </xf>
    <xf numFmtId="0" fontId="36" fillId="0" borderId="0" xfId="0" applyFont="1"/>
    <xf numFmtId="0" fontId="5" fillId="7" borderId="1" xfId="0" applyFont="1" applyFill="1" applyBorder="1" applyAlignment="1">
      <alignment horizontal="center" vertical="center" wrapText="1"/>
    </xf>
    <xf numFmtId="164" fontId="0" fillId="0" borderId="1" xfId="0" applyNumberFormat="1" applyBorder="1"/>
    <xf numFmtId="0" fontId="0" fillId="0" borderId="1" xfId="0" applyBorder="1" applyAlignment="1">
      <alignment wrapText="1"/>
    </xf>
    <xf numFmtId="165" fontId="12" fillId="12" borderId="1" xfId="0" applyNumberFormat="1" applyFont="1" applyFill="1" applyBorder="1" applyAlignment="1">
      <alignment horizontal="left" vertical="center" wrapText="1"/>
    </xf>
    <xf numFmtId="0" fontId="0" fillId="0" borderId="1" xfId="0" applyBorder="1" applyAlignment="1">
      <alignment horizontal="center"/>
    </xf>
    <xf numFmtId="2" fontId="0" fillId="0" borderId="1" xfId="0" applyNumberFormat="1" applyBorder="1" applyAlignment="1">
      <alignment horizontal="center"/>
    </xf>
    <xf numFmtId="165" fontId="0" fillId="0" borderId="1" xfId="0" applyNumberFormat="1" applyBorder="1" applyAlignment="1">
      <alignment horizontal="center"/>
    </xf>
    <xf numFmtId="2" fontId="2" fillId="26" borderId="1" xfId="0" applyNumberFormat="1" applyFont="1" applyFill="1" applyBorder="1" applyAlignment="1">
      <alignment horizontal="center"/>
    </xf>
    <xf numFmtId="0" fontId="2" fillId="26" borderId="1" xfId="0" applyFont="1" applyFill="1" applyBorder="1" applyAlignment="1">
      <alignment horizontal="center"/>
    </xf>
    <xf numFmtId="165" fontId="2" fillId="26" borderId="1" xfId="0" applyNumberFormat="1" applyFont="1" applyFill="1" applyBorder="1" applyAlignment="1">
      <alignment horizontal="center"/>
    </xf>
    <xf numFmtId="0" fontId="20" fillId="27" borderId="1" xfId="0" applyFont="1" applyFill="1" applyBorder="1" applyAlignment="1">
      <alignment horizontal="center" vertical="center" wrapText="1"/>
    </xf>
    <xf numFmtId="0" fontId="6" fillId="21" borderId="1" xfId="0" applyFont="1" applyFill="1" applyBorder="1" applyAlignment="1">
      <alignment wrapText="1"/>
    </xf>
    <xf numFmtId="0" fontId="20" fillId="21" borderId="9" xfId="0" applyFont="1" applyFill="1" applyBorder="1" applyAlignment="1">
      <alignment horizontal="center" vertical="center" wrapText="1"/>
    </xf>
    <xf numFmtId="0" fontId="20" fillId="21" borderId="14" xfId="0" applyFont="1" applyFill="1" applyBorder="1" applyAlignment="1">
      <alignment horizontal="center" vertical="center" wrapText="1"/>
    </xf>
    <xf numFmtId="0" fontId="20" fillId="27" borderId="14" xfId="0" applyFont="1" applyFill="1" applyBorder="1" applyAlignment="1">
      <alignment horizontal="center" vertical="center" wrapText="1"/>
    </xf>
    <xf numFmtId="0" fontId="6" fillId="27" borderId="7" xfId="0" applyFont="1" applyFill="1" applyBorder="1" applyAlignment="1">
      <alignment wrapText="1"/>
    </xf>
    <xf numFmtId="0" fontId="0" fillId="0" borderId="10" xfId="0" applyBorder="1"/>
    <xf numFmtId="0" fontId="0" fillId="0" borderId="15" xfId="0" applyBorder="1"/>
    <xf numFmtId="0" fontId="0" fillId="0" borderId="2" xfId="0" applyBorder="1"/>
    <xf numFmtId="0" fontId="5" fillId="26" borderId="1" xfId="0" applyFont="1" applyFill="1" applyBorder="1" applyAlignment="1">
      <alignment horizontal="center" vertical="center" wrapText="1"/>
    </xf>
    <xf numFmtId="0" fontId="6" fillId="5" borderId="1" xfId="0" applyFont="1" applyFill="1" applyBorder="1"/>
    <xf numFmtId="0" fontId="6" fillId="2" borderId="1" xfId="0" applyFont="1" applyFill="1" applyBorder="1" applyAlignment="1">
      <alignment wrapText="1"/>
    </xf>
    <xf numFmtId="0" fontId="2" fillId="25" borderId="1" xfId="0" applyFont="1" applyFill="1" applyBorder="1" applyAlignment="1">
      <alignment wrapText="1"/>
    </xf>
    <xf numFmtId="0" fontId="6" fillId="27" borderId="1" xfId="0" applyFont="1" applyFill="1" applyBorder="1" applyAlignment="1">
      <alignment horizontal="center" wrapText="1"/>
    </xf>
    <xf numFmtId="0" fontId="0" fillId="0" borderId="1" xfId="0" applyBorder="1" applyAlignment="1">
      <alignment horizontal="center" wrapText="1"/>
    </xf>
    <xf numFmtId="165" fontId="0" fillId="0" borderId="1" xfId="0" applyNumberFormat="1" applyBorder="1" applyAlignment="1">
      <alignment horizontal="center" wrapText="1"/>
    </xf>
    <xf numFmtId="0" fontId="6" fillId="17" borderId="1" xfId="0" applyFont="1" applyFill="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22" fillId="49" borderId="0" xfId="0" applyNumberFormat="1" applyFont="1" applyFill="1" applyBorder="1" applyAlignment="1">
      <alignment horizontal="center" wrapText="1"/>
    </xf>
    <xf numFmtId="0" fontId="22" fillId="50" borderId="0" xfId="0" applyNumberFormat="1" applyFont="1" applyFill="1" applyBorder="1" applyAlignment="1">
      <alignment horizontal="center" wrapText="1"/>
    </xf>
    <xf numFmtId="0" fontId="3" fillId="50" borderId="0" xfId="0" applyNumberFormat="1" applyFont="1" applyFill="1" applyBorder="1"/>
    <xf numFmtId="0" fontId="3" fillId="50" borderId="0" xfId="0" applyNumberFormat="1" applyFont="1" applyFill="1" applyBorder="1" applyAlignment="1">
      <alignment wrapText="1"/>
    </xf>
    <xf numFmtId="0" fontId="41" fillId="0" borderId="0" xfId="0" applyNumberFormat="1" applyFont="1" applyFill="1" applyBorder="1" applyAlignment="1">
      <alignment wrapText="1"/>
    </xf>
    <xf numFmtId="0" fontId="41" fillId="0" borderId="0" xfId="0" applyNumberFormat="1" applyFont="1" applyFill="1" applyBorder="1" applyAlignment="1">
      <alignment vertical="top" wrapText="1"/>
    </xf>
    <xf numFmtId="0" fontId="3" fillId="50" borderId="0" xfId="0" applyNumberFormat="1" applyFont="1" applyFill="1" applyBorder="1" applyAlignment="1">
      <alignment horizontal="center" wrapText="1"/>
    </xf>
    <xf numFmtId="0" fontId="13" fillId="0" borderId="0" xfId="0" applyNumberFormat="1" applyFont="1" applyFill="1" applyBorder="1" applyAlignment="1">
      <alignment vertical="top" wrapText="1"/>
    </xf>
    <xf numFmtId="164" fontId="0" fillId="0" borderId="0" xfId="0" applyNumberFormat="1" applyFont="1" applyFill="1" applyBorder="1"/>
    <xf numFmtId="0" fontId="45" fillId="0" borderId="0" xfId="0" applyNumberFormat="1" applyFont="1" applyFill="1" applyBorder="1"/>
    <xf numFmtId="0" fontId="46" fillId="0" borderId="1" xfId="0" applyNumberFormat="1" applyFont="1" applyFill="1" applyBorder="1" applyAlignment="1">
      <alignment vertical="center" wrapText="1"/>
    </xf>
    <xf numFmtId="2" fontId="46" fillId="0" borderId="1" xfId="0" applyNumberFormat="1" applyFont="1" applyFill="1" applyBorder="1" applyAlignment="1">
      <alignment vertical="center" wrapText="1"/>
    </xf>
    <xf numFmtId="2" fontId="2" fillId="12" borderId="1" xfId="0" applyNumberFormat="1" applyFont="1" applyFill="1" applyBorder="1"/>
    <xf numFmtId="0" fontId="40" fillId="7" borderId="11"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6" fillId="15" borderId="0" xfId="0" applyFont="1" applyFill="1" applyAlignment="1">
      <alignment horizontal="center" vertical="center"/>
    </xf>
    <xf numFmtId="0" fontId="0" fillId="0" borderId="1" xfId="0" applyBorder="1" applyAlignment="1">
      <alignment horizontal="center" vertical="center"/>
    </xf>
    <xf numFmtId="0" fontId="46" fillId="59" borderId="1" xfId="0" applyNumberFormat="1" applyFont="1" applyFill="1" applyBorder="1" applyAlignment="1">
      <alignment vertical="center" wrapText="1"/>
    </xf>
    <xf numFmtId="2" fontId="46" fillId="59" borderId="1" xfId="0" applyNumberFormat="1" applyFont="1" applyFill="1" applyBorder="1" applyAlignment="1">
      <alignment vertical="center" wrapText="1"/>
    </xf>
    <xf numFmtId="164" fontId="0" fillId="0" borderId="0" xfId="0" applyNumberFormat="1" applyFont="1" applyFill="1" applyBorder="1"/>
    <xf numFmtId="0" fontId="3" fillId="61" borderId="0" xfId="0" applyNumberFormat="1" applyFont="1" applyFill="1" applyBorder="1" applyAlignment="1">
      <alignment horizontal="center" vertical="center" wrapText="1"/>
    </xf>
    <xf numFmtId="0" fontId="13" fillId="0" borderId="0" xfId="0" applyNumberFormat="1" applyFont="1" applyFill="1" applyBorder="1"/>
    <xf numFmtId="0" fontId="3" fillId="62" borderId="0" xfId="0" applyNumberFormat="1" applyFont="1" applyFill="1" applyBorder="1" applyAlignment="1">
      <alignment horizontal="center"/>
    </xf>
    <xf numFmtId="0" fontId="0" fillId="0" borderId="0" xfId="0" applyAlignment="1">
      <alignment wrapText="1"/>
    </xf>
    <xf numFmtId="0" fontId="0" fillId="0" borderId="0" xfId="0" applyAlignment="1">
      <alignment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47" fillId="0" borderId="17" xfId="0" applyFont="1" applyBorder="1" applyAlignment="1">
      <alignment wrapText="1"/>
    </xf>
    <xf numFmtId="0" fontId="47" fillId="69" borderId="17" xfId="0" applyFont="1" applyFill="1" applyBorder="1" applyAlignment="1">
      <alignment wrapText="1"/>
    </xf>
    <xf numFmtId="0" fontId="32" fillId="8" borderId="0" xfId="1" applyFont="1" applyFill="1" applyAlignment="1">
      <alignment horizontal="center" vertical="center"/>
    </xf>
    <xf numFmtId="0" fontId="0" fillId="0" borderId="0" xfId="0"/>
    <xf numFmtId="0" fontId="19" fillId="33" borderId="0" xfId="0" applyFont="1" applyFill="1" applyAlignment="1">
      <alignment horizontal="center" vertical="center"/>
    </xf>
    <xf numFmtId="0" fontId="7" fillId="8" borderId="0" xfId="0" applyFont="1" applyFill="1" applyAlignment="1">
      <alignment horizontal="left" vertical="center"/>
    </xf>
    <xf numFmtId="0" fontId="1" fillId="2" borderId="0" xfId="0" applyFont="1" applyFill="1" applyAlignment="1">
      <alignment vertical="center"/>
    </xf>
    <xf numFmtId="0" fontId="2" fillId="3" borderId="0" xfId="0" applyFont="1" applyFill="1"/>
    <xf numFmtId="0" fontId="19" fillId="45" borderId="0" xfId="0" applyFont="1" applyFill="1" applyAlignment="1">
      <alignment horizontal="center" vertical="center"/>
    </xf>
    <xf numFmtId="0" fontId="2" fillId="12" borderId="0" xfId="0" applyFont="1" applyFill="1" applyAlignment="1">
      <alignment horizontal="center" vertical="center" wrapText="1"/>
    </xf>
    <xf numFmtId="0" fontId="18" fillId="16" borderId="1" xfId="0" applyFont="1"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4" borderId="0" xfId="0" applyFont="1" applyFill="1" applyAlignment="1">
      <alignment horizontal="center"/>
    </xf>
    <xf numFmtId="0" fontId="15" fillId="13" borderId="1" xfId="0" applyFont="1" applyFill="1" applyBorder="1" applyAlignment="1">
      <alignment vertical="top" wrapText="1"/>
    </xf>
    <xf numFmtId="0" fontId="8" fillId="7" borderId="1" xfId="0" applyFont="1" applyFill="1" applyBorder="1" applyAlignment="1">
      <alignment horizontal="center" vertical="center" wrapText="1"/>
    </xf>
    <xf numFmtId="0" fontId="0" fillId="0" borderId="11" xfId="0" applyBorder="1"/>
    <xf numFmtId="0" fontId="7" fillId="8" borderId="0" xfId="0" applyFont="1" applyFill="1" applyAlignment="1">
      <alignment horizontal="left" vertical="center" wrapText="1"/>
    </xf>
    <xf numFmtId="165" fontId="8" fillId="7" borderId="1" xfId="0" applyNumberFormat="1" applyFont="1" applyFill="1" applyBorder="1" applyAlignment="1">
      <alignment horizontal="center" vertical="center" wrapText="1"/>
    </xf>
    <xf numFmtId="0" fontId="0" fillId="0" borderId="12" xfId="0" applyBorder="1"/>
    <xf numFmtId="0" fontId="9" fillId="0" borderId="1" xfId="0" applyFont="1" applyBorder="1" applyAlignment="1">
      <alignment vertical="center" wrapText="1"/>
    </xf>
    <xf numFmtId="2" fontId="2" fillId="12" borderId="1" xfId="0" applyNumberFormat="1" applyFont="1" applyFill="1" applyBorder="1"/>
    <xf numFmtId="2" fontId="2" fillId="12" borderId="1" xfId="0" applyNumberFormat="1" applyFont="1" applyFill="1" applyBorder="1" applyAlignment="1">
      <alignment horizontal="left"/>
    </xf>
    <xf numFmtId="0" fontId="14" fillId="15" borderId="1" xfId="0" applyFont="1" applyFill="1" applyBorder="1" applyAlignment="1">
      <alignment horizontal="center" vertical="center" wrapText="1"/>
    </xf>
    <xf numFmtId="0" fontId="0" fillId="0" borderId="1" xfId="0" applyBorder="1"/>
    <xf numFmtId="0" fontId="0" fillId="16" borderId="1" xfId="0" applyFill="1" applyBorder="1" applyAlignment="1">
      <alignment horizontal="left" vertical="top" wrapText="1"/>
    </xf>
    <xf numFmtId="0" fontId="25" fillId="13" borderId="1" xfId="0" applyFont="1" applyFill="1" applyBorder="1" applyAlignment="1">
      <alignment vertical="top" wrapText="1"/>
    </xf>
    <xf numFmtId="0" fontId="40" fillId="60" borderId="11" xfId="0" applyNumberFormat="1" applyFont="1" applyFill="1" applyBorder="1" applyAlignment="1">
      <alignment horizontal="center" vertical="center"/>
    </xf>
    <xf numFmtId="0" fontId="42" fillId="58" borderId="0" xfId="0" applyNumberFormat="1" applyFont="1" applyFill="1" applyBorder="1" applyAlignment="1">
      <alignment horizontal="center" vertical="center" wrapText="1"/>
    </xf>
    <xf numFmtId="0" fontId="28" fillId="16" borderId="0" xfId="0" applyFont="1" applyFill="1" applyAlignment="1">
      <alignment horizontal="left" vertical="top" wrapText="1"/>
    </xf>
    <xf numFmtId="0" fontId="0" fillId="13" borderId="0" xfId="0" applyFill="1" applyAlignment="1">
      <alignment vertical="top" wrapText="1"/>
    </xf>
    <xf numFmtId="0" fontId="29" fillId="13" borderId="1" xfId="0" applyFont="1" applyFill="1" applyBorder="1" applyAlignment="1">
      <alignment vertical="center" wrapText="1"/>
    </xf>
    <xf numFmtId="0" fontId="19" fillId="21" borderId="0" xfId="0" applyFont="1" applyFill="1" applyAlignment="1">
      <alignment horizontal="left" vertical="center"/>
    </xf>
    <xf numFmtId="0" fontId="19" fillId="21" borderId="0" xfId="0" applyFont="1" applyFill="1" applyAlignment="1">
      <alignment horizontal="left" vertical="center" wrapText="1"/>
    </xf>
    <xf numFmtId="0" fontId="0" fillId="0" borderId="0" xfId="0" applyAlignment="1">
      <alignment vertical="center"/>
    </xf>
    <xf numFmtId="0" fontId="24" fillId="20" borderId="1" xfId="0" applyFont="1" applyFill="1" applyBorder="1" applyAlignment="1">
      <alignment horizontal="left"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13" fillId="18" borderId="1" xfId="0" applyFont="1" applyFill="1"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13" fillId="22" borderId="1" xfId="0" applyFont="1" applyFill="1" applyBorder="1" applyAlignment="1">
      <alignment horizontal="left" vertical="center" wrapText="1"/>
    </xf>
    <xf numFmtId="0" fontId="13" fillId="20" borderId="1" xfId="0" applyFont="1" applyFill="1" applyBorder="1" applyAlignment="1">
      <alignment horizontal="left" vertical="center" wrapText="1"/>
    </xf>
    <xf numFmtId="0" fontId="6" fillId="19" borderId="0" xfId="0" applyFont="1" applyFill="1" applyAlignment="1">
      <alignment horizontal="center" vertical="center"/>
    </xf>
    <xf numFmtId="0" fontId="5" fillId="7"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31" fillId="2" borderId="0" xfId="0" applyFont="1" applyFill="1" applyAlignment="1">
      <alignment vertical="center"/>
    </xf>
    <xf numFmtId="0" fontId="25" fillId="22" borderId="1" xfId="0" applyFont="1" applyFill="1" applyBorder="1" applyAlignment="1">
      <alignment horizontal="left" vertical="center" wrapText="1"/>
    </xf>
    <xf numFmtId="0" fontId="37" fillId="0" borderId="3" xfId="0" applyFont="1" applyBorder="1" applyAlignment="1">
      <alignment vertical="center"/>
    </xf>
    <xf numFmtId="0" fontId="37" fillId="0" borderId="4" xfId="0" applyFont="1" applyBorder="1" applyAlignment="1">
      <alignment vertical="center"/>
    </xf>
    <xf numFmtId="0" fontId="37" fillId="0" borderId="5" xfId="0" applyFont="1" applyBorder="1" applyAlignment="1">
      <alignment vertical="center"/>
    </xf>
    <xf numFmtId="0" fontId="37" fillId="0" borderId="0" xfId="0" applyFont="1" applyAlignment="1">
      <alignment vertical="center"/>
    </xf>
    <xf numFmtId="0" fontId="37" fillId="0" borderId="6" xfId="0" applyFont="1" applyBorder="1" applyAlignment="1">
      <alignment vertical="center"/>
    </xf>
    <xf numFmtId="0" fontId="37" fillId="0" borderId="7" xfId="0" applyFont="1" applyBorder="1" applyAlignment="1">
      <alignment vertical="center"/>
    </xf>
    <xf numFmtId="0" fontId="37" fillId="0" borderId="8" xfId="0" applyFont="1" applyBorder="1" applyAlignment="1">
      <alignment vertical="center"/>
    </xf>
    <xf numFmtId="0" fontId="37" fillId="0" borderId="9" xfId="0" applyFont="1" applyBorder="1" applyAlignment="1">
      <alignment vertical="center"/>
    </xf>
    <xf numFmtId="0" fontId="2" fillId="56" borderId="1" xfId="0" applyNumberFormat="1" applyFont="1" applyFill="1" applyBorder="1" applyAlignment="1">
      <alignment horizontal="center" vertical="center" wrapText="1"/>
    </xf>
    <xf numFmtId="0" fontId="2" fillId="56" borderId="11" xfId="0" applyNumberFormat="1" applyFont="1" applyFill="1" applyBorder="1" applyAlignment="1">
      <alignment horizontal="center" vertical="center"/>
    </xf>
    <xf numFmtId="0" fontId="43" fillId="56" borderId="0" xfId="0" applyNumberFormat="1" applyFont="1" applyFill="1" applyBorder="1" applyAlignment="1">
      <alignment horizontal="center" vertical="center" wrapText="1"/>
    </xf>
    <xf numFmtId="0" fontId="5" fillId="26" borderId="0" xfId="0" applyFont="1" applyFill="1" applyAlignment="1">
      <alignment horizontal="center" vertical="center" wrapText="1"/>
    </xf>
    <xf numFmtId="0" fontId="20" fillId="27" borderId="0" xfId="0" applyFont="1" applyFill="1" applyAlignment="1">
      <alignment horizontal="center" vertical="center" wrapText="1"/>
    </xf>
    <xf numFmtId="0" fontId="2" fillId="56" borderId="0" xfId="0" applyNumberFormat="1" applyFont="1" applyFill="1" applyBorder="1" applyAlignment="1">
      <alignment horizontal="center" vertical="center" wrapText="1"/>
    </xf>
    <xf numFmtId="0" fontId="2" fillId="56" borderId="0" xfId="0" applyNumberFormat="1" applyFont="1" applyFill="1" applyBorder="1" applyAlignment="1">
      <alignment horizontal="center" vertical="center"/>
    </xf>
    <xf numFmtId="0" fontId="20" fillId="28" borderId="0" xfId="0" applyFont="1" applyFill="1" applyAlignment="1">
      <alignment horizontal="center" vertical="center" wrapText="1"/>
    </xf>
    <xf numFmtId="0" fontId="2" fillId="29" borderId="0" xfId="0" applyFont="1" applyFill="1" applyAlignment="1">
      <alignment horizontal="center" vertical="center" wrapText="1"/>
    </xf>
    <xf numFmtId="0" fontId="0" fillId="30" borderId="0" xfId="0" applyFill="1" applyAlignment="1">
      <alignment vertical="center" wrapText="1"/>
    </xf>
    <xf numFmtId="0" fontId="2" fillId="29" borderId="1" xfId="0" applyFont="1" applyFill="1" applyBorder="1" applyAlignment="1">
      <alignment horizontal="center" vertical="center" wrapText="1"/>
    </xf>
    <xf numFmtId="0" fontId="5" fillId="26" borderId="1" xfId="0" applyFont="1" applyFill="1" applyBorder="1" applyAlignment="1">
      <alignment horizontal="center" vertical="center" wrapText="1"/>
    </xf>
    <xf numFmtId="0" fontId="6" fillId="28" borderId="1" xfId="0" applyFont="1" applyFill="1" applyBorder="1" applyAlignment="1">
      <alignment horizontal="center"/>
    </xf>
    <xf numFmtId="0" fontId="5" fillId="7" borderId="0" xfId="0" applyFont="1" applyFill="1" applyAlignment="1">
      <alignment horizontal="center" vertical="center" wrapText="1"/>
    </xf>
    <xf numFmtId="0" fontId="44" fillId="56" borderId="0" xfId="0" applyNumberFormat="1" applyFont="1" applyFill="1" applyBorder="1" applyAlignment="1">
      <alignment horizontal="center" vertical="center"/>
    </xf>
    <xf numFmtId="0" fontId="21" fillId="23" borderId="0" xfId="0" applyFont="1" applyFill="1" applyAlignment="1">
      <alignment horizontal="center" vertical="center" wrapText="1"/>
    </xf>
    <xf numFmtId="0" fontId="30" fillId="20" borderId="1" xfId="0" applyFont="1" applyFill="1" applyBorder="1" applyAlignment="1">
      <alignment horizontal="center" vertical="center" wrapText="1"/>
    </xf>
    <xf numFmtId="0" fontId="2" fillId="56" borderId="1" xfId="0" applyNumberFormat="1" applyFont="1" applyFill="1" applyBorder="1" applyAlignment="1">
      <alignment horizontal="center" vertical="center"/>
    </xf>
    <xf numFmtId="0" fontId="20" fillId="21" borderId="1" xfId="0" applyFont="1" applyFill="1" applyBorder="1" applyAlignment="1">
      <alignment horizontal="center" vertical="center" wrapText="1"/>
    </xf>
    <xf numFmtId="0" fontId="11" fillId="23" borderId="0" xfId="0" applyFont="1" applyFill="1" applyAlignment="1">
      <alignment horizontal="center" vertical="center" wrapText="1"/>
    </xf>
    <xf numFmtId="0" fontId="40" fillId="51" borderId="0" xfId="0" applyNumberFormat="1" applyFont="1" applyFill="1" applyBorder="1" applyAlignment="1">
      <alignment horizontal="center" vertical="center"/>
    </xf>
    <xf numFmtId="0" fontId="6" fillId="24" borderId="0" xfId="0" applyFont="1" applyFill="1" applyAlignment="1">
      <alignment horizontal="center"/>
    </xf>
    <xf numFmtId="0" fontId="6" fillId="21" borderId="1" xfId="0" applyFont="1" applyFill="1" applyBorder="1"/>
    <xf numFmtId="0" fontId="24" fillId="10" borderId="1" xfId="0" applyNumberFormat="1" applyFont="1" applyFill="1" applyBorder="1" applyAlignment="1">
      <alignment vertical="top" wrapText="1"/>
    </xf>
    <xf numFmtId="0" fontId="24" fillId="0" borderId="1" xfId="0" applyNumberFormat="1" applyFont="1" applyFill="1" applyBorder="1" applyAlignment="1">
      <alignment vertical="top" wrapText="1"/>
    </xf>
    <xf numFmtId="0" fontId="24" fillId="7" borderId="1" xfId="0" applyNumberFormat="1" applyFont="1" applyFill="1" applyBorder="1" applyAlignment="1">
      <alignment vertical="top" wrapText="1"/>
    </xf>
    <xf numFmtId="0" fontId="24" fillId="12" borderId="1" xfId="0" applyNumberFormat="1" applyFont="1" applyFill="1" applyBorder="1" applyAlignment="1">
      <alignment vertical="top" wrapText="1"/>
    </xf>
    <xf numFmtId="0" fontId="20" fillId="63" borderId="0" xfId="0" applyNumberFormat="1" applyFont="1" applyFill="1" applyBorder="1" applyAlignment="1">
      <alignment horizontal="center" vertical="center"/>
    </xf>
    <xf numFmtId="0" fontId="3" fillId="61" borderId="0" xfId="0" applyNumberFormat="1" applyFont="1" applyFill="1" applyBorder="1" applyAlignment="1">
      <alignment horizontal="center" vertical="center"/>
    </xf>
    <xf numFmtId="0" fontId="2" fillId="56" borderId="16" xfId="0" applyNumberFormat="1" applyFont="1" applyFill="1" applyBorder="1" applyAlignment="1">
      <alignment horizontal="center" vertical="center" wrapText="1"/>
    </xf>
    <xf numFmtId="0" fontId="2" fillId="56" borderId="16" xfId="0" applyNumberFormat="1" applyFont="1" applyFill="1" applyBorder="1" applyAlignment="1">
      <alignment horizontal="center" vertical="center"/>
    </xf>
    <xf numFmtId="0" fontId="20" fillId="19" borderId="16" xfId="0" applyFont="1" applyFill="1" applyBorder="1" applyAlignment="1">
      <alignment horizontal="center" vertical="center" wrapText="1"/>
    </xf>
    <xf numFmtId="0" fontId="0" fillId="0" borderId="16" xfId="0" applyBorder="1"/>
    <xf numFmtId="0" fontId="5" fillId="7" borderId="16" xfId="0" applyFont="1" applyFill="1" applyBorder="1" applyAlignment="1">
      <alignment horizontal="center" vertical="center" wrapText="1"/>
    </xf>
    <xf numFmtId="0" fontId="5" fillId="20" borderId="16" xfId="0" applyFont="1" applyFill="1" applyBorder="1" applyAlignment="1">
      <alignment horizontal="center" vertical="center" wrapText="1"/>
    </xf>
    <xf numFmtId="0" fontId="2" fillId="57" borderId="16" xfId="0" applyNumberFormat="1" applyFont="1" applyFill="1" applyBorder="1" applyAlignment="1">
      <alignment horizontal="center" vertical="center" wrapText="1"/>
    </xf>
    <xf numFmtId="0" fontId="11" fillId="3" borderId="0" xfId="0" applyNumberFormat="1" applyFont="1" applyFill="1" applyBorder="1" applyAlignment="1">
      <alignment horizontal="center" vertical="top" wrapText="1"/>
    </xf>
    <xf numFmtId="0" fontId="0" fillId="30" borderId="0" xfId="0" applyFill="1" applyAlignment="1">
      <alignment horizontal="center" vertical="center" wrapText="1"/>
    </xf>
    <xf numFmtId="0" fontId="13" fillId="64" borderId="0" xfId="0" applyNumberFormat="1" applyFont="1" applyFill="1" applyBorder="1" applyAlignment="1">
      <alignment vertical="center" wrapText="1"/>
    </xf>
    <xf numFmtId="0" fontId="13" fillId="65" borderId="0" xfId="0" applyNumberFormat="1" applyFont="1" applyFill="1" applyBorder="1" applyAlignment="1">
      <alignment vertical="center" wrapText="1"/>
    </xf>
    <xf numFmtId="0" fontId="13" fillId="66" borderId="0" xfId="0" applyNumberFormat="1" applyFont="1" applyFill="1" applyBorder="1" applyAlignment="1">
      <alignment vertical="center" wrapText="1"/>
    </xf>
    <xf numFmtId="0" fontId="13" fillId="67" borderId="0" xfId="0" applyNumberFormat="1" applyFont="1" applyFill="1" applyBorder="1" applyAlignment="1">
      <alignment vertical="center" wrapText="1"/>
    </xf>
    <xf numFmtId="0" fontId="40" fillId="68" borderId="0" xfId="0" applyNumberFormat="1" applyFont="1" applyFill="1" applyBorder="1" applyAlignment="1">
      <alignment horizontal="center" vertical="center" wrapText="1"/>
    </xf>
    <xf numFmtId="0" fontId="0" fillId="26" borderId="1" xfId="0" applyFill="1" applyBorder="1" applyAlignment="1">
      <alignment vertical="top" wrapText="1"/>
    </xf>
    <xf numFmtId="0" fontId="38" fillId="16" borderId="0" xfId="0" applyFont="1" applyFill="1" applyAlignment="1">
      <alignment vertical="top" wrapText="1"/>
    </xf>
    <xf numFmtId="0" fontId="29" fillId="0" borderId="0" xfId="0" applyFont="1"/>
    <xf numFmtId="0" fontId="0" fillId="30" borderId="1" xfId="0" applyFill="1" applyBorder="1" applyAlignment="1">
      <alignment vertical="top" wrapText="1"/>
    </xf>
    <xf numFmtId="0" fontId="20" fillId="24" borderId="0" xfId="0" applyFont="1" applyFill="1" applyAlignment="1">
      <alignment horizontal="center" vertical="top" wrapText="1"/>
    </xf>
    <xf numFmtId="0" fontId="0" fillId="0" borderId="0" xfId="0" applyAlignment="1">
      <alignment wrapText="1"/>
    </xf>
    <xf numFmtId="0" fontId="6" fillId="5" borderId="1" xfId="0" applyFont="1" applyFill="1" applyBorder="1" applyAlignment="1">
      <alignment horizontal="center"/>
    </xf>
    <xf numFmtId="0" fontId="0" fillId="0" borderId="10" xfId="0" applyBorder="1"/>
    <xf numFmtId="0" fontId="0" fillId="0" borderId="10" xfId="0" applyBorder="1" applyAlignment="1">
      <alignment wrapText="1"/>
    </xf>
    <xf numFmtId="0" fontId="0" fillId="0" borderId="12" xfId="0" applyBorder="1" applyAlignment="1">
      <alignment wrapText="1"/>
    </xf>
    <xf numFmtId="0" fontId="0" fillId="0" borderId="11" xfId="0" applyBorder="1" applyAlignment="1">
      <alignment wrapText="1"/>
    </xf>
    <xf numFmtId="0" fontId="6" fillId="33" borderId="0" xfId="0" applyFont="1" applyFill="1"/>
    <xf numFmtId="0" fontId="2" fillId="35" borderId="0" xfId="0" applyFont="1" applyFill="1" applyAlignment="1">
      <alignment horizontal="center" vertical="center" wrapText="1"/>
    </xf>
    <xf numFmtId="0" fontId="8" fillId="31" borderId="0" xfId="0" applyFont="1" applyFill="1" applyAlignment="1">
      <alignment horizontal="left" vertical="center"/>
    </xf>
    <xf numFmtId="0" fontId="20" fillId="34" borderId="0" xfId="0" applyFont="1" applyFill="1" applyAlignment="1">
      <alignment horizontal="center"/>
    </xf>
    <xf numFmtId="0" fontId="2" fillId="32" borderId="0" xfId="0" applyFont="1" applyFill="1" applyAlignment="1">
      <alignment vertical="center"/>
    </xf>
    <xf numFmtId="0" fontId="6" fillId="49" borderId="0" xfId="0" applyNumberFormat="1" applyFont="1" applyFill="1" applyBorder="1" applyAlignment="1">
      <alignment horizontal="center"/>
    </xf>
    <xf numFmtId="0" fontId="2" fillId="36" borderId="0" xfId="0" applyFont="1" applyFill="1" applyAlignment="1">
      <alignment horizontal="center" vertical="center" wrapText="1"/>
    </xf>
    <xf numFmtId="0" fontId="2" fillId="37" borderId="0" xfId="0" applyFont="1" applyFill="1" applyAlignment="1">
      <alignment horizontal="center" vertical="center" wrapText="1"/>
    </xf>
    <xf numFmtId="0" fontId="2" fillId="43" borderId="0" xfId="0" applyFont="1" applyFill="1" applyAlignment="1">
      <alignment horizontal="center" vertical="center" wrapText="1"/>
    </xf>
    <xf numFmtId="0" fontId="8" fillId="39" borderId="0" xfId="0" applyFont="1" applyFill="1" applyAlignment="1">
      <alignment horizontal="left" vertical="center"/>
    </xf>
    <xf numFmtId="0" fontId="2" fillId="46" borderId="0" xfId="0" applyFont="1" applyFill="1" applyAlignment="1">
      <alignment horizontal="center" vertical="center" wrapText="1"/>
    </xf>
    <xf numFmtId="0" fontId="6" fillId="41" borderId="0" xfId="0" applyFont="1" applyFill="1"/>
    <xf numFmtId="0" fontId="11" fillId="44" borderId="0" xfId="0" applyFont="1" applyFill="1" applyAlignment="1">
      <alignment horizontal="left" vertical="center" wrapText="1"/>
    </xf>
    <xf numFmtId="0" fontId="20" fillId="42" borderId="0" xfId="0" applyFont="1" applyFill="1" applyAlignment="1">
      <alignment horizontal="center"/>
    </xf>
    <xf numFmtId="0" fontId="2" fillId="40" borderId="0" xfId="0" applyFont="1" applyFill="1" applyAlignment="1">
      <alignment vertical="center"/>
    </xf>
    <xf numFmtId="0" fontId="2" fillId="44" borderId="0" xfId="0" applyFont="1" applyFill="1" applyAlignment="1">
      <alignment horizontal="center" vertical="center" wrapText="1"/>
    </xf>
    <xf numFmtId="0" fontId="39" fillId="47" borderId="0" xfId="0" applyNumberFormat="1" applyFont="1" applyFill="1" applyBorder="1" applyAlignment="1">
      <alignment vertical="center"/>
    </xf>
    <xf numFmtId="0" fontId="40" fillId="48" borderId="0" xfId="0" applyNumberFormat="1" applyFont="1" applyFill="1" applyBorder="1" applyAlignment="1">
      <alignment vertical="center" wrapText="1"/>
    </xf>
    <xf numFmtId="0" fontId="0" fillId="0" borderId="0" xfId="0" applyNumberFormat="1" applyFont="1" applyFill="1" applyBorder="1" applyAlignment="1">
      <alignment vertical="top" wrapText="1"/>
    </xf>
    <xf numFmtId="0" fontId="0" fillId="53" borderId="0" xfId="0" applyNumberFormat="1" applyFont="1" applyFill="1" applyBorder="1" applyAlignment="1">
      <alignment vertical="top" wrapText="1"/>
    </xf>
    <xf numFmtId="0" fontId="0" fillId="52" borderId="0" xfId="0" applyNumberFormat="1" applyFont="1" applyFill="1" applyBorder="1" applyAlignment="1">
      <alignment vertical="top" wrapText="1"/>
    </xf>
    <xf numFmtId="0" fontId="0" fillId="0" borderId="0" xfId="0" applyNumberFormat="1" applyFont="1" applyFill="1" applyBorder="1" applyAlignment="1">
      <alignment wrapText="1"/>
    </xf>
    <xf numFmtId="0" fontId="2" fillId="55" borderId="0" xfId="0" applyNumberFormat="1" applyFont="1" applyFill="1" applyBorder="1" applyAlignment="1">
      <alignment horizontal="center" vertical="center"/>
    </xf>
    <xf numFmtId="0" fontId="2" fillId="54" borderId="0" xfId="0" applyNumberFormat="1" applyFont="1" applyFill="1" applyBorder="1" applyAlignment="1">
      <alignment horizontal="center" vertical="center"/>
    </xf>
    <xf numFmtId="0" fontId="2" fillId="52" borderId="0" xfId="0" applyNumberFormat="1" applyFont="1" applyFill="1" applyBorder="1" applyAlignment="1">
      <alignment horizontal="center" vertical="center"/>
    </xf>
  </cellXfs>
  <cellStyles count="2">
    <cellStyle name="Hipervínculo" xfId="1" xr:uid="{00000000-0005-0000-0000-000000000000}"/>
    <cellStyle name="Normal" xfId="0" builtinId="0"/>
  </cellStyles>
  <dxfs count="40">
    <dxf>
      <fill>
        <patternFill>
          <bgColor rgb="FFF4CCCC"/>
        </patternFill>
      </fill>
    </dxf>
    <dxf>
      <fill>
        <patternFill>
          <bgColor rgb="FFFCE4D6"/>
        </patternFill>
      </fill>
    </dxf>
    <dxf>
      <fill>
        <patternFill>
          <bgColor rgb="FFFCE4D6"/>
        </patternFill>
      </fill>
    </dxf>
    <dxf>
      <fill>
        <patternFill>
          <bgColor rgb="FFE2F0D9"/>
        </patternFill>
      </fill>
    </dxf>
    <dxf>
      <fill>
        <patternFill>
          <bgColor rgb="FFE2F0D9"/>
        </patternFill>
      </fill>
    </dxf>
    <dxf>
      <fill>
        <patternFill>
          <bgColor rgb="FFFCE4D6"/>
        </patternFill>
      </fill>
    </dxf>
    <dxf>
      <font>
        <b/>
      </font>
      <fill>
        <patternFill>
          <bgColor rgb="FFF4CCCC"/>
        </patternFill>
      </fill>
    </dxf>
    <dxf>
      <font>
        <b/>
        <color rgb="FF215E21"/>
      </font>
      <fill>
        <patternFill>
          <bgColor rgb="FFE2F0D9"/>
        </patternFill>
      </fill>
    </dxf>
    <dxf>
      <font>
        <b/>
        <color rgb="FF9C6500"/>
      </font>
      <fill>
        <patternFill>
          <bgColor rgb="FFFCE4D6"/>
        </patternFill>
      </fill>
    </dxf>
    <dxf>
      <font>
        <b/>
        <color rgb="FF9C0006"/>
      </font>
      <fill>
        <patternFill>
          <bgColor rgb="FFF4CCCC"/>
        </patternFill>
      </fill>
    </dxf>
    <dxf>
      <font>
        <b/>
        <color rgb="FF215E21"/>
      </font>
      <fill>
        <patternFill>
          <bgColor rgb="FFE2F0D9"/>
        </patternFill>
      </fill>
    </dxf>
    <dxf>
      <font>
        <b/>
      </font>
      <fill>
        <patternFill>
          <bgColor rgb="FFE7E6E6"/>
        </patternFill>
      </fill>
    </dxf>
    <dxf>
      <font>
        <b/>
      </font>
      <fill>
        <patternFill>
          <bgColor rgb="FFF4CCCC"/>
        </patternFill>
      </fill>
    </dxf>
    <dxf>
      <font>
        <b/>
      </font>
      <fill>
        <patternFill>
          <bgColor rgb="FFC6E0B4"/>
        </patternFill>
      </fill>
    </dxf>
    <dxf>
      <fill>
        <patternFill>
          <bgColor rgb="FFE2F0D9"/>
        </patternFill>
      </fill>
    </dxf>
    <dxf>
      <fill>
        <patternFill>
          <bgColor rgb="FFFCE4D6"/>
        </patternFill>
      </fill>
    </dxf>
    <dxf>
      <font>
        <b/>
      </font>
      <fill>
        <patternFill>
          <bgColor rgb="FFF4CCCC"/>
        </patternFill>
      </fill>
    </dxf>
    <dxf>
      <font>
        <b/>
      </font>
      <fill>
        <patternFill>
          <bgColor rgb="FFE7E6E6"/>
        </patternFill>
      </fill>
    </dxf>
    <dxf>
      <font>
        <b/>
      </font>
      <fill>
        <patternFill>
          <bgColor rgb="FFF4CCCC"/>
        </patternFill>
      </fill>
    </dxf>
    <dxf>
      <font>
        <b/>
      </font>
      <fill>
        <patternFill>
          <bgColor rgb="FFFFE699"/>
        </patternFill>
      </fill>
    </dxf>
    <dxf>
      <font>
        <b/>
      </font>
      <fill>
        <patternFill>
          <bgColor rgb="FFC6E0B4"/>
        </patternFill>
      </fill>
    </dxf>
    <dxf>
      <font>
        <b/>
        <color rgb="FF0F3B44"/>
      </font>
      <fill>
        <patternFill>
          <bgColor rgb="FFF4CCCC"/>
        </patternFill>
      </fill>
    </dxf>
    <dxf>
      <font>
        <b/>
        <color rgb="FF0F3B44"/>
      </font>
      <fill>
        <patternFill>
          <bgColor rgb="FFFCE4D6"/>
        </patternFill>
      </fill>
    </dxf>
    <dxf>
      <font>
        <b/>
        <color rgb="FF0F3B44"/>
      </font>
      <fill>
        <patternFill>
          <bgColor rgb="FFE2F0D9"/>
        </patternFill>
      </fill>
    </dxf>
    <dxf>
      <font>
        <b/>
      </font>
      <fill>
        <patternFill>
          <bgColor rgb="FFE7E6E6"/>
        </patternFill>
      </fill>
    </dxf>
    <dxf>
      <font>
        <b/>
      </font>
      <fill>
        <patternFill>
          <bgColor rgb="FFFCE4D6"/>
        </patternFill>
      </fill>
    </dxf>
    <dxf>
      <font>
        <b/>
      </font>
      <fill>
        <patternFill>
          <bgColor rgb="FFFFE699"/>
        </patternFill>
      </fill>
    </dxf>
    <dxf>
      <font>
        <b/>
      </font>
      <fill>
        <patternFill>
          <bgColor rgb="FFC6E0B4"/>
        </patternFill>
      </fill>
    </dxf>
    <dxf>
      <font>
        <b/>
      </font>
      <fill>
        <patternFill>
          <bgColor rgb="FFF4CCCC"/>
        </patternFill>
      </fill>
    </dxf>
    <dxf>
      <font>
        <b/>
      </font>
      <fill>
        <patternFill>
          <bgColor rgb="FFFFE699"/>
        </patternFill>
      </fill>
    </dxf>
    <dxf>
      <font>
        <b/>
      </font>
      <fill>
        <patternFill>
          <bgColor rgb="FFC6E0B4"/>
        </patternFill>
      </fill>
    </dxf>
    <dxf>
      <font>
        <b/>
      </font>
      <fill>
        <patternFill>
          <bgColor rgb="FFF4CCCC"/>
        </patternFill>
      </fill>
    </dxf>
    <dxf>
      <font>
        <b/>
      </font>
      <fill>
        <patternFill>
          <bgColor rgb="FFFFE699"/>
        </patternFill>
      </fill>
    </dxf>
    <dxf>
      <font>
        <b/>
      </font>
      <fill>
        <patternFill>
          <bgColor rgb="FFC6E0B4"/>
        </patternFill>
      </fill>
    </dxf>
    <dxf>
      <fill>
        <patternFill>
          <bgColor rgb="FFF4CCCC"/>
        </patternFill>
      </fill>
    </dxf>
    <dxf>
      <fill>
        <patternFill>
          <bgColor rgb="FFC6E0B4"/>
        </patternFill>
      </fill>
    </dxf>
    <dxf>
      <font>
        <b/>
        <color rgb="FF9C0006"/>
      </font>
      <fill>
        <patternFill>
          <bgColor rgb="FFF4CCCC"/>
        </patternFill>
      </fill>
    </dxf>
    <dxf>
      <font>
        <b/>
        <color rgb="FF006100"/>
      </font>
      <fill>
        <patternFill>
          <bgColor rgb="FFE2F0D9"/>
        </patternFill>
      </fill>
    </dxf>
    <dxf>
      <fill>
        <patternFill>
          <bgColor rgb="FFF4CCCC"/>
        </patternFill>
      </fill>
    </dxf>
    <dxf>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Nutrientes" displayName="TablaNutrientes" ref="A7:K30">
  <tableColumns count="11">
    <tableColumn id="1" xr3:uid="{00000000-0010-0000-0000-000001000000}" name="ID"/>
    <tableColumn id="2" xr3:uid="{00000000-0010-0000-0000-000002000000}" name="Nombre"/>
    <tableColumn id="3" xr3:uid="{00000000-0010-0000-0000-000003000000}" name="Símbolo"/>
    <tableColumn id="4" xr3:uid="{00000000-0010-0000-0000-000004000000}" name="Categoría"/>
    <tableColumn id="5" xr3:uid="{00000000-0010-0000-0000-000005000000}" name="Subcategoría"/>
    <tableColumn id="6" xr3:uid="{00000000-0010-0000-0000-000006000000}" name="Unidad principal"/>
    <tableColumn id="7" xr3:uid="{00000000-0010-0000-0000-000007000000}" name="Presente INTA"/>
    <tableColumn id="8" xr3:uid="{00000000-0010-0000-0000-000008000000}" name="DRI"/>
    <tableColumn id="9" xr3:uid="{00000000-0010-0000-0000-000009000000}" name="UL"/>
    <tableColumn id="10" xr3:uid="{00000000-0010-0000-0000-00000A000000}" name="Estado ficha"/>
    <tableColumn id="11" xr3:uid="{00000000-0010-0000-0000-00000B000000}" name="Última revis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AlimentosSeleccionados" displayName="TablaAlimentosSeleccionados" ref="A12:N22">
  <tableColumns count="14">
    <tableColumn id="1" xr3:uid="{00000000-0010-0000-0100-000001000000}" name="#"/>
    <tableColumn id="2" xr3:uid="{00000000-0010-0000-0100-000002000000}" name="Alimento"/>
    <tableColumn id="3" xr3:uid="{00000000-0010-0000-0100-000003000000}" name="Grupo"/>
    <tableColumn id="4" xr3:uid="{00000000-0010-0000-0100-000004000000}" name="Estado"/>
    <tableColumn id="5" xr3:uid="{00000000-0010-0000-0100-000005000000}" name="Porción doméstica"/>
    <tableColumn id="6" xr3:uid="{00000000-0010-0000-0100-000006000000}" name="Gramaje"/>
    <tableColumn id="7" xr3:uid="{00000000-0010-0000-0100-000007000000}" name="Valor/100 g"/>
    <tableColumn id="8" xr3:uid="{00000000-0010-0000-0100-000008000000}" name="Aporte"/>
    <tableColumn id="9" xr3:uid="{00000000-0010-0000-0100-000009000000}" name="Unidad"/>
    <tableColumn id="10" xr3:uid="{00000000-0010-0000-0100-00000A000000}" name="% referencia"/>
    <tableColumn id="11" xr3:uid="{00000000-0010-0000-0100-00000B000000}" name="ND"/>
    <tableColumn id="12" xr3:uid="{00000000-0010-0000-0100-00000C000000}" name="Estado dato"/>
    <tableColumn id="13" xr3:uid="{00000000-0010-0000-0100-00000D000000}" name="Fuente"/>
    <tableColumn id="14" xr3:uid="{00000000-0010-0000-0100-00000E000000}" name="Observació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TopFuentes" displayName="TablaTopFuentes" ref="A26:F36">
  <tableColumns count="6">
    <tableColumn id="1" xr3:uid="{00000000-0010-0000-0200-000001000000}" name="Rango"/>
    <tableColumn id="2" xr3:uid="{00000000-0010-0000-0200-000002000000}" name="Alimento"/>
    <tableColumn id="3" xr3:uid="{00000000-0010-0000-0200-000003000000}" name="Grupo"/>
    <tableColumn id="4" xr3:uid="{00000000-0010-0000-0200-000004000000}" name="Estado"/>
    <tableColumn id="5" xr3:uid="{00000000-0010-0000-0200-000005000000}" name="Valor/100 g"/>
    <tableColumn id="6" xr3:uid="{00000000-0010-0000-0200-000006000000}" name="Unida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ResultadosMicrosF6" displayName="TablaResultadosMicrosF6" ref="A43:H66">
  <tableColumns count="8">
    <tableColumn id="1" xr3:uid="{00000000-0010-0000-0300-000001000000}" name="Nutriente"/>
    <tableColumn id="2" xr3:uid="{00000000-0010-0000-0300-000002000000}" name="Aporte"/>
    <tableColumn id="3" xr3:uid="{00000000-0010-0000-0300-000003000000}" name="Unidad"/>
    <tableColumn id="4" xr3:uid="{00000000-0010-0000-0300-000004000000}" name="Objetivo"/>
    <tableColumn id="5" xr3:uid="{00000000-0010-0000-0300-000005000000}" name="Tipo"/>
    <tableColumn id="6" xr3:uid="{00000000-0010-0000-0300-000006000000}" name="Adecuación %"/>
    <tableColumn id="7" xr3:uid="{00000000-0010-0000-0300-000007000000}" name="ND"/>
    <tableColumn id="8" xr3:uid="{00000000-0010-0000-0300-000008000000}" name="Estad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ResumenEstudio" displayName="TablaResumenEstudio" ref="A7:O30">
  <tableColumns count="15">
    <tableColumn id="1" xr3:uid="{00000000-0010-0000-0400-000001000000}" name="ID"/>
    <tableColumn id="2" xr3:uid="{00000000-0010-0000-0400-000002000000}" name="Nutriente"/>
    <tableColumn id="3" xr3:uid="{00000000-0010-0000-0400-000003000000}" name="Categoría"/>
    <tableColumn id="4" xr3:uid="{00000000-0010-0000-0400-000004000000}" name="Función principal"/>
    <tableColumn id="5" xr3:uid="{00000000-0010-0000-0400-000005000000}" name="Fuente alimentaria destacada"/>
    <tableColumn id="6" xr3:uid="{00000000-0010-0000-0400-000006000000}" name="Déficit"/>
    <tableColumn id="7" xr3:uid="{00000000-0010-0000-0400-000007000000}" name="Exceso"/>
    <tableColumn id="8" xr3:uid="{00000000-0010-0000-0400-000008000000}" name="Interacción"/>
    <tableColumn id="9" xr3:uid="{00000000-0010-0000-0400-000009000000}" name="Biomarcador"/>
    <tableColumn id="10" xr3:uid="{00000000-0010-0000-0400-00000A000000}" name="Perla clínica"/>
    <tableColumn id="11" xr3:uid="{00000000-0010-0000-0400-00000B000000}" name="Fuente_ID"/>
    <tableColumn id="12" xr3:uid="{00000000-0010-0000-0400-00000C000000}" name="Estado"/>
    <tableColumn id="13" xr3:uid="{00000000-0010-0000-0400-00000D000000}" name="Disponible INTA"/>
    <tableColumn id="14" xr3:uid="{00000000-0010-0000-0400-00000E000000}" name="Aporte demo"/>
    <tableColumn id="15" xr3:uid="{00000000-0010-0000-0400-00000F000000}" name="% referenci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Fuentes" displayName="TablaFuentes" ref="A7:L44">
  <tableColumns count="12">
    <tableColumn id="1" xr3:uid="{00000000-0010-0000-0500-000001000000}" name="Fuente_ID"/>
    <tableColumn id="2" xr3:uid="{00000000-0010-0000-0500-000002000000}" name="Tema"/>
    <tableColumn id="3" xr3:uid="{00000000-0010-0000-0500-000003000000}" name="Institución/autor"/>
    <tableColumn id="4" xr3:uid="{00000000-0010-0000-0500-000004000000}" name="Título"/>
    <tableColumn id="5" xr3:uid="{00000000-0010-0000-0500-000005000000}" name="Año"/>
    <tableColumn id="6" xr3:uid="{00000000-0010-0000-0500-000006000000}" name="Tipo"/>
    <tableColumn id="7" xr3:uid="{00000000-0010-0000-0500-000007000000}" name="Nivel"/>
    <tableColumn id="8" xr3:uid="{00000000-0010-0000-0500-000008000000}" name="URL"/>
    <tableColumn id="9" xr3:uid="{00000000-0010-0000-0500-000009000000}" name="Fecha consulta"/>
    <tableColumn id="10" xr3:uid="{00000000-0010-0000-0500-00000A000000}" name="Módulo"/>
    <tableColumn id="11" xr3:uid="{00000000-0010-0000-0500-00000B000000}" name="Estado"/>
    <tableColumn id="12" xr3:uid="{00000000-0010-0000-0500-00000C000000}" name="Observacio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AlimentosINTA" displayName="TablaAlimentosINTA" ref="D7:AO625">
  <autoFilter ref="D7:AO625" xr:uid="{00000000-0009-0000-0100-000007000000}"/>
  <tableColumns count="38">
    <tableColumn id="4" xr3:uid="{00000000-0010-0000-0600-000004000000}" name="ID"/>
    <tableColumn id="5" xr3:uid="{00000000-0010-0000-0600-000005000000}" name="Alimento"/>
    <tableColumn id="6" xr3:uid="{00000000-0010-0000-0600-000006000000}" name="Grupo"/>
    <tableColumn id="7" xr3:uid="{00000000-0010-0000-0600-000007000000}" name="Estado"/>
    <tableColumn id="8" xr3:uid="{00000000-0010-0000-0600-000008000000}" name="Energía (kcal)"/>
    <tableColumn id="9" xr3:uid="{00000000-0010-0000-0600-000009000000}" name="Humedad (g)"/>
    <tableColumn id="10" xr3:uid="{00000000-0010-0000-0600-00000A000000}" name="Cenizas (g)"/>
    <tableColumn id="11" xr3:uid="{00000000-0010-0000-0600-00000B000000}" name="Proteínas (g)"/>
    <tableColumn id="12" xr3:uid="{00000000-0010-0000-0600-00000C000000}" name="H de C disp. (g)"/>
    <tableColumn id="13" xr3:uid="{00000000-0010-0000-0600-00000D000000}" name="Azúcares tot. (g)"/>
    <tableColumn id="14" xr3:uid="{00000000-0010-0000-0600-00000E000000}" name="Fibra (g)"/>
    <tableColumn id="15" xr3:uid="{00000000-0010-0000-0600-00000F000000}" name="Lípidos (g)"/>
    <tableColumn id="16" xr3:uid="{00000000-0010-0000-0600-000010000000}" name="AG saturados (g)"/>
    <tableColumn id="17" xr3:uid="{00000000-0010-0000-0600-000011000000}" name="AG monoinsat. (g)"/>
    <tableColumn id="18" xr3:uid="{00000000-0010-0000-0600-000012000000}" name="AG poliinsat. (g)"/>
    <tableColumn id="19" xr3:uid="{00000000-0010-0000-0600-000013000000}" name="AG trans (g)"/>
    <tableColumn id="20" xr3:uid="{00000000-0010-0000-0600-000014000000}" name="Colesterol (mg)"/>
    <tableColumn id="21" xr3:uid="{00000000-0010-0000-0600-000015000000}" name="Vitamina A (µg)"/>
    <tableColumn id="22" xr3:uid="{00000000-0010-0000-0600-000016000000}" name="Vitamina C (mg)"/>
    <tableColumn id="23" xr3:uid="{00000000-0010-0000-0600-000017000000}" name="Vitamina D (µg)"/>
    <tableColumn id="24" xr3:uid="{00000000-0010-0000-0600-000018000000}" name="Vitamina E (mg)"/>
    <tableColumn id="25" xr3:uid="{00000000-0010-0000-0600-000019000000}" name="Vitamina K (µg)"/>
    <tableColumn id="26" xr3:uid="{00000000-0010-0000-0600-00001A000000}" name="Vit. B1 (mg)"/>
    <tableColumn id="27" xr3:uid="{00000000-0010-0000-0600-00001B000000}" name="Vit. B2 (mg)"/>
    <tableColumn id="28" xr3:uid="{00000000-0010-0000-0600-00001C000000}" name="Niacina (mg)"/>
    <tableColumn id="29" xr3:uid="{00000000-0010-0000-0600-00001D000000}" name="Vit. B6 (mg)"/>
    <tableColumn id="30" xr3:uid="{00000000-0010-0000-0600-00001E000000}" name="Ác. pantoténico (mg)"/>
    <tableColumn id="31" xr3:uid="{00000000-0010-0000-0600-00001F000000}" name="Vit. B12 (µg)"/>
    <tableColumn id="32" xr3:uid="{00000000-0010-0000-0600-000020000000}" name="Folatos (µg)"/>
    <tableColumn id="33" xr3:uid="{00000000-0010-0000-0600-000021000000}" name="Sodio (mg)"/>
    <tableColumn id="34" xr3:uid="{00000000-0010-0000-0600-000022000000}" name="Potasio (mg)"/>
    <tableColumn id="35" xr3:uid="{00000000-0010-0000-0600-000023000000}" name="Calcio (mg)"/>
    <tableColumn id="36" xr3:uid="{00000000-0010-0000-0600-000024000000}" name="Fósforo (mg)"/>
    <tableColumn id="37" xr3:uid="{00000000-0010-0000-0600-000025000000}" name="Magnesio (mg)"/>
    <tableColumn id="38" xr3:uid="{00000000-0010-0000-0600-000026000000}" name="Hierro (mg)"/>
    <tableColumn id="39" xr3:uid="{00000000-0010-0000-0600-000027000000}" name="Zinc (mg)"/>
    <tableColumn id="40" xr3:uid="{00000000-0010-0000-0600-000028000000}" name="Cobre (mg)"/>
    <tableColumn id="41" xr3:uid="{00000000-0010-0000-0600-000029000000}" name="Selenio (µ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DRI" displayName="TablaDRI" ref="A1:U469">
  <tableColumns count="21">
    <tableColumn id="1" xr3:uid="{00000000-0010-0000-0700-000001000000}" name="DRI_ID"/>
    <tableColumn id="2" xr3:uid="{00000000-0010-0000-0700-000002000000}" name="Nutriente_ID"/>
    <tableColumn id="3" xr3:uid="{00000000-0010-0000-0700-000003000000}" name="Sexo"/>
    <tableColumn id="4" xr3:uid="{00000000-0010-0000-0700-000004000000}" name="Edad_min"/>
    <tableColumn id="5" xr3:uid="{00000000-0010-0000-0700-000005000000}" name="Edad_max"/>
    <tableColumn id="6" xr3:uid="{00000000-0010-0000-0700-000006000000}" name="Unidad_edad"/>
    <tableColumn id="7" xr3:uid="{00000000-0010-0000-0700-000007000000}" name="Estado_fisiológico"/>
    <tableColumn id="8" xr3:uid="{00000000-0010-0000-0700-000008000000}" name="EAR"/>
    <tableColumn id="9" xr3:uid="{00000000-0010-0000-0700-000009000000}" name="RDA"/>
    <tableColumn id="10" xr3:uid="{00000000-0010-0000-0700-00000A000000}" name="AI"/>
    <tableColumn id="11" xr3:uid="{00000000-0010-0000-0700-00000B000000}" name="UL"/>
    <tableColumn id="12" xr3:uid="{00000000-0010-0000-0700-00000C000000}" name="Unidad"/>
    <tableColumn id="13" xr3:uid="{00000000-0010-0000-0700-00000D000000}" name="Fuente_ID"/>
    <tableColumn id="14" xr3:uid="{00000000-0010-0000-0700-00000E000000}" name="Año"/>
    <tableColumn id="15" xr3:uid="{00000000-0010-0000-0700-00000F000000}" name="Estado_dato"/>
    <tableColumn id="16" xr3:uid="{00000000-0010-0000-0700-000010000000}" name="Observaciones"/>
    <tableColumn id="17" xr3:uid="{00000000-0010-0000-0700-000011000000}" name="CDRR"/>
    <tableColumn id="18" xr3:uid="{00000000-0010-0000-0700-000012000000}" name="Tipo_referencia"/>
    <tableColumn id="19" xr3:uid="{00000000-0010-0000-0700-000013000000}" name="Tipo_límite"/>
    <tableColumn id="20" xr3:uid="{00000000-0010-0000-0700-000014000000}" name="Objetivo"/>
    <tableColumn id="21" xr3:uid="{00000000-0010-0000-0700-000015000000}" name="Lími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FichasBase" displayName="TablaFichasBase" ref="A1:G415">
  <tableColumns count="7">
    <tableColumn id="1" xr3:uid="{00000000-0010-0000-0800-000001000000}" name="Nutriente_ID"/>
    <tableColumn id="2" xr3:uid="{00000000-0010-0000-0800-000002000000}" name="Campo"/>
    <tableColumn id="3" xr3:uid="{00000000-0010-0000-0800-000003000000}" name="Orden"/>
    <tableColumn id="4" xr3:uid="{00000000-0010-0000-0800-000004000000}" name="Contenido"/>
    <tableColumn id="5" xr3:uid="{00000000-0010-0000-0800-000005000000}" name="Fuente_ID"/>
    <tableColumn id="6" xr3:uid="{00000000-0010-0000-0800-000006000000}" name="Estado_dato"/>
    <tableColumn id="7" xr3:uid="{00000000-0010-0000-0800-000007000000}" name="Fecha_revisió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InteraccionesBase" displayName="TablaInteraccionesBase" ref="A1:J36">
  <tableColumns count="10">
    <tableColumn id="1" xr3:uid="{00000000-0010-0000-0900-000001000000}" name="Interacción_ID"/>
    <tableColumn id="2" xr3:uid="{00000000-0010-0000-0900-000002000000}" name="Nutriente_ID"/>
    <tableColumn id="3" xr3:uid="{00000000-0010-0000-0900-000003000000}" name="Agente"/>
    <tableColumn id="4" xr3:uid="{00000000-0010-0000-0900-000004000000}" name="Tipo"/>
    <tableColumn id="5" xr3:uid="{00000000-0010-0000-0900-000005000000}" name="Dirección"/>
    <tableColumn id="6" xr3:uid="{00000000-0010-0000-0900-000006000000}" name="Mecanismo"/>
    <tableColumn id="7" xr3:uid="{00000000-0010-0000-0900-000007000000}" name="Relevancia"/>
    <tableColumn id="8" xr3:uid="{00000000-0010-0000-0900-000008000000}" name="Evidencia"/>
    <tableColumn id="9" xr3:uid="{00000000-0010-0000-0900-000009000000}" name="Fuente_ID"/>
    <tableColumn id="10" xr3:uid="{00000000-0010-0000-0900-00000A000000}" name="Estado_dat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BiomarcadoresBase" displayName="TablaBiomarcadoresBase" ref="A1:J27">
  <tableColumns count="10">
    <tableColumn id="1" xr3:uid="{00000000-0010-0000-0A00-000001000000}" name="Biomarcador_ID"/>
    <tableColumn id="2" xr3:uid="{00000000-0010-0000-0A00-000002000000}" name="Nutriente_ID"/>
    <tableColumn id="3" xr3:uid="{00000000-0010-0000-0A00-000003000000}" name="Examen"/>
    <tableColumn id="4" xr3:uid="{00000000-0010-0000-0A00-000004000000}" name="Muestra"/>
    <tableColumn id="5" xr3:uid="{00000000-0010-0000-0A00-000005000000}" name="Qué_evalúa"/>
    <tableColumn id="6" xr3:uid="{00000000-0010-0000-0A00-000006000000}" name="Unidad"/>
    <tableColumn id="7" xr3:uid="{00000000-0010-0000-0A00-000007000000}" name="Criterio"/>
    <tableColumn id="8" xr3:uid="{00000000-0010-0000-0A00-000008000000}" name="Limitaciones"/>
    <tableColumn id="9" xr3:uid="{00000000-0010-0000-0A00-000009000000}" name="Fuente_ID"/>
    <tableColumn id="10" xr3:uid="{00000000-0010-0000-0A00-00000A000000}" name="Estado_dat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B000000}" name="CasosBase69" displayName="CasosBase69" ref="A1:M70">
  <tableColumns count="13">
    <tableColumn id="1" xr3:uid="{00000000-0010-0000-0B00-000001000000}" name="Caso_ID"/>
    <tableColumn id="2" xr3:uid="{00000000-0010-0000-0B00-000002000000}" name="Nutriente_ID"/>
    <tableColumn id="3" xr3:uid="{00000000-0010-0000-0B00-000003000000}" name="Nivel"/>
    <tableColumn id="4" xr3:uid="{00000000-0010-0000-0B00-000004000000}" name="Paciente"/>
    <tableColumn id="5" xr3:uid="{00000000-0010-0000-0B00-000005000000}" name="Antecedentes"/>
    <tableColumn id="6" xr3:uid="{00000000-0010-0000-0B00-000006000000}" name="Ingesta"/>
    <tableColumn id="7" xr3:uid="{00000000-0010-0000-0B00-000007000000}" name="Signos"/>
    <tableColumn id="8" xr3:uid="{00000000-0010-0000-0B00-000008000000}" name="Laboratorio"/>
    <tableColumn id="9" xr3:uid="{00000000-0010-0000-0B00-000009000000}" name="Preguntas"/>
    <tableColumn id="10" xr3:uid="{00000000-0010-0000-0B00-00000A000000}" name="Respuesta_esperada"/>
    <tableColumn id="11" xr3:uid="{00000000-0010-0000-0B00-00000B000000}" name="Fuente_ID"/>
    <tableColumn id="12" xr3:uid="{00000000-0010-0000-0B00-00000C000000}" name="Estado_dato"/>
    <tableColumn id="13" xr3:uid="{00000000-0010-0000-0B00-00000D000000}" name="Clave_selecto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C000000}" name="MapaCasos69" displayName="MapaCasos69" ref="O1:R24">
  <tableColumns count="4">
    <tableColumn id="1" xr3:uid="{00000000-0010-0000-0C00-000001000000}" name="Nutriente_ID"/>
    <tableColumn id="2" xr3:uid="{00000000-0010-0000-0C00-000002000000}" name="Básico"/>
    <tableColumn id="3" xr3:uid="{00000000-0010-0000-0C00-000003000000}" name="Intermedio"/>
    <tableColumn id="4" xr3:uid="{00000000-0010-0000-0C00-000004000000}" name="Avanzad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aIG" displayName="TablaIG" ref="A1:J8">
  <tableColumns count="10">
    <tableColumn id="1" xr3:uid="{00000000-0010-0000-0D00-000001000000}" name="IG_ID"/>
    <tableColumn id="2" xr3:uid="{00000000-0010-0000-0D00-000002000000}" name="Alimento_publicado"/>
    <tableColumn id="3" xr3:uid="{00000000-0010-0000-0D00-000003000000}" name="Preparación/alcance"/>
    <tableColumn id="4" xr3:uid="{00000000-0010-0000-0D00-000004000000}" name="País/ámbito"/>
    <tableColumn id="5" xr3:uid="{00000000-0010-0000-0D00-000005000000}" name="IG"/>
    <tableColumn id="6" xr3:uid="{00000000-0010-0000-0D00-000006000000}" name="Escala"/>
    <tableColumn id="7" xr3:uid="{00000000-0010-0000-0D00-000007000000}" name="Año"/>
    <tableColumn id="8" xr3:uid="{00000000-0010-0000-0D00-000008000000}" name="Fuente_ID"/>
    <tableColumn id="9" xr3:uid="{00000000-0010-0000-0D00-000009000000}" name="Observaciones"/>
    <tableColumn id="10" xr3:uid="{00000000-0010-0000-0D00-00000A000000}" name="Estado_dat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E000000}" name="TablaGuiaHojas" displayName="TablaGuiaHojas" ref="A24:G59">
  <tableColumns count="7">
    <tableColumn id="1" xr3:uid="{00000000-0010-0000-0E00-000001000000}" name="Tipo"/>
    <tableColumn id="2" xr3:uid="{00000000-0010-0000-0E00-000002000000}" name="Hoja"/>
    <tableColumn id="3" xr3:uid="{00000000-0010-0000-0E00-000003000000}" name="Propósito"/>
    <tableColumn id="4" xr3:uid="{00000000-0010-0000-0E00-000004000000}" name="¿Editar?"/>
    <tableColumn id="5" xr3:uid="{00000000-0010-0000-0E00-000005000000}" name="Entradas principales"/>
    <tableColumn id="6" xr3:uid="{00000000-0010-0000-0E00-000006000000}" name="Salida"/>
    <tableColumn id="7" xr3:uid="{00000000-0010-0000-0E00-000007000000}" name="Nota"/>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aCobertura" displayName="TablaCobertura" ref="A13:G62">
  <tableColumns count="7">
    <tableColumn id="1" xr3:uid="{00000000-0010-0000-0F00-000001000000}" name="ID"/>
    <tableColumn id="2" xr3:uid="{00000000-0010-0000-0F00-000002000000}" name="Requisito"/>
    <tableColumn id="3" xr3:uid="{00000000-0010-0000-0F00-000003000000}" name="Hoja/módulo"/>
    <tableColumn id="4" xr3:uid="{00000000-0010-0000-0F00-000004000000}" name="Implementación"/>
    <tableColumn id="5" xr3:uid="{00000000-0010-0000-0F00-000005000000}" name="Fuente/evidencia"/>
    <tableColumn id="6" xr3:uid="{00000000-0010-0000-0F00-000006000000}" name="Estado"/>
    <tableColumn id="7" xr3:uid="{00000000-0010-0000-0F00-000007000000}" name="Observacion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0000000}" name="CoberturaResumenUDD" displayName="CoberturaResumenUDD" ref="A66:G75">
  <tableColumns count="7">
    <tableColumn id="1" xr3:uid="{00000000-0010-0000-1000-000001000000}" name="ID"/>
    <tableColumn id="2" xr3:uid="{00000000-0010-0000-1000-000002000000}" name="Requisito"/>
    <tableColumn id="3" xr3:uid="{00000000-0010-0000-1000-000003000000}" name="Hoja"/>
    <tableColumn id="4" xr3:uid="{00000000-0010-0000-1000-000004000000}" name="Implementación"/>
    <tableColumn id="5" xr3:uid="{00000000-0010-0000-1000-000005000000}" name="Evidencia"/>
    <tableColumn id="6" xr3:uid="{00000000-0010-0000-1000-000006000000}" name="Estado"/>
    <tableColumn id="7" xr3:uid="{00000000-0010-0000-1000-000007000000}" name="Observació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1000000}" name="AuditoriaUDD" displayName="AuditoriaUDD" ref="A93:G109">
  <tableColumns count="7">
    <tableColumn id="1" xr3:uid="{00000000-0010-0000-1100-000001000000}" name="ID"/>
    <tableColumn id="2" xr3:uid="{00000000-0010-0000-1100-000002000000}" name="Área"/>
    <tableColumn id="3" xr3:uid="{00000000-0010-0000-1100-000003000000}" name="Control"/>
    <tableColumn id="4" xr3:uid="{00000000-0010-0000-1100-000004000000}" name="Obtenido"/>
    <tableColumn id="5" xr3:uid="{00000000-0010-0000-1100-000005000000}" name="Esperado"/>
    <tableColumn id="6" xr3:uid="{00000000-0010-0000-1100-000006000000}" name="Estado"/>
    <tableColumn id="7" xr3:uid="{00000000-0010-0000-1100-000007000000}" name="Observació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2000000}" name="IndiceCicloVital" displayName="IndiceCicloVital" ref="A7:G16">
  <tableColumns count="7">
    <tableColumn id="1" xr3:uid="{00000000-0010-0000-1200-000001000000}" name="Ciclo_vital"/>
    <tableColumn id="2" xr3:uid="{00000000-0010-0000-1200-000002000000}" name="Contenido_formativo"/>
    <tableColumn id="3" xr3:uid="{00000000-0010-0000-1200-000003000000}" name="Recursos"/>
    <tableColumn id="4" xr3:uid="{00000000-0010-0000-1200-000004000000}" name="Hoja_principal"/>
    <tableColumn id="5" xr3:uid="{00000000-0010-0000-1200-000005000000}" name="NMX_relacionados"/>
    <tableColumn id="6" xr3:uid="{00000000-0010-0000-1200-000006000000}" name="Restricción"/>
    <tableColumn id="7" xr3:uid="{00000000-0010-0000-1200-000007000000}" name="Navegació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3000000}" name="CatalogoNMX" displayName="CatalogoNMX" ref="A21:G26">
  <tableColumns count="7">
    <tableColumn id="1" xr3:uid="{00000000-0010-0000-1300-000001000000}" name="NMX"/>
    <tableColumn id="2" xr3:uid="{00000000-0010-0000-1300-000002000000}" name="Rol"/>
    <tableColumn id="3" xr3:uid="{00000000-0010-0000-1300-000003000000}" name="Contenido"/>
    <tableColumn id="4" xr3:uid="{00000000-0010-0000-1300-000004000000}" name="Estado"/>
    <tableColumn id="5" xr3:uid="{00000000-0010-0000-1300-000005000000}" name="Regla NMX-43"/>
    <tableColumn id="6" xr3:uid="{00000000-0010-0000-1300-000006000000}" name="Destino"/>
    <tableColumn id="7" xr3:uid="{00000000-0010-0000-1300-000007000000}" name="Observació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4000000}" name="FichasEcuacionesUDD" displayName="FichasEcuacionesUDD" ref="A7:T48">
  <tableColumns count="20">
    <tableColumn id="1" xr3:uid="{00000000-0010-0000-1400-000001000000}" name="Ficha_ID"/>
    <tableColumn id="2" xr3:uid="{00000000-0010-0000-1400-000002000000}" name="Elemento_ID"/>
    <tableColumn id="3" xr3:uid="{00000000-0010-0000-1400-000003000000}" name="Nombre"/>
    <tableColumn id="4" xr3:uid="{00000000-0010-0000-1400-000004000000}" name="Propósito"/>
    <tableColumn id="5" xr3:uid="{00000000-0010-0000-1400-000005000000}" name="Fórmula_documental"/>
    <tableColumn id="6" xr3:uid="{00000000-0010-0000-1400-000006000000}" name="Variables"/>
    <tableColumn id="7" xr3:uid="{00000000-0010-0000-1400-000007000000}" name="Unidad"/>
    <tableColumn id="8" xr3:uid="{00000000-0010-0000-1400-000008000000}" name="Población"/>
    <tableColumn id="9" xr3:uid="{00000000-0010-0000-1400-000009000000}" name="Sexo"/>
    <tableColumn id="10" xr3:uid="{00000000-0010-0000-1400-00000A000000}" name="Edad"/>
    <tableColumn id="11" xr3:uid="{00000000-0010-0000-1400-00000B000000}" name="Ejemplo"/>
    <tableColumn id="12" xr3:uid="{00000000-0010-0000-1400-00000C000000}" name="Resultado"/>
    <tableColumn id="13" xr3:uid="{00000000-0010-0000-1400-00000D000000}" name="Fuente"/>
    <tableColumn id="14" xr3:uid="{00000000-0010-0000-1400-00000E000000}" name="Año"/>
    <tableColumn id="15" xr3:uid="{00000000-0010-0000-1400-00000F000000}" name="Página"/>
    <tableColumn id="16" xr3:uid="{00000000-0010-0000-1400-000010000000}" name="Limitación"/>
    <tableColumn id="17" xr3:uid="{00000000-0010-0000-1400-000011000000}" name="Estado"/>
    <tableColumn id="18" xr3:uid="{00000000-0010-0000-1400-000012000000}" name="Riesgo"/>
    <tableColumn id="19" xr3:uid="{00000000-0010-0000-1400-000013000000}" name="NMX"/>
    <tableColumn id="20" xr3:uid="{00000000-0010-0000-1400-000014000000}" name="Implementació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5000000}" name="ComparadorCriteriosUDD" displayName="ComparadorCriteriosUDD" ref="A7:T67">
  <tableColumns count="20">
    <tableColumn id="1" xr3:uid="{00000000-0010-0000-1500-000001000000}" name="Criterio_ID"/>
    <tableColumn id="2" xr3:uid="{00000000-0010-0000-1500-000002000000}" name="Elemento_ID"/>
    <tableColumn id="3" xr3:uid="{00000000-0010-0000-1500-000003000000}" name="Ciclo"/>
    <tableColumn id="4" xr3:uid="{00000000-0010-0000-1500-000004000000}" name="Nombre"/>
    <tableColumn id="5" xr3:uid="{00000000-0010-0000-1500-000005000000}" name="Población"/>
    <tableColumn id="6" xr3:uid="{00000000-0010-0000-1500-000006000000}" name="Edad"/>
    <tableColumn id="7" xr3:uid="{00000000-0010-0000-1500-000007000000}" name="Sexo"/>
    <tableColumn id="8" xr3:uid="{00000000-0010-0000-1500-000008000000}" name="Unidad"/>
    <tableColumn id="9" xr3:uid="{00000000-0010-0000-1500-000009000000}" name="Resumen"/>
    <tableColumn id="10" xr3:uid="{00000000-0010-0000-1500-00000A000000}" name="Fuente"/>
    <tableColumn id="11" xr3:uid="{00000000-0010-0000-1500-00000B000000}" name="Año"/>
    <tableColumn id="12" xr3:uid="{00000000-0010-0000-1500-00000C000000}" name="Página"/>
    <tableColumn id="13" xr3:uid="{00000000-0010-0000-1500-00000D000000}" name="Clase_fuente"/>
    <tableColumn id="14" xr3:uid="{00000000-0010-0000-1500-00000E000000}" name="Estado"/>
    <tableColumn id="15" xr3:uid="{00000000-0010-0000-1500-00000F000000}" name="Riesgo"/>
    <tableColumn id="16" xr3:uid="{00000000-0010-0000-1500-000010000000}" name="Conflictos"/>
    <tableColumn id="17" xr3:uid="{00000000-0010-0000-1500-000011000000}" name="Acción"/>
    <tableColumn id="18" xr3:uid="{00000000-0010-0000-1500-000012000000}" name="NMX"/>
    <tableColumn id="19" xr3:uid="{00000000-0010-0000-1500-000013000000}" name="Restricción"/>
    <tableColumn id="20" xr3:uid="{00000000-0010-0000-1500-000014000000}" name="Implementació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6000000}" name="CasosCicloVitalUDD" displayName="CasosCicloVitalUDD" ref="A7:K23">
  <tableColumns count="11">
    <tableColumn id="1" xr3:uid="{00000000-0010-0000-1600-000001000000}" name="Caso_ID"/>
    <tableColumn id="2" xr3:uid="{00000000-0010-0000-1600-000002000000}" name="Ciclo"/>
    <tableColumn id="3" xr3:uid="{00000000-0010-0000-1600-000003000000}" name="Título"/>
    <tableColumn id="4" xr3:uid="{00000000-0010-0000-1600-000004000000}" name="Datos/contexto"/>
    <tableColumn id="5" xr3:uid="{00000000-0010-0000-1600-000005000000}" name="Tarea formativa"/>
    <tableColumn id="6" xr3:uid="{00000000-0010-0000-1600-000006000000}" name="Orientación"/>
    <tableColumn id="7" xr3:uid="{00000000-0010-0000-1600-000007000000}" name="Fichas"/>
    <tableColumn id="8" xr3:uid="{00000000-0010-0000-1600-000008000000}" name="NMX"/>
    <tableColumn id="9" xr3:uid="{00000000-0010-0000-1600-000009000000}" name="Nivel"/>
    <tableColumn id="10" xr3:uid="{00000000-0010-0000-1600-00000A000000}" name="Cautela"/>
    <tableColumn id="11" xr3:uid="{00000000-0010-0000-1600-00000B000000}" name="Estado"/>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7000000}" name="ProtocolosUDD" displayName="ProtocolosUDD" ref="A7:X31">
  <tableColumns count="24">
    <tableColumn id="1" xr3:uid="{00000000-0010-0000-1700-000001000000}" name="Protocolo_ID"/>
    <tableColumn id="2" xr3:uid="{00000000-0010-0000-1700-000002000000}" name="Elemento_ID"/>
    <tableColumn id="3" xr3:uid="{00000000-0010-0000-1700-000003000000}" name="Nombre"/>
    <tableColumn id="4" xr3:uid="{00000000-0010-0000-1700-000004000000}" name="Ciclo"/>
    <tableColumn id="5" xr3:uid="{00000000-0010-0000-1700-000005000000}" name="Metodología"/>
    <tableColumn id="6" xr3:uid="{00000000-0010-0000-1700-000006000000}" name="Medida"/>
    <tableColumn id="7" xr3:uid="{00000000-0010-0000-1700-000007000000}" name="Resumen"/>
    <tableColumn id="8" xr3:uid="{00000000-0010-0000-1700-000008000000}" name="Lado"/>
    <tableColumn id="9" xr3:uid="{00000000-0010-0000-1700-000009000000}" name="Posición"/>
    <tableColumn id="10" xr3:uid="{00000000-0010-0000-1700-00000A000000}" name="Instrumento"/>
    <tableColumn id="11" xr3:uid="{00000000-0010-0000-1700-00000B000000}" name="Precisión"/>
    <tableColumn id="12" xr3:uid="{00000000-0010-0000-1700-00000C000000}" name="Repeticiones"/>
    <tableColumn id="13" xr3:uid="{00000000-0010-0000-1700-00000D000000}" name="Unidad"/>
    <tableColumn id="14" xr3:uid="{00000000-0010-0000-1700-00000E000000}" name="Población"/>
    <tableColumn id="15" xr3:uid="{00000000-0010-0000-1700-00000F000000}" name="Edad"/>
    <tableColumn id="16" xr3:uid="{00000000-0010-0000-1700-000010000000}" name="Sexo"/>
    <tableColumn id="17" xr3:uid="{00000000-0010-0000-1700-000011000000}" name="Fuente"/>
    <tableColumn id="18" xr3:uid="{00000000-0010-0000-1700-000012000000}" name="Año"/>
    <tableColumn id="19" xr3:uid="{00000000-0010-0000-1700-000013000000}" name="Página"/>
    <tableColumn id="20" xr3:uid="{00000000-0010-0000-1700-000014000000}" name="Estado"/>
    <tableColumn id="21" xr3:uid="{00000000-0010-0000-1700-000015000000}" name="Riesgo"/>
    <tableColumn id="22" xr3:uid="{00000000-0010-0000-1700-000016000000}" name="Limitación"/>
    <tableColumn id="23" xr3:uid="{00000000-0010-0000-1700-000017000000}" name="NMX"/>
    <tableColumn id="24" xr3:uid="{00000000-0010-0000-1700-000018000000}" name="Condició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GlosarioUDD" displayName="GlosarioUDD" ref="A7:E51">
  <tableColumns count="5">
    <tableColumn id="1" xr3:uid="{00000000-0010-0000-1800-000001000000}" name="ID"/>
    <tableColumn id="2" xr3:uid="{00000000-0010-0000-1800-000002000000}" name="Término"/>
    <tableColumn id="3" xr3:uid="{00000000-0010-0000-1800-000003000000}" name="Definición"/>
    <tableColumn id="4" xr3:uid="{00000000-0010-0000-1800-000004000000}" name="Origen"/>
    <tableColumn id="5" xr3:uid="{00000000-0010-0000-1800-000005000000}" name="Limitació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9000000}" name="FuentesUDD" displayName="FuentesUDD" ref="A7:J84">
  <tableColumns count="10">
    <tableColumn id="1" xr3:uid="{00000000-0010-0000-1900-000001000000}" name="Fuente_ID"/>
    <tableColumn id="2" xr3:uid="{00000000-0010-0000-1900-000002000000}" name="Tipo"/>
    <tableColumn id="3" xr3:uid="{00000000-0010-0000-1900-000003000000}" name="Referencia/título"/>
    <tableColumn id="4" xr3:uid="{00000000-0010-0000-1900-000004000000}" name="Año"/>
    <tableColumn id="5" xr3:uid="{00000000-0010-0000-1900-000005000000}" name="Clasificación"/>
    <tableColumn id="6" xr3:uid="{00000000-0010-0000-1900-000006000000}" name="Estado"/>
    <tableColumn id="7" xr3:uid="{00000000-0010-0000-1900-000007000000}" name="Página"/>
    <tableColumn id="8" xr3:uid="{00000000-0010-0000-1900-000008000000}" name="URL"/>
    <tableColumn id="9" xr3:uid="{00000000-0010-0000-1900-000009000000}" name="Uso/limitación"/>
    <tableColumn id="10" xr3:uid="{00000000-0010-0000-1900-00000A000000}" name="Procedencia"/>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A000000}" name="CoberturaUDD" displayName="CoberturaUDD" ref="A7:O245">
  <tableColumns count="15">
    <tableColumn id="1" xr3:uid="{00000000-0010-0000-1A00-000001000000}" name="Elemento_ID"/>
    <tableColumn id="2" xr3:uid="{00000000-0010-0000-1A00-000002000000}" name="Tipo"/>
    <tableColumn id="3" xr3:uid="{00000000-0010-0000-1A00-000003000000}" name="Subtipo"/>
    <tableColumn id="4" xr3:uid="{00000000-0010-0000-1A00-000004000000}" name="Ciclo"/>
    <tableColumn id="5" xr3:uid="{00000000-0010-0000-1A00-000005000000}" name="Título"/>
    <tableColumn id="6" xr3:uid="{00000000-0010-0000-1A00-000006000000}" name="Página"/>
    <tableColumn id="7" xr3:uid="{00000000-0010-0000-1A00-000007000000}" name="Hoja"/>
    <tableColumn id="8" xr3:uid="{00000000-0010-0000-1A00-000008000000}" name="Decisión"/>
    <tableColumn id="9" xr3:uid="{00000000-0010-0000-1A00-000009000000}" name="Estado"/>
    <tableColumn id="10" xr3:uid="{00000000-0010-0000-1A00-00000A000000}" name="Riesgo"/>
    <tableColumn id="11" xr3:uid="{00000000-0010-0000-1A00-00000B000000}" name="Clase_fuente"/>
    <tableColumn id="12" xr3:uid="{00000000-0010-0000-1A00-00000C000000}" name="Fuente"/>
    <tableColumn id="13" xr3:uid="{00000000-0010-0000-1A00-00000D000000}" name="NMX"/>
    <tableColumn id="14" xr3:uid="{00000000-0010-0000-1A00-00000E000000}" name="Restricción"/>
    <tableColumn id="15" xr3:uid="{00000000-0010-0000-1A00-00000F000000}" name="Cobertura"/>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B000000}" name="PruebasUDD" displayName="PruebasUDD" ref="A7:N99">
  <tableColumns count="14">
    <tableColumn id="1" xr3:uid="{00000000-0010-0000-1B00-000001000000}" name="Test_ID"/>
    <tableColumn id="2" xr3:uid="{00000000-0010-0000-1B00-000002000000}" name="Origen"/>
    <tableColumn id="3" xr3:uid="{00000000-0010-0000-1B00-000003000000}" name="NMX"/>
    <tableColumn id="4" xr3:uid="{00000000-0010-0000-1B00-000004000000}" name="Módulo"/>
    <tableColumn id="5" xr3:uid="{00000000-0010-0000-1B00-000005000000}" name="Elemento_ID"/>
    <tableColumn id="6" xr3:uid="{00000000-0010-0000-1B00-000006000000}" name="Objetivo"/>
    <tableColumn id="7" xr3:uid="{00000000-0010-0000-1B00-000007000000}" name="Entrada"/>
    <tableColumn id="8" xr3:uid="{00000000-0010-0000-1B00-000008000000}" name="Esperado"/>
    <tableColumn id="9" xr3:uid="{00000000-0010-0000-1B00-000009000000}" name="Obtenido"/>
    <tableColumn id="10" xr3:uid="{00000000-0010-0000-1B00-00000A000000}" name="Tolerancia"/>
    <tableColumn id="11" xr3:uid="{00000000-0010-0000-1B00-00000B000000}" name="Tipo"/>
    <tableColumn id="12" xr3:uid="{00000000-0010-0000-1B00-00000C000000}" name="Prioridad"/>
    <tableColumn id="13" xr3:uid="{00000000-0010-0000-1B00-00000D000000}" name="Oráculo"/>
    <tableColumn id="14" xr3:uid="{00000000-0010-0000-1B00-00000E000000}" name="Est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workbookViewId="0">
      <selection activeCell="B19" sqref="B19"/>
    </sheetView>
  </sheetViews>
  <sheetFormatPr baseColWidth="10" defaultColWidth="9" defaultRowHeight="14.25"/>
  <cols>
    <col min="1" max="1" width="28" style="30" customWidth="1"/>
    <col min="2" max="2" width="24" style="30" customWidth="1"/>
    <col min="3" max="3" width="18" style="30" customWidth="1"/>
    <col min="4" max="4" width="14" style="30" customWidth="1"/>
    <col min="5" max="5" width="25" style="30" customWidth="1"/>
    <col min="6" max="6" width="22" style="30" customWidth="1"/>
    <col min="7" max="10" width="13" style="30" customWidth="1"/>
    <col min="11" max="14" width="14" style="30" customWidth="1"/>
  </cols>
  <sheetData>
    <row r="1" spans="1:14">
      <c r="A1" s="155" t="s">
        <v>19</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20</v>
      </c>
      <c r="B3" s="152"/>
      <c r="C3" s="152"/>
      <c r="D3" s="152"/>
      <c r="E3" s="152"/>
      <c r="F3" s="152"/>
      <c r="G3" s="152"/>
      <c r="H3" s="152"/>
      <c r="I3" s="152"/>
      <c r="J3" s="152"/>
      <c r="K3" s="152"/>
      <c r="L3" s="152"/>
      <c r="M3" s="152"/>
      <c r="N3" s="152"/>
    </row>
    <row r="5" spans="1:14">
      <c r="A5" s="2" t="str">
        <f>HYPERLINK("#'INICIO'!A1","INICIO")</f>
        <v>INICIO</v>
      </c>
      <c r="B5" s="1"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154" t="s">
        <v>21</v>
      </c>
      <c r="B7" s="152"/>
      <c r="C7" s="152"/>
      <c r="D7" s="152"/>
      <c r="E7" s="152"/>
      <c r="F7" s="152"/>
    </row>
    <row r="8" spans="1:14" ht="15" customHeight="1">
      <c r="A8" s="81" t="s">
        <v>22</v>
      </c>
      <c r="B8" s="82" t="s">
        <v>23</v>
      </c>
      <c r="C8" s="6" t="s">
        <v>24</v>
      </c>
      <c r="E8" s="154" t="s">
        <v>25</v>
      </c>
      <c r="F8" s="152"/>
      <c r="G8" s="152"/>
      <c r="H8" s="152"/>
      <c r="I8" s="152"/>
      <c r="J8" s="152"/>
    </row>
    <row r="9" spans="1:14" ht="15" customHeight="1">
      <c r="A9" s="81" t="s">
        <v>26</v>
      </c>
      <c r="B9" s="82" t="s">
        <v>27</v>
      </c>
      <c r="C9" s="6" t="s">
        <v>28</v>
      </c>
      <c r="E9" s="40" t="s">
        <v>29</v>
      </c>
      <c r="F9" s="86">
        <f>IF(B12="Meses",B11/12,B11)</f>
        <v>25</v>
      </c>
    </row>
    <row r="10" spans="1:14" ht="15" customHeight="1">
      <c r="A10" s="81" t="s">
        <v>30</v>
      </c>
      <c r="B10" s="83">
        <v>46236</v>
      </c>
      <c r="C10" s="6" t="s">
        <v>30</v>
      </c>
      <c r="E10" s="40" t="s">
        <v>31</v>
      </c>
      <c r="F10" s="86">
        <f>IF(B12="Meses",B11,B11*12)</f>
        <v>300</v>
      </c>
    </row>
    <row r="11" spans="1:14" ht="15" customHeight="1">
      <c r="A11" s="81" t="s">
        <v>32</v>
      </c>
      <c r="B11" s="82">
        <v>25</v>
      </c>
      <c r="C11" s="6" t="s">
        <v>33</v>
      </c>
      <c r="E11" s="40" t="s">
        <v>34</v>
      </c>
      <c r="F11" s="86">
        <f>IF(OR(B14="",B15=""),"",B14/(B15/100)^2)</f>
        <v>20.820939916716245</v>
      </c>
    </row>
    <row r="12" spans="1:14" ht="15" customHeight="1">
      <c r="A12" s="81" t="s">
        <v>35</v>
      </c>
      <c r="B12" s="82" t="s">
        <v>36</v>
      </c>
      <c r="C12" s="6" t="s">
        <v>37</v>
      </c>
      <c r="E12" s="40" t="s">
        <v>38</v>
      </c>
      <c r="F12" s="86">
        <f>SUM(B27:B29)</f>
        <v>100</v>
      </c>
    </row>
    <row r="13" spans="1:14" ht="15" customHeight="1">
      <c r="A13" s="81" t="s">
        <v>39</v>
      </c>
      <c r="B13" s="82" t="s">
        <v>40</v>
      </c>
      <c r="C13" s="6" t="s">
        <v>37</v>
      </c>
      <c r="E13" s="40" t="s">
        <v>41</v>
      </c>
      <c r="F13" s="41" t="str">
        <f>IF(OR(B11="",B14="",B15=""),"INCOMPLETO",IF(ABS(F12-100)&gt;CONFIG!$B$11,"REVISAR MACROS","LISTO"))</f>
        <v>LISTO</v>
      </c>
    </row>
    <row r="14" spans="1:14" ht="15" customHeight="1">
      <c r="A14" s="81" t="s">
        <v>42</v>
      </c>
      <c r="B14" s="82">
        <v>56</v>
      </c>
      <c r="C14" s="6" t="s">
        <v>43</v>
      </c>
      <c r="E14" s="40" t="s">
        <v>44</v>
      </c>
      <c r="F14" s="41" t="s">
        <v>45</v>
      </c>
    </row>
    <row r="15" spans="1:14">
      <c r="A15" s="81" t="s">
        <v>46</v>
      </c>
      <c r="B15" s="82">
        <v>164</v>
      </c>
      <c r="C15" s="6" t="s">
        <v>47</v>
      </c>
    </row>
    <row r="16" spans="1:14">
      <c r="A16" s="81" t="s">
        <v>48</v>
      </c>
      <c r="B16" s="82" t="s">
        <v>49</v>
      </c>
      <c r="C16" s="6" t="s">
        <v>37</v>
      </c>
      <c r="E16" s="168" t="s">
        <v>50</v>
      </c>
      <c r="F16" s="160"/>
      <c r="G16" s="160"/>
      <c r="H16" s="160"/>
      <c r="I16" s="160"/>
      <c r="J16" s="161"/>
    </row>
    <row r="17" spans="1:10">
      <c r="A17" s="81" t="s">
        <v>51</v>
      </c>
      <c r="B17" s="82" t="s">
        <v>52</v>
      </c>
      <c r="C17" s="6" t="s">
        <v>37</v>
      </c>
      <c r="E17" s="162"/>
      <c r="F17" s="152"/>
      <c r="G17" s="152"/>
      <c r="H17" s="152"/>
      <c r="I17" s="152"/>
      <c r="J17" s="163"/>
    </row>
    <row r="18" spans="1:10">
      <c r="A18" s="81" t="s">
        <v>53</v>
      </c>
      <c r="B18" s="82" t="s">
        <v>54</v>
      </c>
      <c r="C18" s="6" t="s">
        <v>37</v>
      </c>
      <c r="E18" s="162"/>
      <c r="F18" s="152"/>
      <c r="G18" s="152"/>
      <c r="H18" s="152"/>
      <c r="I18" s="152"/>
      <c r="J18" s="163"/>
    </row>
    <row r="19" spans="1:10">
      <c r="A19" s="81" t="s">
        <v>55</v>
      </c>
      <c r="B19" s="82" t="s">
        <v>56</v>
      </c>
      <c r="C19" s="6" t="s">
        <v>37</v>
      </c>
      <c r="E19" s="162"/>
      <c r="F19" s="152"/>
      <c r="G19" s="152"/>
      <c r="H19" s="152"/>
      <c r="I19" s="152"/>
      <c r="J19" s="163"/>
    </row>
    <row r="20" spans="1:10">
      <c r="A20" s="81" t="s">
        <v>57</v>
      </c>
      <c r="B20" s="84">
        <v>1.6</v>
      </c>
      <c r="C20" s="6" t="s">
        <v>58</v>
      </c>
      <c r="E20" s="164"/>
      <c r="F20" s="165"/>
      <c r="G20" s="165"/>
      <c r="H20" s="165"/>
      <c r="I20" s="165"/>
      <c r="J20" s="166"/>
    </row>
    <row r="21" spans="1:10">
      <c r="A21" s="81" t="s">
        <v>59</v>
      </c>
      <c r="B21" s="82">
        <v>20</v>
      </c>
      <c r="C21" s="6" t="s">
        <v>60</v>
      </c>
    </row>
    <row r="22" spans="1:10">
      <c r="A22" s="81" t="s">
        <v>61</v>
      </c>
      <c r="B22" s="82" t="s">
        <v>62</v>
      </c>
      <c r="C22" s="6" t="s">
        <v>37</v>
      </c>
    </row>
    <row r="23" spans="1:10">
      <c r="A23" s="81" t="s">
        <v>63</v>
      </c>
      <c r="B23" s="82">
        <v>0</v>
      </c>
      <c r="C23" s="6" t="s">
        <v>64</v>
      </c>
    </row>
    <row r="24" spans="1:10">
      <c r="A24" s="81" t="s">
        <v>65</v>
      </c>
      <c r="B24" s="82" t="s">
        <v>66</v>
      </c>
      <c r="C24" s="6" t="s">
        <v>37</v>
      </c>
    </row>
    <row r="25" spans="1:10">
      <c r="A25" s="81" t="s">
        <v>67</v>
      </c>
      <c r="B25" s="82" t="s">
        <v>68</v>
      </c>
      <c r="C25" s="6" t="s">
        <v>37</v>
      </c>
    </row>
    <row r="26" spans="1:10">
      <c r="A26" s="81" t="s">
        <v>69</v>
      </c>
      <c r="B26" s="82">
        <v>1</v>
      </c>
      <c r="C26" s="6" t="s">
        <v>70</v>
      </c>
    </row>
    <row r="27" spans="1:10">
      <c r="A27" s="81" t="s">
        <v>71</v>
      </c>
      <c r="B27" s="85">
        <v>15</v>
      </c>
      <c r="C27" s="6" t="s">
        <v>72</v>
      </c>
    </row>
    <row r="28" spans="1:10">
      <c r="A28" s="81" t="s">
        <v>73</v>
      </c>
      <c r="B28" s="85">
        <v>30</v>
      </c>
      <c r="C28" s="6" t="s">
        <v>72</v>
      </c>
    </row>
    <row r="29" spans="1:10">
      <c r="A29" s="81" t="s">
        <v>74</v>
      </c>
      <c r="B29" s="85">
        <v>55</v>
      </c>
      <c r="C29" s="6" t="s">
        <v>72</v>
      </c>
    </row>
    <row r="30" spans="1:10">
      <c r="A30" s="81" t="s">
        <v>75</v>
      </c>
      <c r="B30" s="84">
        <v>2.5</v>
      </c>
      <c r="C30" s="6" t="s">
        <v>76</v>
      </c>
    </row>
    <row r="31" spans="1:10">
      <c r="A31" s="81" t="s">
        <v>77</v>
      </c>
      <c r="B31" s="84">
        <v>25</v>
      </c>
      <c r="C31" s="6" t="s">
        <v>78</v>
      </c>
    </row>
    <row r="32" spans="1:10">
      <c r="A32" s="81" t="s">
        <v>79</v>
      </c>
      <c r="B32" s="82">
        <v>2000</v>
      </c>
      <c r="C32" s="6" t="s">
        <v>80</v>
      </c>
    </row>
  </sheetData>
  <mergeCells count="5">
    <mergeCell ref="A1:N2"/>
    <mergeCell ref="A3:N3"/>
    <mergeCell ref="E8:J8"/>
    <mergeCell ref="A7:F7"/>
    <mergeCell ref="E16:J20"/>
  </mergeCells>
  <dataValidations count="9">
    <dataValidation type="list" sqref="B12" xr:uid="{00000000-0002-0000-0100-000000000000}">
      <formula1>"Años,Meses"</formula1>
    </dataValidation>
    <dataValidation type="list" sqref="B13" xr:uid="{00000000-0002-0000-0100-000001000000}">
      <formula1>"Femenino,Masculino,Otro/No especificado"</formula1>
    </dataValidation>
    <dataValidation type="list" sqref="B16" xr:uid="{00000000-0002-0000-0100-000002000000}">
      <formula1>"Ninguno,Embarazo,Lactancia"</formula1>
    </dataValidation>
    <dataValidation type="list" sqref="B17" xr:uid="{00000000-0002-0000-0100-000003000000}">
      <formula1>"Inactivo,Poco activo,Activo,Muy activo"</formula1>
    </dataValidation>
    <dataValidation type="list" sqref="B18" xr:uid="{00000000-0002-0000-0100-000004000000}">
      <formula1>"Ligera,Moderada,Intensa"</formula1>
    </dataValidation>
    <dataValidation type="list" sqref="B19" xr:uid="{00000000-0002-0000-0100-000005000000}">
      <formula1>"FAO 2004 (0–18 años),Schofield × PAL,Método factorial,NASEM EER 2023,Manual"</formula1>
    </dataValidation>
    <dataValidation type="list" sqref="B22" xr:uid="{00000000-0002-0000-0100-000006000000}">
      <formula1>"Bajo peso,Normal,Sobrepeso,Obesidad"</formula1>
    </dataValidation>
    <dataValidation type="list" sqref="B24" xr:uid="{00000000-0002-0000-0100-000007000000}">
      <formula1>"No aplica,Exclusiva 0–6 meses,Parcial 7–12 meses"</formula1>
    </dataValidation>
    <dataValidation type="list" sqref="B25" xr:uid="{00000000-0002-0000-0100-000008000000}">
      <formula1>"Porcentual,Proteína g/kg + grasa % + CHO residual"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showGridLines="0" workbookViewId="0">
      <selection activeCell="L4" sqref="L4"/>
    </sheetView>
  </sheetViews>
  <sheetFormatPr baseColWidth="10" defaultColWidth="9" defaultRowHeight="14.25"/>
  <cols>
    <col min="1" max="9" width="14" style="30" customWidth="1"/>
    <col min="10" max="10" width="16.75" style="30" customWidth="1"/>
    <col min="11" max="14" width="14" style="30" customWidth="1"/>
  </cols>
  <sheetData>
    <row r="1" spans="1:14">
      <c r="A1" s="155" t="s">
        <v>0</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v>
      </c>
      <c r="B3" s="152"/>
      <c r="C3" s="152"/>
      <c r="D3" s="152"/>
      <c r="E3" s="152"/>
      <c r="F3" s="152"/>
      <c r="G3" s="152"/>
      <c r="H3" s="152"/>
      <c r="I3" s="152"/>
      <c r="J3" s="152"/>
      <c r="K3" s="152"/>
      <c r="L3" s="152"/>
      <c r="M3" s="152"/>
      <c r="N3" s="152"/>
    </row>
    <row r="5" spans="1:14" ht="26.25" customHeight="1">
      <c r="A5" s="147" t="str">
        <f>HYPERLINK("#'INICIO'!A1","INICIO")</f>
        <v>INICIO</v>
      </c>
      <c r="B5" s="148" t="str">
        <f>HYPERLINK("#'DATOS'!A1","DATOS")</f>
        <v>DATOS</v>
      </c>
      <c r="C5" s="148" t="str">
        <f>HYPERLINK("#'ENERGÍA'!A1","ENERGÍA")</f>
        <v>ENERGÍA</v>
      </c>
      <c r="D5" s="148" t="str">
        <f>HYPERLINK("#'MACRONUTRIENTES'!A1","MACRONUTRIENTES")</f>
        <v>MACRONUTRIENTES</v>
      </c>
      <c r="E5" s="148" t="str">
        <f>HYPERLINK("#'AGUA_FIBRA'!A1","AGUA/FIBRA")</f>
        <v>AGUA/FIBRA</v>
      </c>
      <c r="F5" s="148" t="str">
        <f>HYPERLINK("#'FICHA_NUTRIENTE'!A1","FICHA/NUTRIENTE")</f>
        <v>FICHA/NUTRIENTE</v>
      </c>
      <c r="G5" s="148"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9.5" customHeight="1">
      <c r="A7" s="167" t="s">
        <v>2</v>
      </c>
      <c r="B7" s="152"/>
      <c r="C7" s="152"/>
      <c r="D7" s="152"/>
      <c r="E7" s="152"/>
      <c r="F7" s="152"/>
      <c r="G7" s="152"/>
      <c r="H7" s="152"/>
      <c r="I7" s="152"/>
      <c r="J7" s="152"/>
      <c r="K7" s="152"/>
      <c r="L7" s="152"/>
      <c r="M7" s="152"/>
      <c r="N7" s="152"/>
    </row>
    <row r="9" spans="1:14">
      <c r="A9" s="158" t="s">
        <v>3</v>
      </c>
      <c r="B9" s="152"/>
      <c r="C9" s="152"/>
      <c r="E9" s="158" t="s">
        <v>4</v>
      </c>
      <c r="F9" s="152"/>
      <c r="G9" s="152"/>
      <c r="I9" s="158" t="s">
        <v>7264</v>
      </c>
      <c r="J9" s="152"/>
      <c r="K9" s="152"/>
      <c r="M9" s="158" t="s">
        <v>7265</v>
      </c>
      <c r="N9" s="152"/>
    </row>
    <row r="10" spans="1:14">
      <c r="A10" s="152"/>
      <c r="B10" s="152"/>
      <c r="C10" s="152"/>
      <c r="E10" s="152"/>
      <c r="F10" s="152"/>
      <c r="G10" s="152"/>
      <c r="I10" s="152"/>
      <c r="J10" s="152"/>
      <c r="K10" s="152"/>
      <c r="M10" s="152"/>
      <c r="N10" s="152"/>
    </row>
    <row r="11" spans="1:14">
      <c r="A11" s="152"/>
      <c r="B11" s="152"/>
      <c r="C11" s="152"/>
      <c r="E11" s="152"/>
      <c r="F11" s="152"/>
      <c r="G11" s="152"/>
      <c r="I11" s="152"/>
      <c r="J11" s="152"/>
      <c r="K11" s="152"/>
      <c r="M11" s="152"/>
      <c r="N11" s="152"/>
    </row>
    <row r="12" spans="1:14">
      <c r="A12" s="152"/>
      <c r="B12" s="152"/>
      <c r="C12" s="152"/>
      <c r="E12" s="152"/>
      <c r="F12" s="152"/>
      <c r="G12" s="152"/>
      <c r="I12" s="152"/>
      <c r="J12" s="152"/>
      <c r="K12" s="152"/>
      <c r="M12" s="152"/>
      <c r="N12" s="152"/>
    </row>
    <row r="15" spans="1:14">
      <c r="A15" s="159" t="s">
        <v>7266</v>
      </c>
      <c r="B15" s="160"/>
      <c r="C15" s="160"/>
      <c r="D15" s="160"/>
      <c r="E15" s="160"/>
      <c r="F15" s="160"/>
      <c r="G15" s="160"/>
      <c r="H15" s="160"/>
      <c r="I15" s="160"/>
      <c r="J15" s="160"/>
      <c r="K15" s="160"/>
      <c r="L15" s="160"/>
      <c r="M15" s="160"/>
      <c r="N15" s="161"/>
    </row>
    <row r="16" spans="1:14">
      <c r="A16" s="162"/>
      <c r="B16" s="152"/>
      <c r="C16" s="152"/>
      <c r="D16" s="152"/>
      <c r="E16" s="152"/>
      <c r="F16" s="152"/>
      <c r="G16" s="152"/>
      <c r="H16" s="152"/>
      <c r="I16" s="152"/>
      <c r="J16" s="152"/>
      <c r="K16" s="152"/>
      <c r="L16" s="152"/>
      <c r="M16" s="152"/>
      <c r="N16" s="163"/>
    </row>
    <row r="17" spans="1:14">
      <c r="A17" s="162"/>
      <c r="B17" s="152"/>
      <c r="C17" s="152"/>
      <c r="D17" s="152"/>
      <c r="E17" s="152"/>
      <c r="F17" s="152"/>
      <c r="G17" s="152"/>
      <c r="H17" s="152"/>
      <c r="I17" s="152"/>
      <c r="J17" s="152"/>
      <c r="K17" s="152"/>
      <c r="L17" s="152"/>
      <c r="M17" s="152"/>
      <c r="N17" s="163"/>
    </row>
    <row r="18" spans="1:14">
      <c r="A18" s="162"/>
      <c r="B18" s="152"/>
      <c r="C18" s="152"/>
      <c r="D18" s="152"/>
      <c r="E18" s="152"/>
      <c r="F18" s="152"/>
      <c r="G18" s="152"/>
      <c r="H18" s="152"/>
      <c r="I18" s="152"/>
      <c r="J18" s="152"/>
      <c r="K18" s="152"/>
      <c r="L18" s="152"/>
      <c r="M18" s="152"/>
      <c r="N18" s="163"/>
    </row>
    <row r="19" spans="1:14">
      <c r="A19" s="162"/>
      <c r="B19" s="152"/>
      <c r="C19" s="152"/>
      <c r="D19" s="152"/>
      <c r="E19" s="152"/>
      <c r="F19" s="152"/>
      <c r="G19" s="152"/>
      <c r="H19" s="152"/>
      <c r="I19" s="152"/>
      <c r="J19" s="152"/>
      <c r="K19" s="152"/>
      <c r="L19" s="152"/>
      <c r="M19" s="152"/>
      <c r="N19" s="163"/>
    </row>
    <row r="20" spans="1:14">
      <c r="A20" s="162"/>
      <c r="B20" s="152"/>
      <c r="C20" s="152"/>
      <c r="D20" s="152"/>
      <c r="E20" s="152"/>
      <c r="F20" s="152"/>
      <c r="G20" s="152"/>
      <c r="H20" s="152"/>
      <c r="I20" s="152"/>
      <c r="J20" s="152"/>
      <c r="K20" s="152"/>
      <c r="L20" s="152"/>
      <c r="M20" s="152"/>
      <c r="N20" s="163"/>
    </row>
    <row r="21" spans="1:14">
      <c r="A21" s="164"/>
      <c r="B21" s="165"/>
      <c r="C21" s="165"/>
      <c r="D21" s="165"/>
      <c r="E21" s="165"/>
      <c r="F21" s="165"/>
      <c r="G21" s="165"/>
      <c r="H21" s="165"/>
      <c r="I21" s="165"/>
      <c r="J21" s="165"/>
      <c r="K21" s="165"/>
      <c r="L21" s="165"/>
      <c r="M21" s="165"/>
      <c r="N21" s="166"/>
    </row>
    <row r="24" spans="1:14" ht="15" customHeight="1">
      <c r="A24" s="154" t="s">
        <v>5</v>
      </c>
      <c r="B24" s="152"/>
      <c r="C24" s="152"/>
      <c r="D24" s="152"/>
      <c r="E24" s="152"/>
      <c r="F24" s="152"/>
      <c r="G24" s="152"/>
      <c r="H24" s="152"/>
      <c r="I24" s="152"/>
      <c r="J24" s="152"/>
      <c r="K24" s="152"/>
      <c r="L24" s="152"/>
      <c r="M24" s="152"/>
      <c r="N24" s="152"/>
    </row>
    <row r="26" spans="1:14" ht="15" customHeight="1">
      <c r="A26" s="151" t="str">
        <f>HYPERLINK("#'DATOS'!A1","DATOS")</f>
        <v>DATOS</v>
      </c>
      <c r="B26" s="152"/>
      <c r="C26" s="152"/>
      <c r="D26" s="87"/>
      <c r="E26" s="151" t="str">
        <f>HYPERLINK("#'ENERGÍA'!A1","ENERGÍA")</f>
        <v>ENERGÍA</v>
      </c>
      <c r="F26" s="152"/>
      <c r="G26" s="152"/>
      <c r="H26" s="87"/>
      <c r="I26" s="151" t="str">
        <f>HYPERLINK("#'MACRONUTRIENTES'!A1","MACRONUTRIENTES")</f>
        <v>MACRONUTRIENTES</v>
      </c>
      <c r="J26" s="152"/>
      <c r="K26" s="152"/>
      <c r="L26" s="87"/>
      <c r="M26" s="151" t="str">
        <f>HYPERLINK("#'AGUA_FIBRA'!A1","AGUA / FIBRA")</f>
        <v>AGUA / FIBRA</v>
      </c>
      <c r="N26" s="152"/>
    </row>
    <row r="27" spans="1:14" ht="15" customHeight="1">
      <c r="A27" s="152"/>
      <c r="B27" s="152"/>
      <c r="C27" s="152"/>
      <c r="D27" s="87"/>
      <c r="E27" s="152"/>
      <c r="F27" s="152"/>
      <c r="G27" s="152"/>
      <c r="H27" s="87"/>
      <c r="I27" s="152"/>
      <c r="J27" s="152"/>
      <c r="K27" s="152"/>
      <c r="L27" s="87"/>
      <c r="M27" s="152"/>
      <c r="N27" s="152"/>
    </row>
    <row r="28" spans="1:14" ht="15" customHeight="1">
      <c r="A28" s="152"/>
      <c r="B28" s="152"/>
      <c r="C28" s="152"/>
      <c r="D28" s="87"/>
      <c r="E28" s="152"/>
      <c r="F28" s="152"/>
      <c r="G28" s="152"/>
      <c r="H28" s="87"/>
      <c r="I28" s="152"/>
      <c r="J28" s="152"/>
      <c r="K28" s="152"/>
      <c r="L28" s="87"/>
      <c r="M28" s="152"/>
      <c r="N28" s="152"/>
    </row>
    <row r="29" spans="1:14" ht="15" customHeight="1">
      <c r="A29" s="152"/>
      <c r="B29" s="152"/>
      <c r="C29" s="152"/>
      <c r="D29" s="87"/>
      <c r="E29" s="152"/>
      <c r="F29" s="152"/>
      <c r="G29" s="152"/>
      <c r="H29" s="87"/>
      <c r="I29" s="152"/>
      <c r="J29" s="152"/>
      <c r="K29" s="152"/>
      <c r="L29" s="87"/>
      <c r="M29" s="152"/>
      <c r="N29" s="152"/>
    </row>
    <row r="30" spans="1:14" ht="15" customHeight="1">
      <c r="A30" s="87"/>
      <c r="B30" s="87"/>
      <c r="C30" s="87"/>
      <c r="D30" s="87"/>
      <c r="E30" s="87"/>
      <c r="F30" s="87"/>
      <c r="G30" s="87"/>
      <c r="H30" s="87"/>
      <c r="I30" s="87"/>
      <c r="J30" s="87"/>
      <c r="K30" s="87"/>
      <c r="L30" s="87"/>
      <c r="M30" s="87"/>
      <c r="N30" s="87"/>
    </row>
    <row r="31" spans="1:14" ht="15" customHeight="1">
      <c r="A31" s="87"/>
      <c r="B31" s="87"/>
      <c r="C31" s="87"/>
      <c r="D31" s="87"/>
      <c r="E31" s="87"/>
      <c r="F31" s="87"/>
      <c r="G31" s="87"/>
      <c r="H31" s="87"/>
      <c r="I31" s="87"/>
      <c r="J31" s="87"/>
      <c r="K31" s="87"/>
      <c r="L31" s="87"/>
      <c r="M31" s="87"/>
      <c r="N31" s="87"/>
    </row>
    <row r="32" spans="1:14" ht="15" customHeight="1">
      <c r="A32" s="151" t="str">
        <f>HYPERLINK("#'ÍNDICE_CARGA_GLICÉMICA'!A1","ÍNDICE / CARGA")</f>
        <v>ÍNDICE / CARGA</v>
      </c>
      <c r="B32" s="152"/>
      <c r="C32" s="152"/>
      <c r="D32" s="87"/>
      <c r="E32" s="151" t="str">
        <f>HYPERLINK("#'RESULTADOS'!A1","RESULTADOS")</f>
        <v>RESULTADOS</v>
      </c>
      <c r="F32" s="152"/>
      <c r="G32" s="152"/>
      <c r="H32" s="87"/>
      <c r="I32" s="151" t="str">
        <f>HYPERLINK("#'FUENTES'!A1","FUENTES")</f>
        <v>FUENTES</v>
      </c>
      <c r="J32" s="152"/>
      <c r="K32" s="152"/>
      <c r="L32" s="87"/>
      <c r="M32" s="151" t="str">
        <f>HYPERLINK("#'PRUEBAS'!A1","PRUEBAS")</f>
        <v>PRUEBAS</v>
      </c>
      <c r="N32" s="152"/>
    </row>
    <row r="33" spans="1:14" ht="15" customHeight="1">
      <c r="A33" s="152"/>
      <c r="B33" s="152"/>
      <c r="C33" s="152"/>
      <c r="D33" s="87"/>
      <c r="E33" s="152"/>
      <c r="F33" s="152"/>
      <c r="G33" s="152"/>
      <c r="H33" s="87"/>
      <c r="I33" s="152"/>
      <c r="J33" s="152"/>
      <c r="K33" s="152"/>
      <c r="L33" s="87"/>
      <c r="M33" s="152"/>
      <c r="N33" s="152"/>
    </row>
    <row r="34" spans="1:14" ht="15" customHeight="1">
      <c r="A34" s="152"/>
      <c r="B34" s="152"/>
      <c r="C34" s="152"/>
      <c r="D34" s="87"/>
      <c r="E34" s="152"/>
      <c r="F34" s="152"/>
      <c r="G34" s="152"/>
      <c r="H34" s="87"/>
      <c r="I34" s="152"/>
      <c r="J34" s="152"/>
      <c r="K34" s="152"/>
      <c r="L34" s="87"/>
      <c r="M34" s="152"/>
      <c r="N34" s="152"/>
    </row>
    <row r="35" spans="1:14" ht="15" customHeight="1">
      <c r="A35" s="152"/>
      <c r="B35" s="152"/>
      <c r="C35" s="152"/>
      <c r="D35" s="87"/>
      <c r="E35" s="152"/>
      <c r="F35" s="152"/>
      <c r="G35" s="152"/>
      <c r="H35" s="87"/>
      <c r="I35" s="152"/>
      <c r="J35" s="152"/>
      <c r="K35" s="152"/>
      <c r="L35" s="87"/>
      <c r="M35" s="152"/>
      <c r="N35" s="152"/>
    </row>
    <row r="36" spans="1:14">
      <c r="A36" s="31"/>
      <c r="B36" s="31"/>
      <c r="C36" s="31"/>
      <c r="E36" s="31"/>
      <c r="F36" s="31"/>
      <c r="G36" s="31"/>
      <c r="I36" s="31"/>
      <c r="J36" s="31"/>
      <c r="K36" s="31"/>
      <c r="M36" s="32"/>
      <c r="N36" s="32"/>
    </row>
    <row r="37" spans="1:14">
      <c r="A37" s="153" t="str">
        <f>HYPERLINK("#'FICHA_NUTRIENTE'!A1","FICHA NUTRIENTE")</f>
        <v>FICHA NUTRIENTE</v>
      </c>
      <c r="B37" s="152"/>
      <c r="C37" s="152"/>
      <c r="E37" s="153" t="str">
        <f>HYPERLINK("#'REQUERIMIENTOS'!A1","REQUERIMIENTOS")</f>
        <v>REQUERIMIENTOS</v>
      </c>
      <c r="F37" s="152"/>
      <c r="G37" s="152"/>
      <c r="I37" s="153" t="str">
        <f>HYPERLINK("#'DOCUMENTACIÓN'!A1","DOCUMENTACIÓN")</f>
        <v>DOCUMENTACIÓN</v>
      </c>
      <c r="J37" s="152"/>
      <c r="K37" s="152"/>
      <c r="M37" s="157" t="str">
        <f>HYPERLINK("#'AUDITORÍA_FINAL'!A1","AUDITORÍA FINAL")</f>
        <v>AUDITORÍA FINAL</v>
      </c>
      <c r="N37" s="152"/>
    </row>
    <row r="38" spans="1:14">
      <c r="A38"/>
      <c r="B38"/>
      <c r="C38"/>
      <c r="D38"/>
      <c r="E38"/>
      <c r="F38"/>
      <c r="G38"/>
      <c r="H38"/>
      <c r="I38"/>
      <c r="J38"/>
      <c r="K38"/>
      <c r="L38"/>
      <c r="M38"/>
      <c r="N38"/>
    </row>
    <row r="39" spans="1:14">
      <c r="A39"/>
      <c r="B39"/>
      <c r="C39"/>
      <c r="D39"/>
      <c r="E39"/>
      <c r="F39"/>
      <c r="G39"/>
      <c r="H39"/>
      <c r="I39"/>
      <c r="J39"/>
      <c r="K39"/>
      <c r="L39"/>
      <c r="M39"/>
      <c r="N39"/>
    </row>
    <row r="40" spans="1:14">
      <c r="A40"/>
      <c r="B40"/>
      <c r="C40"/>
      <c r="D40"/>
      <c r="E40"/>
      <c r="F40"/>
      <c r="G40"/>
      <c r="H40"/>
      <c r="I40"/>
      <c r="J40"/>
      <c r="K40"/>
      <c r="L40"/>
      <c r="M40"/>
      <c r="N40"/>
    </row>
    <row r="41" spans="1:14">
      <c r="A41"/>
      <c r="B41"/>
      <c r="C41"/>
      <c r="D41"/>
      <c r="E41"/>
      <c r="F41"/>
      <c r="G41"/>
      <c r="H41"/>
      <c r="I41"/>
      <c r="J41"/>
      <c r="K41"/>
      <c r="L41"/>
      <c r="M41"/>
      <c r="N41"/>
    </row>
    <row r="42" spans="1:14">
      <c r="L42"/>
      <c r="M42"/>
      <c r="N42"/>
    </row>
    <row r="43" spans="1:14">
      <c r="L43"/>
      <c r="M43"/>
      <c r="N43"/>
    </row>
    <row r="44" spans="1:14">
      <c r="L44"/>
      <c r="M44"/>
      <c r="N44"/>
    </row>
    <row r="45" spans="1:14">
      <c r="L45"/>
      <c r="M45"/>
      <c r="N45"/>
    </row>
    <row r="46" spans="1:14">
      <c r="L46"/>
      <c r="M46"/>
      <c r="N46"/>
    </row>
    <row r="47" spans="1:14">
      <c r="L47"/>
      <c r="M47"/>
      <c r="N47"/>
    </row>
    <row r="48" spans="1:14">
      <c r="L48"/>
      <c r="M48"/>
      <c r="N48"/>
    </row>
    <row r="49" spans="11:14">
      <c r="L49"/>
      <c r="M49"/>
      <c r="N49"/>
    </row>
    <row r="50" spans="11:14">
      <c r="L50"/>
      <c r="M50"/>
      <c r="N50"/>
    </row>
    <row r="51" spans="11:14">
      <c r="K51"/>
      <c r="L51"/>
      <c r="M51"/>
      <c r="N51"/>
    </row>
    <row r="52" spans="11:14">
      <c r="L52"/>
      <c r="M52"/>
      <c r="N52"/>
    </row>
  </sheetData>
  <mergeCells count="21">
    <mergeCell ref="A1:N2"/>
    <mergeCell ref="A32:C35"/>
    <mergeCell ref="A26:C29"/>
    <mergeCell ref="A3:N3"/>
    <mergeCell ref="I32:K35"/>
    <mergeCell ref="E9:G12"/>
    <mergeCell ref="M9:N12"/>
    <mergeCell ref="I9:K12"/>
    <mergeCell ref="A15:N21"/>
    <mergeCell ref="A9:C12"/>
    <mergeCell ref="M26:N29"/>
    <mergeCell ref="A7:N7"/>
    <mergeCell ref="I26:K29"/>
    <mergeCell ref="E32:G35"/>
    <mergeCell ref="A37:C37"/>
    <mergeCell ref="E26:G29"/>
    <mergeCell ref="A24:N24"/>
    <mergeCell ref="I37:K37"/>
    <mergeCell ref="M32:N35"/>
    <mergeCell ref="E37:G37"/>
    <mergeCell ref="M37:N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7"/>
  <sheetViews>
    <sheetView showGridLines="0" zoomScale="85" zoomScaleNormal="85" workbookViewId="0">
      <selection activeCell="C39" sqref="C39"/>
    </sheetView>
  </sheetViews>
  <sheetFormatPr baseColWidth="10" defaultColWidth="9" defaultRowHeight="14.25"/>
  <cols>
    <col min="1" max="1" width="30" style="30" customWidth="1"/>
    <col min="2" max="2" width="12" customWidth="1"/>
    <col min="3" max="3" width="12" style="30" customWidth="1"/>
    <col min="4" max="4" width="15" style="30" customWidth="1"/>
    <col min="5" max="5" width="29" style="30" customWidth="1"/>
    <col min="6" max="6" width="22" style="30" customWidth="1"/>
    <col min="7" max="7" width="13" style="30" customWidth="1"/>
    <col min="8" max="8" width="10.5" style="30" customWidth="1"/>
    <col min="9" max="9" width="31" style="30" customWidth="1"/>
    <col min="10" max="10" width="24" style="30" customWidth="1"/>
    <col min="11" max="14" width="13" style="30" customWidth="1"/>
  </cols>
  <sheetData>
    <row r="1" spans="1:14">
      <c r="A1" s="155" t="s">
        <v>81</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82</v>
      </c>
      <c r="B3" s="152"/>
      <c r="C3" s="152"/>
      <c r="D3" s="152"/>
      <c r="E3" s="152"/>
      <c r="F3" s="152"/>
      <c r="G3" s="152"/>
      <c r="H3" s="152"/>
      <c r="I3" s="152"/>
      <c r="J3" s="152"/>
      <c r="K3" s="152"/>
      <c r="L3" s="152"/>
      <c r="M3" s="152"/>
      <c r="N3" s="152"/>
    </row>
    <row r="5" spans="1:14">
      <c r="A5" s="2" t="str">
        <f>HYPERLINK("#'INICIO'!A1","INICIO")</f>
        <v>INICIO</v>
      </c>
      <c r="B5" s="2" t="str">
        <f>HYPERLINK("#'DATOS'!A1","DATOS")</f>
        <v>DATOS</v>
      </c>
      <c r="C5" s="1"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6.1" customHeight="1">
      <c r="A7" s="171" t="s">
        <v>83</v>
      </c>
      <c r="B7" s="152"/>
      <c r="C7" s="152"/>
      <c r="D7" s="152"/>
      <c r="E7" s="152"/>
      <c r="F7" s="152"/>
      <c r="G7" s="152"/>
      <c r="H7" s="152"/>
      <c r="I7" s="152"/>
      <c r="J7" s="152"/>
      <c r="K7" s="152"/>
      <c r="L7" s="152"/>
      <c r="M7" s="152"/>
      <c r="N7" s="152"/>
    </row>
    <row r="8" spans="1:14" ht="15.75" customHeight="1">
      <c r="A8" s="44" t="s">
        <v>84</v>
      </c>
      <c r="B8" s="39">
        <f>CALCULOS_ENERGÍA!B2</f>
        <v>25</v>
      </c>
      <c r="C8" s="49" t="s">
        <v>85</v>
      </c>
      <c r="E8" s="38" t="s">
        <v>86</v>
      </c>
      <c r="F8" s="42">
        <f>CALCULOS_ENERGÍA!B15</f>
        <v>1316.4079999999999</v>
      </c>
      <c r="G8" s="11" t="s">
        <v>87</v>
      </c>
      <c r="H8" s="33"/>
      <c r="I8" s="177" t="s">
        <v>88</v>
      </c>
      <c r="J8" s="170"/>
      <c r="K8" s="177" t="s">
        <v>89</v>
      </c>
      <c r="L8" s="173"/>
      <c r="M8" s="173"/>
      <c r="N8" s="170"/>
    </row>
    <row r="9" spans="1:14" ht="15.75" customHeight="1">
      <c r="A9" s="44" t="s">
        <v>39</v>
      </c>
      <c r="B9" s="39" t="str">
        <f>CALCULOS_ENERGÍA!B4</f>
        <v>Femenino</v>
      </c>
      <c r="C9" s="11"/>
      <c r="E9" s="38" t="s">
        <v>90</v>
      </c>
      <c r="F9" s="42">
        <f>CALCULOS_ENERGÍA!B16</f>
        <v>2106.2527999999998</v>
      </c>
      <c r="G9" s="11" t="s">
        <v>87</v>
      </c>
      <c r="H9" s="33"/>
      <c r="I9" s="169" t="s">
        <v>91</v>
      </c>
      <c r="J9" s="170"/>
      <c r="K9" s="172">
        <f>CALCULOS_ENERGÍA!B25</f>
        <v>2.6828308548717428</v>
      </c>
      <c r="L9" s="173"/>
      <c r="M9" s="173"/>
      <c r="N9" s="170"/>
    </row>
    <row r="10" spans="1:14" ht="24" customHeight="1">
      <c r="A10" s="44" t="s">
        <v>42</v>
      </c>
      <c r="B10" s="39">
        <f>CALCULOS_ENERGÍA!B5</f>
        <v>56</v>
      </c>
      <c r="C10" s="49" t="s">
        <v>43</v>
      </c>
      <c r="E10" s="38" t="s">
        <v>92</v>
      </c>
      <c r="F10" s="42">
        <f>CALCULOS_ENERGÍA!B18</f>
        <v>1974.6119999999999</v>
      </c>
      <c r="G10" s="11" t="s">
        <v>87</v>
      </c>
      <c r="H10" s="33"/>
      <c r="I10" s="169" t="s">
        <v>93</v>
      </c>
      <c r="J10" s="170"/>
      <c r="K10" s="169" t="str">
        <f>CALCULOS_ENERGÍA!B26</f>
        <v>OK CON LIMITACIONES</v>
      </c>
      <c r="L10" s="173"/>
      <c r="M10" s="173"/>
      <c r="N10" s="170"/>
    </row>
    <row r="11" spans="1:14" ht="24" customHeight="1">
      <c r="A11" s="45" t="s">
        <v>46</v>
      </c>
      <c r="B11" s="48">
        <f>CALCULOS_ENERGÍA!B6</f>
        <v>164</v>
      </c>
      <c r="C11" s="12" t="s">
        <v>47</v>
      </c>
      <c r="E11" s="40" t="s">
        <v>94</v>
      </c>
      <c r="F11" s="43" t="str">
        <f>CALCULOS_ENERGÍA!B19</f>
        <v>ND</v>
      </c>
      <c r="G11" s="12" t="s">
        <v>87</v>
      </c>
      <c r="I11" s="174" t="s">
        <v>95</v>
      </c>
      <c r="J11" s="170"/>
      <c r="K11" s="174" t="s">
        <v>96</v>
      </c>
      <c r="L11" s="173"/>
      <c r="M11" s="173"/>
      <c r="N11" s="170"/>
    </row>
    <row r="12" spans="1:14" ht="24" customHeight="1">
      <c r="A12" s="45" t="s">
        <v>48</v>
      </c>
      <c r="B12" s="48" t="str">
        <f>CALCULOS_ENERGÍA!B7</f>
        <v>Ninguno</v>
      </c>
      <c r="C12" s="12"/>
      <c r="E12" s="40" t="s">
        <v>97</v>
      </c>
      <c r="F12" s="43">
        <f>CALCULOS_ENERGÍA!B21</f>
        <v>2162.7599999999998</v>
      </c>
      <c r="G12" s="12" t="s">
        <v>87</v>
      </c>
      <c r="I12" s="174" t="s">
        <v>98</v>
      </c>
      <c r="J12" s="170"/>
      <c r="K12" s="174" t="s">
        <v>99</v>
      </c>
      <c r="L12" s="173"/>
      <c r="M12" s="173"/>
      <c r="N12" s="170"/>
    </row>
    <row r="13" spans="1:14" ht="15" customHeight="1">
      <c r="A13" s="45" t="s">
        <v>51</v>
      </c>
      <c r="B13" s="48" t="str">
        <f>CALCULOS_ENERGÍA!B8</f>
        <v>Poco activo</v>
      </c>
      <c r="C13" s="12"/>
      <c r="E13" s="40" t="s">
        <v>100</v>
      </c>
      <c r="F13" s="43">
        <f>CALCULOS_ENERGÍA!B23</f>
        <v>2106.2527999999998</v>
      </c>
      <c r="G13" s="12" t="s">
        <v>87</v>
      </c>
      <c r="I13" s="178"/>
      <c r="J13" s="170"/>
      <c r="K13" s="178"/>
      <c r="L13" s="173"/>
      <c r="M13" s="173"/>
      <c r="N13" s="170"/>
    </row>
    <row r="14" spans="1:14" ht="15" customHeight="1">
      <c r="A14" s="45" t="s">
        <v>101</v>
      </c>
      <c r="B14" s="48" t="str">
        <f>CALCULOS_ENERGÍA!B9</f>
        <v>Ligera</v>
      </c>
      <c r="C14" s="12"/>
      <c r="E14" s="40" t="s">
        <v>102</v>
      </c>
      <c r="F14" s="41" t="str">
        <f>CALCULOS_ENERGÍA!B22</f>
        <v>Schofield × PAL</v>
      </c>
      <c r="G14" s="12"/>
      <c r="I14" s="180" t="s">
        <v>103</v>
      </c>
      <c r="J14" s="160"/>
      <c r="K14" s="160"/>
      <c r="L14" s="160"/>
      <c r="M14" s="160"/>
      <c r="N14" s="161"/>
    </row>
    <row r="15" spans="1:14" ht="15" customHeight="1">
      <c r="A15" s="45" t="s">
        <v>104</v>
      </c>
      <c r="B15" s="48">
        <f>CALCULOS_ENERGÍA!B10</f>
        <v>1.6</v>
      </c>
      <c r="C15" s="12"/>
      <c r="E15" s="40" t="s">
        <v>105</v>
      </c>
      <c r="F15" s="41" t="str">
        <f>CALCULOS_ENERGÍA!B24</f>
        <v>Schofield × PAL y NASEM 2023 como comparación</v>
      </c>
      <c r="G15" s="12"/>
      <c r="I15" s="162"/>
      <c r="J15" s="152"/>
      <c r="K15" s="152"/>
      <c r="L15" s="152"/>
      <c r="M15" s="152"/>
      <c r="N15" s="163"/>
    </row>
    <row r="16" spans="1:14">
      <c r="I16" s="162"/>
      <c r="J16" s="152"/>
      <c r="K16" s="152"/>
      <c r="L16" s="152"/>
      <c r="M16" s="152"/>
      <c r="N16" s="163"/>
    </row>
    <row r="17" spans="1:14">
      <c r="I17" s="162"/>
      <c r="J17" s="152"/>
      <c r="K17" s="152"/>
      <c r="L17" s="152"/>
      <c r="M17" s="152"/>
      <c r="N17" s="163"/>
    </row>
    <row r="18" spans="1:14">
      <c r="I18" s="164"/>
      <c r="J18" s="165"/>
      <c r="K18" s="165"/>
      <c r="L18" s="165"/>
      <c r="M18" s="165"/>
      <c r="N18" s="166"/>
    </row>
    <row r="19" spans="1:14">
      <c r="I19" s="179" t="s">
        <v>106</v>
      </c>
      <c r="J19" s="160"/>
      <c r="K19" s="160"/>
      <c r="L19" s="161"/>
    </row>
    <row r="20" spans="1:14" ht="27.95" customHeight="1">
      <c r="A20" s="182" t="s">
        <v>7267</v>
      </c>
      <c r="B20" s="182"/>
      <c r="C20" s="182"/>
      <c r="D20" s="182"/>
      <c r="E20" s="182"/>
      <c r="F20" s="182"/>
      <c r="I20" s="162"/>
      <c r="J20" s="152"/>
      <c r="K20" s="152"/>
      <c r="L20" s="163"/>
    </row>
    <row r="21" spans="1:14" ht="15" customHeight="1">
      <c r="A21" s="154" t="s">
        <v>107</v>
      </c>
      <c r="B21" s="152"/>
      <c r="C21" s="152"/>
      <c r="D21" s="152"/>
      <c r="E21" s="152"/>
      <c r="F21" s="152"/>
      <c r="G21" s="152"/>
      <c r="H21" s="152"/>
      <c r="I21" s="162"/>
      <c r="J21" s="152"/>
      <c r="K21" s="152"/>
      <c r="L21" s="163"/>
    </row>
    <row r="22" spans="1:14" ht="24" customHeight="1">
      <c r="A22" s="53" t="s">
        <v>108</v>
      </c>
      <c r="B22" s="53" t="s">
        <v>109</v>
      </c>
      <c r="C22" s="53" t="s">
        <v>110</v>
      </c>
      <c r="D22" s="53" t="s">
        <v>111</v>
      </c>
      <c r="E22" s="53" t="s">
        <v>112</v>
      </c>
      <c r="F22" s="53" t="s">
        <v>113</v>
      </c>
      <c r="I22" s="162"/>
      <c r="J22" s="152"/>
      <c r="K22" s="152"/>
      <c r="L22" s="163"/>
    </row>
    <row r="23" spans="1:14" ht="14.25" customHeight="1">
      <c r="A23" s="139" t="s">
        <v>114</v>
      </c>
      <c r="B23" s="140">
        <v>8</v>
      </c>
      <c r="C23" s="133">
        <f>IF(A23="","",IFERROR(INDEX(LISTAS!$L$2:$L$16,MATCH(A23,LISTAS!$K$2:$K$16,0)),""))</f>
        <v>1</v>
      </c>
      <c r="D23" s="133">
        <f t="shared" ref="D23:D34" si="0">IF(A23="","",N(B23)*N(C23))</f>
        <v>8</v>
      </c>
      <c r="E23" s="132" t="str">
        <f>IF(A23="","",IFERROR(INDEX(LISTAS!$M$2:$M$16,MATCH(A23,LISTAS!$K$2:$K$16,0)),"Editable"))</f>
        <v>FAO tabla 5.1</v>
      </c>
      <c r="F23" s="132" t="str">
        <f t="shared" ref="F23:F34" si="1">IF(A23="","",IF(B23&lt;0,"ERROR",IF(B23&gt;24,"REVISAR","OK")))</f>
        <v>OK</v>
      </c>
      <c r="I23" s="162"/>
      <c r="J23" s="152"/>
      <c r="K23" s="152"/>
      <c r="L23" s="163"/>
    </row>
    <row r="24" spans="1:14">
      <c r="A24" s="139" t="s">
        <v>115</v>
      </c>
      <c r="B24" s="140">
        <v>1</v>
      </c>
      <c r="C24" s="133">
        <f>IF(A24="","",IFERROR(INDEX(LISTAS!$L$2:$L$16,MATCH(A24,LISTAS!$K$2:$K$16,0)),""))</f>
        <v>2.2999999999999998</v>
      </c>
      <c r="D24" s="133">
        <f t="shared" si="0"/>
        <v>2.2999999999999998</v>
      </c>
      <c r="E24" s="132" t="str">
        <f>IF(A24="","",IFERROR(INDEX(LISTAS!$M$2:$M$16,MATCH(A24,LISTAS!$K$2:$K$16,0)),"Editable"))</f>
        <v>Vestirse, ducharse</v>
      </c>
      <c r="F24" s="132" t="str">
        <f t="shared" si="1"/>
        <v>OK</v>
      </c>
      <c r="I24" s="162"/>
      <c r="J24" s="152"/>
      <c r="K24" s="152"/>
      <c r="L24" s="163"/>
    </row>
    <row r="25" spans="1:14">
      <c r="A25" s="139" t="s">
        <v>116</v>
      </c>
      <c r="B25" s="140">
        <v>1</v>
      </c>
      <c r="C25" s="133">
        <f>IF(A25="","",IFERROR(INDEX(LISTAS!$L$2:$L$16,MATCH(A25,LISTAS!$K$2:$K$16,0)),""))</f>
        <v>1.5</v>
      </c>
      <c r="D25" s="133">
        <f t="shared" si="0"/>
        <v>1.5</v>
      </c>
      <c r="E25" s="132" t="str">
        <f>IF(A25="","",IFERROR(INDEX(LISTAS!$M$2:$M$16,MATCH(A25,LISTAS!$K$2:$K$16,0)),"Editable"))</f>
        <v>Actividad alimentaria</v>
      </c>
      <c r="F25" s="132" t="str">
        <f t="shared" si="1"/>
        <v>OK</v>
      </c>
      <c r="I25" s="162"/>
      <c r="J25" s="152"/>
      <c r="K25" s="152"/>
      <c r="L25" s="163"/>
    </row>
    <row r="26" spans="1:14">
      <c r="A26" s="139" t="s">
        <v>117</v>
      </c>
      <c r="B26" s="140">
        <v>8</v>
      </c>
      <c r="C26" s="133">
        <f>IF(A26="","",IFERROR(INDEX(LISTAS!$L$2:$L$16,MATCH(A26,LISTAS!$K$2:$K$16,0)),""))</f>
        <v>1.5</v>
      </c>
      <c r="D26" s="133">
        <f t="shared" si="0"/>
        <v>12</v>
      </c>
      <c r="E26" s="132" t="str">
        <f>IF(A26="","",IFERROR(INDEX(LISTAS!$M$2:$M$16,MATCH(A26,LISTAS!$K$2:$K$16,0)),"Editable"))</f>
        <v>Trabajo sedentario</v>
      </c>
      <c r="F26" s="132" t="str">
        <f t="shared" si="1"/>
        <v>OK</v>
      </c>
      <c r="I26" s="164"/>
      <c r="J26" s="165"/>
      <c r="K26" s="165"/>
      <c r="L26" s="166"/>
    </row>
    <row r="27" spans="1:14">
      <c r="A27" s="139" t="s">
        <v>118</v>
      </c>
      <c r="B27" s="140">
        <v>1</v>
      </c>
      <c r="C27" s="133">
        <f>IF(A27="","",IFERROR(INDEX(LISTAS!$L$2:$L$16,MATCH(A27,LISTAS!$K$2:$K$16,0)),""))</f>
        <v>2.8</v>
      </c>
      <c r="D27" s="133">
        <f t="shared" si="0"/>
        <v>2.8</v>
      </c>
      <c r="E27" s="132" t="str">
        <f>IF(A27="","",IFERROR(INDEX(LISTAS!$M$2:$M$16,MATCH(A27,LISTAS!$K$2:$K$16,0)),"Editable"))</f>
        <v>Actividad doméstica</v>
      </c>
      <c r="F27" s="132" t="str">
        <f t="shared" si="1"/>
        <v>OK</v>
      </c>
    </row>
    <row r="28" spans="1:14">
      <c r="A28" s="139" t="s">
        <v>119</v>
      </c>
      <c r="B28" s="140">
        <v>1</v>
      </c>
      <c r="C28" s="133">
        <f>IF(A28="","",IFERROR(INDEX(LISTAS!$L$2:$L$16,MATCH(A28,LISTAS!$K$2:$K$16,0)),""))</f>
        <v>2</v>
      </c>
      <c r="D28" s="133">
        <f t="shared" si="0"/>
        <v>2</v>
      </c>
      <c r="E28" s="132" t="str">
        <f>IF(A28="","",IFERROR(INDEX(LISTAS!$M$2:$M$16,MATCH(A28,LISTAS!$K$2:$K$16,0)),"Editable"))</f>
        <v>Transporte</v>
      </c>
      <c r="F28" s="132" t="str">
        <f t="shared" si="1"/>
        <v>OK</v>
      </c>
    </row>
    <row r="29" spans="1:14">
      <c r="A29" s="139" t="s">
        <v>120</v>
      </c>
      <c r="B29" s="140">
        <v>1</v>
      </c>
      <c r="C29" s="133">
        <f>IF(A29="","",IFERROR(INDEX(LISTAS!$L$2:$L$16,MATCH(A29,LISTAS!$K$2:$K$16,0)),""))</f>
        <v>3.2</v>
      </c>
      <c r="D29" s="133">
        <f t="shared" si="0"/>
        <v>3.2</v>
      </c>
      <c r="E29" s="132" t="str">
        <f>IF(A29="","",IFERROR(INDEX(LISTAS!$M$2:$M$16,MATCH(A29,LISTAS!$K$2:$K$16,0)),"Editable"))</f>
        <v>Ritmos variables</v>
      </c>
      <c r="F29" s="132" t="str">
        <f t="shared" si="1"/>
        <v>OK</v>
      </c>
    </row>
    <row r="30" spans="1:14">
      <c r="A30" s="139" t="s">
        <v>121</v>
      </c>
      <c r="B30" s="140">
        <v>3</v>
      </c>
      <c r="C30" s="133">
        <f>IF(A30="","",IFERROR(INDEX(LISTAS!$L$2:$L$16,MATCH(A30,LISTAS!$K$2:$K$16,0)),""))</f>
        <v>1.4</v>
      </c>
      <c r="D30" s="133">
        <f t="shared" si="0"/>
        <v>4.1999999999999993</v>
      </c>
      <c r="E30" s="132" t="str">
        <f>IF(A30="","",IFERROR(INDEX(LISTAS!$M$2:$M$16,MATCH(A30,LISTAS!$K$2:$K$16,0)),"Editable"))</f>
        <v>TV, conversar</v>
      </c>
      <c r="F30" s="132" t="str">
        <f t="shared" si="1"/>
        <v>OK</v>
      </c>
    </row>
    <row r="31" spans="1:14">
      <c r="A31" s="139" t="s">
        <v>122</v>
      </c>
      <c r="B31" s="140">
        <v>0</v>
      </c>
      <c r="C31" s="133">
        <f>IF(A31="","",IFERROR(INDEX(LISTAS!$L$2:$L$16,MATCH(A31,LISTAS!$K$2:$K$16,0)),""))</f>
        <v>1.2</v>
      </c>
      <c r="D31" s="133">
        <f t="shared" si="0"/>
        <v>0</v>
      </c>
      <c r="E31" s="132" t="str">
        <f>IF(A31="","",IFERROR(INDEX(LISTAS!$M$2:$M$16,MATCH(A31,LISTAS!$K$2:$K$16,0)),"Editable"))</f>
        <v>Transporte sentado</v>
      </c>
      <c r="F31" s="132" t="str">
        <f t="shared" si="1"/>
        <v>OK</v>
      </c>
    </row>
    <row r="32" spans="1:14">
      <c r="A32" s="139"/>
      <c r="B32" s="140">
        <v>0</v>
      </c>
      <c r="C32" s="133" t="str">
        <f>IF(A32="","",IFERROR(INDEX(LISTAS!$L$2:$L$16,MATCH(A32,LISTAS!$K$2:$K$16,0)),""))</f>
        <v/>
      </c>
      <c r="D32" s="133" t="str">
        <f t="shared" si="0"/>
        <v/>
      </c>
      <c r="E32" s="132" t="str">
        <f>IF(A32="","",IFERROR(INDEX(LISTAS!$M$2:$M$16,MATCH(A32,LISTAS!$K$2:$K$16,0)),"Editable"))</f>
        <v/>
      </c>
      <c r="F32" s="132" t="str">
        <f t="shared" si="1"/>
        <v/>
      </c>
    </row>
    <row r="33" spans="1:6">
      <c r="A33" s="139"/>
      <c r="B33" s="140">
        <v>0</v>
      </c>
      <c r="C33" s="133" t="str">
        <f>IF(A33="","",IFERROR(INDEX(LISTAS!$L$2:$L$16,MATCH(A33,LISTAS!$K$2:$K$16,0)),""))</f>
        <v/>
      </c>
      <c r="D33" s="133" t="str">
        <f t="shared" si="0"/>
        <v/>
      </c>
      <c r="E33" s="132" t="str">
        <f>IF(A33="","",IFERROR(INDEX(LISTAS!$M$2:$M$16,MATCH(A33,LISTAS!$K$2:$K$16,0)),"Editable"))</f>
        <v/>
      </c>
      <c r="F33" s="132" t="str">
        <f t="shared" si="1"/>
        <v/>
      </c>
    </row>
    <row r="34" spans="1:6">
      <c r="A34" s="139"/>
      <c r="B34" s="140">
        <v>0</v>
      </c>
      <c r="C34" s="133" t="str">
        <f>IF(A34="","",IFERROR(INDEX(LISTAS!$L$2:$L$16,MATCH(A34,LISTAS!$K$2:$K$16,0)),""))</f>
        <v/>
      </c>
      <c r="D34" s="133" t="str">
        <f t="shared" si="0"/>
        <v/>
      </c>
      <c r="E34" s="132" t="str">
        <f>IF(A34="","",IFERROR(INDEX(LISTAS!$M$2:$M$16,MATCH(A34,LISTAS!$K$2:$K$16,0)),"Editable"))</f>
        <v/>
      </c>
      <c r="F34" s="132" t="str">
        <f t="shared" si="1"/>
        <v/>
      </c>
    </row>
    <row r="35" spans="1:6" ht="15" customHeight="1">
      <c r="A35" s="51" t="s">
        <v>123</v>
      </c>
      <c r="B35" s="134">
        <f>SUM(B23:B34)</f>
        <v>24</v>
      </c>
      <c r="C35" s="175" t="s">
        <v>124</v>
      </c>
      <c r="D35" s="170"/>
      <c r="E35" s="176">
        <f>SUM(D23:D34)</f>
        <v>36</v>
      </c>
      <c r="F35" s="181" t="str">
        <f>IF(B35=24,"OK",IF(B35&lt;24,"FALTAN "&amp;TEXT(24-B35,"0.00")&amp;" h","EXCEDEN "&amp;TEXT(B35-24,"0.00")&amp;" h"))</f>
        <v>OK</v>
      </c>
    </row>
    <row r="36" spans="1:6" ht="15" customHeight="1">
      <c r="A36" s="51" t="s">
        <v>125</v>
      </c>
      <c r="B36" s="52"/>
      <c r="C36" s="175"/>
      <c r="D36" s="170"/>
      <c r="E36" s="176">
        <f>IF(B35=24,E35/24,"ND")</f>
        <v>1.5</v>
      </c>
      <c r="F36" s="170"/>
    </row>
    <row r="37" spans="1:6" ht="15" customHeight="1">
      <c r="A37" s="51" t="s">
        <v>126</v>
      </c>
      <c r="B37" s="52"/>
      <c r="C37" s="175" t="s">
        <v>87</v>
      </c>
      <c r="D37" s="170"/>
      <c r="E37" s="176">
        <f>IF(ISNUMBER(E36),CALCULOS_ENERGÍA!B15*E36,"ND")</f>
        <v>1974.6119999999999</v>
      </c>
      <c r="F37" s="170"/>
    </row>
  </sheetData>
  <mergeCells count="25">
    <mergeCell ref="C37:D37"/>
    <mergeCell ref="K12:N12"/>
    <mergeCell ref="E37:F37"/>
    <mergeCell ref="K8:N8"/>
    <mergeCell ref="I13:J13"/>
    <mergeCell ref="I9:J9"/>
    <mergeCell ref="I19:L26"/>
    <mergeCell ref="C36:D36"/>
    <mergeCell ref="E36:F36"/>
    <mergeCell ref="I8:J8"/>
    <mergeCell ref="A21:H21"/>
    <mergeCell ref="I14:N18"/>
    <mergeCell ref="C35:D35"/>
    <mergeCell ref="E35:F35"/>
    <mergeCell ref="K13:N13"/>
    <mergeCell ref="A20:F20"/>
    <mergeCell ref="A1:N2"/>
    <mergeCell ref="I10:J10"/>
    <mergeCell ref="A7:N7"/>
    <mergeCell ref="K9:N9"/>
    <mergeCell ref="I12:J12"/>
    <mergeCell ref="A3:N3"/>
    <mergeCell ref="K11:N11"/>
    <mergeCell ref="I11:J11"/>
    <mergeCell ref="K10:N10"/>
  </mergeCells>
  <conditionalFormatting sqref="B35">
    <cfRule type="expression" dxfId="39" priority="1">
      <formula>B35=24</formula>
    </cfRule>
    <cfRule type="expression" dxfId="38" priority="2">
      <formula>B35&lt;&gt;24</formula>
    </cfRule>
  </conditionalFormatting>
  <conditionalFormatting sqref="F13">
    <cfRule type="dataBar" priority="3">
      <dataBar>
        <cfvo type="min"/>
        <cfvo type="max"/>
        <color rgb="FFA02B93"/>
      </dataBar>
    </cfRule>
    <cfRule type="dataBar" priority="4">
      <dataBar>
        <cfvo type="min"/>
        <cfvo type="max"/>
        <color rgb="FFA02B93"/>
      </dataBar>
    </cfRule>
  </conditionalFormatting>
  <conditionalFormatting sqref="F35">
    <cfRule type="expression" dxfId="37" priority="5">
      <formula>F35="OK"</formula>
    </cfRule>
    <cfRule type="expression" dxfId="36" priority="6">
      <formula>F35&lt;&gt;"OK"</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4"/>
  <sheetViews>
    <sheetView showGridLines="0" workbookViewId="0">
      <selection sqref="A1:N2"/>
    </sheetView>
  </sheetViews>
  <sheetFormatPr baseColWidth="10" defaultColWidth="9" defaultRowHeight="14.25"/>
  <cols>
    <col min="1" max="1" width="29" style="30" customWidth="1"/>
    <col min="2" max="2" width="25" style="30" customWidth="1"/>
    <col min="3" max="3" width="17" style="30" customWidth="1"/>
    <col min="4" max="4" width="4" style="30" customWidth="1"/>
    <col min="5" max="5" width="19" style="30" customWidth="1"/>
    <col min="6" max="8" width="14" style="30" customWidth="1"/>
    <col min="9" max="9" width="16" style="30" customWidth="1"/>
    <col min="10" max="10" width="15" style="30" customWidth="1"/>
    <col min="11" max="14" width="12" style="30" customWidth="1"/>
  </cols>
  <sheetData>
    <row r="1" spans="1:14">
      <c r="A1" s="155" t="s">
        <v>127</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128</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1"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6.1" customHeight="1">
      <c r="A7" s="171" t="s">
        <v>129</v>
      </c>
      <c r="B7" s="152"/>
      <c r="C7" s="152"/>
      <c r="D7" s="152"/>
      <c r="E7" s="152"/>
      <c r="F7" s="152"/>
      <c r="G7" s="152"/>
      <c r="H7" s="152"/>
      <c r="I7" s="152"/>
      <c r="J7" s="152"/>
      <c r="K7" s="152"/>
      <c r="L7" s="152"/>
      <c r="M7" s="152"/>
      <c r="N7" s="152"/>
    </row>
    <row r="8" spans="1:14" ht="15.75" customHeight="1">
      <c r="A8" s="58" t="s">
        <v>130</v>
      </c>
      <c r="B8" s="46">
        <f>CALCULOS_NUTRIENTES!B2</f>
        <v>2106.2527999999998</v>
      </c>
      <c r="C8" s="49" t="s">
        <v>87</v>
      </c>
      <c r="D8" s="33"/>
      <c r="E8" s="53" t="s">
        <v>131</v>
      </c>
      <c r="F8" s="53" t="s">
        <v>78</v>
      </c>
      <c r="G8" s="53" t="s">
        <v>80</v>
      </c>
      <c r="H8" s="53" t="s">
        <v>72</v>
      </c>
      <c r="I8" s="53" t="s">
        <v>132</v>
      </c>
      <c r="J8" s="53" t="s">
        <v>133</v>
      </c>
      <c r="K8" s="33"/>
      <c r="L8" s="33"/>
      <c r="M8" s="33"/>
      <c r="N8" s="33"/>
    </row>
    <row r="9" spans="1:14" ht="15.75" customHeight="1">
      <c r="A9" s="58" t="s">
        <v>134</v>
      </c>
      <c r="B9" s="46" t="str">
        <f>CALCULOS_NUTRIENTES!B7</f>
        <v>Porcentual</v>
      </c>
      <c r="C9" s="49"/>
      <c r="D9" s="33"/>
      <c r="E9" s="54" t="s">
        <v>71</v>
      </c>
      <c r="F9" s="56">
        <f>CALCULOS_NUTRIENTES!B12</f>
        <v>78.984479999999991</v>
      </c>
      <c r="G9" s="56">
        <f>CALCULOS_NUTRIENTES!B13</f>
        <v>315.93791999999996</v>
      </c>
      <c r="H9" s="56">
        <f>IF(ISNUMBER(G9),G9/CALCULOS_NUTRIENTES!B2*100,"ND")</f>
        <v>15</v>
      </c>
      <c r="I9" s="56">
        <f>CALCULOS_NUTRIENTES!B21</f>
        <v>46</v>
      </c>
      <c r="J9" s="56">
        <f>CALCULOS_NUTRIENTES!B23</f>
        <v>171.70539130434781</v>
      </c>
      <c r="K9" s="33"/>
      <c r="L9" s="33"/>
      <c r="M9" s="33"/>
      <c r="N9" s="33"/>
    </row>
    <row r="10" spans="1:14" ht="15.75" customHeight="1">
      <c r="A10" s="58" t="s">
        <v>42</v>
      </c>
      <c r="B10" s="46">
        <f>CALCULOS_NUTRIENTES!B6</f>
        <v>56</v>
      </c>
      <c r="C10" s="49" t="s">
        <v>43</v>
      </c>
      <c r="D10" s="33"/>
      <c r="E10" s="54" t="s">
        <v>73</v>
      </c>
      <c r="F10" s="56">
        <f>CALCULOS_NUTRIENTES!B14</f>
        <v>70.208426666666654</v>
      </c>
      <c r="G10" s="56">
        <f>CALCULOS_NUTRIENTES!B15</f>
        <v>631.87583999999993</v>
      </c>
      <c r="H10" s="56">
        <f>IF(ISNUMBER(G10),G10/CALCULOS_NUTRIENTES!B2*100,"ND")</f>
        <v>30</v>
      </c>
      <c r="I10" s="56" t="str">
        <f>CALCULOS_NUTRIENTES!B26</f>
        <v>20–35</v>
      </c>
      <c r="J10" s="56"/>
      <c r="K10" s="33"/>
      <c r="L10" s="33"/>
      <c r="M10" s="33"/>
      <c r="N10" s="33"/>
    </row>
    <row r="11" spans="1:14" ht="15" customHeight="1">
      <c r="A11" s="59" t="s">
        <v>69</v>
      </c>
      <c r="B11" s="47">
        <f>CALCULOS_NUTRIENTES!B8</f>
        <v>1</v>
      </c>
      <c r="C11" s="60" t="s">
        <v>135</v>
      </c>
      <c r="E11" s="55" t="s">
        <v>74</v>
      </c>
      <c r="F11" s="57">
        <f>CALCULOS_NUTRIENTES!B16</f>
        <v>289.60975999999999</v>
      </c>
      <c r="G11" s="57">
        <f>CALCULOS_NUTRIENTES!B17</f>
        <v>1158.43904</v>
      </c>
      <c r="H11" s="57">
        <f>IF(ISNUMBER(G11),G11/CALCULOS_NUTRIENTES!B2*100,"ND")</f>
        <v>55.000000000000007</v>
      </c>
      <c r="I11" s="57">
        <f>CALCULOS_NUTRIENTES!B22</f>
        <v>130</v>
      </c>
      <c r="J11" s="57">
        <f>CALCULOS_NUTRIENTES!B24</f>
        <v>222.77673846153846</v>
      </c>
    </row>
    <row r="12" spans="1:14" ht="15" customHeight="1">
      <c r="A12" s="59" t="s">
        <v>71</v>
      </c>
      <c r="B12" s="47">
        <f>CALCULOS_NUTRIENTES!B9</f>
        <v>15</v>
      </c>
      <c r="C12" s="60" t="s">
        <v>136</v>
      </c>
      <c r="E12" s="55" t="s">
        <v>137</v>
      </c>
      <c r="F12" s="57"/>
      <c r="G12" s="57">
        <f>CALCULOS_NUTRIENTES!B18</f>
        <v>2106.2527999999998</v>
      </c>
      <c r="H12" s="57">
        <f>CALCULOS_NUTRIENTES!B19</f>
        <v>100</v>
      </c>
      <c r="I12" s="57"/>
      <c r="J12" s="57"/>
    </row>
    <row r="13" spans="1:14" ht="15" customHeight="1">
      <c r="A13" s="59" t="s">
        <v>73</v>
      </c>
      <c r="B13" s="47">
        <f>CALCULOS_NUTRIENTES!B10</f>
        <v>30</v>
      </c>
      <c r="C13" s="60" t="s">
        <v>136</v>
      </c>
    </row>
    <row r="14" spans="1:14" ht="15" customHeight="1">
      <c r="A14" s="59" t="s">
        <v>138</v>
      </c>
      <c r="B14" s="47">
        <f>CALCULOS_NUTRIENTES!B11</f>
        <v>55</v>
      </c>
      <c r="C14" s="60" t="s">
        <v>136</v>
      </c>
    </row>
    <row r="17" spans="1:14" ht="15" customHeight="1">
      <c r="A17" s="154" t="s">
        <v>139</v>
      </c>
      <c r="B17" s="152"/>
      <c r="C17" s="152"/>
      <c r="D17" s="152"/>
      <c r="E17" s="183" t="s">
        <v>140</v>
      </c>
      <c r="F17" s="152"/>
      <c r="G17" s="152"/>
      <c r="H17" s="152"/>
      <c r="I17" s="152"/>
      <c r="J17" s="152"/>
      <c r="K17" s="152"/>
      <c r="L17" s="152"/>
      <c r="M17" s="152"/>
      <c r="N17" s="152"/>
    </row>
    <row r="18" spans="1:14">
      <c r="A18" s="53" t="s">
        <v>88</v>
      </c>
      <c r="B18" s="53" t="s">
        <v>89</v>
      </c>
      <c r="C18" s="53" t="s">
        <v>141</v>
      </c>
      <c r="E18" s="152"/>
      <c r="F18" s="152"/>
      <c r="G18" s="152"/>
      <c r="H18" s="152"/>
      <c r="I18" s="152"/>
      <c r="J18" s="152"/>
      <c r="K18" s="152"/>
      <c r="L18" s="152"/>
      <c r="M18" s="152"/>
      <c r="N18" s="152"/>
    </row>
    <row r="19" spans="1:14">
      <c r="A19" s="55" t="s">
        <v>142</v>
      </c>
      <c r="B19" s="55">
        <f>CALCULOS_NUTRIENTES!B21</f>
        <v>46</v>
      </c>
      <c r="C19" s="55" t="s">
        <v>78</v>
      </c>
      <c r="E19" s="152"/>
      <c r="F19" s="152"/>
      <c r="G19" s="152"/>
      <c r="H19" s="152"/>
      <c r="I19" s="152"/>
      <c r="J19" s="152"/>
      <c r="K19" s="152"/>
      <c r="L19" s="152"/>
      <c r="M19" s="152"/>
      <c r="N19" s="152"/>
    </row>
    <row r="20" spans="1:14">
      <c r="A20" s="55" t="s">
        <v>143</v>
      </c>
      <c r="B20" s="55">
        <f>CALCULOS_NUTRIENTES!B22</f>
        <v>130</v>
      </c>
      <c r="C20" s="55" t="s">
        <v>78</v>
      </c>
      <c r="E20" s="152"/>
      <c r="F20" s="152"/>
      <c r="G20" s="152"/>
      <c r="H20" s="152"/>
      <c r="I20" s="152"/>
      <c r="J20" s="152"/>
      <c r="K20" s="152"/>
      <c r="L20" s="152"/>
      <c r="M20" s="152"/>
      <c r="N20" s="152"/>
    </row>
    <row r="21" spans="1:14">
      <c r="A21" s="55" t="s">
        <v>144</v>
      </c>
      <c r="B21" s="55" t="str">
        <f>CALCULOS_NUTRIENTES!B25</f>
        <v>10–35</v>
      </c>
      <c r="C21" s="55" t="s">
        <v>72</v>
      </c>
      <c r="E21" s="152"/>
      <c r="F21" s="152"/>
      <c r="G21" s="152"/>
      <c r="H21" s="152"/>
      <c r="I21" s="152"/>
      <c r="J21" s="152"/>
      <c r="K21" s="152"/>
      <c r="L21" s="152"/>
      <c r="M21" s="152"/>
      <c r="N21" s="152"/>
    </row>
    <row r="22" spans="1:14">
      <c r="A22" s="55" t="s">
        <v>145</v>
      </c>
      <c r="B22" s="55" t="str">
        <f>CALCULOS_NUTRIENTES!B26</f>
        <v>20–35</v>
      </c>
      <c r="C22" s="55" t="s">
        <v>72</v>
      </c>
      <c r="E22" s="152"/>
      <c r="F22" s="152"/>
      <c r="G22" s="152"/>
      <c r="H22" s="152"/>
      <c r="I22" s="152"/>
      <c r="J22" s="152"/>
      <c r="K22" s="152"/>
      <c r="L22" s="152"/>
      <c r="M22" s="152"/>
      <c r="N22" s="152"/>
    </row>
    <row r="23" spans="1:14">
      <c r="A23" s="55" t="s">
        <v>146</v>
      </c>
      <c r="B23" s="55" t="str">
        <f>CALCULOS_NUTRIENTES!B27</f>
        <v>45–65</v>
      </c>
      <c r="C23" s="55" t="s">
        <v>72</v>
      </c>
      <c r="E23" s="152"/>
      <c r="F23" s="152"/>
      <c r="G23" s="152"/>
      <c r="H23" s="152"/>
      <c r="I23" s="152"/>
      <c r="J23" s="152"/>
      <c r="K23" s="152"/>
      <c r="L23" s="152"/>
      <c r="M23" s="152"/>
      <c r="N23" s="152"/>
    </row>
    <row r="24" spans="1:14" ht="24" customHeight="1">
      <c r="A24" s="55" t="s">
        <v>147</v>
      </c>
      <c r="B24" s="55" t="str">
        <f>CALCULOS_NUTRIENTES!B28</f>
        <v>CIERRE CORRECTO</v>
      </c>
      <c r="C24" s="55" t="s">
        <v>148</v>
      </c>
      <c r="E24" s="152"/>
      <c r="F24" s="152"/>
      <c r="G24" s="152"/>
      <c r="H24" s="152"/>
      <c r="I24" s="152"/>
      <c r="J24" s="152"/>
      <c r="K24" s="152"/>
      <c r="L24" s="152"/>
      <c r="M24" s="152"/>
      <c r="N24" s="152"/>
    </row>
  </sheetData>
  <mergeCells count="5">
    <mergeCell ref="A1:N2"/>
    <mergeCell ref="A17:D17"/>
    <mergeCell ref="A3:N3"/>
    <mergeCell ref="E17:N24"/>
    <mergeCell ref="A7:N7"/>
  </mergeCells>
  <conditionalFormatting sqref="J9:J11">
    <cfRule type="dataBar" priority="1">
      <dataBar>
        <cfvo type="min"/>
        <cfvo type="max"/>
        <color rgb="FFA02B93"/>
      </dataBar>
    </cfRule>
    <cfRule type="dataBar" priority="4">
      <dataBar>
        <cfvo type="min"/>
        <cfvo type="max"/>
        <color rgb="FFA02B93"/>
      </dataBar>
    </cfRule>
  </conditionalFormatting>
  <conditionalFormatting sqref="B24">
    <cfRule type="expression" dxfId="35" priority="2">
      <formula>B24="CIERRE CORRECTO"</formula>
    </cfRule>
    <cfRule type="expression" dxfId="34" priority="3">
      <formula>B24&lt;&gt;"CIERRE CORRECTO"</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election activeCell="B10" sqref="B10"/>
    </sheetView>
  </sheetViews>
  <sheetFormatPr baseColWidth="10" defaultColWidth="9" defaultRowHeight="14.25"/>
  <cols>
    <col min="1" max="10" width="18" style="30" customWidth="1"/>
    <col min="11" max="14" width="14" style="30" customWidth="1"/>
  </cols>
  <sheetData>
    <row r="1" spans="1:14">
      <c r="A1" s="155" t="s">
        <v>149</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150</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6.1" customHeight="1">
      <c r="A7" s="171" t="s">
        <v>151</v>
      </c>
      <c r="B7" s="152"/>
      <c r="C7" s="152"/>
      <c r="D7" s="152"/>
      <c r="E7" s="152"/>
      <c r="F7" s="152"/>
      <c r="G7" s="152"/>
      <c r="H7" s="152"/>
      <c r="I7" s="152"/>
      <c r="J7" s="152"/>
      <c r="K7" s="152"/>
      <c r="L7" s="152"/>
      <c r="M7" s="152"/>
      <c r="N7" s="152"/>
    </row>
    <row r="8" spans="1:14" ht="15.75" customHeight="1">
      <c r="A8" s="33"/>
      <c r="B8" s="33"/>
      <c r="C8" s="33"/>
      <c r="D8" s="33"/>
      <c r="E8" s="33"/>
      <c r="F8" s="33"/>
      <c r="G8" s="33"/>
      <c r="H8" s="33"/>
      <c r="I8" s="33"/>
      <c r="J8" s="33"/>
      <c r="K8" s="33"/>
      <c r="L8" s="33"/>
      <c r="M8" s="33"/>
      <c r="N8" s="33"/>
    </row>
    <row r="9" spans="1:14" ht="15.75" customHeight="1">
      <c r="A9" s="8" t="s">
        <v>152</v>
      </c>
      <c r="B9" s="8" t="s">
        <v>153</v>
      </c>
      <c r="C9" s="8" t="s">
        <v>154</v>
      </c>
      <c r="D9" s="8" t="s">
        <v>155</v>
      </c>
      <c r="E9" s="33"/>
      <c r="F9" s="8" t="s">
        <v>89</v>
      </c>
      <c r="G9" s="8" t="s">
        <v>153</v>
      </c>
      <c r="H9" s="8" t="s">
        <v>156</v>
      </c>
      <c r="I9" s="8" t="s">
        <v>157</v>
      </c>
      <c r="J9" s="8" t="s">
        <v>158</v>
      </c>
      <c r="K9" s="8" t="s">
        <v>113</v>
      </c>
      <c r="L9" s="33"/>
      <c r="M9" s="33"/>
      <c r="N9" s="33"/>
    </row>
    <row r="10" spans="1:14" ht="25.5" customHeight="1">
      <c r="A10" s="61" t="s">
        <v>159</v>
      </c>
      <c r="B10" s="62" t="s">
        <v>160</v>
      </c>
      <c r="C10" s="61"/>
      <c r="D10" s="61" t="s">
        <v>161</v>
      </c>
      <c r="E10" s="33"/>
      <c r="F10" s="54" t="s">
        <v>162</v>
      </c>
      <c r="G10" s="68">
        <f>B13</f>
        <v>35</v>
      </c>
      <c r="H10" s="39"/>
      <c r="I10" s="39" t="str">
        <f>IF(NOT(ISNUMBER(G10)),"NO EVALUABLE",IF(G10&lt;=CONFIG!$B$13,"BAJO",IF(G10&lt;=CONFIG!$B$14,"MEDIO","ALTO")))</f>
        <v>BAJO</v>
      </c>
      <c r="J10" s="39" t="str">
        <f>IF(ISNUMBER(B12),"USUARIO",INDEX(IG_BASE!$H$2:$H$8,MATCH(B10,IG_BASE!$B$2:$B$8,0)))</f>
        <v>SRC-GI-2021</v>
      </c>
      <c r="K10" s="39" t="str">
        <f>IF(ISNUMBER(B12),IF(B16="","FALTA FUENTE MANUAL","MANUAL CON FUENTE"),INDEX(IG_BASE!$J$2:$J$8,MATCH(B10,IG_BASE!$B$2:$B$8,0)))</f>
        <v>VERIFICADO_SECUNDARIO</v>
      </c>
      <c r="L10" s="33"/>
      <c r="M10" s="33"/>
      <c r="N10" s="33"/>
    </row>
    <row r="11" spans="1:14" ht="25.5" customHeight="1">
      <c r="A11" s="63" t="s">
        <v>163</v>
      </c>
      <c r="B11" s="64">
        <f>IF(B10="","",INDEX(IG_BASE!$E$2:$E$8,MATCH(B10,IG_BASE!$B$2:$B$8,0)))</f>
        <v>35</v>
      </c>
      <c r="C11" s="63" t="s">
        <v>164</v>
      </c>
      <c r="D11" s="63" t="s">
        <v>165</v>
      </c>
      <c r="F11" s="55" t="s">
        <v>166</v>
      </c>
      <c r="G11" s="69">
        <f>IF(AND(ISNUMBER(B13),ISNUMBER(B14)),B13*B14/100,"ND")</f>
        <v>10.5</v>
      </c>
      <c r="H11" s="70"/>
      <c r="I11" s="70" t="str">
        <f>IF(NOT(ISNUMBER(G11)),"NO EVALUABLE",IF(G11&lt;=CONFIG!$B$15,"BAJA",IF(G11&lt;=CONFIG!$B$16,"MEDIA","ALTA")))</f>
        <v>MEDIA</v>
      </c>
      <c r="J11" s="70" t="str">
        <f>J10</f>
        <v>SRC-GI-2021</v>
      </c>
      <c r="K11" s="70" t="str">
        <f>K10</f>
        <v>VERIFICADO_SECUNDARIO</v>
      </c>
    </row>
    <row r="12" spans="1:14" ht="24" customHeight="1">
      <c r="A12" s="63" t="s">
        <v>167</v>
      </c>
      <c r="B12" s="64"/>
      <c r="C12" s="63" t="s">
        <v>168</v>
      </c>
      <c r="D12" s="63" t="s">
        <v>169</v>
      </c>
      <c r="F12" s="55" t="s">
        <v>170</v>
      </c>
      <c r="G12" s="69">
        <f>B14</f>
        <v>30</v>
      </c>
      <c r="H12" s="70" t="s">
        <v>171</v>
      </c>
      <c r="I12" s="70"/>
      <c r="J12" s="70"/>
      <c r="K12" s="70"/>
    </row>
    <row r="13" spans="1:14">
      <c r="A13" s="63" t="s">
        <v>172</v>
      </c>
      <c r="B13" s="64">
        <f>IF(ISNUMBER(B12),B12,B11)</f>
        <v>35</v>
      </c>
      <c r="C13" s="63" t="s">
        <v>164</v>
      </c>
      <c r="D13" s="63" t="s">
        <v>173</v>
      </c>
      <c r="F13" s="55" t="s">
        <v>174</v>
      </c>
      <c r="G13" s="70" t="s">
        <v>164</v>
      </c>
      <c r="H13" s="70"/>
      <c r="I13" s="70"/>
      <c r="J13" s="70"/>
      <c r="K13" s="70"/>
    </row>
    <row r="14" spans="1:14" ht="102" customHeight="1">
      <c r="A14" s="63" t="s">
        <v>175</v>
      </c>
      <c r="B14" s="65">
        <v>30</v>
      </c>
      <c r="C14" s="63" t="s">
        <v>171</v>
      </c>
      <c r="D14" s="63" t="s">
        <v>176</v>
      </c>
      <c r="F14" s="55" t="s">
        <v>177</v>
      </c>
      <c r="G14" s="70" t="str">
        <f>IF(OR(B10="",NOT(ISNUMBER(B13))),"Faltan datos","El IG puede variar por variedad, madurez, procesamiento, cocción, enfriamiento y composición de la comida.")</f>
        <v>El IG puede variar por variedad, madurez, procesamiento, cocción, enfriamiento y composición de la comida.</v>
      </c>
      <c r="H14" s="70"/>
      <c r="I14" s="70"/>
      <c r="J14" s="70"/>
      <c r="K14" s="70"/>
    </row>
    <row r="15" spans="1:14" ht="24" customHeight="1">
      <c r="A15" s="63" t="s">
        <v>178</v>
      </c>
      <c r="B15" s="65" t="s">
        <v>179</v>
      </c>
      <c r="C15" s="63" t="s">
        <v>180</v>
      </c>
      <c r="D15" s="65" t="s">
        <v>181</v>
      </c>
    </row>
    <row r="16" spans="1:14" ht="24" customHeight="1">
      <c r="A16" s="63" t="s">
        <v>182</v>
      </c>
      <c r="B16" s="66"/>
      <c r="C16" s="63" t="s">
        <v>183</v>
      </c>
      <c r="D16" s="63" t="s">
        <v>184</v>
      </c>
    </row>
    <row r="20" spans="1:14" ht="15" customHeight="1">
      <c r="A20" s="154" t="s">
        <v>185</v>
      </c>
      <c r="B20" s="152"/>
      <c r="C20" s="152"/>
      <c r="D20" s="152"/>
      <c r="E20" s="152"/>
      <c r="F20" s="152"/>
      <c r="G20" s="152"/>
      <c r="H20" s="152"/>
      <c r="I20" s="152"/>
      <c r="J20" s="152"/>
      <c r="K20" s="152"/>
      <c r="L20" s="152"/>
      <c r="M20" s="152"/>
      <c r="N20" s="152"/>
    </row>
    <row r="21" spans="1:14">
      <c r="A21" s="184" t="s">
        <v>186</v>
      </c>
      <c r="B21" s="152"/>
      <c r="C21" s="152"/>
      <c r="D21" s="152"/>
      <c r="E21" s="152"/>
      <c r="F21" s="152"/>
      <c r="G21" s="152"/>
      <c r="H21" s="152"/>
      <c r="I21" s="152"/>
      <c r="J21" s="152"/>
      <c r="K21" s="152"/>
      <c r="L21" s="152"/>
      <c r="M21" s="152"/>
      <c r="N21" s="152"/>
    </row>
    <row r="22" spans="1:14">
      <c r="A22" s="152"/>
      <c r="B22" s="152"/>
      <c r="C22" s="152"/>
      <c r="D22" s="152"/>
      <c r="E22" s="152"/>
      <c r="F22" s="152"/>
      <c r="G22" s="152"/>
      <c r="H22" s="152"/>
      <c r="I22" s="152"/>
      <c r="J22" s="152"/>
      <c r="K22" s="152"/>
      <c r="L22" s="152"/>
      <c r="M22" s="152"/>
      <c r="N22" s="152"/>
    </row>
    <row r="23" spans="1:14">
      <c r="A23" s="152"/>
      <c r="B23" s="152"/>
      <c r="C23" s="152"/>
      <c r="D23" s="152"/>
      <c r="E23" s="152"/>
      <c r="F23" s="152"/>
      <c r="G23" s="152"/>
      <c r="H23" s="152"/>
      <c r="I23" s="152"/>
      <c r="J23" s="152"/>
      <c r="K23" s="152"/>
      <c r="L23" s="152"/>
      <c r="M23" s="152"/>
      <c r="N23" s="152"/>
    </row>
    <row r="24" spans="1:14">
      <c r="A24" s="152"/>
      <c r="B24" s="152"/>
      <c r="C24" s="152"/>
      <c r="D24" s="152"/>
      <c r="E24" s="152"/>
      <c r="F24" s="152"/>
      <c r="G24" s="152"/>
      <c r="H24" s="152"/>
      <c r="I24" s="152"/>
      <c r="J24" s="152"/>
      <c r="K24" s="152"/>
      <c r="L24" s="152"/>
      <c r="M24" s="152"/>
      <c r="N24" s="152"/>
    </row>
    <row r="25" spans="1:14">
      <c r="A25" s="152"/>
      <c r="B25" s="152"/>
      <c r="C25" s="152"/>
      <c r="D25" s="152"/>
      <c r="E25" s="152"/>
      <c r="F25" s="152"/>
      <c r="G25" s="152"/>
      <c r="H25" s="152"/>
      <c r="I25" s="152"/>
      <c r="J25" s="152"/>
      <c r="K25" s="152"/>
      <c r="L25" s="152"/>
      <c r="M25" s="152"/>
      <c r="N25" s="152"/>
    </row>
    <row r="26" spans="1:14">
      <c r="A26" s="152"/>
      <c r="B26" s="152"/>
      <c r="C26" s="152"/>
      <c r="D26" s="152"/>
      <c r="E26" s="152"/>
      <c r="F26" s="152"/>
      <c r="G26" s="152"/>
      <c r="H26" s="152"/>
      <c r="I26" s="152"/>
      <c r="J26" s="152"/>
      <c r="K26" s="152"/>
      <c r="L26" s="152"/>
      <c r="M26" s="152"/>
      <c r="N26" s="152"/>
    </row>
    <row r="29" spans="1:14" ht="15" customHeight="1">
      <c r="A29" s="154" t="s">
        <v>187</v>
      </c>
      <c r="B29" s="152"/>
      <c r="C29" s="152"/>
      <c r="D29" s="152"/>
      <c r="E29" s="152"/>
      <c r="F29" s="152"/>
      <c r="G29" s="152"/>
      <c r="H29" s="152"/>
      <c r="I29" s="152"/>
      <c r="J29" s="152"/>
    </row>
    <row r="30" spans="1:14">
      <c r="A30" s="8" t="s">
        <v>188</v>
      </c>
      <c r="B30" s="8" t="s">
        <v>189</v>
      </c>
      <c r="C30" s="8" t="s">
        <v>190</v>
      </c>
      <c r="D30" s="8" t="s">
        <v>191</v>
      </c>
      <c r="E30" s="8" t="s">
        <v>192</v>
      </c>
      <c r="F30" s="8" t="s">
        <v>193</v>
      </c>
      <c r="G30" s="8" t="s">
        <v>194</v>
      </c>
      <c r="H30" s="8" t="s">
        <v>158</v>
      </c>
      <c r="I30" s="8" t="s">
        <v>195</v>
      </c>
      <c r="J30" s="8" t="s">
        <v>113</v>
      </c>
    </row>
    <row r="31" spans="1:14" ht="36" customHeight="1">
      <c r="A31" s="55" t="str">
        <f>IF(B10="","",INDEX(IG_BASE!$A$2:$A$8,MATCH(B10,IG_BASE!$B$2:$B$8,0)))</f>
        <v>IG-DAIRY-CAT</v>
      </c>
      <c r="B31" s="55" t="str">
        <f>IF(B10="","",INDEX(IG_BASE!$B$2:$B$8,MATCH(B10,IG_BASE!$B$2:$B$8,0)))</f>
        <v>Productos lácteos (promedio de categoría)</v>
      </c>
      <c r="C31" s="55" t="str">
        <f>IF(B10="","",INDEX(IG_BASE!$C$2:$C$8,MATCH(B10,IG_BASE!$B$2:$B$8,0)))</f>
        <v>Promedio de múltiples productos</v>
      </c>
      <c r="D31" s="55" t="str">
        <f>IF(B10="","",INDEX(IG_BASE!$D$2:$D$8,MATCH(B10,IG_BASE!$B$2:$B$8,0)))</f>
        <v>Internacional</v>
      </c>
      <c r="E31" s="55">
        <f>IF(B10="","",INDEX(IG_BASE!$E$2:$E$8,MATCH(B10,IG_BASE!$B$2:$B$8,0)))</f>
        <v>35</v>
      </c>
      <c r="F31" s="55" t="str">
        <f>IF(B10="","",INDEX(IG_BASE!$F$2:$F$8,MATCH(B10,IG_BASE!$B$2:$B$8,0)))</f>
        <v>Glucosa=100</v>
      </c>
      <c r="G31" s="55">
        <f>IF(B10="","",INDEX(IG_BASE!$G$2:$G$8,MATCH(B10,IG_BASE!$B$2:$B$8,0)))</f>
        <v>2021</v>
      </c>
      <c r="H31" s="55" t="str">
        <f>IF(B10="","",INDEX(IG_BASE!$H$2:$H$8,MATCH(B10,IG_BASE!$B$2:$B$8,0)))</f>
        <v>SRC-GI-2021</v>
      </c>
      <c r="I31" s="55" t="str">
        <f>IF(B10="","",INDEX(IG_BASE!$I$2:$I$8,MATCH(B10,IG_BASE!$B$2:$B$8,0)))</f>
        <v>Promedio de categoría; composición y azúcares añadidos modifican el resultado.</v>
      </c>
      <c r="J31" s="55" t="str">
        <f>IF(B10="","",INDEX(IG_BASE!$J$2:$J$8,MATCH(B10,IG_BASE!$B$2:$B$8,0)))</f>
        <v>VERIFICADO_SECUNDARIO</v>
      </c>
    </row>
  </sheetData>
  <mergeCells count="6">
    <mergeCell ref="A29:J29"/>
    <mergeCell ref="A1:N2"/>
    <mergeCell ref="A3:N3"/>
    <mergeCell ref="A20:N20"/>
    <mergeCell ref="A21:N26"/>
    <mergeCell ref="A7:N7"/>
  </mergeCells>
  <conditionalFormatting sqref="I10">
    <cfRule type="expression" dxfId="33" priority="1">
      <formula>OR(I10="BAJO",I10="BAJA")</formula>
    </cfRule>
    <cfRule type="expression" dxfId="32" priority="2">
      <formula>OR(I10="MEDIO",I10="MEDIA")</formula>
    </cfRule>
    <cfRule type="expression" dxfId="31" priority="3">
      <formula>OR(I10="ALTO",I10="ALTA")</formula>
    </cfRule>
  </conditionalFormatting>
  <conditionalFormatting sqref="I11">
    <cfRule type="expression" dxfId="30" priority="4">
      <formula>OR(I11="BAJO",I11="BAJA")</formula>
    </cfRule>
    <cfRule type="expression" dxfId="29" priority="5">
      <formula>OR(I11="MEDIO",I11="MEDIA")</formula>
    </cfRule>
    <cfRule type="expression" dxfId="28" priority="6">
      <formula>OR(I11="ALTO",I11="ALTA")</formula>
    </cfRule>
  </conditionalFormatting>
  <dataValidations count="3">
    <dataValidation type="list" sqref="B10" xr:uid="{00000000-0002-0000-0400-000000000000}">
      <formula1>"Entrada manual,Legumbres (promedio de categoría),Productos lácteos (promedio de categoría),Arroz blanco (promedio publicado),Arroz integral (promedio publicado),Avena y muesli (promedio de categoría),Papa (promedio de categoría)"</formula1>
    </dataValidation>
    <dataValidation type="decimal" sqref="B12" xr:uid="{00000000-0002-0000-0400-000001000000}">
      <formula1>0</formula1>
      <formula2>100</formula2>
    </dataValidation>
    <dataValidation type="decimal" sqref="B14" xr:uid="{00000000-0002-0000-0400-000002000000}">
      <formula1>0</formula1>
      <formula2>500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8"/>
  <sheetViews>
    <sheetView showGridLines="0" workbookViewId="0">
      <selection activeCell="G34" sqref="G34"/>
    </sheetView>
  </sheetViews>
  <sheetFormatPr baseColWidth="10" defaultColWidth="9" defaultRowHeight="14.25"/>
  <cols>
    <col min="1" max="14" width="15" style="30" customWidth="1"/>
  </cols>
  <sheetData>
    <row r="1" spans="1:14">
      <c r="A1" s="155" t="s">
        <v>196</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197</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1"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6.1" customHeight="1">
      <c r="A7" s="171" t="s">
        <v>198</v>
      </c>
      <c r="B7" s="152"/>
      <c r="C7" s="152"/>
      <c r="D7" s="152"/>
      <c r="E7" s="152"/>
      <c r="F7" s="152"/>
      <c r="G7" s="152"/>
      <c r="H7" s="152"/>
      <c r="I7" s="152"/>
      <c r="J7" s="152"/>
      <c r="K7" s="152"/>
      <c r="L7" s="152"/>
      <c r="M7" s="152"/>
      <c r="N7" s="152"/>
    </row>
    <row r="8" spans="1:14" ht="15.75" customHeight="1">
      <c r="A8" s="33"/>
      <c r="B8" s="33"/>
      <c r="C8" s="33"/>
      <c r="D8" s="33"/>
      <c r="E8" s="33"/>
      <c r="F8" s="33"/>
      <c r="G8" s="33"/>
      <c r="H8" s="33"/>
      <c r="I8" s="33"/>
      <c r="J8" s="33"/>
      <c r="K8" s="33"/>
      <c r="L8" s="33"/>
      <c r="M8" s="33"/>
      <c r="N8" s="33"/>
    </row>
    <row r="9" spans="1:14" ht="15.75" customHeight="1">
      <c r="A9" s="8" t="s">
        <v>152</v>
      </c>
      <c r="B9" s="8" t="s">
        <v>153</v>
      </c>
      <c r="C9" s="8" t="s">
        <v>156</v>
      </c>
      <c r="D9" s="8" t="s">
        <v>199</v>
      </c>
      <c r="E9" s="33"/>
      <c r="F9" s="8" t="s">
        <v>88</v>
      </c>
      <c r="G9" s="8" t="s">
        <v>132</v>
      </c>
      <c r="H9" s="8" t="s">
        <v>156</v>
      </c>
      <c r="I9" s="8" t="s">
        <v>200</v>
      </c>
      <c r="J9" s="8" t="s">
        <v>201</v>
      </c>
      <c r="K9" s="8" t="s">
        <v>113</v>
      </c>
      <c r="L9" s="33"/>
      <c r="M9" s="33"/>
      <c r="N9" s="33"/>
    </row>
    <row r="10" spans="1:14" ht="24" customHeight="1">
      <c r="A10" s="61" t="s">
        <v>202</v>
      </c>
      <c r="B10" s="46">
        <f>DATOS!B30</f>
        <v>2.5</v>
      </c>
      <c r="C10" s="61" t="s">
        <v>203</v>
      </c>
      <c r="D10" s="61" t="s">
        <v>204</v>
      </c>
      <c r="E10" s="33"/>
      <c r="F10" s="54" t="s">
        <v>205</v>
      </c>
      <c r="G10" s="39">
        <f>CALCULOS_ADECUACIÓN!B7</f>
        <v>2.7</v>
      </c>
      <c r="H10" s="39" t="s">
        <v>203</v>
      </c>
      <c r="I10" s="39">
        <f>CALCULOS_ADECUACIÓN!B5</f>
        <v>2.5</v>
      </c>
      <c r="J10" s="96">
        <f>CALCULOS_ADECUACIÓN!B9</f>
        <v>92.592592592592581</v>
      </c>
      <c r="K10" s="39" t="str">
        <f>CALCULOS_ADECUACIÓN!B11</f>
        <v>DENTRO DEL RANGO</v>
      </c>
      <c r="L10" s="33"/>
      <c r="M10" s="33"/>
      <c r="N10" s="33"/>
    </row>
    <row r="11" spans="1:14" ht="24" customHeight="1">
      <c r="A11" s="63" t="s">
        <v>206</v>
      </c>
      <c r="B11" s="46">
        <f>DATOS!B31</f>
        <v>25</v>
      </c>
      <c r="C11" s="63" t="s">
        <v>207</v>
      </c>
      <c r="D11" s="63" t="s">
        <v>204</v>
      </c>
      <c r="F11" s="67" t="s">
        <v>208</v>
      </c>
      <c r="G11" s="39">
        <f>CALCULOS_ADECUACIÓN!B8</f>
        <v>25</v>
      </c>
      <c r="H11" s="39" t="s">
        <v>207</v>
      </c>
      <c r="I11" s="39">
        <f>CALCULOS_ADECUACIÓN!B6</f>
        <v>25</v>
      </c>
      <c r="J11" s="68">
        <f>CALCULOS_ADECUACIÓN!B10</f>
        <v>100</v>
      </c>
      <c r="K11" s="39" t="str">
        <f>CALCULOS_ADECUACIÓN!B12</f>
        <v>DENTRO DEL RANGO</v>
      </c>
    </row>
    <row r="15" spans="1:14" ht="15" customHeight="1">
      <c r="A15" s="154" t="s">
        <v>209</v>
      </c>
      <c r="B15" s="152"/>
      <c r="C15" s="152"/>
      <c r="D15" s="152"/>
      <c r="E15" s="152"/>
      <c r="F15" s="152"/>
      <c r="G15" s="152"/>
      <c r="H15" s="152"/>
      <c r="I15" s="152"/>
      <c r="J15" s="152"/>
      <c r="K15" s="152"/>
      <c r="L15" s="152"/>
      <c r="M15" s="152"/>
      <c r="N15" s="152"/>
    </row>
    <row r="16" spans="1:14">
      <c r="A16" s="185" t="s">
        <v>210</v>
      </c>
      <c r="B16" s="160"/>
      <c r="C16" s="160"/>
      <c r="D16" s="160"/>
      <c r="E16" s="160"/>
      <c r="F16" s="160"/>
      <c r="G16" s="160"/>
      <c r="H16" s="160"/>
      <c r="I16" s="160"/>
      <c r="J16" s="160"/>
      <c r="K16" s="160"/>
      <c r="L16" s="160"/>
      <c r="M16" s="160"/>
      <c r="N16" s="161"/>
    </row>
    <row r="17" spans="1:14">
      <c r="A17" s="162"/>
      <c r="B17" s="152"/>
      <c r="C17" s="152"/>
      <c r="D17" s="152"/>
      <c r="E17" s="152"/>
      <c r="F17" s="152"/>
      <c r="G17" s="152"/>
      <c r="H17" s="152"/>
      <c r="I17" s="152"/>
      <c r="J17" s="152"/>
      <c r="K17" s="152"/>
      <c r="L17" s="152"/>
      <c r="M17" s="152"/>
      <c r="N17" s="163"/>
    </row>
    <row r="18" spans="1:14">
      <c r="A18" s="162"/>
      <c r="B18" s="152"/>
      <c r="C18" s="152"/>
      <c r="D18" s="152"/>
      <c r="E18" s="152"/>
      <c r="F18" s="152"/>
      <c r="G18" s="152"/>
      <c r="H18" s="152"/>
      <c r="I18" s="152"/>
      <c r="J18" s="152"/>
      <c r="K18" s="152"/>
      <c r="L18" s="152"/>
      <c r="M18" s="152"/>
      <c r="N18" s="163"/>
    </row>
    <row r="19" spans="1:14">
      <c r="A19" s="162"/>
      <c r="B19" s="152"/>
      <c r="C19" s="152"/>
      <c r="D19" s="152"/>
      <c r="E19" s="152"/>
      <c r="F19" s="152"/>
      <c r="G19" s="152"/>
      <c r="H19" s="152"/>
      <c r="I19" s="152"/>
      <c r="J19" s="152"/>
      <c r="K19" s="152"/>
      <c r="L19" s="152"/>
      <c r="M19" s="152"/>
      <c r="N19" s="163"/>
    </row>
    <row r="20" spans="1:14">
      <c r="A20" s="162"/>
      <c r="B20" s="152"/>
      <c r="C20" s="152"/>
      <c r="D20" s="152"/>
      <c r="E20" s="152"/>
      <c r="F20" s="152"/>
      <c r="G20" s="152"/>
      <c r="H20" s="152"/>
      <c r="I20" s="152"/>
      <c r="J20" s="152"/>
      <c r="K20" s="152"/>
      <c r="L20" s="152"/>
      <c r="M20" s="152"/>
      <c r="N20" s="163"/>
    </row>
    <row r="21" spans="1:14">
      <c r="A21" s="164"/>
      <c r="B21" s="165"/>
      <c r="C21" s="165"/>
      <c r="D21" s="165"/>
      <c r="E21" s="165"/>
      <c r="F21" s="165"/>
      <c r="G21" s="165"/>
      <c r="H21" s="165"/>
      <c r="I21" s="165"/>
      <c r="J21" s="165"/>
      <c r="K21" s="165"/>
      <c r="L21" s="165"/>
      <c r="M21" s="165"/>
      <c r="N21" s="166"/>
    </row>
    <row r="24" spans="1:14" ht="15" customHeight="1">
      <c r="A24" s="154" t="s">
        <v>211</v>
      </c>
      <c r="B24" s="152"/>
      <c r="C24" s="152"/>
      <c r="D24" s="152"/>
      <c r="E24" s="152"/>
      <c r="F24" s="152"/>
    </row>
    <row r="25" spans="1:14">
      <c r="A25" s="53" t="s">
        <v>212</v>
      </c>
      <c r="B25" s="53" t="s">
        <v>153</v>
      </c>
      <c r="C25" s="53" t="s">
        <v>156</v>
      </c>
    </row>
    <row r="26" spans="1:14">
      <c r="A26" s="55" t="s">
        <v>32</v>
      </c>
      <c r="B26" s="55">
        <f>CALCULOS_ADECUACIÓN!B2</f>
        <v>25</v>
      </c>
      <c r="C26" s="55" t="s">
        <v>85</v>
      </c>
    </row>
    <row r="27" spans="1:14">
      <c r="A27" s="55" t="s">
        <v>39</v>
      </c>
      <c r="B27" s="55" t="str">
        <f>CALCULOS_ADECUACIÓN!B3</f>
        <v>Femenino</v>
      </c>
      <c r="C27" s="55"/>
    </row>
    <row r="28" spans="1:14">
      <c r="A28" s="55" t="s">
        <v>48</v>
      </c>
      <c r="B28" s="55" t="str">
        <f>CALCULOS_ADECUACIÓN!B4</f>
        <v>Ninguno</v>
      </c>
      <c r="C28" s="55"/>
    </row>
  </sheetData>
  <mergeCells count="6">
    <mergeCell ref="A24:F24"/>
    <mergeCell ref="A1:N2"/>
    <mergeCell ref="A3:N3"/>
    <mergeCell ref="A16:N21"/>
    <mergeCell ref="A15:N15"/>
    <mergeCell ref="A7:N7"/>
  </mergeCells>
  <conditionalFormatting sqref="J10:J11">
    <cfRule type="dataBar" priority="1">
      <dataBar>
        <cfvo type="min"/>
        <cfvo type="max"/>
        <color rgb="FF1C6B72"/>
      </dataBar>
    </cfRule>
    <cfRule type="dataBar" priority="6">
      <dataBar>
        <cfvo type="min"/>
        <cfvo type="max"/>
        <color rgb="FF1C6B72"/>
      </dataBar>
    </cfRule>
  </conditionalFormatting>
  <conditionalFormatting sqref="K10:K11">
    <cfRule type="expression" dxfId="27" priority="2">
      <formula>K10="DENTRO DEL RANGO"</formula>
    </cfRule>
    <cfRule type="expression" dxfId="26" priority="3">
      <formula>K10="BAJO"</formula>
    </cfRule>
    <cfRule type="expression" dxfId="25" priority="4">
      <formula>K10="SOBRE EL RANGO"</formula>
    </cfRule>
    <cfRule type="expression" dxfId="24" priority="5">
      <formula>K10="NO EVALUABLE"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0"/>
  <sheetViews>
    <sheetView showGridLines="0" topLeftCell="A10" workbookViewId="0">
      <selection sqref="A1:N2"/>
    </sheetView>
  </sheetViews>
  <sheetFormatPr baseColWidth="10" defaultColWidth="9" defaultRowHeight="14.25"/>
  <cols>
    <col min="1" max="3" width="17" style="30" customWidth="1"/>
    <col min="4" max="4" width="18.25" style="30" customWidth="1"/>
    <col min="5" max="5" width="16.875" style="30" customWidth="1"/>
    <col min="6" max="9" width="17" style="30" customWidth="1"/>
    <col min="10" max="10" width="30.875" style="30" customWidth="1"/>
    <col min="11" max="11" width="17" style="30" customWidth="1"/>
    <col min="12" max="14" width="14" style="30" customWidth="1"/>
  </cols>
  <sheetData>
    <row r="1" spans="1:14">
      <c r="A1" s="155" t="s">
        <v>213</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214</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4" t="s">
        <v>188</v>
      </c>
      <c r="B7" s="4" t="s">
        <v>215</v>
      </c>
      <c r="C7" s="4" t="s">
        <v>216</v>
      </c>
      <c r="D7" s="4" t="s">
        <v>217</v>
      </c>
      <c r="E7" s="4" t="s">
        <v>218</v>
      </c>
      <c r="F7" s="4" t="s">
        <v>219</v>
      </c>
      <c r="G7" s="4" t="s">
        <v>220</v>
      </c>
      <c r="H7" s="4" t="s">
        <v>221</v>
      </c>
      <c r="I7" s="4" t="s">
        <v>222</v>
      </c>
      <c r="J7" s="4" t="s">
        <v>223</v>
      </c>
      <c r="K7" s="4" t="s">
        <v>224</v>
      </c>
    </row>
    <row r="8" spans="1:14" ht="28.5" customHeight="1">
      <c r="A8" s="78" t="s">
        <v>225</v>
      </c>
      <c r="B8" s="78" t="s">
        <v>226</v>
      </c>
      <c r="C8" s="78" t="s">
        <v>227</v>
      </c>
      <c r="D8" s="78" t="s">
        <v>228</v>
      </c>
      <c r="E8" s="78" t="s">
        <v>229</v>
      </c>
      <c r="F8" s="78" t="s">
        <v>230</v>
      </c>
      <c r="G8" s="78" t="s">
        <v>231</v>
      </c>
      <c r="H8" s="78" t="s">
        <v>231</v>
      </c>
      <c r="I8" s="78" t="s">
        <v>231</v>
      </c>
      <c r="J8" s="71" t="s">
        <v>232</v>
      </c>
      <c r="K8" s="72">
        <v>46237</v>
      </c>
    </row>
    <row r="9" spans="1:14" ht="28.5" customHeight="1">
      <c r="A9" s="78" t="s">
        <v>233</v>
      </c>
      <c r="B9" s="78" t="s">
        <v>234</v>
      </c>
      <c r="C9" s="78" t="s">
        <v>235</v>
      </c>
      <c r="D9" s="78" t="s">
        <v>228</v>
      </c>
      <c r="E9" s="78" t="s">
        <v>229</v>
      </c>
      <c r="F9" s="78" t="s">
        <v>230</v>
      </c>
      <c r="G9" s="78" t="s">
        <v>231</v>
      </c>
      <c r="H9" s="78" t="s">
        <v>231</v>
      </c>
      <c r="I9" s="78" t="s">
        <v>231</v>
      </c>
      <c r="J9" s="71" t="s">
        <v>232</v>
      </c>
      <c r="K9" s="72">
        <v>46237</v>
      </c>
    </row>
    <row r="10" spans="1:14" ht="28.5" customHeight="1">
      <c r="A10" s="78" t="s">
        <v>236</v>
      </c>
      <c r="B10" s="78" t="s">
        <v>237</v>
      </c>
      <c r="C10" s="78" t="s">
        <v>238</v>
      </c>
      <c r="D10" s="78" t="s">
        <v>228</v>
      </c>
      <c r="E10" s="78" t="s">
        <v>229</v>
      </c>
      <c r="F10" s="78" t="s">
        <v>230</v>
      </c>
      <c r="G10" s="78" t="s">
        <v>231</v>
      </c>
      <c r="H10" s="78" t="s">
        <v>231</v>
      </c>
      <c r="I10" s="78" t="s">
        <v>231</v>
      </c>
      <c r="J10" s="71" t="s">
        <v>232</v>
      </c>
      <c r="K10" s="72">
        <v>46237</v>
      </c>
    </row>
    <row r="11" spans="1:14" ht="28.5" customHeight="1">
      <c r="A11" s="78" t="s">
        <v>239</v>
      </c>
      <c r="B11" s="78" t="s">
        <v>240</v>
      </c>
      <c r="C11" s="78" t="s">
        <v>241</v>
      </c>
      <c r="D11" s="78" t="s">
        <v>228</v>
      </c>
      <c r="E11" s="78" t="s">
        <v>242</v>
      </c>
      <c r="F11" s="78" t="s">
        <v>230</v>
      </c>
      <c r="G11" s="78" t="s">
        <v>231</v>
      </c>
      <c r="H11" s="78" t="s">
        <v>231</v>
      </c>
      <c r="I11" s="78" t="s">
        <v>231</v>
      </c>
      <c r="J11" s="71" t="s">
        <v>232</v>
      </c>
      <c r="K11" s="72">
        <v>46237</v>
      </c>
    </row>
    <row r="12" spans="1:14" ht="28.5" customHeight="1">
      <c r="A12" s="78" t="s">
        <v>243</v>
      </c>
      <c r="B12" s="78" t="s">
        <v>244</v>
      </c>
      <c r="C12" s="78" t="s">
        <v>245</v>
      </c>
      <c r="D12" s="78" t="s">
        <v>228</v>
      </c>
      <c r="E12" s="78" t="s">
        <v>242</v>
      </c>
      <c r="F12" s="78" t="s">
        <v>230</v>
      </c>
      <c r="G12" s="78" t="s">
        <v>231</v>
      </c>
      <c r="H12" s="78" t="s">
        <v>231</v>
      </c>
      <c r="I12" s="78" t="s">
        <v>231</v>
      </c>
      <c r="J12" s="71" t="s">
        <v>232</v>
      </c>
      <c r="K12" s="72">
        <v>46237</v>
      </c>
    </row>
    <row r="13" spans="1:14" ht="28.5" customHeight="1">
      <c r="A13" s="78" t="s">
        <v>246</v>
      </c>
      <c r="B13" s="78" t="s">
        <v>247</v>
      </c>
      <c r="C13" s="78" t="s">
        <v>248</v>
      </c>
      <c r="D13" s="78" t="s">
        <v>228</v>
      </c>
      <c r="E13" s="78" t="s">
        <v>229</v>
      </c>
      <c r="F13" s="78" t="s">
        <v>249</v>
      </c>
      <c r="G13" s="78" t="s">
        <v>231</v>
      </c>
      <c r="H13" s="78" t="s">
        <v>231</v>
      </c>
      <c r="I13" s="78" t="s">
        <v>231</v>
      </c>
      <c r="J13" s="71" t="s">
        <v>232</v>
      </c>
      <c r="K13" s="72">
        <v>46237</v>
      </c>
    </row>
    <row r="14" spans="1:14" ht="28.5" customHeight="1">
      <c r="A14" s="78" t="s">
        <v>250</v>
      </c>
      <c r="B14" s="78" t="s">
        <v>251</v>
      </c>
      <c r="C14" s="78" t="s">
        <v>252</v>
      </c>
      <c r="D14" s="78" t="s">
        <v>228</v>
      </c>
      <c r="E14" s="78" t="s">
        <v>253</v>
      </c>
      <c r="F14" s="78" t="s">
        <v>230</v>
      </c>
      <c r="G14" s="78" t="s">
        <v>231</v>
      </c>
      <c r="H14" s="78" t="s">
        <v>231</v>
      </c>
      <c r="I14" s="78" t="s">
        <v>254</v>
      </c>
      <c r="J14" s="71" t="s">
        <v>232</v>
      </c>
      <c r="K14" s="72">
        <v>46237</v>
      </c>
    </row>
    <row r="15" spans="1:14" ht="28.5" customHeight="1">
      <c r="A15" s="78" t="s">
        <v>255</v>
      </c>
      <c r="B15" s="78" t="s">
        <v>256</v>
      </c>
      <c r="C15" s="78" t="s">
        <v>257</v>
      </c>
      <c r="D15" s="78" t="s">
        <v>228</v>
      </c>
      <c r="E15" s="78" t="s">
        <v>242</v>
      </c>
      <c r="F15" s="78" t="s">
        <v>230</v>
      </c>
      <c r="G15" s="78" t="s">
        <v>231</v>
      </c>
      <c r="H15" s="78" t="s">
        <v>231</v>
      </c>
      <c r="I15" s="78" t="s">
        <v>231</v>
      </c>
      <c r="J15" s="71" t="s">
        <v>232</v>
      </c>
      <c r="K15" s="72">
        <v>46237</v>
      </c>
    </row>
    <row r="16" spans="1:14" ht="28.5" customHeight="1">
      <c r="A16" s="78" t="s">
        <v>258</v>
      </c>
      <c r="B16" s="78" t="s">
        <v>259</v>
      </c>
      <c r="C16" s="78" t="s">
        <v>260</v>
      </c>
      <c r="D16" s="78" t="s">
        <v>228</v>
      </c>
      <c r="E16" s="78" t="s">
        <v>253</v>
      </c>
      <c r="F16" s="78" t="s">
        <v>230</v>
      </c>
      <c r="G16" s="78" t="s">
        <v>231</v>
      </c>
      <c r="H16" s="78" t="s">
        <v>231</v>
      </c>
      <c r="I16" s="78" t="s">
        <v>261</v>
      </c>
      <c r="J16" s="71" t="s">
        <v>232</v>
      </c>
      <c r="K16" s="72">
        <v>46237</v>
      </c>
    </row>
    <row r="17" spans="1:11" ht="28.5" customHeight="1">
      <c r="A17" s="78" t="s">
        <v>262</v>
      </c>
      <c r="B17" s="78" t="s">
        <v>263</v>
      </c>
      <c r="C17" s="78" t="s">
        <v>264</v>
      </c>
      <c r="D17" s="78" t="s">
        <v>228</v>
      </c>
      <c r="E17" s="78" t="s">
        <v>253</v>
      </c>
      <c r="F17" s="78" t="s">
        <v>230</v>
      </c>
      <c r="G17" s="78" t="s">
        <v>265</v>
      </c>
      <c r="H17" s="78" t="s">
        <v>231</v>
      </c>
      <c r="I17" s="78" t="s">
        <v>231</v>
      </c>
      <c r="J17" s="71" t="s">
        <v>232</v>
      </c>
      <c r="K17" s="72">
        <v>46237</v>
      </c>
    </row>
    <row r="18" spans="1:11" ht="28.5" customHeight="1">
      <c r="A18" s="78" t="s">
        <v>266</v>
      </c>
      <c r="B18" s="78" t="s">
        <v>267</v>
      </c>
      <c r="C18" s="78" t="s">
        <v>268</v>
      </c>
      <c r="D18" s="78" t="s">
        <v>269</v>
      </c>
      <c r="E18" s="78" t="s">
        <v>270</v>
      </c>
      <c r="F18" s="78" t="s">
        <v>271</v>
      </c>
      <c r="G18" s="78" t="s">
        <v>231</v>
      </c>
      <c r="H18" s="78" t="s">
        <v>231</v>
      </c>
      <c r="I18" s="78" t="s">
        <v>231</v>
      </c>
      <c r="J18" s="71" t="s">
        <v>232</v>
      </c>
      <c r="K18" s="72">
        <v>46237</v>
      </c>
    </row>
    <row r="19" spans="1:11" ht="28.5" customHeight="1">
      <c r="A19" s="78" t="s">
        <v>272</v>
      </c>
      <c r="B19" s="78" t="s">
        <v>273</v>
      </c>
      <c r="C19" s="78" t="s">
        <v>274</v>
      </c>
      <c r="D19" s="78" t="s">
        <v>269</v>
      </c>
      <c r="E19" s="78" t="s">
        <v>270</v>
      </c>
      <c r="F19" s="78" t="s">
        <v>249</v>
      </c>
      <c r="G19" s="78" t="s">
        <v>231</v>
      </c>
      <c r="H19" s="78" t="s">
        <v>231</v>
      </c>
      <c r="I19" s="78" t="s">
        <v>231</v>
      </c>
      <c r="J19" s="71" t="s">
        <v>232</v>
      </c>
      <c r="K19" s="72">
        <v>46237</v>
      </c>
    </row>
    <row r="20" spans="1:11" ht="28.5" customHeight="1">
      <c r="A20" s="78" t="s">
        <v>275</v>
      </c>
      <c r="B20" s="78" t="s">
        <v>276</v>
      </c>
      <c r="C20" s="78" t="s">
        <v>277</v>
      </c>
      <c r="D20" s="78" t="s">
        <v>269</v>
      </c>
      <c r="E20" s="78" t="s">
        <v>270</v>
      </c>
      <c r="F20" s="78" t="s">
        <v>230</v>
      </c>
      <c r="G20" s="78" t="s">
        <v>231</v>
      </c>
      <c r="H20" s="78" t="s">
        <v>231</v>
      </c>
      <c r="I20" s="78" t="s">
        <v>231</v>
      </c>
      <c r="J20" s="71" t="s">
        <v>232</v>
      </c>
      <c r="K20" s="72">
        <v>46237</v>
      </c>
    </row>
    <row r="21" spans="1:11" ht="28.5" customHeight="1">
      <c r="A21" s="78" t="s">
        <v>278</v>
      </c>
      <c r="B21" s="78" t="s">
        <v>279</v>
      </c>
      <c r="C21" s="78" t="s">
        <v>252</v>
      </c>
      <c r="D21" s="78" t="s">
        <v>269</v>
      </c>
      <c r="E21" s="78" t="s">
        <v>270</v>
      </c>
      <c r="F21" s="78" t="s">
        <v>249</v>
      </c>
      <c r="G21" s="78" t="s">
        <v>231</v>
      </c>
      <c r="H21" s="78" t="s">
        <v>231</v>
      </c>
      <c r="I21" s="78" t="s">
        <v>254</v>
      </c>
      <c r="J21" s="71" t="s">
        <v>232</v>
      </c>
      <c r="K21" s="72">
        <v>46237</v>
      </c>
    </row>
    <row r="22" spans="1:11" ht="28.5" customHeight="1">
      <c r="A22" s="78" t="s">
        <v>280</v>
      </c>
      <c r="B22" s="78" t="s">
        <v>281</v>
      </c>
      <c r="C22" s="78" t="s">
        <v>282</v>
      </c>
      <c r="D22" s="78" t="s">
        <v>283</v>
      </c>
      <c r="E22" s="78" t="s">
        <v>284</v>
      </c>
      <c r="F22" s="78" t="s">
        <v>230</v>
      </c>
      <c r="G22" s="78" t="s">
        <v>231</v>
      </c>
      <c r="H22" s="78" t="s">
        <v>231</v>
      </c>
      <c r="I22" s="78" t="s">
        <v>231</v>
      </c>
      <c r="J22" s="71" t="s">
        <v>232</v>
      </c>
      <c r="K22" s="72">
        <v>46237</v>
      </c>
    </row>
    <row r="23" spans="1:11" ht="28.5" customHeight="1">
      <c r="A23" s="78" t="s">
        <v>285</v>
      </c>
      <c r="B23" s="78" t="s">
        <v>286</v>
      </c>
      <c r="C23" s="78" t="s">
        <v>287</v>
      </c>
      <c r="D23" s="78" t="s">
        <v>283</v>
      </c>
      <c r="E23" s="78" t="s">
        <v>288</v>
      </c>
      <c r="F23" s="78" t="s">
        <v>230</v>
      </c>
      <c r="G23" s="78" t="s">
        <v>231</v>
      </c>
      <c r="H23" s="78" t="s">
        <v>231</v>
      </c>
      <c r="I23" s="78" t="s">
        <v>254</v>
      </c>
      <c r="J23" s="71" t="s">
        <v>232</v>
      </c>
      <c r="K23" s="72">
        <v>46237</v>
      </c>
    </row>
    <row r="24" spans="1:11" ht="28.5" customHeight="1">
      <c r="A24" s="78" t="s">
        <v>289</v>
      </c>
      <c r="B24" s="78" t="s">
        <v>290</v>
      </c>
      <c r="C24" s="78" t="s">
        <v>291</v>
      </c>
      <c r="D24" s="78" t="s">
        <v>283</v>
      </c>
      <c r="E24" s="78" t="s">
        <v>288</v>
      </c>
      <c r="F24" s="78" t="s">
        <v>230</v>
      </c>
      <c r="G24" s="78" t="s">
        <v>231</v>
      </c>
      <c r="H24" s="78" t="s">
        <v>231</v>
      </c>
      <c r="I24" s="78" t="s">
        <v>254</v>
      </c>
      <c r="J24" s="71" t="s">
        <v>232</v>
      </c>
      <c r="K24" s="72">
        <v>46237</v>
      </c>
    </row>
    <row r="25" spans="1:11" ht="28.5" customHeight="1">
      <c r="A25" s="78" t="s">
        <v>292</v>
      </c>
      <c r="B25" s="78" t="s">
        <v>293</v>
      </c>
      <c r="C25" s="78" t="s">
        <v>294</v>
      </c>
      <c r="D25" s="78" t="s">
        <v>283</v>
      </c>
      <c r="E25" s="78" t="s">
        <v>288</v>
      </c>
      <c r="F25" s="78" t="s">
        <v>295</v>
      </c>
      <c r="G25" s="78" t="s">
        <v>231</v>
      </c>
      <c r="H25" s="78" t="s">
        <v>231</v>
      </c>
      <c r="I25" s="78" t="s">
        <v>231</v>
      </c>
      <c r="J25" s="71" t="s">
        <v>232</v>
      </c>
      <c r="K25" s="72">
        <v>46237</v>
      </c>
    </row>
    <row r="26" spans="1:11" ht="28.5" customHeight="1">
      <c r="A26" s="78" t="s">
        <v>296</v>
      </c>
      <c r="B26" s="78" t="s">
        <v>297</v>
      </c>
      <c r="C26" s="78" t="s">
        <v>298</v>
      </c>
      <c r="D26" s="78" t="s">
        <v>283</v>
      </c>
      <c r="E26" s="78" t="s">
        <v>288</v>
      </c>
      <c r="F26" s="78" t="s">
        <v>230</v>
      </c>
      <c r="G26" s="78" t="s">
        <v>231</v>
      </c>
      <c r="H26" s="78" t="s">
        <v>231</v>
      </c>
      <c r="I26" s="78" t="s">
        <v>254</v>
      </c>
      <c r="J26" s="71" t="s">
        <v>232</v>
      </c>
      <c r="K26" s="72">
        <v>46237</v>
      </c>
    </row>
    <row r="27" spans="1:11" ht="28.5" customHeight="1">
      <c r="A27" s="78" t="s">
        <v>299</v>
      </c>
      <c r="B27" s="78" t="s">
        <v>300</v>
      </c>
      <c r="C27" s="78" t="s">
        <v>301</v>
      </c>
      <c r="D27" s="78" t="s">
        <v>283</v>
      </c>
      <c r="E27" s="78" t="s">
        <v>288</v>
      </c>
      <c r="F27" s="78" t="s">
        <v>230</v>
      </c>
      <c r="G27" s="78" t="s">
        <v>231</v>
      </c>
      <c r="H27" s="78" t="s">
        <v>231</v>
      </c>
      <c r="I27" s="78" t="s">
        <v>231</v>
      </c>
      <c r="J27" s="71" t="s">
        <v>232</v>
      </c>
      <c r="K27" s="72">
        <v>46237</v>
      </c>
    </row>
    <row r="28" spans="1:11" ht="28.5" customHeight="1">
      <c r="A28" s="78" t="s">
        <v>302</v>
      </c>
      <c r="B28" s="78" t="s">
        <v>303</v>
      </c>
      <c r="C28" s="78" t="s">
        <v>304</v>
      </c>
      <c r="D28" s="78" t="s">
        <v>283</v>
      </c>
      <c r="E28" s="78" t="s">
        <v>288</v>
      </c>
      <c r="F28" s="78" t="s">
        <v>249</v>
      </c>
      <c r="G28" s="78" t="s">
        <v>265</v>
      </c>
      <c r="H28" s="78" t="s">
        <v>231</v>
      </c>
      <c r="I28" s="78" t="s">
        <v>254</v>
      </c>
      <c r="J28" s="71" t="s">
        <v>232</v>
      </c>
      <c r="K28" s="72">
        <v>46237</v>
      </c>
    </row>
    <row r="29" spans="1:11" ht="28.5" customHeight="1">
      <c r="A29" s="78" t="s">
        <v>305</v>
      </c>
      <c r="B29" s="78" t="s">
        <v>306</v>
      </c>
      <c r="C29" s="78" t="s">
        <v>307</v>
      </c>
      <c r="D29" s="78" t="s">
        <v>283</v>
      </c>
      <c r="E29" s="78" t="s">
        <v>288</v>
      </c>
      <c r="F29" s="78" t="s">
        <v>308</v>
      </c>
      <c r="G29" s="78" t="s">
        <v>231</v>
      </c>
      <c r="H29" s="78" t="s">
        <v>231</v>
      </c>
      <c r="I29" s="78" t="s">
        <v>231</v>
      </c>
      <c r="J29" s="71" t="s">
        <v>232</v>
      </c>
      <c r="K29" s="72">
        <v>46237</v>
      </c>
    </row>
    <row r="30" spans="1:11" ht="28.5" customHeight="1">
      <c r="A30" s="78" t="s">
        <v>309</v>
      </c>
      <c r="B30" s="78" t="s">
        <v>310</v>
      </c>
      <c r="C30" s="78" t="s">
        <v>311</v>
      </c>
      <c r="D30" s="78" t="s">
        <v>283</v>
      </c>
      <c r="E30" s="78" t="s">
        <v>288</v>
      </c>
      <c r="F30" s="78" t="s">
        <v>249</v>
      </c>
      <c r="G30" s="78" t="s">
        <v>231</v>
      </c>
      <c r="H30" s="78" t="s">
        <v>231</v>
      </c>
      <c r="I30" s="78" t="s">
        <v>254</v>
      </c>
      <c r="J30" s="71" t="s">
        <v>232</v>
      </c>
      <c r="K30" s="72">
        <v>46237</v>
      </c>
    </row>
  </sheetData>
  <mergeCells count="2">
    <mergeCell ref="A1:N2"/>
    <mergeCell ref="A3:N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6"/>
  <sheetViews>
    <sheetView showGridLines="0" zoomScaleNormal="100" workbookViewId="0">
      <selection activeCell="C7" sqref="C7:D7"/>
    </sheetView>
  </sheetViews>
  <sheetFormatPr baseColWidth="10" defaultColWidth="9" defaultRowHeight="14.25"/>
  <cols>
    <col min="1" max="14" width="12" style="30" customWidth="1"/>
  </cols>
  <sheetData>
    <row r="1" spans="1:14">
      <c r="A1" s="213" t="s">
        <v>312</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313</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1"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4.75" customHeight="1">
      <c r="A7" s="209" t="s">
        <v>314</v>
      </c>
      <c r="B7" s="170"/>
      <c r="C7" s="223" t="s">
        <v>234</v>
      </c>
      <c r="D7" s="224"/>
      <c r="E7" s="211" t="s">
        <v>188</v>
      </c>
      <c r="F7" s="170"/>
      <c r="G7" s="210" t="str">
        <f>IFERROR(INDEX(NUTRIENTES!$A$8:$A$30,MATCH($C$7,NUTRIENTES!$B$8:$B$30,0)),"")</f>
        <v>MIN-ZN</v>
      </c>
      <c r="H7" s="170"/>
      <c r="I7" s="211" t="s">
        <v>315</v>
      </c>
      <c r="J7" s="170"/>
      <c r="K7" s="210" t="str">
        <f>IFERROR(INDEX(NUTRIENTES!$D$8:$D$30,MATCH($C$7,NUTRIENTES!$B$8:$B$30,0)),"")</f>
        <v>Mineral</v>
      </c>
      <c r="L7" s="170"/>
      <c r="M7" s="74" t="s">
        <v>316</v>
      </c>
      <c r="N7" s="75" t="str">
        <f>IFERROR(INDEX(NUTRIENTES!$F$8:$F$30,MATCH($C$7,NUTRIENTES!$B$8:$B$30,0)),"")</f>
        <v>mg</v>
      </c>
    </row>
    <row r="8" spans="1:14" ht="15.75" customHeight="1">
      <c r="A8" s="225" t="s">
        <v>317</v>
      </c>
      <c r="B8" s="225"/>
      <c r="C8" s="225" t="str">
        <f>IFERROR(INDEX(NUTRIENTES!$A$8:$A$30,MATCH($C$7,NUTRIENTES!$B$8:$B$30,0)),"")</f>
        <v>MIN-ZN</v>
      </c>
      <c r="D8" s="225"/>
      <c r="E8" s="225"/>
      <c r="F8" s="225"/>
      <c r="G8" s="225"/>
      <c r="H8" s="225"/>
      <c r="I8" s="225"/>
      <c r="J8" s="225"/>
      <c r="K8" s="225"/>
      <c r="L8" s="225"/>
      <c r="M8" s="225"/>
      <c r="N8" s="225"/>
    </row>
    <row r="9" spans="1:14" ht="15.75" customHeight="1">
      <c r="A9" s="33"/>
      <c r="B9" s="33"/>
      <c r="C9" s="33"/>
      <c r="D9" s="33"/>
      <c r="E9" s="33"/>
      <c r="F9" s="33"/>
      <c r="G9" s="33"/>
      <c r="H9" s="33"/>
      <c r="I9" s="33"/>
      <c r="J9" s="33"/>
      <c r="K9" s="33"/>
      <c r="L9" s="33"/>
      <c r="M9" s="33"/>
      <c r="N9" s="33"/>
    </row>
    <row r="10" spans="1:14">
      <c r="A10" s="187" t="s">
        <v>318</v>
      </c>
      <c r="B10" s="152"/>
      <c r="C10" s="152"/>
      <c r="D10" s="152"/>
      <c r="E10" s="187" t="s">
        <v>319</v>
      </c>
      <c r="F10" s="152"/>
      <c r="G10" s="152"/>
      <c r="H10" s="152"/>
      <c r="I10" s="152"/>
      <c r="J10" s="187" t="s">
        <v>320</v>
      </c>
      <c r="K10" s="152"/>
      <c r="L10" s="152"/>
      <c r="M10" s="152"/>
      <c r="N10" s="152"/>
    </row>
    <row r="11" spans="1:14" ht="21.95" customHeight="1">
      <c r="A11" s="206" t="str">
        <f>IFERROR(INDEX(FICHAS_BASE!$D$2:$D$461,MATCH($C$8&amp;"|IDENTIFICACION",FICHAS_BASE!$H$2:$H$461,0)),"")</f>
        <v>Zinc (Zn). Mineral traza presente en proteínas y enzimas; no posee un depósito corporal especializado de gran tamaño.</v>
      </c>
      <c r="B11" s="190"/>
      <c r="C11" s="190"/>
      <c r="D11" s="191"/>
      <c r="E11" s="206" t="str">
        <f>IFERROR(INDEX(FICHAS_BASE!$D$2:$D$461,MATCH($C$8&amp;"|FUNCIONES",FICHAS_BASE!$H$2:$H$461,0)),"")</f>
        <v>• Actividad catalítica de numerosas enzimas.
• Síntesis de ADN y proteínas.
• Crecimiento, desarrollo y cicatrización.
• Función inmunitaria y percepción del gusto.</v>
      </c>
      <c r="F11" s="190"/>
      <c r="G11" s="190"/>
      <c r="H11" s="190"/>
      <c r="I11" s="191"/>
      <c r="J11" s="206" t="str">
        <f>IFERROR(INDEX(FICHAS_BASE!$D$2:$D$461,MATCH($C$8&amp;"|ORGANOS_TEJIDOS",FICHAS_BASE!$H$2:$H$461,0)),"")&amp;CHAR(10)&amp;CHAR(10)&amp;IFERROR(INDEX(FICHAS_BASE!$D$2:$D$461,MATCH($C$8&amp;"|IMPORTANCIA_CLINICA",FICHAS_BASE!$H$2:$H$461,0)),"")</f>
        <v>Intestino, hígado, páncreas, piel, sistema inmunitario, músculo y hueso.
La homeostasis depende de absorción intestinal y pérdidas. La deficiencia afecta crecimiento, inmunidad y cicatrización.</v>
      </c>
      <c r="K11" s="190"/>
      <c r="L11" s="190"/>
      <c r="M11" s="190"/>
      <c r="N11" s="191"/>
    </row>
    <row r="12" spans="1:14" ht="21.95" customHeight="1">
      <c r="A12" s="192"/>
      <c r="B12" s="188"/>
      <c r="C12" s="188"/>
      <c r="D12" s="193"/>
      <c r="E12" s="192"/>
      <c r="F12" s="188"/>
      <c r="G12" s="188"/>
      <c r="H12" s="188"/>
      <c r="I12" s="193"/>
      <c r="J12" s="192"/>
      <c r="K12" s="188"/>
      <c r="L12" s="188"/>
      <c r="M12" s="188"/>
      <c r="N12" s="193"/>
    </row>
    <row r="13" spans="1:14" ht="21.95" customHeight="1">
      <c r="A13" s="192"/>
      <c r="B13" s="188"/>
      <c r="C13" s="188"/>
      <c r="D13" s="193"/>
      <c r="E13" s="192"/>
      <c r="F13" s="188"/>
      <c r="G13" s="188"/>
      <c r="H13" s="188"/>
      <c r="I13" s="193"/>
      <c r="J13" s="192"/>
      <c r="K13" s="188"/>
      <c r="L13" s="188"/>
      <c r="M13" s="188"/>
      <c r="N13" s="193"/>
    </row>
    <row r="14" spans="1:14" ht="21.95" customHeight="1">
      <c r="A14" s="192"/>
      <c r="B14" s="188"/>
      <c r="C14" s="188"/>
      <c r="D14" s="193"/>
      <c r="E14" s="192"/>
      <c r="F14" s="188"/>
      <c r="G14" s="188"/>
      <c r="H14" s="188"/>
      <c r="I14" s="193"/>
      <c r="J14" s="192"/>
      <c r="K14" s="188"/>
      <c r="L14" s="188"/>
      <c r="M14" s="188"/>
      <c r="N14" s="193"/>
    </row>
    <row r="15" spans="1:14" ht="21.95" customHeight="1">
      <c r="A15" s="194"/>
      <c r="B15" s="195"/>
      <c r="C15" s="195"/>
      <c r="D15" s="196"/>
      <c r="E15" s="194"/>
      <c r="F15" s="195"/>
      <c r="G15" s="195"/>
      <c r="H15" s="195"/>
      <c r="I15" s="196"/>
      <c r="J15" s="194"/>
      <c r="K15" s="195"/>
      <c r="L15" s="195"/>
      <c r="M15" s="195"/>
      <c r="N15" s="196"/>
    </row>
    <row r="16" spans="1:14">
      <c r="A16" s="146"/>
      <c r="B16" s="146"/>
      <c r="C16" s="146"/>
      <c r="D16" s="146"/>
      <c r="E16" s="146"/>
      <c r="F16" s="146"/>
      <c r="G16" s="146"/>
      <c r="H16" s="146"/>
      <c r="I16" s="146"/>
      <c r="J16" s="146"/>
      <c r="K16" s="146"/>
      <c r="L16" s="146"/>
      <c r="M16" s="146"/>
      <c r="N16" s="146"/>
    </row>
    <row r="17" spans="1:14">
      <c r="A17" s="186" t="s">
        <v>321</v>
      </c>
      <c r="B17" s="188"/>
      <c r="C17" s="188"/>
      <c r="D17" s="188"/>
      <c r="E17" s="188"/>
      <c r="F17" s="188"/>
      <c r="G17" s="188"/>
      <c r="H17" s="188"/>
      <c r="I17" s="188"/>
      <c r="J17" s="188"/>
      <c r="K17" s="188"/>
      <c r="L17" s="188"/>
      <c r="M17" s="188"/>
      <c r="N17" s="188"/>
    </row>
    <row r="18" spans="1:14" ht="21.95" customHeight="1">
      <c r="A18" s="189" t="str">
        <f>IFERROR(INDEX(FICHAS_BASE!$D$2:$D$461,MATCH($C$8&amp;"|METABOLISMO",FICHAS_BASE!$H$2:$H$461,0)),"")</f>
        <v>Ingesta → absorción en intestino delgado → transporte unido principalmente a albúmina → distribución tisular → intercambio rápido con reservas celulares → excreción sobre todo fecal.</v>
      </c>
      <c r="B18" s="190"/>
      <c r="C18" s="190"/>
      <c r="D18" s="190"/>
      <c r="E18" s="190"/>
      <c r="F18" s="190"/>
      <c r="G18" s="190"/>
      <c r="H18" s="190"/>
      <c r="I18" s="190"/>
      <c r="J18" s="190"/>
      <c r="K18" s="190"/>
      <c r="L18" s="190"/>
      <c r="M18" s="190"/>
      <c r="N18" s="191"/>
    </row>
    <row r="19" spans="1:14" ht="21.95" customHeight="1">
      <c r="A19" s="192"/>
      <c r="B19" s="188"/>
      <c r="C19" s="188"/>
      <c r="D19" s="188"/>
      <c r="E19" s="188"/>
      <c r="F19" s="188"/>
      <c r="G19" s="188"/>
      <c r="H19" s="188"/>
      <c r="I19" s="188"/>
      <c r="J19" s="188"/>
      <c r="K19" s="188"/>
      <c r="L19" s="188"/>
      <c r="M19" s="188"/>
      <c r="N19" s="193"/>
    </row>
    <row r="20" spans="1:14" ht="21.95" customHeight="1">
      <c r="A20" s="192"/>
      <c r="B20" s="188"/>
      <c r="C20" s="188"/>
      <c r="D20" s="188"/>
      <c r="E20" s="188"/>
      <c r="F20" s="188"/>
      <c r="G20" s="188"/>
      <c r="H20" s="188"/>
      <c r="I20" s="188"/>
      <c r="J20" s="188"/>
      <c r="K20" s="188"/>
      <c r="L20" s="188"/>
      <c r="M20" s="188"/>
      <c r="N20" s="193"/>
    </row>
    <row r="21" spans="1:14" ht="21.95" customHeight="1">
      <c r="A21" s="194"/>
      <c r="B21" s="195"/>
      <c r="C21" s="195"/>
      <c r="D21" s="195"/>
      <c r="E21" s="195"/>
      <c r="F21" s="195"/>
      <c r="G21" s="195"/>
      <c r="H21" s="195"/>
      <c r="I21" s="195"/>
      <c r="J21" s="195"/>
      <c r="K21" s="195"/>
      <c r="L21" s="195"/>
      <c r="M21" s="195"/>
      <c r="N21" s="196"/>
    </row>
    <row r="22" spans="1:14">
      <c r="A22" s="146"/>
      <c r="B22" s="146"/>
      <c r="C22" s="146"/>
      <c r="D22" s="146"/>
      <c r="E22" s="146"/>
      <c r="F22" s="146"/>
      <c r="G22" s="146"/>
      <c r="H22" s="146"/>
      <c r="I22" s="146"/>
      <c r="J22" s="146"/>
      <c r="K22" s="146"/>
      <c r="L22" s="146"/>
      <c r="M22" s="146"/>
      <c r="N22" s="146"/>
    </row>
    <row r="23" spans="1:14">
      <c r="A23" s="186" t="s">
        <v>322</v>
      </c>
      <c r="B23" s="188"/>
      <c r="C23" s="188"/>
      <c r="D23" s="188"/>
      <c r="E23" s="186" t="s">
        <v>323</v>
      </c>
      <c r="F23" s="188"/>
      <c r="G23" s="188"/>
      <c r="H23" s="188"/>
      <c r="I23" s="188"/>
      <c r="J23" s="186" t="s">
        <v>324</v>
      </c>
      <c r="K23" s="188"/>
      <c r="L23" s="188"/>
      <c r="M23" s="188"/>
      <c r="N23" s="188"/>
    </row>
    <row r="24" spans="1:14" ht="21.95" customHeight="1">
      <c r="A24" s="206" t="str">
        <f>IFERROR(INDEX(FICHAS_BASE!$D$2:$D$461,MATCH($C$8&amp;"|ABSORCION",FICHAS_BASE!$H$2:$H$461,0)),"")</f>
        <v>La absorción ocurre en intestino delgado mediante transportadores regulados por el estado de zinc y la composición de la dieta.</v>
      </c>
      <c r="B24" s="190"/>
      <c r="C24" s="190"/>
      <c r="D24" s="191"/>
      <c r="E24" s="206" t="str">
        <f>"Transporte: "&amp;IFERROR(INDEX(FICHAS_BASE!$D$2:$D$461,MATCH($C$8&amp;"|TRANSPORTE",FICHAS_BASE!$H$2:$H$461,0)),"")&amp;CHAR(10)&amp;CHAR(10)&amp;"Almacenamiento: "&amp;IFERROR(INDEX(FICHAS_BASE!$D$2:$D$461,MATCH($C$8&amp;"|ALMACENAMIENTO",FICHAS_BASE!$H$2:$H$461,0)),"")</f>
        <v>Transporte: Circula unido sobre todo a albúmina y otras proteínas; entra y sale de células mediante familias de transportadores ZIP y ZnT.
Almacenamiento: No hay un órgano de depósito específico; músculo y hueso contienen gran parte del zinc corporal por su masa.</v>
      </c>
      <c r="F24" s="190"/>
      <c r="G24" s="190"/>
      <c r="H24" s="190"/>
      <c r="I24" s="191"/>
      <c r="J24" s="206" t="str">
        <f>IFERROR(INDEX(FICHAS_BASE!$D$2:$D$461,MATCH($C$8&amp;"|EXCRECION",FICHAS_BASE!$H$2:$H$461,0)),"")</f>
        <v>Principalmente por heces; también orina, sudor, semen, menstruación y descamación.</v>
      </c>
      <c r="K24" s="190"/>
      <c r="L24" s="190"/>
      <c r="M24" s="190"/>
      <c r="N24" s="191"/>
    </row>
    <row r="25" spans="1:14" ht="21.95" customHeight="1">
      <c r="A25" s="192"/>
      <c r="B25" s="188"/>
      <c r="C25" s="188"/>
      <c r="D25" s="193"/>
      <c r="E25" s="192"/>
      <c r="F25" s="188"/>
      <c r="G25" s="188"/>
      <c r="H25" s="188"/>
      <c r="I25" s="193"/>
      <c r="J25" s="192"/>
      <c r="K25" s="188"/>
      <c r="L25" s="188"/>
      <c r="M25" s="188"/>
      <c r="N25" s="193"/>
    </row>
    <row r="26" spans="1:14" ht="21.95" customHeight="1">
      <c r="A26" s="192"/>
      <c r="B26" s="188"/>
      <c r="C26" s="188"/>
      <c r="D26" s="193"/>
      <c r="E26" s="192"/>
      <c r="F26" s="188"/>
      <c r="G26" s="188"/>
      <c r="H26" s="188"/>
      <c r="I26" s="193"/>
      <c r="J26" s="192"/>
      <c r="K26" s="188"/>
      <c r="L26" s="188"/>
      <c r="M26" s="188"/>
      <c r="N26" s="193"/>
    </row>
    <row r="27" spans="1:14" ht="21.95" customHeight="1">
      <c r="A27" s="192"/>
      <c r="B27" s="188"/>
      <c r="C27" s="188"/>
      <c r="D27" s="193"/>
      <c r="E27" s="192"/>
      <c r="F27" s="188"/>
      <c r="G27" s="188"/>
      <c r="H27" s="188"/>
      <c r="I27" s="193"/>
      <c r="J27" s="192"/>
      <c r="K27" s="188"/>
      <c r="L27" s="188"/>
      <c r="M27" s="188"/>
      <c r="N27" s="193"/>
    </row>
    <row r="28" spans="1:14" ht="21.95" customHeight="1">
      <c r="A28" s="194"/>
      <c r="B28" s="195"/>
      <c r="C28" s="195"/>
      <c r="D28" s="196"/>
      <c r="E28" s="194"/>
      <c r="F28" s="195"/>
      <c r="G28" s="195"/>
      <c r="H28" s="195"/>
      <c r="I28" s="196"/>
      <c r="J28" s="194"/>
      <c r="K28" s="195"/>
      <c r="L28" s="195"/>
      <c r="M28" s="195"/>
      <c r="N28" s="196"/>
    </row>
    <row r="29" spans="1:14">
      <c r="A29" s="146"/>
      <c r="B29" s="146"/>
      <c r="C29" s="146"/>
      <c r="D29" s="146"/>
      <c r="E29" s="146"/>
      <c r="F29" s="146"/>
      <c r="G29" s="146"/>
      <c r="H29" s="146"/>
      <c r="I29" s="146"/>
      <c r="J29" s="146"/>
      <c r="K29" s="146"/>
      <c r="L29" s="146"/>
      <c r="M29" s="146"/>
      <c r="N29" s="146"/>
    </row>
    <row r="30" spans="1:14">
      <c r="A30" s="186" t="s">
        <v>325</v>
      </c>
      <c r="B30" s="188"/>
      <c r="C30" s="188"/>
      <c r="D30" s="188"/>
      <c r="E30" s="188"/>
      <c r="F30" s="188"/>
      <c r="G30" s="188"/>
      <c r="H30" s="186" t="s">
        <v>326</v>
      </c>
      <c r="I30" s="188"/>
      <c r="J30" s="188"/>
      <c r="K30" s="188"/>
      <c r="L30" s="188"/>
      <c r="M30" s="188"/>
      <c r="N30" s="188"/>
    </row>
    <row r="31" spans="1:14" ht="21.95" customHeight="1">
      <c r="A31" s="206" t="str">
        <f>"Favorece: "&amp;IFERROR(INDEX(FICHAS_BASE!$D$2:$D$461,MATCH($C$8&amp;"|BIODISPONIBILIDAD_MEJORA",FICHAS_BASE!$H$2:$H$461,0)),"")&amp;CHAR(10)&amp;CHAR(10)&amp;"Reduce: "&amp;IFERROR(INDEX(FICHAS_BASE!$D$2:$D$461,MATCH($C$8&amp;"|BIODISPONIBILIDAD_REDUCE",FICHAS_BASE!$H$2:$H$461,0)),"")</f>
        <v>Favorece: Proteínas animales y fermentación/germinación que reduzcan fitatos pueden mejorar la biodisponibilidad.
Reduce: Fitatos reducen la absorción; dietas vegetales no planificadas pueden requerir atención a la biodisponibilidad.</v>
      </c>
      <c r="B31" s="190"/>
      <c r="C31" s="190"/>
      <c r="D31" s="190"/>
      <c r="E31" s="190"/>
      <c r="F31" s="190"/>
      <c r="G31" s="191"/>
      <c r="H31" s="214" t="str">
        <f>IFERROR(INDEX(FICHAS_BASE!$D$2:$D$461,MATCH($C$8&amp;"|FUENTES_ALIMENTARIAS",FICHAS_BASE!$H$2:$H$461,0)),"")</f>
        <v>Ostras y otros mariscos; carne bovina; aves; lácteos; legumbres, semillas y frutos secos.</v>
      </c>
      <c r="I31" s="215"/>
      <c r="J31" s="215"/>
      <c r="K31" s="215"/>
      <c r="L31" s="215"/>
      <c r="M31" s="215"/>
      <c r="N31" s="216"/>
    </row>
    <row r="32" spans="1:14" ht="21.95" customHeight="1">
      <c r="A32" s="192"/>
      <c r="B32" s="188"/>
      <c r="C32" s="188"/>
      <c r="D32" s="188"/>
      <c r="E32" s="188"/>
      <c r="F32" s="188"/>
      <c r="G32" s="193"/>
      <c r="H32" s="217"/>
      <c r="I32" s="218"/>
      <c r="J32" s="218"/>
      <c r="K32" s="218"/>
      <c r="L32" s="218"/>
      <c r="M32" s="218"/>
      <c r="N32" s="219"/>
    </row>
    <row r="33" spans="1:14" ht="21.95" customHeight="1">
      <c r="A33" s="192"/>
      <c r="B33" s="188"/>
      <c r="C33" s="188"/>
      <c r="D33" s="188"/>
      <c r="E33" s="188"/>
      <c r="F33" s="188"/>
      <c r="G33" s="193"/>
      <c r="H33" s="217"/>
      <c r="I33" s="218"/>
      <c r="J33" s="218"/>
      <c r="K33" s="218"/>
      <c r="L33" s="218"/>
      <c r="M33" s="218"/>
      <c r="N33" s="219"/>
    </row>
    <row r="34" spans="1:14" ht="21.95" customHeight="1">
      <c r="A34" s="192"/>
      <c r="B34" s="188"/>
      <c r="C34" s="188"/>
      <c r="D34" s="188"/>
      <c r="E34" s="188"/>
      <c r="F34" s="188"/>
      <c r="G34" s="193"/>
      <c r="H34" s="217"/>
      <c r="I34" s="218"/>
      <c r="J34" s="218"/>
      <c r="K34" s="218"/>
      <c r="L34" s="218"/>
      <c r="M34" s="218"/>
      <c r="N34" s="219"/>
    </row>
    <row r="35" spans="1:14" ht="21.95" customHeight="1">
      <c r="A35" s="194"/>
      <c r="B35" s="195"/>
      <c r="C35" s="195"/>
      <c r="D35" s="195"/>
      <c r="E35" s="195"/>
      <c r="F35" s="195"/>
      <c r="G35" s="196"/>
      <c r="H35" s="220"/>
      <c r="I35" s="221"/>
      <c r="J35" s="221"/>
      <c r="K35" s="221"/>
      <c r="L35" s="221"/>
      <c r="M35" s="221"/>
      <c r="N35" s="222"/>
    </row>
    <row r="36" spans="1:14">
      <c r="A36" s="146"/>
      <c r="B36" s="146"/>
      <c r="C36" s="146"/>
      <c r="D36" s="146"/>
      <c r="E36" s="146"/>
      <c r="F36" s="146"/>
      <c r="G36" s="146"/>
      <c r="H36" s="146"/>
      <c r="I36" s="146"/>
      <c r="J36" s="146"/>
      <c r="K36" s="146"/>
      <c r="L36" s="146"/>
      <c r="M36" s="146"/>
      <c r="N36" s="146"/>
    </row>
    <row r="37" spans="1:14">
      <c r="A37" s="186" t="s">
        <v>327</v>
      </c>
      <c r="B37" s="188"/>
      <c r="C37" s="188"/>
      <c r="D37" s="188"/>
      <c r="E37" s="188"/>
      <c r="F37" s="188"/>
      <c r="G37" s="188"/>
      <c r="H37" s="186" t="s">
        <v>328</v>
      </c>
      <c r="I37" s="188"/>
      <c r="J37" s="188"/>
      <c r="K37" s="188"/>
      <c r="L37" s="188"/>
      <c r="M37" s="188"/>
      <c r="N37" s="188"/>
    </row>
    <row r="38" spans="1:14" ht="21.95" customHeight="1">
      <c r="A38" s="212" t="str">
        <f>"Déficit: "&amp;IFERROR(INDEX(FICHAS_BASE!$D$2:$D$461,MATCH($C$8&amp;"|DEFICIT",FICHAS_BASE!$H$2:$H$461,0)),"")&amp;CHAR(10)&amp;CHAR(10)&amp;"Exceso: "&amp;IFERROR(INDEX(FICHAS_BASE!$D$2:$D$461,MATCH($C$8&amp;"|EXCESO",FICHAS_BASE!$H$2:$H$461,0)),"")</f>
        <v>Déficit: Retraso del crecimiento, alopecia, dermatitis, diarrea, alteración del gusto, mala cicatrización e inmunidad deteriorada. Riesgo en malabsorción, cirugía bariátrica, alcoholismo y dietas muy altas en fitatos.
Exceso: Dosis elevadas sostenidas pueden causar náuseas, reducir cobre, alterar perfil lipídico y deteriorar función inmunitaria.</v>
      </c>
      <c r="B38" s="190"/>
      <c r="C38" s="190"/>
      <c r="D38" s="190"/>
      <c r="E38" s="190"/>
      <c r="F38" s="190"/>
      <c r="G38" s="191"/>
      <c r="H38" s="207" t="str">
        <f>IFERROR(INDEX(FICHAS_BASE!$D$2:$D$461,MATCH($C$8&amp;"|APLICACION_CLINICA",FICHAS_BASE!$H$2:$H$461,0)),"")</f>
        <v>En diarrea crónica, malabsorción o cicatrización deficiente, revisar ingesta, pérdidas y contexto clínico antes de atribuir los síntomas al zinc.</v>
      </c>
      <c r="I38" s="190"/>
      <c r="J38" s="190"/>
      <c r="K38" s="190"/>
      <c r="L38" s="190"/>
      <c r="M38" s="190"/>
      <c r="N38" s="191"/>
    </row>
    <row r="39" spans="1:14" ht="21.95" customHeight="1">
      <c r="A39" s="192"/>
      <c r="B39" s="188"/>
      <c r="C39" s="188"/>
      <c r="D39" s="188"/>
      <c r="E39" s="188"/>
      <c r="F39" s="188"/>
      <c r="G39" s="193"/>
      <c r="H39" s="192"/>
      <c r="I39" s="188"/>
      <c r="J39" s="188"/>
      <c r="K39" s="188"/>
      <c r="L39" s="188"/>
      <c r="M39" s="188"/>
      <c r="N39" s="193"/>
    </row>
    <row r="40" spans="1:14" ht="21.95" customHeight="1">
      <c r="A40" s="192"/>
      <c r="B40" s="188"/>
      <c r="C40" s="188"/>
      <c r="D40" s="188"/>
      <c r="E40" s="188"/>
      <c r="F40" s="188"/>
      <c r="G40" s="193"/>
      <c r="H40" s="192"/>
      <c r="I40" s="188"/>
      <c r="J40" s="188"/>
      <c r="K40" s="188"/>
      <c r="L40" s="188"/>
      <c r="M40" s="188"/>
      <c r="N40" s="193"/>
    </row>
    <row r="41" spans="1:14" ht="21.95" customHeight="1">
      <c r="A41" s="192"/>
      <c r="B41" s="188"/>
      <c r="C41" s="188"/>
      <c r="D41" s="188"/>
      <c r="E41" s="188"/>
      <c r="F41" s="188"/>
      <c r="G41" s="193"/>
      <c r="H41" s="192"/>
      <c r="I41" s="188"/>
      <c r="J41" s="188"/>
      <c r="K41" s="188"/>
      <c r="L41" s="188"/>
      <c r="M41" s="188"/>
      <c r="N41" s="193"/>
    </row>
    <row r="42" spans="1:14" ht="21.95" customHeight="1">
      <c r="A42" s="194"/>
      <c r="B42" s="195"/>
      <c r="C42" s="195"/>
      <c r="D42" s="195"/>
      <c r="E42" s="195"/>
      <c r="F42" s="195"/>
      <c r="G42" s="196"/>
      <c r="H42" s="194"/>
      <c r="I42" s="195"/>
      <c r="J42" s="195"/>
      <c r="K42" s="195"/>
      <c r="L42" s="195"/>
      <c r="M42" s="195"/>
      <c r="N42" s="196"/>
    </row>
    <row r="43" spans="1:14">
      <c r="A43" s="146"/>
      <c r="B43" s="146"/>
      <c r="C43" s="146"/>
      <c r="D43" s="146"/>
      <c r="E43" s="146"/>
      <c r="F43" s="146"/>
      <c r="G43" s="146"/>
      <c r="H43" s="146"/>
      <c r="I43" s="146"/>
      <c r="J43" s="146"/>
      <c r="K43" s="146"/>
      <c r="L43" s="146"/>
      <c r="M43" s="146"/>
      <c r="N43" s="146"/>
    </row>
    <row r="44" spans="1:14">
      <c r="A44" s="186" t="s">
        <v>329</v>
      </c>
      <c r="B44" s="188"/>
      <c r="C44" s="188"/>
      <c r="D44" s="188"/>
      <c r="E44" s="188"/>
      <c r="F44" s="188"/>
      <c r="G44" s="188"/>
      <c r="H44" s="188"/>
      <c r="I44" s="188"/>
      <c r="J44" s="188"/>
      <c r="K44" s="188"/>
      <c r="L44" s="188"/>
      <c r="M44" s="188"/>
      <c r="N44" s="188"/>
    </row>
    <row r="45" spans="1:14" ht="21.95" customHeight="1">
      <c r="A45" s="206" t="str">
        <f>IFERROR(INDEX(FICHAS_BASE!$D$2:$D$461,MATCH($C$8&amp;"|INTERACCIONES_RESUMEN",FICHAS_BASE!$H$2:$H$461,0)),"")</f>
        <v>Cobre | Nutriente–nutriente | Dosis altas de zinc reducen cobre
Vigilar suplementos crónicos de zinc.
Quinolonas y tetraciclinas | Medicamento–nutriente | Reduce absorción de ambos
Separación horaria solo según indicación farmacéutica/médica.</v>
      </c>
      <c r="B45" s="190"/>
      <c r="C45" s="190"/>
      <c r="D45" s="190"/>
      <c r="E45" s="190"/>
      <c r="F45" s="190"/>
      <c r="G45" s="190"/>
      <c r="H45" s="190"/>
      <c r="I45" s="190"/>
      <c r="J45" s="190"/>
      <c r="K45" s="190"/>
      <c r="L45" s="190"/>
      <c r="M45" s="190"/>
      <c r="N45" s="191"/>
    </row>
    <row r="46" spans="1:14" ht="21.95" customHeight="1">
      <c r="A46" s="192"/>
      <c r="B46" s="188"/>
      <c r="C46" s="188"/>
      <c r="D46" s="188"/>
      <c r="E46" s="188"/>
      <c r="F46" s="188"/>
      <c r="G46" s="188"/>
      <c r="H46" s="188"/>
      <c r="I46" s="188"/>
      <c r="J46" s="188"/>
      <c r="K46" s="188"/>
      <c r="L46" s="188"/>
      <c r="M46" s="188"/>
      <c r="N46" s="193"/>
    </row>
    <row r="47" spans="1:14" ht="21.95" customHeight="1">
      <c r="A47" s="192"/>
      <c r="B47" s="188"/>
      <c r="C47" s="188"/>
      <c r="D47" s="188"/>
      <c r="E47" s="188"/>
      <c r="F47" s="188"/>
      <c r="G47" s="188"/>
      <c r="H47" s="188"/>
      <c r="I47" s="188"/>
      <c r="J47" s="188"/>
      <c r="K47" s="188"/>
      <c r="L47" s="188"/>
      <c r="M47" s="188"/>
      <c r="N47" s="193"/>
    </row>
    <row r="48" spans="1:14" ht="21.95" customHeight="1">
      <c r="A48" s="192"/>
      <c r="B48" s="188"/>
      <c r="C48" s="188"/>
      <c r="D48" s="188"/>
      <c r="E48" s="188"/>
      <c r="F48" s="188"/>
      <c r="G48" s="188"/>
      <c r="H48" s="188"/>
      <c r="I48" s="188"/>
      <c r="J48" s="188"/>
      <c r="K48" s="188"/>
      <c r="L48" s="188"/>
      <c r="M48" s="188"/>
      <c r="N48" s="193"/>
    </row>
    <row r="49" spans="1:14" ht="21.95" customHeight="1">
      <c r="A49" s="194"/>
      <c r="B49" s="195"/>
      <c r="C49" s="195"/>
      <c r="D49" s="195"/>
      <c r="E49" s="195"/>
      <c r="F49" s="195"/>
      <c r="G49" s="195"/>
      <c r="H49" s="195"/>
      <c r="I49" s="195"/>
      <c r="J49" s="195"/>
      <c r="K49" s="195"/>
      <c r="L49" s="195"/>
      <c r="M49" s="195"/>
      <c r="N49" s="196"/>
    </row>
    <row r="51" spans="1:14">
      <c r="A51" s="186" t="s">
        <v>330</v>
      </c>
      <c r="B51" s="152"/>
      <c r="C51" s="152"/>
      <c r="D51" s="152"/>
      <c r="E51" s="152"/>
      <c r="F51" s="152"/>
      <c r="G51" s="152"/>
      <c r="H51" s="186" t="s">
        <v>331</v>
      </c>
      <c r="I51" s="152"/>
      <c r="J51" s="152"/>
      <c r="K51" s="152"/>
      <c r="L51" s="152"/>
      <c r="M51" s="152"/>
      <c r="N51" s="152"/>
    </row>
    <row r="52" spans="1:14" ht="21.95" customHeight="1">
      <c r="A52" s="206" t="str">
        <f>IFERROR(INDEX(FICHAS_BASE!$D$2:$D$461,MATCH($C$8&amp;"|BIOMARCADORES_RESUMEN",FICHAS_BASE!$H$2:$H$461,0)),"")</f>
        <v>Zinc plasmático/sérico | Estado circulante de zinc
Limitación: Sensibilidad limitada; cambia con ayuno, hora, inflamación y embarazo.</v>
      </c>
      <c r="B52" s="198"/>
      <c r="C52" s="198"/>
      <c r="D52" s="198"/>
      <c r="E52" s="198"/>
      <c r="F52" s="198"/>
      <c r="G52" s="199"/>
      <c r="H52" s="197" t="str">
        <f>IFERROR(INDEX(FICHAS_BASE!$D$2:$D$461,MATCH($C$8&amp;"|PERLAS",FICHAS_BASE!$H$2:$H$461,0)),"")</f>
        <v>• Zinc alto en suplementos puede inducir deficiencia de cobre.
• El zinc plasmático cambia con inflamación y hora del día.
• Fitatos importan tanto como la cantidad ingerida.
• No usar zinc para todas las infecciones sin indicación.</v>
      </c>
      <c r="I52" s="198"/>
      <c r="J52" s="198"/>
      <c r="K52" s="198"/>
      <c r="L52" s="198"/>
      <c r="M52" s="198"/>
      <c r="N52" s="199"/>
    </row>
    <row r="53" spans="1:14" ht="21.95" customHeight="1">
      <c r="A53" s="200"/>
      <c r="B53" s="201"/>
      <c r="C53" s="201"/>
      <c r="D53" s="201"/>
      <c r="E53" s="201"/>
      <c r="F53" s="201"/>
      <c r="G53" s="202"/>
      <c r="H53" s="200"/>
      <c r="I53" s="201"/>
      <c r="J53" s="201"/>
      <c r="K53" s="201"/>
      <c r="L53" s="201"/>
      <c r="M53" s="201"/>
      <c r="N53" s="202"/>
    </row>
    <row r="54" spans="1:14" ht="21.95" customHeight="1">
      <c r="A54" s="200"/>
      <c r="B54" s="201"/>
      <c r="C54" s="201"/>
      <c r="D54" s="201"/>
      <c r="E54" s="201"/>
      <c r="F54" s="201"/>
      <c r="G54" s="202"/>
      <c r="H54" s="200"/>
      <c r="I54" s="201"/>
      <c r="J54" s="201"/>
      <c r="K54" s="201"/>
      <c r="L54" s="201"/>
      <c r="M54" s="201"/>
      <c r="N54" s="202"/>
    </row>
    <row r="55" spans="1:14" ht="21.95" customHeight="1">
      <c r="A55" s="200"/>
      <c r="B55" s="201"/>
      <c r="C55" s="201"/>
      <c r="D55" s="201"/>
      <c r="E55" s="201"/>
      <c r="F55" s="201"/>
      <c r="G55" s="202"/>
      <c r="H55" s="200"/>
      <c r="I55" s="201"/>
      <c r="J55" s="201"/>
      <c r="K55" s="201"/>
      <c r="L55" s="201"/>
      <c r="M55" s="201"/>
      <c r="N55" s="202"/>
    </row>
    <row r="56" spans="1:14" ht="21.95" customHeight="1">
      <c r="A56" s="200"/>
      <c r="B56" s="201"/>
      <c r="C56" s="201"/>
      <c r="D56" s="201"/>
      <c r="E56" s="201"/>
      <c r="F56" s="201"/>
      <c r="G56" s="202"/>
      <c r="H56" s="200"/>
      <c r="I56" s="201"/>
      <c r="J56" s="201"/>
      <c r="K56" s="201"/>
      <c r="L56" s="201"/>
      <c r="M56" s="201"/>
      <c r="N56" s="202"/>
    </row>
    <row r="57" spans="1:14" ht="21.95" customHeight="1">
      <c r="A57" s="203"/>
      <c r="B57" s="204"/>
      <c r="C57" s="204"/>
      <c r="D57" s="204"/>
      <c r="E57" s="204"/>
      <c r="F57" s="204"/>
      <c r="G57" s="205"/>
      <c r="H57" s="203"/>
      <c r="I57" s="204"/>
      <c r="J57" s="204"/>
      <c r="K57" s="204"/>
      <c r="L57" s="204"/>
      <c r="M57" s="204"/>
      <c r="N57" s="205"/>
    </row>
    <row r="59" spans="1:14">
      <c r="A59" s="186" t="s">
        <v>332</v>
      </c>
      <c r="B59" s="152"/>
      <c r="C59" s="152"/>
      <c r="D59" s="152"/>
      <c r="E59" s="152"/>
      <c r="F59" s="152"/>
      <c r="G59" s="152"/>
      <c r="H59" s="152"/>
      <c r="I59" s="152"/>
      <c r="J59" s="152"/>
      <c r="K59" s="152"/>
      <c r="L59" s="152"/>
      <c r="M59" s="152"/>
      <c r="N59" s="152"/>
    </row>
    <row r="60" spans="1:14" ht="21.95" customHeight="1">
      <c r="A60" s="212" t="str">
        <f>IFERROR(INDEX(FICHAS_BASE!$D$2:$D$461,MATCH($C$8&amp;"|REFERENCIAS",FICHAS_BASE!$H$2:$H$461,0)),"")&amp;CHAR(10)&amp;CHAR(10)&amp;IFERROR(INDEX(FICHAS_BASE!$D$2:$D$461,MATCH($C$8&amp;"|ADVERTENCIA",FICHAS_BASE!$H$2:$H$461,0)),"")</f>
        <v>1) SRC-ODS-ZINC: fuente institucional principal para funciones, metabolismo, déficit, exceso e interacciones.
2) SRC-DRI-SUMMARY: referencia normativa o clínica complementaria para requerimientos e interpretación.
Material educativo. No sustituye evaluación clínica, diagnóstico, tratamiento ni indicaciones farmacológicas.</v>
      </c>
      <c r="B60" s="190"/>
      <c r="C60" s="190"/>
      <c r="D60" s="190"/>
      <c r="E60" s="190"/>
      <c r="F60" s="190"/>
      <c r="G60" s="190"/>
      <c r="H60" s="190"/>
      <c r="I60" s="190"/>
      <c r="J60" s="190"/>
      <c r="K60" s="190"/>
      <c r="L60" s="190"/>
      <c r="M60" s="190"/>
      <c r="N60" s="191"/>
    </row>
    <row r="61" spans="1:14" ht="21.95" customHeight="1">
      <c r="A61" s="192"/>
      <c r="B61" s="188"/>
      <c r="C61" s="188"/>
      <c r="D61" s="188"/>
      <c r="E61" s="188"/>
      <c r="F61" s="188"/>
      <c r="G61" s="188"/>
      <c r="H61" s="188"/>
      <c r="I61" s="188"/>
      <c r="J61" s="188"/>
      <c r="K61" s="188"/>
      <c r="L61" s="188"/>
      <c r="M61" s="188"/>
      <c r="N61" s="193"/>
    </row>
    <row r="62" spans="1:14" ht="21.95" customHeight="1">
      <c r="A62" s="192"/>
      <c r="B62" s="188"/>
      <c r="C62" s="188"/>
      <c r="D62" s="188"/>
      <c r="E62" s="188"/>
      <c r="F62" s="188"/>
      <c r="G62" s="188"/>
      <c r="H62" s="188"/>
      <c r="I62" s="188"/>
      <c r="J62" s="188"/>
      <c r="K62" s="188"/>
      <c r="L62" s="188"/>
      <c r="M62" s="188"/>
      <c r="N62" s="193"/>
    </row>
    <row r="63" spans="1:14" ht="21.95" customHeight="1">
      <c r="A63" s="192"/>
      <c r="B63" s="188"/>
      <c r="C63" s="188"/>
      <c r="D63" s="188"/>
      <c r="E63" s="188"/>
      <c r="F63" s="188"/>
      <c r="G63" s="188"/>
      <c r="H63" s="188"/>
      <c r="I63" s="188"/>
      <c r="J63" s="188"/>
      <c r="K63" s="188"/>
      <c r="L63" s="188"/>
      <c r="M63" s="188"/>
      <c r="N63" s="193"/>
    </row>
    <row r="64" spans="1:14" ht="21.95" customHeight="1">
      <c r="A64" s="194"/>
      <c r="B64" s="195"/>
      <c r="C64" s="195"/>
      <c r="D64" s="195"/>
      <c r="E64" s="195"/>
      <c r="F64" s="195"/>
      <c r="G64" s="195"/>
      <c r="H64" s="195"/>
      <c r="I64" s="195"/>
      <c r="J64" s="195"/>
      <c r="K64" s="195"/>
      <c r="L64" s="195"/>
      <c r="M64" s="195"/>
      <c r="N64" s="196"/>
    </row>
    <row r="66" spans="1:14" ht="15" customHeight="1">
      <c r="A66" s="208" t="str">
        <f>HYPERLINK("#'FUENTES'!A1","VER FUENTES")</f>
        <v>VER FUENTES</v>
      </c>
      <c r="B66" s="152"/>
      <c r="C66" s="152"/>
      <c r="D66" s="152"/>
      <c r="E66" s="208" t="str">
        <f>HYPERLINK("#'INTERACCIONES'!A1","VER INTERACCIONES")</f>
        <v>VER INTERACCIONES</v>
      </c>
      <c r="F66" s="152"/>
      <c r="G66" s="152"/>
      <c r="H66" s="152"/>
      <c r="I66" s="208" t="str">
        <f>HYPERLINK("#'BIOMARCADORES'!A1","VER BIOMARCADORES")</f>
        <v>VER BIOMARCADORES</v>
      </c>
      <c r="J66" s="152"/>
      <c r="K66" s="152"/>
      <c r="L66" s="152"/>
      <c r="M66" s="208" t="str">
        <f>HYPERLINK("#'CASOS_CLÍNICOS'!A1","VER CASO")</f>
        <v>VER CASO</v>
      </c>
      <c r="N66" s="152"/>
    </row>
  </sheetData>
  <mergeCells count="43">
    <mergeCell ref="A1:N2"/>
    <mergeCell ref="H31:N35"/>
    <mergeCell ref="K7:L7"/>
    <mergeCell ref="H51:N51"/>
    <mergeCell ref="J11:N15"/>
    <mergeCell ref="C7:D7"/>
    <mergeCell ref="E7:F7"/>
    <mergeCell ref="E11:I15"/>
    <mergeCell ref="J23:N23"/>
    <mergeCell ref="A44:N44"/>
    <mergeCell ref="A3:N3"/>
    <mergeCell ref="A31:G35"/>
    <mergeCell ref="A8:N8"/>
    <mergeCell ref="E66:H66"/>
    <mergeCell ref="A7:B7"/>
    <mergeCell ref="G7:H7"/>
    <mergeCell ref="E24:I28"/>
    <mergeCell ref="I7:J7"/>
    <mergeCell ref="H30:N30"/>
    <mergeCell ref="E10:I10"/>
    <mergeCell ref="A38:G42"/>
    <mergeCell ref="A60:N64"/>
    <mergeCell ref="A30:G30"/>
    <mergeCell ref="A45:N49"/>
    <mergeCell ref="A51:G51"/>
    <mergeCell ref="A66:D66"/>
    <mergeCell ref="I66:L66"/>
    <mergeCell ref="M66:N66"/>
    <mergeCell ref="A23:D23"/>
    <mergeCell ref="A59:N59"/>
    <mergeCell ref="J10:N10"/>
    <mergeCell ref="E23:I23"/>
    <mergeCell ref="A10:D10"/>
    <mergeCell ref="A18:N21"/>
    <mergeCell ref="H52:N57"/>
    <mergeCell ref="J24:N28"/>
    <mergeCell ref="A24:D28"/>
    <mergeCell ref="H38:N42"/>
    <mergeCell ref="A11:D15"/>
    <mergeCell ref="A37:G37"/>
    <mergeCell ref="A17:N17"/>
    <mergeCell ref="H37:N37"/>
    <mergeCell ref="A52:G57"/>
  </mergeCells>
  <dataValidations count="1">
    <dataValidation type="list" sqref="C7" xr:uid="{00000000-0002-0000-0700-000000000000}">
      <formula1>"Hierro,Zinc,Cobre,Calcio,Fósforo,Selenio,Potasio,Magnesio,Sodio,Cloruro,Vitamina A,Vitamina D,Vitamina E,Vitamina K,Vitamina C,Tiamina,Riboflavina,Niacina,Ácido pantoténico,Vitamina B6,Biotina,Folato,Cobalamina"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2"/>
  <sheetViews>
    <sheetView showGridLines="0" workbookViewId="0">
      <selection activeCell="J36" sqref="J36"/>
    </sheetView>
  </sheetViews>
  <sheetFormatPr baseColWidth="10" defaultColWidth="9" defaultRowHeight="14.25"/>
  <cols>
    <col min="1" max="1" width="14" style="30" customWidth="1"/>
    <col min="2" max="2" width="21.5" style="30" customWidth="1"/>
    <col min="3" max="4" width="14" style="30" customWidth="1"/>
    <col min="5" max="5" width="15.75" style="30" customWidth="1"/>
    <col min="6" max="11" width="14" style="30" customWidth="1"/>
    <col min="12" max="12" width="21.625" style="30" customWidth="1"/>
    <col min="13" max="13" width="14" style="30" customWidth="1"/>
    <col min="14" max="14" width="54.25" style="30" customWidth="1"/>
  </cols>
  <sheetData>
    <row r="1" spans="1:14">
      <c r="A1" s="155" t="s">
        <v>333</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334</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75" customHeight="1">
      <c r="A7" s="230" t="s">
        <v>314</v>
      </c>
      <c r="B7" s="152"/>
      <c r="C7" s="228" t="s">
        <v>234</v>
      </c>
      <c r="D7" s="229"/>
      <c r="E7" s="230" t="s">
        <v>188</v>
      </c>
      <c r="F7" s="152"/>
      <c r="G7" s="226" t="str">
        <f>IFERROR(IFERROR(INDEX(NUTRIENTES!$A$8:$A$30,MATCH($C$7,NUTRIENTES!$B$8:$B$30,0)),""),"")</f>
        <v>MIN-ZN</v>
      </c>
      <c r="H7" s="152"/>
      <c r="I7" s="230" t="s">
        <v>335</v>
      </c>
      <c r="J7" s="152"/>
      <c r="K7" s="226" t="str">
        <f>IFERROR(IFERROR(INDEX(LISTAS!$AH$2:$AH$24,MATCH($G$7,LISTAS!$AF$2:$AF$24,0)),""),"")</f>
        <v>Zinc (mg)</v>
      </c>
      <c r="L7" s="152"/>
      <c r="M7" s="35" t="s">
        <v>316</v>
      </c>
      <c r="N7" s="36" t="str">
        <f>IFERROR(IFERROR(INDEX(LISTAS!$AI$2:$AI$24,MATCH($G$7,LISTAS!$AF$2:$AF$24,0)),""),"")</f>
        <v>mg</v>
      </c>
    </row>
    <row r="8" spans="1:14" ht="15.75" customHeight="1">
      <c r="A8" s="225" t="s">
        <v>317</v>
      </c>
      <c r="B8" s="225"/>
      <c r="C8" s="225"/>
      <c r="D8" s="225"/>
      <c r="E8" s="225"/>
      <c r="F8" s="225"/>
      <c r="G8" s="225"/>
      <c r="H8" s="225"/>
      <c r="I8" s="225"/>
      <c r="J8" s="225"/>
      <c r="K8" s="225"/>
      <c r="L8" s="225"/>
      <c r="M8" s="225"/>
      <c r="N8" s="225"/>
    </row>
    <row r="9" spans="1:14" ht="15.75" customHeight="1">
      <c r="A9" s="227" t="s">
        <v>336</v>
      </c>
      <c r="B9" s="152"/>
      <c r="C9" s="152"/>
      <c r="D9" s="152"/>
      <c r="E9" s="227" t="s">
        <v>337</v>
      </c>
      <c r="F9" s="152"/>
      <c r="G9" s="152"/>
      <c r="H9" s="152"/>
      <c r="I9" s="227" t="s">
        <v>338</v>
      </c>
      <c r="J9" s="152"/>
      <c r="K9" s="152"/>
      <c r="L9" s="152"/>
      <c r="M9" s="227" t="s">
        <v>339</v>
      </c>
      <c r="N9" s="152"/>
    </row>
    <row r="10" spans="1:14" ht="15" customHeight="1">
      <c r="A10" s="231">
        <f>IFERROR(IFERROR(INDEX(DRI_BASE!$T$2:$T$469,MATCH(1,INDEX((DRI_BASE!$B$2:$B$469=$G$7)*(DRI_BASE!$D$2:$D$469&lt;=DATOS!$F$9)*(DRI_BASE!$E$2:$E$469&gt;DATOS!$F$9)*(((DRI_BASE!$C$2:$C$469=DATOS!$B$13)+(DRI_BASE!$C$2:$C$469="Ambos"))&gt;0)*(DRI_BASE!$G$2:$G$469=DATOS!$B$16),0),0)),"ND"),"ND")</f>
        <v>8</v>
      </c>
      <c r="B10" s="152"/>
      <c r="C10" s="152"/>
      <c r="D10" s="152"/>
      <c r="E10" s="231" t="str">
        <f>IFERROR(IFERROR(INDEX(DRI_BASE!$R$2:$R$469,MATCH(1,INDEX((DRI_BASE!$B$2:$B$469=$G$7)*(DRI_BASE!$D$2:$D$469&lt;=DATOS!$F$9)*(DRI_BASE!$E$2:$E$469&gt;DATOS!$F$9)*(((DRI_BASE!$C$2:$C$469=DATOS!$B$13)+(DRI_BASE!$C$2:$C$469="Ambos"))&gt;0)*(DRI_BASE!$G$2:$G$469=DATOS!$B$16),0),0)),"ND"),"ND")</f>
        <v>RDA</v>
      </c>
      <c r="F10" s="152"/>
      <c r="G10" s="152"/>
      <c r="H10" s="152"/>
      <c r="I10" s="231">
        <f>IFERROR(IFERROR(INDEX(DRI_BASE!$U$2:$U$469,MATCH(1,INDEX((DRI_BASE!$B$2:$B$469=$G$7)*(DRI_BASE!$D$2:$D$469&lt;=DATOS!$F$9)*(DRI_BASE!$E$2:$E$469&gt;DATOS!$F$9)*(((DRI_BASE!$C$2:$C$469=DATOS!$B$13)+(DRI_BASE!$C$2:$C$469="Ambos"))&gt;0)*(DRI_BASE!$G$2:$G$469=DATOS!$B$16),0),0)),"ND"),"ND")</f>
        <v>40</v>
      </c>
      <c r="J10" s="152"/>
      <c r="K10" s="152"/>
      <c r="L10" s="152"/>
      <c r="M10" s="231" t="str">
        <f>IFERROR(IFERROR(INDEX(LISTAS!$AJ$2:$AJ$24,MATCH($G$7,LISTAS!$AF$2:$AF$24,0)),"No"),"No")</f>
        <v>Sí</v>
      </c>
      <c r="N10" s="152"/>
    </row>
    <row r="12" spans="1:14" ht="30" customHeight="1">
      <c r="A12" s="76" t="s">
        <v>340</v>
      </c>
      <c r="B12" s="76" t="s">
        <v>341</v>
      </c>
      <c r="C12" s="76" t="s">
        <v>342</v>
      </c>
      <c r="D12" s="76" t="s">
        <v>113</v>
      </c>
      <c r="E12" s="76" t="s">
        <v>343</v>
      </c>
      <c r="F12" s="76" t="s">
        <v>344</v>
      </c>
      <c r="G12" s="76" t="s">
        <v>345</v>
      </c>
      <c r="H12" s="76" t="s">
        <v>346</v>
      </c>
      <c r="I12" s="76" t="s">
        <v>156</v>
      </c>
      <c r="J12" s="76" t="s">
        <v>347</v>
      </c>
      <c r="K12" s="76" t="s">
        <v>348</v>
      </c>
      <c r="L12" s="76" t="s">
        <v>349</v>
      </c>
      <c r="M12" s="76" t="s">
        <v>350</v>
      </c>
      <c r="N12" s="76" t="s">
        <v>351</v>
      </c>
    </row>
    <row r="13" spans="1:14">
      <c r="A13" s="97">
        <v>1</v>
      </c>
      <c r="B13" s="77" t="s">
        <v>352</v>
      </c>
      <c r="C13" s="78" t="str">
        <f>IF($B13="","",IFERROR(IFERROR(INDEX(ALIMENTOS_INTA!$F$8:$F$625,MATCH($B13,ALIMENTOS_INTA!$E$8:$E$625,0)),""),""))</f>
        <v>Frutas</v>
      </c>
      <c r="D13" s="78" t="str">
        <f>IF($B13="","",IFERROR(IFERROR(INDEX(ALIMENTOS_INTA!$G$8:$G$625,MATCH($B13,ALIMENTOS_INTA!$E$8:$E$625,0)),""),""))</f>
        <v>sin documentar</v>
      </c>
      <c r="E13" s="77" t="s">
        <v>353</v>
      </c>
      <c r="F13" s="79">
        <v>150</v>
      </c>
      <c r="G13" s="98">
        <f>IF($B13="","",IF($K$7="","ND",IF(ISNUMBER((INDEX(ALIMENTOS_INTA!$D$8:$AO$625,(MATCH($B13,ALIMENTOS_INTA!$E$8:$E$625,0)),(MATCH($K$7,ALIMENTOS_INTA!$D$7:$AO$7,0))))),(INDEX(ALIMENTOS_INTA!$D$8:$AO$625,(MATCH($B13,ALIMENTOS_INTA!$E$8:$E$625,0)),(MATCH($K$7,ALIMENTOS_INTA!$D$7:$AO$7,0)))),"ND")))</f>
        <v>0.1</v>
      </c>
      <c r="H13" s="98">
        <f t="shared" ref="H13:H22" si="0">IF(AND(ISNUMBER($G13),ISNUMBER($F13),$F13&gt;=0),$G13*$F13/100,IF($B13="","",IF($G13="ND","ND","")))</f>
        <v>0.15</v>
      </c>
      <c r="I13" s="97" t="str">
        <f t="shared" ref="I13:I23" si="1">$N$7</f>
        <v>mg</v>
      </c>
      <c r="J13" s="99">
        <f t="shared" ref="J13:J22" si="2">IF(AND(ISNUMBER($H13),ISNUMBER($A$10),$A$10&gt;0),$H13/$A$10*100,"ND")</f>
        <v>1.875</v>
      </c>
      <c r="K13" s="97">
        <f t="shared" ref="K13:K22" si="3">IF($B13="","",IF($G13="ND",1,0))</f>
        <v>0</v>
      </c>
      <c r="L13" s="97" t="str">
        <f t="shared" ref="L13:L22" si="4">IF($B13="","SIN ALIMENTO",IF($G13="ND","ND FUENTE",IF(NOT(ISNUMBER($F13)),"FALTA GRAMAJE","DISPONIBLE")))</f>
        <v>DISPONIBLE</v>
      </c>
      <c r="M13" s="97" t="str">
        <f t="shared" ref="M13:M22" si="5">IF($B13="","","SRC-NMX21")</f>
        <v>SRC-NMX21</v>
      </c>
      <c r="N13" s="97" t="str">
        <f t="shared" ref="N13:N22" si="6">IF($B13="","",IF($G13="ND","El nutriente no está informado para este alimento.","Aporte = valor por 100 g × gramaje / 100."))</f>
        <v>Aporte = valor por 100 g × gramaje / 100.</v>
      </c>
    </row>
    <row r="14" spans="1:14">
      <c r="A14" s="97">
        <v>2</v>
      </c>
      <c r="B14" s="77" t="s">
        <v>354</v>
      </c>
      <c r="C14" s="78" t="str">
        <f>IF($B14="","",IFERROR(IFERROR(INDEX(ALIMENTOS_INTA!$F$8:$F$625,MATCH($B14,ALIMENTOS_INTA!$E$8:$E$625,0)),""),""))</f>
        <v>Carnes y Vísceras</v>
      </c>
      <c r="D14" s="78" t="str">
        <f>IF($B14="","",IFERROR(IFERROR(INDEX(ALIMENTOS_INTA!$G$8:$G$625,MATCH($B14,ALIMENTOS_INTA!$E$8:$E$625,0)),""),""))</f>
        <v>sin documentar</v>
      </c>
      <c r="E14" s="77" t="s">
        <v>355</v>
      </c>
      <c r="F14" s="79">
        <v>100</v>
      </c>
      <c r="G14" s="98">
        <f>IF($B14="","",IF($K$7="","ND",IF(ISNUMBER((INDEX(ALIMENTOS_INTA!$D$8:$AO$625,(MATCH($B14,ALIMENTOS_INTA!$E$8:$E$625,0)),(MATCH($K$7,ALIMENTOS_INTA!$D$7:$AO$7,0))))),(INDEX(ALIMENTOS_INTA!$D$8:$AO$625,(MATCH($B14,ALIMENTOS_INTA!$E$8:$E$625,0)),(MATCH($K$7,ALIMENTOS_INTA!$D$7:$AO$7,0)))),"ND")))</f>
        <v>5.3</v>
      </c>
      <c r="H14" s="98">
        <f t="shared" si="0"/>
        <v>5.3</v>
      </c>
      <c r="I14" s="97" t="str">
        <f t="shared" si="1"/>
        <v>mg</v>
      </c>
      <c r="J14" s="99">
        <f t="shared" si="2"/>
        <v>66.25</v>
      </c>
      <c r="K14" s="97">
        <f t="shared" si="3"/>
        <v>0</v>
      </c>
      <c r="L14" s="97" t="str">
        <f t="shared" si="4"/>
        <v>DISPONIBLE</v>
      </c>
      <c r="M14" s="97" t="str">
        <f t="shared" si="5"/>
        <v>SRC-NMX21</v>
      </c>
      <c r="N14" s="97" t="str">
        <f t="shared" si="6"/>
        <v>Aporte = valor por 100 g × gramaje / 100.</v>
      </c>
    </row>
    <row r="15" spans="1:14">
      <c r="A15" s="97">
        <v>3</v>
      </c>
      <c r="B15" s="77" t="s">
        <v>356</v>
      </c>
      <c r="C15" s="78" t="str">
        <f>IF($B15="","",IFERROR(IFERROR(INDEX(ALIMENTOS_INTA!$F$8:$F$625,MATCH($B15,ALIMENTOS_INTA!$E$8:$E$625,0)),""),""))</f>
        <v>Verduras y hortalizas</v>
      </c>
      <c r="D15" s="78" t="str">
        <f>IF($B15="","",IFERROR(IFERROR(INDEX(ALIMENTOS_INTA!$G$8:$G$625,MATCH($B15,ALIMENTOS_INTA!$E$8:$E$625,0)),""),""))</f>
        <v>sin documentar</v>
      </c>
      <c r="E15" s="77" t="s">
        <v>355</v>
      </c>
      <c r="F15" s="79">
        <v>100</v>
      </c>
      <c r="G15" s="98">
        <f>IF($B15="","",IF($K$7="","ND",IF(ISNUMBER((INDEX(ALIMENTOS_INTA!$D$8:$AO$625,(MATCH($B15,ALIMENTOS_INTA!$E$8:$E$625,0)),(MATCH($K$7,ALIMENTOS_INTA!$D$7:$AO$7,0))))),(INDEX(ALIMENTOS_INTA!$D$8:$AO$625,(MATCH($B15,ALIMENTOS_INTA!$E$8:$E$625,0)),(MATCH($K$7,ALIMENTOS_INTA!$D$7:$AO$7,0)))),"ND")))</f>
        <v>0.8</v>
      </c>
      <c r="H15" s="98">
        <f t="shared" si="0"/>
        <v>0.8</v>
      </c>
      <c r="I15" s="97" t="str">
        <f t="shared" si="1"/>
        <v>mg</v>
      </c>
      <c r="J15" s="99">
        <f t="shared" si="2"/>
        <v>10</v>
      </c>
      <c r="K15" s="97">
        <f t="shared" si="3"/>
        <v>0</v>
      </c>
      <c r="L15" s="97" t="str">
        <f t="shared" si="4"/>
        <v>DISPONIBLE</v>
      </c>
      <c r="M15" s="97" t="str">
        <f t="shared" si="5"/>
        <v>SRC-NMX21</v>
      </c>
      <c r="N15" s="97" t="str">
        <f t="shared" si="6"/>
        <v>Aporte = valor por 100 g × gramaje / 100.</v>
      </c>
    </row>
    <row r="16" spans="1:14">
      <c r="A16" s="97">
        <v>4</v>
      </c>
      <c r="B16" s="77" t="s">
        <v>357</v>
      </c>
      <c r="C16" s="78" t="str">
        <f>IF($B16="","",IFERROR(IFERROR(INDEX(ALIMENTOS_INTA!$F$8:$F$625,MATCH($B16,ALIMENTOS_INTA!$E$8:$E$625,0)),""),""))</f>
        <v>HUEVOS</v>
      </c>
      <c r="D16" s="78" t="str">
        <f>IF($B16="","",IFERROR(IFERROR(INDEX(ALIMENTOS_INTA!$G$8:$G$625,MATCH($B16,ALIMENTOS_INTA!$E$8:$E$625,0)),""),""))</f>
        <v>sin documentar</v>
      </c>
      <c r="E16" s="77" t="s">
        <v>358</v>
      </c>
      <c r="F16" s="79">
        <v>50</v>
      </c>
      <c r="G16" s="98" t="str">
        <f>IF($B16="","",IF($K$7="","ND",IF(ISNUMBER((INDEX(ALIMENTOS_INTA!$D$8:$AO$625,(MATCH($B16,ALIMENTOS_INTA!$E$8:$E$625,0)),(MATCH($K$7,ALIMENTOS_INTA!$D$7:$AO$7,0))))),(INDEX(ALIMENTOS_INTA!$D$8:$AO$625,(MATCH($B16,ALIMENTOS_INTA!$E$8:$E$625,0)),(MATCH($K$7,ALIMENTOS_INTA!$D$7:$AO$7,0)))),"ND")))</f>
        <v>ND</v>
      </c>
      <c r="H16" s="98" t="str">
        <f t="shared" si="0"/>
        <v>ND</v>
      </c>
      <c r="I16" s="97" t="str">
        <f t="shared" si="1"/>
        <v>mg</v>
      </c>
      <c r="J16" s="99" t="str">
        <f t="shared" si="2"/>
        <v>ND</v>
      </c>
      <c r="K16" s="97">
        <f t="shared" si="3"/>
        <v>1</v>
      </c>
      <c r="L16" s="97" t="str">
        <f t="shared" si="4"/>
        <v>ND FUENTE</v>
      </c>
      <c r="M16" s="97" t="str">
        <f t="shared" si="5"/>
        <v>SRC-NMX21</v>
      </c>
      <c r="N16" s="97" t="str">
        <f t="shared" si="6"/>
        <v>El nutriente no está informado para este alimento.</v>
      </c>
    </row>
    <row r="17" spans="1:14">
      <c r="A17" s="97">
        <v>5</v>
      </c>
      <c r="B17" s="77" t="s">
        <v>359</v>
      </c>
      <c r="C17" s="78" t="str">
        <f>IF($B17="","",IFERROR(IFERROR(INDEX(ALIMENTOS_INTA!$F$8:$F$625,MATCH($B17,ALIMENTOS_INTA!$E$8:$E$625,0)),""),""))</f>
        <v>Leche y derivados</v>
      </c>
      <c r="D17" s="78" t="str">
        <f>IF($B17="","",IFERROR(IFERROR(INDEX(ALIMENTOS_INTA!$G$8:$G$625,MATCH($B17,ALIMENTOS_INTA!$E$8:$E$625,0)),""),""))</f>
        <v>sin documentar</v>
      </c>
      <c r="E17" s="77" t="s">
        <v>360</v>
      </c>
      <c r="F17" s="79">
        <v>170</v>
      </c>
      <c r="G17" s="98">
        <f>IF($B17="","",IF($K$7="","ND",IF(ISNUMBER((INDEX(ALIMENTOS_INTA!$D$8:$AO$625,(MATCH($B17,ALIMENTOS_INTA!$E$8:$E$625,0)),(MATCH($K$7,ALIMENTOS_INTA!$D$7:$AO$7,0))))),(INDEX(ALIMENTOS_INTA!$D$8:$AO$625,(MATCH($B17,ALIMENTOS_INTA!$E$8:$E$625,0)),(MATCH($K$7,ALIMENTOS_INTA!$D$7:$AO$7,0)))),"ND")))</f>
        <v>0.6</v>
      </c>
      <c r="H17" s="98">
        <f t="shared" si="0"/>
        <v>1.02</v>
      </c>
      <c r="I17" s="97" t="str">
        <f t="shared" si="1"/>
        <v>mg</v>
      </c>
      <c r="J17" s="99">
        <f t="shared" si="2"/>
        <v>12.75</v>
      </c>
      <c r="K17" s="97">
        <f t="shared" si="3"/>
        <v>0</v>
      </c>
      <c r="L17" s="97" t="str">
        <f t="shared" si="4"/>
        <v>DISPONIBLE</v>
      </c>
      <c r="M17" s="97" t="str">
        <f t="shared" si="5"/>
        <v>SRC-NMX21</v>
      </c>
      <c r="N17" s="97" t="str">
        <f t="shared" si="6"/>
        <v>Aporte = valor por 100 g × gramaje / 100.</v>
      </c>
    </row>
    <row r="18" spans="1:14">
      <c r="A18" s="97">
        <v>6</v>
      </c>
      <c r="B18" s="77" t="s">
        <v>361</v>
      </c>
      <c r="C18" s="78" t="str">
        <f>IF($B18="","",IFERROR(IFERROR(INDEX(ALIMENTOS_INTA!$F$8:$F$625,MATCH($B18,ALIMENTOS_INTA!$E$8:$E$625,0)),""),""))</f>
        <v>Leche y derivados</v>
      </c>
      <c r="D18" s="78" t="str">
        <f>IF($B18="","",IFERROR(IFERROR(INDEX(ALIMENTOS_INTA!$G$8:$G$625,MATCH($B18,ALIMENTOS_INTA!$E$8:$E$625,0)),""),""))</f>
        <v>sin documentar</v>
      </c>
      <c r="E18" s="77"/>
      <c r="F18" s="79">
        <v>100</v>
      </c>
      <c r="G18" s="98">
        <f>IF($B18="","",IF($K$7="","ND",IF(ISNUMBER((INDEX(ALIMENTOS_INTA!$D$8:$AO$625,(MATCH($B18,ALIMENTOS_INTA!$E$8:$E$625,0)),(MATCH($K$7,ALIMENTOS_INTA!$D$7:$AO$7,0))))),(INDEX(ALIMENTOS_INTA!$D$8:$AO$625,(MATCH($B18,ALIMENTOS_INTA!$E$8:$E$625,0)),(MATCH($K$7,ALIMENTOS_INTA!$D$7:$AO$7,0)))),"ND")))</f>
        <v>0.4</v>
      </c>
      <c r="H18" s="98">
        <f t="shared" si="0"/>
        <v>0.4</v>
      </c>
      <c r="I18" s="97" t="str">
        <f t="shared" si="1"/>
        <v>mg</v>
      </c>
      <c r="J18" s="99">
        <f t="shared" si="2"/>
        <v>5</v>
      </c>
      <c r="K18" s="97">
        <f t="shared" si="3"/>
        <v>0</v>
      </c>
      <c r="L18" s="97" t="str">
        <f t="shared" si="4"/>
        <v>DISPONIBLE</v>
      </c>
      <c r="M18" s="97" t="str">
        <f t="shared" si="5"/>
        <v>SRC-NMX21</v>
      </c>
      <c r="N18" s="97" t="str">
        <f t="shared" si="6"/>
        <v>Aporte = valor por 100 g × gramaje / 100.</v>
      </c>
    </row>
    <row r="19" spans="1:14">
      <c r="A19" s="97">
        <v>7</v>
      </c>
      <c r="B19" s="77" t="s">
        <v>362</v>
      </c>
      <c r="C19" s="78" t="str">
        <f>IF($B19="","",IFERROR(IFERROR(INDEX(ALIMENTOS_INTA!$F$8:$F$625,MATCH($B19,ALIMENTOS_INTA!$E$8:$E$625,0)),""),""))</f>
        <v>Leche y derivados</v>
      </c>
      <c r="D19" s="78" t="str">
        <f>IF($B19="","",IFERROR(IFERROR(INDEX(ALIMENTOS_INTA!$G$8:$G$625,MATCH($B19,ALIMENTOS_INTA!$E$8:$E$625,0)),""),""))</f>
        <v>sin documentar</v>
      </c>
      <c r="E19" s="77"/>
      <c r="F19" s="79">
        <v>100</v>
      </c>
      <c r="G19" s="98" t="str">
        <f>IF($B19="","",IF($K$7="","ND",IF(ISNUMBER((INDEX(ALIMENTOS_INTA!$D$8:$AO$625,(MATCH($B19,ALIMENTOS_INTA!$E$8:$E$625,0)),(MATCH($K$7,ALIMENTOS_INTA!$D$7:$AO$7,0))))),(INDEX(ALIMENTOS_INTA!$D$8:$AO$625,(MATCH($B19,ALIMENTOS_INTA!$E$8:$E$625,0)),(MATCH($K$7,ALIMENTOS_INTA!$D$7:$AO$7,0)))),"ND")))</f>
        <v>ND</v>
      </c>
      <c r="H19" s="98" t="str">
        <f t="shared" si="0"/>
        <v>ND</v>
      </c>
      <c r="I19" s="97" t="str">
        <f t="shared" si="1"/>
        <v>mg</v>
      </c>
      <c r="J19" s="99" t="str">
        <f t="shared" si="2"/>
        <v>ND</v>
      </c>
      <c r="K19" s="97">
        <f t="shared" si="3"/>
        <v>1</v>
      </c>
      <c r="L19" s="97" t="str">
        <f t="shared" si="4"/>
        <v>ND FUENTE</v>
      </c>
      <c r="M19" s="97" t="str">
        <f t="shared" si="5"/>
        <v>SRC-NMX21</v>
      </c>
      <c r="N19" s="97" t="str">
        <f t="shared" si="6"/>
        <v>El nutriente no está informado para este alimento.</v>
      </c>
    </row>
    <row r="20" spans="1:14">
      <c r="A20" s="97">
        <v>8</v>
      </c>
      <c r="B20" s="77" t="s">
        <v>363</v>
      </c>
      <c r="C20" s="78" t="str">
        <f>IF($B20="","",IFERROR(IFERROR(INDEX(ALIMENTOS_INTA!$F$8:$F$625,MATCH($B20,ALIMENTOS_INTA!$E$8:$E$625,0)),""),""))</f>
        <v>Especias</v>
      </c>
      <c r="D20" s="78" t="str">
        <f>IF($B20="","",IFERROR(IFERROR(INDEX(ALIMENTOS_INTA!$G$8:$G$625,MATCH($B20,ALIMENTOS_INTA!$E$8:$E$625,0)),""),""))</f>
        <v>sin documentar</v>
      </c>
      <c r="E20" s="77"/>
      <c r="F20" s="79">
        <v>100</v>
      </c>
      <c r="G20" s="98">
        <f>IF($B20="","",IF($K$7="","ND",IF(ISNUMBER((INDEX(ALIMENTOS_INTA!$D$8:$AO$625,(MATCH($B20,ALIMENTOS_INTA!$E$8:$E$625,0)),(MATCH($K$7,ALIMENTOS_INTA!$D$7:$AO$7,0))))),(INDEX(ALIMENTOS_INTA!$D$8:$AO$625,(MATCH($B20,ALIMENTOS_INTA!$E$8:$E$625,0)),(MATCH($K$7,ALIMENTOS_INTA!$D$7:$AO$7,0)))),"ND")))</f>
        <v>3.7</v>
      </c>
      <c r="H20" s="98">
        <f t="shared" si="0"/>
        <v>3.7</v>
      </c>
      <c r="I20" s="97" t="str">
        <f t="shared" si="1"/>
        <v>mg</v>
      </c>
      <c r="J20" s="99">
        <f t="shared" si="2"/>
        <v>46.25</v>
      </c>
      <c r="K20" s="97">
        <f t="shared" si="3"/>
        <v>0</v>
      </c>
      <c r="L20" s="97" t="str">
        <f t="shared" si="4"/>
        <v>DISPONIBLE</v>
      </c>
      <c r="M20" s="97" t="str">
        <f t="shared" si="5"/>
        <v>SRC-NMX21</v>
      </c>
      <c r="N20" s="97" t="str">
        <f t="shared" si="6"/>
        <v>Aporte = valor por 100 g × gramaje / 100.</v>
      </c>
    </row>
    <row r="21" spans="1:14">
      <c r="A21" s="97">
        <v>9</v>
      </c>
      <c r="B21" s="77" t="s">
        <v>364</v>
      </c>
      <c r="C21" s="78" t="str">
        <f>IF($B21="","",IFERROR(IFERROR(INDEX(ALIMENTOS_INTA!$F$8:$F$625,MATCH($B21,ALIMENTOS_INTA!$E$8:$E$625,0)),""),""))</f>
        <v>Leche y derivados</v>
      </c>
      <c r="D21" s="78" t="str">
        <f>IF($B21="","",IFERROR(IFERROR(INDEX(ALIMENTOS_INTA!$G$8:$G$625,MATCH($B21,ALIMENTOS_INTA!$E$8:$E$625,0)),""),""))</f>
        <v>sin documentar</v>
      </c>
      <c r="E21" s="77"/>
      <c r="F21" s="79">
        <v>100</v>
      </c>
      <c r="G21" s="98">
        <f>IF($B21="","",IF($K$7="","ND",IF(ISNUMBER((INDEX(ALIMENTOS_INTA!$D$8:$AO$625,(MATCH($B21,ALIMENTOS_INTA!$E$8:$E$625,0)),(MATCH($K$7,ALIMENTOS_INTA!$D$7:$AO$7,0))))),(INDEX(ALIMENTOS_INTA!$D$8:$AO$625,(MATCH($B21,ALIMENTOS_INTA!$E$8:$E$625,0)),(MATCH($K$7,ALIMENTOS_INTA!$D$7:$AO$7,0)))),"ND")))</f>
        <v>0.8</v>
      </c>
      <c r="H21" s="98">
        <f t="shared" si="0"/>
        <v>0.8</v>
      </c>
      <c r="I21" s="97" t="str">
        <f t="shared" si="1"/>
        <v>mg</v>
      </c>
      <c r="J21" s="99">
        <f t="shared" si="2"/>
        <v>10</v>
      </c>
      <c r="K21" s="97">
        <f t="shared" si="3"/>
        <v>0</v>
      </c>
      <c r="L21" s="97" t="str">
        <f t="shared" si="4"/>
        <v>DISPONIBLE</v>
      </c>
      <c r="M21" s="97" t="str">
        <f t="shared" si="5"/>
        <v>SRC-NMX21</v>
      </c>
      <c r="N21" s="97" t="str">
        <f t="shared" si="6"/>
        <v>Aporte = valor por 100 g × gramaje / 100.</v>
      </c>
    </row>
    <row r="22" spans="1:14">
      <c r="A22" s="97">
        <v>10</v>
      </c>
      <c r="B22" s="77" t="s">
        <v>365</v>
      </c>
      <c r="C22" s="78" t="str">
        <f>IF($B22="","",IFERROR(IFERROR(INDEX(ALIMENTOS_INTA!$F$8:$F$625,MATCH($B22,ALIMENTOS_INTA!$E$8:$E$625,0)),""),""))</f>
        <v>cereales y derivados</v>
      </c>
      <c r="D22" s="78" t="str">
        <f>IF($B22="","",IFERROR(IFERROR(INDEX(ALIMENTOS_INTA!$G$8:$G$625,MATCH($B22,ALIMENTOS_INTA!$E$8:$E$625,0)),""),""))</f>
        <v>sin documentar</v>
      </c>
      <c r="E22" s="77"/>
      <c r="F22" s="79">
        <v>100</v>
      </c>
      <c r="G22" s="98">
        <f>IF($B22="","",IF($K$7="","ND",IF(ISNUMBER((INDEX(ALIMENTOS_INTA!$D$8:$AO$625,(MATCH($B22,ALIMENTOS_INTA!$E$8:$E$625,0)),(MATCH($K$7,ALIMENTOS_INTA!$D$7:$AO$7,0))))),(INDEX(ALIMENTOS_INTA!$D$8:$AO$625,(MATCH($B22,ALIMENTOS_INTA!$E$8:$E$625,0)),(MATCH($K$7,ALIMENTOS_INTA!$D$7:$AO$7,0)))),"ND")))</f>
        <v>1.2</v>
      </c>
      <c r="H22" s="98">
        <f t="shared" si="0"/>
        <v>1.2</v>
      </c>
      <c r="I22" s="97" t="str">
        <f t="shared" si="1"/>
        <v>mg</v>
      </c>
      <c r="J22" s="99">
        <f t="shared" si="2"/>
        <v>15</v>
      </c>
      <c r="K22" s="97">
        <f t="shared" si="3"/>
        <v>0</v>
      </c>
      <c r="L22" s="97" t="str">
        <f t="shared" si="4"/>
        <v>DISPONIBLE</v>
      </c>
      <c r="M22" s="97" t="str">
        <f t="shared" si="5"/>
        <v>SRC-NMX21</v>
      </c>
      <c r="N22" s="97" t="str">
        <f t="shared" si="6"/>
        <v>Aporte = valor por 100 g × gramaje / 100.</v>
      </c>
    </row>
    <row r="23" spans="1:14" ht="15" customHeight="1">
      <c r="A23" s="80" t="s">
        <v>137</v>
      </c>
      <c r="B23" s="80"/>
      <c r="C23" s="80"/>
      <c r="D23" s="80"/>
      <c r="E23" s="80"/>
      <c r="F23" s="80"/>
      <c r="G23" s="100"/>
      <c r="H23" s="100">
        <f>IF(COUNTA($B$13:$B$22)=0,"",SUM(H13:H22))</f>
        <v>13.370000000000001</v>
      </c>
      <c r="I23" s="101" t="str">
        <f t="shared" si="1"/>
        <v>mg</v>
      </c>
      <c r="J23" s="102">
        <f>IF(AND(ISNUMBER(H23),ISNUMBER(A10),A10&gt;0),H23/A10*100,"ND")</f>
        <v>167.125</v>
      </c>
      <c r="K23" s="101">
        <f>SUM(K13:K22)</f>
        <v>2</v>
      </c>
      <c r="L23" s="101" t="str">
        <f>IF(COUNTA($B$13:$B$22)=0,"SIN ALIMENTOS",IF(K23&gt;0,"PARCIAL · "&amp;K23&amp;" ND","COMPLETO"))</f>
        <v>PARCIAL · 2 ND</v>
      </c>
      <c r="M23" s="101" t="s">
        <v>366</v>
      </c>
      <c r="N23" s="101" t="s">
        <v>367</v>
      </c>
    </row>
    <row r="26" spans="1:14" ht="15" customHeight="1">
      <c r="A26" s="18" t="s">
        <v>368</v>
      </c>
      <c r="B26" s="18" t="s">
        <v>341</v>
      </c>
      <c r="C26" s="18" t="s">
        <v>342</v>
      </c>
      <c r="D26" s="18" t="s">
        <v>113</v>
      </c>
      <c r="E26" s="18" t="s">
        <v>345</v>
      </c>
      <c r="F26" s="18" t="s">
        <v>156</v>
      </c>
    </row>
    <row r="27" spans="1:14">
      <c r="A27">
        <v>1</v>
      </c>
      <c r="B27" t="str">
        <f>IFERROR(IFERROR(INDEX(CALCULOS_NUTRIENTES!$AL$2:$AL$211,MATCH(1,INDEX((CALCULOS_NUTRIENTES!$AJ$2:$AJ$211=$G$7)*(CALCULOS_NUTRIENTES!$AK$2:$AK$211=$A27),0),0)),""),"")</f>
        <v>Tyrex 1</v>
      </c>
      <c r="C27" t="str">
        <f>IFERROR(IFERROR(INDEX(CALCULOS_NUTRIENTES!$AM$2:$AM$211,MATCH(1,INDEX((CALCULOS_NUTRIENTES!$AJ$2:$AJ$211=$G$7)*(CALCULOS_NUTRIENTES!$AK$2:$AK$211=$A27),0),0)),""),"")</f>
        <v>Alimentos con formulaciones Especiales</v>
      </c>
      <c r="D27" t="str">
        <f>IFERROR(IFERROR(INDEX(CALCULOS_NUTRIENTES!$AN$2:$AN$211,MATCH(1,INDEX((CALCULOS_NUTRIENTES!$AJ$2:$AJ$211=$G$7)*(CALCULOS_NUTRIENTES!$AK$2:$AK$211=$A27),0),0)),""),"")</f>
        <v>sin documentar</v>
      </c>
      <c r="E27" s="19">
        <f>IFERROR(IFERROR(INDEX(CALCULOS_NUTRIENTES!$AO$2:$AO$211,MATCH(1,INDEX((CALCULOS_NUTRIENTES!$AJ$2:$AJ$211=$G$7)*(CALCULOS_NUTRIENTES!$AK$2:$AK$211=$A27),0),0)),""),"")</f>
        <v>85.4</v>
      </c>
      <c r="F27" t="str">
        <f>IFERROR(IFERROR(INDEX(CALCULOS_NUTRIENTES!$AP$2:$AP$211,MATCH(1,INDEX((CALCULOS_NUTRIENTES!$AJ$2:$AJ$211=$G$7)*(CALCULOS_NUTRIENTES!$AK$2:$AK$211=$A27),0),0)),""),"")</f>
        <v>mg</v>
      </c>
    </row>
    <row r="28" spans="1:14">
      <c r="A28">
        <v>2</v>
      </c>
      <c r="B28" t="str">
        <f>IFERROR(IFERROR(INDEX(CALCULOS_NUTRIENTES!$AL$2:$AL$211,MATCH(1,INDEX((CALCULOS_NUTRIENTES!$AJ$2:$AJ$211=$G$7)*(CALCULOS_NUTRIENTES!$AK$2:$AK$211=$A28),0),0)),""),"")</f>
        <v>PKU2 Nutri Concentrated</v>
      </c>
      <c r="C28" t="str">
        <f>IFERROR(IFERROR(INDEX(CALCULOS_NUTRIENTES!$AM$2:$AM$211,MATCH(1,INDEX((CALCULOS_NUTRIENTES!$AJ$2:$AJ$211=$G$7)*(CALCULOS_NUTRIENTES!$AK$2:$AK$211=$A28),0),0)),""),"")</f>
        <v>Alimentos con formulaciones Especiales</v>
      </c>
      <c r="D28" t="str">
        <f>IFERROR(IFERROR(INDEX(CALCULOS_NUTRIENTES!$AN$2:$AN$211,MATCH(1,INDEX((CALCULOS_NUTRIENTES!$AJ$2:$AJ$211=$G$7)*(CALCULOS_NUTRIENTES!$AK$2:$AK$211=$A28),0),0)),""),"")</f>
        <v>sin documentar</v>
      </c>
      <c r="E28" s="19">
        <f>IFERROR(IFERROR(INDEX(CALCULOS_NUTRIENTES!$AO$2:$AO$211,MATCH(1,INDEX((CALCULOS_NUTRIENTES!$AJ$2:$AJ$211=$G$7)*(CALCULOS_NUTRIENTES!$AK$2:$AK$211=$A28),0),0)),""),"")</f>
        <v>30</v>
      </c>
      <c r="F28" t="str">
        <f>IFERROR(IFERROR(INDEX(CALCULOS_NUTRIENTES!$AP$2:$AP$211,MATCH(1,INDEX((CALCULOS_NUTRIENTES!$AJ$2:$AJ$211=$G$7)*(CALCULOS_NUTRIENTES!$AK$2:$AK$211=$A28),0),0)),""),"")</f>
        <v>mg</v>
      </c>
    </row>
    <row r="29" spans="1:14">
      <c r="A29">
        <v>3</v>
      </c>
      <c r="B29" t="str">
        <f>IFERROR(IFERROR(INDEX(CALCULOS_NUTRIENTES!$AL$2:$AL$211,MATCH(1,INDEX((CALCULOS_NUTRIENTES!$AJ$2:$AJ$211=$G$7)*(CALCULOS_NUTRIENTES!$AK$2:$AK$211=$A29),0),0)),""),"")</f>
        <v>MSUD Med A Plus</v>
      </c>
      <c r="C29" t="str">
        <f>IFERROR(IFERROR(INDEX(CALCULOS_NUTRIENTES!$AM$2:$AM$211,MATCH(1,INDEX((CALCULOS_NUTRIENTES!$AJ$2:$AJ$211=$G$7)*(CALCULOS_NUTRIENTES!$AK$2:$AK$211=$A29),0),0)),""),"")</f>
        <v>Alimentos con formulaciones Especiales</v>
      </c>
      <c r="D29" t="str">
        <f>IFERROR(IFERROR(INDEX(CALCULOS_NUTRIENTES!$AN$2:$AN$211,MATCH(1,INDEX((CALCULOS_NUTRIENTES!$AJ$2:$AJ$211=$G$7)*(CALCULOS_NUTRIENTES!$AK$2:$AK$211=$A29),0),0)),""),"")</f>
        <v>sin documentar</v>
      </c>
      <c r="E29" s="19">
        <f>IFERROR(IFERROR(INDEX(CALCULOS_NUTRIENTES!$AO$2:$AO$211,MATCH(1,INDEX((CALCULOS_NUTRIENTES!$AJ$2:$AJ$211=$G$7)*(CALCULOS_NUTRIENTES!$AK$2:$AK$211=$A29),0),0)),""),"")</f>
        <v>25</v>
      </c>
      <c r="F29" t="str">
        <f>IFERROR(IFERROR(INDEX(CALCULOS_NUTRIENTES!$AP$2:$AP$211,MATCH(1,INDEX((CALCULOS_NUTRIENTES!$AJ$2:$AJ$211=$G$7)*(CALCULOS_NUTRIENTES!$AK$2:$AK$211=$A29),0),0)),""),"")</f>
        <v>mg</v>
      </c>
    </row>
    <row r="30" spans="1:14">
      <c r="A30">
        <v>4</v>
      </c>
      <c r="B30" t="str">
        <f>IFERROR(IFERROR(INDEX(CALCULOS_NUTRIENTES!$AL$2:$AL$211,MATCH(1,INDEX((CALCULOS_NUTRIENTES!$AJ$2:$AJ$211=$G$7)*(CALCULOS_NUTRIENTES!$AK$2:$AK$211=$A30),0),0)),""),"")</f>
        <v>Ketonex 2</v>
      </c>
      <c r="C30" t="str">
        <f>IFERROR(IFERROR(INDEX(CALCULOS_NUTRIENTES!$AM$2:$AM$211,MATCH(1,INDEX((CALCULOS_NUTRIENTES!$AJ$2:$AJ$211=$G$7)*(CALCULOS_NUTRIENTES!$AK$2:$AK$211=$A30),0),0)),""),"")</f>
        <v>Alimentos con formulaciones Especiales</v>
      </c>
      <c r="D30" t="str">
        <f>IFERROR(IFERROR(INDEX(CALCULOS_NUTRIENTES!$AN$2:$AN$211,MATCH(1,INDEX((CALCULOS_NUTRIENTES!$AJ$2:$AJ$211=$G$7)*(CALCULOS_NUTRIENTES!$AK$2:$AK$211=$A30),0),0)),""),"")</f>
        <v>sin documentar</v>
      </c>
      <c r="E30" s="19">
        <f>IFERROR(IFERROR(INDEX(CALCULOS_NUTRIENTES!$AO$2:$AO$211,MATCH(1,INDEX((CALCULOS_NUTRIENTES!$AJ$2:$AJ$211=$G$7)*(CALCULOS_NUTRIENTES!$AK$2:$AK$211=$A30),0),0)),""),"")</f>
        <v>23</v>
      </c>
      <c r="F30" t="str">
        <f>IFERROR(IFERROR(INDEX(CALCULOS_NUTRIENTES!$AP$2:$AP$211,MATCH(1,INDEX((CALCULOS_NUTRIENTES!$AJ$2:$AJ$211=$G$7)*(CALCULOS_NUTRIENTES!$AK$2:$AK$211=$A30),0),0)),""),"")</f>
        <v>mg</v>
      </c>
    </row>
    <row r="31" spans="1:14">
      <c r="A31">
        <v>5</v>
      </c>
      <c r="B31" t="str">
        <f>IFERROR(IFERROR(INDEX(CALCULOS_NUTRIENTES!$AL$2:$AL$211,MATCH(1,INDEX((CALCULOS_NUTRIENTES!$AJ$2:$AJ$211=$G$7)*(CALCULOS_NUTRIENTES!$AK$2:$AK$211=$A31),0),0)),""),"")</f>
        <v>P-AM2</v>
      </c>
      <c r="C31" t="str">
        <f>IFERROR(IFERROR(INDEX(CALCULOS_NUTRIENTES!$AM$2:$AM$211,MATCH(1,INDEX((CALCULOS_NUTRIENTES!$AJ$2:$AJ$211=$G$7)*(CALCULOS_NUTRIENTES!$AK$2:$AK$211=$A31),0),0)),""),"")</f>
        <v>Alimentos con formulaciones Especiales</v>
      </c>
      <c r="D31" t="str">
        <f>IFERROR(IFERROR(INDEX(CALCULOS_NUTRIENTES!$AN$2:$AN$211,MATCH(1,INDEX((CALCULOS_NUTRIENTES!$AJ$2:$AJ$211=$G$7)*(CALCULOS_NUTRIENTES!$AK$2:$AK$211=$A31),0),0)),""),"")</f>
        <v>sin documentar</v>
      </c>
      <c r="E31" s="19">
        <f>IFERROR(IFERROR(INDEX(CALCULOS_NUTRIENTES!$AO$2:$AO$211,MATCH(1,INDEX((CALCULOS_NUTRIENTES!$AJ$2:$AJ$211=$G$7)*(CALCULOS_NUTRIENTES!$AK$2:$AK$211=$A31),0),0)),""),"")</f>
        <v>21</v>
      </c>
      <c r="F31" t="str">
        <f>IFERROR(IFERROR(INDEX(CALCULOS_NUTRIENTES!$AP$2:$AP$211,MATCH(1,INDEX((CALCULOS_NUTRIENTES!$AJ$2:$AJ$211=$G$7)*(CALCULOS_NUTRIENTES!$AK$2:$AK$211=$A31),0),0)),""),"")</f>
        <v>mg</v>
      </c>
    </row>
    <row r="32" spans="1:14">
      <c r="A32">
        <v>6</v>
      </c>
      <c r="B32" t="str">
        <f>IFERROR(IFERROR(INDEX(CALCULOS_NUTRIENTES!$AL$2:$AL$211,MATCH(1,INDEX((CALCULOS_NUTRIENTES!$AJ$2:$AJ$211=$G$7)*(CALCULOS_NUTRIENTES!$AK$2:$AK$211=$A32),0),0)),""),"")</f>
        <v>MSUD Med B Plus</v>
      </c>
      <c r="C32" t="str">
        <f>IFERROR(IFERROR(INDEX(CALCULOS_NUTRIENTES!$AM$2:$AM$211,MATCH(1,INDEX((CALCULOS_NUTRIENTES!$AJ$2:$AJ$211=$G$7)*(CALCULOS_NUTRIENTES!$AK$2:$AK$211=$A32),0),0)),""),"")</f>
        <v>Alimentos con formulaciones Especiales</v>
      </c>
      <c r="D32" t="str">
        <f>IFERROR(IFERROR(INDEX(CALCULOS_NUTRIENTES!$AN$2:$AN$211,MATCH(1,INDEX((CALCULOS_NUTRIENTES!$AJ$2:$AJ$211=$G$7)*(CALCULOS_NUTRIENTES!$AK$2:$AK$211=$A32),0),0)),""),"")</f>
        <v>sin documentar</v>
      </c>
      <c r="E32" s="19">
        <f>IFERROR(IFERROR(INDEX(CALCULOS_NUTRIENTES!$AO$2:$AO$211,MATCH(1,INDEX((CALCULOS_NUTRIENTES!$AJ$2:$AJ$211=$G$7)*(CALCULOS_NUTRIENTES!$AK$2:$AK$211=$A32),0),0)),""),"")</f>
        <v>19</v>
      </c>
      <c r="F32" t="str">
        <f>IFERROR(IFERROR(INDEX(CALCULOS_NUTRIENTES!$AP$2:$AP$211,MATCH(1,INDEX((CALCULOS_NUTRIENTES!$AJ$2:$AJ$211=$G$7)*(CALCULOS_NUTRIENTES!$AK$2:$AK$211=$A32),0),0)),""),"")</f>
        <v>mg</v>
      </c>
    </row>
    <row r="33" spans="1:14">
      <c r="A33">
        <v>7</v>
      </c>
      <c r="B33" t="str">
        <f>IFERROR(IFERROR(INDEX(CALCULOS_NUTRIENTES!$AL$2:$AL$211,MATCH(1,INDEX((CALCULOS_NUTRIENTES!$AJ$2:$AJ$211=$G$7)*(CALCULOS_NUTRIENTES!$AK$2:$AK$211=$A33),0),0)),""),"")</f>
        <v>MSUD OAcMedB Plus</v>
      </c>
      <c r="C33" t="str">
        <f>IFERROR(IFERROR(INDEX(CALCULOS_NUTRIENTES!$AM$2:$AM$211,MATCH(1,INDEX((CALCULOS_NUTRIENTES!$AJ$2:$AJ$211=$G$7)*(CALCULOS_NUTRIENTES!$AK$2:$AK$211=$A33),0),0)),""),"")</f>
        <v>Alimentos con formulaciones Especiales</v>
      </c>
      <c r="D33" t="str">
        <f>IFERROR(IFERROR(INDEX(CALCULOS_NUTRIENTES!$AN$2:$AN$211,MATCH(1,INDEX((CALCULOS_NUTRIENTES!$AJ$2:$AJ$211=$G$7)*(CALCULOS_NUTRIENTES!$AK$2:$AK$211=$A33),0),0)),""),"")</f>
        <v>sin documentar</v>
      </c>
      <c r="E33" s="19">
        <f>IFERROR(IFERROR(INDEX(CALCULOS_NUTRIENTES!$AO$2:$AO$211,MATCH(1,INDEX((CALCULOS_NUTRIENTES!$AJ$2:$AJ$211=$G$7)*(CALCULOS_NUTRIENTES!$AK$2:$AK$211=$A33),0),0)),""),"")</f>
        <v>19</v>
      </c>
      <c r="F33" t="str">
        <f>IFERROR(IFERROR(INDEX(CALCULOS_NUTRIENTES!$AP$2:$AP$211,MATCH(1,INDEX((CALCULOS_NUTRIENTES!$AJ$2:$AJ$211=$G$7)*(CALCULOS_NUTRIENTES!$AK$2:$AK$211=$A33),0),0)),""),"")</f>
        <v>mg</v>
      </c>
    </row>
    <row r="34" spans="1:14">
      <c r="A34">
        <v>8</v>
      </c>
      <c r="B34" t="str">
        <f>IFERROR(IFERROR(INDEX(CALCULOS_NUTRIENTES!$AL$2:$AL$211,MATCH(1,INDEX((CALCULOS_NUTRIENTES!$AJ$2:$AJ$211=$G$7)*(CALCULOS_NUTRIENTES!$AK$2:$AK$211=$A34),0),0)),""),"")</f>
        <v>Phenex 2</v>
      </c>
      <c r="C34" t="str">
        <f>IFERROR(IFERROR(INDEX(CALCULOS_NUTRIENTES!$AM$2:$AM$211,MATCH(1,INDEX((CALCULOS_NUTRIENTES!$AJ$2:$AJ$211=$G$7)*(CALCULOS_NUTRIENTES!$AK$2:$AK$211=$A34),0),0)),""),"")</f>
        <v>Alimentos con formulaciones Especiales</v>
      </c>
      <c r="D34" t="str">
        <f>IFERROR(IFERROR(INDEX(CALCULOS_NUTRIENTES!$AN$2:$AN$211,MATCH(1,INDEX((CALCULOS_NUTRIENTES!$AJ$2:$AJ$211=$G$7)*(CALCULOS_NUTRIENTES!$AK$2:$AK$211=$A34),0),0)),""),"")</f>
        <v>sin documentar</v>
      </c>
      <c r="E34" s="19">
        <f>IFERROR(IFERROR(INDEX(CALCULOS_NUTRIENTES!$AO$2:$AO$211,MATCH(1,INDEX((CALCULOS_NUTRIENTES!$AJ$2:$AJ$211=$G$7)*(CALCULOS_NUTRIENTES!$AK$2:$AK$211=$A34),0),0)),""),"")</f>
        <v>19</v>
      </c>
      <c r="F34" t="str">
        <f>IFERROR(IFERROR(INDEX(CALCULOS_NUTRIENTES!$AP$2:$AP$211,MATCH(1,INDEX((CALCULOS_NUTRIENTES!$AJ$2:$AJ$211=$G$7)*(CALCULOS_NUTRIENTES!$AK$2:$AK$211=$A34),0),0)),""),"")</f>
        <v>mg</v>
      </c>
    </row>
    <row r="35" spans="1:14">
      <c r="A35">
        <v>9</v>
      </c>
      <c r="B35" t="str">
        <f>IFERROR(IFERROR(INDEX(CALCULOS_NUTRIENTES!$AL$2:$AL$211,MATCH(1,INDEX((CALCULOS_NUTRIENTES!$AJ$2:$AJ$211=$G$7)*(CALCULOS_NUTRIENTES!$AK$2:$AK$211=$A35),0),0)),""),"")</f>
        <v>PKU Med B Plus</v>
      </c>
      <c r="C35" t="str">
        <f>IFERROR(IFERROR(INDEX(CALCULOS_NUTRIENTES!$AM$2:$AM$211,MATCH(1,INDEX((CALCULOS_NUTRIENTES!$AJ$2:$AJ$211=$G$7)*(CALCULOS_NUTRIENTES!$AK$2:$AK$211=$A35),0),0)),""),"")</f>
        <v>Alimentos con formulaciones Especiales</v>
      </c>
      <c r="D35" t="str">
        <f>IFERROR(IFERROR(INDEX(CALCULOS_NUTRIENTES!$AN$2:$AN$211,MATCH(1,INDEX((CALCULOS_NUTRIENTES!$AJ$2:$AJ$211=$G$7)*(CALCULOS_NUTRIENTES!$AK$2:$AK$211=$A35),0),0)),""),"")</f>
        <v>sin documentar</v>
      </c>
      <c r="E35" s="19">
        <f>IFERROR(IFERROR(INDEX(CALCULOS_NUTRIENTES!$AO$2:$AO$211,MATCH(1,INDEX((CALCULOS_NUTRIENTES!$AJ$2:$AJ$211=$G$7)*(CALCULOS_NUTRIENTES!$AK$2:$AK$211=$A35),0),0)),""),"")</f>
        <v>19</v>
      </c>
      <c r="F35" t="str">
        <f>IFERROR(IFERROR(INDEX(CALCULOS_NUTRIENTES!$AP$2:$AP$211,MATCH(1,INDEX((CALCULOS_NUTRIENTES!$AJ$2:$AJ$211=$G$7)*(CALCULOS_NUTRIENTES!$AK$2:$AK$211=$A35),0),0)),""),"")</f>
        <v>mg</v>
      </c>
    </row>
    <row r="36" spans="1:14">
      <c r="A36">
        <v>10</v>
      </c>
      <c r="B36" t="str">
        <f>IFERROR(IFERROR(INDEX(CALCULOS_NUTRIENTES!$AL$2:$AL$211,MATCH(1,INDEX((CALCULOS_NUTRIENTES!$AJ$2:$AJ$211=$G$7)*(CALCULOS_NUTRIENTES!$AK$2:$AK$211=$A36),0),0)),""),"")</f>
        <v>Propimex 2</v>
      </c>
      <c r="C36" t="str">
        <f>IFERROR(IFERROR(INDEX(CALCULOS_NUTRIENTES!$AM$2:$AM$211,MATCH(1,INDEX((CALCULOS_NUTRIENTES!$AJ$2:$AJ$211=$G$7)*(CALCULOS_NUTRIENTES!$AK$2:$AK$211=$A36),0),0)),""),"")</f>
        <v>Alimentos con formulaciones Especiales</v>
      </c>
      <c r="D36" t="str">
        <f>IFERROR(IFERROR(INDEX(CALCULOS_NUTRIENTES!$AN$2:$AN$211,MATCH(1,INDEX((CALCULOS_NUTRIENTES!$AJ$2:$AJ$211=$G$7)*(CALCULOS_NUTRIENTES!$AK$2:$AK$211=$A36),0),0)),""),"")</f>
        <v>sin documentar</v>
      </c>
      <c r="E36" s="19">
        <f>IFERROR(IFERROR(INDEX(CALCULOS_NUTRIENTES!$AO$2:$AO$211,MATCH(1,INDEX((CALCULOS_NUTRIENTES!$AJ$2:$AJ$211=$G$7)*(CALCULOS_NUTRIENTES!$AK$2:$AK$211=$A36),0),0)),""),"")</f>
        <v>18</v>
      </c>
      <c r="F36" t="str">
        <f>IFERROR(IFERROR(INDEX(CALCULOS_NUTRIENTES!$AP$2:$AP$211,MATCH(1,INDEX((CALCULOS_NUTRIENTES!$AJ$2:$AJ$211=$G$7)*(CALCULOS_NUTRIENTES!$AK$2:$AK$211=$A36),0),0)),""),"")</f>
        <v>mg</v>
      </c>
    </row>
    <row r="39" spans="1:14">
      <c r="A39" s="232" t="s">
        <v>369</v>
      </c>
      <c r="B39" s="152"/>
      <c r="C39" s="152"/>
      <c r="D39" s="152"/>
      <c r="E39" s="152"/>
      <c r="F39" s="152"/>
      <c r="G39" s="152"/>
      <c r="H39" s="152"/>
      <c r="I39" s="152"/>
      <c r="J39" s="152"/>
      <c r="K39" s="152"/>
      <c r="L39" s="152"/>
      <c r="M39" s="152"/>
      <c r="N39" s="152"/>
    </row>
    <row r="40" spans="1:14">
      <c r="A40" s="152"/>
      <c r="B40" s="152"/>
      <c r="C40" s="152"/>
      <c r="D40" s="152"/>
      <c r="E40" s="152"/>
      <c r="F40" s="152"/>
      <c r="G40" s="152"/>
      <c r="H40" s="152"/>
      <c r="I40" s="152"/>
      <c r="J40" s="152"/>
      <c r="K40" s="152"/>
      <c r="L40" s="152"/>
      <c r="M40" s="152"/>
      <c r="N40" s="152"/>
    </row>
    <row r="41" spans="1:14">
      <c r="A41" s="152"/>
      <c r="B41" s="152"/>
      <c r="C41" s="152"/>
      <c r="D41" s="152"/>
      <c r="E41" s="152"/>
      <c r="F41" s="152"/>
      <c r="G41" s="152"/>
      <c r="H41" s="152"/>
      <c r="I41" s="152"/>
      <c r="J41" s="152"/>
      <c r="K41" s="152"/>
      <c r="L41" s="152"/>
      <c r="M41" s="152"/>
      <c r="N41" s="152"/>
    </row>
    <row r="42" spans="1:14">
      <c r="A42" s="152"/>
      <c r="B42" s="152"/>
      <c r="C42" s="152"/>
      <c r="D42" s="152"/>
      <c r="E42" s="152"/>
      <c r="F42" s="152"/>
      <c r="G42" s="152"/>
      <c r="H42" s="152"/>
      <c r="I42" s="152"/>
      <c r="J42" s="152"/>
      <c r="K42" s="152"/>
      <c r="L42" s="152"/>
      <c r="M42" s="152"/>
      <c r="N42" s="152"/>
    </row>
  </sheetData>
  <mergeCells count="18">
    <mergeCell ref="M10:N10"/>
    <mergeCell ref="A39:N42"/>
    <mergeCell ref="M9:N9"/>
    <mergeCell ref="I10:L10"/>
    <mergeCell ref="A10:D10"/>
    <mergeCell ref="E10:H10"/>
    <mergeCell ref="A1:N2"/>
    <mergeCell ref="K7:L7"/>
    <mergeCell ref="A3:N3"/>
    <mergeCell ref="A9:D9"/>
    <mergeCell ref="C7:D7"/>
    <mergeCell ref="A7:B7"/>
    <mergeCell ref="G7:H7"/>
    <mergeCell ref="E7:F7"/>
    <mergeCell ref="E9:H9"/>
    <mergeCell ref="I7:J7"/>
    <mergeCell ref="I9:L9"/>
    <mergeCell ref="A8:N8"/>
  </mergeCells>
  <dataValidations count="1">
    <dataValidation type="list" sqref="C7" xr:uid="{00000000-0002-0000-0800-000000000000}">
      <formula1>"Hierro,Zinc,Cobre,Calcio,Fósforo,Selenio,Potasio,Magnesio,Sodio,Cloruro,Vitamina A,Vitamina D,Vitamina E,Vitamina K,Vitamina C,Tiamina,Riboflavina,Niacina,Ácido pantoténico,Vitamina B6,Biotina,Folato,Cobalamina"</formula1>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3394AE4-6FE4-4AA7-A20D-21B2DBE92650}">
          <x14:formula1>
            <xm:f>ALIMENTOS_INTA!$E$8:$E$625</xm:f>
          </x14:formula1>
          <xm:sqref>B13:B22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9"/>
  <sheetViews>
    <sheetView showGridLines="0" workbookViewId="0">
      <selection activeCell="C7" sqref="C7:D7"/>
    </sheetView>
  </sheetViews>
  <sheetFormatPr baseColWidth="10" defaultColWidth="9" defaultRowHeight="14.25"/>
  <cols>
    <col min="1" max="14" width="14" style="30" customWidth="1"/>
  </cols>
  <sheetData>
    <row r="1" spans="1:15">
      <c r="A1" s="155" t="s">
        <v>370</v>
      </c>
      <c r="B1" s="152"/>
      <c r="C1" s="152"/>
      <c r="D1" s="152"/>
      <c r="E1" s="152"/>
      <c r="F1" s="152"/>
      <c r="G1" s="152"/>
      <c r="H1" s="152"/>
      <c r="I1" s="152"/>
      <c r="J1" s="152"/>
      <c r="K1" s="152"/>
      <c r="L1" s="152"/>
      <c r="M1" s="152"/>
      <c r="N1" s="152"/>
    </row>
    <row r="2" spans="1:15">
      <c r="A2" s="152"/>
      <c r="B2" s="152"/>
      <c r="C2" s="152"/>
      <c r="D2" s="152"/>
      <c r="E2" s="152"/>
      <c r="F2" s="152"/>
      <c r="G2" s="152"/>
      <c r="H2" s="152"/>
      <c r="I2" s="152"/>
      <c r="J2" s="152"/>
      <c r="K2" s="152"/>
      <c r="L2" s="152"/>
      <c r="M2" s="152"/>
      <c r="N2" s="152"/>
    </row>
    <row r="3" spans="1:15" ht="15" customHeight="1">
      <c r="A3" s="156" t="s">
        <v>371</v>
      </c>
      <c r="B3" s="152"/>
      <c r="C3" s="152"/>
      <c r="D3" s="152"/>
      <c r="E3" s="152"/>
      <c r="F3" s="152"/>
      <c r="G3" s="152"/>
      <c r="H3" s="152"/>
      <c r="I3" s="152"/>
      <c r="J3" s="152"/>
      <c r="K3" s="152"/>
      <c r="L3" s="152"/>
      <c r="M3" s="152"/>
      <c r="N3" s="152"/>
    </row>
    <row r="5" spans="1:15">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5" ht="15.75" customHeight="1">
      <c r="A7" s="236" t="s">
        <v>314</v>
      </c>
      <c r="B7" s="152"/>
      <c r="C7" s="228" t="s">
        <v>234</v>
      </c>
      <c r="D7" s="229"/>
      <c r="E7" s="230" t="s">
        <v>188</v>
      </c>
      <c r="F7" s="152"/>
      <c r="G7" s="226" t="str">
        <f>IFERROR(IFERROR(INDEX(NUTRIENTES!$A$8:$A$30,MATCH($C$7,NUTRIENTES!$B$8:$B$30,0)),""),"")</f>
        <v>MIN-ZN</v>
      </c>
      <c r="H7" s="152"/>
      <c r="I7" s="33"/>
      <c r="J7" s="33"/>
      <c r="K7" s="33"/>
      <c r="L7" s="33"/>
      <c r="M7" s="33"/>
      <c r="N7" s="33"/>
    </row>
    <row r="8" spans="1:15" ht="15.75" customHeight="1">
      <c r="A8" s="225" t="s">
        <v>317</v>
      </c>
      <c r="B8" s="225"/>
      <c r="C8" s="225"/>
      <c r="D8" s="225"/>
      <c r="E8" s="225"/>
      <c r="F8" s="225"/>
      <c r="G8" s="225"/>
      <c r="H8" s="225"/>
      <c r="I8" s="225"/>
      <c r="J8" s="225"/>
      <c r="K8" s="225"/>
      <c r="L8" s="225"/>
      <c r="M8" s="225"/>
      <c r="N8" s="225"/>
      <c r="O8" s="237"/>
    </row>
    <row r="9" spans="1:15" ht="31.5" customHeight="1">
      <c r="A9" s="103" t="s">
        <v>372</v>
      </c>
      <c r="B9" s="103"/>
      <c r="C9" s="103" t="s">
        <v>373</v>
      </c>
      <c r="D9" s="103"/>
      <c r="E9" s="103" t="s">
        <v>374</v>
      </c>
      <c r="F9" s="103"/>
      <c r="G9" s="103" t="s">
        <v>375</v>
      </c>
      <c r="H9" s="103"/>
      <c r="I9" s="33"/>
      <c r="J9" s="33"/>
      <c r="K9" s="33"/>
      <c r="L9" s="33"/>
      <c r="M9" s="33"/>
      <c r="N9" s="33"/>
    </row>
    <row r="10" spans="1:15" ht="15.75" customHeight="1">
      <c r="A10" s="234">
        <f>DATOS!F9</f>
        <v>25</v>
      </c>
      <c r="B10" s="178"/>
      <c r="C10" s="234" t="str">
        <f>DATOS!B13</f>
        <v>Femenino</v>
      </c>
      <c r="D10" s="178"/>
      <c r="E10" s="234" t="str">
        <f>DATOS!B16</f>
        <v>Ninguno</v>
      </c>
      <c r="F10" s="178"/>
      <c r="G10" s="234" t="str">
        <f>IFERROR(IFERROR(INDEX(DRI_BASE!$C$2:$C$469&amp;" · "&amp;DRI_BASE!$D$2:$D$469&amp;"–"&amp;DRI_BASE!$E$2:$E$469&amp;" años",MATCH(1,INDEX((DRI_BASE!$B$2:$B$469=$G$7)*(DRI_BASE!$D$2:$D$469&lt;=DATOS!$F$9)*(DRI_BASE!$E$2:$E$469&gt;DATOS!$F$9)*(((DRI_BASE!$C$2:$C$469=DATOS!$B$13)+(DRI_BASE!$C$2:$C$469="Ambos"))&gt;0)*(DRI_BASE!$G$2:$G$469=DATOS!$B$16),0),0)),"ND"),"ND")</f>
        <v>Femenino · 19–31 años</v>
      </c>
      <c r="H10" s="178"/>
      <c r="I10" s="33"/>
      <c r="J10" s="33"/>
      <c r="K10" s="33"/>
      <c r="L10" s="33"/>
      <c r="M10" s="33"/>
      <c r="N10" s="33"/>
    </row>
    <row r="12" spans="1:15" ht="15" customHeight="1">
      <c r="A12" s="235" t="s">
        <v>336</v>
      </c>
      <c r="B12" s="178"/>
      <c r="C12" s="235" t="s">
        <v>337</v>
      </c>
      <c r="D12" s="178"/>
      <c r="E12" s="235" t="s">
        <v>338</v>
      </c>
      <c r="F12" s="178"/>
      <c r="G12" s="235" t="s">
        <v>376</v>
      </c>
      <c r="H12" s="178"/>
      <c r="I12" s="235" t="s">
        <v>316</v>
      </c>
      <c r="J12" s="178"/>
      <c r="K12" s="235" t="s">
        <v>377</v>
      </c>
      <c r="L12" s="178"/>
      <c r="M12" s="178"/>
      <c r="N12" s="178"/>
      <c r="O12" s="178"/>
    </row>
    <row r="13" spans="1:15">
      <c r="A13" s="233">
        <f>IFERROR(IFERROR(INDEX(DRI_BASE!$T$2:$T$469,MATCH(1,INDEX((DRI_BASE!$B$2:$B$469=$G$7)*(DRI_BASE!$D$2:$D$469&lt;=DATOS!$F$9)*(DRI_BASE!$E$2:$E$469&gt;DATOS!$F$9)*(((DRI_BASE!$C$2:$C$469=DATOS!$B$13)+(DRI_BASE!$C$2:$C$469="Ambos"))&gt;0)*(DRI_BASE!$G$2:$G$469=DATOS!$B$16),0),0)),"ND"),"ND")</f>
        <v>8</v>
      </c>
      <c r="B13" s="178"/>
      <c r="C13" s="233" t="str">
        <f>IFERROR(IFERROR(INDEX(DRI_BASE!$R$2:$R$469,MATCH(1,INDEX((DRI_BASE!$B$2:$B$469=$G$7)*(DRI_BASE!$D$2:$D$469&lt;=DATOS!$F$9)*(DRI_BASE!$E$2:$E$469&gt;DATOS!$F$9)*(((DRI_BASE!$C$2:$C$469=DATOS!$B$13)+(DRI_BASE!$C$2:$C$469="Ambos"))&gt;0)*(DRI_BASE!$G$2:$G$469=DATOS!$B$16),0),0)),"ND"),"ND")</f>
        <v>RDA</v>
      </c>
      <c r="D13" s="178"/>
      <c r="E13" s="233">
        <f>IFERROR(IFERROR(INDEX(DRI_BASE!$U$2:$U$469,MATCH(1,INDEX((DRI_BASE!$B$2:$B$469=$G$7)*(DRI_BASE!$D$2:$D$469&lt;=DATOS!$F$9)*(DRI_BASE!$E$2:$E$469&gt;DATOS!$F$9)*(((DRI_BASE!$C$2:$C$469=DATOS!$B$13)+(DRI_BASE!$C$2:$C$469="Ambos"))&gt;0)*(DRI_BASE!$G$2:$G$469=DATOS!$B$16),0),0)),"ND"),"ND")</f>
        <v>40</v>
      </c>
      <c r="F13" s="178"/>
      <c r="G13" s="233" t="str">
        <f>IFERROR(IFERROR(INDEX(DRI_BASE!$S$2:$S$469,MATCH(1,INDEX((DRI_BASE!$B$2:$B$469=$G$7)*(DRI_BASE!$D$2:$D$469&lt;=DATOS!$F$9)*(DRI_BASE!$E$2:$E$469&gt;DATOS!$F$9)*(((DRI_BASE!$C$2:$C$469=DATOS!$B$13)+(DRI_BASE!$C$2:$C$469="Ambos"))&gt;0)*(DRI_BASE!$G$2:$G$469=DATOS!$B$16),0),0)),"ND"),"ND")</f>
        <v>UL</v>
      </c>
      <c r="H13" s="178"/>
      <c r="I13" s="233" t="str">
        <f>IFERROR(IFERROR(INDEX(DRI_BASE!$L$2:$L$469,MATCH(1,INDEX((DRI_BASE!$B$2:$B$469=$G$7)*(DRI_BASE!$D$2:$D$469&lt;=DATOS!$F$9)*(DRI_BASE!$E$2:$E$469&gt;DATOS!$F$9)*(((DRI_BASE!$C$2:$C$469=DATOS!$B$13)+(DRI_BASE!$C$2:$C$469="Ambos"))&gt;0)*(DRI_BASE!$G$2:$G$469=DATOS!$B$16),0),0)),""),"")</f>
        <v>mg</v>
      </c>
      <c r="J13" s="178"/>
      <c r="K13" s="233" t="str">
        <f>IFERROR(IFERROR(INDEX(DRI_BASE!$M$2:$M$469,MATCH(1,INDEX((DRI_BASE!$B$2:$B$469=$G$7)*(DRI_BASE!$D$2:$D$469&lt;=DATOS!$F$9)*(DRI_BASE!$E$2:$E$469&gt;DATOS!$F$9)*(((DRI_BASE!$C$2:$C$469=DATOS!$B$13)+(DRI_BASE!$C$2:$C$469="Ambos"))&gt;0)*(DRI_BASE!$G$2:$G$469=DATOS!$B$16),0),0)),"ND"),"ND")</f>
        <v>SRC-DRI-SUMMARY</v>
      </c>
      <c r="L13" s="178"/>
      <c r="M13" s="178"/>
      <c r="N13" s="178"/>
      <c r="O13" s="178"/>
    </row>
    <row r="14" spans="1:15">
      <c r="A14" s="178"/>
      <c r="B14" s="178"/>
      <c r="C14" s="178"/>
      <c r="D14" s="178"/>
      <c r="E14" s="178"/>
      <c r="F14" s="178"/>
      <c r="G14" s="178"/>
      <c r="H14" s="178"/>
      <c r="I14" s="178"/>
      <c r="J14" s="178"/>
      <c r="K14" s="178"/>
      <c r="L14" s="178"/>
      <c r="M14" s="178"/>
      <c r="N14" s="178"/>
      <c r="O14" s="178"/>
    </row>
    <row r="17" spans="1:16" ht="15" customHeight="1">
      <c r="A17" s="16" t="s">
        <v>342</v>
      </c>
      <c r="B17" s="16" t="s">
        <v>39</v>
      </c>
      <c r="C17" s="16" t="s">
        <v>113</v>
      </c>
      <c r="D17" s="16" t="s">
        <v>32</v>
      </c>
      <c r="E17" s="16" t="s">
        <v>378</v>
      </c>
      <c r="F17" s="16" t="s">
        <v>379</v>
      </c>
      <c r="G17" s="16" t="s">
        <v>380</v>
      </c>
      <c r="H17" s="16" t="s">
        <v>381</v>
      </c>
      <c r="I17" s="16" t="s">
        <v>382</v>
      </c>
      <c r="J17" s="16" t="s">
        <v>222</v>
      </c>
      <c r="K17" s="16" t="s">
        <v>383</v>
      </c>
      <c r="L17" s="16" t="s">
        <v>384</v>
      </c>
      <c r="M17" s="16" t="s">
        <v>385</v>
      </c>
      <c r="N17" s="16" t="s">
        <v>156</v>
      </c>
      <c r="O17" s="16" t="s">
        <v>350</v>
      </c>
    </row>
    <row r="18" spans="1:16">
      <c r="A18" s="78" t="s">
        <v>386</v>
      </c>
      <c r="B18" s="78" t="s">
        <v>387</v>
      </c>
      <c r="C18" s="78" t="s">
        <v>49</v>
      </c>
      <c r="D18" s="78" t="s">
        <v>388</v>
      </c>
      <c r="E18" s="78">
        <f>IFERROR(IFERROR(INDEX(DRI_BASE!$H$2:$H$469,MATCH(1,INDEX((DRI_BASE!$B$2:$B$469=$G$7)*(DRI_BASE!$C$2:$C$469="Ambos")*(DRI_BASE!$D$2:$D$469=0)*(DRI_BASE!$G$2:$G$469="Ninguno"),0),0)),"ND"),"ND")</f>
        <v>0</v>
      </c>
      <c r="F18" s="78">
        <f>IFERROR(IFERROR(INDEX(DRI_BASE!$I$2:$I$469,MATCH(1,INDEX((DRI_BASE!$B$2:$B$469=$G$7)*(DRI_BASE!$C$2:$C$469="Ambos")*(DRI_BASE!$D$2:$D$469=0)*(DRI_BASE!$G$2:$G$469="Ninguno"),0),0)),"ND"),"ND")</f>
        <v>0</v>
      </c>
      <c r="G18" s="78">
        <f>IFERROR(IFERROR(INDEX(DRI_BASE!$J$2:$J$469,MATCH(1,INDEX((DRI_BASE!$B$2:$B$469=$G$7)*(DRI_BASE!$C$2:$C$469="Ambos")*(DRI_BASE!$D$2:$D$469=0)*(DRI_BASE!$G$2:$G$469="Ninguno"),0),0)),"ND"),"ND")</f>
        <v>2</v>
      </c>
      <c r="H18" s="78">
        <f>IFERROR(IFERROR(INDEX(DRI_BASE!$T$2:$T$469,MATCH(1,INDEX((DRI_BASE!$B$2:$B$469=$G$7)*(DRI_BASE!$C$2:$C$469="Ambos")*(DRI_BASE!$D$2:$D$469=0)*(DRI_BASE!$G$2:$G$469="Ninguno"),0),0)),"ND"),"ND")</f>
        <v>2</v>
      </c>
      <c r="I18" s="78" t="str">
        <f>IFERROR(IFERROR(INDEX(DRI_BASE!$R$2:$R$469,MATCH(1,INDEX((DRI_BASE!$B$2:$B$469=$G$7)*(DRI_BASE!$C$2:$C$469="Ambos")*(DRI_BASE!$D$2:$D$469=0)*(DRI_BASE!$G$2:$G$469="Ninguno"),0),0)),"ND"),"ND")</f>
        <v>AI</v>
      </c>
      <c r="J18" s="78">
        <f>IFERROR(IFERROR(INDEX(DRI_BASE!$K$2:$K$469,MATCH(1,INDEX((DRI_BASE!$B$2:$B$469=$G$7)*(DRI_BASE!$C$2:$C$469="Ambos")*(DRI_BASE!$D$2:$D$469=0)*(DRI_BASE!$G$2:$G$469="Ninguno"),0),0)),"ND"),"ND")</f>
        <v>4</v>
      </c>
      <c r="K18" s="78">
        <f>IFERROR(IFERROR(INDEX(DRI_BASE!$Q$2:$Q$469,MATCH(1,INDEX((DRI_BASE!$B$2:$B$469=$G$7)*(DRI_BASE!$C$2:$C$469="Ambos")*(DRI_BASE!$D$2:$D$469=0)*(DRI_BASE!$G$2:$G$469="Ninguno"),0),0)),"ND"),"ND")</f>
        <v>0</v>
      </c>
      <c r="L18" s="78">
        <f>IFERROR(IFERROR(INDEX(DRI_BASE!$U$2:$U$469,MATCH(1,INDEX((DRI_BASE!$B$2:$B$469=$G$7)*(DRI_BASE!$C$2:$C$469="Ambos")*(DRI_BASE!$D$2:$D$469=0)*(DRI_BASE!$G$2:$G$469="Ninguno"),0),0)),"ND"),"ND")</f>
        <v>4</v>
      </c>
      <c r="M18" s="78" t="str">
        <f>IFERROR(IFERROR(INDEX(DRI_BASE!$S$2:$S$469,MATCH(1,INDEX((DRI_BASE!$B$2:$B$469=$G$7)*(DRI_BASE!$C$2:$C$469="Ambos")*(DRI_BASE!$D$2:$D$469=0)*(DRI_BASE!$G$2:$G$469="Ninguno"),0),0)),""),"")</f>
        <v>UL</v>
      </c>
      <c r="N18" s="78" t="str">
        <f>IFERROR(IFERROR(INDEX(DRI_BASE!$L$2:$L$469,MATCH(1,INDEX((DRI_BASE!$B$2:$B$469=$G$7)*(DRI_BASE!$C$2:$C$469="Ambos")*(DRI_BASE!$D$2:$D$469=0)*(DRI_BASE!$G$2:$G$469="Ninguno"),0),0)),""),"")</f>
        <v>mg</v>
      </c>
      <c r="O18" s="78" t="str">
        <f>IFERROR(IFERROR(INDEX(DRI_BASE!$M$2:$M$469,MATCH(1,INDEX((DRI_BASE!$B$2:$B$469=$G$7)*(DRI_BASE!$C$2:$C$469="Ambos")*(DRI_BASE!$D$2:$D$469=0)*(DRI_BASE!$G$2:$G$469="Ninguno"),0),0)),"ND"),"ND")</f>
        <v>SRC-DRI-SUMMARY</v>
      </c>
      <c r="P18" s="78"/>
    </row>
    <row r="19" spans="1:16">
      <c r="A19" s="78" t="s">
        <v>389</v>
      </c>
      <c r="B19" s="78" t="s">
        <v>387</v>
      </c>
      <c r="C19" s="78" t="s">
        <v>49</v>
      </c>
      <c r="D19" s="78" t="s">
        <v>390</v>
      </c>
      <c r="E19" s="78">
        <f>IFERROR(IFERROR(INDEX(DRI_BASE!$H$2:$H$469,MATCH(1,INDEX((DRI_BASE!$B$2:$B$469=$G$7)*(DRI_BASE!$C$2:$C$469="Ambos")*(DRI_BASE!$D$2:$D$469=0.5)*(DRI_BASE!$G$2:$G$469="Ninguno"),0),0)),"ND"),"ND")</f>
        <v>0</v>
      </c>
      <c r="F19" s="78">
        <f>IFERROR(IFERROR(INDEX(DRI_BASE!$I$2:$I$469,MATCH(1,INDEX((DRI_BASE!$B$2:$B$469=$G$7)*(DRI_BASE!$C$2:$C$469="Ambos")*(DRI_BASE!$D$2:$D$469=0.5)*(DRI_BASE!$G$2:$G$469="Ninguno"),0),0)),"ND"),"ND")</f>
        <v>0</v>
      </c>
      <c r="G19" s="78">
        <f>IFERROR(IFERROR(INDEX(DRI_BASE!$J$2:$J$469,MATCH(1,INDEX((DRI_BASE!$B$2:$B$469=$G$7)*(DRI_BASE!$C$2:$C$469="Ambos")*(DRI_BASE!$D$2:$D$469=0.5)*(DRI_BASE!$G$2:$G$469="Ninguno"),0),0)),"ND"),"ND")</f>
        <v>3</v>
      </c>
      <c r="H19" s="78">
        <f>IFERROR(IFERROR(INDEX(DRI_BASE!$T$2:$T$469,MATCH(1,INDEX((DRI_BASE!$B$2:$B$469=$G$7)*(DRI_BASE!$C$2:$C$469="Ambos")*(DRI_BASE!$D$2:$D$469=0.5)*(DRI_BASE!$G$2:$G$469="Ninguno"),0),0)),"ND"),"ND")</f>
        <v>3</v>
      </c>
      <c r="I19" s="78" t="str">
        <f>IFERROR(IFERROR(INDEX(DRI_BASE!$R$2:$R$469,MATCH(1,INDEX((DRI_BASE!$B$2:$B$469=$G$7)*(DRI_BASE!$C$2:$C$469="Ambos")*(DRI_BASE!$D$2:$D$469=0.5)*(DRI_BASE!$G$2:$G$469="Ninguno"),0),0)),"ND"),"ND")</f>
        <v>AI</v>
      </c>
      <c r="J19" s="78">
        <f>IFERROR(IFERROR(INDEX(DRI_BASE!$K$2:$K$469,MATCH(1,INDEX((DRI_BASE!$B$2:$B$469=$G$7)*(DRI_BASE!$C$2:$C$469="Ambos")*(DRI_BASE!$D$2:$D$469=0.5)*(DRI_BASE!$G$2:$G$469="Ninguno"),0),0)),"ND"),"ND")</f>
        <v>5</v>
      </c>
      <c r="K19" s="78">
        <f>IFERROR(IFERROR(INDEX(DRI_BASE!$Q$2:$Q$469,MATCH(1,INDEX((DRI_BASE!$B$2:$B$469=$G$7)*(DRI_BASE!$C$2:$C$469="Ambos")*(DRI_BASE!$D$2:$D$469=0.5)*(DRI_BASE!$G$2:$G$469="Ninguno"),0),0)),"ND"),"ND")</f>
        <v>0</v>
      </c>
      <c r="L19" s="78">
        <f>IFERROR(IFERROR(INDEX(DRI_BASE!$U$2:$U$469,MATCH(1,INDEX((DRI_BASE!$B$2:$B$469=$G$7)*(DRI_BASE!$C$2:$C$469="Ambos")*(DRI_BASE!$D$2:$D$469=0.5)*(DRI_BASE!$G$2:$G$469="Ninguno"),0),0)),"ND"),"ND")</f>
        <v>5</v>
      </c>
      <c r="M19" s="78" t="str">
        <f>IFERROR(IFERROR(INDEX(DRI_BASE!$S$2:$S$469,MATCH(1,INDEX((DRI_BASE!$B$2:$B$469=$G$7)*(DRI_BASE!$C$2:$C$469="Ambos")*(DRI_BASE!$D$2:$D$469=0.5)*(DRI_BASE!$G$2:$G$469="Ninguno"),0),0)),""),"")</f>
        <v>UL</v>
      </c>
      <c r="N19" s="78" t="str">
        <f>IFERROR(IFERROR(INDEX(DRI_BASE!$L$2:$L$469,MATCH(1,INDEX((DRI_BASE!$B$2:$B$469=$G$7)*(DRI_BASE!$C$2:$C$469="Ambos")*(DRI_BASE!$D$2:$D$469=0.5)*(DRI_BASE!$G$2:$G$469="Ninguno"),0),0)),""),"")</f>
        <v>mg</v>
      </c>
      <c r="O19" s="78" t="str">
        <f>IFERROR(IFERROR(INDEX(DRI_BASE!$M$2:$M$469,MATCH(1,INDEX((DRI_BASE!$B$2:$B$469=$G$7)*(DRI_BASE!$C$2:$C$469="Ambos")*(DRI_BASE!$D$2:$D$469=0.5)*(DRI_BASE!$G$2:$G$469="Ninguno"),0),0)),"ND"),"ND")</f>
        <v>SRC-DRI-SUMMARY</v>
      </c>
      <c r="P19" s="78"/>
    </row>
    <row r="20" spans="1:16">
      <c r="A20" s="78" t="s">
        <v>391</v>
      </c>
      <c r="B20" s="78" t="s">
        <v>387</v>
      </c>
      <c r="C20" s="78" t="s">
        <v>49</v>
      </c>
      <c r="D20" s="78" t="s">
        <v>392</v>
      </c>
      <c r="E20" s="78">
        <f>IFERROR(IFERROR(INDEX(DRI_BASE!$H$2:$H$469,MATCH(1,INDEX((DRI_BASE!$B$2:$B$469=$G$7)*(DRI_BASE!$C$2:$C$469="Ambos")*(DRI_BASE!$D$2:$D$469=1)*(DRI_BASE!$G$2:$G$469="Ninguno"),0),0)),"ND"),"ND")</f>
        <v>0</v>
      </c>
      <c r="F20" s="78">
        <f>IFERROR(IFERROR(INDEX(DRI_BASE!$I$2:$I$469,MATCH(1,INDEX((DRI_BASE!$B$2:$B$469=$G$7)*(DRI_BASE!$C$2:$C$469="Ambos")*(DRI_BASE!$D$2:$D$469=1)*(DRI_BASE!$G$2:$G$469="Ninguno"),0),0)),"ND"),"ND")</f>
        <v>3</v>
      </c>
      <c r="G20" s="78">
        <f>IFERROR(IFERROR(INDEX(DRI_BASE!$J$2:$J$469,MATCH(1,INDEX((DRI_BASE!$B$2:$B$469=$G$7)*(DRI_BASE!$C$2:$C$469="Ambos")*(DRI_BASE!$D$2:$D$469=1)*(DRI_BASE!$G$2:$G$469="Ninguno"),0),0)),"ND"),"ND")</f>
        <v>0</v>
      </c>
      <c r="H20" s="78">
        <f>IFERROR(IFERROR(INDEX(DRI_BASE!$T$2:$T$469,MATCH(1,INDEX((DRI_BASE!$B$2:$B$469=$G$7)*(DRI_BASE!$C$2:$C$469="Ambos")*(DRI_BASE!$D$2:$D$469=1)*(DRI_BASE!$G$2:$G$469="Ninguno"),0),0)),"ND"),"ND")</f>
        <v>3</v>
      </c>
      <c r="I20" s="78" t="str">
        <f>IFERROR(IFERROR(INDEX(DRI_BASE!$R$2:$R$469,MATCH(1,INDEX((DRI_BASE!$B$2:$B$469=$G$7)*(DRI_BASE!$C$2:$C$469="Ambos")*(DRI_BASE!$D$2:$D$469=1)*(DRI_BASE!$G$2:$G$469="Ninguno"),0),0)),"ND"),"ND")</f>
        <v>RDA</v>
      </c>
      <c r="J20" s="78">
        <f>IFERROR(IFERROR(INDEX(DRI_BASE!$K$2:$K$469,MATCH(1,INDEX((DRI_BASE!$B$2:$B$469=$G$7)*(DRI_BASE!$C$2:$C$469="Ambos")*(DRI_BASE!$D$2:$D$469=1)*(DRI_BASE!$G$2:$G$469="Ninguno"),0),0)),"ND"),"ND")</f>
        <v>7</v>
      </c>
      <c r="K20" s="78">
        <f>IFERROR(IFERROR(INDEX(DRI_BASE!$Q$2:$Q$469,MATCH(1,INDEX((DRI_BASE!$B$2:$B$469=$G$7)*(DRI_BASE!$C$2:$C$469="Ambos")*(DRI_BASE!$D$2:$D$469=1)*(DRI_BASE!$G$2:$G$469="Ninguno"),0),0)),"ND"),"ND")</f>
        <v>0</v>
      </c>
      <c r="L20" s="78">
        <f>IFERROR(IFERROR(INDEX(DRI_BASE!$U$2:$U$469,MATCH(1,INDEX((DRI_BASE!$B$2:$B$469=$G$7)*(DRI_BASE!$C$2:$C$469="Ambos")*(DRI_BASE!$D$2:$D$469=1)*(DRI_BASE!$G$2:$G$469="Ninguno"),0),0)),"ND"),"ND")</f>
        <v>7</v>
      </c>
      <c r="M20" s="78" t="str">
        <f>IFERROR(IFERROR(INDEX(DRI_BASE!$S$2:$S$469,MATCH(1,INDEX((DRI_BASE!$B$2:$B$469=$G$7)*(DRI_BASE!$C$2:$C$469="Ambos")*(DRI_BASE!$D$2:$D$469=1)*(DRI_BASE!$G$2:$G$469="Ninguno"),0),0)),""),"")</f>
        <v>UL</v>
      </c>
      <c r="N20" s="78" t="str">
        <f>IFERROR(IFERROR(INDEX(DRI_BASE!$L$2:$L$469,MATCH(1,INDEX((DRI_BASE!$B$2:$B$469=$G$7)*(DRI_BASE!$C$2:$C$469="Ambos")*(DRI_BASE!$D$2:$D$469=1)*(DRI_BASE!$G$2:$G$469="Ninguno"),0),0)),""),"")</f>
        <v>mg</v>
      </c>
      <c r="O20" s="78" t="str">
        <f>IFERROR(IFERROR(INDEX(DRI_BASE!$M$2:$M$469,MATCH(1,INDEX((DRI_BASE!$B$2:$B$469=$G$7)*(DRI_BASE!$C$2:$C$469="Ambos")*(DRI_BASE!$D$2:$D$469=1)*(DRI_BASE!$G$2:$G$469="Ninguno"),0),0)),"ND"),"ND")</f>
        <v>SRC-DRI-SUMMARY</v>
      </c>
      <c r="P20" s="78"/>
    </row>
    <row r="21" spans="1:16">
      <c r="A21" s="78" t="s">
        <v>393</v>
      </c>
      <c r="B21" s="78" t="s">
        <v>387</v>
      </c>
      <c r="C21" s="78" t="s">
        <v>49</v>
      </c>
      <c r="D21" s="78" t="s">
        <v>394</v>
      </c>
      <c r="E21" s="78">
        <f>IFERROR(IFERROR(INDEX(DRI_BASE!$H$2:$H$469,MATCH(1,INDEX((DRI_BASE!$B$2:$B$469=$G$7)*(DRI_BASE!$C$2:$C$469="Ambos")*(DRI_BASE!$D$2:$D$469=4)*(DRI_BASE!$G$2:$G$469="Ninguno"),0),0)),"ND"),"ND")</f>
        <v>0</v>
      </c>
      <c r="F21" s="78">
        <f>IFERROR(IFERROR(INDEX(DRI_BASE!$I$2:$I$469,MATCH(1,INDEX((DRI_BASE!$B$2:$B$469=$G$7)*(DRI_BASE!$C$2:$C$469="Ambos")*(DRI_BASE!$D$2:$D$469=4)*(DRI_BASE!$G$2:$G$469="Ninguno"),0),0)),"ND"),"ND")</f>
        <v>5</v>
      </c>
      <c r="G21" s="78">
        <f>IFERROR(IFERROR(INDEX(DRI_BASE!$J$2:$J$469,MATCH(1,INDEX((DRI_BASE!$B$2:$B$469=$G$7)*(DRI_BASE!$C$2:$C$469="Ambos")*(DRI_BASE!$D$2:$D$469=4)*(DRI_BASE!$G$2:$G$469="Ninguno"),0),0)),"ND"),"ND")</f>
        <v>0</v>
      </c>
      <c r="H21" s="78">
        <f>IFERROR(IFERROR(INDEX(DRI_BASE!$T$2:$T$469,MATCH(1,INDEX((DRI_BASE!$B$2:$B$469=$G$7)*(DRI_BASE!$C$2:$C$469="Ambos")*(DRI_BASE!$D$2:$D$469=4)*(DRI_BASE!$G$2:$G$469="Ninguno"),0),0)),"ND"),"ND")</f>
        <v>5</v>
      </c>
      <c r="I21" s="78" t="str">
        <f>IFERROR(IFERROR(INDEX(DRI_BASE!$R$2:$R$469,MATCH(1,INDEX((DRI_BASE!$B$2:$B$469=$G$7)*(DRI_BASE!$C$2:$C$469="Ambos")*(DRI_BASE!$D$2:$D$469=4)*(DRI_BASE!$G$2:$G$469="Ninguno"),0),0)),"ND"),"ND")</f>
        <v>RDA</v>
      </c>
      <c r="J21" s="78">
        <f>IFERROR(IFERROR(INDEX(DRI_BASE!$K$2:$K$469,MATCH(1,INDEX((DRI_BASE!$B$2:$B$469=$G$7)*(DRI_BASE!$C$2:$C$469="Ambos")*(DRI_BASE!$D$2:$D$469=4)*(DRI_BASE!$G$2:$G$469="Ninguno"),0),0)),"ND"),"ND")</f>
        <v>12</v>
      </c>
      <c r="K21" s="78">
        <f>IFERROR(IFERROR(INDEX(DRI_BASE!$Q$2:$Q$469,MATCH(1,INDEX((DRI_BASE!$B$2:$B$469=$G$7)*(DRI_BASE!$C$2:$C$469="Ambos")*(DRI_BASE!$D$2:$D$469=4)*(DRI_BASE!$G$2:$G$469="Ninguno"),0),0)),"ND"),"ND")</f>
        <v>0</v>
      </c>
      <c r="L21" s="78">
        <f>IFERROR(IFERROR(INDEX(DRI_BASE!$U$2:$U$469,MATCH(1,INDEX((DRI_BASE!$B$2:$B$469=$G$7)*(DRI_BASE!$C$2:$C$469="Ambos")*(DRI_BASE!$D$2:$D$469=4)*(DRI_BASE!$G$2:$G$469="Ninguno"),0),0)),"ND"),"ND")</f>
        <v>12</v>
      </c>
      <c r="M21" s="78" t="str">
        <f>IFERROR(IFERROR(INDEX(DRI_BASE!$S$2:$S$469,MATCH(1,INDEX((DRI_BASE!$B$2:$B$469=$G$7)*(DRI_BASE!$C$2:$C$469="Ambos")*(DRI_BASE!$D$2:$D$469=4)*(DRI_BASE!$G$2:$G$469="Ninguno"),0),0)),""),"")</f>
        <v>UL</v>
      </c>
      <c r="N21" s="78" t="str">
        <f>IFERROR(IFERROR(INDEX(DRI_BASE!$L$2:$L$469,MATCH(1,INDEX((DRI_BASE!$B$2:$B$469=$G$7)*(DRI_BASE!$C$2:$C$469="Ambos")*(DRI_BASE!$D$2:$D$469=4)*(DRI_BASE!$G$2:$G$469="Ninguno"),0),0)),""),"")</f>
        <v>mg</v>
      </c>
      <c r="O21" s="78" t="str">
        <f>IFERROR(IFERROR(INDEX(DRI_BASE!$M$2:$M$469,MATCH(1,INDEX((DRI_BASE!$B$2:$B$469=$G$7)*(DRI_BASE!$C$2:$C$469="Ambos")*(DRI_BASE!$D$2:$D$469=4)*(DRI_BASE!$G$2:$G$469="Ninguno"),0),0)),"ND"),"ND")</f>
        <v>SRC-DRI-SUMMARY</v>
      </c>
      <c r="P21" s="78"/>
    </row>
    <row r="22" spans="1:16">
      <c r="A22" s="78" t="s">
        <v>395</v>
      </c>
      <c r="B22" s="78" t="s">
        <v>396</v>
      </c>
      <c r="C22" s="78" t="s">
        <v>49</v>
      </c>
      <c r="D22" s="78" t="s">
        <v>397</v>
      </c>
      <c r="E22" s="78">
        <f>IFERROR(IFERROR(INDEX(DRI_BASE!$H$2:$H$469,MATCH(1,INDEX((DRI_BASE!$B$2:$B$469=$G$7)*(DRI_BASE!$C$2:$C$469="Masculino")*(DRI_BASE!$D$2:$D$469=9)*(DRI_BASE!$G$2:$G$469="Ninguno"),0),0)),"ND"),"ND")</f>
        <v>0</v>
      </c>
      <c r="F22" s="78">
        <f>IFERROR(IFERROR(INDEX(DRI_BASE!$I$2:$I$469,MATCH(1,INDEX((DRI_BASE!$B$2:$B$469=$G$7)*(DRI_BASE!$C$2:$C$469="Masculino")*(DRI_BASE!$D$2:$D$469=9)*(DRI_BASE!$G$2:$G$469="Ninguno"),0),0)),"ND"),"ND")</f>
        <v>8</v>
      </c>
      <c r="G22" s="78">
        <f>IFERROR(IFERROR(INDEX(DRI_BASE!$J$2:$J$469,MATCH(1,INDEX((DRI_BASE!$B$2:$B$469=$G$7)*(DRI_BASE!$C$2:$C$469="Masculino")*(DRI_BASE!$D$2:$D$469=9)*(DRI_BASE!$G$2:$G$469="Ninguno"),0),0)),"ND"),"ND")</f>
        <v>0</v>
      </c>
      <c r="H22" s="78">
        <f>IFERROR(IFERROR(INDEX(DRI_BASE!$T$2:$T$469,MATCH(1,INDEX((DRI_BASE!$B$2:$B$469=$G$7)*(DRI_BASE!$C$2:$C$469="Masculino")*(DRI_BASE!$D$2:$D$469=9)*(DRI_BASE!$G$2:$G$469="Ninguno"),0),0)),"ND"),"ND")</f>
        <v>8</v>
      </c>
      <c r="I22" s="78" t="str">
        <f>IFERROR(IFERROR(INDEX(DRI_BASE!$R$2:$R$469,MATCH(1,INDEX((DRI_BASE!$B$2:$B$469=$G$7)*(DRI_BASE!$C$2:$C$469="Masculino")*(DRI_BASE!$D$2:$D$469=9)*(DRI_BASE!$G$2:$G$469="Ninguno"),0),0)),"ND"),"ND")</f>
        <v>RDA</v>
      </c>
      <c r="J22" s="78">
        <f>IFERROR(IFERROR(INDEX(DRI_BASE!$K$2:$K$469,MATCH(1,INDEX((DRI_BASE!$B$2:$B$469=$G$7)*(DRI_BASE!$C$2:$C$469="Masculino")*(DRI_BASE!$D$2:$D$469=9)*(DRI_BASE!$G$2:$G$469="Ninguno"),0),0)),"ND"),"ND")</f>
        <v>23</v>
      </c>
      <c r="K22" s="78">
        <f>IFERROR(IFERROR(INDEX(DRI_BASE!$Q$2:$Q$469,MATCH(1,INDEX((DRI_BASE!$B$2:$B$469=$G$7)*(DRI_BASE!$C$2:$C$469="Masculino")*(DRI_BASE!$D$2:$D$469=9)*(DRI_BASE!$G$2:$G$469="Ninguno"),0),0)),"ND"),"ND")</f>
        <v>0</v>
      </c>
      <c r="L22" s="78">
        <f>IFERROR(IFERROR(INDEX(DRI_BASE!$U$2:$U$469,MATCH(1,INDEX((DRI_BASE!$B$2:$B$469=$G$7)*(DRI_BASE!$C$2:$C$469="Masculino")*(DRI_BASE!$D$2:$D$469=9)*(DRI_BASE!$G$2:$G$469="Ninguno"),0),0)),"ND"),"ND")</f>
        <v>23</v>
      </c>
      <c r="M22" s="78" t="str">
        <f>IFERROR(IFERROR(INDEX(DRI_BASE!$S$2:$S$469,MATCH(1,INDEX((DRI_BASE!$B$2:$B$469=$G$7)*(DRI_BASE!$C$2:$C$469="Masculino")*(DRI_BASE!$D$2:$D$469=9)*(DRI_BASE!$G$2:$G$469="Ninguno"),0),0)),""),"")</f>
        <v>UL</v>
      </c>
      <c r="N22" s="78" t="str">
        <f>IFERROR(IFERROR(INDEX(DRI_BASE!$L$2:$L$469,MATCH(1,INDEX((DRI_BASE!$B$2:$B$469=$G$7)*(DRI_BASE!$C$2:$C$469="Masculino")*(DRI_BASE!$D$2:$D$469=9)*(DRI_BASE!$G$2:$G$469="Ninguno"),0),0)),""),"")</f>
        <v>mg</v>
      </c>
      <c r="O22" s="78" t="str">
        <f>IFERROR(IFERROR(INDEX(DRI_BASE!$M$2:$M$469,MATCH(1,INDEX((DRI_BASE!$B$2:$B$469=$G$7)*(DRI_BASE!$C$2:$C$469="Masculino")*(DRI_BASE!$D$2:$D$469=9)*(DRI_BASE!$G$2:$G$469="Ninguno"),0),0)),"ND"),"ND")</f>
        <v>SRC-DRI-SUMMARY</v>
      </c>
      <c r="P22" s="78"/>
    </row>
    <row r="23" spans="1:16">
      <c r="A23" s="78" t="s">
        <v>398</v>
      </c>
      <c r="B23" s="78" t="s">
        <v>40</v>
      </c>
      <c r="C23" s="78" t="s">
        <v>49</v>
      </c>
      <c r="D23" s="78" t="s">
        <v>397</v>
      </c>
      <c r="E23" s="78">
        <f>IFERROR(IFERROR(INDEX(DRI_BASE!$H$2:$H$469,MATCH(1,INDEX((DRI_BASE!$B$2:$B$469=$G$7)*(DRI_BASE!$C$2:$C$469="Femenino")*(DRI_BASE!$D$2:$D$469=9)*(DRI_BASE!$G$2:$G$469="Ninguno"),0),0)),"ND"),"ND")</f>
        <v>0</v>
      </c>
      <c r="F23" s="78">
        <f>IFERROR(IFERROR(INDEX(DRI_BASE!$I$2:$I$469,MATCH(1,INDEX((DRI_BASE!$B$2:$B$469=$G$7)*(DRI_BASE!$C$2:$C$469="Femenino")*(DRI_BASE!$D$2:$D$469=9)*(DRI_BASE!$G$2:$G$469="Ninguno"),0),0)),"ND"),"ND")</f>
        <v>8</v>
      </c>
      <c r="G23" s="78">
        <f>IFERROR(IFERROR(INDEX(DRI_BASE!$J$2:$J$469,MATCH(1,INDEX((DRI_BASE!$B$2:$B$469=$G$7)*(DRI_BASE!$C$2:$C$469="Femenino")*(DRI_BASE!$D$2:$D$469=9)*(DRI_BASE!$G$2:$G$469="Ninguno"),0),0)),"ND"),"ND")</f>
        <v>0</v>
      </c>
      <c r="H23" s="78">
        <f>IFERROR(IFERROR(INDEX(DRI_BASE!$T$2:$T$469,MATCH(1,INDEX((DRI_BASE!$B$2:$B$469=$G$7)*(DRI_BASE!$C$2:$C$469="Femenino")*(DRI_BASE!$D$2:$D$469=9)*(DRI_BASE!$G$2:$G$469="Ninguno"),0),0)),"ND"),"ND")</f>
        <v>8</v>
      </c>
      <c r="I23" s="78" t="str">
        <f>IFERROR(IFERROR(INDEX(DRI_BASE!$R$2:$R$469,MATCH(1,INDEX((DRI_BASE!$B$2:$B$469=$G$7)*(DRI_BASE!$C$2:$C$469="Femenino")*(DRI_BASE!$D$2:$D$469=9)*(DRI_BASE!$G$2:$G$469="Ninguno"),0),0)),"ND"),"ND")</f>
        <v>RDA</v>
      </c>
      <c r="J23" s="78">
        <f>IFERROR(IFERROR(INDEX(DRI_BASE!$K$2:$K$469,MATCH(1,INDEX((DRI_BASE!$B$2:$B$469=$G$7)*(DRI_BASE!$C$2:$C$469="Femenino")*(DRI_BASE!$D$2:$D$469=9)*(DRI_BASE!$G$2:$G$469="Ninguno"),0),0)),"ND"),"ND")</f>
        <v>23</v>
      </c>
      <c r="K23" s="78">
        <f>IFERROR(IFERROR(INDEX(DRI_BASE!$Q$2:$Q$469,MATCH(1,INDEX((DRI_BASE!$B$2:$B$469=$G$7)*(DRI_BASE!$C$2:$C$469="Femenino")*(DRI_BASE!$D$2:$D$469=9)*(DRI_BASE!$G$2:$G$469="Ninguno"),0),0)),"ND"),"ND")</f>
        <v>0</v>
      </c>
      <c r="L23" s="78">
        <f>IFERROR(IFERROR(INDEX(DRI_BASE!$U$2:$U$469,MATCH(1,INDEX((DRI_BASE!$B$2:$B$469=$G$7)*(DRI_BASE!$C$2:$C$469="Femenino")*(DRI_BASE!$D$2:$D$469=9)*(DRI_BASE!$G$2:$G$469="Ninguno"),0),0)),"ND"),"ND")</f>
        <v>23</v>
      </c>
      <c r="M23" s="78" t="str">
        <f>IFERROR(IFERROR(INDEX(DRI_BASE!$S$2:$S$469,MATCH(1,INDEX((DRI_BASE!$B$2:$B$469=$G$7)*(DRI_BASE!$C$2:$C$469="Femenino")*(DRI_BASE!$D$2:$D$469=9)*(DRI_BASE!$G$2:$G$469="Ninguno"),0),0)),""),"")</f>
        <v>UL</v>
      </c>
      <c r="N23" s="78" t="str">
        <f>IFERROR(IFERROR(INDEX(DRI_BASE!$L$2:$L$469,MATCH(1,INDEX((DRI_BASE!$B$2:$B$469=$G$7)*(DRI_BASE!$C$2:$C$469="Femenino")*(DRI_BASE!$D$2:$D$469=9)*(DRI_BASE!$G$2:$G$469="Ninguno"),0),0)),""),"")</f>
        <v>mg</v>
      </c>
      <c r="O23" s="78" t="str">
        <f>IFERROR(IFERROR(INDEX(DRI_BASE!$M$2:$M$469,MATCH(1,INDEX((DRI_BASE!$B$2:$B$469=$G$7)*(DRI_BASE!$C$2:$C$469="Femenino")*(DRI_BASE!$D$2:$D$469=9)*(DRI_BASE!$G$2:$G$469="Ninguno"),0),0)),"ND"),"ND")</f>
        <v>SRC-DRI-SUMMARY</v>
      </c>
      <c r="P23" s="78"/>
    </row>
    <row r="24" spans="1:16">
      <c r="A24" s="78" t="s">
        <v>399</v>
      </c>
      <c r="B24" s="78" t="s">
        <v>396</v>
      </c>
      <c r="C24" s="78" t="s">
        <v>49</v>
      </c>
      <c r="D24" s="78" t="s">
        <v>400</v>
      </c>
      <c r="E24" s="78">
        <f>IFERROR(IFERROR(INDEX(DRI_BASE!$H$2:$H$469,MATCH(1,INDEX((DRI_BASE!$B$2:$B$469=$G$7)*(DRI_BASE!$C$2:$C$469="Masculino")*(DRI_BASE!$D$2:$D$469=14)*(DRI_BASE!$G$2:$G$469="Ninguno"),0),0)),"ND"),"ND")</f>
        <v>0</v>
      </c>
      <c r="F24" s="78">
        <f>IFERROR(IFERROR(INDEX(DRI_BASE!$I$2:$I$469,MATCH(1,INDEX((DRI_BASE!$B$2:$B$469=$G$7)*(DRI_BASE!$C$2:$C$469="Masculino")*(DRI_BASE!$D$2:$D$469=14)*(DRI_BASE!$G$2:$G$469="Ninguno"),0),0)),"ND"),"ND")</f>
        <v>11</v>
      </c>
      <c r="G24" s="78">
        <f>IFERROR(IFERROR(INDEX(DRI_BASE!$J$2:$J$469,MATCH(1,INDEX((DRI_BASE!$B$2:$B$469=$G$7)*(DRI_BASE!$C$2:$C$469="Masculino")*(DRI_BASE!$D$2:$D$469=14)*(DRI_BASE!$G$2:$G$469="Ninguno"),0),0)),"ND"),"ND")</f>
        <v>0</v>
      </c>
      <c r="H24" s="78">
        <f>IFERROR(IFERROR(INDEX(DRI_BASE!$T$2:$T$469,MATCH(1,INDEX((DRI_BASE!$B$2:$B$469=$G$7)*(DRI_BASE!$C$2:$C$469="Masculino")*(DRI_BASE!$D$2:$D$469=14)*(DRI_BASE!$G$2:$G$469="Ninguno"),0),0)),"ND"),"ND")</f>
        <v>11</v>
      </c>
      <c r="I24" s="78" t="str">
        <f>IFERROR(IFERROR(INDEX(DRI_BASE!$R$2:$R$469,MATCH(1,INDEX((DRI_BASE!$B$2:$B$469=$G$7)*(DRI_BASE!$C$2:$C$469="Masculino")*(DRI_BASE!$D$2:$D$469=14)*(DRI_BASE!$G$2:$G$469="Ninguno"),0),0)),"ND"),"ND")</f>
        <v>RDA</v>
      </c>
      <c r="J24" s="78">
        <f>IFERROR(IFERROR(INDEX(DRI_BASE!$K$2:$K$469,MATCH(1,INDEX((DRI_BASE!$B$2:$B$469=$G$7)*(DRI_BASE!$C$2:$C$469="Masculino")*(DRI_BASE!$D$2:$D$469=14)*(DRI_BASE!$G$2:$G$469="Ninguno"),0),0)),"ND"),"ND")</f>
        <v>34</v>
      </c>
      <c r="K24" s="78">
        <f>IFERROR(IFERROR(INDEX(DRI_BASE!$Q$2:$Q$469,MATCH(1,INDEX((DRI_BASE!$B$2:$B$469=$G$7)*(DRI_BASE!$C$2:$C$469="Masculino")*(DRI_BASE!$D$2:$D$469=14)*(DRI_BASE!$G$2:$G$469="Ninguno"),0),0)),"ND"),"ND")</f>
        <v>0</v>
      </c>
      <c r="L24" s="78">
        <f>IFERROR(IFERROR(INDEX(DRI_BASE!$U$2:$U$469,MATCH(1,INDEX((DRI_BASE!$B$2:$B$469=$G$7)*(DRI_BASE!$C$2:$C$469="Masculino")*(DRI_BASE!$D$2:$D$469=14)*(DRI_BASE!$G$2:$G$469="Ninguno"),0),0)),"ND"),"ND")</f>
        <v>34</v>
      </c>
      <c r="M24" s="78" t="str">
        <f>IFERROR(IFERROR(INDEX(DRI_BASE!$S$2:$S$469,MATCH(1,INDEX((DRI_BASE!$B$2:$B$469=$G$7)*(DRI_BASE!$C$2:$C$469="Masculino")*(DRI_BASE!$D$2:$D$469=14)*(DRI_BASE!$G$2:$G$469="Ninguno"),0),0)),""),"")</f>
        <v>UL</v>
      </c>
      <c r="N24" s="78" t="str">
        <f>IFERROR(IFERROR(INDEX(DRI_BASE!$L$2:$L$469,MATCH(1,INDEX((DRI_BASE!$B$2:$B$469=$G$7)*(DRI_BASE!$C$2:$C$469="Masculino")*(DRI_BASE!$D$2:$D$469=14)*(DRI_BASE!$G$2:$G$469="Ninguno"),0),0)),""),"")</f>
        <v>mg</v>
      </c>
      <c r="O24" s="78" t="str">
        <f>IFERROR(IFERROR(INDEX(DRI_BASE!$M$2:$M$469,MATCH(1,INDEX((DRI_BASE!$B$2:$B$469=$G$7)*(DRI_BASE!$C$2:$C$469="Masculino")*(DRI_BASE!$D$2:$D$469=14)*(DRI_BASE!$G$2:$G$469="Ninguno"),0),0)),"ND"),"ND")</f>
        <v>SRC-DRI-SUMMARY</v>
      </c>
      <c r="P24" s="78"/>
    </row>
    <row r="25" spans="1:16">
      <c r="A25" s="78" t="s">
        <v>401</v>
      </c>
      <c r="B25" s="78" t="s">
        <v>40</v>
      </c>
      <c r="C25" s="78" t="s">
        <v>49</v>
      </c>
      <c r="D25" s="78" t="s">
        <v>400</v>
      </c>
      <c r="E25" s="78">
        <f>IFERROR(IFERROR(INDEX(DRI_BASE!$H$2:$H$469,MATCH(1,INDEX((DRI_BASE!$B$2:$B$469=$G$7)*(DRI_BASE!$C$2:$C$469="Femenino")*(DRI_BASE!$D$2:$D$469=14)*(DRI_BASE!$G$2:$G$469="Ninguno"),0),0)),"ND"),"ND")</f>
        <v>0</v>
      </c>
      <c r="F25" s="78">
        <f>IFERROR(IFERROR(INDEX(DRI_BASE!$I$2:$I$469,MATCH(1,INDEX((DRI_BASE!$B$2:$B$469=$G$7)*(DRI_BASE!$C$2:$C$469="Femenino")*(DRI_BASE!$D$2:$D$469=14)*(DRI_BASE!$G$2:$G$469="Ninguno"),0),0)),"ND"),"ND")</f>
        <v>9</v>
      </c>
      <c r="G25" s="78">
        <f>IFERROR(IFERROR(INDEX(DRI_BASE!$J$2:$J$469,MATCH(1,INDEX((DRI_BASE!$B$2:$B$469=$G$7)*(DRI_BASE!$C$2:$C$469="Femenino")*(DRI_BASE!$D$2:$D$469=14)*(DRI_BASE!$G$2:$G$469="Ninguno"),0),0)),"ND"),"ND")</f>
        <v>0</v>
      </c>
      <c r="H25" s="78">
        <f>IFERROR(IFERROR(INDEX(DRI_BASE!$T$2:$T$469,MATCH(1,INDEX((DRI_BASE!$B$2:$B$469=$G$7)*(DRI_BASE!$C$2:$C$469="Femenino")*(DRI_BASE!$D$2:$D$469=14)*(DRI_BASE!$G$2:$G$469="Ninguno"),0),0)),"ND"),"ND")</f>
        <v>9</v>
      </c>
      <c r="I25" s="78" t="str">
        <f>IFERROR(IFERROR(INDEX(DRI_BASE!$R$2:$R$469,MATCH(1,INDEX((DRI_BASE!$B$2:$B$469=$G$7)*(DRI_BASE!$C$2:$C$469="Femenino")*(DRI_BASE!$D$2:$D$469=14)*(DRI_BASE!$G$2:$G$469="Ninguno"),0),0)),"ND"),"ND")</f>
        <v>RDA</v>
      </c>
      <c r="J25" s="78">
        <f>IFERROR(IFERROR(INDEX(DRI_BASE!$K$2:$K$469,MATCH(1,INDEX((DRI_BASE!$B$2:$B$469=$G$7)*(DRI_BASE!$C$2:$C$469="Femenino")*(DRI_BASE!$D$2:$D$469=14)*(DRI_BASE!$G$2:$G$469="Ninguno"),0),0)),"ND"),"ND")</f>
        <v>34</v>
      </c>
      <c r="K25" s="78">
        <f>IFERROR(IFERROR(INDEX(DRI_BASE!$Q$2:$Q$469,MATCH(1,INDEX((DRI_BASE!$B$2:$B$469=$G$7)*(DRI_BASE!$C$2:$C$469="Femenino")*(DRI_BASE!$D$2:$D$469=14)*(DRI_BASE!$G$2:$G$469="Ninguno"),0),0)),"ND"),"ND")</f>
        <v>0</v>
      </c>
      <c r="L25" s="78">
        <f>IFERROR(IFERROR(INDEX(DRI_BASE!$U$2:$U$469,MATCH(1,INDEX((DRI_BASE!$B$2:$B$469=$G$7)*(DRI_BASE!$C$2:$C$469="Femenino")*(DRI_BASE!$D$2:$D$469=14)*(DRI_BASE!$G$2:$G$469="Ninguno"),0),0)),"ND"),"ND")</f>
        <v>34</v>
      </c>
      <c r="M25" s="78" t="str">
        <f>IFERROR(IFERROR(INDEX(DRI_BASE!$S$2:$S$469,MATCH(1,INDEX((DRI_BASE!$B$2:$B$469=$G$7)*(DRI_BASE!$C$2:$C$469="Femenino")*(DRI_BASE!$D$2:$D$469=14)*(DRI_BASE!$G$2:$G$469="Ninguno"),0),0)),""),"")</f>
        <v>UL</v>
      </c>
      <c r="N25" s="78" t="str">
        <f>IFERROR(IFERROR(INDEX(DRI_BASE!$L$2:$L$469,MATCH(1,INDEX((DRI_BASE!$B$2:$B$469=$G$7)*(DRI_BASE!$C$2:$C$469="Femenino")*(DRI_BASE!$D$2:$D$469=14)*(DRI_BASE!$G$2:$G$469="Ninguno"),0),0)),""),"")</f>
        <v>mg</v>
      </c>
      <c r="O25" s="78" t="str">
        <f>IFERROR(IFERROR(INDEX(DRI_BASE!$M$2:$M$469,MATCH(1,INDEX((DRI_BASE!$B$2:$B$469=$G$7)*(DRI_BASE!$C$2:$C$469="Femenino")*(DRI_BASE!$D$2:$D$469=14)*(DRI_BASE!$G$2:$G$469="Ninguno"),0),0)),"ND"),"ND")</f>
        <v>SRC-DRI-SUMMARY</v>
      </c>
      <c r="P25" s="78"/>
    </row>
    <row r="26" spans="1:16">
      <c r="A26" s="78" t="s">
        <v>402</v>
      </c>
      <c r="B26" s="78" t="s">
        <v>396</v>
      </c>
      <c r="C26" s="78" t="s">
        <v>49</v>
      </c>
      <c r="D26" s="78" t="s">
        <v>403</v>
      </c>
      <c r="E26" s="78">
        <f>IFERROR(IFERROR(INDEX(DRI_BASE!$H$2:$H$469,MATCH(1,INDEX((DRI_BASE!$B$2:$B$469=$G$7)*(DRI_BASE!$C$2:$C$469="Masculino")*(DRI_BASE!$D$2:$D$469=19)*(DRI_BASE!$G$2:$G$469="Ninguno"),0),0)),"ND"),"ND")</f>
        <v>0</v>
      </c>
      <c r="F26" s="78">
        <f>IFERROR(IFERROR(INDEX(DRI_BASE!$I$2:$I$469,MATCH(1,INDEX((DRI_BASE!$B$2:$B$469=$G$7)*(DRI_BASE!$C$2:$C$469="Masculino")*(DRI_BASE!$D$2:$D$469=19)*(DRI_BASE!$G$2:$G$469="Ninguno"),0),0)),"ND"),"ND")</f>
        <v>11</v>
      </c>
      <c r="G26" s="78">
        <f>IFERROR(IFERROR(INDEX(DRI_BASE!$J$2:$J$469,MATCH(1,INDEX((DRI_BASE!$B$2:$B$469=$G$7)*(DRI_BASE!$C$2:$C$469="Masculino")*(DRI_BASE!$D$2:$D$469=19)*(DRI_BASE!$G$2:$G$469="Ninguno"),0),0)),"ND"),"ND")</f>
        <v>0</v>
      </c>
      <c r="H26" s="78">
        <f>IFERROR(IFERROR(INDEX(DRI_BASE!$T$2:$T$469,MATCH(1,INDEX((DRI_BASE!$B$2:$B$469=$G$7)*(DRI_BASE!$C$2:$C$469="Masculino")*(DRI_BASE!$D$2:$D$469=19)*(DRI_BASE!$G$2:$G$469="Ninguno"),0),0)),"ND"),"ND")</f>
        <v>11</v>
      </c>
      <c r="I26" s="78" t="str">
        <f>IFERROR(IFERROR(INDEX(DRI_BASE!$R$2:$R$469,MATCH(1,INDEX((DRI_BASE!$B$2:$B$469=$G$7)*(DRI_BASE!$C$2:$C$469="Masculino")*(DRI_BASE!$D$2:$D$469=19)*(DRI_BASE!$G$2:$G$469="Ninguno"),0),0)),"ND"),"ND")</f>
        <v>RDA</v>
      </c>
      <c r="J26" s="78">
        <f>IFERROR(IFERROR(INDEX(DRI_BASE!$K$2:$K$469,MATCH(1,INDEX((DRI_BASE!$B$2:$B$469=$G$7)*(DRI_BASE!$C$2:$C$469="Masculino")*(DRI_BASE!$D$2:$D$469=19)*(DRI_BASE!$G$2:$G$469="Ninguno"),0),0)),"ND"),"ND")</f>
        <v>40</v>
      </c>
      <c r="K26" s="78">
        <f>IFERROR(IFERROR(INDEX(DRI_BASE!$Q$2:$Q$469,MATCH(1,INDEX((DRI_BASE!$B$2:$B$469=$G$7)*(DRI_BASE!$C$2:$C$469="Masculino")*(DRI_BASE!$D$2:$D$469=19)*(DRI_BASE!$G$2:$G$469="Ninguno"),0),0)),"ND"),"ND")</f>
        <v>0</v>
      </c>
      <c r="L26" s="78">
        <f>IFERROR(IFERROR(INDEX(DRI_BASE!$U$2:$U$469,MATCH(1,INDEX((DRI_BASE!$B$2:$B$469=$G$7)*(DRI_BASE!$C$2:$C$469="Masculino")*(DRI_BASE!$D$2:$D$469=19)*(DRI_BASE!$G$2:$G$469="Ninguno"),0),0)),"ND"),"ND")</f>
        <v>40</v>
      </c>
      <c r="M26" s="78" t="str">
        <f>IFERROR(IFERROR(INDEX(DRI_BASE!$S$2:$S$469,MATCH(1,INDEX((DRI_BASE!$B$2:$B$469=$G$7)*(DRI_BASE!$C$2:$C$469="Masculino")*(DRI_BASE!$D$2:$D$469=19)*(DRI_BASE!$G$2:$G$469="Ninguno"),0),0)),""),"")</f>
        <v>UL</v>
      </c>
      <c r="N26" s="78" t="str">
        <f>IFERROR(IFERROR(INDEX(DRI_BASE!$L$2:$L$469,MATCH(1,INDEX((DRI_BASE!$B$2:$B$469=$G$7)*(DRI_BASE!$C$2:$C$469="Masculino")*(DRI_BASE!$D$2:$D$469=19)*(DRI_BASE!$G$2:$G$469="Ninguno"),0),0)),""),"")</f>
        <v>mg</v>
      </c>
      <c r="O26" s="78" t="str">
        <f>IFERROR(IFERROR(INDEX(DRI_BASE!$M$2:$M$469,MATCH(1,INDEX((DRI_BASE!$B$2:$B$469=$G$7)*(DRI_BASE!$C$2:$C$469="Masculino")*(DRI_BASE!$D$2:$D$469=19)*(DRI_BASE!$G$2:$G$469="Ninguno"),0),0)),"ND"),"ND")</f>
        <v>SRC-DRI-SUMMARY</v>
      </c>
      <c r="P26" s="78"/>
    </row>
    <row r="27" spans="1:16">
      <c r="A27" s="78" t="s">
        <v>404</v>
      </c>
      <c r="B27" s="78" t="s">
        <v>40</v>
      </c>
      <c r="C27" s="78" t="s">
        <v>49</v>
      </c>
      <c r="D27" s="78" t="s">
        <v>403</v>
      </c>
      <c r="E27" s="78">
        <f>IFERROR(IFERROR(INDEX(DRI_BASE!$H$2:$H$469,MATCH(1,INDEX((DRI_BASE!$B$2:$B$469=$G$7)*(DRI_BASE!$C$2:$C$469="Femenino")*(DRI_BASE!$D$2:$D$469=19)*(DRI_BASE!$G$2:$G$469="Ninguno"),0),0)),"ND"),"ND")</f>
        <v>0</v>
      </c>
      <c r="F27" s="78">
        <f>IFERROR(IFERROR(INDEX(DRI_BASE!$I$2:$I$469,MATCH(1,INDEX((DRI_BASE!$B$2:$B$469=$G$7)*(DRI_BASE!$C$2:$C$469="Femenino")*(DRI_BASE!$D$2:$D$469=19)*(DRI_BASE!$G$2:$G$469="Ninguno"),0),0)),"ND"),"ND")</f>
        <v>8</v>
      </c>
      <c r="G27" s="78">
        <f>IFERROR(IFERROR(INDEX(DRI_BASE!$J$2:$J$469,MATCH(1,INDEX((DRI_BASE!$B$2:$B$469=$G$7)*(DRI_BASE!$C$2:$C$469="Femenino")*(DRI_BASE!$D$2:$D$469=19)*(DRI_BASE!$G$2:$G$469="Ninguno"),0),0)),"ND"),"ND")</f>
        <v>0</v>
      </c>
      <c r="H27" s="78">
        <f>IFERROR(IFERROR(INDEX(DRI_BASE!$T$2:$T$469,MATCH(1,INDEX((DRI_BASE!$B$2:$B$469=$G$7)*(DRI_BASE!$C$2:$C$469="Femenino")*(DRI_BASE!$D$2:$D$469=19)*(DRI_BASE!$G$2:$G$469="Ninguno"),0),0)),"ND"),"ND")</f>
        <v>8</v>
      </c>
      <c r="I27" s="78" t="str">
        <f>IFERROR(IFERROR(INDEX(DRI_BASE!$R$2:$R$469,MATCH(1,INDEX((DRI_BASE!$B$2:$B$469=$G$7)*(DRI_BASE!$C$2:$C$469="Femenino")*(DRI_BASE!$D$2:$D$469=19)*(DRI_BASE!$G$2:$G$469="Ninguno"),0),0)),"ND"),"ND")</f>
        <v>RDA</v>
      </c>
      <c r="J27" s="78">
        <f>IFERROR(IFERROR(INDEX(DRI_BASE!$K$2:$K$469,MATCH(1,INDEX((DRI_BASE!$B$2:$B$469=$G$7)*(DRI_BASE!$C$2:$C$469="Femenino")*(DRI_BASE!$D$2:$D$469=19)*(DRI_BASE!$G$2:$G$469="Ninguno"),0),0)),"ND"),"ND")</f>
        <v>40</v>
      </c>
      <c r="K27" s="78">
        <f>IFERROR(IFERROR(INDEX(DRI_BASE!$Q$2:$Q$469,MATCH(1,INDEX((DRI_BASE!$B$2:$B$469=$G$7)*(DRI_BASE!$C$2:$C$469="Femenino")*(DRI_BASE!$D$2:$D$469=19)*(DRI_BASE!$G$2:$G$469="Ninguno"),0),0)),"ND"),"ND")</f>
        <v>0</v>
      </c>
      <c r="L27" s="78">
        <f>IFERROR(IFERROR(INDEX(DRI_BASE!$U$2:$U$469,MATCH(1,INDEX((DRI_BASE!$B$2:$B$469=$G$7)*(DRI_BASE!$C$2:$C$469="Femenino")*(DRI_BASE!$D$2:$D$469=19)*(DRI_BASE!$G$2:$G$469="Ninguno"),0),0)),"ND"),"ND")</f>
        <v>40</v>
      </c>
      <c r="M27" s="78" t="str">
        <f>IFERROR(IFERROR(INDEX(DRI_BASE!$S$2:$S$469,MATCH(1,INDEX((DRI_BASE!$B$2:$B$469=$G$7)*(DRI_BASE!$C$2:$C$469="Femenino")*(DRI_BASE!$D$2:$D$469=19)*(DRI_BASE!$G$2:$G$469="Ninguno"),0),0)),""),"")</f>
        <v>UL</v>
      </c>
      <c r="N27" s="78" t="str">
        <f>IFERROR(IFERROR(INDEX(DRI_BASE!$L$2:$L$469,MATCH(1,INDEX((DRI_BASE!$B$2:$B$469=$G$7)*(DRI_BASE!$C$2:$C$469="Femenino")*(DRI_BASE!$D$2:$D$469=19)*(DRI_BASE!$G$2:$G$469="Ninguno"),0),0)),""),"")</f>
        <v>mg</v>
      </c>
      <c r="O27" s="78" t="str">
        <f>IFERROR(IFERROR(INDEX(DRI_BASE!$M$2:$M$469,MATCH(1,INDEX((DRI_BASE!$B$2:$B$469=$G$7)*(DRI_BASE!$C$2:$C$469="Femenino")*(DRI_BASE!$D$2:$D$469=19)*(DRI_BASE!$G$2:$G$469="Ninguno"),0),0)),"ND"),"ND")</f>
        <v>SRC-DRI-SUMMARY</v>
      </c>
      <c r="P27" s="78"/>
    </row>
    <row r="28" spans="1:16">
      <c r="A28" s="78" t="s">
        <v>405</v>
      </c>
      <c r="B28" s="78" t="s">
        <v>396</v>
      </c>
      <c r="C28" s="78" t="s">
        <v>49</v>
      </c>
      <c r="D28" s="78" t="s">
        <v>406</v>
      </c>
      <c r="E28" s="78">
        <f>IFERROR(IFERROR(INDEX(DRI_BASE!$H$2:$H$469,MATCH(1,INDEX((DRI_BASE!$B$2:$B$469=$G$7)*(DRI_BASE!$C$2:$C$469="Masculino")*(DRI_BASE!$D$2:$D$469=31)*(DRI_BASE!$G$2:$G$469="Ninguno"),0),0)),"ND"),"ND")</f>
        <v>0</v>
      </c>
      <c r="F28" s="78">
        <f>IFERROR(IFERROR(INDEX(DRI_BASE!$I$2:$I$469,MATCH(1,INDEX((DRI_BASE!$B$2:$B$469=$G$7)*(DRI_BASE!$C$2:$C$469="Masculino")*(DRI_BASE!$D$2:$D$469=31)*(DRI_BASE!$G$2:$G$469="Ninguno"),0),0)),"ND"),"ND")</f>
        <v>11</v>
      </c>
      <c r="G28" s="78">
        <f>IFERROR(IFERROR(INDEX(DRI_BASE!$J$2:$J$469,MATCH(1,INDEX((DRI_BASE!$B$2:$B$469=$G$7)*(DRI_BASE!$C$2:$C$469="Masculino")*(DRI_BASE!$D$2:$D$469=31)*(DRI_BASE!$G$2:$G$469="Ninguno"),0),0)),"ND"),"ND")</f>
        <v>0</v>
      </c>
      <c r="H28" s="78">
        <f>IFERROR(IFERROR(INDEX(DRI_BASE!$T$2:$T$469,MATCH(1,INDEX((DRI_BASE!$B$2:$B$469=$G$7)*(DRI_BASE!$C$2:$C$469="Masculino")*(DRI_BASE!$D$2:$D$469=31)*(DRI_BASE!$G$2:$G$469="Ninguno"),0),0)),"ND"),"ND")</f>
        <v>11</v>
      </c>
      <c r="I28" s="78" t="str">
        <f>IFERROR(IFERROR(INDEX(DRI_BASE!$R$2:$R$469,MATCH(1,INDEX((DRI_BASE!$B$2:$B$469=$G$7)*(DRI_BASE!$C$2:$C$469="Masculino")*(DRI_BASE!$D$2:$D$469=31)*(DRI_BASE!$G$2:$G$469="Ninguno"),0),0)),"ND"),"ND")</f>
        <v>RDA</v>
      </c>
      <c r="J28" s="78">
        <f>IFERROR(IFERROR(INDEX(DRI_BASE!$K$2:$K$469,MATCH(1,INDEX((DRI_BASE!$B$2:$B$469=$G$7)*(DRI_BASE!$C$2:$C$469="Masculino")*(DRI_BASE!$D$2:$D$469=31)*(DRI_BASE!$G$2:$G$469="Ninguno"),0),0)),"ND"),"ND")</f>
        <v>40</v>
      </c>
      <c r="K28" s="78">
        <f>IFERROR(IFERROR(INDEX(DRI_BASE!$Q$2:$Q$469,MATCH(1,INDEX((DRI_BASE!$B$2:$B$469=$G$7)*(DRI_BASE!$C$2:$C$469="Masculino")*(DRI_BASE!$D$2:$D$469=31)*(DRI_BASE!$G$2:$G$469="Ninguno"),0),0)),"ND"),"ND")</f>
        <v>0</v>
      </c>
      <c r="L28" s="78">
        <f>IFERROR(IFERROR(INDEX(DRI_BASE!$U$2:$U$469,MATCH(1,INDEX((DRI_BASE!$B$2:$B$469=$G$7)*(DRI_BASE!$C$2:$C$469="Masculino")*(DRI_BASE!$D$2:$D$469=31)*(DRI_BASE!$G$2:$G$469="Ninguno"),0),0)),"ND"),"ND")</f>
        <v>40</v>
      </c>
      <c r="M28" s="78" t="str">
        <f>IFERROR(IFERROR(INDEX(DRI_BASE!$S$2:$S$469,MATCH(1,INDEX((DRI_BASE!$B$2:$B$469=$G$7)*(DRI_BASE!$C$2:$C$469="Masculino")*(DRI_BASE!$D$2:$D$469=31)*(DRI_BASE!$G$2:$G$469="Ninguno"),0),0)),""),"")</f>
        <v>UL</v>
      </c>
      <c r="N28" s="78" t="str">
        <f>IFERROR(IFERROR(INDEX(DRI_BASE!$L$2:$L$469,MATCH(1,INDEX((DRI_BASE!$B$2:$B$469=$G$7)*(DRI_BASE!$C$2:$C$469="Masculino")*(DRI_BASE!$D$2:$D$469=31)*(DRI_BASE!$G$2:$G$469="Ninguno"),0),0)),""),"")</f>
        <v>mg</v>
      </c>
      <c r="O28" s="78" t="str">
        <f>IFERROR(IFERROR(INDEX(DRI_BASE!$M$2:$M$469,MATCH(1,INDEX((DRI_BASE!$B$2:$B$469=$G$7)*(DRI_BASE!$C$2:$C$469="Masculino")*(DRI_BASE!$D$2:$D$469=31)*(DRI_BASE!$G$2:$G$469="Ninguno"),0),0)),"ND"),"ND")</f>
        <v>SRC-DRI-SUMMARY</v>
      </c>
      <c r="P28" s="78"/>
    </row>
    <row r="29" spans="1:16">
      <c r="A29" s="78" t="s">
        <v>407</v>
      </c>
      <c r="B29" s="78" t="s">
        <v>40</v>
      </c>
      <c r="C29" s="78" t="s">
        <v>49</v>
      </c>
      <c r="D29" s="78" t="s">
        <v>406</v>
      </c>
      <c r="E29" s="78">
        <f>IFERROR(IFERROR(INDEX(DRI_BASE!$H$2:$H$469,MATCH(1,INDEX((DRI_BASE!$B$2:$B$469=$G$7)*(DRI_BASE!$C$2:$C$469="Femenino")*(DRI_BASE!$D$2:$D$469=31)*(DRI_BASE!$G$2:$G$469="Ninguno"),0),0)),"ND"),"ND")</f>
        <v>0</v>
      </c>
      <c r="F29" s="78">
        <f>IFERROR(IFERROR(INDEX(DRI_BASE!$I$2:$I$469,MATCH(1,INDEX((DRI_BASE!$B$2:$B$469=$G$7)*(DRI_BASE!$C$2:$C$469="Femenino")*(DRI_BASE!$D$2:$D$469=31)*(DRI_BASE!$G$2:$G$469="Ninguno"),0),0)),"ND"),"ND")</f>
        <v>8</v>
      </c>
      <c r="G29" s="78">
        <f>IFERROR(IFERROR(INDEX(DRI_BASE!$J$2:$J$469,MATCH(1,INDEX((DRI_BASE!$B$2:$B$469=$G$7)*(DRI_BASE!$C$2:$C$469="Femenino")*(DRI_BASE!$D$2:$D$469=31)*(DRI_BASE!$G$2:$G$469="Ninguno"),0),0)),"ND"),"ND")</f>
        <v>0</v>
      </c>
      <c r="H29" s="78">
        <f>IFERROR(IFERROR(INDEX(DRI_BASE!$T$2:$T$469,MATCH(1,INDEX((DRI_BASE!$B$2:$B$469=$G$7)*(DRI_BASE!$C$2:$C$469="Femenino")*(DRI_BASE!$D$2:$D$469=31)*(DRI_BASE!$G$2:$G$469="Ninguno"),0),0)),"ND"),"ND")</f>
        <v>8</v>
      </c>
      <c r="I29" s="78" t="str">
        <f>IFERROR(IFERROR(INDEX(DRI_BASE!$R$2:$R$469,MATCH(1,INDEX((DRI_BASE!$B$2:$B$469=$G$7)*(DRI_BASE!$C$2:$C$469="Femenino")*(DRI_BASE!$D$2:$D$469=31)*(DRI_BASE!$G$2:$G$469="Ninguno"),0),0)),"ND"),"ND")</f>
        <v>RDA</v>
      </c>
      <c r="J29" s="78">
        <f>IFERROR(IFERROR(INDEX(DRI_BASE!$K$2:$K$469,MATCH(1,INDEX((DRI_BASE!$B$2:$B$469=$G$7)*(DRI_BASE!$C$2:$C$469="Femenino")*(DRI_BASE!$D$2:$D$469=31)*(DRI_BASE!$G$2:$G$469="Ninguno"),0),0)),"ND"),"ND")</f>
        <v>40</v>
      </c>
      <c r="K29" s="78">
        <f>IFERROR(IFERROR(INDEX(DRI_BASE!$Q$2:$Q$469,MATCH(1,INDEX((DRI_BASE!$B$2:$B$469=$G$7)*(DRI_BASE!$C$2:$C$469="Femenino")*(DRI_BASE!$D$2:$D$469=31)*(DRI_BASE!$G$2:$G$469="Ninguno"),0),0)),"ND"),"ND")</f>
        <v>0</v>
      </c>
      <c r="L29" s="78">
        <f>IFERROR(IFERROR(INDEX(DRI_BASE!$U$2:$U$469,MATCH(1,INDEX((DRI_BASE!$B$2:$B$469=$G$7)*(DRI_BASE!$C$2:$C$469="Femenino")*(DRI_BASE!$D$2:$D$469=31)*(DRI_BASE!$G$2:$G$469="Ninguno"),0),0)),"ND"),"ND")</f>
        <v>40</v>
      </c>
      <c r="M29" s="78" t="str">
        <f>IFERROR(IFERROR(INDEX(DRI_BASE!$S$2:$S$469,MATCH(1,INDEX((DRI_BASE!$B$2:$B$469=$G$7)*(DRI_BASE!$C$2:$C$469="Femenino")*(DRI_BASE!$D$2:$D$469=31)*(DRI_BASE!$G$2:$G$469="Ninguno"),0),0)),""),"")</f>
        <v>UL</v>
      </c>
      <c r="N29" s="78" t="str">
        <f>IFERROR(IFERROR(INDEX(DRI_BASE!$L$2:$L$469,MATCH(1,INDEX((DRI_BASE!$B$2:$B$469=$G$7)*(DRI_BASE!$C$2:$C$469="Femenino")*(DRI_BASE!$D$2:$D$469=31)*(DRI_BASE!$G$2:$G$469="Ninguno"),0),0)),""),"")</f>
        <v>mg</v>
      </c>
      <c r="O29" s="78" t="str">
        <f>IFERROR(IFERROR(INDEX(DRI_BASE!$M$2:$M$469,MATCH(1,INDEX((DRI_BASE!$B$2:$B$469=$G$7)*(DRI_BASE!$C$2:$C$469="Femenino")*(DRI_BASE!$D$2:$D$469=31)*(DRI_BASE!$G$2:$G$469="Ninguno"),0),0)),"ND"),"ND")</f>
        <v>SRC-DRI-SUMMARY</v>
      </c>
      <c r="P29" s="78"/>
    </row>
    <row r="30" spans="1:16">
      <c r="A30" s="78" t="s">
        <v>408</v>
      </c>
      <c r="B30" s="78" t="s">
        <v>396</v>
      </c>
      <c r="C30" s="78" t="s">
        <v>49</v>
      </c>
      <c r="D30" s="78" t="s">
        <v>409</v>
      </c>
      <c r="E30" s="78">
        <f>IFERROR(IFERROR(INDEX(DRI_BASE!$H$2:$H$469,MATCH(1,INDEX((DRI_BASE!$B$2:$B$469=$G$7)*(DRI_BASE!$C$2:$C$469="Masculino")*(DRI_BASE!$D$2:$D$469=51)*(DRI_BASE!$G$2:$G$469="Ninguno"),0),0)),"ND"),"ND")</f>
        <v>0</v>
      </c>
      <c r="F30" s="78">
        <f>IFERROR(IFERROR(INDEX(DRI_BASE!$I$2:$I$469,MATCH(1,INDEX((DRI_BASE!$B$2:$B$469=$G$7)*(DRI_BASE!$C$2:$C$469="Masculino")*(DRI_BASE!$D$2:$D$469=51)*(DRI_BASE!$G$2:$G$469="Ninguno"),0),0)),"ND"),"ND")</f>
        <v>11</v>
      </c>
      <c r="G30" s="78">
        <f>IFERROR(IFERROR(INDEX(DRI_BASE!$J$2:$J$469,MATCH(1,INDEX((DRI_BASE!$B$2:$B$469=$G$7)*(DRI_BASE!$C$2:$C$469="Masculino")*(DRI_BASE!$D$2:$D$469=51)*(DRI_BASE!$G$2:$G$469="Ninguno"),0),0)),"ND"),"ND")</f>
        <v>0</v>
      </c>
      <c r="H30" s="78">
        <f>IFERROR(IFERROR(INDEX(DRI_BASE!$T$2:$T$469,MATCH(1,INDEX((DRI_BASE!$B$2:$B$469=$G$7)*(DRI_BASE!$C$2:$C$469="Masculino")*(DRI_BASE!$D$2:$D$469=51)*(DRI_BASE!$G$2:$G$469="Ninguno"),0),0)),"ND"),"ND")</f>
        <v>11</v>
      </c>
      <c r="I30" s="78" t="str">
        <f>IFERROR(IFERROR(INDEX(DRI_BASE!$R$2:$R$469,MATCH(1,INDEX((DRI_BASE!$B$2:$B$469=$G$7)*(DRI_BASE!$C$2:$C$469="Masculino")*(DRI_BASE!$D$2:$D$469=51)*(DRI_BASE!$G$2:$G$469="Ninguno"),0),0)),"ND"),"ND")</f>
        <v>RDA</v>
      </c>
      <c r="J30" s="78">
        <f>IFERROR(IFERROR(INDEX(DRI_BASE!$K$2:$K$469,MATCH(1,INDEX((DRI_BASE!$B$2:$B$469=$G$7)*(DRI_BASE!$C$2:$C$469="Masculino")*(DRI_BASE!$D$2:$D$469=51)*(DRI_BASE!$G$2:$G$469="Ninguno"),0),0)),"ND"),"ND")</f>
        <v>40</v>
      </c>
      <c r="K30" s="78">
        <f>IFERROR(IFERROR(INDEX(DRI_BASE!$Q$2:$Q$469,MATCH(1,INDEX((DRI_BASE!$B$2:$B$469=$G$7)*(DRI_BASE!$C$2:$C$469="Masculino")*(DRI_BASE!$D$2:$D$469=51)*(DRI_BASE!$G$2:$G$469="Ninguno"),0),0)),"ND"),"ND")</f>
        <v>0</v>
      </c>
      <c r="L30" s="78">
        <f>IFERROR(IFERROR(INDEX(DRI_BASE!$U$2:$U$469,MATCH(1,INDEX((DRI_BASE!$B$2:$B$469=$G$7)*(DRI_BASE!$C$2:$C$469="Masculino")*(DRI_BASE!$D$2:$D$469=51)*(DRI_BASE!$G$2:$G$469="Ninguno"),0),0)),"ND"),"ND")</f>
        <v>40</v>
      </c>
      <c r="M30" s="78" t="str">
        <f>IFERROR(IFERROR(INDEX(DRI_BASE!$S$2:$S$469,MATCH(1,INDEX((DRI_BASE!$B$2:$B$469=$G$7)*(DRI_BASE!$C$2:$C$469="Masculino")*(DRI_BASE!$D$2:$D$469=51)*(DRI_BASE!$G$2:$G$469="Ninguno"),0),0)),""),"")</f>
        <v>UL</v>
      </c>
      <c r="N30" s="78" t="str">
        <f>IFERROR(IFERROR(INDEX(DRI_BASE!$L$2:$L$469,MATCH(1,INDEX((DRI_BASE!$B$2:$B$469=$G$7)*(DRI_BASE!$C$2:$C$469="Masculino")*(DRI_BASE!$D$2:$D$469=51)*(DRI_BASE!$G$2:$G$469="Ninguno"),0),0)),""),"")</f>
        <v>mg</v>
      </c>
      <c r="O30" s="78" t="str">
        <f>IFERROR(IFERROR(INDEX(DRI_BASE!$M$2:$M$469,MATCH(1,INDEX((DRI_BASE!$B$2:$B$469=$G$7)*(DRI_BASE!$C$2:$C$469="Masculino")*(DRI_BASE!$D$2:$D$469=51)*(DRI_BASE!$G$2:$G$469="Ninguno"),0),0)),"ND"),"ND")</f>
        <v>SRC-DRI-SUMMARY</v>
      </c>
      <c r="P30" s="78"/>
    </row>
    <row r="31" spans="1:16">
      <c r="A31" s="78" t="s">
        <v>410</v>
      </c>
      <c r="B31" s="78" t="s">
        <v>40</v>
      </c>
      <c r="C31" s="78" t="s">
        <v>49</v>
      </c>
      <c r="D31" s="78" t="s">
        <v>409</v>
      </c>
      <c r="E31" s="78">
        <f>IFERROR(IFERROR(INDEX(DRI_BASE!$H$2:$H$469,MATCH(1,INDEX((DRI_BASE!$B$2:$B$469=$G$7)*(DRI_BASE!$C$2:$C$469="Femenino")*(DRI_BASE!$D$2:$D$469=51)*(DRI_BASE!$G$2:$G$469="Ninguno"),0),0)),"ND"),"ND")</f>
        <v>0</v>
      </c>
      <c r="F31" s="78">
        <f>IFERROR(IFERROR(INDEX(DRI_BASE!$I$2:$I$469,MATCH(1,INDEX((DRI_BASE!$B$2:$B$469=$G$7)*(DRI_BASE!$C$2:$C$469="Femenino")*(DRI_BASE!$D$2:$D$469=51)*(DRI_BASE!$G$2:$G$469="Ninguno"),0),0)),"ND"),"ND")</f>
        <v>8</v>
      </c>
      <c r="G31" s="78">
        <f>IFERROR(IFERROR(INDEX(DRI_BASE!$J$2:$J$469,MATCH(1,INDEX((DRI_BASE!$B$2:$B$469=$G$7)*(DRI_BASE!$C$2:$C$469="Femenino")*(DRI_BASE!$D$2:$D$469=51)*(DRI_BASE!$G$2:$G$469="Ninguno"),0),0)),"ND"),"ND")</f>
        <v>0</v>
      </c>
      <c r="H31" s="78">
        <f>IFERROR(IFERROR(INDEX(DRI_BASE!$T$2:$T$469,MATCH(1,INDEX((DRI_BASE!$B$2:$B$469=$G$7)*(DRI_BASE!$C$2:$C$469="Femenino")*(DRI_BASE!$D$2:$D$469=51)*(DRI_BASE!$G$2:$G$469="Ninguno"),0),0)),"ND"),"ND")</f>
        <v>8</v>
      </c>
      <c r="I31" s="78" t="str">
        <f>IFERROR(IFERROR(INDEX(DRI_BASE!$R$2:$R$469,MATCH(1,INDEX((DRI_BASE!$B$2:$B$469=$G$7)*(DRI_BASE!$C$2:$C$469="Femenino")*(DRI_BASE!$D$2:$D$469=51)*(DRI_BASE!$G$2:$G$469="Ninguno"),0),0)),"ND"),"ND")</f>
        <v>RDA</v>
      </c>
      <c r="J31" s="78">
        <f>IFERROR(IFERROR(INDEX(DRI_BASE!$K$2:$K$469,MATCH(1,INDEX((DRI_BASE!$B$2:$B$469=$G$7)*(DRI_BASE!$C$2:$C$469="Femenino")*(DRI_BASE!$D$2:$D$469=51)*(DRI_BASE!$G$2:$G$469="Ninguno"),0),0)),"ND"),"ND")</f>
        <v>40</v>
      </c>
      <c r="K31" s="78">
        <f>IFERROR(IFERROR(INDEX(DRI_BASE!$Q$2:$Q$469,MATCH(1,INDEX((DRI_BASE!$B$2:$B$469=$G$7)*(DRI_BASE!$C$2:$C$469="Femenino")*(DRI_BASE!$D$2:$D$469=51)*(DRI_BASE!$G$2:$G$469="Ninguno"),0),0)),"ND"),"ND")</f>
        <v>0</v>
      </c>
      <c r="L31" s="78">
        <f>IFERROR(IFERROR(INDEX(DRI_BASE!$U$2:$U$469,MATCH(1,INDEX((DRI_BASE!$B$2:$B$469=$G$7)*(DRI_BASE!$C$2:$C$469="Femenino")*(DRI_BASE!$D$2:$D$469=51)*(DRI_BASE!$G$2:$G$469="Ninguno"),0),0)),"ND"),"ND")</f>
        <v>40</v>
      </c>
      <c r="M31" s="78" t="str">
        <f>IFERROR(IFERROR(INDEX(DRI_BASE!$S$2:$S$469,MATCH(1,INDEX((DRI_BASE!$B$2:$B$469=$G$7)*(DRI_BASE!$C$2:$C$469="Femenino")*(DRI_BASE!$D$2:$D$469=51)*(DRI_BASE!$G$2:$G$469="Ninguno"),0),0)),""),"")</f>
        <v>UL</v>
      </c>
      <c r="N31" s="78" t="str">
        <f>IFERROR(IFERROR(INDEX(DRI_BASE!$L$2:$L$469,MATCH(1,INDEX((DRI_BASE!$B$2:$B$469=$G$7)*(DRI_BASE!$C$2:$C$469="Femenino")*(DRI_BASE!$D$2:$D$469=51)*(DRI_BASE!$G$2:$G$469="Ninguno"),0),0)),""),"")</f>
        <v>mg</v>
      </c>
      <c r="O31" s="78" t="str">
        <f>IFERROR(IFERROR(INDEX(DRI_BASE!$M$2:$M$469,MATCH(1,INDEX((DRI_BASE!$B$2:$B$469=$G$7)*(DRI_BASE!$C$2:$C$469="Femenino")*(DRI_BASE!$D$2:$D$469=51)*(DRI_BASE!$G$2:$G$469="Ninguno"),0),0)),"ND"),"ND")</f>
        <v>SRC-DRI-SUMMARY</v>
      </c>
      <c r="P31" s="78"/>
    </row>
    <row r="32" spans="1:16">
      <c r="A32" s="78" t="s">
        <v>411</v>
      </c>
      <c r="B32" s="78" t="s">
        <v>396</v>
      </c>
      <c r="C32" s="78" t="s">
        <v>49</v>
      </c>
      <c r="D32" s="78" t="s">
        <v>412</v>
      </c>
      <c r="E32" s="78">
        <f>IFERROR(IFERROR(INDEX(DRI_BASE!$H$2:$H$469,MATCH(1,INDEX((DRI_BASE!$B$2:$B$469=$G$7)*(DRI_BASE!$C$2:$C$469="Masculino")*(DRI_BASE!$D$2:$D$469=71)*(DRI_BASE!$G$2:$G$469="Ninguno"),0),0)),"ND"),"ND")</f>
        <v>0</v>
      </c>
      <c r="F32" s="78">
        <f>IFERROR(IFERROR(INDEX(DRI_BASE!$I$2:$I$469,MATCH(1,INDEX((DRI_BASE!$B$2:$B$469=$G$7)*(DRI_BASE!$C$2:$C$469="Masculino")*(DRI_BASE!$D$2:$D$469=71)*(DRI_BASE!$G$2:$G$469="Ninguno"),0),0)),"ND"),"ND")</f>
        <v>11</v>
      </c>
      <c r="G32" s="78">
        <f>IFERROR(IFERROR(INDEX(DRI_BASE!$J$2:$J$469,MATCH(1,INDEX((DRI_BASE!$B$2:$B$469=$G$7)*(DRI_BASE!$C$2:$C$469="Masculino")*(DRI_BASE!$D$2:$D$469=71)*(DRI_BASE!$G$2:$G$469="Ninguno"),0),0)),"ND"),"ND")</f>
        <v>0</v>
      </c>
      <c r="H32" s="78">
        <f>IFERROR(IFERROR(INDEX(DRI_BASE!$T$2:$T$469,MATCH(1,INDEX((DRI_BASE!$B$2:$B$469=$G$7)*(DRI_BASE!$C$2:$C$469="Masculino")*(DRI_BASE!$D$2:$D$469=71)*(DRI_BASE!$G$2:$G$469="Ninguno"),0),0)),"ND"),"ND")</f>
        <v>11</v>
      </c>
      <c r="I32" s="78" t="str">
        <f>IFERROR(IFERROR(INDEX(DRI_BASE!$R$2:$R$469,MATCH(1,INDEX((DRI_BASE!$B$2:$B$469=$G$7)*(DRI_BASE!$C$2:$C$469="Masculino")*(DRI_BASE!$D$2:$D$469=71)*(DRI_BASE!$G$2:$G$469="Ninguno"),0),0)),"ND"),"ND")</f>
        <v>RDA</v>
      </c>
      <c r="J32" s="78">
        <f>IFERROR(IFERROR(INDEX(DRI_BASE!$K$2:$K$469,MATCH(1,INDEX((DRI_BASE!$B$2:$B$469=$G$7)*(DRI_BASE!$C$2:$C$469="Masculino")*(DRI_BASE!$D$2:$D$469=71)*(DRI_BASE!$G$2:$G$469="Ninguno"),0),0)),"ND"),"ND")</f>
        <v>40</v>
      </c>
      <c r="K32" s="78">
        <f>IFERROR(IFERROR(INDEX(DRI_BASE!$Q$2:$Q$469,MATCH(1,INDEX((DRI_BASE!$B$2:$B$469=$G$7)*(DRI_BASE!$C$2:$C$469="Masculino")*(DRI_BASE!$D$2:$D$469=71)*(DRI_BASE!$G$2:$G$469="Ninguno"),0),0)),"ND"),"ND")</f>
        <v>0</v>
      </c>
      <c r="L32" s="78">
        <f>IFERROR(IFERROR(INDEX(DRI_BASE!$U$2:$U$469,MATCH(1,INDEX((DRI_BASE!$B$2:$B$469=$G$7)*(DRI_BASE!$C$2:$C$469="Masculino")*(DRI_BASE!$D$2:$D$469=71)*(DRI_BASE!$G$2:$G$469="Ninguno"),0),0)),"ND"),"ND")</f>
        <v>40</v>
      </c>
      <c r="M32" s="78" t="str">
        <f>IFERROR(IFERROR(INDEX(DRI_BASE!$S$2:$S$469,MATCH(1,INDEX((DRI_BASE!$B$2:$B$469=$G$7)*(DRI_BASE!$C$2:$C$469="Masculino")*(DRI_BASE!$D$2:$D$469=71)*(DRI_BASE!$G$2:$G$469="Ninguno"),0),0)),""),"")</f>
        <v>UL</v>
      </c>
      <c r="N32" s="78" t="str">
        <f>IFERROR(IFERROR(INDEX(DRI_BASE!$L$2:$L$469,MATCH(1,INDEX((DRI_BASE!$B$2:$B$469=$G$7)*(DRI_BASE!$C$2:$C$469="Masculino")*(DRI_BASE!$D$2:$D$469=71)*(DRI_BASE!$G$2:$G$469="Ninguno"),0),0)),""),"")</f>
        <v>mg</v>
      </c>
      <c r="O32" s="78" t="str">
        <f>IFERROR(IFERROR(INDEX(DRI_BASE!$M$2:$M$469,MATCH(1,INDEX((DRI_BASE!$B$2:$B$469=$G$7)*(DRI_BASE!$C$2:$C$469="Masculino")*(DRI_BASE!$D$2:$D$469=71)*(DRI_BASE!$G$2:$G$469="Ninguno"),0),0)),"ND"),"ND")</f>
        <v>SRC-DRI-SUMMARY</v>
      </c>
      <c r="P32" s="78"/>
    </row>
    <row r="33" spans="1:16">
      <c r="A33" s="78" t="s">
        <v>413</v>
      </c>
      <c r="B33" s="78" t="s">
        <v>40</v>
      </c>
      <c r="C33" s="78" t="s">
        <v>49</v>
      </c>
      <c r="D33" s="78" t="s">
        <v>412</v>
      </c>
      <c r="E33" s="78">
        <f>IFERROR(IFERROR(INDEX(DRI_BASE!$H$2:$H$469,MATCH(1,INDEX((DRI_BASE!$B$2:$B$469=$G$7)*(DRI_BASE!$C$2:$C$469="Femenino")*(DRI_BASE!$D$2:$D$469=71)*(DRI_BASE!$G$2:$G$469="Ninguno"),0),0)),"ND"),"ND")</f>
        <v>0</v>
      </c>
      <c r="F33" s="78">
        <f>IFERROR(IFERROR(INDEX(DRI_BASE!$I$2:$I$469,MATCH(1,INDEX((DRI_BASE!$B$2:$B$469=$G$7)*(DRI_BASE!$C$2:$C$469="Femenino")*(DRI_BASE!$D$2:$D$469=71)*(DRI_BASE!$G$2:$G$469="Ninguno"),0),0)),"ND"),"ND")</f>
        <v>8</v>
      </c>
      <c r="G33" s="78">
        <f>IFERROR(IFERROR(INDEX(DRI_BASE!$J$2:$J$469,MATCH(1,INDEX((DRI_BASE!$B$2:$B$469=$G$7)*(DRI_BASE!$C$2:$C$469="Femenino")*(DRI_BASE!$D$2:$D$469=71)*(DRI_BASE!$G$2:$G$469="Ninguno"),0),0)),"ND"),"ND")</f>
        <v>0</v>
      </c>
      <c r="H33" s="78">
        <f>IFERROR(IFERROR(INDEX(DRI_BASE!$T$2:$T$469,MATCH(1,INDEX((DRI_BASE!$B$2:$B$469=$G$7)*(DRI_BASE!$C$2:$C$469="Femenino")*(DRI_BASE!$D$2:$D$469=71)*(DRI_BASE!$G$2:$G$469="Ninguno"),0),0)),"ND"),"ND")</f>
        <v>8</v>
      </c>
      <c r="I33" s="78" t="str">
        <f>IFERROR(IFERROR(INDEX(DRI_BASE!$R$2:$R$469,MATCH(1,INDEX((DRI_BASE!$B$2:$B$469=$G$7)*(DRI_BASE!$C$2:$C$469="Femenino")*(DRI_BASE!$D$2:$D$469=71)*(DRI_BASE!$G$2:$G$469="Ninguno"),0),0)),"ND"),"ND")</f>
        <v>RDA</v>
      </c>
      <c r="J33" s="78">
        <f>IFERROR(IFERROR(INDEX(DRI_BASE!$K$2:$K$469,MATCH(1,INDEX((DRI_BASE!$B$2:$B$469=$G$7)*(DRI_BASE!$C$2:$C$469="Femenino")*(DRI_BASE!$D$2:$D$469=71)*(DRI_BASE!$G$2:$G$469="Ninguno"),0),0)),"ND"),"ND")</f>
        <v>40</v>
      </c>
      <c r="K33" s="78">
        <f>IFERROR(IFERROR(INDEX(DRI_BASE!$Q$2:$Q$469,MATCH(1,INDEX((DRI_BASE!$B$2:$B$469=$G$7)*(DRI_BASE!$C$2:$C$469="Femenino")*(DRI_BASE!$D$2:$D$469=71)*(DRI_BASE!$G$2:$G$469="Ninguno"),0),0)),"ND"),"ND")</f>
        <v>0</v>
      </c>
      <c r="L33" s="78">
        <f>IFERROR(IFERROR(INDEX(DRI_BASE!$U$2:$U$469,MATCH(1,INDEX((DRI_BASE!$B$2:$B$469=$G$7)*(DRI_BASE!$C$2:$C$469="Femenino")*(DRI_BASE!$D$2:$D$469=71)*(DRI_BASE!$G$2:$G$469="Ninguno"),0),0)),"ND"),"ND")</f>
        <v>40</v>
      </c>
      <c r="M33" s="78" t="str">
        <f>IFERROR(IFERROR(INDEX(DRI_BASE!$S$2:$S$469,MATCH(1,INDEX((DRI_BASE!$B$2:$B$469=$G$7)*(DRI_BASE!$C$2:$C$469="Femenino")*(DRI_BASE!$D$2:$D$469=71)*(DRI_BASE!$G$2:$G$469="Ninguno"),0),0)),""),"")</f>
        <v>UL</v>
      </c>
      <c r="N33" s="78" t="str">
        <f>IFERROR(IFERROR(INDEX(DRI_BASE!$L$2:$L$469,MATCH(1,INDEX((DRI_BASE!$B$2:$B$469=$G$7)*(DRI_BASE!$C$2:$C$469="Femenino")*(DRI_BASE!$D$2:$D$469=71)*(DRI_BASE!$G$2:$G$469="Ninguno"),0),0)),""),"")</f>
        <v>mg</v>
      </c>
      <c r="O33" s="78" t="str">
        <f>IFERROR(IFERROR(INDEX(DRI_BASE!$M$2:$M$469,MATCH(1,INDEX((DRI_BASE!$B$2:$B$469=$G$7)*(DRI_BASE!$C$2:$C$469="Femenino")*(DRI_BASE!$D$2:$D$469=71)*(DRI_BASE!$G$2:$G$469="Ninguno"),0),0)),"ND"),"ND")</f>
        <v>SRC-DRI-SUMMARY</v>
      </c>
      <c r="P33" s="78"/>
    </row>
    <row r="34" spans="1:16">
      <c r="A34" s="78" t="s">
        <v>414</v>
      </c>
      <c r="B34" s="78" t="s">
        <v>40</v>
      </c>
      <c r="C34" s="78" t="s">
        <v>414</v>
      </c>
      <c r="D34" s="78" t="s">
        <v>415</v>
      </c>
      <c r="E34" s="78">
        <f>IFERROR(IFERROR(INDEX(DRI_BASE!$H$2:$H$469,MATCH(1,INDEX((DRI_BASE!$B$2:$B$469=$G$7)*(DRI_BASE!$C$2:$C$469="Femenino")*(DRI_BASE!$D$2:$D$469=14)*(DRI_BASE!$G$2:$G$469="Embarazo"),0),0)),"ND"),"ND")</f>
        <v>0</v>
      </c>
      <c r="F34" s="78">
        <f>IFERROR(IFERROR(INDEX(DRI_BASE!$I$2:$I$469,MATCH(1,INDEX((DRI_BASE!$B$2:$B$469=$G$7)*(DRI_BASE!$C$2:$C$469="Femenino")*(DRI_BASE!$D$2:$D$469=14)*(DRI_BASE!$G$2:$G$469="Embarazo"),0),0)),"ND"),"ND")</f>
        <v>11</v>
      </c>
      <c r="G34" s="78">
        <f>IFERROR(IFERROR(INDEX(DRI_BASE!$J$2:$J$469,MATCH(1,INDEX((DRI_BASE!$B$2:$B$469=$G$7)*(DRI_BASE!$C$2:$C$469="Femenino")*(DRI_BASE!$D$2:$D$469=14)*(DRI_BASE!$G$2:$G$469="Embarazo"),0),0)),"ND"),"ND")</f>
        <v>0</v>
      </c>
      <c r="H34" s="78">
        <f>IFERROR(IFERROR(INDEX(DRI_BASE!$T$2:$T$469,MATCH(1,INDEX((DRI_BASE!$B$2:$B$469=$G$7)*(DRI_BASE!$C$2:$C$469="Femenino")*(DRI_BASE!$D$2:$D$469=14)*(DRI_BASE!$G$2:$G$469="Embarazo"),0),0)),"ND"),"ND")</f>
        <v>11</v>
      </c>
      <c r="I34" s="78" t="str">
        <f>IFERROR(IFERROR(INDEX(DRI_BASE!$R$2:$R$469,MATCH(1,INDEX((DRI_BASE!$B$2:$B$469=$G$7)*(DRI_BASE!$C$2:$C$469="Femenino")*(DRI_BASE!$D$2:$D$469=14)*(DRI_BASE!$G$2:$G$469="Embarazo"),0),0)),"ND"),"ND")</f>
        <v>RDA</v>
      </c>
      <c r="J34" s="78">
        <f>IFERROR(IFERROR(INDEX(DRI_BASE!$K$2:$K$469,MATCH(1,INDEX((DRI_BASE!$B$2:$B$469=$G$7)*(DRI_BASE!$C$2:$C$469="Femenino")*(DRI_BASE!$D$2:$D$469=14)*(DRI_BASE!$G$2:$G$469="Embarazo"),0),0)),"ND"),"ND")</f>
        <v>40</v>
      </c>
      <c r="K34" s="78">
        <f>IFERROR(IFERROR(INDEX(DRI_BASE!$Q$2:$Q$469,MATCH(1,INDEX((DRI_BASE!$B$2:$B$469=$G$7)*(DRI_BASE!$C$2:$C$469="Femenino")*(DRI_BASE!$D$2:$D$469=14)*(DRI_BASE!$G$2:$G$469="Embarazo"),0),0)),"ND"),"ND")</f>
        <v>0</v>
      </c>
      <c r="L34" s="78">
        <f>IFERROR(IFERROR(INDEX(DRI_BASE!$U$2:$U$469,MATCH(1,INDEX((DRI_BASE!$B$2:$B$469=$G$7)*(DRI_BASE!$C$2:$C$469="Femenino")*(DRI_BASE!$D$2:$D$469=14)*(DRI_BASE!$G$2:$G$469="Embarazo"),0),0)),"ND"),"ND")</f>
        <v>40</v>
      </c>
      <c r="M34" s="78" t="str">
        <f>IFERROR(IFERROR(INDEX(DRI_BASE!$S$2:$S$469,MATCH(1,INDEX((DRI_BASE!$B$2:$B$469=$G$7)*(DRI_BASE!$C$2:$C$469="Femenino")*(DRI_BASE!$D$2:$D$469=14)*(DRI_BASE!$G$2:$G$469="Embarazo"),0),0)),""),"")</f>
        <v>UL</v>
      </c>
      <c r="N34" s="78" t="str">
        <f>IFERROR(IFERROR(INDEX(DRI_BASE!$L$2:$L$469,MATCH(1,INDEX((DRI_BASE!$B$2:$B$469=$G$7)*(DRI_BASE!$C$2:$C$469="Femenino")*(DRI_BASE!$D$2:$D$469=14)*(DRI_BASE!$G$2:$G$469="Embarazo"),0),0)),""),"")</f>
        <v>mg</v>
      </c>
      <c r="O34" s="78" t="str">
        <f>IFERROR(IFERROR(INDEX(DRI_BASE!$M$2:$M$469,MATCH(1,INDEX((DRI_BASE!$B$2:$B$469=$G$7)*(DRI_BASE!$C$2:$C$469="Femenino")*(DRI_BASE!$D$2:$D$469=14)*(DRI_BASE!$G$2:$G$469="Embarazo"),0),0)),"ND"),"ND")</f>
        <v>SRC-DRI-SUMMARY</v>
      </c>
      <c r="P34" s="78"/>
    </row>
    <row r="35" spans="1:16">
      <c r="A35" s="78" t="s">
        <v>416</v>
      </c>
      <c r="B35" s="78" t="s">
        <v>40</v>
      </c>
      <c r="C35" s="78" t="s">
        <v>416</v>
      </c>
      <c r="D35" s="78" t="s">
        <v>415</v>
      </c>
      <c r="E35" s="78">
        <f>IFERROR(IFERROR(INDEX(DRI_BASE!$H$2:$H$469,MATCH(1,INDEX((DRI_BASE!$B$2:$B$469=$G$7)*(DRI_BASE!$C$2:$C$469="Femenino")*(DRI_BASE!$D$2:$D$469=14)*(DRI_BASE!$G$2:$G$469="Lactancia"),0),0)),"ND"),"ND")</f>
        <v>0</v>
      </c>
      <c r="F35" s="78">
        <f>IFERROR(IFERROR(INDEX(DRI_BASE!$I$2:$I$469,MATCH(1,INDEX((DRI_BASE!$B$2:$B$469=$G$7)*(DRI_BASE!$C$2:$C$469="Femenino")*(DRI_BASE!$D$2:$D$469=14)*(DRI_BASE!$G$2:$G$469="Lactancia"),0),0)),"ND"),"ND")</f>
        <v>12</v>
      </c>
      <c r="G35" s="78">
        <f>IFERROR(IFERROR(INDEX(DRI_BASE!$J$2:$J$469,MATCH(1,INDEX((DRI_BASE!$B$2:$B$469=$G$7)*(DRI_BASE!$C$2:$C$469="Femenino")*(DRI_BASE!$D$2:$D$469=14)*(DRI_BASE!$G$2:$G$469="Lactancia"),0),0)),"ND"),"ND")</f>
        <v>0</v>
      </c>
      <c r="H35" s="78">
        <f>IFERROR(IFERROR(INDEX(DRI_BASE!$T$2:$T$469,MATCH(1,INDEX((DRI_BASE!$B$2:$B$469=$G$7)*(DRI_BASE!$C$2:$C$469="Femenino")*(DRI_BASE!$D$2:$D$469=14)*(DRI_BASE!$G$2:$G$469="Lactancia"),0),0)),"ND"),"ND")</f>
        <v>12</v>
      </c>
      <c r="I35" s="78" t="str">
        <f>IFERROR(IFERROR(INDEX(DRI_BASE!$R$2:$R$469,MATCH(1,INDEX((DRI_BASE!$B$2:$B$469=$G$7)*(DRI_BASE!$C$2:$C$469="Femenino")*(DRI_BASE!$D$2:$D$469=14)*(DRI_BASE!$G$2:$G$469="Lactancia"),0),0)),"ND"),"ND")</f>
        <v>RDA</v>
      </c>
      <c r="J35" s="78">
        <f>IFERROR(IFERROR(INDEX(DRI_BASE!$K$2:$K$469,MATCH(1,INDEX((DRI_BASE!$B$2:$B$469=$G$7)*(DRI_BASE!$C$2:$C$469="Femenino")*(DRI_BASE!$D$2:$D$469=14)*(DRI_BASE!$G$2:$G$469="Lactancia"),0),0)),"ND"),"ND")</f>
        <v>40</v>
      </c>
      <c r="K35" s="78">
        <f>IFERROR(IFERROR(INDEX(DRI_BASE!$Q$2:$Q$469,MATCH(1,INDEX((DRI_BASE!$B$2:$B$469=$G$7)*(DRI_BASE!$C$2:$C$469="Femenino")*(DRI_BASE!$D$2:$D$469=14)*(DRI_BASE!$G$2:$G$469="Lactancia"),0),0)),"ND"),"ND")</f>
        <v>0</v>
      </c>
      <c r="L35" s="78">
        <f>IFERROR(IFERROR(INDEX(DRI_BASE!$U$2:$U$469,MATCH(1,INDEX((DRI_BASE!$B$2:$B$469=$G$7)*(DRI_BASE!$C$2:$C$469="Femenino")*(DRI_BASE!$D$2:$D$469=14)*(DRI_BASE!$G$2:$G$469="Lactancia"),0),0)),"ND"),"ND")</f>
        <v>40</v>
      </c>
      <c r="M35" s="78" t="str">
        <f>IFERROR(IFERROR(INDEX(DRI_BASE!$S$2:$S$469,MATCH(1,INDEX((DRI_BASE!$B$2:$B$469=$G$7)*(DRI_BASE!$C$2:$C$469="Femenino")*(DRI_BASE!$D$2:$D$469=14)*(DRI_BASE!$G$2:$G$469="Lactancia"),0),0)),""),"")</f>
        <v>UL</v>
      </c>
      <c r="N35" s="78" t="str">
        <f>IFERROR(IFERROR(INDEX(DRI_BASE!$L$2:$L$469,MATCH(1,INDEX((DRI_BASE!$B$2:$B$469=$G$7)*(DRI_BASE!$C$2:$C$469="Femenino")*(DRI_BASE!$D$2:$D$469=14)*(DRI_BASE!$G$2:$G$469="Lactancia"),0),0)),""),"")</f>
        <v>mg</v>
      </c>
      <c r="O35" s="78" t="str">
        <f>IFERROR(IFERROR(INDEX(DRI_BASE!$M$2:$M$469,MATCH(1,INDEX((DRI_BASE!$B$2:$B$469=$G$7)*(DRI_BASE!$C$2:$C$469="Femenino")*(DRI_BASE!$D$2:$D$469=14)*(DRI_BASE!$G$2:$G$469="Lactancia"),0),0)),"ND"),"ND")</f>
        <v>SRC-DRI-SUMMARY</v>
      </c>
      <c r="P35" s="78"/>
    </row>
    <row r="37" spans="1:16">
      <c r="A37" s="232" t="s">
        <v>417</v>
      </c>
      <c r="B37" s="152"/>
      <c r="C37" s="152"/>
      <c r="D37" s="152"/>
      <c r="E37" s="152"/>
      <c r="F37" s="152"/>
      <c r="G37" s="152"/>
      <c r="H37" s="152"/>
      <c r="I37" s="152"/>
      <c r="J37" s="152"/>
      <c r="K37" s="152"/>
      <c r="L37" s="152"/>
      <c r="M37" s="152"/>
      <c r="N37" s="152"/>
      <c r="O37" s="152"/>
    </row>
    <row r="38" spans="1:16">
      <c r="A38" s="152"/>
      <c r="B38" s="152"/>
      <c r="C38" s="152"/>
      <c r="D38" s="152"/>
      <c r="E38" s="152"/>
      <c r="F38" s="152"/>
      <c r="G38" s="152"/>
      <c r="H38" s="152"/>
      <c r="I38" s="152"/>
      <c r="J38" s="152"/>
      <c r="K38" s="152"/>
      <c r="L38" s="152"/>
      <c r="M38" s="152"/>
      <c r="N38" s="152"/>
      <c r="O38" s="152"/>
    </row>
    <row r="39" spans="1:16">
      <c r="A39" s="152"/>
      <c r="B39" s="152"/>
      <c r="C39" s="152"/>
      <c r="D39" s="152"/>
      <c r="E39" s="152"/>
      <c r="F39" s="152"/>
      <c r="G39" s="152"/>
      <c r="H39" s="152"/>
      <c r="I39" s="152"/>
      <c r="J39" s="152"/>
      <c r="K39" s="152"/>
      <c r="L39" s="152"/>
      <c r="M39" s="152"/>
      <c r="N39" s="152"/>
      <c r="O39" s="152"/>
    </row>
  </sheetData>
  <mergeCells count="24">
    <mergeCell ref="A3:N3"/>
    <mergeCell ref="K12:O12"/>
    <mergeCell ref="E13:F14"/>
    <mergeCell ref="A1:N2"/>
    <mergeCell ref="G13:H14"/>
    <mergeCell ref="C7:D7"/>
    <mergeCell ref="E7:F7"/>
    <mergeCell ref="A10:B10"/>
    <mergeCell ref="A7:B7"/>
    <mergeCell ref="G7:H7"/>
    <mergeCell ref="E10:F10"/>
    <mergeCell ref="A8:O8"/>
    <mergeCell ref="A37:O39"/>
    <mergeCell ref="K13:O14"/>
    <mergeCell ref="G10:H10"/>
    <mergeCell ref="C13:D14"/>
    <mergeCell ref="A12:B12"/>
    <mergeCell ref="C12:D12"/>
    <mergeCell ref="I12:J12"/>
    <mergeCell ref="E12:F12"/>
    <mergeCell ref="G12:H12"/>
    <mergeCell ref="I13:J14"/>
    <mergeCell ref="A13:B14"/>
    <mergeCell ref="C10:D10"/>
  </mergeCells>
  <dataValidations count="1">
    <dataValidation type="list" sqref="C7" xr:uid="{00000000-0002-0000-0900-000000000000}">
      <formula1>"Hierro,Zinc,Cobre,Calcio,Fósforo,Selenio,Potasio,Magnesio,Sodio,Cloruro,Vitamina A,Vitamina D,Vitamina E,Vitamina K,Vitamina C,Tiamina,Riboflavina,Niacina,Ácido pantoténico,Vitamina B6,Biotina,Folato,Cobalamina"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0"/>
  <sheetViews>
    <sheetView showGridLines="0" workbookViewId="0">
      <selection activeCell="C7" sqref="C7:D7"/>
    </sheetView>
  </sheetViews>
  <sheetFormatPr baseColWidth="10" defaultColWidth="9" defaultRowHeight="14.25"/>
  <cols>
    <col min="1" max="1" width="24" style="30" customWidth="1"/>
    <col min="2" max="3" width="22" style="30" customWidth="1"/>
    <col min="4" max="4" width="48.25" style="30" customWidth="1"/>
    <col min="5" max="5" width="44" style="30" customWidth="1"/>
    <col min="6" max="6" width="14" style="30" customWidth="1"/>
    <col min="7" max="8" width="22" style="30" customWidth="1"/>
    <col min="9" max="14" width="14" style="30" customWidth="1"/>
  </cols>
  <sheetData>
    <row r="1" spans="1:14">
      <c r="A1" s="155" t="s">
        <v>418</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419</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75" customHeight="1">
      <c r="A7" s="209" t="s">
        <v>314</v>
      </c>
      <c r="B7" s="170"/>
      <c r="C7" s="223" t="s">
        <v>267</v>
      </c>
      <c r="D7" s="224"/>
      <c r="E7" s="211" t="s">
        <v>188</v>
      </c>
      <c r="F7" s="170"/>
      <c r="G7" s="239" t="str">
        <f>IFERROR(IFERROR(INDEX(NUTRIENTES!$A$8:$A$30,MATCH($C$7,NUTRIENTES!$B$8:$B$30,0)),""),"")</f>
        <v>VIT-A</v>
      </c>
      <c r="H7" s="170"/>
      <c r="I7" s="33"/>
      <c r="J7" s="33"/>
      <c r="K7" s="33"/>
      <c r="L7" s="33"/>
      <c r="M7" s="33"/>
      <c r="N7" s="33"/>
    </row>
    <row r="8" spans="1:14" ht="15.75" customHeight="1">
      <c r="A8" s="225" t="s">
        <v>317</v>
      </c>
      <c r="B8" s="225"/>
      <c r="C8" s="225"/>
      <c r="D8" s="225"/>
      <c r="E8" s="225"/>
      <c r="F8" s="225"/>
      <c r="G8" s="225"/>
      <c r="H8" s="225"/>
      <c r="I8" s="225"/>
      <c r="J8" s="225"/>
      <c r="K8" s="33"/>
      <c r="L8" s="33"/>
      <c r="M8" s="33"/>
      <c r="N8" s="33"/>
    </row>
    <row r="9" spans="1:14" ht="15.75" customHeight="1">
      <c r="A9" s="238" t="s">
        <v>421</v>
      </c>
      <c r="B9" s="152"/>
      <c r="C9" s="152"/>
      <c r="D9" s="152"/>
      <c r="E9" s="152"/>
      <c r="F9" s="152"/>
      <c r="G9" s="152"/>
      <c r="H9" s="152"/>
      <c r="I9" s="33"/>
      <c r="J9" s="33"/>
      <c r="K9" s="33"/>
      <c r="L9" s="33"/>
      <c r="M9" s="33"/>
      <c r="N9" s="33"/>
    </row>
    <row r="10" spans="1:14" ht="15.75" customHeight="1">
      <c r="A10" s="33"/>
      <c r="B10" s="33"/>
      <c r="C10" s="33"/>
      <c r="D10" s="33"/>
      <c r="E10" s="33"/>
      <c r="F10" s="33"/>
      <c r="G10" s="33"/>
      <c r="H10" s="33"/>
      <c r="I10" s="33"/>
      <c r="J10" s="33"/>
      <c r="K10" s="33"/>
      <c r="L10" s="33"/>
      <c r="M10" s="33"/>
      <c r="N10" s="33"/>
    </row>
    <row r="11" spans="1:14" ht="15" customHeight="1">
      <c r="A11" s="104" t="s">
        <v>422</v>
      </c>
      <c r="B11" s="104" t="s">
        <v>382</v>
      </c>
      <c r="C11" s="104" t="s">
        <v>423</v>
      </c>
      <c r="D11" s="104" t="s">
        <v>424</v>
      </c>
      <c r="E11" s="104" t="s">
        <v>425</v>
      </c>
      <c r="F11" s="104" t="s">
        <v>426</v>
      </c>
      <c r="G11" s="104" t="s">
        <v>158</v>
      </c>
      <c r="H11" s="104" t="s">
        <v>113</v>
      </c>
    </row>
    <row r="12" spans="1:14" ht="32.25" customHeight="1">
      <c r="A12" s="95" t="str">
        <f>IFERROR(INDEX(INTERACCIONES_BASE!C$2:C$36,MATCH(ROWS($A$12:$A12),INTERACCIONES_BASE!$K$2:$K$36,0)),"")</f>
        <v>Zinc</v>
      </c>
      <c r="B12" s="95" t="str">
        <f>IFERROR(INDEX(INTERACCIONES_BASE!D$2:D$36,MATCH(ROWS($A$12:$A12),INTERACCIONES_BASE!$K$2:$K$36,0)),"")</f>
        <v>Nutriente–nutriente</v>
      </c>
      <c r="C12" s="95" t="str">
        <f>IFERROR(INDEX(INTERACCIONES_BASE!E$2:E$36,MATCH(ROWS($A$12:$A12),INTERACCIONES_BASE!$K$2:$K$36,0)),"")</f>
        <v>Relación funcional</v>
      </c>
      <c r="D12" s="95" t="str">
        <f>IFERROR(INDEX(INTERACCIONES_BASE!F$2:F$36,MATCH(ROWS($A$12:$A12),INTERACCIONES_BASE!$K$2:$K$36,0)),"")</f>
        <v>El zinc participa en síntesis y transporte de proteína fijadora de retinol.</v>
      </c>
      <c r="E12" s="95" t="str">
        <f>IFERROR(INDEX(INTERACCIONES_BASE!G$2:G$36,MATCH(ROWS($A$12:$A12),INTERACCIONES_BASE!$K$2:$K$36,0)),"")</f>
        <v>Deficiencias múltiples pueden coexistir.</v>
      </c>
      <c r="F12" s="95" t="str">
        <f>IFERROR(INDEX(INTERACCIONES_BASE!H$2:H$36,MATCH(ROWS($A$12:$A12),INTERACCIONES_BASE!$K$2:$K$36,0)),"")</f>
        <v>Contextual</v>
      </c>
      <c r="G12" s="95" t="str">
        <f>IFERROR(INDEX(INTERACCIONES_BASE!I$2:I$36,MATCH(ROWS($A$12:$A12),INTERACCIONES_BASE!$K$2:$K$36,0)),"")</f>
        <v>SRC-ODS-VITA</v>
      </c>
      <c r="H12" s="95" t="str">
        <f>IFERROR(INDEX(INTERACCIONES_BASE!J$2:J$36,MATCH(ROWS($A$12:$A12),INTERACCIONES_BASE!$K$2:$K$36,0)),"")</f>
        <v>VERIFICADO</v>
      </c>
    </row>
    <row r="13" spans="1:14" ht="30.75" customHeight="1">
      <c r="A13" s="95" t="str">
        <f>IFERROR(INDEX(INTERACCIONES_BASE!C$2:C$36,MATCH(ROWS($A$12:$A13),INTERACCIONES_BASE!$K$2:$K$36,0)),"")</f>
        <v>Orlistat/colestiramina</v>
      </c>
      <c r="B13" s="95" t="str">
        <f>IFERROR(INDEX(INTERACCIONES_BASE!D$2:D$36,MATCH(ROWS($A$12:$A13),INTERACCIONES_BASE!$K$2:$K$36,0)),"")</f>
        <v>Medicamento–nutriente</v>
      </c>
      <c r="C13" s="95" t="str">
        <f>IFERROR(INDEX(INTERACCIONES_BASE!E$2:E$36,MATCH(ROWS($A$12:$A13),INTERACCIONES_BASE!$K$2:$K$36,0)),"")</f>
        <v>Reduce absorción</v>
      </c>
      <c r="D13" s="95" t="str">
        <f>IFERROR(INDEX(INTERACCIONES_BASE!F$2:F$36,MATCH(ROWS($A$12:$A13),INTERACCIONES_BASE!$K$2:$K$36,0)),"")</f>
        <v>Disminuyen absorción de grasas o ácidos biliares.</v>
      </c>
      <c r="E13" s="95" t="str">
        <f>IFERROR(INDEX(INTERACCIONES_BASE!G$2:G$36,MATCH(ROWS($A$12:$A13),INTERACCIONES_BASE!$K$2:$K$36,0)),"")</f>
        <v>Vigilar vitaminas liposolubles según indicación clínica.</v>
      </c>
      <c r="F13" s="95" t="str">
        <f>IFERROR(INDEX(INTERACCIONES_BASE!H$2:H$36,MATCH(ROWS($A$12:$A13),INTERACCIONES_BASE!$K$2:$K$36,0)),"")</f>
        <v>Alta</v>
      </c>
      <c r="G13" s="95" t="str">
        <f>IFERROR(INDEX(INTERACCIONES_BASE!I$2:I$36,MATCH(ROWS($A$12:$A13),INTERACCIONES_BASE!$K$2:$K$36,0)),"")</f>
        <v>SRC-ODS-VITA</v>
      </c>
      <c r="H13" s="95" t="str">
        <f>IFERROR(INDEX(INTERACCIONES_BASE!J$2:J$36,MATCH(ROWS($A$12:$A13),INTERACCIONES_BASE!$K$2:$K$36,0)),"")</f>
        <v>VERIFICADO</v>
      </c>
    </row>
    <row r="14" spans="1:14">
      <c r="A14" s="37" t="str">
        <f>IFERROR(INDEX(INTERACCIONES_BASE!C$2:C$36,MATCH(ROWS($A$12:$A14),INTERACCIONES_BASE!$K$2:$K$36,0)),"")</f>
        <v/>
      </c>
      <c r="B14" s="37" t="str">
        <f>IFERROR(INDEX(INTERACCIONES_BASE!D$2:D$36,MATCH(ROWS($A$12:$A14),INTERACCIONES_BASE!$K$2:$K$36,0)),"")</f>
        <v/>
      </c>
      <c r="C14" s="37" t="str">
        <f>IFERROR(INDEX(INTERACCIONES_BASE!E$2:E$36,MATCH(ROWS($A$12:$A14),INTERACCIONES_BASE!$K$2:$K$36,0)),"")</f>
        <v/>
      </c>
      <c r="D14" s="37" t="str">
        <f>IFERROR(INDEX(INTERACCIONES_BASE!F$2:F$36,MATCH(ROWS($A$12:$A14),INTERACCIONES_BASE!$K$2:$K$36,0)),"")</f>
        <v/>
      </c>
      <c r="E14" s="37" t="str">
        <f>IFERROR(INDEX(INTERACCIONES_BASE!G$2:G$36,MATCH(ROWS($A$12:$A14),INTERACCIONES_BASE!$K$2:$K$36,0)),"")</f>
        <v/>
      </c>
      <c r="F14" s="37" t="str">
        <f>IFERROR(INDEX(INTERACCIONES_BASE!H$2:H$36,MATCH(ROWS($A$12:$A14),INTERACCIONES_BASE!$K$2:$K$36,0)),"")</f>
        <v/>
      </c>
      <c r="G14" s="37" t="str">
        <f>IFERROR(INDEX(INTERACCIONES_BASE!I$2:I$36,MATCH(ROWS($A$12:$A14),INTERACCIONES_BASE!$K$2:$K$36,0)),"")</f>
        <v/>
      </c>
      <c r="H14" s="37" t="str">
        <f>IFERROR(INDEX(INTERACCIONES_BASE!J$2:J$36,MATCH(ROWS($A$12:$A14),INTERACCIONES_BASE!$K$2:$K$36,0)),"")</f>
        <v/>
      </c>
    </row>
    <row r="15" spans="1:14">
      <c r="A15" s="37"/>
      <c r="B15" s="37"/>
      <c r="C15" s="37"/>
      <c r="D15" s="37"/>
      <c r="E15" s="37"/>
      <c r="F15" s="37"/>
      <c r="G15" s="37"/>
      <c r="H15" s="37"/>
    </row>
    <row r="16" spans="1:14">
      <c r="A16" s="37"/>
      <c r="B16" s="37"/>
      <c r="C16" s="37"/>
      <c r="D16" s="37"/>
      <c r="E16" s="37"/>
      <c r="F16" s="37"/>
      <c r="G16" s="37"/>
      <c r="H16" s="37"/>
    </row>
    <row r="17" spans="1:8">
      <c r="A17" s="37"/>
      <c r="B17" s="37"/>
      <c r="C17" s="37"/>
      <c r="D17" s="37"/>
      <c r="E17" s="37"/>
      <c r="F17" s="37"/>
      <c r="G17" s="37"/>
      <c r="H17" s="37"/>
    </row>
    <row r="18" spans="1:8">
      <c r="A18" s="37"/>
      <c r="B18" s="37"/>
      <c r="C18" s="37"/>
      <c r="D18" s="37"/>
      <c r="E18" s="37"/>
      <c r="F18" s="37"/>
      <c r="G18" s="37"/>
      <c r="H18" s="37"/>
    </row>
    <row r="19" spans="1:8">
      <c r="A19" s="37"/>
      <c r="B19" s="37"/>
      <c r="C19" s="37"/>
      <c r="D19" s="37"/>
      <c r="E19" s="37"/>
      <c r="F19" s="37"/>
      <c r="G19" s="37"/>
      <c r="H19" s="37"/>
    </row>
    <row r="20" spans="1:8">
      <c r="A20" s="37"/>
      <c r="B20" s="37"/>
      <c r="C20" s="37"/>
      <c r="D20" s="37"/>
      <c r="E20" s="37"/>
      <c r="F20" s="37"/>
      <c r="G20" s="37"/>
      <c r="H20" s="37"/>
    </row>
    <row r="21" spans="1:8">
      <c r="A21" s="37"/>
      <c r="B21" s="37"/>
      <c r="C21" s="37"/>
      <c r="D21" s="37"/>
      <c r="E21" s="37"/>
      <c r="F21" s="37"/>
      <c r="G21" s="37"/>
      <c r="H21" s="37"/>
    </row>
    <row r="22" spans="1:8">
      <c r="A22" s="37"/>
      <c r="B22" s="37"/>
      <c r="C22" s="37"/>
      <c r="D22" s="37"/>
      <c r="E22" s="37"/>
      <c r="F22" s="37"/>
      <c r="G22" s="37"/>
      <c r="H22" s="37"/>
    </row>
    <row r="23" spans="1:8">
      <c r="A23" s="37"/>
      <c r="B23" s="37"/>
      <c r="C23" s="37"/>
      <c r="D23" s="37"/>
      <c r="E23" s="37"/>
      <c r="F23" s="37"/>
      <c r="G23" s="37"/>
      <c r="H23" s="37"/>
    </row>
    <row r="24" spans="1:8">
      <c r="A24" s="37"/>
      <c r="B24" s="37"/>
      <c r="C24" s="37"/>
      <c r="D24" s="37"/>
      <c r="E24" s="37"/>
      <c r="F24" s="37"/>
      <c r="G24" s="37"/>
      <c r="H24" s="37"/>
    </row>
    <row r="25" spans="1:8">
      <c r="A25" s="37"/>
      <c r="B25" s="37"/>
      <c r="C25" s="37"/>
      <c r="D25" s="37"/>
      <c r="E25" s="37"/>
      <c r="F25" s="37"/>
      <c r="G25" s="37"/>
      <c r="H25" s="37"/>
    </row>
    <row r="26" spans="1:8">
      <c r="A26" s="37"/>
      <c r="B26" s="37"/>
      <c r="C26" s="37"/>
      <c r="D26" s="37"/>
      <c r="E26" s="37"/>
      <c r="F26" s="37"/>
      <c r="G26" s="37"/>
      <c r="H26" s="37"/>
    </row>
    <row r="27" spans="1:8">
      <c r="A27" s="37"/>
      <c r="B27" s="37"/>
      <c r="C27" s="37"/>
      <c r="D27" s="37"/>
      <c r="E27" s="37"/>
      <c r="F27" s="37"/>
      <c r="G27" s="37"/>
      <c r="H27" s="37"/>
    </row>
    <row r="28" spans="1:8">
      <c r="A28" s="37"/>
      <c r="B28" s="37"/>
      <c r="C28" s="37"/>
      <c r="D28" s="37"/>
      <c r="E28" s="37"/>
      <c r="F28" s="37"/>
      <c r="G28" s="37"/>
      <c r="H28" s="37"/>
    </row>
    <row r="29" spans="1:8">
      <c r="A29" s="37"/>
      <c r="B29" s="37"/>
      <c r="C29" s="37"/>
      <c r="D29" s="37"/>
      <c r="E29" s="37"/>
      <c r="F29" s="37"/>
      <c r="G29" s="37"/>
      <c r="H29" s="37"/>
    </row>
    <row r="30" spans="1:8">
      <c r="A30" s="37"/>
      <c r="B30" s="37"/>
      <c r="C30" s="37"/>
      <c r="D30" s="37"/>
      <c r="E30" s="37"/>
      <c r="F30" s="37"/>
      <c r="G30" s="37"/>
      <c r="H30" s="37"/>
    </row>
    <row r="31" spans="1:8">
      <c r="A31" s="37"/>
      <c r="B31" s="37"/>
      <c r="C31" s="37"/>
      <c r="D31" s="37"/>
      <c r="E31" s="37"/>
      <c r="F31" s="37"/>
      <c r="G31" s="37"/>
      <c r="H31" s="37"/>
    </row>
    <row r="32" spans="1:8">
      <c r="A32" s="37"/>
      <c r="B32" s="37"/>
      <c r="C32" s="37"/>
      <c r="D32" s="37"/>
      <c r="E32" s="37"/>
      <c r="F32" s="37"/>
      <c r="G32" s="37"/>
      <c r="H32" s="37"/>
    </row>
    <row r="33" spans="1:8">
      <c r="A33" s="37"/>
      <c r="B33" s="37"/>
      <c r="C33" s="37"/>
      <c r="D33" s="37"/>
      <c r="E33" s="37"/>
      <c r="F33" s="37"/>
      <c r="G33" s="37"/>
      <c r="H33" s="37"/>
    </row>
    <row r="34" spans="1:8">
      <c r="A34" s="37"/>
      <c r="B34" s="37"/>
      <c r="C34" s="37"/>
      <c r="D34" s="37"/>
      <c r="E34" s="37"/>
      <c r="F34" s="37"/>
      <c r="G34" s="37"/>
      <c r="H34" s="37"/>
    </row>
    <row r="35" spans="1:8">
      <c r="A35" s="37"/>
      <c r="B35" s="37"/>
      <c r="C35" s="37"/>
      <c r="D35" s="37"/>
      <c r="E35" s="37"/>
      <c r="F35" s="37"/>
      <c r="G35" s="37"/>
      <c r="H35" s="37"/>
    </row>
    <row r="36" spans="1:8">
      <c r="A36" s="37"/>
      <c r="B36" s="37"/>
      <c r="C36" s="37"/>
      <c r="D36" s="37"/>
      <c r="E36" s="37"/>
      <c r="F36" s="37"/>
      <c r="G36" s="37"/>
      <c r="H36" s="37"/>
    </row>
    <row r="37" spans="1:8">
      <c r="A37" s="37"/>
      <c r="B37" s="37"/>
      <c r="C37" s="37"/>
      <c r="D37" s="37"/>
      <c r="E37" s="37"/>
      <c r="F37" s="37"/>
      <c r="G37" s="37"/>
      <c r="H37" s="37"/>
    </row>
    <row r="38" spans="1:8">
      <c r="A38" s="37"/>
      <c r="B38" s="37"/>
      <c r="C38" s="37"/>
      <c r="D38" s="37"/>
      <c r="E38" s="37"/>
      <c r="F38" s="37"/>
      <c r="G38" s="37"/>
      <c r="H38" s="37"/>
    </row>
    <row r="39" spans="1:8">
      <c r="A39" s="37"/>
      <c r="B39" s="37"/>
      <c r="C39" s="37"/>
      <c r="D39" s="37"/>
      <c r="E39" s="37"/>
      <c r="F39" s="37"/>
      <c r="G39" s="37"/>
      <c r="H39" s="37"/>
    </row>
    <row r="40" spans="1:8">
      <c r="A40" s="37"/>
      <c r="B40" s="37"/>
      <c r="C40" s="37"/>
      <c r="D40" s="37"/>
      <c r="E40" s="37"/>
      <c r="F40" s="37"/>
      <c r="G40" s="37"/>
      <c r="H40" s="37"/>
    </row>
    <row r="41" spans="1:8">
      <c r="A41" s="37"/>
      <c r="B41" s="37"/>
      <c r="C41" s="37"/>
      <c r="D41" s="37"/>
      <c r="E41" s="37"/>
      <c r="F41" s="37"/>
      <c r="G41" s="37"/>
      <c r="H41" s="37"/>
    </row>
    <row r="42" spans="1:8">
      <c r="A42" s="37"/>
      <c r="B42" s="37"/>
      <c r="C42" s="37"/>
      <c r="D42" s="37"/>
      <c r="E42" s="37"/>
      <c r="F42" s="37"/>
      <c r="G42" s="37"/>
      <c r="H42" s="37"/>
    </row>
    <row r="43" spans="1:8">
      <c r="A43" s="37"/>
      <c r="B43" s="37"/>
      <c r="C43" s="37"/>
      <c r="D43" s="37"/>
      <c r="E43" s="37"/>
      <c r="F43" s="37"/>
      <c r="G43" s="37"/>
      <c r="H43" s="37"/>
    </row>
    <row r="44" spans="1:8">
      <c r="A44" s="37"/>
      <c r="B44" s="37"/>
      <c r="C44" s="37"/>
      <c r="D44" s="37"/>
      <c r="E44" s="37"/>
      <c r="F44" s="37"/>
      <c r="G44" s="37"/>
      <c r="H44" s="37"/>
    </row>
    <row r="45" spans="1:8">
      <c r="A45" s="37"/>
      <c r="B45" s="37"/>
      <c r="C45" s="37"/>
      <c r="D45" s="37"/>
      <c r="E45" s="37"/>
      <c r="F45" s="37"/>
      <c r="G45" s="37"/>
      <c r="H45" s="37"/>
    </row>
    <row r="46" spans="1:8">
      <c r="A46" s="37"/>
      <c r="B46" s="37"/>
      <c r="C46" s="37"/>
      <c r="D46" s="37"/>
      <c r="E46" s="37"/>
      <c r="F46" s="37"/>
      <c r="G46" s="37"/>
      <c r="H46" s="37"/>
    </row>
    <row r="47" spans="1:8">
      <c r="A47" s="37"/>
      <c r="B47" s="37"/>
      <c r="C47" s="37"/>
      <c r="D47" s="37"/>
      <c r="E47" s="37"/>
      <c r="F47" s="37"/>
      <c r="G47" s="37"/>
      <c r="H47" s="37"/>
    </row>
    <row r="48" spans="1:8">
      <c r="A48" s="37"/>
      <c r="B48" s="37"/>
      <c r="C48" s="37"/>
      <c r="D48" s="37"/>
      <c r="E48" s="37"/>
      <c r="F48" s="37"/>
      <c r="G48" s="37"/>
      <c r="H48" s="37"/>
    </row>
    <row r="49" spans="1:8">
      <c r="A49" s="37"/>
      <c r="B49" s="37"/>
      <c r="C49" s="37"/>
      <c r="D49" s="37"/>
      <c r="E49" s="37"/>
      <c r="F49" s="37"/>
      <c r="G49" s="37"/>
      <c r="H49" s="37"/>
    </row>
    <row r="50" spans="1:8">
      <c r="A50" s="37"/>
      <c r="B50" s="37"/>
      <c r="C50" s="37"/>
      <c r="D50" s="37"/>
      <c r="E50" s="37"/>
      <c r="F50" s="37"/>
      <c r="G50" s="37"/>
      <c r="H50" s="37"/>
    </row>
    <row r="51" spans="1:8">
      <c r="A51" s="37"/>
      <c r="B51" s="37"/>
      <c r="C51" s="37"/>
      <c r="D51" s="37"/>
      <c r="E51" s="37"/>
      <c r="F51" s="37"/>
      <c r="G51" s="37"/>
      <c r="H51" s="37"/>
    </row>
    <row r="52" spans="1:8">
      <c r="A52" s="37"/>
      <c r="B52" s="37"/>
      <c r="C52" s="37"/>
      <c r="D52" s="37"/>
      <c r="E52" s="37"/>
      <c r="F52" s="37"/>
      <c r="G52" s="37"/>
      <c r="H52" s="37"/>
    </row>
    <row r="53" spans="1:8">
      <c r="A53" s="37"/>
      <c r="B53" s="37"/>
      <c r="C53" s="37"/>
      <c r="D53" s="37"/>
      <c r="E53" s="37"/>
      <c r="F53" s="37"/>
      <c r="G53" s="37"/>
      <c r="H53" s="37"/>
    </row>
    <row r="54" spans="1:8">
      <c r="A54" s="37"/>
      <c r="B54" s="37"/>
      <c r="C54" s="37"/>
      <c r="D54" s="37"/>
      <c r="E54" s="37"/>
      <c r="F54" s="37"/>
      <c r="G54" s="37"/>
      <c r="H54" s="37"/>
    </row>
    <row r="55" spans="1:8">
      <c r="A55" s="37"/>
      <c r="B55" s="37"/>
      <c r="C55" s="37"/>
      <c r="D55" s="37"/>
      <c r="E55" s="37"/>
      <c r="F55" s="37"/>
      <c r="G55" s="37"/>
      <c r="H55" s="37"/>
    </row>
    <row r="56" spans="1:8">
      <c r="A56" s="37"/>
      <c r="B56" s="37"/>
      <c r="C56" s="37"/>
      <c r="D56" s="37"/>
      <c r="E56" s="37"/>
      <c r="F56" s="37"/>
      <c r="G56" s="37"/>
      <c r="H56" s="37"/>
    </row>
    <row r="57" spans="1:8">
      <c r="A57" s="37"/>
      <c r="B57" s="37"/>
      <c r="C57" s="37"/>
      <c r="D57" s="37"/>
      <c r="E57" s="37"/>
      <c r="F57" s="37"/>
      <c r="G57" s="37"/>
      <c r="H57" s="37"/>
    </row>
    <row r="58" spans="1:8">
      <c r="A58" s="37"/>
      <c r="B58" s="37"/>
      <c r="C58" s="37"/>
      <c r="D58" s="37"/>
      <c r="E58" s="37"/>
      <c r="F58" s="37"/>
      <c r="G58" s="37"/>
      <c r="H58" s="37"/>
    </row>
    <row r="59" spans="1:8">
      <c r="A59" s="37"/>
      <c r="B59" s="37"/>
      <c r="C59" s="37"/>
      <c r="D59" s="37"/>
      <c r="E59" s="37"/>
      <c r="F59" s="37"/>
      <c r="G59" s="37"/>
      <c r="H59" s="37"/>
    </row>
    <row r="60" spans="1:8">
      <c r="A60" s="37"/>
      <c r="B60" s="37"/>
      <c r="C60" s="37"/>
      <c r="D60" s="37"/>
      <c r="E60" s="37"/>
      <c r="F60" s="37"/>
      <c r="G60" s="37"/>
      <c r="H60" s="37"/>
    </row>
  </sheetData>
  <mergeCells count="8">
    <mergeCell ref="A9:H9"/>
    <mergeCell ref="A1:N2"/>
    <mergeCell ref="A3:N3"/>
    <mergeCell ref="C7:D7"/>
    <mergeCell ref="A7:B7"/>
    <mergeCell ref="G7:H7"/>
    <mergeCell ref="E7:F7"/>
    <mergeCell ref="A8:J8"/>
  </mergeCells>
  <dataValidations count="1">
    <dataValidation type="list" sqref="C7" xr:uid="{00000000-0002-0000-0A00-000000000000}">
      <formula1>"Hierro,Zinc,Cobre,Calcio,Fósforo,Selenio,Potasio,Magnesio,Sodio,Cloruro,Vitamina A,Vitamina D,Vitamina E,Vitamina K,Vitamina C,Tiamina,Riboflavina,Niacina,Ácido pantoténico,Vitamina B6,Biotina,Folato,Cobalamina"</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0"/>
  <sheetViews>
    <sheetView showGridLines="0" workbookViewId="0">
      <selection activeCell="C7" sqref="C7:D7"/>
    </sheetView>
  </sheetViews>
  <sheetFormatPr baseColWidth="10" defaultColWidth="9" defaultRowHeight="14.25"/>
  <cols>
    <col min="1" max="1" width="28" style="30" customWidth="1"/>
    <col min="2" max="2" width="16" style="30" customWidth="1"/>
    <col min="3" max="3" width="32" style="30" customWidth="1"/>
    <col min="4" max="4" width="18" style="30" customWidth="1"/>
    <col min="5" max="5" width="43.875" style="30" customWidth="1"/>
    <col min="6" max="6" width="52.75" style="30" customWidth="1"/>
    <col min="7" max="8" width="22" style="30" customWidth="1"/>
    <col min="9" max="14" width="14" style="30" customWidth="1"/>
  </cols>
  <sheetData>
    <row r="1" spans="1:14">
      <c r="A1" s="155" t="s">
        <v>427</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428</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75" customHeight="1">
      <c r="A7" s="209" t="s">
        <v>314</v>
      </c>
      <c r="B7" s="178"/>
      <c r="C7" s="223" t="s">
        <v>226</v>
      </c>
      <c r="D7" s="240"/>
      <c r="E7" s="211" t="s">
        <v>188</v>
      </c>
      <c r="F7" s="178"/>
      <c r="G7" s="210" t="str">
        <f>IFERROR(IFERROR(INDEX(NUTRIENTES!$A$8:$A$30,MATCH($C$7,NUTRIENTES!$B$8:$B$30,0)),""),"")</f>
        <v>MIN-FE</v>
      </c>
      <c r="H7" s="178"/>
      <c r="I7" s="33"/>
      <c r="J7" s="33"/>
      <c r="K7" s="33"/>
      <c r="L7" s="33"/>
      <c r="M7" s="33"/>
      <c r="N7" s="33"/>
    </row>
    <row r="8" spans="1:14" ht="15.75" customHeight="1">
      <c r="A8" s="225" t="s">
        <v>317</v>
      </c>
      <c r="B8" s="225"/>
      <c r="C8" s="225"/>
      <c r="D8" s="225"/>
      <c r="E8" s="225"/>
      <c r="F8" s="225"/>
      <c r="G8" s="225"/>
      <c r="H8" s="225"/>
      <c r="I8" s="225"/>
      <c r="J8" s="225"/>
      <c r="K8" s="33"/>
      <c r="L8" s="33"/>
      <c r="M8" s="33"/>
      <c r="N8" s="33"/>
    </row>
    <row r="9" spans="1:14" ht="15.75" customHeight="1">
      <c r="A9" s="238" t="s">
        <v>429</v>
      </c>
      <c r="B9" s="152"/>
      <c r="C9" s="152"/>
      <c r="D9" s="152"/>
      <c r="E9" s="152"/>
      <c r="F9" s="152"/>
      <c r="G9" s="152"/>
      <c r="H9" s="152"/>
      <c r="I9" s="33"/>
      <c r="J9" s="33"/>
      <c r="K9" s="33"/>
      <c r="L9" s="33"/>
      <c r="M9" s="33"/>
      <c r="N9" s="33"/>
    </row>
    <row r="10" spans="1:14" ht="15.75" customHeight="1">
      <c r="A10" s="33"/>
      <c r="B10" s="33"/>
      <c r="C10" s="33"/>
      <c r="D10" s="33"/>
      <c r="E10" s="33"/>
      <c r="F10" s="33"/>
      <c r="G10" s="33"/>
      <c r="H10" s="33"/>
      <c r="I10" s="33"/>
      <c r="J10" s="33"/>
      <c r="K10" s="33"/>
      <c r="L10" s="33"/>
      <c r="M10" s="33"/>
      <c r="N10" s="33"/>
    </row>
    <row r="11" spans="1:14" ht="15" customHeight="1">
      <c r="A11" s="104" t="s">
        <v>430</v>
      </c>
      <c r="B11" s="104" t="s">
        <v>431</v>
      </c>
      <c r="C11" s="104" t="s">
        <v>432</v>
      </c>
      <c r="D11" s="104" t="s">
        <v>156</v>
      </c>
      <c r="E11" s="104" t="s">
        <v>433</v>
      </c>
      <c r="F11" s="104" t="s">
        <v>434</v>
      </c>
      <c r="G11" s="104" t="s">
        <v>158</v>
      </c>
      <c r="H11" s="104" t="s">
        <v>113</v>
      </c>
    </row>
    <row r="12" spans="1:14" ht="29.25" customHeight="1">
      <c r="A12" s="95" t="str">
        <f>IFERROR(INDEX(BIOMARCADORES_BASE!C$2:C$27,MATCH(ROWS($A$12:$A12),BIOMARCADORES_BASE!$K$2:$K$27,0)),"")</f>
        <v>Ferritina</v>
      </c>
      <c r="B12" s="95" t="str">
        <f>IFERROR(INDEX(BIOMARCADORES_BASE!D$2:D$27,MATCH(ROWS($A$12:$A12),BIOMARCADORES_BASE!$K$2:$K$27,0)),"")</f>
        <v>Suero</v>
      </c>
      <c r="C12" s="95" t="str">
        <f>IFERROR(INDEX(BIOMARCADORES_BASE!E$2:E$27,MATCH(ROWS($A$12:$A12),BIOMARCADORES_BASE!$K$2:$K$27,0)),"")</f>
        <v>Depósitos de hierro</v>
      </c>
      <c r="D12" s="95" t="str">
        <f>IFERROR(INDEX(BIOMARCADORES_BASE!F$2:F$27,MATCH(ROWS($A$12:$A12),BIOMARCADORES_BASE!$K$2:$K$27,0)),"")</f>
        <v>µg/L o ng/mL</v>
      </c>
      <c r="E12" s="95" t="str">
        <f>IFERROR(INDEX(BIOMARCADORES_BASE!G$2:G$27,MATCH(ROWS($A$12:$A12),BIOMARCADORES_BASE!$K$2:$K$27,0)),"")</f>
        <v>Valor bajo apoya depleción; usar criterio del laboratorio y población.</v>
      </c>
      <c r="F12" s="95" t="str">
        <f>IFERROR(INDEX(BIOMARCADORES_BASE!H$2:H$27,MATCH(ROWS($A$12:$A12),BIOMARCADORES_BASE!$K$2:$K$27,0)),"")</f>
        <v>Reactante de fase aguda; aumenta con inflamación, infección, hígado y obesidad.</v>
      </c>
      <c r="G12" s="95" t="str">
        <f>IFERROR(INDEX(BIOMARCADORES_BASE!I$2:I$27,MATCH(ROWS($A$12:$A12),BIOMARCADORES_BASE!$K$2:$K$27,0)),"")</f>
        <v>SRC-ODS-IRON</v>
      </c>
      <c r="H12" s="95" t="str">
        <f>IFERROR(INDEX(BIOMARCADORES_BASE!J$2:J$27,MATCH(ROWS($A$12:$A12),BIOMARCADORES_BASE!$K$2:$K$27,0)),"")</f>
        <v>VERIFICADO</v>
      </c>
    </row>
    <row r="13" spans="1:14" ht="29.25" customHeight="1">
      <c r="A13" s="95" t="str">
        <f>IFERROR(INDEX(BIOMARCADORES_BASE!C$2:C$27,MATCH(ROWS($A$12:$A13),BIOMARCADORES_BASE!$K$2:$K$27,0)),"")</f>
        <v>Saturación de transferrina</v>
      </c>
      <c r="B13" s="95" t="str">
        <f>IFERROR(INDEX(BIOMARCADORES_BASE!D$2:D$27,MATCH(ROWS($A$12:$A13),BIOMARCADORES_BASE!$K$2:$K$27,0)),"")</f>
        <v>Suero</v>
      </c>
      <c r="C13" s="95" t="str">
        <f>IFERROR(INDEX(BIOMARCADORES_BASE!E$2:E$27,MATCH(ROWS($A$12:$A13),BIOMARCADORES_BASE!$K$2:$K$27,0)),"")</f>
        <v>Hierro disponible para eritropoyesis</v>
      </c>
      <c r="D13" s="95" t="str">
        <f>IFERROR(INDEX(BIOMARCADORES_BASE!F$2:F$27,MATCH(ROWS($A$12:$A13),BIOMARCADORES_BASE!$K$2:$K$27,0)),"")</f>
        <v>%</v>
      </c>
      <c r="E13" s="95" t="str">
        <f>IFERROR(INDEX(BIOMARCADORES_BASE!G$2:G$27,MATCH(ROWS($A$12:$A13),BIOMARCADORES_BASE!$K$2:$K$27,0)),"")</f>
        <v>Interpretar con ferritina, hemograma y contexto.</v>
      </c>
      <c r="F13" s="95" t="str">
        <f>IFERROR(INDEX(BIOMARCADORES_BASE!H$2:H$27,MATCH(ROWS($A$12:$A13),BIOMARCADORES_BASE!$K$2:$K$27,0)),"")</f>
        <v>Varía con hierro sérico, hora y transferrina.</v>
      </c>
      <c r="G13" s="95" t="str">
        <f>IFERROR(INDEX(BIOMARCADORES_BASE!I$2:I$27,MATCH(ROWS($A$12:$A13),BIOMARCADORES_BASE!$K$2:$K$27,0)),"")</f>
        <v>SRC-ODS-IRON</v>
      </c>
      <c r="H13" s="95" t="str">
        <f>IFERROR(INDEX(BIOMARCADORES_BASE!J$2:J$27,MATCH(ROWS($A$12:$A13),BIOMARCADORES_BASE!$K$2:$K$27,0)),"")</f>
        <v>VERIFICADO</v>
      </c>
    </row>
    <row r="14" spans="1:14">
      <c r="A14" s="37" t="str">
        <f>IFERROR(INDEX(BIOMARCADORES_BASE!C$2:C$27,MATCH(ROWS($A$12:$A14),BIOMARCADORES_BASE!$K$2:$K$27,0)),"")</f>
        <v/>
      </c>
      <c r="B14" s="37" t="str">
        <f>IFERROR(INDEX(BIOMARCADORES_BASE!D$2:D$27,MATCH(ROWS($A$12:$A14),BIOMARCADORES_BASE!$K$2:$K$27,0)),"")</f>
        <v/>
      </c>
      <c r="C14" s="37" t="str">
        <f>IFERROR(INDEX(BIOMARCADORES_BASE!E$2:E$27,MATCH(ROWS($A$12:$A14),BIOMARCADORES_BASE!$K$2:$K$27,0)),"")</f>
        <v/>
      </c>
      <c r="D14" s="37" t="str">
        <f>IFERROR(INDEX(BIOMARCADORES_BASE!F$2:F$27,MATCH(ROWS($A$12:$A14),BIOMARCADORES_BASE!$K$2:$K$27,0)),"")</f>
        <v/>
      </c>
      <c r="E14" s="37" t="str">
        <f>IFERROR(INDEX(BIOMARCADORES_BASE!G$2:G$27,MATCH(ROWS($A$12:$A14),BIOMARCADORES_BASE!$K$2:$K$27,0)),"")</f>
        <v/>
      </c>
      <c r="F14" s="37" t="str">
        <f>IFERROR(INDEX(BIOMARCADORES_BASE!H$2:H$27,MATCH(ROWS($A$12:$A14),BIOMARCADORES_BASE!$K$2:$K$27,0)),"")</f>
        <v/>
      </c>
      <c r="G14" s="37" t="str">
        <f>IFERROR(INDEX(BIOMARCADORES_BASE!I$2:I$27,MATCH(ROWS($A$12:$A14),BIOMARCADORES_BASE!$K$2:$K$27,0)),"")</f>
        <v/>
      </c>
      <c r="H14" s="37" t="str">
        <f>IFERROR(INDEX(BIOMARCADORES_BASE!J$2:J$27,MATCH(ROWS($A$12:$A14),BIOMARCADORES_BASE!$K$2:$K$27,0)),"")</f>
        <v/>
      </c>
    </row>
    <row r="15" spans="1:14">
      <c r="A15" s="37"/>
      <c r="B15" s="37"/>
      <c r="C15" s="37"/>
      <c r="D15" s="37"/>
      <c r="E15" s="37"/>
      <c r="F15" s="37"/>
      <c r="G15" s="37"/>
      <c r="H15" s="37"/>
    </row>
    <row r="16" spans="1:14">
      <c r="A16" s="37"/>
      <c r="B16" s="37"/>
      <c r="C16" s="37"/>
      <c r="D16" s="37"/>
      <c r="E16" s="37"/>
      <c r="F16" s="37"/>
      <c r="G16" s="37"/>
      <c r="H16" s="37"/>
    </row>
    <row r="17" spans="1:8">
      <c r="A17" s="37"/>
      <c r="B17" s="37"/>
      <c r="C17" s="37"/>
      <c r="D17" s="37"/>
      <c r="E17" s="37"/>
      <c r="F17" s="37"/>
      <c r="G17" s="37"/>
      <c r="H17" s="37"/>
    </row>
    <row r="18" spans="1:8">
      <c r="A18" s="37"/>
      <c r="B18" s="37"/>
      <c r="C18" s="37"/>
      <c r="D18" s="37"/>
      <c r="E18" s="37"/>
      <c r="F18" s="37"/>
      <c r="G18" s="37"/>
      <c r="H18" s="37"/>
    </row>
    <row r="19" spans="1:8">
      <c r="A19" s="37"/>
      <c r="B19" s="37"/>
      <c r="C19" s="37"/>
      <c r="D19" s="37"/>
      <c r="E19" s="37"/>
      <c r="F19" s="37"/>
      <c r="G19" s="37"/>
      <c r="H19" s="37"/>
    </row>
    <row r="20" spans="1:8">
      <c r="A20" s="37"/>
      <c r="B20" s="37"/>
      <c r="C20" s="37"/>
      <c r="D20" s="37"/>
      <c r="E20" s="37"/>
      <c r="F20" s="37"/>
      <c r="G20" s="37"/>
      <c r="H20" s="37"/>
    </row>
    <row r="21" spans="1:8">
      <c r="A21" s="37"/>
      <c r="B21" s="37"/>
      <c r="C21" s="37"/>
      <c r="D21" s="37"/>
      <c r="E21" s="37"/>
      <c r="F21" s="37"/>
      <c r="G21" s="37"/>
      <c r="H21" s="37"/>
    </row>
    <row r="22" spans="1:8">
      <c r="A22" s="37"/>
      <c r="B22" s="37"/>
      <c r="C22" s="37"/>
      <c r="D22" s="37"/>
      <c r="E22" s="37"/>
      <c r="F22" s="37"/>
      <c r="G22" s="37"/>
      <c r="H22" s="37"/>
    </row>
    <row r="23" spans="1:8">
      <c r="A23" s="37"/>
      <c r="B23" s="37"/>
      <c r="C23" s="37"/>
      <c r="D23" s="37"/>
      <c r="E23" s="37"/>
      <c r="F23" s="37"/>
      <c r="G23" s="37"/>
      <c r="H23" s="37"/>
    </row>
    <row r="24" spans="1:8">
      <c r="A24" s="37"/>
      <c r="B24" s="37"/>
      <c r="C24" s="37"/>
      <c r="D24" s="37"/>
      <c r="E24" s="37"/>
      <c r="F24" s="37"/>
      <c r="G24" s="37"/>
      <c r="H24" s="37"/>
    </row>
    <row r="25" spans="1:8">
      <c r="A25" s="37"/>
      <c r="B25" s="37"/>
      <c r="C25" s="37"/>
      <c r="D25" s="37"/>
      <c r="E25" s="37"/>
      <c r="F25" s="37"/>
      <c r="G25" s="37"/>
      <c r="H25" s="37"/>
    </row>
    <row r="26" spans="1:8">
      <c r="A26" s="37"/>
      <c r="B26" s="37"/>
      <c r="C26" s="37"/>
      <c r="D26" s="37"/>
      <c r="E26" s="37"/>
      <c r="F26" s="37"/>
      <c r="G26" s="37"/>
      <c r="H26" s="37"/>
    </row>
    <row r="27" spans="1:8">
      <c r="A27" s="37"/>
      <c r="B27" s="37"/>
      <c r="C27" s="37"/>
      <c r="D27" s="37"/>
      <c r="E27" s="37"/>
      <c r="F27" s="37"/>
      <c r="G27" s="37"/>
      <c r="H27" s="37"/>
    </row>
    <row r="28" spans="1:8">
      <c r="A28" s="37"/>
      <c r="B28" s="37"/>
      <c r="C28" s="37"/>
      <c r="D28" s="37"/>
      <c r="E28" s="37"/>
      <c r="F28" s="37"/>
      <c r="G28" s="37"/>
      <c r="H28" s="37"/>
    </row>
    <row r="29" spans="1:8">
      <c r="A29" s="37"/>
      <c r="B29" s="37"/>
      <c r="C29" s="37"/>
      <c r="D29" s="37"/>
      <c r="E29" s="37"/>
      <c r="F29" s="37"/>
      <c r="G29" s="37"/>
      <c r="H29" s="37"/>
    </row>
    <row r="30" spans="1:8">
      <c r="A30" s="37"/>
      <c r="B30" s="37"/>
      <c r="C30" s="37"/>
      <c r="D30" s="37"/>
      <c r="E30" s="37"/>
      <c r="F30" s="37"/>
      <c r="G30" s="37"/>
      <c r="H30" s="37"/>
    </row>
    <row r="31" spans="1:8">
      <c r="A31" s="37"/>
      <c r="B31" s="37"/>
      <c r="C31" s="37"/>
      <c r="D31" s="37"/>
      <c r="E31" s="37"/>
      <c r="F31" s="37"/>
      <c r="G31" s="37"/>
      <c r="H31" s="37"/>
    </row>
    <row r="32" spans="1:8">
      <c r="A32" s="37"/>
      <c r="B32" s="37"/>
      <c r="C32" s="37"/>
      <c r="D32" s="37"/>
      <c r="E32" s="37"/>
      <c r="F32" s="37"/>
      <c r="G32" s="37"/>
      <c r="H32" s="37"/>
    </row>
    <row r="33" spans="1:8">
      <c r="A33" s="37"/>
      <c r="B33" s="37"/>
      <c r="C33" s="37"/>
      <c r="D33" s="37"/>
      <c r="E33" s="37"/>
      <c r="F33" s="37"/>
      <c r="G33" s="37"/>
      <c r="H33" s="37"/>
    </row>
    <row r="34" spans="1:8">
      <c r="A34" s="37"/>
      <c r="B34" s="37"/>
      <c r="C34" s="37"/>
      <c r="D34" s="37"/>
      <c r="E34" s="37"/>
      <c r="F34" s="37"/>
      <c r="G34" s="37"/>
      <c r="H34" s="37"/>
    </row>
    <row r="35" spans="1:8">
      <c r="A35" s="37"/>
      <c r="B35" s="37"/>
      <c r="C35" s="37"/>
      <c r="D35" s="37"/>
      <c r="E35" s="37"/>
      <c r="F35" s="37"/>
      <c r="G35" s="37"/>
      <c r="H35" s="37"/>
    </row>
    <row r="36" spans="1:8">
      <c r="A36" s="37"/>
      <c r="B36" s="37"/>
      <c r="C36" s="37"/>
      <c r="D36" s="37"/>
      <c r="E36" s="37"/>
      <c r="F36" s="37"/>
      <c r="G36" s="37"/>
      <c r="H36" s="37"/>
    </row>
    <row r="37" spans="1:8">
      <c r="A37" s="37"/>
      <c r="B37" s="37"/>
      <c r="C37" s="37"/>
      <c r="D37" s="37"/>
      <c r="E37" s="37"/>
      <c r="F37" s="37"/>
      <c r="G37" s="37"/>
      <c r="H37" s="37"/>
    </row>
    <row r="38" spans="1:8">
      <c r="A38" s="37"/>
      <c r="B38" s="37"/>
      <c r="C38" s="37"/>
      <c r="D38" s="37"/>
      <c r="E38" s="37"/>
      <c r="F38" s="37"/>
      <c r="G38" s="37"/>
      <c r="H38" s="37"/>
    </row>
    <row r="39" spans="1:8">
      <c r="A39" s="37"/>
      <c r="B39" s="37"/>
      <c r="C39" s="37"/>
      <c r="D39" s="37"/>
      <c r="E39" s="37"/>
      <c r="F39" s="37"/>
      <c r="G39" s="37"/>
      <c r="H39" s="37"/>
    </row>
    <row r="40" spans="1:8">
      <c r="A40" s="37"/>
      <c r="B40" s="37"/>
      <c r="C40" s="37"/>
      <c r="D40" s="37"/>
      <c r="E40" s="37"/>
      <c r="F40" s="37"/>
      <c r="G40" s="37"/>
      <c r="H40" s="37"/>
    </row>
    <row r="41" spans="1:8">
      <c r="A41" s="37"/>
      <c r="B41" s="37"/>
      <c r="C41" s="37"/>
      <c r="D41" s="37"/>
      <c r="E41" s="37"/>
      <c r="F41" s="37"/>
      <c r="G41" s="37"/>
      <c r="H41" s="37"/>
    </row>
    <row r="42" spans="1:8">
      <c r="A42" s="37"/>
      <c r="B42" s="37"/>
      <c r="C42" s="37"/>
      <c r="D42" s="37"/>
      <c r="E42" s="37"/>
      <c r="F42" s="37"/>
      <c r="G42" s="37"/>
      <c r="H42" s="37"/>
    </row>
    <row r="43" spans="1:8">
      <c r="A43" s="37"/>
      <c r="B43" s="37"/>
      <c r="C43" s="37"/>
      <c r="D43" s="37"/>
      <c r="E43" s="37"/>
      <c r="F43" s="37"/>
      <c r="G43" s="37"/>
      <c r="H43" s="37"/>
    </row>
    <row r="44" spans="1:8">
      <c r="A44" s="37"/>
      <c r="B44" s="37"/>
      <c r="C44" s="37"/>
      <c r="D44" s="37"/>
      <c r="E44" s="37"/>
      <c r="F44" s="37"/>
      <c r="G44" s="37"/>
      <c r="H44" s="37"/>
    </row>
    <row r="45" spans="1:8">
      <c r="A45" s="37"/>
      <c r="B45" s="37"/>
      <c r="C45" s="37"/>
      <c r="D45" s="37"/>
      <c r="E45" s="37"/>
      <c r="F45" s="37"/>
      <c r="G45" s="37"/>
      <c r="H45" s="37"/>
    </row>
    <row r="46" spans="1:8">
      <c r="A46" s="37"/>
      <c r="B46" s="37"/>
      <c r="C46" s="37"/>
      <c r="D46" s="37"/>
      <c r="E46" s="37"/>
      <c r="F46" s="37"/>
      <c r="G46" s="37"/>
      <c r="H46" s="37"/>
    </row>
    <row r="47" spans="1:8">
      <c r="A47" s="37"/>
      <c r="B47" s="37"/>
      <c r="C47" s="37"/>
      <c r="D47" s="37"/>
      <c r="E47" s="37"/>
      <c r="F47" s="37"/>
      <c r="G47" s="37"/>
      <c r="H47" s="37"/>
    </row>
    <row r="48" spans="1:8">
      <c r="A48" s="37"/>
      <c r="B48" s="37"/>
      <c r="C48" s="37"/>
      <c r="D48" s="37"/>
      <c r="E48" s="37"/>
      <c r="F48" s="37"/>
      <c r="G48" s="37"/>
      <c r="H48" s="37"/>
    </row>
    <row r="49" spans="1:8">
      <c r="A49" s="37"/>
      <c r="B49" s="37"/>
      <c r="C49" s="37"/>
      <c r="D49" s="37"/>
      <c r="E49" s="37"/>
      <c r="F49" s="37"/>
      <c r="G49" s="37"/>
      <c r="H49" s="37"/>
    </row>
    <row r="50" spans="1:8">
      <c r="A50" s="37"/>
      <c r="B50" s="37"/>
      <c r="C50" s="37"/>
      <c r="D50" s="37"/>
      <c r="E50" s="37"/>
      <c r="F50" s="37"/>
      <c r="G50" s="37"/>
      <c r="H50" s="37"/>
    </row>
    <row r="51" spans="1:8">
      <c r="A51" s="37"/>
      <c r="B51" s="37"/>
      <c r="C51" s="37"/>
      <c r="D51" s="37"/>
      <c r="E51" s="37"/>
      <c r="F51" s="37"/>
      <c r="G51" s="37"/>
      <c r="H51" s="37"/>
    </row>
    <row r="52" spans="1:8">
      <c r="A52" s="37"/>
      <c r="B52" s="37"/>
      <c r="C52" s="37"/>
      <c r="D52" s="37"/>
      <c r="E52" s="37"/>
      <c r="F52" s="37"/>
      <c r="G52" s="37"/>
      <c r="H52" s="37"/>
    </row>
    <row r="53" spans="1:8">
      <c r="A53" s="37"/>
      <c r="B53" s="37"/>
      <c r="C53" s="37"/>
      <c r="D53" s="37"/>
      <c r="E53" s="37"/>
      <c r="F53" s="37"/>
      <c r="G53" s="37"/>
      <c r="H53" s="37"/>
    </row>
    <row r="54" spans="1:8">
      <c r="A54" s="37"/>
      <c r="B54" s="37"/>
      <c r="C54" s="37"/>
      <c r="D54" s="37"/>
      <c r="E54" s="37"/>
      <c r="F54" s="37"/>
      <c r="G54" s="37"/>
      <c r="H54" s="37"/>
    </row>
    <row r="55" spans="1:8">
      <c r="A55" s="37"/>
      <c r="B55" s="37"/>
      <c r="C55" s="37"/>
      <c r="D55" s="37"/>
      <c r="E55" s="37"/>
      <c r="F55" s="37"/>
      <c r="G55" s="37"/>
      <c r="H55" s="37"/>
    </row>
    <row r="56" spans="1:8">
      <c r="A56" s="37"/>
      <c r="B56" s="37"/>
      <c r="C56" s="37"/>
      <c r="D56" s="37"/>
      <c r="E56" s="37"/>
      <c r="F56" s="37"/>
      <c r="G56" s="37"/>
      <c r="H56" s="37"/>
    </row>
    <row r="57" spans="1:8">
      <c r="A57" s="37"/>
      <c r="B57" s="37"/>
      <c r="C57" s="37"/>
      <c r="D57" s="37"/>
      <c r="E57" s="37"/>
      <c r="F57" s="37"/>
      <c r="G57" s="37"/>
      <c r="H57" s="37"/>
    </row>
    <row r="58" spans="1:8">
      <c r="A58" s="37"/>
      <c r="B58" s="37"/>
      <c r="C58" s="37"/>
      <c r="D58" s="37"/>
      <c r="E58" s="37"/>
      <c r="F58" s="37"/>
      <c r="G58" s="37"/>
      <c r="H58" s="37"/>
    </row>
    <row r="59" spans="1:8">
      <c r="A59" s="37"/>
      <c r="B59" s="37"/>
      <c r="C59" s="37"/>
      <c r="D59" s="37"/>
      <c r="E59" s="37"/>
      <c r="F59" s="37"/>
      <c r="G59" s="37"/>
      <c r="H59" s="37"/>
    </row>
    <row r="60" spans="1:8">
      <c r="A60" s="37"/>
      <c r="B60" s="37"/>
      <c r="C60" s="37"/>
      <c r="D60" s="37"/>
      <c r="E60" s="37"/>
      <c r="F60" s="37"/>
      <c r="G60" s="37"/>
      <c r="H60" s="37"/>
    </row>
  </sheetData>
  <mergeCells count="8">
    <mergeCell ref="A9:H9"/>
    <mergeCell ref="A1:N2"/>
    <mergeCell ref="A3:N3"/>
    <mergeCell ref="C7:D7"/>
    <mergeCell ref="A7:B7"/>
    <mergeCell ref="G7:H7"/>
    <mergeCell ref="E7:F7"/>
    <mergeCell ref="A8:J8"/>
  </mergeCells>
  <dataValidations count="1">
    <dataValidation type="list" sqref="C7" xr:uid="{00000000-0002-0000-0B00-000000000000}">
      <formula1>"Hierro,Zinc,Cobre,Calcio,Fósforo,Selenio,Potasio,Magnesio,Sodio,Cloruro,Vitamina A,Vitamina D,Vitamina E,Vitamina K,Vitamina C,Tiamina,Riboflavina,Niacina,Ácido pantoténico,Vitamina B6,Biotina,Folato,Cobalamina"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75"/>
  <sheetViews>
    <sheetView showGridLines="0" workbookViewId="0">
      <selection activeCell="K7" sqref="K7:N7"/>
    </sheetView>
  </sheetViews>
  <sheetFormatPr baseColWidth="10" defaultColWidth="9" defaultRowHeight="14.25"/>
  <cols>
    <col min="1" max="14" width="12" style="30" customWidth="1"/>
    <col min="15" max="15" width="2" customWidth="1"/>
  </cols>
  <sheetData>
    <row r="1" spans="1:15">
      <c r="A1" s="155" t="s">
        <v>435</v>
      </c>
      <c r="B1" s="152"/>
      <c r="C1" s="152"/>
      <c r="D1" s="152"/>
      <c r="E1" s="152"/>
      <c r="F1" s="152"/>
      <c r="G1" s="152"/>
      <c r="H1" s="152"/>
      <c r="I1" s="152"/>
      <c r="J1" s="152"/>
      <c r="K1" s="152"/>
      <c r="L1" s="152"/>
      <c r="M1" s="152"/>
      <c r="N1" s="152"/>
    </row>
    <row r="2" spans="1:15">
      <c r="A2" s="152"/>
      <c r="B2" s="152"/>
      <c r="C2" s="152"/>
      <c r="D2" s="152"/>
      <c r="E2" s="152"/>
      <c r="F2" s="152"/>
      <c r="G2" s="152"/>
      <c r="H2" s="152"/>
      <c r="I2" s="152"/>
      <c r="J2" s="152"/>
      <c r="K2" s="152"/>
      <c r="L2" s="152"/>
      <c r="M2" s="152"/>
      <c r="N2" s="152"/>
    </row>
    <row r="3" spans="1:15" ht="15" customHeight="1">
      <c r="A3" s="156" t="s">
        <v>7268</v>
      </c>
      <c r="B3" s="152"/>
      <c r="C3" s="152"/>
      <c r="D3" s="152"/>
      <c r="E3" s="152"/>
      <c r="F3" s="152"/>
      <c r="G3" s="152"/>
      <c r="H3" s="152"/>
      <c r="I3" s="152"/>
      <c r="J3" s="152"/>
      <c r="K3" s="152"/>
      <c r="L3" s="152"/>
      <c r="M3" s="152"/>
      <c r="N3" s="152"/>
    </row>
    <row r="5" spans="1:15">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c r="K5" s="152" t="str">
        <f>HYPERLINK("#'EJEMPLOS_CASOS'!A1","EJEMPLOS B / I / A")</f>
        <v>EJEMPLOS B / I / A</v>
      </c>
      <c r="L5" s="152"/>
      <c r="M5" s="152"/>
      <c r="N5" s="152"/>
    </row>
    <row r="7" spans="1:15" ht="15.75" customHeight="1">
      <c r="A7" s="256" t="s">
        <v>314</v>
      </c>
      <c r="B7" s="255"/>
      <c r="C7" s="252" t="s">
        <v>247</v>
      </c>
      <c r="D7" s="253"/>
      <c r="E7" s="254" t="s">
        <v>436</v>
      </c>
      <c r="F7" s="255"/>
      <c r="G7" s="257" t="str">
        <f>IFERROR(IFERROR(INDEX(NUTRIENTES!$A$8:$A$30,MATCH($C$7,NUTRIENTES!$B$8:$B$30,0)),""),"")</f>
        <v>MIN-SE</v>
      </c>
      <c r="H7" s="255"/>
      <c r="I7" s="256" t="s">
        <v>437</v>
      </c>
      <c r="J7" s="256"/>
      <c r="K7" s="258" t="s">
        <v>6149</v>
      </c>
      <c r="L7" s="258"/>
      <c r="M7" s="258"/>
      <c r="N7" s="258"/>
      <c r="O7" s="131"/>
    </row>
    <row r="8" spans="1:15" ht="24.95" customHeight="1">
      <c r="A8" s="259" t="str">
        <f>IF(OR($C$7="",$K$7=""),"Seleccione un nutriente y un nivel desde las listas desplegables.",IF(IFERROR(INDEX(CASOS_BASE!$P$2:$R$24,MATCH($G$7,CASOS_BASE!$O$2:$O$24,0),MATCH($K$7,CASOS_BASE!$P$1:$R$1,0)),"")="","No existe un caso "&amp;LOWER($K$7)&amp;" para "&amp;$C$7&amp;".","Caso cargado correctamente: "&amp;IFERROR(INDEX(CASOS_BASE!$P$2:$R$24,MATCH($G$7,CASOS_BASE!$O$2:$O$24,0),MATCH($K$7,CASOS_BASE!$P$1:$R$1,0)),"")))</f>
        <v>Caso cargado correctamente: CASO-SE-BAS</v>
      </c>
      <c r="B8" s="259"/>
      <c r="C8" s="259"/>
      <c r="D8" s="259"/>
      <c r="E8" s="259"/>
      <c r="F8" s="259"/>
      <c r="G8" s="259"/>
      <c r="H8" s="259"/>
      <c r="I8" s="259"/>
      <c r="J8" s="259"/>
      <c r="K8" s="259"/>
      <c r="L8" s="259"/>
      <c r="M8" s="259"/>
      <c r="N8" s="259"/>
    </row>
    <row r="9" spans="1:15" ht="15.75" customHeight="1">
      <c r="A9" s="33"/>
      <c r="B9" s="33"/>
      <c r="C9" s="33"/>
      <c r="D9" s="33"/>
      <c r="E9" s="33"/>
      <c r="F9" s="33"/>
      <c r="G9" s="33"/>
      <c r="H9" s="33"/>
      <c r="I9" s="33"/>
      <c r="J9" s="33"/>
      <c r="K9" s="33"/>
      <c r="L9" s="33"/>
      <c r="M9" s="33"/>
      <c r="N9" s="33"/>
    </row>
    <row r="10" spans="1:15" ht="15.75" customHeight="1">
      <c r="A10" s="241" t="s">
        <v>438</v>
      </c>
      <c r="B10" s="178"/>
      <c r="C10" s="178"/>
      <c r="D10" s="178"/>
      <c r="E10" s="178"/>
      <c r="F10" s="178"/>
      <c r="G10" s="178"/>
      <c r="H10" s="241" t="s">
        <v>439</v>
      </c>
      <c r="I10" s="178"/>
      <c r="J10" s="178"/>
      <c r="K10" s="178"/>
      <c r="L10" s="178"/>
      <c r="M10" s="178"/>
      <c r="N10" s="178"/>
    </row>
    <row r="11" spans="1:15" ht="27.95" customHeight="1">
      <c r="A11" s="248" t="str">
        <f>IFERROR(INDEX(CASOS_BASE!$D$2:$D$70,MATCH(IFERROR(INDEX(CASOS_BASE!$P$2:$R$24,MATCH($G$7,CASOS_BASE!$O$2:$O$24,0),MATCH($K$7,CASOS_BASE!$P$1:$R$1,0)),""),CASOS_BASE!$A$2:$A$70,0)),"")</f>
        <v>Adulto que consume nueces de Brasil todos los días junto con un suplemento de selenio.</v>
      </c>
      <c r="B11" s="247"/>
      <c r="C11" s="247"/>
      <c r="D11" s="247"/>
      <c r="E11" s="247"/>
      <c r="F11" s="247"/>
      <c r="G11" s="247"/>
      <c r="H11" s="248" t="str">
        <f>IFERROR(INDEX(CASOS_BASE!$E$2:$E$70,MATCH(IFERROR(INDEX(CASOS_BASE!$P$2:$R$24,MATCH($G$7,CASOS_BASE!$O$2:$O$24,0),MATCH($K$7,CASOS_BASE!$P$1:$R$1,0)),""),CASOS_BASE!$A$2:$A$70,0)),"")</f>
        <v>Busca mejorar la función tiroidea sin diagnóstico.</v>
      </c>
      <c r="I11" s="247"/>
      <c r="J11" s="247"/>
      <c r="K11" s="247"/>
      <c r="L11" s="247"/>
      <c r="M11" s="247"/>
      <c r="N11" s="247"/>
    </row>
    <row r="12" spans="1:15" ht="27.95" customHeight="1">
      <c r="A12" s="247"/>
      <c r="B12" s="247"/>
      <c r="C12" s="247"/>
      <c r="D12" s="247"/>
      <c r="E12" s="247"/>
      <c r="F12" s="247"/>
      <c r="G12" s="247"/>
      <c r="H12" s="247"/>
      <c r="I12" s="247"/>
      <c r="J12" s="247"/>
      <c r="K12" s="247"/>
      <c r="L12" s="247"/>
      <c r="M12" s="247"/>
      <c r="N12" s="247"/>
    </row>
    <row r="13" spans="1:15" ht="27.95" customHeight="1">
      <c r="A13" s="247"/>
      <c r="B13" s="247"/>
      <c r="C13" s="247"/>
      <c r="D13" s="247"/>
      <c r="E13" s="247"/>
      <c r="F13" s="247"/>
      <c r="G13" s="247"/>
      <c r="H13" s="247"/>
      <c r="I13" s="247"/>
      <c r="J13" s="247"/>
      <c r="K13" s="247"/>
      <c r="L13" s="247"/>
      <c r="M13" s="247"/>
      <c r="N13" s="247"/>
    </row>
    <row r="14" spans="1:15" ht="27.95" customHeight="1">
      <c r="A14" s="247"/>
      <c r="B14" s="247"/>
      <c r="C14" s="247"/>
      <c r="D14" s="247"/>
      <c r="E14" s="247"/>
      <c r="F14" s="247"/>
      <c r="G14" s="247"/>
      <c r="H14" s="247"/>
      <c r="I14" s="247"/>
      <c r="J14" s="247"/>
      <c r="K14" s="247"/>
      <c r="L14" s="247"/>
      <c r="M14" s="247"/>
      <c r="N14" s="247"/>
    </row>
    <row r="15" spans="1:15">
      <c r="A15" s="78"/>
      <c r="B15" s="78"/>
      <c r="C15" s="78"/>
      <c r="D15" s="78"/>
      <c r="E15" s="78"/>
      <c r="F15" s="78"/>
      <c r="G15" s="78"/>
      <c r="H15" s="78"/>
      <c r="I15" s="78"/>
      <c r="J15" s="78"/>
      <c r="K15" s="78"/>
      <c r="L15" s="78"/>
      <c r="M15" s="78"/>
      <c r="N15" s="78"/>
    </row>
    <row r="16" spans="1:15" ht="15" customHeight="1">
      <c r="A16" s="245" t="s">
        <v>440</v>
      </c>
      <c r="B16" s="178"/>
      <c r="C16" s="178"/>
      <c r="D16" s="178"/>
      <c r="E16" s="178"/>
      <c r="F16" s="178"/>
      <c r="G16" s="178"/>
      <c r="H16" s="245" t="s">
        <v>441</v>
      </c>
      <c r="I16" s="178"/>
      <c r="J16" s="178"/>
      <c r="K16" s="178"/>
      <c r="L16" s="178"/>
      <c r="M16" s="178"/>
      <c r="N16" s="178"/>
    </row>
    <row r="17" spans="1:14" ht="26.1" customHeight="1">
      <c r="A17" s="248" t="str">
        <f>IFERROR(INDEX(CASOS_BASE!$F$2:$F$70,MATCH(IFERROR(INDEX(CASOS_BASE!$P$2:$R$24,MATCH($G$7,CASOS_BASE!$O$2:$O$24,0),MATCH($K$7,CASOS_BASE!$P$1:$R$1,0)),""),CASOS_BASE!$A$2:$A$70,0)),"")</f>
        <v>Aporte muy concentrado y variable de selenio.</v>
      </c>
      <c r="B17" s="247"/>
      <c r="C17" s="247"/>
      <c r="D17" s="247"/>
      <c r="E17" s="247"/>
      <c r="F17" s="247"/>
      <c r="G17" s="247"/>
      <c r="H17" s="248" t="str">
        <f>IFERROR(INDEX(CASOS_BASE!$G$2:$G$70,MATCH(IFERROR(INDEX(CASOS_BASE!$P$2:$R$24,MATCH($G$7,CASOS_BASE!$O$2:$O$24,0),MATCH($K$7,CASOS_BASE!$P$1:$R$1,0)),""),CASOS_BASE!$A$2:$A$70,0)),"")</f>
        <v>Caída de cabello y fragilidad ungueal.</v>
      </c>
      <c r="I17" s="247"/>
      <c r="J17" s="247"/>
      <c r="K17" s="247"/>
      <c r="L17" s="247"/>
      <c r="M17" s="247"/>
      <c r="N17" s="247"/>
    </row>
    <row r="18" spans="1:14" ht="26.1" customHeight="1">
      <c r="A18" s="247"/>
      <c r="B18" s="247"/>
      <c r="C18" s="247"/>
      <c r="D18" s="247"/>
      <c r="E18" s="247"/>
      <c r="F18" s="247"/>
      <c r="G18" s="247"/>
      <c r="H18" s="247"/>
      <c r="I18" s="247"/>
      <c r="J18" s="247"/>
      <c r="K18" s="247"/>
      <c r="L18" s="247"/>
      <c r="M18" s="247"/>
      <c r="N18" s="247"/>
    </row>
    <row r="19" spans="1:14" ht="26.1" customHeight="1">
      <c r="A19" s="247"/>
      <c r="B19" s="247"/>
      <c r="C19" s="247"/>
      <c r="D19" s="247"/>
      <c r="E19" s="247"/>
      <c r="F19" s="247"/>
      <c r="G19" s="247"/>
      <c r="H19" s="247"/>
      <c r="I19" s="247"/>
      <c r="J19" s="247"/>
      <c r="K19" s="247"/>
      <c r="L19" s="247"/>
      <c r="M19" s="247"/>
      <c r="N19" s="247"/>
    </row>
    <row r="20" spans="1:14" ht="26.1" customHeight="1">
      <c r="A20" s="247"/>
      <c r="B20" s="247"/>
      <c r="C20" s="247"/>
      <c r="D20" s="247"/>
      <c r="E20" s="247"/>
      <c r="F20" s="247"/>
      <c r="G20" s="247"/>
      <c r="H20" s="247"/>
      <c r="I20" s="247"/>
      <c r="J20" s="247"/>
      <c r="K20" s="247"/>
      <c r="L20" s="247"/>
      <c r="M20" s="247"/>
      <c r="N20" s="247"/>
    </row>
    <row r="21" spans="1:14">
      <c r="A21" s="78"/>
      <c r="B21" s="78"/>
      <c r="C21" s="78"/>
      <c r="D21" s="78"/>
      <c r="E21" s="78"/>
      <c r="F21" s="78"/>
      <c r="G21" s="78"/>
      <c r="H21" s="78"/>
      <c r="I21" s="78"/>
      <c r="J21" s="78"/>
      <c r="K21" s="78"/>
      <c r="L21" s="78"/>
      <c r="M21" s="78"/>
      <c r="N21" s="78"/>
    </row>
    <row r="22" spans="1:14" ht="15" customHeight="1">
      <c r="A22" s="245" t="s">
        <v>442</v>
      </c>
      <c r="B22" s="178"/>
      <c r="C22" s="178"/>
      <c r="D22" s="178"/>
      <c r="E22" s="178"/>
      <c r="F22" s="178"/>
      <c r="G22" s="178"/>
      <c r="H22" s="245" t="s">
        <v>443</v>
      </c>
      <c r="I22" s="178"/>
      <c r="J22" s="178"/>
      <c r="K22" s="178"/>
      <c r="L22" s="178"/>
      <c r="M22" s="178"/>
      <c r="N22" s="178"/>
    </row>
    <row r="23" spans="1:14" ht="32.1" customHeight="1">
      <c r="A23" s="248" t="str">
        <f>IFERROR(INDEX(CASOS_BASE!$H$2:$H$70,MATCH(IFERROR(INDEX(CASOS_BASE!$P$2:$R$24,MATCH($G$7,CASOS_BASE!$O$2:$O$24,0),MATCH($K$7,CASOS_BASE!$P$1:$R$1,0)),""),CASOS_BASE!$A$2:$A$70,0)),"")</f>
        <v>Selenio elevado según laboratorio.</v>
      </c>
      <c r="B23" s="247"/>
      <c r="C23" s="247"/>
      <c r="D23" s="247"/>
      <c r="E23" s="247"/>
      <c r="F23" s="247"/>
      <c r="G23" s="247"/>
      <c r="H23" s="246" t="str">
        <f>IFERROR(INDEX(CASOS_BASE!$I$2:$I$70,MATCH(IFERROR(INDEX(CASOS_BASE!$P$2:$R$24,MATCH($G$7,CASOS_BASE!$O$2:$O$24,0),MATCH($K$7,CASOS_BASE!$P$1:$R$1,0)),""),CASOS_BASE!$A$2:$A$70,0)),"")</f>
        <v>1) ¿Qué cuadro debe considerarse? 2) ¿Por qué varía el contenido de las nueces? 3) ¿Qué suplementos deben revisarse?</v>
      </c>
      <c r="I23" s="247"/>
      <c r="J23" s="247"/>
      <c r="K23" s="247"/>
      <c r="L23" s="247"/>
      <c r="M23" s="247"/>
      <c r="N23" s="247"/>
    </row>
    <row r="24" spans="1:14" ht="32.1" customHeight="1">
      <c r="A24" s="247"/>
      <c r="B24" s="247"/>
      <c r="C24" s="247"/>
      <c r="D24" s="247"/>
      <c r="E24" s="247"/>
      <c r="F24" s="247"/>
      <c r="G24" s="247"/>
      <c r="H24" s="247"/>
      <c r="I24" s="247"/>
      <c r="J24" s="247"/>
      <c r="K24" s="247"/>
      <c r="L24" s="247"/>
      <c r="M24" s="247"/>
      <c r="N24" s="247"/>
    </row>
    <row r="25" spans="1:14" ht="32.1" customHeight="1">
      <c r="A25" s="247"/>
      <c r="B25" s="247"/>
      <c r="C25" s="247"/>
      <c r="D25" s="247"/>
      <c r="E25" s="247"/>
      <c r="F25" s="247"/>
      <c r="G25" s="247"/>
      <c r="H25" s="247"/>
      <c r="I25" s="247"/>
      <c r="J25" s="247"/>
      <c r="K25" s="247"/>
      <c r="L25" s="247"/>
      <c r="M25" s="247"/>
      <c r="N25" s="247"/>
    </row>
    <row r="26" spans="1:14" ht="32.1" customHeight="1">
      <c r="A26" s="247"/>
      <c r="B26" s="247"/>
      <c r="C26" s="247"/>
      <c r="D26" s="247"/>
      <c r="E26" s="247"/>
      <c r="F26" s="247"/>
      <c r="G26" s="247"/>
      <c r="H26" s="247"/>
      <c r="I26" s="247"/>
      <c r="J26" s="247"/>
      <c r="K26" s="247"/>
      <c r="L26" s="247"/>
      <c r="M26" s="247"/>
      <c r="N26" s="247"/>
    </row>
    <row r="27" spans="1:14">
      <c r="A27" s="78"/>
      <c r="B27" s="78"/>
      <c r="C27" s="78"/>
      <c r="D27" s="78"/>
      <c r="E27" s="78"/>
      <c r="F27" s="78"/>
      <c r="G27" s="78"/>
      <c r="H27" s="78"/>
      <c r="I27" s="78"/>
      <c r="J27" s="78"/>
      <c r="K27" s="78"/>
      <c r="L27" s="78"/>
      <c r="M27" s="78"/>
      <c r="N27" s="78"/>
    </row>
    <row r="28" spans="1:14" ht="15" customHeight="1">
      <c r="A28" s="245" t="s">
        <v>444</v>
      </c>
      <c r="B28" s="178"/>
      <c r="C28" s="178"/>
      <c r="D28" s="178"/>
      <c r="E28" s="178"/>
      <c r="F28" s="178"/>
      <c r="G28" s="178"/>
      <c r="H28" s="178"/>
      <c r="I28" s="178"/>
      <c r="J28" s="178"/>
      <c r="K28" s="178"/>
      <c r="L28" s="178"/>
      <c r="M28" s="178"/>
      <c r="N28" s="178"/>
    </row>
    <row r="29" spans="1:14" ht="26.1" customHeight="1">
      <c r="A29" s="249" t="str">
        <f>IFERROR(INDEX(CASOS_BASE!$J$2:$J$70,MATCH(IFERROR(INDEX(CASOS_BASE!$P$2:$R$24,MATCH($G$7,CASOS_BASE!$O$2:$O$24,0),MATCH($K$7,CASOS_BASE!$P$1:$R$1,0)),""),CASOS_BASE!$A$2:$A$70,0)),"")</f>
        <v>El exceso acumulado puede causar selenosis. El contenido de los alimentos varía según el suelo y la duplicación de suplementos aumenta el riesgo.</v>
      </c>
      <c r="B29" s="247"/>
      <c r="C29" s="247"/>
      <c r="D29" s="247"/>
      <c r="E29" s="247"/>
      <c r="F29" s="247"/>
      <c r="G29" s="247"/>
      <c r="H29" s="247"/>
      <c r="I29" s="247"/>
      <c r="J29" s="247"/>
      <c r="K29" s="247"/>
      <c r="L29" s="247"/>
      <c r="M29" s="247"/>
      <c r="N29" s="247"/>
    </row>
    <row r="30" spans="1:14" ht="26.1" customHeight="1">
      <c r="A30" s="247"/>
      <c r="B30" s="247"/>
      <c r="C30" s="247"/>
      <c r="D30" s="247"/>
      <c r="E30" s="247"/>
      <c r="F30" s="247"/>
      <c r="G30" s="247"/>
      <c r="H30" s="247"/>
      <c r="I30" s="247"/>
      <c r="J30" s="247"/>
      <c r="K30" s="247"/>
      <c r="L30" s="247"/>
      <c r="M30" s="247"/>
      <c r="N30" s="247"/>
    </row>
    <row r="31" spans="1:14" ht="26.1" customHeight="1">
      <c r="A31" s="247"/>
      <c r="B31" s="247"/>
      <c r="C31" s="247"/>
      <c r="D31" s="247"/>
      <c r="E31" s="247"/>
      <c r="F31" s="247"/>
      <c r="G31" s="247"/>
      <c r="H31" s="247"/>
      <c r="I31" s="247"/>
      <c r="J31" s="247"/>
      <c r="K31" s="247"/>
      <c r="L31" s="247"/>
      <c r="M31" s="247"/>
      <c r="N31" s="247"/>
    </row>
    <row r="32" spans="1:14" ht="26.1" customHeight="1">
      <c r="A32" s="247"/>
      <c r="B32" s="247"/>
      <c r="C32" s="247"/>
      <c r="D32" s="247"/>
      <c r="E32" s="247"/>
      <c r="F32" s="247"/>
      <c r="G32" s="247"/>
      <c r="H32" s="247"/>
      <c r="I32" s="247"/>
      <c r="J32" s="247"/>
      <c r="K32" s="247"/>
      <c r="L32" s="247"/>
      <c r="M32" s="247"/>
      <c r="N32" s="247"/>
    </row>
    <row r="33" spans="1:14" ht="26.1" customHeight="1">
      <c r="A33" s="247"/>
      <c r="B33" s="247"/>
      <c r="C33" s="247"/>
      <c r="D33" s="247"/>
      <c r="E33" s="247"/>
      <c r="F33" s="247"/>
      <c r="G33" s="247"/>
      <c r="H33" s="247"/>
      <c r="I33" s="247"/>
      <c r="J33" s="247"/>
      <c r="K33" s="247"/>
      <c r="L33" s="247"/>
      <c r="M33" s="247"/>
      <c r="N33" s="247"/>
    </row>
    <row r="34" spans="1:14" ht="26.1" customHeight="1">
      <c r="A34" s="247"/>
      <c r="B34" s="247"/>
      <c r="C34" s="247"/>
      <c r="D34" s="247"/>
      <c r="E34" s="247"/>
      <c r="F34" s="247"/>
      <c r="G34" s="247"/>
      <c r="H34" s="247"/>
      <c r="I34" s="247"/>
      <c r="J34" s="247"/>
      <c r="K34" s="247"/>
      <c r="L34" s="247"/>
      <c r="M34" s="247"/>
      <c r="N34" s="247"/>
    </row>
    <row r="36" spans="1:14">
      <c r="A36" s="242" t="s">
        <v>445</v>
      </c>
      <c r="B36" s="152"/>
      <c r="C36" s="152"/>
      <c r="D36" s="152"/>
      <c r="E36" s="152"/>
      <c r="F36" s="152"/>
      <c r="G36" s="152"/>
      <c r="H36" s="152"/>
      <c r="I36" s="152"/>
      <c r="J36" s="152"/>
      <c r="K36" s="152"/>
      <c r="L36" s="152"/>
      <c r="M36" s="152"/>
      <c r="N36" s="152"/>
    </row>
    <row r="37" spans="1:14">
      <c r="A37" s="152"/>
      <c r="B37" s="152"/>
      <c r="C37" s="152"/>
      <c r="D37" s="152"/>
      <c r="E37" s="152"/>
      <c r="F37" s="152"/>
      <c r="G37" s="152"/>
      <c r="H37" s="152"/>
      <c r="I37" s="152"/>
      <c r="J37" s="152"/>
      <c r="K37" s="152"/>
      <c r="L37" s="152"/>
      <c r="M37" s="152"/>
      <c r="N37" s="152"/>
    </row>
    <row r="38" spans="1:14" ht="24" customHeight="1">
      <c r="A38" s="243" t="str">
        <f>HYPERLINK("#'EJEMPLOS_CASOS'!A1","ABRIR TRES EJEMPLOS DESARROLLADOS: BÁSICO · INTERMEDIO · AVANZADO")</f>
        <v>ABRIR TRES EJEMPLOS DESARROLLADOS: BÁSICO · INTERMEDIO · AVANZADO</v>
      </c>
      <c r="B38" s="243"/>
      <c r="C38" s="243"/>
      <c r="D38" s="243"/>
      <c r="E38" s="243"/>
      <c r="F38" s="243"/>
      <c r="G38" s="243"/>
      <c r="H38" s="243"/>
      <c r="I38" s="243"/>
      <c r="J38" s="243"/>
      <c r="K38" s="243"/>
      <c r="L38" s="243"/>
      <c r="M38" s="243"/>
      <c r="N38" s="243"/>
    </row>
    <row r="40" spans="1:14" ht="15" customHeight="1">
      <c r="A40" s="244" t="s">
        <v>446</v>
      </c>
      <c r="B40" s="152"/>
      <c r="C40" s="152"/>
      <c r="D40" s="152"/>
      <c r="E40" s="152"/>
      <c r="F40" s="152"/>
      <c r="G40" s="152"/>
      <c r="H40" s="152"/>
      <c r="I40" s="152"/>
      <c r="J40" s="152"/>
      <c r="K40" s="152"/>
      <c r="L40" s="152"/>
      <c r="M40" s="152"/>
      <c r="N40" s="152"/>
    </row>
    <row r="42" spans="1:14">
      <c r="A42" s="231" t="str">
        <f>"APORTE"&amp;CHAR(10)&amp;IFERROR(INDEX(CALCULOS_ADECUACIÓN!$H$3:$H$25,MATCH($G$7,CALCULOS_ADECUACIÓN!$F$3:$F$25,0)),"ND")</f>
        <v>APORTE
279,94</v>
      </c>
      <c r="B42" s="152"/>
      <c r="C42" s="152"/>
      <c r="D42" s="231" t="str">
        <f>"OBJETIVO"&amp;CHAR(10)&amp;IFERROR(INDEX(CALCULOS_ADECUACIÓN!$J$3:$J$25,MATCH($G$7,CALCULOS_ADECUACIÓN!$F$3:$F$25,0)),"ND")</f>
        <v>OBJETIVO
55</v>
      </c>
      <c r="E42" s="152"/>
      <c r="F42" s="152"/>
      <c r="G42" s="231" t="str">
        <f>"ADECUACIÓN %"&amp;CHAR(10)&amp;IFERROR(INDEX(CALCULOS_ADECUACIÓN!$L$3:$L$25,MATCH($G$7,CALCULOS_ADECUACIÓN!$F$3:$F$25,0)),"ND")</f>
        <v>ADECUACIÓN %
508,981818181818</v>
      </c>
      <c r="H42" s="152"/>
      <c r="I42" s="152"/>
      <c r="J42" s="231" t="str">
        <f>"ESTADO"&amp;CHAR(10)&amp;IFERROR(INDEX(CALCULOS_ADECUACIÓN!$Q$3:$Q$25,MATCH($G$7,CALCULOS_ADECUACIÓN!$F$3:$F$25,0)),"ND")</f>
        <v>ESTADO
PARCIAL · 2 ND</v>
      </c>
      <c r="K42" s="152"/>
      <c r="L42" s="152"/>
      <c r="M42" s="152"/>
      <c r="N42" s="152"/>
    </row>
    <row r="43" spans="1:14">
      <c r="A43" s="152"/>
      <c r="B43" s="152"/>
      <c r="C43" s="152"/>
      <c r="D43" s="152"/>
      <c r="E43" s="152"/>
      <c r="F43" s="152"/>
      <c r="G43" s="152"/>
      <c r="H43" s="152"/>
      <c r="I43" s="152"/>
      <c r="J43" s="152"/>
      <c r="K43" s="152"/>
      <c r="L43" s="152"/>
      <c r="M43" s="152"/>
      <c r="N43" s="152"/>
    </row>
    <row r="44" spans="1:14">
      <c r="A44" s="152"/>
      <c r="B44" s="152"/>
      <c r="C44" s="152"/>
      <c r="D44" s="152"/>
      <c r="E44" s="152"/>
      <c r="F44" s="152"/>
      <c r="G44" s="152"/>
      <c r="H44" s="152"/>
      <c r="I44" s="152"/>
      <c r="J44" s="152"/>
      <c r="K44" s="152"/>
      <c r="L44" s="152"/>
      <c r="M44" s="152"/>
      <c r="N44" s="152"/>
    </row>
    <row r="45" spans="1:14">
      <c r="A45" s="152"/>
      <c r="B45" s="152"/>
      <c r="C45" s="152"/>
      <c r="D45" s="152"/>
      <c r="E45" s="152"/>
      <c r="F45" s="152"/>
      <c r="G45" s="152"/>
      <c r="H45" s="152"/>
      <c r="I45" s="152"/>
      <c r="J45" s="152"/>
      <c r="K45" s="152"/>
      <c r="L45" s="152"/>
      <c r="M45" s="152"/>
      <c r="N45" s="152"/>
    </row>
    <row r="47" spans="1:14">
      <c r="A47" s="260" t="s">
        <v>447</v>
      </c>
      <c r="B47" s="152"/>
      <c r="C47" s="152"/>
      <c r="D47" s="152"/>
      <c r="E47" s="152"/>
      <c r="F47" s="152"/>
      <c r="G47" s="152"/>
      <c r="H47" s="152"/>
      <c r="I47" s="152"/>
      <c r="J47" s="152"/>
      <c r="K47" s="152"/>
      <c r="L47" s="152"/>
      <c r="M47" s="152"/>
      <c r="N47" s="152"/>
    </row>
    <row r="48" spans="1:14">
      <c r="A48" s="152"/>
      <c r="B48" s="152"/>
      <c r="C48" s="152"/>
      <c r="D48" s="152"/>
      <c r="E48" s="152"/>
      <c r="F48" s="152"/>
      <c r="G48" s="152"/>
      <c r="H48" s="152"/>
      <c r="I48" s="152"/>
      <c r="J48" s="152"/>
      <c r="K48" s="152"/>
      <c r="L48" s="152"/>
      <c r="M48" s="152"/>
      <c r="N48" s="152"/>
    </row>
    <row r="49" spans="1:14" ht="26.1" customHeight="1">
      <c r="A49" s="250" t="s">
        <v>7269</v>
      </c>
      <c r="B49" s="250"/>
      <c r="C49" s="250"/>
      <c r="D49" s="250"/>
      <c r="E49" s="250"/>
      <c r="F49" s="250"/>
      <c r="G49" s="250"/>
      <c r="H49" s="250"/>
      <c r="I49" s="250"/>
      <c r="J49" s="250"/>
      <c r="K49" s="250"/>
      <c r="L49" s="250"/>
      <c r="M49" s="250"/>
      <c r="N49" s="250"/>
    </row>
    <row r="50" spans="1:14" ht="21.95" customHeight="1">
      <c r="A50" s="251" t="s">
        <v>7270</v>
      </c>
      <c r="B50" s="251"/>
      <c r="C50" s="251"/>
      <c r="D50" s="251" t="s">
        <v>7233</v>
      </c>
      <c r="E50" s="251"/>
      <c r="F50" s="251"/>
      <c r="G50" s="251" t="s">
        <v>7244</v>
      </c>
      <c r="H50" s="251"/>
      <c r="I50" s="251"/>
      <c r="J50" s="251" t="s">
        <v>7255</v>
      </c>
      <c r="K50" s="251"/>
      <c r="L50" s="251"/>
      <c r="M50" s="251"/>
      <c r="N50" s="251"/>
    </row>
    <row r="51" spans="1:14" ht="21.95" customHeight="1">
      <c r="A51" s="261" t="s">
        <v>226</v>
      </c>
      <c r="B51" s="261"/>
      <c r="C51" s="261"/>
      <c r="D51" s="262" t="s">
        <v>7271</v>
      </c>
      <c r="E51" s="262"/>
      <c r="F51" s="262"/>
      <c r="G51" s="263" t="s">
        <v>7272</v>
      </c>
      <c r="H51" s="263"/>
      <c r="I51" s="263"/>
      <c r="J51" s="264" t="s">
        <v>7273</v>
      </c>
      <c r="K51" s="264"/>
      <c r="L51" s="264"/>
      <c r="M51" s="264"/>
      <c r="N51" s="264"/>
    </row>
    <row r="52" spans="1:14" ht="21.95" customHeight="1">
      <c r="A52" s="261" t="s">
        <v>234</v>
      </c>
      <c r="B52" s="261"/>
      <c r="C52" s="261"/>
      <c r="D52" s="262" t="s">
        <v>7274</v>
      </c>
      <c r="E52" s="262"/>
      <c r="F52" s="262"/>
      <c r="G52" s="263" t="s">
        <v>7275</v>
      </c>
      <c r="H52" s="263"/>
      <c r="I52" s="263"/>
      <c r="J52" s="264" t="s">
        <v>7276</v>
      </c>
      <c r="K52" s="264"/>
      <c r="L52" s="264"/>
      <c r="M52" s="264"/>
      <c r="N52" s="264"/>
    </row>
    <row r="53" spans="1:14" ht="21.95" customHeight="1">
      <c r="A53" s="261" t="s">
        <v>237</v>
      </c>
      <c r="B53" s="261"/>
      <c r="C53" s="261"/>
      <c r="D53" s="262" t="s">
        <v>7277</v>
      </c>
      <c r="E53" s="262"/>
      <c r="F53" s="262"/>
      <c r="G53" s="263" t="s">
        <v>7278</v>
      </c>
      <c r="H53" s="263"/>
      <c r="I53" s="263"/>
      <c r="J53" s="264" t="s">
        <v>7279</v>
      </c>
      <c r="K53" s="264"/>
      <c r="L53" s="264"/>
      <c r="M53" s="264"/>
      <c r="N53" s="264"/>
    </row>
    <row r="54" spans="1:14" ht="21.95" customHeight="1">
      <c r="A54" s="261" t="s">
        <v>240</v>
      </c>
      <c r="B54" s="261"/>
      <c r="C54" s="261"/>
      <c r="D54" s="262" t="s">
        <v>7280</v>
      </c>
      <c r="E54" s="262"/>
      <c r="F54" s="262"/>
      <c r="G54" s="263" t="s">
        <v>7281</v>
      </c>
      <c r="H54" s="263"/>
      <c r="I54" s="263"/>
      <c r="J54" s="264" t="s">
        <v>7282</v>
      </c>
      <c r="K54" s="264"/>
      <c r="L54" s="264"/>
      <c r="M54" s="264"/>
      <c r="N54" s="264"/>
    </row>
    <row r="55" spans="1:14" ht="21.95" customHeight="1">
      <c r="A55" s="261" t="s">
        <v>244</v>
      </c>
      <c r="B55" s="261"/>
      <c r="C55" s="261"/>
      <c r="D55" s="262" t="s">
        <v>7283</v>
      </c>
      <c r="E55" s="262"/>
      <c r="F55" s="262"/>
      <c r="G55" s="263" t="s">
        <v>7284</v>
      </c>
      <c r="H55" s="263"/>
      <c r="I55" s="263"/>
      <c r="J55" s="264" t="s">
        <v>7285</v>
      </c>
      <c r="K55" s="264"/>
      <c r="L55" s="264"/>
      <c r="M55" s="264"/>
      <c r="N55" s="264"/>
    </row>
    <row r="56" spans="1:14" ht="21.95" customHeight="1">
      <c r="A56" s="261" t="s">
        <v>247</v>
      </c>
      <c r="B56" s="261"/>
      <c r="C56" s="261"/>
      <c r="D56" s="262" t="s">
        <v>7286</v>
      </c>
      <c r="E56" s="262"/>
      <c r="F56" s="262"/>
      <c r="G56" s="263" t="s">
        <v>7287</v>
      </c>
      <c r="H56" s="263"/>
      <c r="I56" s="263"/>
      <c r="J56" s="264" t="s">
        <v>7288</v>
      </c>
      <c r="K56" s="264"/>
      <c r="L56" s="264"/>
      <c r="M56" s="264"/>
      <c r="N56" s="264"/>
    </row>
    <row r="57" spans="1:14" ht="21.95" customHeight="1">
      <c r="A57" s="261" t="s">
        <v>251</v>
      </c>
      <c r="B57" s="261"/>
      <c r="C57" s="261"/>
      <c r="D57" s="262" t="s">
        <v>7289</v>
      </c>
      <c r="E57" s="262"/>
      <c r="F57" s="262"/>
      <c r="G57" s="263" t="s">
        <v>7290</v>
      </c>
      <c r="H57" s="263"/>
      <c r="I57" s="263"/>
      <c r="J57" s="264" t="s">
        <v>7291</v>
      </c>
      <c r="K57" s="264"/>
      <c r="L57" s="264"/>
      <c r="M57" s="264"/>
      <c r="N57" s="264"/>
    </row>
    <row r="58" spans="1:14" ht="21.95" customHeight="1">
      <c r="A58" s="261" t="s">
        <v>256</v>
      </c>
      <c r="B58" s="261"/>
      <c r="C58" s="261"/>
      <c r="D58" s="262" t="s">
        <v>7292</v>
      </c>
      <c r="E58" s="262"/>
      <c r="F58" s="262"/>
      <c r="G58" s="263" t="s">
        <v>7293</v>
      </c>
      <c r="H58" s="263"/>
      <c r="I58" s="263"/>
      <c r="J58" s="264" t="s">
        <v>7294</v>
      </c>
      <c r="K58" s="264"/>
      <c r="L58" s="264"/>
      <c r="M58" s="264"/>
      <c r="N58" s="264"/>
    </row>
    <row r="59" spans="1:14" ht="21.95" customHeight="1">
      <c r="A59" s="261" t="s">
        <v>259</v>
      </c>
      <c r="B59" s="261"/>
      <c r="C59" s="261"/>
      <c r="D59" s="262" t="s">
        <v>7295</v>
      </c>
      <c r="E59" s="262"/>
      <c r="F59" s="262"/>
      <c r="G59" s="263" t="s">
        <v>7296</v>
      </c>
      <c r="H59" s="263"/>
      <c r="I59" s="263"/>
      <c r="J59" s="264" t="s">
        <v>7297</v>
      </c>
      <c r="K59" s="264"/>
      <c r="L59" s="264"/>
      <c r="M59" s="264"/>
      <c r="N59" s="264"/>
    </row>
    <row r="60" spans="1:14" ht="21.95" customHeight="1">
      <c r="A60" s="261" t="s">
        <v>263</v>
      </c>
      <c r="B60" s="261"/>
      <c r="C60" s="261"/>
      <c r="D60" s="262" t="s">
        <v>7298</v>
      </c>
      <c r="E60" s="262"/>
      <c r="F60" s="262"/>
      <c r="G60" s="263" t="s">
        <v>7299</v>
      </c>
      <c r="H60" s="263"/>
      <c r="I60" s="263"/>
      <c r="J60" s="264" t="s">
        <v>7300</v>
      </c>
      <c r="K60" s="264"/>
      <c r="L60" s="264"/>
      <c r="M60" s="264"/>
      <c r="N60" s="264"/>
    </row>
    <row r="61" spans="1:14" ht="21.95" customHeight="1">
      <c r="A61" s="261" t="s">
        <v>267</v>
      </c>
      <c r="B61" s="261"/>
      <c r="C61" s="261"/>
      <c r="D61" s="262" t="s">
        <v>7301</v>
      </c>
      <c r="E61" s="262"/>
      <c r="F61" s="262"/>
      <c r="G61" s="263" t="s">
        <v>7302</v>
      </c>
      <c r="H61" s="263"/>
      <c r="I61" s="263"/>
      <c r="J61" s="264" t="s">
        <v>7303</v>
      </c>
      <c r="K61" s="264"/>
      <c r="L61" s="264"/>
      <c r="M61" s="264"/>
      <c r="N61" s="264"/>
    </row>
    <row r="62" spans="1:14" ht="21.95" customHeight="1">
      <c r="A62" s="261" t="s">
        <v>273</v>
      </c>
      <c r="B62" s="261"/>
      <c r="C62" s="261"/>
      <c r="D62" s="262" t="s">
        <v>7304</v>
      </c>
      <c r="E62" s="262"/>
      <c r="F62" s="262"/>
      <c r="G62" s="263" t="s">
        <v>7305</v>
      </c>
      <c r="H62" s="263"/>
      <c r="I62" s="263"/>
      <c r="J62" s="264" t="s">
        <v>7306</v>
      </c>
      <c r="K62" s="264"/>
      <c r="L62" s="264"/>
      <c r="M62" s="264"/>
      <c r="N62" s="264"/>
    </row>
    <row r="63" spans="1:14" ht="21.95" customHeight="1">
      <c r="A63" s="261" t="s">
        <v>276</v>
      </c>
      <c r="B63" s="261"/>
      <c r="C63" s="261"/>
      <c r="D63" s="262" t="s">
        <v>7307</v>
      </c>
      <c r="E63" s="262"/>
      <c r="F63" s="262"/>
      <c r="G63" s="263" t="s">
        <v>7308</v>
      </c>
      <c r="H63" s="263"/>
      <c r="I63" s="263"/>
      <c r="J63" s="264" t="s">
        <v>7309</v>
      </c>
      <c r="K63" s="264"/>
      <c r="L63" s="264"/>
      <c r="M63" s="264"/>
      <c r="N63" s="264"/>
    </row>
    <row r="64" spans="1:14" ht="21.95" customHeight="1">
      <c r="A64" s="261" t="s">
        <v>279</v>
      </c>
      <c r="B64" s="261"/>
      <c r="C64" s="261"/>
      <c r="D64" s="262" t="s">
        <v>7310</v>
      </c>
      <c r="E64" s="262"/>
      <c r="F64" s="262"/>
      <c r="G64" s="263" t="s">
        <v>7311</v>
      </c>
      <c r="H64" s="263"/>
      <c r="I64" s="263"/>
      <c r="J64" s="264" t="s">
        <v>7312</v>
      </c>
      <c r="K64" s="264"/>
      <c r="L64" s="264"/>
      <c r="M64" s="264"/>
      <c r="N64" s="264"/>
    </row>
    <row r="65" spans="1:14" ht="21.95" customHeight="1">
      <c r="A65" s="261" t="s">
        <v>281</v>
      </c>
      <c r="B65" s="261"/>
      <c r="C65" s="261"/>
      <c r="D65" s="262" t="s">
        <v>7313</v>
      </c>
      <c r="E65" s="262"/>
      <c r="F65" s="262"/>
      <c r="G65" s="263" t="s">
        <v>7314</v>
      </c>
      <c r="H65" s="263"/>
      <c r="I65" s="263"/>
      <c r="J65" s="264" t="s">
        <v>7315</v>
      </c>
      <c r="K65" s="264"/>
      <c r="L65" s="264"/>
      <c r="M65" s="264"/>
      <c r="N65" s="264"/>
    </row>
    <row r="66" spans="1:14" ht="21.95" customHeight="1">
      <c r="A66" s="261" t="s">
        <v>286</v>
      </c>
      <c r="B66" s="261"/>
      <c r="C66" s="261"/>
      <c r="D66" s="262" t="s">
        <v>7316</v>
      </c>
      <c r="E66" s="262"/>
      <c r="F66" s="262"/>
      <c r="G66" s="263" t="s">
        <v>7317</v>
      </c>
      <c r="H66" s="263"/>
      <c r="I66" s="263"/>
      <c r="J66" s="264" t="s">
        <v>7318</v>
      </c>
      <c r="K66" s="264"/>
      <c r="L66" s="264"/>
      <c r="M66" s="264"/>
      <c r="N66" s="264"/>
    </row>
    <row r="67" spans="1:14" ht="21.95" customHeight="1">
      <c r="A67" s="261" t="s">
        <v>290</v>
      </c>
      <c r="B67" s="261"/>
      <c r="C67" s="261"/>
      <c r="D67" s="262" t="s">
        <v>7319</v>
      </c>
      <c r="E67" s="262"/>
      <c r="F67" s="262"/>
      <c r="G67" s="263" t="s">
        <v>7320</v>
      </c>
      <c r="H67" s="263"/>
      <c r="I67" s="263"/>
      <c r="J67" s="264" t="s">
        <v>7321</v>
      </c>
      <c r="K67" s="264"/>
      <c r="L67" s="264"/>
      <c r="M67" s="264"/>
      <c r="N67" s="264"/>
    </row>
    <row r="68" spans="1:14" ht="21.95" customHeight="1">
      <c r="A68" s="261" t="s">
        <v>293</v>
      </c>
      <c r="B68" s="261"/>
      <c r="C68" s="261"/>
      <c r="D68" s="262" t="s">
        <v>7322</v>
      </c>
      <c r="E68" s="262"/>
      <c r="F68" s="262"/>
      <c r="G68" s="263" t="s">
        <v>7323</v>
      </c>
      <c r="H68" s="263"/>
      <c r="I68" s="263"/>
      <c r="J68" s="264" t="s">
        <v>7324</v>
      </c>
      <c r="K68" s="264"/>
      <c r="L68" s="264"/>
      <c r="M68" s="264"/>
      <c r="N68" s="264"/>
    </row>
    <row r="69" spans="1:14" ht="21.95" customHeight="1">
      <c r="A69" s="261" t="s">
        <v>297</v>
      </c>
      <c r="B69" s="261"/>
      <c r="C69" s="261"/>
      <c r="D69" s="262" t="s">
        <v>7325</v>
      </c>
      <c r="E69" s="262"/>
      <c r="F69" s="262"/>
      <c r="G69" s="263" t="s">
        <v>7326</v>
      </c>
      <c r="H69" s="263"/>
      <c r="I69" s="263"/>
      <c r="J69" s="264" t="s">
        <v>7327</v>
      </c>
      <c r="K69" s="264"/>
      <c r="L69" s="264"/>
      <c r="M69" s="264"/>
      <c r="N69" s="264"/>
    </row>
    <row r="70" spans="1:14" ht="21.95" customHeight="1">
      <c r="A70" s="261" t="s">
        <v>300</v>
      </c>
      <c r="B70" s="261"/>
      <c r="C70" s="261"/>
      <c r="D70" s="262" t="s">
        <v>7328</v>
      </c>
      <c r="E70" s="262"/>
      <c r="F70" s="262"/>
      <c r="G70" s="263" t="s">
        <v>7329</v>
      </c>
      <c r="H70" s="263"/>
      <c r="I70" s="263"/>
      <c r="J70" s="264" t="s">
        <v>7330</v>
      </c>
      <c r="K70" s="264"/>
      <c r="L70" s="264"/>
      <c r="M70" s="264"/>
      <c r="N70" s="264"/>
    </row>
    <row r="71" spans="1:14" ht="21.95" customHeight="1">
      <c r="A71" s="261" t="s">
        <v>303</v>
      </c>
      <c r="B71" s="261"/>
      <c r="C71" s="261"/>
      <c r="D71" s="262" t="s">
        <v>7331</v>
      </c>
      <c r="E71" s="262"/>
      <c r="F71" s="262"/>
      <c r="G71" s="263" t="s">
        <v>7332</v>
      </c>
      <c r="H71" s="263"/>
      <c r="I71" s="263"/>
      <c r="J71" s="264" t="s">
        <v>7333</v>
      </c>
      <c r="K71" s="264"/>
      <c r="L71" s="264"/>
      <c r="M71" s="264"/>
      <c r="N71" s="264"/>
    </row>
    <row r="72" spans="1:14" ht="21.95" customHeight="1">
      <c r="A72" s="261" t="s">
        <v>306</v>
      </c>
      <c r="B72" s="261"/>
      <c r="C72" s="261"/>
      <c r="D72" s="262" t="s">
        <v>7334</v>
      </c>
      <c r="E72" s="262"/>
      <c r="F72" s="262"/>
      <c r="G72" s="263" t="s">
        <v>7335</v>
      </c>
      <c r="H72" s="263"/>
      <c r="I72" s="263"/>
      <c r="J72" s="264" t="s">
        <v>7254</v>
      </c>
      <c r="K72" s="264"/>
      <c r="L72" s="264"/>
      <c r="M72" s="264"/>
      <c r="N72" s="264"/>
    </row>
    <row r="73" spans="1:14" ht="21.95" customHeight="1">
      <c r="A73" s="261" t="s">
        <v>310</v>
      </c>
      <c r="B73" s="261"/>
      <c r="C73" s="261"/>
      <c r="D73" s="262" t="s">
        <v>7336</v>
      </c>
      <c r="E73" s="262"/>
      <c r="F73" s="262"/>
      <c r="G73" s="263" t="s">
        <v>7337</v>
      </c>
      <c r="H73" s="263"/>
      <c r="I73" s="263"/>
      <c r="J73" s="264" t="s">
        <v>7338</v>
      </c>
      <c r="K73" s="264"/>
      <c r="L73" s="264"/>
      <c r="M73" s="264"/>
      <c r="N73" s="264"/>
    </row>
    <row r="75" spans="1:14" ht="30" customHeight="1">
      <c r="A75" s="265" t="s">
        <v>7339</v>
      </c>
      <c r="B75" s="265"/>
      <c r="C75" s="265"/>
      <c r="D75" s="265"/>
      <c r="E75" s="265"/>
      <c r="F75" s="265"/>
      <c r="G75" s="265"/>
      <c r="H75" s="265"/>
      <c r="I75" s="265"/>
      <c r="J75" s="265"/>
      <c r="K75" s="265"/>
      <c r="L75" s="265"/>
      <c r="M75" s="265"/>
      <c r="N75" s="265"/>
    </row>
  </sheetData>
  <mergeCells count="129">
    <mergeCell ref="A73:C73"/>
    <mergeCell ref="D73:F73"/>
    <mergeCell ref="G73:I73"/>
    <mergeCell ref="J73:N73"/>
    <mergeCell ref="A75:N75"/>
    <mergeCell ref="A71:C71"/>
    <mergeCell ref="D71:F71"/>
    <mergeCell ref="G71:I71"/>
    <mergeCell ref="J71:N71"/>
    <mergeCell ref="A72:C72"/>
    <mergeCell ref="D72:F72"/>
    <mergeCell ref="G72:I72"/>
    <mergeCell ref="J72:N72"/>
    <mergeCell ref="A69:C69"/>
    <mergeCell ref="D69:F69"/>
    <mergeCell ref="G69:I69"/>
    <mergeCell ref="J69:N69"/>
    <mergeCell ref="A70:C70"/>
    <mergeCell ref="D70:F70"/>
    <mergeCell ref="G70:I70"/>
    <mergeCell ref="J70:N70"/>
    <mergeCell ref="A67:C67"/>
    <mergeCell ref="D67:F67"/>
    <mergeCell ref="G67:I67"/>
    <mergeCell ref="J67:N67"/>
    <mergeCell ref="A68:C68"/>
    <mergeCell ref="D68:F68"/>
    <mergeCell ref="G68:I68"/>
    <mergeCell ref="J68:N68"/>
    <mergeCell ref="A65:C65"/>
    <mergeCell ref="D65:F65"/>
    <mergeCell ref="G65:I65"/>
    <mergeCell ref="J65:N65"/>
    <mergeCell ref="A66:C66"/>
    <mergeCell ref="D66:F66"/>
    <mergeCell ref="G66:I66"/>
    <mergeCell ref="J66:N66"/>
    <mergeCell ref="A63:C63"/>
    <mergeCell ref="D63:F63"/>
    <mergeCell ref="G63:I63"/>
    <mergeCell ref="J63:N63"/>
    <mergeCell ref="A64:C64"/>
    <mergeCell ref="D64:F64"/>
    <mergeCell ref="G64:I64"/>
    <mergeCell ref="J64:N64"/>
    <mergeCell ref="A61:C61"/>
    <mergeCell ref="D61:F61"/>
    <mergeCell ref="G61:I61"/>
    <mergeCell ref="J61:N61"/>
    <mergeCell ref="A62:C62"/>
    <mergeCell ref="D62:F62"/>
    <mergeCell ref="G62:I62"/>
    <mergeCell ref="J62:N62"/>
    <mergeCell ref="A59:C59"/>
    <mergeCell ref="D59:F59"/>
    <mergeCell ref="G59:I59"/>
    <mergeCell ref="J59:N59"/>
    <mergeCell ref="A60:C60"/>
    <mergeCell ref="D60:F60"/>
    <mergeCell ref="G60:I60"/>
    <mergeCell ref="J60:N60"/>
    <mergeCell ref="A57:C57"/>
    <mergeCell ref="D57:F57"/>
    <mergeCell ref="G57:I57"/>
    <mergeCell ref="J57:N57"/>
    <mergeCell ref="A58:C58"/>
    <mergeCell ref="D58:F58"/>
    <mergeCell ref="G58:I58"/>
    <mergeCell ref="J58:N58"/>
    <mergeCell ref="A55:C55"/>
    <mergeCell ref="D55:F55"/>
    <mergeCell ref="G55:I55"/>
    <mergeCell ref="J55:N55"/>
    <mergeCell ref="A56:C56"/>
    <mergeCell ref="D56:F56"/>
    <mergeCell ref="G56:I56"/>
    <mergeCell ref="J56:N56"/>
    <mergeCell ref="A53:C53"/>
    <mergeCell ref="D53:F53"/>
    <mergeCell ref="G53:I53"/>
    <mergeCell ref="J53:N53"/>
    <mergeCell ref="A54:C54"/>
    <mergeCell ref="D54:F54"/>
    <mergeCell ref="G54:I54"/>
    <mergeCell ref="J54:N54"/>
    <mergeCell ref="A51:C51"/>
    <mergeCell ref="D51:F51"/>
    <mergeCell ref="G51:I51"/>
    <mergeCell ref="J51:N51"/>
    <mergeCell ref="A52:C52"/>
    <mergeCell ref="D52:F52"/>
    <mergeCell ref="G52:I52"/>
    <mergeCell ref="J52:N52"/>
    <mergeCell ref="A49:N49"/>
    <mergeCell ref="A50:C50"/>
    <mergeCell ref="D50:F50"/>
    <mergeCell ref="G50:I50"/>
    <mergeCell ref="J50:N50"/>
    <mergeCell ref="A16:G16"/>
    <mergeCell ref="A42:C45"/>
    <mergeCell ref="A1:N2"/>
    <mergeCell ref="C7:D7"/>
    <mergeCell ref="E7:F7"/>
    <mergeCell ref="H16:N16"/>
    <mergeCell ref="A28:N28"/>
    <mergeCell ref="A3:N3"/>
    <mergeCell ref="A23:G26"/>
    <mergeCell ref="A7:B7"/>
    <mergeCell ref="G7:H7"/>
    <mergeCell ref="I7:J7"/>
    <mergeCell ref="K7:N7"/>
    <mergeCell ref="K5:N5"/>
    <mergeCell ref="A8:N8"/>
    <mergeCell ref="A47:N48"/>
    <mergeCell ref="G42:I45"/>
    <mergeCell ref="H17:N20"/>
    <mergeCell ref="H11:N14"/>
    <mergeCell ref="H10:N10"/>
    <mergeCell ref="D42:F45"/>
    <mergeCell ref="A10:G10"/>
    <mergeCell ref="A36:N38"/>
    <mergeCell ref="A40:N40"/>
    <mergeCell ref="H22:N22"/>
    <mergeCell ref="A22:G22"/>
    <mergeCell ref="H23:N26"/>
    <mergeCell ref="A11:G14"/>
    <mergeCell ref="J42:N45"/>
    <mergeCell ref="A17:G20"/>
    <mergeCell ref="A29:N34"/>
  </mergeCells>
  <conditionalFormatting sqref="K7:N7">
    <cfRule type="expression" dxfId="23" priority="1">
      <formula>$K$7="Básico"</formula>
    </cfRule>
    <cfRule type="expression" dxfId="22" priority="2">
      <formula>$K$7="Intermedio"</formula>
    </cfRule>
    <cfRule type="expression" dxfId="21" priority="3">
      <formula>$K$7="Avanzado"</formula>
    </cfRule>
  </conditionalFormatting>
  <dataValidations count="2">
    <dataValidation type="list" sqref="C7" xr:uid="{00000000-0002-0000-0C00-000000000000}">
      <formula1>"Hierro,Zinc,Cobre,Calcio,Fósforo,Selenio,Potasio,Magnesio,Sodio,Cloruro,Vitamina A,Vitamina D,Vitamina E,Vitamina K,Vitamina C,Tiamina,Riboflavina,Niacina,Ácido pantoténico,Vitamina B6,Biotina,Folato,Cobalamina"</formula1>
    </dataValidation>
    <dataValidation type="list" sqref="K7" xr:uid="{00000000-0002-0000-0C00-000001000000}">
      <formula1>"Básico,Intermedio,Avanzado"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6"/>
  <sheetViews>
    <sheetView topLeftCell="A19" zoomScale="85" zoomScaleNormal="85" workbookViewId="0">
      <selection activeCell="A9" sqref="A9:C12"/>
    </sheetView>
  </sheetViews>
  <sheetFormatPr baseColWidth="10" defaultColWidth="9" defaultRowHeight="14.25"/>
  <cols>
    <col min="1" max="7" width="19" style="30" customWidth="1"/>
    <col min="8" max="8" width="20.25" style="30" customWidth="1"/>
    <col min="9" max="14" width="14" style="30" customWidth="1"/>
  </cols>
  <sheetData>
    <row r="1" spans="1:14">
      <c r="A1" s="155" t="s">
        <v>448</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449</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1"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26.1" customHeight="1">
      <c r="A7" s="171" t="s">
        <v>450</v>
      </c>
      <c r="B7" s="152"/>
      <c r="C7" s="152"/>
      <c r="D7" s="152"/>
      <c r="E7" s="152"/>
      <c r="F7" s="152"/>
      <c r="G7" s="152"/>
      <c r="H7" s="152"/>
      <c r="I7" s="152"/>
      <c r="J7" s="152"/>
      <c r="K7" s="152"/>
      <c r="L7" s="152"/>
      <c r="M7" s="152"/>
      <c r="N7" s="152"/>
    </row>
    <row r="8" spans="1:14" ht="15.75" customHeight="1">
      <c r="A8" s="33"/>
      <c r="B8" s="33"/>
      <c r="C8" s="33"/>
      <c r="D8" s="33"/>
      <c r="E8" s="33"/>
      <c r="F8" s="33"/>
      <c r="G8" s="33"/>
      <c r="H8" s="33"/>
      <c r="I8" s="33"/>
      <c r="J8" s="33"/>
      <c r="K8" s="33"/>
      <c r="L8" s="33"/>
      <c r="M8" s="33"/>
      <c r="N8" s="33"/>
    </row>
    <row r="9" spans="1:14" ht="15.75" customHeight="1">
      <c r="A9" s="158" t="str">
        <f>"ENERGÍA SELECCIONADA"&amp;CHAR(10)&amp;TEXT(CALCULOS_ENERGÍA!B23,"0.0")&amp;" kcal/d"</f>
        <v>ENERGÍA SELECCIONADA
2.106 kcal/d</v>
      </c>
      <c r="B9" s="152"/>
      <c r="C9" s="152"/>
      <c r="D9" s="33"/>
      <c r="E9" s="158" t="str">
        <f>"MÉTODO"&amp;CHAR(10)&amp;CALCULOS_ENERGÍA!B22</f>
        <v>MÉTODO
Schofield × PAL</v>
      </c>
      <c r="F9" s="152"/>
      <c r="G9" s="152"/>
      <c r="H9" s="33"/>
      <c r="I9" s="158" t="str">
        <f>"CIERRE DE MACROS"&amp;CHAR(10)&amp;CALCULOS_NUTRIENTES!B28</f>
        <v>CIERRE DE MACROS
CIERRE CORRECTO</v>
      </c>
      <c r="J9" s="152"/>
      <c r="K9" s="152"/>
      <c r="L9" s="33"/>
      <c r="M9" s="158" t="str">
        <f>"DATOS ND"&amp;CHAR(10)&amp;COUNTIF(F17:F23,"NO EVALUABLE")</f>
        <v>DATOS ND
0</v>
      </c>
      <c r="N9" s="152"/>
    </row>
    <row r="10" spans="1:14" ht="15.75" customHeight="1">
      <c r="A10" s="152"/>
      <c r="B10" s="152"/>
      <c r="C10" s="152"/>
      <c r="D10" s="33"/>
      <c r="E10" s="152"/>
      <c r="F10" s="152"/>
      <c r="G10" s="152"/>
      <c r="H10" s="33"/>
      <c r="I10" s="152"/>
      <c r="J10" s="152"/>
      <c r="K10" s="152"/>
      <c r="L10" s="33"/>
      <c r="M10" s="152"/>
      <c r="N10" s="152"/>
    </row>
    <row r="11" spans="1:14">
      <c r="A11" s="152"/>
      <c r="B11" s="152"/>
      <c r="C11" s="152"/>
      <c r="E11" s="152"/>
      <c r="F11" s="152"/>
      <c r="G11" s="152"/>
      <c r="I11" s="152"/>
      <c r="J11" s="152"/>
      <c r="K11" s="152"/>
      <c r="M11" s="152"/>
      <c r="N11" s="152"/>
    </row>
    <row r="12" spans="1:14">
      <c r="A12" s="152"/>
      <c r="B12" s="152"/>
      <c r="C12" s="152"/>
      <c r="E12" s="152"/>
      <c r="F12" s="152"/>
      <c r="G12" s="152"/>
      <c r="I12" s="152"/>
      <c r="J12" s="152"/>
      <c r="K12" s="152"/>
      <c r="M12" s="152"/>
      <c r="N12" s="152"/>
    </row>
    <row r="16" spans="1:14">
      <c r="A16" s="8" t="s">
        <v>88</v>
      </c>
      <c r="B16" s="8" t="s">
        <v>451</v>
      </c>
      <c r="C16" s="8" t="s">
        <v>156</v>
      </c>
      <c r="D16" s="8" t="s">
        <v>132</v>
      </c>
      <c r="E16" s="8" t="s">
        <v>133</v>
      </c>
      <c r="F16" s="8" t="s">
        <v>113</v>
      </c>
      <c r="G16" s="8" t="s">
        <v>112</v>
      </c>
    </row>
    <row r="17" spans="1:14" ht="25.5" customHeight="1">
      <c r="A17" s="55" t="s">
        <v>452</v>
      </c>
      <c r="B17" s="69">
        <f>CALCULOS_ENERGÍA!B23</f>
        <v>2106.2527999999998</v>
      </c>
      <c r="C17" s="70" t="s">
        <v>87</v>
      </c>
      <c r="D17" s="70" t="str">
        <f>CALCULOS_ENERGÍA!B22</f>
        <v>Schofield × PAL</v>
      </c>
      <c r="E17" s="70"/>
      <c r="F17" s="70" t="str">
        <f>CALCULOS_ENERGÍA!B26</f>
        <v>OK CON LIMITACIONES</v>
      </c>
      <c r="G17" s="55" t="s">
        <v>453</v>
      </c>
    </row>
    <row r="18" spans="1:14">
      <c r="A18" s="55" t="s">
        <v>71</v>
      </c>
      <c r="B18" s="69">
        <f>CALCULOS_NUTRIENTES!B12</f>
        <v>78.984479999999991</v>
      </c>
      <c r="C18" s="70" t="s">
        <v>207</v>
      </c>
      <c r="D18" s="69">
        <f>CALCULOS_NUTRIENTES!B21</f>
        <v>46</v>
      </c>
      <c r="E18" s="69">
        <f>CALCULOS_NUTRIENTES!B23</f>
        <v>171.70539130434781</v>
      </c>
      <c r="F18" s="70" t="str">
        <f>IF(NOT(ISNUMBER(E18)),"NO EVALUABLE",IF(E18&lt;CONFIG!$B$17,"BAJO",IF(E18&lt;=CONFIG!$B$18,"DENTRO DEL RANGO","SOBRE EL RANGO")))</f>
        <v>SOBRE EL RANGO</v>
      </c>
      <c r="G18" s="55" t="s">
        <v>454</v>
      </c>
    </row>
    <row r="19" spans="1:14">
      <c r="A19" s="55" t="s">
        <v>73</v>
      </c>
      <c r="B19" s="69">
        <f>CALCULOS_NUTRIENTES!B14</f>
        <v>70.208426666666654</v>
      </c>
      <c r="C19" s="70" t="s">
        <v>207</v>
      </c>
      <c r="D19" s="69" t="str">
        <f>CALCULOS_NUTRIENTES!B26</f>
        <v>20–35</v>
      </c>
      <c r="E19" s="69">
        <f>CALCULOS_NUTRIENTES!B10</f>
        <v>30</v>
      </c>
      <c r="F19" s="70" t="str">
        <f>IF(CALCULOS_NUTRIENTES!B3&lt;1,"NO EVALUABLE",IF(AND(E19&gt;=INDEX(LISTAS!$AA$2:$AA$4,MATCH(CALCULOS_NUTRIENTES!B3,LISTAS!$W$2:$W$4,1)),E19&lt;=INDEX(LISTAS!$AB$2:$AB$4,MATCH(CALCULOS_NUTRIENTES!B3,LISTAS!$W$2:$W$4,1))),"DENTRO DEL AMDR","FUERA DEL AMDR"))</f>
        <v>DENTRO DEL AMDR</v>
      </c>
      <c r="G19" s="55" t="s">
        <v>455</v>
      </c>
    </row>
    <row r="20" spans="1:14">
      <c r="A20" s="55" t="s">
        <v>74</v>
      </c>
      <c r="B20" s="69">
        <f>CALCULOS_NUTRIENTES!B16</f>
        <v>289.60975999999999</v>
      </c>
      <c r="C20" s="70" t="s">
        <v>207</v>
      </c>
      <c r="D20" s="69">
        <f>CALCULOS_NUTRIENTES!B22</f>
        <v>130</v>
      </c>
      <c r="E20" s="69">
        <f>CALCULOS_NUTRIENTES!B24</f>
        <v>222.77673846153846</v>
      </c>
      <c r="F20" s="70" t="str">
        <f>IF(NOT(ISNUMBER(E20)),"NO EVALUABLE",IF(E20&lt;CONFIG!$B$17,"BAJO",IF(E20&lt;=CONFIG!$B$18,"DENTRO DEL RANGO","SOBRE EL RANGO")))</f>
        <v>SOBRE EL RANGO</v>
      </c>
      <c r="G20" s="55" t="s">
        <v>454</v>
      </c>
    </row>
    <row r="21" spans="1:14" ht="24" customHeight="1">
      <c r="A21" s="55" t="s">
        <v>205</v>
      </c>
      <c r="B21" s="69">
        <f>CALCULOS_ADECUACIÓN!B5</f>
        <v>2.5</v>
      </c>
      <c r="C21" s="70" t="s">
        <v>203</v>
      </c>
      <c r="D21" s="69">
        <f>CALCULOS_ADECUACIÓN!B7</f>
        <v>2.7</v>
      </c>
      <c r="E21" s="69">
        <f>CALCULOS_ADECUACIÓN!B9</f>
        <v>92.592592592592581</v>
      </c>
      <c r="F21" s="70" t="str">
        <f>CALCULOS_ADECUACIÓN!B11</f>
        <v>DENTRO DEL RANGO</v>
      </c>
      <c r="G21" s="55" t="s">
        <v>456</v>
      </c>
    </row>
    <row r="22" spans="1:14">
      <c r="A22" s="55" t="s">
        <v>208</v>
      </c>
      <c r="B22" s="69">
        <f>CALCULOS_ADECUACIÓN!B6</f>
        <v>25</v>
      </c>
      <c r="C22" s="70" t="s">
        <v>207</v>
      </c>
      <c r="D22" s="69">
        <f>CALCULOS_ADECUACIÓN!B8</f>
        <v>25</v>
      </c>
      <c r="E22" s="69">
        <f>CALCULOS_ADECUACIÓN!B10</f>
        <v>100</v>
      </c>
      <c r="F22" s="70" t="str">
        <f>CALCULOS_ADECUACIÓN!B12</f>
        <v>DENTRO DEL RANGO</v>
      </c>
      <c r="G22" s="55" t="s">
        <v>380</v>
      </c>
    </row>
    <row r="23" spans="1:14" ht="24" customHeight="1">
      <c r="A23" s="55" t="s">
        <v>166</v>
      </c>
      <c r="B23" s="69">
        <f>ÍNDICE_CARGA_GLICÉMICA!G11</f>
        <v>10.5</v>
      </c>
      <c r="C23" s="70"/>
      <c r="D23" s="70">
        <f>ÍNDICE_CARGA_GLICÉMICA!G10</f>
        <v>35</v>
      </c>
      <c r="E23" s="70"/>
      <c r="F23" s="70" t="str">
        <f>ÍNDICE_CARGA_GLICÉMICA!I11</f>
        <v>MEDIA</v>
      </c>
      <c r="G23" s="55" t="s">
        <v>457</v>
      </c>
    </row>
    <row r="27" spans="1:14" ht="15" customHeight="1">
      <c r="A27" s="154" t="s">
        <v>458</v>
      </c>
      <c r="B27" s="152"/>
      <c r="C27" s="152"/>
      <c r="D27" s="152"/>
      <c r="E27" s="152"/>
      <c r="F27" s="152"/>
      <c r="G27" s="152"/>
      <c r="H27" s="152"/>
      <c r="I27" s="152"/>
      <c r="J27" s="152"/>
      <c r="K27" s="152"/>
      <c r="L27" s="152"/>
      <c r="M27" s="152"/>
      <c r="N27" s="152"/>
    </row>
    <row r="28" spans="1:14">
      <c r="A28" s="267" t="str">
        <f>"Caso: "&amp;DATOS!B8&amp;". Energía seleccionada: "&amp;TEXT(CALCULOS_ENERGÍA!B23,"0")&amp;" kcal/d mediante "&amp;CALCULOS_ENERGÍA!B22&amp;". Distribución: proteína "&amp;TEXT(CALCULOS_NUTRIENTES!B9,"0")&amp;" %, lípidos "&amp;TEXT(CALCULOS_NUTRIENTES!B10,"0")&amp;" % y carbohidratos "&amp;TEXT(CALCULOS_NUTRIENTES!B11,"0")&amp;" %. "&amp;"Agua: "&amp;TEXT(CALCULOS_ADECUACIÓN!B9,"0.0")&amp;" % de la AI; fibra: "&amp;IF(ISNUMBER(CALCULOS_ADECUACIÓN!B10),TEXT(CALCULOS_ADECUACIÓN!B10,"0.0")&amp;" % de la AI","no evaluable")&amp;". La carga glicémica del ejemplo seleccionado es "&amp;TEXT(ÍNDICE_CARGA_GLICÉMICA!G11,"0.0")&amp;" ("&amp;ÍNDICE_CARGA_GLICÉMICA!I11&amp;"). Resultados educativos: revisar aplicabilidad, fuente y contexto individual."</f>
        <v>Caso: CASO-DEMO-01. Energía seleccionada: 2106 kcal/d mediante Schofield × PAL. Distribución: proteína 15 %, lípidos 30 % y carbohidratos 55 %. Agua: 93 % de la AI; fibra: 100 % de la AI. La carga glicémica del ejemplo seleccionado es 11 (MEDIA). Resultados educativos: revisar aplicabilidad, fuente y contexto individual.</v>
      </c>
      <c r="B28" s="268"/>
      <c r="C28" s="268"/>
      <c r="D28" s="268"/>
      <c r="E28" s="268"/>
      <c r="F28" s="268"/>
      <c r="G28" s="268"/>
      <c r="H28" s="268"/>
      <c r="I28" s="268"/>
      <c r="J28" s="268"/>
      <c r="K28" s="268"/>
      <c r="L28" s="268"/>
      <c r="M28" s="268"/>
      <c r="N28" s="268"/>
    </row>
    <row r="29" spans="1:14">
      <c r="A29" s="268"/>
      <c r="B29" s="268"/>
      <c r="C29" s="268"/>
      <c r="D29" s="268"/>
      <c r="E29" s="268"/>
      <c r="F29" s="268"/>
      <c r="G29" s="268"/>
      <c r="H29" s="268"/>
      <c r="I29" s="268"/>
      <c r="J29" s="268"/>
      <c r="K29" s="268"/>
      <c r="L29" s="268"/>
      <c r="M29" s="268"/>
      <c r="N29" s="268"/>
    </row>
    <row r="30" spans="1:14">
      <c r="A30" s="268"/>
      <c r="B30" s="268"/>
      <c r="C30" s="268"/>
      <c r="D30" s="268"/>
      <c r="E30" s="268"/>
      <c r="F30" s="268"/>
      <c r="G30" s="268"/>
      <c r="H30" s="268"/>
      <c r="I30" s="268"/>
      <c r="J30" s="268"/>
      <c r="K30" s="268"/>
      <c r="L30" s="268"/>
      <c r="M30" s="268"/>
      <c r="N30" s="268"/>
    </row>
    <row r="31" spans="1:14">
      <c r="A31" s="268"/>
      <c r="B31" s="268"/>
      <c r="C31" s="268"/>
      <c r="D31" s="268"/>
      <c r="E31" s="268"/>
      <c r="F31" s="268"/>
      <c r="G31" s="268"/>
      <c r="H31" s="268"/>
      <c r="I31" s="268"/>
      <c r="J31" s="268"/>
      <c r="K31" s="268"/>
      <c r="L31" s="268"/>
      <c r="M31" s="268"/>
      <c r="N31" s="268"/>
    </row>
    <row r="32" spans="1:14">
      <c r="A32" s="268"/>
      <c r="B32" s="268"/>
      <c r="C32" s="268"/>
      <c r="D32" s="268"/>
      <c r="E32" s="268"/>
      <c r="F32" s="268"/>
      <c r="G32" s="268"/>
      <c r="H32" s="268"/>
      <c r="I32" s="268"/>
      <c r="J32" s="268"/>
      <c r="K32" s="268"/>
      <c r="L32" s="268"/>
      <c r="M32" s="268"/>
      <c r="N32" s="268"/>
    </row>
    <row r="33" spans="1:14">
      <c r="A33" s="268"/>
      <c r="B33" s="268"/>
      <c r="C33" s="268"/>
      <c r="D33" s="268"/>
      <c r="E33" s="268"/>
      <c r="F33" s="268"/>
      <c r="G33" s="268"/>
      <c r="H33" s="268"/>
      <c r="I33" s="268"/>
      <c r="J33" s="268"/>
      <c r="K33" s="268"/>
      <c r="L33" s="268"/>
      <c r="M33" s="268"/>
      <c r="N33" s="268"/>
    </row>
    <row r="34" spans="1:14">
      <c r="A34" s="268"/>
      <c r="B34" s="268"/>
      <c r="C34" s="268"/>
      <c r="D34" s="268"/>
      <c r="E34" s="268"/>
      <c r="F34" s="268"/>
      <c r="G34" s="268"/>
      <c r="H34" s="268"/>
      <c r="I34" s="268"/>
      <c r="J34" s="268"/>
      <c r="K34" s="268"/>
      <c r="L34" s="268"/>
      <c r="M34" s="268"/>
      <c r="N34" s="268"/>
    </row>
    <row r="37" spans="1:14" ht="15" customHeight="1">
      <c r="A37" s="154" t="s">
        <v>459</v>
      </c>
      <c r="B37" s="152"/>
      <c r="C37" s="152"/>
      <c r="D37" s="152"/>
      <c r="E37" s="152"/>
      <c r="F37" s="152"/>
      <c r="G37" s="152"/>
      <c r="H37" s="152"/>
      <c r="I37" s="152"/>
      <c r="J37" s="152"/>
      <c r="K37" s="152"/>
      <c r="L37" s="152"/>
      <c r="M37" s="152"/>
      <c r="N37" s="152"/>
    </row>
    <row r="38" spans="1:14">
      <c r="A38" s="184" t="s">
        <v>460</v>
      </c>
      <c r="B38" s="152"/>
      <c r="C38" s="152"/>
      <c r="D38" s="152"/>
      <c r="E38" s="152"/>
      <c r="F38" s="152"/>
      <c r="G38" s="152"/>
      <c r="H38" s="152"/>
      <c r="I38" s="152"/>
      <c r="J38" s="152"/>
      <c r="K38" s="152"/>
      <c r="L38" s="152"/>
      <c r="M38" s="152"/>
      <c r="N38" s="152"/>
    </row>
    <row r="39" spans="1:14">
      <c r="A39" s="152"/>
      <c r="B39" s="152"/>
      <c r="C39" s="152"/>
      <c r="D39" s="152"/>
      <c r="E39" s="152"/>
      <c r="F39" s="152"/>
      <c r="G39" s="152"/>
      <c r="H39" s="152"/>
      <c r="I39" s="152"/>
      <c r="J39" s="152"/>
      <c r="K39" s="152"/>
      <c r="L39" s="152"/>
      <c r="M39" s="152"/>
      <c r="N39" s="152"/>
    </row>
    <row r="40" spans="1:14">
      <c r="A40" s="152"/>
      <c r="B40" s="152"/>
      <c r="C40" s="152"/>
      <c r="D40" s="152"/>
      <c r="E40" s="152"/>
      <c r="F40" s="152"/>
      <c r="G40" s="152"/>
      <c r="H40" s="152"/>
      <c r="I40" s="152"/>
      <c r="J40" s="152"/>
      <c r="K40" s="152"/>
      <c r="L40" s="152"/>
      <c r="M40" s="152"/>
      <c r="N40" s="152"/>
    </row>
    <row r="41" spans="1:14" ht="15.75" customHeight="1">
      <c r="A41" s="270" t="s">
        <v>461</v>
      </c>
      <c r="B41" s="152"/>
      <c r="C41" s="152"/>
      <c r="D41" s="152"/>
      <c r="E41" s="152"/>
      <c r="F41" s="152"/>
      <c r="G41" s="152"/>
      <c r="H41" s="152"/>
      <c r="I41" s="152"/>
      <c r="J41" s="152"/>
      <c r="K41" s="152"/>
      <c r="L41" s="152"/>
      <c r="M41" s="152"/>
      <c r="N41" s="152"/>
    </row>
    <row r="42" spans="1:14">
      <c r="A42" s="34"/>
      <c r="B42" s="34"/>
      <c r="C42" s="34"/>
      <c r="D42" s="34"/>
      <c r="E42" s="34"/>
      <c r="F42" s="34"/>
      <c r="G42" s="34"/>
      <c r="H42" s="34"/>
      <c r="I42" s="34"/>
      <c r="J42" s="34"/>
      <c r="K42" s="34"/>
      <c r="L42" s="34"/>
      <c r="M42" s="34"/>
      <c r="N42" s="34"/>
    </row>
    <row r="43" spans="1:14" ht="15" customHeight="1">
      <c r="A43" s="16" t="s">
        <v>462</v>
      </c>
      <c r="B43" s="16" t="s">
        <v>346</v>
      </c>
      <c r="C43" s="16" t="s">
        <v>156</v>
      </c>
      <c r="D43" s="16" t="s">
        <v>381</v>
      </c>
      <c r="E43" s="16" t="s">
        <v>382</v>
      </c>
      <c r="F43" s="16" t="s">
        <v>463</v>
      </c>
      <c r="G43" s="16" t="s">
        <v>348</v>
      </c>
      <c r="H43" s="16" t="s">
        <v>113</v>
      </c>
      <c r="I43" s="231" t="str">
        <f>"ALIMENTOS"&amp;CHAR(10)&amp;COUNTA(FUENTES_ALIMENTARIAS!$B$13:$B$22)</f>
        <v>ALIMENTOS
10</v>
      </c>
      <c r="J43" s="152"/>
      <c r="K43" s="231" t="str">
        <f>"CON DATOS"&amp;CHAR(10)&amp;(ROWS($H$44:$H$66)-COUNTIF($H$44:$H$66,"ND EN INTA"))</f>
        <v>CON DATOS
21</v>
      </c>
      <c r="L43" s="152"/>
      <c r="M43" s="231" t="str">
        <f>"PARCIALES/ND"&amp;CHAR(10)&amp;COUNTIF($G$44:$G$66,"&gt;0")</f>
        <v>PARCIALES/ND
23</v>
      </c>
      <c r="N43" s="152"/>
    </row>
    <row r="44" spans="1:14">
      <c r="A44" t="str">
        <f>CALCULOS_ADECUACIÓN!G3</f>
        <v>Hierro</v>
      </c>
      <c r="B44" s="19">
        <f>CALCULOS_ADECUACIÓN!H3</f>
        <v>32.17</v>
      </c>
      <c r="C44" t="str">
        <f>CALCULOS_ADECUACIÓN!I3</f>
        <v>mg</v>
      </c>
      <c r="D44">
        <f>CALCULOS_ADECUACIÓN!J3</f>
        <v>18</v>
      </c>
      <c r="E44" t="str">
        <f>CALCULOS_ADECUACIÓN!K3</f>
        <v>RDA</v>
      </c>
      <c r="F44" s="17">
        <f>CALCULOS_ADECUACIÓN!L3</f>
        <v>178.72222222222223</v>
      </c>
      <c r="G44">
        <f>CALCULOS_ADECUACIÓN!P3</f>
        <v>2</v>
      </c>
      <c r="H44" t="str">
        <f>CALCULOS_ADECUACIÓN!Q3</f>
        <v>PARCIAL · 2 ND</v>
      </c>
      <c r="I44" s="152"/>
      <c r="J44" s="152"/>
      <c r="K44" s="152"/>
      <c r="L44" s="152"/>
      <c r="M44" s="152"/>
      <c r="N44" s="152"/>
    </row>
    <row r="45" spans="1:14">
      <c r="A45" t="str">
        <f>CALCULOS_ADECUACIÓN!G4</f>
        <v>Zinc</v>
      </c>
      <c r="B45" s="19">
        <f>CALCULOS_ADECUACIÓN!H4</f>
        <v>13.370000000000001</v>
      </c>
      <c r="C45" t="str">
        <f>CALCULOS_ADECUACIÓN!I4</f>
        <v>mg</v>
      </c>
      <c r="D45">
        <f>CALCULOS_ADECUACIÓN!J4</f>
        <v>8</v>
      </c>
      <c r="E45" t="str">
        <f>CALCULOS_ADECUACIÓN!K4</f>
        <v>RDA</v>
      </c>
      <c r="F45" s="17">
        <f>CALCULOS_ADECUACIÓN!L4</f>
        <v>167.125</v>
      </c>
      <c r="G45">
        <f>CALCULOS_ADECUACIÓN!P4</f>
        <v>2</v>
      </c>
      <c r="H45" t="str">
        <f>CALCULOS_ADECUACIÓN!Q4</f>
        <v>PARCIAL · 2 ND</v>
      </c>
      <c r="I45" s="152"/>
      <c r="J45" s="152"/>
      <c r="K45" s="152"/>
      <c r="L45" s="152"/>
      <c r="M45" s="152"/>
      <c r="N45" s="152"/>
    </row>
    <row r="46" spans="1:14">
      <c r="A46" t="str">
        <f>CALCULOS_ADECUACIÓN!G5</f>
        <v>Cobre</v>
      </c>
      <c r="B46" s="19">
        <f>CALCULOS_ADECUACIÓN!H5</f>
        <v>15.95</v>
      </c>
      <c r="C46" t="str">
        <f>CALCULOS_ADECUACIÓN!I5</f>
        <v>mg</v>
      </c>
      <c r="D46">
        <f>CALCULOS_ADECUACIÓN!J5</f>
        <v>0.9</v>
      </c>
      <c r="E46" t="str">
        <f>CALCULOS_ADECUACIÓN!K5</f>
        <v>RDA</v>
      </c>
      <c r="F46" s="17">
        <f>CALCULOS_ADECUACIÓN!L5</f>
        <v>1772.2222222222222</v>
      </c>
      <c r="G46">
        <f>CALCULOS_ADECUACIÓN!P5</f>
        <v>2</v>
      </c>
      <c r="H46" t="str">
        <f>CALCULOS_ADECUACIÓN!Q5</f>
        <v>SOBRE UL · PARCIAL</v>
      </c>
      <c r="I46" s="152"/>
      <c r="J46" s="152"/>
      <c r="K46" s="152"/>
      <c r="L46" s="152"/>
      <c r="M46" s="152"/>
      <c r="N46" s="152"/>
    </row>
    <row r="47" spans="1:14">
      <c r="A47" t="str">
        <f>CALCULOS_ADECUACIÓN!G6</f>
        <v>Calcio</v>
      </c>
      <c r="B47" s="19">
        <f>CALCULOS_ADECUACIÓN!H6</f>
        <v>2121.1999999999998</v>
      </c>
      <c r="C47" t="str">
        <f>CALCULOS_ADECUACIÓN!I6</f>
        <v>mg</v>
      </c>
      <c r="D47">
        <f>CALCULOS_ADECUACIÓN!J6</f>
        <v>1000</v>
      </c>
      <c r="E47" t="str">
        <f>CALCULOS_ADECUACIÓN!K6</f>
        <v>RDA</v>
      </c>
      <c r="F47" s="17">
        <f>CALCULOS_ADECUACIÓN!L6</f>
        <v>212.12</v>
      </c>
      <c r="G47">
        <f>CALCULOS_ADECUACIÓN!P6</f>
        <v>1</v>
      </c>
      <c r="H47" t="str">
        <f>CALCULOS_ADECUACIÓN!Q6</f>
        <v>PARCIAL · 1 ND</v>
      </c>
    </row>
    <row r="48" spans="1:14">
      <c r="A48" t="str">
        <f>CALCULOS_ADECUACIÓN!G7</f>
        <v>Fósforo</v>
      </c>
      <c r="B48" s="19">
        <f>CALCULOS_ADECUACIÓN!H7</f>
        <v>1731.5</v>
      </c>
      <c r="C48" t="str">
        <f>CALCULOS_ADECUACIÓN!I7</f>
        <v>mg</v>
      </c>
      <c r="D48">
        <f>CALCULOS_ADECUACIÓN!J7</f>
        <v>700</v>
      </c>
      <c r="E48" t="str">
        <f>CALCULOS_ADECUACIÓN!K7</f>
        <v>RDA</v>
      </c>
      <c r="F48" s="17">
        <f>CALCULOS_ADECUACIÓN!L7</f>
        <v>247.35714285714289</v>
      </c>
      <c r="G48">
        <f>CALCULOS_ADECUACIÓN!P7</f>
        <v>1</v>
      </c>
      <c r="H48" t="str">
        <f>CALCULOS_ADECUACIÓN!Q7</f>
        <v>PARCIAL · 1 ND</v>
      </c>
      <c r="I48" s="266" t="str">
        <f>"El módulo cuantifica "&amp;COUNTA(FUENTES_ALIMENTARIAS!$B$13:$B$22)&amp;" alimentos. Los aportes representan solo esos alimentos y gramajes, no la dieta completa. Los porcentajes comparan el aporte conocido con la RDA o AI del perfil. Cuando existe s/i, el resultado se marca PARCIAL y no se reemplaza por cero."</f>
        <v>El módulo cuantifica 10 alimentos. Los aportes representan solo esos alimentos y gramajes, no la dieta completa. Los porcentajes comparan el aporte conocido con la RDA o AI del perfil. Cuando existe s/i, el resultado se marca PARCIAL y no se reemplaza por cero.</v>
      </c>
      <c r="J48" s="178"/>
      <c r="K48" s="178"/>
      <c r="L48" s="178"/>
      <c r="M48" s="178"/>
      <c r="N48" s="178"/>
    </row>
    <row r="49" spans="1:14">
      <c r="A49" t="str">
        <f>CALCULOS_ADECUACIÓN!G8</f>
        <v>Selenio</v>
      </c>
      <c r="B49" s="19">
        <f>CALCULOS_ADECUACIÓN!H8</f>
        <v>279.94</v>
      </c>
      <c r="C49" t="str">
        <f>CALCULOS_ADECUACIÓN!I8</f>
        <v>µg</v>
      </c>
      <c r="D49">
        <f>CALCULOS_ADECUACIÓN!J8</f>
        <v>55</v>
      </c>
      <c r="E49" t="str">
        <f>CALCULOS_ADECUACIÓN!K8</f>
        <v>RDA</v>
      </c>
      <c r="F49" s="17">
        <f>CALCULOS_ADECUACIÓN!L8</f>
        <v>508.9818181818182</v>
      </c>
      <c r="G49">
        <f>CALCULOS_ADECUACIÓN!P8</f>
        <v>2</v>
      </c>
      <c r="H49" t="str">
        <f>CALCULOS_ADECUACIÓN!Q8</f>
        <v>PARCIAL · 2 ND</v>
      </c>
      <c r="I49" s="178"/>
      <c r="J49" s="178"/>
      <c r="K49" s="178"/>
      <c r="L49" s="178"/>
      <c r="M49" s="178"/>
      <c r="N49" s="178"/>
    </row>
    <row r="50" spans="1:14">
      <c r="A50" t="str">
        <f>CALCULOS_ADECUACIÓN!G9</f>
        <v>Potasio</v>
      </c>
      <c r="B50" s="19">
        <f>CALCULOS_ADECUACIÓN!H9</f>
        <v>3658.5</v>
      </c>
      <c r="C50" t="str">
        <f>CALCULOS_ADECUACIÓN!I9</f>
        <v>mg</v>
      </c>
      <c r="D50">
        <f>CALCULOS_ADECUACIÓN!J9</f>
        <v>2600</v>
      </c>
      <c r="E50" t="str">
        <f>CALCULOS_ADECUACIÓN!K9</f>
        <v>AI</v>
      </c>
      <c r="F50" s="17">
        <f>CALCULOS_ADECUACIÓN!L9</f>
        <v>140.71153846153845</v>
      </c>
      <c r="G50">
        <f>CALCULOS_ADECUACIÓN!P9</f>
        <v>2</v>
      </c>
      <c r="H50" t="str">
        <f>CALCULOS_ADECUACIÓN!Q9</f>
        <v>PARCIAL · 2 ND</v>
      </c>
      <c r="I50" s="178"/>
      <c r="J50" s="178"/>
      <c r="K50" s="178"/>
      <c r="L50" s="178"/>
      <c r="M50" s="178"/>
      <c r="N50" s="178"/>
    </row>
    <row r="51" spans="1:14">
      <c r="A51" t="str">
        <f>CALCULOS_ADECUACIÓN!G10</f>
        <v>Magnesio</v>
      </c>
      <c r="B51" s="19">
        <f>CALCULOS_ADECUACIÓN!H10</f>
        <v>617.4</v>
      </c>
      <c r="C51" t="str">
        <f>CALCULOS_ADECUACIÓN!I10</f>
        <v>mg</v>
      </c>
      <c r="D51">
        <f>CALCULOS_ADECUACIÓN!J10</f>
        <v>310</v>
      </c>
      <c r="E51" t="str">
        <f>CALCULOS_ADECUACIÓN!K10</f>
        <v>RDA</v>
      </c>
      <c r="F51" s="17">
        <f>CALCULOS_ADECUACIÓN!L10</f>
        <v>199.16129032258064</v>
      </c>
      <c r="G51">
        <f>CALCULOS_ADECUACIÓN!P10</f>
        <v>2</v>
      </c>
      <c r="H51" t="str">
        <f>CALCULOS_ADECUACIÓN!Q10</f>
        <v>SOBRE UL · PARCIAL</v>
      </c>
      <c r="I51" s="178"/>
      <c r="J51" s="178"/>
      <c r="K51" s="178"/>
      <c r="L51" s="178"/>
      <c r="M51" s="178"/>
      <c r="N51" s="178"/>
    </row>
    <row r="52" spans="1:14">
      <c r="A52" t="str">
        <f>CALCULOS_ADECUACIÓN!G11</f>
        <v>Sodio</v>
      </c>
      <c r="B52" s="19">
        <f>CALCULOS_ADECUACIÓN!H11</f>
        <v>1078.2</v>
      </c>
      <c r="C52" t="str">
        <f>CALCULOS_ADECUACIÓN!I11</f>
        <v>mg</v>
      </c>
      <c r="D52">
        <f>CALCULOS_ADECUACIÓN!J11</f>
        <v>1500</v>
      </c>
      <c r="E52" t="str">
        <f>CALCULOS_ADECUACIÓN!K11</f>
        <v>AI</v>
      </c>
      <c r="F52" s="17">
        <f>CALCULOS_ADECUACIÓN!L11</f>
        <v>71.88</v>
      </c>
      <c r="G52">
        <f>CALCULOS_ADECUACIÓN!P11</f>
        <v>1</v>
      </c>
      <c r="H52" t="str">
        <f>CALCULOS_ADECUACIÓN!Q11</f>
        <v>PARCIAL · 1 ND</v>
      </c>
      <c r="I52" s="178"/>
      <c r="J52" s="178"/>
      <c r="K52" s="178"/>
      <c r="L52" s="178"/>
      <c r="M52" s="178"/>
      <c r="N52" s="178"/>
    </row>
    <row r="53" spans="1:14">
      <c r="A53" t="str">
        <f>CALCULOS_ADECUACIÓN!G12</f>
        <v>Cloruro</v>
      </c>
      <c r="B53" s="19" t="str">
        <f>CALCULOS_ADECUACIÓN!H12</f>
        <v>ND</v>
      </c>
      <c r="C53" t="str">
        <f>CALCULOS_ADECUACIÓN!I12</f>
        <v>mg</v>
      </c>
      <c r="D53">
        <f>CALCULOS_ADECUACIÓN!J12</f>
        <v>2300</v>
      </c>
      <c r="E53" t="str">
        <f>CALCULOS_ADECUACIÓN!K12</f>
        <v>AI</v>
      </c>
      <c r="F53" s="17" t="str">
        <f>CALCULOS_ADECUACIÓN!L12</f>
        <v>ND</v>
      </c>
      <c r="G53">
        <f>CALCULOS_ADECUACIÓN!P12</f>
        <v>10</v>
      </c>
      <c r="H53" t="str">
        <f>CALCULOS_ADECUACIÓN!Q12</f>
        <v>ND EN INTA</v>
      </c>
      <c r="I53" s="178"/>
      <c r="J53" s="178"/>
      <c r="K53" s="178"/>
      <c r="L53" s="178"/>
      <c r="M53" s="178"/>
      <c r="N53" s="178"/>
    </row>
    <row r="54" spans="1:14">
      <c r="A54" t="str">
        <f>CALCULOS_ADECUACIÓN!G13</f>
        <v>Vitamina A</v>
      </c>
      <c r="B54" s="19">
        <f>CALCULOS_ADECUACIÓN!H13</f>
        <v>10197.9</v>
      </c>
      <c r="C54" t="str">
        <f>CALCULOS_ADECUACIÓN!I13</f>
        <v>µg RAE</v>
      </c>
      <c r="D54">
        <f>CALCULOS_ADECUACIÓN!J13</f>
        <v>700</v>
      </c>
      <c r="E54" t="str">
        <f>CALCULOS_ADECUACIÓN!K13</f>
        <v>RDA</v>
      </c>
      <c r="F54" s="17">
        <f>CALCULOS_ADECUACIÓN!L13</f>
        <v>1456.8428571428572</v>
      </c>
      <c r="G54">
        <f>CALCULOS_ADECUACIÓN!P13</f>
        <v>2</v>
      </c>
      <c r="H54" t="str">
        <f>CALCULOS_ADECUACIÓN!Q13</f>
        <v>SOBRE UL · PARCIAL</v>
      </c>
      <c r="I54" s="178"/>
      <c r="J54" s="178"/>
      <c r="K54" s="178"/>
      <c r="L54" s="178"/>
      <c r="M54" s="178"/>
      <c r="N54" s="178"/>
    </row>
    <row r="55" spans="1:14">
      <c r="A55" t="str">
        <f>CALCULOS_ADECUACIÓN!G14</f>
        <v>Vitamina D</v>
      </c>
      <c r="B55" s="19">
        <f>CALCULOS_ADECUACIÓN!H14</f>
        <v>3.37</v>
      </c>
      <c r="C55" t="str">
        <f>CALCULOS_ADECUACIÓN!I14</f>
        <v>µg</v>
      </c>
      <c r="D55">
        <f>CALCULOS_ADECUACIÓN!J14</f>
        <v>15</v>
      </c>
      <c r="E55" t="str">
        <f>CALCULOS_ADECUACIÓN!K14</f>
        <v>RDA</v>
      </c>
      <c r="F55" s="17">
        <f>CALCULOS_ADECUACIÓN!L14</f>
        <v>22.466666666666669</v>
      </c>
      <c r="G55">
        <f>CALCULOS_ADECUACIÓN!P14</f>
        <v>4</v>
      </c>
      <c r="H55" t="str">
        <f>CALCULOS_ADECUACIÓN!Q14</f>
        <v>PARCIAL · 4 ND</v>
      </c>
      <c r="I55" s="178"/>
      <c r="J55" s="178"/>
      <c r="K55" s="178"/>
      <c r="L55" s="178"/>
      <c r="M55" s="178"/>
      <c r="N55" s="178"/>
    </row>
    <row r="56" spans="1:14">
      <c r="A56" t="str">
        <f>CALCULOS_ADECUACIÓN!G15</f>
        <v>Vitamina E</v>
      </c>
      <c r="B56" s="19">
        <f>CALCULOS_ADECUACIÓN!H15</f>
        <v>4.22</v>
      </c>
      <c r="C56" t="str">
        <f>CALCULOS_ADECUACIÓN!I15</f>
        <v>mg</v>
      </c>
      <c r="D56">
        <f>CALCULOS_ADECUACIÓN!J15</f>
        <v>15</v>
      </c>
      <c r="E56" t="str">
        <f>CALCULOS_ADECUACIÓN!K15</f>
        <v>RDA</v>
      </c>
      <c r="F56" s="17">
        <f>CALCULOS_ADECUACIÓN!L15</f>
        <v>28.133333333333333</v>
      </c>
      <c r="G56">
        <f>CALCULOS_ADECUACIÓN!P15</f>
        <v>5</v>
      </c>
      <c r="H56" t="str">
        <f>CALCULOS_ADECUACIÓN!Q15</f>
        <v>PARCIAL · 5 ND</v>
      </c>
      <c r="I56" s="178"/>
      <c r="J56" s="178"/>
      <c r="K56" s="178"/>
      <c r="L56" s="178"/>
      <c r="M56" s="178"/>
      <c r="N56" s="178"/>
    </row>
    <row r="57" spans="1:14">
      <c r="A57" t="str">
        <f>CALCULOS_ADECUACIÓN!G16</f>
        <v>Vitamina K</v>
      </c>
      <c r="B57" s="19">
        <f>CALCULOS_ADECUACIÓN!H16</f>
        <v>504.04</v>
      </c>
      <c r="C57" t="str">
        <f>CALCULOS_ADECUACIÓN!I16</f>
        <v>µg</v>
      </c>
      <c r="D57">
        <f>CALCULOS_ADECUACIÓN!J16</f>
        <v>90</v>
      </c>
      <c r="E57" t="str">
        <f>CALCULOS_ADECUACIÓN!K16</f>
        <v>AI</v>
      </c>
      <c r="F57" s="17">
        <f>CALCULOS_ADECUACIÓN!L16</f>
        <v>560.04444444444448</v>
      </c>
      <c r="G57">
        <f>CALCULOS_ADECUACIÓN!P16</f>
        <v>5</v>
      </c>
      <c r="H57" t="str">
        <f>CALCULOS_ADECUACIÓN!Q16</f>
        <v>PARCIAL · 5 ND</v>
      </c>
      <c r="I57" s="78"/>
      <c r="J57" s="78"/>
      <c r="K57" s="78"/>
      <c r="L57" s="78"/>
      <c r="M57" s="78"/>
      <c r="N57" s="78"/>
    </row>
    <row r="58" spans="1:14">
      <c r="A58" t="str">
        <f>CALCULOS_ADECUACIÓN!G17</f>
        <v>Vitamina C</v>
      </c>
      <c r="B58" s="19">
        <f>CALCULOS_ADECUACIÓN!H17</f>
        <v>79.349999999999994</v>
      </c>
      <c r="C58" t="str">
        <f>CALCULOS_ADECUACIÓN!I17</f>
        <v>mg</v>
      </c>
      <c r="D58">
        <f>CALCULOS_ADECUACIÓN!J17</f>
        <v>75</v>
      </c>
      <c r="E58" t="str">
        <f>CALCULOS_ADECUACIÓN!K17</f>
        <v>RDA</v>
      </c>
      <c r="F58" s="17">
        <f>CALCULOS_ADECUACIÓN!L17</f>
        <v>105.79999999999998</v>
      </c>
      <c r="G58">
        <f>CALCULOS_ADECUACIÓN!P17</f>
        <v>1</v>
      </c>
      <c r="H58" t="str">
        <f>CALCULOS_ADECUACIÓN!Q17</f>
        <v>PARCIAL · 1 ND</v>
      </c>
      <c r="I58" s="269" t="s">
        <v>464</v>
      </c>
      <c r="J58" s="178"/>
      <c r="K58" s="178"/>
      <c r="L58" s="178"/>
      <c r="M58" s="178"/>
      <c r="N58" s="178"/>
    </row>
    <row r="59" spans="1:14">
      <c r="A59" t="str">
        <f>CALCULOS_ADECUACIÓN!G18</f>
        <v>Tiamina</v>
      </c>
      <c r="B59" s="19">
        <f>CALCULOS_ADECUACIÓN!H18</f>
        <v>1.95</v>
      </c>
      <c r="C59" t="str">
        <f>CALCULOS_ADECUACIÓN!I18</f>
        <v>mg</v>
      </c>
      <c r="D59">
        <f>CALCULOS_ADECUACIÓN!J18</f>
        <v>1.1000000000000001</v>
      </c>
      <c r="E59" t="str">
        <f>CALCULOS_ADECUACIÓN!K18</f>
        <v>RDA</v>
      </c>
      <c r="F59" s="17">
        <f>CALCULOS_ADECUACIÓN!L18</f>
        <v>177.27272727272725</v>
      </c>
      <c r="G59">
        <f>CALCULOS_ADECUACIÓN!P18</f>
        <v>1</v>
      </c>
      <c r="H59" t="str">
        <f>CALCULOS_ADECUACIÓN!Q18</f>
        <v>PARCIAL · 1 ND</v>
      </c>
      <c r="I59" s="178"/>
      <c r="J59" s="178"/>
      <c r="K59" s="178"/>
      <c r="L59" s="178"/>
      <c r="M59" s="178"/>
      <c r="N59" s="178"/>
    </row>
    <row r="60" spans="1:14">
      <c r="A60" t="str">
        <f>CALCULOS_ADECUACIÓN!G19</f>
        <v>Riboflavina</v>
      </c>
      <c r="B60" s="19">
        <f>CALCULOS_ADECUACIÓN!H19</f>
        <v>5.07</v>
      </c>
      <c r="C60" t="str">
        <f>CALCULOS_ADECUACIÓN!I19</f>
        <v>mg</v>
      </c>
      <c r="D60">
        <f>CALCULOS_ADECUACIÓN!J19</f>
        <v>1.1000000000000001</v>
      </c>
      <c r="E60" t="str">
        <f>CALCULOS_ADECUACIÓN!K19</f>
        <v>RDA</v>
      </c>
      <c r="F60" s="17">
        <f>CALCULOS_ADECUACIÓN!L19</f>
        <v>460.90909090909093</v>
      </c>
      <c r="G60">
        <f>CALCULOS_ADECUACIÓN!P19</f>
        <v>1</v>
      </c>
      <c r="H60" t="str">
        <f>CALCULOS_ADECUACIÓN!Q19</f>
        <v>PARCIAL · 1 ND</v>
      </c>
      <c r="I60" s="178"/>
      <c r="J60" s="178"/>
      <c r="K60" s="178"/>
      <c r="L60" s="178"/>
      <c r="M60" s="178"/>
      <c r="N60" s="178"/>
    </row>
    <row r="61" spans="1:14">
      <c r="A61" t="str">
        <f>CALCULOS_ADECUACIÓN!G20</f>
        <v>Niacina</v>
      </c>
      <c r="B61" s="19">
        <f>CALCULOS_ADECUACIÓN!H20</f>
        <v>29.42</v>
      </c>
      <c r="C61" t="str">
        <f>CALCULOS_ADECUACIÓN!I20</f>
        <v>mg NE</v>
      </c>
      <c r="D61">
        <f>CALCULOS_ADECUACIÓN!J20</f>
        <v>14</v>
      </c>
      <c r="E61" t="str">
        <f>CALCULOS_ADECUACIÓN!K20</f>
        <v>RDA</v>
      </c>
      <c r="F61" s="17">
        <f>CALCULOS_ADECUACIÓN!L20</f>
        <v>210.14285714285714</v>
      </c>
      <c r="G61">
        <f>CALCULOS_ADECUACIÓN!P20</f>
        <v>1</v>
      </c>
      <c r="H61" t="str">
        <f>CALCULOS_ADECUACIÓN!Q20</f>
        <v>PARCIAL · 1 ND</v>
      </c>
      <c r="I61" s="178"/>
      <c r="J61" s="178"/>
      <c r="K61" s="178"/>
      <c r="L61" s="178"/>
      <c r="M61" s="178"/>
      <c r="N61" s="178"/>
    </row>
    <row r="62" spans="1:14">
      <c r="A62" t="str">
        <f>CALCULOS_ADECUACIÓN!G21</f>
        <v>Ácido pantoténico</v>
      </c>
      <c r="B62" s="19">
        <f>CALCULOS_ADECUACIÓN!H21</f>
        <v>9.58</v>
      </c>
      <c r="C62" t="str">
        <f>CALCULOS_ADECUACIÓN!I21</f>
        <v>mg</v>
      </c>
      <c r="D62">
        <f>CALCULOS_ADECUACIÓN!J21</f>
        <v>5</v>
      </c>
      <c r="E62" t="str">
        <f>CALCULOS_ADECUACIÓN!K21</f>
        <v>AI</v>
      </c>
      <c r="F62" s="17">
        <f>CALCULOS_ADECUACIÓN!L21</f>
        <v>191.6</v>
      </c>
      <c r="G62">
        <f>CALCULOS_ADECUACIÓN!P21</f>
        <v>3</v>
      </c>
      <c r="H62" t="str">
        <f>CALCULOS_ADECUACIÓN!Q21</f>
        <v>PARCIAL · 3 ND</v>
      </c>
      <c r="I62" s="178"/>
      <c r="J62" s="178"/>
      <c r="K62" s="178"/>
      <c r="L62" s="178"/>
      <c r="M62" s="178"/>
      <c r="N62" s="178"/>
    </row>
    <row r="63" spans="1:14">
      <c r="A63" t="str">
        <f>CALCULOS_ADECUACIÓN!G22</f>
        <v>Vitamina B6</v>
      </c>
      <c r="B63" s="19">
        <f>CALCULOS_ADECUACIÓN!H22</f>
        <v>2.25</v>
      </c>
      <c r="C63" t="str">
        <f>CALCULOS_ADECUACIÓN!I22</f>
        <v>mg</v>
      </c>
      <c r="D63">
        <f>CALCULOS_ADECUACIÓN!J22</f>
        <v>1.3</v>
      </c>
      <c r="E63" t="str">
        <f>CALCULOS_ADECUACIÓN!K22</f>
        <v>RDA</v>
      </c>
      <c r="F63" s="17">
        <f>CALCULOS_ADECUACIÓN!L22</f>
        <v>173.07692307692307</v>
      </c>
      <c r="G63">
        <f>CALCULOS_ADECUACIÓN!P22</f>
        <v>2</v>
      </c>
      <c r="H63" t="str">
        <f>CALCULOS_ADECUACIÓN!Q22</f>
        <v>PARCIAL · 2 ND</v>
      </c>
      <c r="I63" s="178"/>
      <c r="J63" s="178"/>
      <c r="K63" s="178"/>
      <c r="L63" s="178"/>
      <c r="M63" s="178"/>
      <c r="N63" s="178"/>
    </row>
    <row r="64" spans="1:14">
      <c r="A64" t="str">
        <f>CALCULOS_ADECUACIÓN!G23</f>
        <v>Biotina</v>
      </c>
      <c r="B64" s="19" t="str">
        <f>CALCULOS_ADECUACIÓN!H23</f>
        <v>ND</v>
      </c>
      <c r="C64" t="str">
        <f>CALCULOS_ADECUACIÓN!I23</f>
        <v>µg</v>
      </c>
      <c r="D64">
        <f>CALCULOS_ADECUACIÓN!J23</f>
        <v>30</v>
      </c>
      <c r="E64" t="str">
        <f>CALCULOS_ADECUACIÓN!K23</f>
        <v>AI</v>
      </c>
      <c r="F64" s="17" t="str">
        <f>CALCULOS_ADECUACIÓN!L23</f>
        <v>ND</v>
      </c>
      <c r="G64">
        <f>CALCULOS_ADECUACIÓN!P23</f>
        <v>10</v>
      </c>
      <c r="H64" t="str">
        <f>CALCULOS_ADECUACIÓN!Q23</f>
        <v>ND EN INTA</v>
      </c>
      <c r="I64" s="178"/>
      <c r="J64" s="178"/>
      <c r="K64" s="178"/>
      <c r="L64" s="178"/>
      <c r="M64" s="178"/>
      <c r="N64" s="178"/>
    </row>
    <row r="65" spans="1:8">
      <c r="A65" t="str">
        <f>CALCULOS_ADECUACIÓN!G24</f>
        <v>Folato</v>
      </c>
      <c r="B65" s="19">
        <f>CALCULOS_ADECUACIÓN!H24</f>
        <v>549.4</v>
      </c>
      <c r="C65" t="str">
        <f>CALCULOS_ADECUACIÓN!I24</f>
        <v>µg DFE</v>
      </c>
      <c r="D65">
        <f>CALCULOS_ADECUACIÓN!J24</f>
        <v>400</v>
      </c>
      <c r="E65" t="str">
        <f>CALCULOS_ADECUACIÓN!K24</f>
        <v>RDA</v>
      </c>
      <c r="F65" s="17">
        <f>CALCULOS_ADECUACIÓN!L24</f>
        <v>137.35</v>
      </c>
      <c r="G65">
        <f>CALCULOS_ADECUACIÓN!P24</f>
        <v>3</v>
      </c>
      <c r="H65" t="str">
        <f>CALCULOS_ADECUACIÓN!Q24</f>
        <v>PARCIAL · 3 ND</v>
      </c>
    </row>
    <row r="66" spans="1:8">
      <c r="A66" t="str">
        <f>CALCULOS_ADECUACIÓN!G25</f>
        <v>Cobalamina</v>
      </c>
      <c r="B66" s="19">
        <f>CALCULOS_ADECUACIÓN!H25</f>
        <v>71.88000000000001</v>
      </c>
      <c r="C66" t="str">
        <f>CALCULOS_ADECUACIÓN!I25</f>
        <v>µg</v>
      </c>
      <c r="D66">
        <f>CALCULOS_ADECUACIÓN!J25</f>
        <v>2.4</v>
      </c>
      <c r="E66" t="str">
        <f>CALCULOS_ADECUACIÓN!K25</f>
        <v>RDA</v>
      </c>
      <c r="F66" s="17">
        <f>CALCULOS_ADECUACIÓN!L25</f>
        <v>2995.0000000000005</v>
      </c>
      <c r="G66">
        <f>CALCULOS_ADECUACIÓN!P25</f>
        <v>2</v>
      </c>
      <c r="H66" t="str">
        <f>CALCULOS_ADECUACIÓN!Q25</f>
        <v>PARCIAL · 2 ND</v>
      </c>
    </row>
  </sheetData>
  <mergeCells count="17">
    <mergeCell ref="I58:N64"/>
    <mergeCell ref="K43:L46"/>
    <mergeCell ref="A7:N7"/>
    <mergeCell ref="A38:N40"/>
    <mergeCell ref="A41:N41"/>
    <mergeCell ref="E9:G12"/>
    <mergeCell ref="I9:K12"/>
    <mergeCell ref="M9:N12"/>
    <mergeCell ref="A9:C12"/>
    <mergeCell ref="I43:J46"/>
    <mergeCell ref="M43:N46"/>
    <mergeCell ref="A37:N37"/>
    <mergeCell ref="A1:N2"/>
    <mergeCell ref="A27:N27"/>
    <mergeCell ref="A3:N3"/>
    <mergeCell ref="I48:N56"/>
    <mergeCell ref="A28:N34"/>
  </mergeCells>
  <conditionalFormatting sqref="E18:E22">
    <cfRule type="dataBar" priority="1">
      <dataBar>
        <cfvo type="min"/>
        <cfvo type="max"/>
        <color rgb="FF1C6B72"/>
      </dataBar>
    </cfRule>
    <cfRule type="dataBar" priority="9">
      <dataBar>
        <cfvo type="min"/>
        <cfvo type="max"/>
        <color rgb="FF1C6B72"/>
      </dataBar>
    </cfRule>
  </conditionalFormatting>
  <conditionalFormatting sqref="F18:F23">
    <cfRule type="expression" dxfId="20" priority="2">
      <formula>OR(F18="DENTRO DEL RANGO",F18="DENTRO DEL AMDR",F18="BAJA")</formula>
    </cfRule>
    <cfRule type="expression" dxfId="19" priority="3">
      <formula>OR(F18="BAJO",F18="FUERA DEL AMDR",F18="MEDIA")</formula>
    </cfRule>
    <cfRule type="expression" dxfId="18" priority="4">
      <formula>OR(F18="SOBRE EL RANGO",F18="ALTA")</formula>
    </cfRule>
    <cfRule type="expression" dxfId="17" priority="5">
      <formula>F18="NO EVALUABLE"</formula>
    </cfRule>
  </conditionalFormatting>
  <conditionalFormatting sqref="H44:H66">
    <cfRule type="expression" dxfId="16" priority="6">
      <formula>LEFT(H44,5)="SOBRE"</formula>
    </cfRule>
    <cfRule type="expression" dxfId="15" priority="7">
      <formula>LEFT(H44,7)="PARCIAL"</formula>
    </cfRule>
    <cfRule type="expression" dxfId="14" priority="8">
      <formula>H44="DENTRO RANGO"</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30"/>
  <sheetViews>
    <sheetView showGridLines="0" zoomScale="85" zoomScaleNormal="85" workbookViewId="0">
      <selection sqref="A1:N2"/>
    </sheetView>
  </sheetViews>
  <sheetFormatPr baseColWidth="10" defaultColWidth="9" defaultRowHeight="14.25"/>
  <cols>
    <col min="1" max="1" width="14" style="30" customWidth="1"/>
    <col min="2" max="2" width="20" style="30" customWidth="1"/>
    <col min="3" max="3" width="22" style="30" customWidth="1"/>
    <col min="4" max="4" width="34" style="30" customWidth="1"/>
    <col min="5" max="5" width="30" style="30" customWidth="1"/>
    <col min="6" max="7" width="34" style="30" customWidth="1"/>
    <col min="8" max="9" width="28" style="30" customWidth="1"/>
    <col min="10" max="10" width="34" style="30" customWidth="1"/>
    <col min="11" max="12" width="22" style="30" customWidth="1"/>
    <col min="13" max="14" width="14" style="30" customWidth="1"/>
    <col min="15" max="15" width="12.625" customWidth="1"/>
  </cols>
  <sheetData>
    <row r="1" spans="1:15">
      <c r="A1" s="155" t="s">
        <v>465</v>
      </c>
      <c r="B1" s="152"/>
      <c r="C1" s="152"/>
      <c r="D1" s="152"/>
      <c r="E1" s="152"/>
      <c r="F1" s="152"/>
      <c r="G1" s="152"/>
      <c r="H1" s="152"/>
      <c r="I1" s="152"/>
      <c r="J1" s="152"/>
      <c r="K1" s="152"/>
      <c r="L1" s="152"/>
      <c r="M1" s="152"/>
      <c r="N1" s="152"/>
    </row>
    <row r="2" spans="1:15">
      <c r="A2" s="152"/>
      <c r="B2" s="152"/>
      <c r="C2" s="152"/>
      <c r="D2" s="152"/>
      <c r="E2" s="152"/>
      <c r="F2" s="152"/>
      <c r="G2" s="152"/>
      <c r="H2" s="152"/>
      <c r="I2" s="152"/>
      <c r="J2" s="152"/>
      <c r="K2" s="152"/>
      <c r="L2" s="152"/>
      <c r="M2" s="152"/>
      <c r="N2" s="152"/>
    </row>
    <row r="3" spans="1:15" ht="15" customHeight="1">
      <c r="A3" s="156" t="s">
        <v>466</v>
      </c>
      <c r="B3" s="152"/>
      <c r="C3" s="152"/>
      <c r="D3" s="152"/>
      <c r="E3" s="152"/>
      <c r="F3" s="152"/>
      <c r="G3" s="152"/>
      <c r="H3" s="152"/>
      <c r="I3" s="152"/>
      <c r="J3" s="152"/>
      <c r="K3" s="152"/>
      <c r="L3" s="152"/>
      <c r="M3" s="152"/>
      <c r="N3" s="152"/>
    </row>
    <row r="5" spans="1:15">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5" ht="45" customHeight="1">
      <c r="A7" s="105" t="s">
        <v>188</v>
      </c>
      <c r="B7" s="106" t="s">
        <v>462</v>
      </c>
      <c r="C7" s="106" t="s">
        <v>217</v>
      </c>
      <c r="D7" s="106" t="s">
        <v>467</v>
      </c>
      <c r="E7" s="106" t="s">
        <v>468</v>
      </c>
      <c r="F7" s="106" t="s">
        <v>469</v>
      </c>
      <c r="G7" s="106" t="s">
        <v>470</v>
      </c>
      <c r="H7" s="106" t="s">
        <v>471</v>
      </c>
      <c r="I7" s="106" t="s">
        <v>472</v>
      </c>
      <c r="J7" s="106" t="s">
        <v>473</v>
      </c>
      <c r="K7" s="106" t="s">
        <v>158</v>
      </c>
      <c r="L7" s="106" t="s">
        <v>113</v>
      </c>
      <c r="M7" s="107" t="s">
        <v>474</v>
      </c>
      <c r="N7" s="107" t="s">
        <v>475</v>
      </c>
      <c r="O7" s="108" t="s">
        <v>347</v>
      </c>
    </row>
    <row r="8" spans="1:15" ht="63" customHeight="1">
      <c r="A8" s="135" t="s">
        <v>225</v>
      </c>
      <c r="B8" s="136" t="s">
        <v>226</v>
      </c>
      <c r="C8" s="136" t="s">
        <v>228</v>
      </c>
      <c r="D8" s="136" t="s">
        <v>476</v>
      </c>
      <c r="E8" s="136" t="s">
        <v>477</v>
      </c>
      <c r="F8" s="136" t="s">
        <v>478</v>
      </c>
      <c r="G8" s="136" t="s">
        <v>479</v>
      </c>
      <c r="H8" s="136" t="s">
        <v>480</v>
      </c>
      <c r="I8" s="136" t="s">
        <v>481</v>
      </c>
      <c r="J8" s="136" t="s">
        <v>482</v>
      </c>
      <c r="K8" s="136" t="s">
        <v>483</v>
      </c>
      <c r="L8" s="136" t="s">
        <v>232</v>
      </c>
      <c r="M8" s="136" t="str">
        <f>IFERROR(IFERROR(INDEX(LISTAS!$AJ$2:$AJ$24,MATCH($A8,LISTAS!$AF$2:$AF$24,0)),"No"),"No")</f>
        <v>Sí</v>
      </c>
      <c r="N8" s="73">
        <f>IFERROR(IFERROR(INDEX(CALCULOS_ADECUACIÓN!$H$3:$H$25,MATCH($A8,CALCULOS_ADECUACIÓN!$F$3:$F$25,0)),"ND"),"ND")</f>
        <v>32.17</v>
      </c>
      <c r="O8" s="109">
        <f>IFERROR(IFERROR(INDEX(CALCULOS_ADECUACIÓN!$L$3:$L$25,MATCH($A8,CALCULOS_ADECUACIÓN!$F$3:$F$25,0)),"ND"),"ND")</f>
        <v>178.72222222222223</v>
      </c>
    </row>
    <row r="9" spans="1:15" ht="63" customHeight="1">
      <c r="A9" s="135" t="s">
        <v>233</v>
      </c>
      <c r="B9" s="136" t="s">
        <v>234</v>
      </c>
      <c r="C9" s="136" t="s">
        <v>228</v>
      </c>
      <c r="D9" s="136" t="s">
        <v>484</v>
      </c>
      <c r="E9" s="136" t="s">
        <v>485</v>
      </c>
      <c r="F9" s="136" t="s">
        <v>486</v>
      </c>
      <c r="G9" s="136" t="s">
        <v>487</v>
      </c>
      <c r="H9" s="136" t="s">
        <v>488</v>
      </c>
      <c r="I9" s="136" t="s">
        <v>489</v>
      </c>
      <c r="J9" s="136" t="s">
        <v>490</v>
      </c>
      <c r="K9" s="136" t="s">
        <v>491</v>
      </c>
      <c r="L9" s="136" t="s">
        <v>232</v>
      </c>
      <c r="M9" s="136" t="str">
        <f>IFERROR(IFERROR(INDEX(LISTAS!$AJ$2:$AJ$24,MATCH($A9,LISTAS!$AF$2:$AF$24,0)),"No"),"No")</f>
        <v>Sí</v>
      </c>
      <c r="N9" s="73">
        <f>IFERROR(IFERROR(INDEX(CALCULOS_ADECUACIÓN!$H$3:$H$25,MATCH($A9,CALCULOS_ADECUACIÓN!$F$3:$F$25,0)),"ND"),"ND")</f>
        <v>13.370000000000001</v>
      </c>
      <c r="O9" s="109">
        <f>IFERROR(IFERROR(INDEX(CALCULOS_ADECUACIÓN!$L$3:$L$25,MATCH($A9,CALCULOS_ADECUACIÓN!$F$3:$F$25,0)),"ND"),"ND")</f>
        <v>167.125</v>
      </c>
    </row>
    <row r="10" spans="1:15" ht="63" customHeight="1">
      <c r="A10" s="135" t="s">
        <v>236</v>
      </c>
      <c r="B10" s="136" t="s">
        <v>237</v>
      </c>
      <c r="C10" s="136" t="s">
        <v>228</v>
      </c>
      <c r="D10" s="136" t="s">
        <v>492</v>
      </c>
      <c r="E10" s="136" t="s">
        <v>493</v>
      </c>
      <c r="F10" s="136" t="s">
        <v>494</v>
      </c>
      <c r="G10" s="136" t="s">
        <v>495</v>
      </c>
      <c r="H10" s="136" t="s">
        <v>496</v>
      </c>
      <c r="I10" s="136" t="s">
        <v>497</v>
      </c>
      <c r="J10" s="136" t="s">
        <v>498</v>
      </c>
      <c r="K10" s="136" t="s">
        <v>499</v>
      </c>
      <c r="L10" s="136" t="s">
        <v>232</v>
      </c>
      <c r="M10" s="136" t="str">
        <f>IFERROR(IFERROR(INDEX(LISTAS!$AJ$2:$AJ$24,MATCH($A10,LISTAS!$AF$2:$AF$24,0)),"No"),"No")</f>
        <v>Sí</v>
      </c>
      <c r="N10" s="73">
        <f>IFERROR(IFERROR(INDEX(CALCULOS_ADECUACIÓN!$H$3:$H$25,MATCH($A10,CALCULOS_ADECUACIÓN!$F$3:$F$25,0)),"ND"),"ND")</f>
        <v>15.95</v>
      </c>
      <c r="O10" s="109">
        <f>IFERROR(IFERROR(INDEX(CALCULOS_ADECUACIÓN!$L$3:$L$25,MATCH($A10,CALCULOS_ADECUACIÓN!$F$3:$F$25,0)),"ND"),"ND")</f>
        <v>1772.2222222222222</v>
      </c>
    </row>
    <row r="11" spans="1:15" ht="85.5" customHeight="1">
      <c r="A11" s="135" t="s">
        <v>239</v>
      </c>
      <c r="B11" s="136" t="s">
        <v>240</v>
      </c>
      <c r="C11" s="136" t="s">
        <v>228</v>
      </c>
      <c r="D11" s="136" t="s">
        <v>500</v>
      </c>
      <c r="E11" s="136" t="s">
        <v>501</v>
      </c>
      <c r="F11" s="136" t="s">
        <v>502</v>
      </c>
      <c r="G11" s="136" t="s">
        <v>503</v>
      </c>
      <c r="H11" s="136" t="s">
        <v>504</v>
      </c>
      <c r="I11" s="136" t="s">
        <v>505</v>
      </c>
      <c r="J11" s="136" t="s">
        <v>506</v>
      </c>
      <c r="K11" s="136" t="s">
        <v>507</v>
      </c>
      <c r="L11" s="136" t="s">
        <v>232</v>
      </c>
      <c r="M11" s="136" t="str">
        <f>IFERROR(IFERROR(INDEX(LISTAS!$AJ$2:$AJ$24,MATCH($A11,LISTAS!$AF$2:$AF$24,0)),"No"),"No")</f>
        <v>Sí</v>
      </c>
      <c r="N11" s="93">
        <f>IFERROR(IFERROR(INDEX(CALCULOS_ADECUACIÓN!$H$3:$H$25,MATCH($A11,CALCULOS_ADECUACIÓN!$F$3:$F$25,0)),"ND"),"ND")</f>
        <v>2121.1999999999998</v>
      </c>
      <c r="O11" s="109">
        <f>IFERROR(IFERROR(INDEX(CALCULOS_ADECUACIÓN!$L$3:$L$25,MATCH($A11,CALCULOS_ADECUACIÓN!$F$3:$F$25,0)),"ND"),"ND")</f>
        <v>212.12</v>
      </c>
    </row>
    <row r="12" spans="1:15" ht="57" customHeight="1">
      <c r="A12" s="135" t="s">
        <v>243</v>
      </c>
      <c r="B12" s="136" t="s">
        <v>244</v>
      </c>
      <c r="C12" s="136" t="s">
        <v>228</v>
      </c>
      <c r="D12" s="136" t="s">
        <v>500</v>
      </c>
      <c r="E12" s="136" t="s">
        <v>508</v>
      </c>
      <c r="F12" s="136" t="s">
        <v>509</v>
      </c>
      <c r="G12" s="136" t="s">
        <v>510</v>
      </c>
      <c r="H12" s="136" t="s">
        <v>511</v>
      </c>
      <c r="I12" s="136" t="s">
        <v>512</v>
      </c>
      <c r="J12" s="136" t="s">
        <v>513</v>
      </c>
      <c r="K12" s="136" t="s">
        <v>514</v>
      </c>
      <c r="L12" s="136" t="s">
        <v>232</v>
      </c>
      <c r="M12" s="136" t="str">
        <f>IFERROR(IFERROR(INDEX(LISTAS!$AJ$2:$AJ$24,MATCH($A12,LISTAS!$AF$2:$AF$24,0)),"No"),"No")</f>
        <v>Sí</v>
      </c>
      <c r="N12" s="78">
        <f>IFERROR(IFERROR(INDEX(CALCULOS_ADECUACIÓN!$H$3:$H$25,MATCH($A12,CALCULOS_ADECUACIÓN!$F$3:$F$25,0)),"ND"),"ND")</f>
        <v>1731.5</v>
      </c>
      <c r="O12" s="109">
        <f>IFERROR(IFERROR(INDEX(CALCULOS_ADECUACIÓN!$L$3:$L$25,MATCH($A12,CALCULOS_ADECUACIÓN!$F$3:$F$25,0)),"ND"),"ND")</f>
        <v>247.35714285714289</v>
      </c>
    </row>
    <row r="13" spans="1:15" ht="57" customHeight="1">
      <c r="A13" s="135" t="s">
        <v>246</v>
      </c>
      <c r="B13" s="136" t="s">
        <v>247</v>
      </c>
      <c r="C13" s="136" t="s">
        <v>228</v>
      </c>
      <c r="D13" s="136" t="s">
        <v>515</v>
      </c>
      <c r="E13" s="136" t="s">
        <v>516</v>
      </c>
      <c r="F13" s="136" t="s">
        <v>517</v>
      </c>
      <c r="G13" s="136" t="s">
        <v>518</v>
      </c>
      <c r="H13" s="136" t="s">
        <v>519</v>
      </c>
      <c r="I13" s="136" t="s">
        <v>520</v>
      </c>
      <c r="J13" s="136" t="s">
        <v>521</v>
      </c>
      <c r="K13" s="136" t="s">
        <v>522</v>
      </c>
      <c r="L13" s="136" t="s">
        <v>232</v>
      </c>
      <c r="M13" s="136" t="str">
        <f>IFERROR(IFERROR(INDEX(LISTAS!$AJ$2:$AJ$24,MATCH($A13,LISTAS!$AF$2:$AF$24,0)),"No"),"No")</f>
        <v>Sí</v>
      </c>
      <c r="N13" s="78">
        <f>IFERROR(IFERROR(INDEX(CALCULOS_ADECUACIÓN!$H$3:$H$25,MATCH($A13,CALCULOS_ADECUACIÓN!$F$3:$F$25,0)),"ND"),"ND")</f>
        <v>279.94</v>
      </c>
      <c r="O13" s="109">
        <f>IFERROR(IFERROR(INDEX(CALCULOS_ADECUACIÓN!$L$3:$L$25,MATCH($A13,CALCULOS_ADECUACIÓN!$F$3:$F$25,0)),"ND"),"ND")</f>
        <v>508.9818181818182</v>
      </c>
    </row>
    <row r="14" spans="1:15" ht="57" customHeight="1">
      <c r="A14" s="135" t="s">
        <v>250</v>
      </c>
      <c r="B14" s="136" t="s">
        <v>251</v>
      </c>
      <c r="C14" s="136" t="s">
        <v>228</v>
      </c>
      <c r="D14" s="136" t="s">
        <v>523</v>
      </c>
      <c r="E14" s="136" t="s">
        <v>524</v>
      </c>
      <c r="F14" s="136" t="s">
        <v>525</v>
      </c>
      <c r="G14" s="136" t="s">
        <v>526</v>
      </c>
      <c r="H14" s="136" t="s">
        <v>527</v>
      </c>
      <c r="I14" s="136" t="s">
        <v>528</v>
      </c>
      <c r="J14" s="136" t="s">
        <v>529</v>
      </c>
      <c r="K14" s="136" t="s">
        <v>530</v>
      </c>
      <c r="L14" s="136" t="s">
        <v>232</v>
      </c>
      <c r="M14" s="136" t="str">
        <f>IFERROR(IFERROR(INDEX(LISTAS!$AJ$2:$AJ$24,MATCH($A14,LISTAS!$AF$2:$AF$24,0)),"No"),"No")</f>
        <v>Sí</v>
      </c>
      <c r="N14" s="78">
        <f>IFERROR(IFERROR(INDEX(CALCULOS_ADECUACIÓN!$H$3:$H$25,MATCH($A14,CALCULOS_ADECUACIÓN!$F$3:$F$25,0)),"ND"),"ND")</f>
        <v>3658.5</v>
      </c>
      <c r="O14" s="109">
        <f>IFERROR(IFERROR(INDEX(CALCULOS_ADECUACIÓN!$L$3:$L$25,MATCH($A14,CALCULOS_ADECUACIÓN!$F$3:$F$25,0)),"ND"),"ND")</f>
        <v>140.71153846153845</v>
      </c>
    </row>
    <row r="15" spans="1:15" ht="71.25" customHeight="1">
      <c r="A15" s="135" t="s">
        <v>255</v>
      </c>
      <c r="B15" s="136" t="s">
        <v>256</v>
      </c>
      <c r="C15" s="136" t="s">
        <v>228</v>
      </c>
      <c r="D15" s="136" t="s">
        <v>531</v>
      </c>
      <c r="E15" s="136" t="s">
        <v>532</v>
      </c>
      <c r="F15" s="136" t="s">
        <v>533</v>
      </c>
      <c r="G15" s="136" t="s">
        <v>534</v>
      </c>
      <c r="H15" s="136" t="s">
        <v>535</v>
      </c>
      <c r="I15" s="136" t="s">
        <v>536</v>
      </c>
      <c r="J15" s="136" t="s">
        <v>537</v>
      </c>
      <c r="K15" s="136" t="s">
        <v>538</v>
      </c>
      <c r="L15" s="136" t="s">
        <v>232</v>
      </c>
      <c r="M15" s="136" t="str">
        <f>IFERROR(IFERROR(INDEX(LISTAS!$AJ$2:$AJ$24,MATCH($A15,LISTAS!$AF$2:$AF$24,0)),"No"),"No")</f>
        <v>Sí</v>
      </c>
      <c r="N15" s="78">
        <f>IFERROR(IFERROR(INDEX(CALCULOS_ADECUACIÓN!$H$3:$H$25,MATCH($A15,CALCULOS_ADECUACIÓN!$F$3:$F$25,0)),"ND"),"ND")</f>
        <v>617.4</v>
      </c>
      <c r="O15" s="109">
        <f>IFERROR(IFERROR(INDEX(CALCULOS_ADECUACIÓN!$L$3:$L$25,MATCH($A15,CALCULOS_ADECUACIÓN!$F$3:$F$25,0)),"ND"),"ND")</f>
        <v>199.16129032258064</v>
      </c>
    </row>
    <row r="16" spans="1:15" ht="57" customHeight="1">
      <c r="A16" s="135" t="s">
        <v>258</v>
      </c>
      <c r="B16" s="136" t="s">
        <v>259</v>
      </c>
      <c r="C16" s="136" t="s">
        <v>228</v>
      </c>
      <c r="D16" s="136" t="s">
        <v>539</v>
      </c>
      <c r="E16" s="136" t="s">
        <v>540</v>
      </c>
      <c r="F16" s="136" t="s">
        <v>541</v>
      </c>
      <c r="G16" s="136" t="s">
        <v>542</v>
      </c>
      <c r="H16" s="136" t="s">
        <v>543</v>
      </c>
      <c r="I16" s="136" t="s">
        <v>544</v>
      </c>
      <c r="J16" s="136" t="s">
        <v>545</v>
      </c>
      <c r="K16" s="136" t="s">
        <v>546</v>
      </c>
      <c r="L16" s="136" t="s">
        <v>232</v>
      </c>
      <c r="M16" s="136" t="str">
        <f>IFERROR(IFERROR(INDEX(LISTAS!$AJ$2:$AJ$24,MATCH($A16,LISTAS!$AF$2:$AF$24,0)),"No"),"No")</f>
        <v>Sí</v>
      </c>
      <c r="N16" s="78">
        <f>IFERROR(IFERROR(INDEX(CALCULOS_ADECUACIÓN!$H$3:$H$25,MATCH($A16,CALCULOS_ADECUACIÓN!$F$3:$F$25,0)),"ND"),"ND")</f>
        <v>1078.2</v>
      </c>
      <c r="O16" s="109">
        <f>IFERROR(IFERROR(INDEX(CALCULOS_ADECUACIÓN!$L$3:$L$25,MATCH($A16,CALCULOS_ADECUACIÓN!$F$3:$F$25,0)),"ND"),"ND")</f>
        <v>71.88</v>
      </c>
    </row>
    <row r="17" spans="1:22" ht="57" customHeight="1">
      <c r="A17" s="135" t="s">
        <v>262</v>
      </c>
      <c r="B17" s="136" t="s">
        <v>263</v>
      </c>
      <c r="C17" s="136" t="s">
        <v>228</v>
      </c>
      <c r="D17" s="136" t="s">
        <v>547</v>
      </c>
      <c r="E17" s="136" t="s">
        <v>540</v>
      </c>
      <c r="F17" s="136" t="s">
        <v>548</v>
      </c>
      <c r="G17" s="136" t="s">
        <v>549</v>
      </c>
      <c r="H17" s="136" t="s">
        <v>550</v>
      </c>
      <c r="I17" s="136" t="s">
        <v>551</v>
      </c>
      <c r="J17" s="136" t="s">
        <v>552</v>
      </c>
      <c r="K17" s="136" t="s">
        <v>553</v>
      </c>
      <c r="L17" s="136" t="s">
        <v>232</v>
      </c>
      <c r="M17" s="136" t="str">
        <f>IFERROR(IFERROR(INDEX(LISTAS!$AJ$2:$AJ$24,MATCH($A17,LISTAS!$AF$2:$AF$24,0)),"No"),"No")</f>
        <v>No</v>
      </c>
      <c r="N17" s="78" t="str">
        <f>IFERROR(IFERROR(INDEX(CALCULOS_ADECUACIÓN!$H$3:$H$25,MATCH($A17,CALCULOS_ADECUACIÓN!$F$3:$F$25,0)),"ND"),"ND")</f>
        <v>ND</v>
      </c>
      <c r="O17" s="109" t="str">
        <f>IFERROR(IFERROR(INDEX(CALCULOS_ADECUACIÓN!$L$3:$L$25,MATCH($A17,CALCULOS_ADECUACIÓN!$F$3:$F$25,0)),"ND"),"ND")</f>
        <v>ND</v>
      </c>
    </row>
    <row r="18" spans="1:22" ht="57" customHeight="1">
      <c r="A18" s="135" t="s">
        <v>266</v>
      </c>
      <c r="B18" s="136" t="s">
        <v>267</v>
      </c>
      <c r="C18" s="136" t="s">
        <v>269</v>
      </c>
      <c r="D18" s="136" t="s">
        <v>554</v>
      </c>
      <c r="E18" s="136" t="s">
        <v>493</v>
      </c>
      <c r="F18" s="136" t="s">
        <v>555</v>
      </c>
      <c r="G18" s="136" t="s">
        <v>556</v>
      </c>
      <c r="H18" s="136" t="s">
        <v>557</v>
      </c>
      <c r="I18" s="136" t="s">
        <v>558</v>
      </c>
      <c r="J18" s="136" t="s">
        <v>559</v>
      </c>
      <c r="K18" s="136" t="s">
        <v>560</v>
      </c>
      <c r="L18" s="136" t="s">
        <v>232</v>
      </c>
      <c r="M18" s="136" t="str">
        <f>IFERROR(IFERROR(INDEX(LISTAS!$AJ$2:$AJ$24,MATCH($A18,LISTAS!$AF$2:$AF$24,0)),"No"),"No")</f>
        <v>Sí</v>
      </c>
      <c r="N18" s="78">
        <f>IFERROR(IFERROR(INDEX(CALCULOS_ADECUACIÓN!$H$3:$H$25,MATCH($A18,CALCULOS_ADECUACIÓN!$F$3:$F$25,0)),"ND"),"ND")</f>
        <v>10197.9</v>
      </c>
      <c r="O18" s="109">
        <f>IFERROR(IFERROR(INDEX(CALCULOS_ADECUACIÓN!$L$3:$L$25,MATCH($A18,CALCULOS_ADECUACIÓN!$F$3:$F$25,0)),"ND"),"ND")</f>
        <v>1456.8428571428572</v>
      </c>
    </row>
    <row r="19" spans="1:22" ht="57" customHeight="1">
      <c r="A19" s="135" t="s">
        <v>272</v>
      </c>
      <c r="B19" s="136" t="s">
        <v>273</v>
      </c>
      <c r="C19" s="136" t="s">
        <v>269</v>
      </c>
      <c r="D19" s="136" t="s">
        <v>561</v>
      </c>
      <c r="E19" s="136" t="s">
        <v>562</v>
      </c>
      <c r="F19" s="136" t="s">
        <v>563</v>
      </c>
      <c r="G19" s="136" t="s">
        <v>564</v>
      </c>
      <c r="H19" s="136" t="s">
        <v>565</v>
      </c>
      <c r="I19" s="136" t="s">
        <v>566</v>
      </c>
      <c r="J19" s="136" t="s">
        <v>567</v>
      </c>
      <c r="K19" s="136" t="s">
        <v>568</v>
      </c>
      <c r="L19" s="136" t="s">
        <v>232</v>
      </c>
      <c r="M19" s="136" t="str">
        <f>IFERROR(IFERROR(INDEX(LISTAS!$AJ$2:$AJ$24,MATCH($A19,LISTAS!$AF$2:$AF$24,0)),"No"),"No")</f>
        <v>Sí</v>
      </c>
      <c r="N19" s="78">
        <f>IFERROR(IFERROR(INDEX(CALCULOS_ADECUACIÓN!$H$3:$H$25,MATCH($A19,CALCULOS_ADECUACIÓN!$F$3:$F$25,0)),"ND"),"ND")</f>
        <v>3.37</v>
      </c>
      <c r="O19" s="109">
        <f>IFERROR(IFERROR(INDEX(CALCULOS_ADECUACIÓN!$L$3:$L$25,MATCH($A19,CALCULOS_ADECUACIÓN!$F$3:$F$25,0)),"ND"),"ND")</f>
        <v>22.466666666666669</v>
      </c>
    </row>
    <row r="20" spans="1:22" ht="57" customHeight="1">
      <c r="A20" s="135" t="s">
        <v>275</v>
      </c>
      <c r="B20" s="136" t="s">
        <v>276</v>
      </c>
      <c r="C20" s="136" t="s">
        <v>269</v>
      </c>
      <c r="D20" s="136" t="s">
        <v>569</v>
      </c>
      <c r="E20" s="136" t="s">
        <v>570</v>
      </c>
      <c r="F20" s="136" t="s">
        <v>571</v>
      </c>
      <c r="G20" s="136" t="s">
        <v>572</v>
      </c>
      <c r="H20" s="136" t="s">
        <v>573</v>
      </c>
      <c r="I20" s="136" t="s">
        <v>574</v>
      </c>
      <c r="J20" s="136" t="s">
        <v>575</v>
      </c>
      <c r="K20" s="136" t="s">
        <v>576</v>
      </c>
      <c r="L20" s="136" t="s">
        <v>232</v>
      </c>
      <c r="M20" s="136" t="str">
        <f>IFERROR(IFERROR(INDEX(LISTAS!$AJ$2:$AJ$24,MATCH($A20,LISTAS!$AF$2:$AF$24,0)),"No"),"No")</f>
        <v>Sí</v>
      </c>
      <c r="N20" s="78">
        <f>IFERROR(IFERROR(INDEX(CALCULOS_ADECUACIÓN!$H$3:$H$25,MATCH($A20,CALCULOS_ADECUACIÓN!$F$3:$F$25,0)),"ND"),"ND")</f>
        <v>4.22</v>
      </c>
      <c r="O20" s="109">
        <f>IFERROR(IFERROR(INDEX(CALCULOS_ADECUACIÓN!$L$3:$L$25,MATCH($A20,CALCULOS_ADECUACIÓN!$F$3:$F$25,0)),"ND"),"ND")</f>
        <v>28.133333333333333</v>
      </c>
    </row>
    <row r="21" spans="1:22" ht="42.75" customHeight="1">
      <c r="A21" s="135" t="s">
        <v>278</v>
      </c>
      <c r="B21" s="136" t="s">
        <v>279</v>
      </c>
      <c r="C21" s="136" t="s">
        <v>269</v>
      </c>
      <c r="D21" s="136" t="s">
        <v>577</v>
      </c>
      <c r="E21" s="136" t="s">
        <v>578</v>
      </c>
      <c r="F21" s="136" t="s">
        <v>579</v>
      </c>
      <c r="G21" s="136" t="s">
        <v>580</v>
      </c>
      <c r="H21" s="136" t="s">
        <v>581</v>
      </c>
      <c r="I21" s="136" t="s">
        <v>582</v>
      </c>
      <c r="J21" s="136" t="s">
        <v>583</v>
      </c>
      <c r="K21" s="136" t="s">
        <v>584</v>
      </c>
      <c r="L21" s="136" t="s">
        <v>232</v>
      </c>
      <c r="M21" s="136" t="str">
        <f>IFERROR(IFERROR(INDEX(LISTAS!$AJ$2:$AJ$24,MATCH($A21,LISTAS!$AF$2:$AF$24,0)),"No"),"No")</f>
        <v>Sí</v>
      </c>
      <c r="N21" s="78">
        <f>IFERROR(IFERROR(INDEX(CALCULOS_ADECUACIÓN!$H$3:$H$25,MATCH($A21,CALCULOS_ADECUACIÓN!$F$3:$F$25,0)),"ND"),"ND")</f>
        <v>504.04</v>
      </c>
      <c r="O21" s="109">
        <f>IFERROR(IFERROR(INDEX(CALCULOS_ADECUACIÓN!$L$3:$L$25,MATCH($A21,CALCULOS_ADECUACIÓN!$F$3:$F$25,0)),"ND"),"ND")</f>
        <v>560.04444444444448</v>
      </c>
    </row>
    <row r="22" spans="1:22" ht="57" customHeight="1">
      <c r="A22" s="135" t="s">
        <v>280</v>
      </c>
      <c r="B22" s="136" t="s">
        <v>281</v>
      </c>
      <c r="C22" s="136" t="s">
        <v>283</v>
      </c>
      <c r="D22" s="136" t="s">
        <v>585</v>
      </c>
      <c r="E22" s="136" t="s">
        <v>586</v>
      </c>
      <c r="F22" s="136" t="s">
        <v>587</v>
      </c>
      <c r="G22" s="136" t="s">
        <v>588</v>
      </c>
      <c r="H22" s="136" t="s">
        <v>589</v>
      </c>
      <c r="I22" s="136" t="s">
        <v>590</v>
      </c>
      <c r="J22" s="136" t="s">
        <v>591</v>
      </c>
      <c r="K22" s="136" t="s">
        <v>592</v>
      </c>
      <c r="L22" s="136" t="s">
        <v>232</v>
      </c>
      <c r="M22" s="136" t="str">
        <f>IFERROR(IFERROR(INDEX(LISTAS!$AJ$2:$AJ$24,MATCH($A22,LISTAS!$AF$2:$AF$24,0)),"No"),"No")</f>
        <v>Sí</v>
      </c>
      <c r="N22" s="78">
        <f>IFERROR(IFERROR(INDEX(CALCULOS_ADECUACIÓN!$H$3:$H$25,MATCH($A22,CALCULOS_ADECUACIÓN!$F$3:$F$25,0)),"ND"),"ND")</f>
        <v>79.349999999999994</v>
      </c>
      <c r="O22" s="109">
        <f>IFERROR(IFERROR(INDEX(CALCULOS_ADECUACIÓN!$L$3:$L$25,MATCH($A22,CALCULOS_ADECUACIÓN!$F$3:$F$25,0)),"ND"),"ND")</f>
        <v>105.79999999999998</v>
      </c>
    </row>
    <row r="23" spans="1:22" ht="57" customHeight="1">
      <c r="A23" s="135" t="s">
        <v>285</v>
      </c>
      <c r="B23" s="136" t="s">
        <v>286</v>
      </c>
      <c r="C23" s="136" t="s">
        <v>283</v>
      </c>
      <c r="D23" s="136" t="s">
        <v>593</v>
      </c>
      <c r="E23" s="136" t="s">
        <v>594</v>
      </c>
      <c r="F23" s="136" t="s">
        <v>595</v>
      </c>
      <c r="G23" s="136" t="s">
        <v>596</v>
      </c>
      <c r="H23" s="136" t="s">
        <v>597</v>
      </c>
      <c r="I23" s="136" t="s">
        <v>598</v>
      </c>
      <c r="J23" s="136" t="s">
        <v>599</v>
      </c>
      <c r="K23" s="136" t="s">
        <v>600</v>
      </c>
      <c r="L23" s="136" t="s">
        <v>232</v>
      </c>
      <c r="M23" s="136" t="str">
        <f>IFERROR(IFERROR(INDEX(LISTAS!$AJ$2:$AJ$24,MATCH($A23,LISTAS!$AF$2:$AF$24,0)),"No"),"No")</f>
        <v>Sí</v>
      </c>
      <c r="N23" s="78">
        <f>IFERROR(IFERROR(INDEX(CALCULOS_ADECUACIÓN!$H$3:$H$25,MATCH($A23,CALCULOS_ADECUACIÓN!$F$3:$F$25,0)),"ND"),"ND")</f>
        <v>1.95</v>
      </c>
      <c r="O23" s="109">
        <f>IFERROR(IFERROR(INDEX(CALCULOS_ADECUACIÓN!$L$3:$L$25,MATCH($A23,CALCULOS_ADECUACIÓN!$F$3:$F$25,0)),"ND"),"ND")</f>
        <v>177.27272727272725</v>
      </c>
    </row>
    <row r="24" spans="1:22" ht="42.75" customHeight="1">
      <c r="A24" s="135" t="s">
        <v>289</v>
      </c>
      <c r="B24" s="136" t="s">
        <v>290</v>
      </c>
      <c r="C24" s="136" t="s">
        <v>283</v>
      </c>
      <c r="D24" s="136" t="s">
        <v>601</v>
      </c>
      <c r="E24" s="136" t="s">
        <v>602</v>
      </c>
      <c r="F24" s="136" t="s">
        <v>603</v>
      </c>
      <c r="G24" s="136" t="s">
        <v>604</v>
      </c>
      <c r="H24" s="136" t="s">
        <v>605</v>
      </c>
      <c r="I24" s="136" t="s">
        <v>606</v>
      </c>
      <c r="J24" s="136" t="s">
        <v>607</v>
      </c>
      <c r="K24" s="136" t="s">
        <v>608</v>
      </c>
      <c r="L24" s="136" t="s">
        <v>232</v>
      </c>
      <c r="M24" s="136" t="str">
        <f>IFERROR(IFERROR(INDEX(LISTAS!$AJ$2:$AJ$24,MATCH($A24,LISTAS!$AF$2:$AF$24,0)),"No"),"No")</f>
        <v>Sí</v>
      </c>
      <c r="N24" s="78">
        <f>IFERROR(IFERROR(INDEX(CALCULOS_ADECUACIÓN!$H$3:$H$25,MATCH($A24,CALCULOS_ADECUACIÓN!$F$3:$F$25,0)),"ND"),"ND")</f>
        <v>5.07</v>
      </c>
      <c r="O24" s="109">
        <f>IFERROR(IFERROR(INDEX(CALCULOS_ADECUACIÓN!$L$3:$L$25,MATCH($A24,CALCULOS_ADECUACIÓN!$F$3:$F$25,0)),"ND"),"ND")</f>
        <v>460.90909090909093</v>
      </c>
    </row>
    <row r="25" spans="1:22" ht="57" customHeight="1">
      <c r="A25" s="135" t="s">
        <v>292</v>
      </c>
      <c r="B25" s="136" t="s">
        <v>293</v>
      </c>
      <c r="C25" s="136" t="s">
        <v>283</v>
      </c>
      <c r="D25" s="136" t="s">
        <v>609</v>
      </c>
      <c r="E25" s="136" t="s">
        <v>610</v>
      </c>
      <c r="F25" s="136" t="s">
        <v>611</v>
      </c>
      <c r="G25" s="136" t="s">
        <v>612</v>
      </c>
      <c r="H25" s="136" t="s">
        <v>613</v>
      </c>
      <c r="I25" s="136" t="s">
        <v>614</v>
      </c>
      <c r="J25" s="136" t="s">
        <v>615</v>
      </c>
      <c r="K25" s="136" t="s">
        <v>616</v>
      </c>
      <c r="L25" s="136" t="s">
        <v>232</v>
      </c>
      <c r="M25" s="136" t="str">
        <f>IFERROR(IFERROR(INDEX(LISTAS!$AJ$2:$AJ$24,MATCH($A25,LISTAS!$AF$2:$AF$24,0)),"No"),"No")</f>
        <v>Sí</v>
      </c>
      <c r="N25" s="78">
        <f>IFERROR(IFERROR(INDEX(CALCULOS_ADECUACIÓN!$H$3:$H$25,MATCH($A25,CALCULOS_ADECUACIÓN!$F$3:$F$25,0)),"ND"),"ND")</f>
        <v>29.42</v>
      </c>
      <c r="O25" s="109">
        <f>IFERROR(IFERROR(INDEX(CALCULOS_ADECUACIÓN!$L$3:$L$25,MATCH($A25,CALCULOS_ADECUACIÓN!$F$3:$F$25,0)),"ND"),"ND")</f>
        <v>210.14285714285714</v>
      </c>
      <c r="V25" s="112"/>
    </row>
    <row r="26" spans="1:22" ht="57" customHeight="1">
      <c r="A26" s="135" t="s">
        <v>296</v>
      </c>
      <c r="B26" s="136" t="s">
        <v>297</v>
      </c>
      <c r="C26" s="136" t="s">
        <v>283</v>
      </c>
      <c r="D26" s="136" t="s">
        <v>617</v>
      </c>
      <c r="E26" s="136" t="s">
        <v>618</v>
      </c>
      <c r="F26" s="136" t="s">
        <v>619</v>
      </c>
      <c r="G26" s="136" t="s">
        <v>620</v>
      </c>
      <c r="H26" s="136" t="s">
        <v>621</v>
      </c>
      <c r="I26" s="136" t="s">
        <v>622</v>
      </c>
      <c r="J26" s="136" t="s">
        <v>623</v>
      </c>
      <c r="K26" s="136" t="s">
        <v>624</v>
      </c>
      <c r="L26" s="136" t="s">
        <v>232</v>
      </c>
      <c r="M26" s="136" t="str">
        <f>IFERROR(IFERROR(INDEX(LISTAS!$AJ$2:$AJ$24,MATCH($A26,LISTAS!$AF$2:$AF$24,0)),"No"),"No")</f>
        <v>Sí</v>
      </c>
      <c r="N26" s="78">
        <f>IFERROR(IFERROR(INDEX(CALCULOS_ADECUACIÓN!$H$3:$H$25,MATCH($A26,CALCULOS_ADECUACIÓN!$F$3:$F$25,0)),"ND"),"ND")</f>
        <v>9.58</v>
      </c>
      <c r="O26" s="109">
        <f>IFERROR(IFERROR(INDEX(CALCULOS_ADECUACIÓN!$L$3:$L$25,MATCH($A26,CALCULOS_ADECUACIÓN!$F$3:$F$25,0)),"ND"),"ND")</f>
        <v>191.6</v>
      </c>
    </row>
    <row r="27" spans="1:22" ht="57" customHeight="1">
      <c r="A27" s="135" t="s">
        <v>299</v>
      </c>
      <c r="B27" s="136" t="s">
        <v>300</v>
      </c>
      <c r="C27" s="136" t="s">
        <v>283</v>
      </c>
      <c r="D27" s="136" t="s">
        <v>625</v>
      </c>
      <c r="E27" s="136" t="s">
        <v>626</v>
      </c>
      <c r="F27" s="136" t="s">
        <v>627</v>
      </c>
      <c r="G27" s="136" t="s">
        <v>628</v>
      </c>
      <c r="H27" s="136" t="s">
        <v>629</v>
      </c>
      <c r="I27" s="136" t="s">
        <v>630</v>
      </c>
      <c r="J27" s="136" t="s">
        <v>631</v>
      </c>
      <c r="K27" s="136" t="s">
        <v>632</v>
      </c>
      <c r="L27" s="136" t="s">
        <v>232</v>
      </c>
      <c r="M27" s="136" t="str">
        <f>IFERROR(IFERROR(INDEX(LISTAS!$AJ$2:$AJ$24,MATCH($A27,LISTAS!$AF$2:$AF$24,0)),"No"),"No")</f>
        <v>Sí</v>
      </c>
      <c r="N27" s="78">
        <f>IFERROR(IFERROR(INDEX(CALCULOS_ADECUACIÓN!$H$3:$H$25,MATCH($A27,CALCULOS_ADECUACIÓN!$F$3:$F$25,0)),"ND"),"ND")</f>
        <v>2.25</v>
      </c>
      <c r="O27" s="109">
        <f>IFERROR(IFERROR(INDEX(CALCULOS_ADECUACIÓN!$L$3:$L$25,MATCH($A27,CALCULOS_ADECUACIÓN!$F$3:$F$25,0)),"ND"),"ND")</f>
        <v>173.07692307692307</v>
      </c>
    </row>
    <row r="28" spans="1:22" ht="57" customHeight="1">
      <c r="A28" s="135" t="s">
        <v>302</v>
      </c>
      <c r="B28" s="136" t="s">
        <v>303</v>
      </c>
      <c r="C28" s="136" t="s">
        <v>283</v>
      </c>
      <c r="D28" s="136" t="s">
        <v>633</v>
      </c>
      <c r="E28" s="136" t="s">
        <v>634</v>
      </c>
      <c r="F28" s="136" t="s">
        <v>635</v>
      </c>
      <c r="G28" s="136" t="s">
        <v>636</v>
      </c>
      <c r="H28" s="136" t="s">
        <v>637</v>
      </c>
      <c r="I28" s="136" t="s">
        <v>622</v>
      </c>
      <c r="J28" s="136" t="s">
        <v>638</v>
      </c>
      <c r="K28" s="136" t="s">
        <v>639</v>
      </c>
      <c r="L28" s="136" t="s">
        <v>232</v>
      </c>
      <c r="M28" s="136" t="str">
        <f>IFERROR(IFERROR(INDEX(LISTAS!$AJ$2:$AJ$24,MATCH($A28,LISTAS!$AF$2:$AF$24,0)),"No"),"No")</f>
        <v>No</v>
      </c>
      <c r="N28" s="78" t="str">
        <f>IFERROR(IFERROR(INDEX(CALCULOS_ADECUACIÓN!$H$3:$H$25,MATCH($A28,CALCULOS_ADECUACIÓN!$F$3:$F$25,0)),"ND"),"ND")</f>
        <v>ND</v>
      </c>
      <c r="O28" s="109" t="str">
        <f>IFERROR(IFERROR(INDEX(CALCULOS_ADECUACIÓN!$L$3:$L$25,MATCH($A28,CALCULOS_ADECUACIÓN!$F$3:$F$25,0)),"ND"),"ND")</f>
        <v>ND</v>
      </c>
    </row>
    <row r="29" spans="1:22" ht="71.25" customHeight="1">
      <c r="A29" s="135" t="s">
        <v>305</v>
      </c>
      <c r="B29" s="136" t="s">
        <v>306</v>
      </c>
      <c r="C29" s="136" t="s">
        <v>283</v>
      </c>
      <c r="D29" s="136" t="s">
        <v>640</v>
      </c>
      <c r="E29" s="136" t="s">
        <v>641</v>
      </c>
      <c r="F29" s="136" t="s">
        <v>642</v>
      </c>
      <c r="G29" s="136" t="s">
        <v>643</v>
      </c>
      <c r="H29" s="136" t="s">
        <v>644</v>
      </c>
      <c r="I29" s="136" t="s">
        <v>645</v>
      </c>
      <c r="J29" s="136" t="s">
        <v>646</v>
      </c>
      <c r="K29" s="136" t="s">
        <v>647</v>
      </c>
      <c r="L29" s="136" t="s">
        <v>232</v>
      </c>
      <c r="M29" s="136" t="str">
        <f>IFERROR(IFERROR(INDEX(LISTAS!$AJ$2:$AJ$24,MATCH($A29,LISTAS!$AF$2:$AF$24,0)),"No"),"No")</f>
        <v>Sí</v>
      </c>
      <c r="N29" s="78">
        <f>IFERROR(IFERROR(INDEX(CALCULOS_ADECUACIÓN!$H$3:$H$25,MATCH($A29,CALCULOS_ADECUACIÓN!$F$3:$F$25,0)),"ND"),"ND")</f>
        <v>549.4</v>
      </c>
      <c r="O29" s="109">
        <f>IFERROR(IFERROR(INDEX(CALCULOS_ADECUACIÓN!$L$3:$L$25,MATCH($A29,CALCULOS_ADECUACIÓN!$F$3:$F$25,0)),"ND"),"ND")</f>
        <v>137.35</v>
      </c>
    </row>
    <row r="30" spans="1:22" ht="71.25" customHeight="1">
      <c r="A30" s="135" t="s">
        <v>309</v>
      </c>
      <c r="B30" s="136" t="s">
        <v>310</v>
      </c>
      <c r="C30" s="136" t="s">
        <v>283</v>
      </c>
      <c r="D30" s="136" t="s">
        <v>648</v>
      </c>
      <c r="E30" s="136" t="s">
        <v>649</v>
      </c>
      <c r="F30" s="136" t="s">
        <v>650</v>
      </c>
      <c r="G30" s="136" t="s">
        <v>651</v>
      </c>
      <c r="H30" s="136" t="s">
        <v>652</v>
      </c>
      <c r="I30" s="136" t="s">
        <v>653</v>
      </c>
      <c r="J30" s="136" t="s">
        <v>654</v>
      </c>
      <c r="K30" s="136" t="s">
        <v>655</v>
      </c>
      <c r="L30" s="136" t="s">
        <v>232</v>
      </c>
      <c r="M30" s="136" t="str">
        <f>IFERROR(IFERROR(INDEX(LISTAS!$AJ$2:$AJ$24,MATCH($A30,LISTAS!$AF$2:$AF$24,0)),"No"),"No")</f>
        <v>Sí</v>
      </c>
      <c r="N30" s="110">
        <f>IFERROR(IFERROR(INDEX(CALCULOS_ADECUACIÓN!$H$3:$H$25,MATCH($A30,CALCULOS_ADECUACIÓN!$F$3:$F$25,0)),"ND"),"ND")</f>
        <v>71.88000000000001</v>
      </c>
      <c r="O30" s="111">
        <f>IFERROR(IFERROR(INDEX(CALCULOS_ADECUACIÓN!$L$3:$L$25,MATCH($A30,CALCULOS_ADECUACIÓN!$F$3:$F$25,0)),"ND"),"ND")</f>
        <v>2995.0000000000005</v>
      </c>
    </row>
  </sheetData>
  <mergeCells count="2">
    <mergeCell ref="A1:N2"/>
    <mergeCell ref="A3:N3"/>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4"/>
  <sheetViews>
    <sheetView showGridLines="0" topLeftCell="A22" zoomScale="85" zoomScaleNormal="85" workbookViewId="0">
      <selection activeCell="C51" sqref="C51"/>
    </sheetView>
  </sheetViews>
  <sheetFormatPr baseColWidth="10" defaultColWidth="9" defaultRowHeight="14.25"/>
  <cols>
    <col min="1" max="3" width="20" style="30" customWidth="1"/>
    <col min="4" max="4" width="28.375" style="30" customWidth="1"/>
    <col min="5" max="5" width="20" style="30" customWidth="1"/>
    <col min="6" max="6" width="23.625" style="30" customWidth="1"/>
    <col min="7" max="11" width="20" style="30" customWidth="1"/>
    <col min="12" max="12" width="27.25" style="30" customWidth="1"/>
    <col min="13" max="14" width="14" style="30" customWidth="1"/>
  </cols>
  <sheetData>
    <row r="1" spans="1:14">
      <c r="A1" s="155" t="s">
        <v>656</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657</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137" t="s">
        <v>158</v>
      </c>
      <c r="B7" s="137" t="s">
        <v>658</v>
      </c>
      <c r="C7" s="137" t="s">
        <v>659</v>
      </c>
      <c r="D7" s="137" t="s">
        <v>660</v>
      </c>
      <c r="E7" s="137" t="s">
        <v>194</v>
      </c>
      <c r="F7" s="137" t="s">
        <v>382</v>
      </c>
      <c r="G7" s="137" t="s">
        <v>661</v>
      </c>
      <c r="H7" s="137" t="s">
        <v>662</v>
      </c>
      <c r="I7" s="137" t="s">
        <v>663</v>
      </c>
      <c r="J7" s="137" t="s">
        <v>664</v>
      </c>
      <c r="K7" s="137" t="s">
        <v>113</v>
      </c>
      <c r="L7" s="137" t="s">
        <v>195</v>
      </c>
    </row>
    <row r="8" spans="1:14" ht="42.75" customHeight="1">
      <c r="A8" s="120" t="s">
        <v>665</v>
      </c>
      <c r="B8" s="120" t="s">
        <v>666</v>
      </c>
      <c r="C8" s="120" t="s">
        <v>667</v>
      </c>
      <c r="D8" s="120" t="s">
        <v>668</v>
      </c>
      <c r="E8" s="120">
        <v>2026</v>
      </c>
      <c r="F8" s="120" t="s">
        <v>669</v>
      </c>
      <c r="G8" s="120" t="s">
        <v>670</v>
      </c>
      <c r="H8" s="120" t="s">
        <v>671</v>
      </c>
      <c r="I8" s="121">
        <v>46236</v>
      </c>
      <c r="J8" s="120" t="s">
        <v>672</v>
      </c>
      <c r="K8" s="120" t="s">
        <v>673</v>
      </c>
      <c r="L8" s="120" t="s">
        <v>674</v>
      </c>
    </row>
    <row r="9" spans="1:14" ht="71.25" customHeight="1">
      <c r="A9" s="120" t="s">
        <v>675</v>
      </c>
      <c r="B9" s="120" t="s">
        <v>676</v>
      </c>
      <c r="C9" s="120" t="s">
        <v>677</v>
      </c>
      <c r="D9" s="120" t="s">
        <v>678</v>
      </c>
      <c r="E9" s="120">
        <v>2026</v>
      </c>
      <c r="F9" s="120" t="s">
        <v>679</v>
      </c>
      <c r="G9" s="120" t="s">
        <v>670</v>
      </c>
      <c r="H9" s="120" t="s">
        <v>671</v>
      </c>
      <c r="I9" s="121">
        <v>46236</v>
      </c>
      <c r="J9" s="120" t="s">
        <v>680</v>
      </c>
      <c r="K9" s="120" t="s">
        <v>673</v>
      </c>
      <c r="L9" s="120" t="s">
        <v>681</v>
      </c>
    </row>
    <row r="10" spans="1:14" ht="57" customHeight="1">
      <c r="A10" s="120" t="s">
        <v>682</v>
      </c>
      <c r="B10" s="120" t="s">
        <v>683</v>
      </c>
      <c r="C10" s="120" t="s">
        <v>684</v>
      </c>
      <c r="D10" s="120" t="s">
        <v>685</v>
      </c>
      <c r="E10" s="120">
        <v>2004</v>
      </c>
      <c r="F10" s="120" t="s">
        <v>686</v>
      </c>
      <c r="G10" s="120" t="s">
        <v>670</v>
      </c>
      <c r="H10" s="120" t="s">
        <v>687</v>
      </c>
      <c r="I10" s="121">
        <v>46236</v>
      </c>
      <c r="J10" s="120" t="s">
        <v>688</v>
      </c>
      <c r="K10" s="120" t="s">
        <v>673</v>
      </c>
      <c r="L10" s="120" t="s">
        <v>689</v>
      </c>
    </row>
    <row r="11" spans="1:14" ht="57" customHeight="1">
      <c r="A11" s="120" t="s">
        <v>690</v>
      </c>
      <c r="B11" s="120" t="s">
        <v>691</v>
      </c>
      <c r="C11" s="120" t="s">
        <v>692</v>
      </c>
      <c r="D11" s="120" t="s">
        <v>693</v>
      </c>
      <c r="E11" s="120">
        <v>1985</v>
      </c>
      <c r="F11" s="120" t="s">
        <v>694</v>
      </c>
      <c r="G11" s="120" t="s">
        <v>670</v>
      </c>
      <c r="H11" s="120" t="s">
        <v>695</v>
      </c>
      <c r="I11" s="121">
        <v>46236</v>
      </c>
      <c r="J11" s="120" t="s">
        <v>688</v>
      </c>
      <c r="K11" s="120" t="s">
        <v>673</v>
      </c>
      <c r="L11" s="120" t="s">
        <v>696</v>
      </c>
    </row>
    <row r="12" spans="1:14" ht="42.75" customHeight="1">
      <c r="A12" s="120" t="s">
        <v>697</v>
      </c>
      <c r="B12" s="120" t="s">
        <v>452</v>
      </c>
      <c r="C12" s="120" t="s">
        <v>698</v>
      </c>
      <c r="D12" s="120" t="s">
        <v>699</v>
      </c>
      <c r="E12" s="120">
        <v>2023</v>
      </c>
      <c r="F12" s="120" t="s">
        <v>700</v>
      </c>
      <c r="G12" s="120" t="s">
        <v>670</v>
      </c>
      <c r="H12" s="120" t="s">
        <v>701</v>
      </c>
      <c r="I12" s="121">
        <v>46236</v>
      </c>
      <c r="J12" s="120" t="s">
        <v>688</v>
      </c>
      <c r="K12" s="120" t="s">
        <v>673</v>
      </c>
      <c r="L12" s="120" t="s">
        <v>702</v>
      </c>
    </row>
    <row r="13" spans="1:14" ht="57" customHeight="1">
      <c r="A13" s="120" t="s">
        <v>703</v>
      </c>
      <c r="B13" s="120" t="s">
        <v>704</v>
      </c>
      <c r="C13" s="120" t="s">
        <v>705</v>
      </c>
      <c r="D13" s="120" t="s">
        <v>706</v>
      </c>
      <c r="E13" s="120">
        <v>2005</v>
      </c>
      <c r="F13" s="120" t="s">
        <v>707</v>
      </c>
      <c r="G13" s="120" t="s">
        <v>670</v>
      </c>
      <c r="H13" s="120" t="s">
        <v>708</v>
      </c>
      <c r="I13" s="121">
        <v>46237</v>
      </c>
      <c r="J13" s="120" t="s">
        <v>709</v>
      </c>
      <c r="K13" s="120" t="s">
        <v>673</v>
      </c>
      <c r="L13" s="120" t="s">
        <v>710</v>
      </c>
    </row>
    <row r="14" spans="1:14" ht="42.75" customHeight="1">
      <c r="A14" s="120" t="s">
        <v>711</v>
      </c>
      <c r="B14" s="120" t="s">
        <v>712</v>
      </c>
      <c r="C14" s="120" t="s">
        <v>713</v>
      </c>
      <c r="D14" s="120" t="s">
        <v>714</v>
      </c>
      <c r="E14" s="120">
        <v>2003</v>
      </c>
      <c r="F14" s="120" t="s">
        <v>686</v>
      </c>
      <c r="G14" s="120" t="s">
        <v>670</v>
      </c>
      <c r="H14" s="120" t="s">
        <v>715</v>
      </c>
      <c r="I14" s="121">
        <v>46236</v>
      </c>
      <c r="J14" s="120" t="s">
        <v>716</v>
      </c>
      <c r="K14" s="120" t="s">
        <v>673</v>
      </c>
      <c r="L14" s="120" t="s">
        <v>717</v>
      </c>
    </row>
    <row r="15" spans="1:14" ht="71.25" customHeight="1">
      <c r="A15" s="120" t="s">
        <v>718</v>
      </c>
      <c r="B15" s="120" t="s">
        <v>162</v>
      </c>
      <c r="C15" s="120" t="s">
        <v>719</v>
      </c>
      <c r="D15" s="120" t="s">
        <v>720</v>
      </c>
      <c r="E15" s="120">
        <v>2021</v>
      </c>
      <c r="F15" s="120" t="s">
        <v>721</v>
      </c>
      <c r="G15" s="120" t="s">
        <v>670</v>
      </c>
      <c r="H15" s="120" t="s">
        <v>722</v>
      </c>
      <c r="I15" s="121">
        <v>46236</v>
      </c>
      <c r="J15" s="120" t="s">
        <v>723</v>
      </c>
      <c r="K15" s="120" t="s">
        <v>673</v>
      </c>
      <c r="L15" s="120" t="s">
        <v>724</v>
      </c>
    </row>
    <row r="16" spans="1:14" ht="42.75" customHeight="1">
      <c r="A16" s="120" t="s">
        <v>725</v>
      </c>
      <c r="B16" s="120" t="s">
        <v>726</v>
      </c>
      <c r="C16" s="120" t="s">
        <v>727</v>
      </c>
      <c r="D16" s="120" t="s">
        <v>728</v>
      </c>
      <c r="E16" s="120" t="s">
        <v>729</v>
      </c>
      <c r="F16" s="120" t="s">
        <v>730</v>
      </c>
      <c r="G16" s="120" t="s">
        <v>731</v>
      </c>
      <c r="H16" s="120" t="s">
        <v>732</v>
      </c>
      <c r="I16" s="121">
        <v>46236</v>
      </c>
      <c r="J16" s="120" t="s">
        <v>733</v>
      </c>
      <c r="K16" s="120" t="s">
        <v>232</v>
      </c>
      <c r="L16" s="120" t="s">
        <v>734</v>
      </c>
    </row>
    <row r="17" spans="1:12" ht="57" customHeight="1">
      <c r="A17" s="120" t="s">
        <v>735</v>
      </c>
      <c r="B17" s="120" t="s">
        <v>736</v>
      </c>
      <c r="C17" s="120" t="s">
        <v>737</v>
      </c>
      <c r="D17" s="120" t="s">
        <v>738</v>
      </c>
      <c r="E17" s="120" t="s">
        <v>729</v>
      </c>
      <c r="F17" s="120" t="s">
        <v>739</v>
      </c>
      <c r="G17" s="120" t="s">
        <v>670</v>
      </c>
      <c r="H17" s="120" t="s">
        <v>740</v>
      </c>
      <c r="I17" s="121">
        <v>46236</v>
      </c>
      <c r="J17" s="120" t="s">
        <v>741</v>
      </c>
      <c r="K17" s="120" t="s">
        <v>673</v>
      </c>
      <c r="L17" s="120" t="s">
        <v>742</v>
      </c>
    </row>
    <row r="18" spans="1:12" ht="57" customHeight="1">
      <c r="A18" s="120" t="s">
        <v>483</v>
      </c>
      <c r="B18" s="120" t="s">
        <v>226</v>
      </c>
      <c r="C18" s="120" t="s">
        <v>737</v>
      </c>
      <c r="D18" s="120" t="s">
        <v>743</v>
      </c>
      <c r="E18" s="120" t="s">
        <v>744</v>
      </c>
      <c r="F18" s="120" t="s">
        <v>739</v>
      </c>
      <c r="G18" s="120" t="s">
        <v>670</v>
      </c>
      <c r="H18" s="120" t="s">
        <v>745</v>
      </c>
      <c r="I18" s="121">
        <v>46237</v>
      </c>
      <c r="J18" s="120" t="s">
        <v>741</v>
      </c>
      <c r="K18" s="120" t="s">
        <v>673</v>
      </c>
      <c r="L18" s="120" t="s">
        <v>746</v>
      </c>
    </row>
    <row r="19" spans="1:12" ht="57" customHeight="1">
      <c r="A19" s="120" t="s">
        <v>491</v>
      </c>
      <c r="B19" s="120" t="s">
        <v>234</v>
      </c>
      <c r="C19" s="120" t="s">
        <v>737</v>
      </c>
      <c r="D19" s="120" t="s">
        <v>747</v>
      </c>
      <c r="E19" s="120" t="s">
        <v>744</v>
      </c>
      <c r="F19" s="120" t="s">
        <v>739</v>
      </c>
      <c r="G19" s="120" t="s">
        <v>670</v>
      </c>
      <c r="H19" s="120" t="s">
        <v>748</v>
      </c>
      <c r="I19" s="121">
        <v>46237</v>
      </c>
      <c r="J19" s="120" t="s">
        <v>741</v>
      </c>
      <c r="K19" s="120" t="s">
        <v>673</v>
      </c>
      <c r="L19" s="120" t="s">
        <v>749</v>
      </c>
    </row>
    <row r="20" spans="1:12" ht="42.75" customHeight="1">
      <c r="A20" s="120" t="s">
        <v>499</v>
      </c>
      <c r="B20" s="120" t="s">
        <v>237</v>
      </c>
      <c r="C20" s="120" t="s">
        <v>737</v>
      </c>
      <c r="D20" s="120" t="s">
        <v>750</v>
      </c>
      <c r="E20" s="120" t="s">
        <v>744</v>
      </c>
      <c r="F20" s="120" t="s">
        <v>739</v>
      </c>
      <c r="G20" s="120" t="s">
        <v>670</v>
      </c>
      <c r="H20" s="120" t="s">
        <v>751</v>
      </c>
      <c r="I20" s="121">
        <v>46237</v>
      </c>
      <c r="J20" s="120" t="s">
        <v>741</v>
      </c>
      <c r="K20" s="120" t="s">
        <v>673</v>
      </c>
      <c r="L20" s="120" t="s">
        <v>752</v>
      </c>
    </row>
    <row r="21" spans="1:12" ht="42.75" customHeight="1">
      <c r="A21" s="120" t="s">
        <v>507</v>
      </c>
      <c r="B21" s="120" t="s">
        <v>240</v>
      </c>
      <c r="C21" s="120" t="s">
        <v>737</v>
      </c>
      <c r="D21" s="120" t="s">
        <v>753</v>
      </c>
      <c r="E21" s="120" t="s">
        <v>744</v>
      </c>
      <c r="F21" s="120" t="s">
        <v>739</v>
      </c>
      <c r="G21" s="120" t="s">
        <v>670</v>
      </c>
      <c r="H21" s="120" t="s">
        <v>754</v>
      </c>
      <c r="I21" s="121">
        <v>46237</v>
      </c>
      <c r="J21" s="120" t="s">
        <v>741</v>
      </c>
      <c r="K21" s="120" t="s">
        <v>673</v>
      </c>
      <c r="L21" s="120" t="s">
        <v>755</v>
      </c>
    </row>
    <row r="22" spans="1:12" ht="42.75" customHeight="1">
      <c r="A22" s="120" t="s">
        <v>514</v>
      </c>
      <c r="B22" s="120" t="s">
        <v>244</v>
      </c>
      <c r="C22" s="120" t="s">
        <v>737</v>
      </c>
      <c r="D22" s="120" t="s">
        <v>756</v>
      </c>
      <c r="E22" s="120" t="s">
        <v>744</v>
      </c>
      <c r="F22" s="120" t="s">
        <v>739</v>
      </c>
      <c r="G22" s="120" t="s">
        <v>670</v>
      </c>
      <c r="H22" s="120" t="s">
        <v>757</v>
      </c>
      <c r="I22" s="121">
        <v>46237</v>
      </c>
      <c r="J22" s="120" t="s">
        <v>741</v>
      </c>
      <c r="K22" s="120" t="s">
        <v>673</v>
      </c>
      <c r="L22" s="120" t="s">
        <v>758</v>
      </c>
    </row>
    <row r="23" spans="1:12" ht="42.75" customHeight="1">
      <c r="A23" s="120" t="s">
        <v>522</v>
      </c>
      <c r="B23" s="120" t="s">
        <v>247</v>
      </c>
      <c r="C23" s="120" t="s">
        <v>737</v>
      </c>
      <c r="D23" s="120" t="s">
        <v>759</v>
      </c>
      <c r="E23" s="120" t="s">
        <v>744</v>
      </c>
      <c r="F23" s="120" t="s">
        <v>739</v>
      </c>
      <c r="G23" s="120" t="s">
        <v>670</v>
      </c>
      <c r="H23" s="120" t="s">
        <v>760</v>
      </c>
      <c r="I23" s="121">
        <v>46237</v>
      </c>
      <c r="J23" s="120" t="s">
        <v>741</v>
      </c>
      <c r="K23" s="120" t="s">
        <v>673</v>
      </c>
      <c r="L23" s="120" t="s">
        <v>761</v>
      </c>
    </row>
    <row r="24" spans="1:12" ht="71.25" customHeight="1">
      <c r="A24" s="120" t="s">
        <v>530</v>
      </c>
      <c r="B24" s="120" t="s">
        <v>251</v>
      </c>
      <c r="C24" s="120" t="s">
        <v>737</v>
      </c>
      <c r="D24" s="120" t="s">
        <v>762</v>
      </c>
      <c r="E24" s="120" t="s">
        <v>744</v>
      </c>
      <c r="F24" s="120" t="s">
        <v>739</v>
      </c>
      <c r="G24" s="120" t="s">
        <v>670</v>
      </c>
      <c r="H24" s="120" t="s">
        <v>763</v>
      </c>
      <c r="I24" s="121">
        <v>46237</v>
      </c>
      <c r="J24" s="120" t="s">
        <v>741</v>
      </c>
      <c r="K24" s="120" t="s">
        <v>673</v>
      </c>
      <c r="L24" s="120" t="s">
        <v>764</v>
      </c>
    </row>
    <row r="25" spans="1:12" ht="57" customHeight="1">
      <c r="A25" s="120" t="s">
        <v>538</v>
      </c>
      <c r="B25" s="120" t="s">
        <v>256</v>
      </c>
      <c r="C25" s="120" t="s">
        <v>737</v>
      </c>
      <c r="D25" s="120" t="s">
        <v>765</v>
      </c>
      <c r="E25" s="120" t="s">
        <v>744</v>
      </c>
      <c r="F25" s="120" t="s">
        <v>739</v>
      </c>
      <c r="G25" s="120" t="s">
        <v>670</v>
      </c>
      <c r="H25" s="120" t="s">
        <v>766</v>
      </c>
      <c r="I25" s="121">
        <v>46237</v>
      </c>
      <c r="J25" s="120" t="s">
        <v>741</v>
      </c>
      <c r="K25" s="120" t="s">
        <v>673</v>
      </c>
      <c r="L25" s="120" t="s">
        <v>767</v>
      </c>
    </row>
    <row r="26" spans="1:12" ht="42.75" customHeight="1">
      <c r="A26" s="120" t="s">
        <v>546</v>
      </c>
      <c r="B26" s="120" t="s">
        <v>259</v>
      </c>
      <c r="C26" s="120" t="s">
        <v>768</v>
      </c>
      <c r="D26" s="120" t="s">
        <v>769</v>
      </c>
      <c r="E26" s="120">
        <v>2019</v>
      </c>
      <c r="F26" s="120" t="s">
        <v>700</v>
      </c>
      <c r="G26" s="120" t="s">
        <v>670</v>
      </c>
      <c r="H26" s="120" t="s">
        <v>770</v>
      </c>
      <c r="I26" s="121">
        <v>46237</v>
      </c>
      <c r="J26" s="120" t="s">
        <v>741</v>
      </c>
      <c r="K26" s="120" t="s">
        <v>673</v>
      </c>
      <c r="L26" s="120" t="s">
        <v>771</v>
      </c>
    </row>
    <row r="27" spans="1:12" ht="42.75" customHeight="1">
      <c r="A27" s="120" t="s">
        <v>772</v>
      </c>
      <c r="B27" s="120" t="s">
        <v>263</v>
      </c>
      <c r="C27" s="120" t="s">
        <v>773</v>
      </c>
      <c r="D27" s="120" t="s">
        <v>774</v>
      </c>
      <c r="E27" s="120">
        <v>1990</v>
      </c>
      <c r="F27" s="120" t="s">
        <v>775</v>
      </c>
      <c r="G27" s="120" t="s">
        <v>731</v>
      </c>
      <c r="H27" s="120" t="s">
        <v>776</v>
      </c>
      <c r="I27" s="121">
        <v>46237</v>
      </c>
      <c r="J27" s="120" t="s">
        <v>741</v>
      </c>
      <c r="K27" s="120" t="s">
        <v>232</v>
      </c>
      <c r="L27" s="120" t="s">
        <v>777</v>
      </c>
    </row>
    <row r="28" spans="1:12" ht="57" customHeight="1">
      <c r="A28" s="120" t="s">
        <v>553</v>
      </c>
      <c r="B28" s="120" t="s">
        <v>263</v>
      </c>
      <c r="C28" s="120" t="s">
        <v>778</v>
      </c>
      <c r="D28" s="120" t="s">
        <v>779</v>
      </c>
      <c r="E28" s="120">
        <v>2005</v>
      </c>
      <c r="F28" s="120" t="s">
        <v>700</v>
      </c>
      <c r="G28" s="120" t="s">
        <v>670</v>
      </c>
      <c r="H28" s="120" t="s">
        <v>780</v>
      </c>
      <c r="I28" s="121">
        <v>46237</v>
      </c>
      <c r="J28" s="120" t="s">
        <v>741</v>
      </c>
      <c r="K28" s="120" t="s">
        <v>673</v>
      </c>
      <c r="L28" s="120" t="s">
        <v>781</v>
      </c>
    </row>
    <row r="29" spans="1:12" ht="57" customHeight="1">
      <c r="A29" s="120" t="s">
        <v>560</v>
      </c>
      <c r="B29" s="120" t="s">
        <v>267</v>
      </c>
      <c r="C29" s="120" t="s">
        <v>737</v>
      </c>
      <c r="D29" s="120" t="s">
        <v>782</v>
      </c>
      <c r="E29" s="120" t="s">
        <v>744</v>
      </c>
      <c r="F29" s="120" t="s">
        <v>739</v>
      </c>
      <c r="G29" s="120" t="s">
        <v>670</v>
      </c>
      <c r="H29" s="120" t="s">
        <v>783</v>
      </c>
      <c r="I29" s="121">
        <v>46237</v>
      </c>
      <c r="J29" s="120" t="s">
        <v>741</v>
      </c>
      <c r="K29" s="120" t="s">
        <v>673</v>
      </c>
      <c r="L29" s="120" t="s">
        <v>784</v>
      </c>
    </row>
    <row r="30" spans="1:12" ht="57" customHeight="1">
      <c r="A30" s="120" t="s">
        <v>568</v>
      </c>
      <c r="B30" s="120" t="s">
        <v>273</v>
      </c>
      <c r="C30" s="120" t="s">
        <v>737</v>
      </c>
      <c r="D30" s="120" t="s">
        <v>785</v>
      </c>
      <c r="E30" s="120" t="s">
        <v>744</v>
      </c>
      <c r="F30" s="120" t="s">
        <v>739</v>
      </c>
      <c r="G30" s="120" t="s">
        <v>670</v>
      </c>
      <c r="H30" s="120" t="s">
        <v>786</v>
      </c>
      <c r="I30" s="121">
        <v>46237</v>
      </c>
      <c r="J30" s="120" t="s">
        <v>741</v>
      </c>
      <c r="K30" s="120" t="s">
        <v>673</v>
      </c>
      <c r="L30" s="120" t="s">
        <v>787</v>
      </c>
    </row>
    <row r="31" spans="1:12" ht="42.75" customHeight="1">
      <c r="A31" s="120" t="s">
        <v>576</v>
      </c>
      <c r="B31" s="120" t="s">
        <v>276</v>
      </c>
      <c r="C31" s="120" t="s">
        <v>737</v>
      </c>
      <c r="D31" s="120" t="s">
        <v>788</v>
      </c>
      <c r="E31" s="120" t="s">
        <v>744</v>
      </c>
      <c r="F31" s="120" t="s">
        <v>739</v>
      </c>
      <c r="G31" s="120" t="s">
        <v>670</v>
      </c>
      <c r="H31" s="120" t="s">
        <v>789</v>
      </c>
      <c r="I31" s="121">
        <v>46237</v>
      </c>
      <c r="J31" s="120" t="s">
        <v>741</v>
      </c>
      <c r="K31" s="120" t="s">
        <v>673</v>
      </c>
      <c r="L31" s="120" t="s">
        <v>790</v>
      </c>
    </row>
    <row r="32" spans="1:12" ht="57" customHeight="1">
      <c r="A32" s="120" t="s">
        <v>584</v>
      </c>
      <c r="B32" s="120" t="s">
        <v>279</v>
      </c>
      <c r="C32" s="120" t="s">
        <v>737</v>
      </c>
      <c r="D32" s="120" t="s">
        <v>791</v>
      </c>
      <c r="E32" s="120" t="s">
        <v>744</v>
      </c>
      <c r="F32" s="120" t="s">
        <v>739</v>
      </c>
      <c r="G32" s="120" t="s">
        <v>670</v>
      </c>
      <c r="H32" s="120" t="s">
        <v>792</v>
      </c>
      <c r="I32" s="121">
        <v>46237</v>
      </c>
      <c r="J32" s="120" t="s">
        <v>741</v>
      </c>
      <c r="K32" s="120" t="s">
        <v>673</v>
      </c>
      <c r="L32" s="120" t="s">
        <v>793</v>
      </c>
    </row>
    <row r="33" spans="1:12" ht="42.75" customHeight="1">
      <c r="A33" s="120" t="s">
        <v>592</v>
      </c>
      <c r="B33" s="120" t="s">
        <v>281</v>
      </c>
      <c r="C33" s="120" t="s">
        <v>737</v>
      </c>
      <c r="D33" s="120" t="s">
        <v>794</v>
      </c>
      <c r="E33" s="120" t="s">
        <v>744</v>
      </c>
      <c r="F33" s="120" t="s">
        <v>739</v>
      </c>
      <c r="G33" s="120" t="s">
        <v>670</v>
      </c>
      <c r="H33" s="120" t="s">
        <v>795</v>
      </c>
      <c r="I33" s="121">
        <v>46237</v>
      </c>
      <c r="J33" s="120" t="s">
        <v>741</v>
      </c>
      <c r="K33" s="120" t="s">
        <v>673</v>
      </c>
      <c r="L33" s="120" t="s">
        <v>796</v>
      </c>
    </row>
    <row r="34" spans="1:12" ht="42.75" customHeight="1">
      <c r="A34" s="120" t="s">
        <v>600</v>
      </c>
      <c r="B34" s="120" t="s">
        <v>286</v>
      </c>
      <c r="C34" s="120" t="s">
        <v>737</v>
      </c>
      <c r="D34" s="120" t="s">
        <v>797</v>
      </c>
      <c r="E34" s="120" t="s">
        <v>744</v>
      </c>
      <c r="F34" s="120" t="s">
        <v>739</v>
      </c>
      <c r="G34" s="120" t="s">
        <v>670</v>
      </c>
      <c r="H34" s="120" t="s">
        <v>798</v>
      </c>
      <c r="I34" s="121">
        <v>46237</v>
      </c>
      <c r="J34" s="120" t="s">
        <v>741</v>
      </c>
      <c r="K34" s="120" t="s">
        <v>673</v>
      </c>
      <c r="L34" s="120" t="s">
        <v>799</v>
      </c>
    </row>
    <row r="35" spans="1:12" ht="42.75" customHeight="1">
      <c r="A35" s="120" t="s">
        <v>608</v>
      </c>
      <c r="B35" s="120" t="s">
        <v>290</v>
      </c>
      <c r="C35" s="120" t="s">
        <v>737</v>
      </c>
      <c r="D35" s="120" t="s">
        <v>800</v>
      </c>
      <c r="E35" s="120" t="s">
        <v>744</v>
      </c>
      <c r="F35" s="120" t="s">
        <v>739</v>
      </c>
      <c r="G35" s="120" t="s">
        <v>670</v>
      </c>
      <c r="H35" s="120" t="s">
        <v>801</v>
      </c>
      <c r="I35" s="121">
        <v>46237</v>
      </c>
      <c r="J35" s="120" t="s">
        <v>741</v>
      </c>
      <c r="K35" s="120" t="s">
        <v>673</v>
      </c>
      <c r="L35" s="120" t="s">
        <v>802</v>
      </c>
    </row>
    <row r="36" spans="1:12" ht="42.75" customHeight="1">
      <c r="A36" s="120" t="s">
        <v>616</v>
      </c>
      <c r="B36" s="120" t="s">
        <v>293</v>
      </c>
      <c r="C36" s="120" t="s">
        <v>737</v>
      </c>
      <c r="D36" s="120" t="s">
        <v>803</v>
      </c>
      <c r="E36" s="120" t="s">
        <v>744</v>
      </c>
      <c r="F36" s="120" t="s">
        <v>739</v>
      </c>
      <c r="G36" s="120" t="s">
        <v>670</v>
      </c>
      <c r="H36" s="120" t="s">
        <v>804</v>
      </c>
      <c r="I36" s="121">
        <v>46237</v>
      </c>
      <c r="J36" s="120" t="s">
        <v>741</v>
      </c>
      <c r="K36" s="120" t="s">
        <v>673</v>
      </c>
      <c r="L36" s="120" t="s">
        <v>805</v>
      </c>
    </row>
    <row r="37" spans="1:12" ht="57" customHeight="1">
      <c r="A37" s="120" t="s">
        <v>624</v>
      </c>
      <c r="B37" s="120" t="s">
        <v>297</v>
      </c>
      <c r="C37" s="120" t="s">
        <v>737</v>
      </c>
      <c r="D37" s="120" t="s">
        <v>806</v>
      </c>
      <c r="E37" s="120" t="s">
        <v>744</v>
      </c>
      <c r="F37" s="120" t="s">
        <v>739</v>
      </c>
      <c r="G37" s="120" t="s">
        <v>670</v>
      </c>
      <c r="H37" s="120" t="s">
        <v>807</v>
      </c>
      <c r="I37" s="121">
        <v>46237</v>
      </c>
      <c r="J37" s="120" t="s">
        <v>741</v>
      </c>
      <c r="K37" s="120" t="s">
        <v>673</v>
      </c>
      <c r="L37" s="120" t="s">
        <v>808</v>
      </c>
    </row>
    <row r="38" spans="1:12" ht="57" customHeight="1">
      <c r="A38" s="120" t="s">
        <v>632</v>
      </c>
      <c r="B38" s="120" t="s">
        <v>300</v>
      </c>
      <c r="C38" s="120" t="s">
        <v>737</v>
      </c>
      <c r="D38" s="120" t="s">
        <v>809</v>
      </c>
      <c r="E38" s="120" t="s">
        <v>744</v>
      </c>
      <c r="F38" s="120" t="s">
        <v>739</v>
      </c>
      <c r="G38" s="120" t="s">
        <v>670</v>
      </c>
      <c r="H38" s="120" t="s">
        <v>810</v>
      </c>
      <c r="I38" s="121">
        <v>46237</v>
      </c>
      <c r="J38" s="120" t="s">
        <v>741</v>
      </c>
      <c r="K38" s="120" t="s">
        <v>673</v>
      </c>
      <c r="L38" s="120" t="s">
        <v>811</v>
      </c>
    </row>
    <row r="39" spans="1:12" ht="42.75" customHeight="1">
      <c r="A39" s="120" t="s">
        <v>639</v>
      </c>
      <c r="B39" s="120" t="s">
        <v>303</v>
      </c>
      <c r="C39" s="120" t="s">
        <v>737</v>
      </c>
      <c r="D39" s="120" t="s">
        <v>812</v>
      </c>
      <c r="E39" s="120" t="s">
        <v>744</v>
      </c>
      <c r="F39" s="120" t="s">
        <v>739</v>
      </c>
      <c r="G39" s="120" t="s">
        <v>670</v>
      </c>
      <c r="H39" s="120" t="s">
        <v>813</v>
      </c>
      <c r="I39" s="121">
        <v>46237</v>
      </c>
      <c r="J39" s="120" t="s">
        <v>741</v>
      </c>
      <c r="K39" s="120" t="s">
        <v>673</v>
      </c>
      <c r="L39" s="120" t="s">
        <v>814</v>
      </c>
    </row>
    <row r="40" spans="1:12" ht="42.75" customHeight="1">
      <c r="A40" s="120" t="s">
        <v>647</v>
      </c>
      <c r="B40" s="120" t="s">
        <v>306</v>
      </c>
      <c r="C40" s="120" t="s">
        <v>737</v>
      </c>
      <c r="D40" s="120" t="s">
        <v>815</v>
      </c>
      <c r="E40" s="120" t="s">
        <v>744</v>
      </c>
      <c r="F40" s="120" t="s">
        <v>739</v>
      </c>
      <c r="G40" s="120" t="s">
        <v>670</v>
      </c>
      <c r="H40" s="120" t="s">
        <v>816</v>
      </c>
      <c r="I40" s="121">
        <v>46237</v>
      </c>
      <c r="J40" s="120" t="s">
        <v>741</v>
      </c>
      <c r="K40" s="120" t="s">
        <v>673</v>
      </c>
      <c r="L40" s="120" t="s">
        <v>817</v>
      </c>
    </row>
    <row r="41" spans="1:12" ht="57" customHeight="1">
      <c r="A41" s="120" t="s">
        <v>655</v>
      </c>
      <c r="B41" s="120" t="s">
        <v>818</v>
      </c>
      <c r="C41" s="120" t="s">
        <v>737</v>
      </c>
      <c r="D41" s="120" t="s">
        <v>819</v>
      </c>
      <c r="E41" s="120" t="s">
        <v>744</v>
      </c>
      <c r="F41" s="120" t="s">
        <v>739</v>
      </c>
      <c r="G41" s="120" t="s">
        <v>670</v>
      </c>
      <c r="H41" s="120" t="s">
        <v>820</v>
      </c>
      <c r="I41" s="121">
        <v>46237</v>
      </c>
      <c r="J41" s="120" t="s">
        <v>741</v>
      </c>
      <c r="K41" s="120" t="s">
        <v>673</v>
      </c>
      <c r="L41" s="120" t="s">
        <v>821</v>
      </c>
    </row>
    <row r="42" spans="1:12" ht="32.25" customHeight="1">
      <c r="A42" s="138" t="s">
        <v>822</v>
      </c>
      <c r="B42" s="138" t="s">
        <v>823</v>
      </c>
      <c r="C42" s="138" t="s">
        <v>824</v>
      </c>
      <c r="D42" s="138" t="s">
        <v>825</v>
      </c>
      <c r="E42" s="138">
        <v>2026</v>
      </c>
      <c r="F42" s="138" t="s">
        <v>826</v>
      </c>
      <c r="G42" s="138" t="s">
        <v>731</v>
      </c>
      <c r="H42" s="138" t="s">
        <v>827</v>
      </c>
      <c r="I42" s="138">
        <v>46237</v>
      </c>
      <c r="J42" s="138" t="s">
        <v>828</v>
      </c>
      <c r="K42" s="138" t="s">
        <v>232</v>
      </c>
      <c r="L42" s="138" t="s">
        <v>829</v>
      </c>
    </row>
    <row r="43" spans="1:12" ht="53.25" customHeight="1">
      <c r="A43" s="120" t="s">
        <v>830</v>
      </c>
      <c r="B43" s="120" t="s">
        <v>831</v>
      </c>
      <c r="C43" s="120" t="s">
        <v>832</v>
      </c>
      <c r="D43" s="120" t="s">
        <v>833</v>
      </c>
      <c r="E43" s="120" t="s">
        <v>212</v>
      </c>
      <c r="F43" s="120" t="s">
        <v>834</v>
      </c>
      <c r="G43" s="120" t="s">
        <v>282</v>
      </c>
      <c r="H43" s="120" t="s">
        <v>835</v>
      </c>
      <c r="I43" s="121">
        <v>46237</v>
      </c>
      <c r="J43" s="120" t="s">
        <v>723</v>
      </c>
      <c r="K43" s="120" t="s">
        <v>836</v>
      </c>
      <c r="L43" s="120" t="s">
        <v>837</v>
      </c>
    </row>
    <row r="44" spans="1:12" ht="71.25" customHeight="1">
      <c r="A44" s="120" t="s">
        <v>838</v>
      </c>
      <c r="B44" s="120" t="s">
        <v>839</v>
      </c>
      <c r="C44" s="120" t="s">
        <v>824</v>
      </c>
      <c r="D44" s="120" t="s">
        <v>840</v>
      </c>
      <c r="E44" s="120">
        <v>2026</v>
      </c>
      <c r="F44" s="120" t="s">
        <v>841</v>
      </c>
      <c r="G44" s="120" t="s">
        <v>731</v>
      </c>
      <c r="H44" s="120" t="s">
        <v>827</v>
      </c>
      <c r="I44" s="121">
        <v>46237</v>
      </c>
      <c r="J44" s="120" t="s">
        <v>842</v>
      </c>
      <c r="K44" s="120" t="s">
        <v>232</v>
      </c>
      <c r="L44" s="120" t="s">
        <v>843</v>
      </c>
    </row>
  </sheetData>
  <mergeCells count="2">
    <mergeCell ref="A1:N2"/>
    <mergeCell ref="A3:N3"/>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91"/>
  <sheetViews>
    <sheetView showGridLines="0" workbookViewId="0">
      <selection activeCell="H35" sqref="H35"/>
    </sheetView>
  </sheetViews>
  <sheetFormatPr baseColWidth="10" defaultColWidth="9" defaultRowHeight="14.25"/>
  <cols>
    <col min="1" max="1" width="18" style="30" customWidth="1"/>
    <col min="2" max="2" width="24" style="30" customWidth="1"/>
    <col min="3" max="10" width="18" style="30" customWidth="1"/>
    <col min="11" max="14" width="14" style="30" customWidth="1"/>
  </cols>
  <sheetData>
    <row r="1" spans="1:14">
      <c r="A1" s="155" t="s">
        <v>844</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271" t="s">
        <v>845</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10" t="s">
        <v>188</v>
      </c>
      <c r="B7" s="10" t="s">
        <v>664</v>
      </c>
      <c r="C7" s="10" t="s">
        <v>846</v>
      </c>
      <c r="D7" s="10" t="s">
        <v>152</v>
      </c>
      <c r="E7" s="10" t="s">
        <v>847</v>
      </c>
      <c r="F7" s="10" t="s">
        <v>848</v>
      </c>
      <c r="G7" s="10" t="s">
        <v>849</v>
      </c>
      <c r="H7" s="10" t="s">
        <v>113</v>
      </c>
      <c r="I7" s="10" t="s">
        <v>351</v>
      </c>
      <c r="J7" s="10" t="s">
        <v>30</v>
      </c>
    </row>
    <row r="8" spans="1:14" ht="43.5" customHeight="1">
      <c r="A8" s="95" t="s">
        <v>850</v>
      </c>
      <c r="B8" s="95" t="s">
        <v>688</v>
      </c>
      <c r="C8" s="95" t="s">
        <v>851</v>
      </c>
      <c r="D8" s="95" t="s">
        <v>852</v>
      </c>
      <c r="E8" s="95">
        <v>2278.62</v>
      </c>
      <c r="F8" s="95">
        <v>2278.62</v>
      </c>
      <c r="G8" s="95">
        <v>0.1</v>
      </c>
      <c r="H8" s="95" t="s">
        <v>853</v>
      </c>
      <c r="I8" s="95" t="s">
        <v>854</v>
      </c>
      <c r="J8" s="72">
        <v>46236</v>
      </c>
    </row>
    <row r="9" spans="1:14" ht="43.5" customHeight="1">
      <c r="A9" s="95" t="s">
        <v>855</v>
      </c>
      <c r="B9" s="95" t="s">
        <v>688</v>
      </c>
      <c r="C9" s="95" t="s">
        <v>856</v>
      </c>
      <c r="D9" s="95" t="s">
        <v>857</v>
      </c>
      <c r="E9" s="95">
        <v>2606.8200000000002</v>
      </c>
      <c r="F9" s="95">
        <v>2606.8200000000002</v>
      </c>
      <c r="G9" s="95">
        <v>0.1</v>
      </c>
      <c r="H9" s="95" t="s">
        <v>853</v>
      </c>
      <c r="I9" s="95" t="s">
        <v>854</v>
      </c>
      <c r="J9" s="72">
        <v>46236</v>
      </c>
    </row>
    <row r="10" spans="1:14" ht="29.25" customHeight="1">
      <c r="A10" s="95" t="s">
        <v>858</v>
      </c>
      <c r="B10" s="95" t="s">
        <v>688</v>
      </c>
      <c r="C10" s="95" t="s">
        <v>859</v>
      </c>
      <c r="D10" s="95" t="s">
        <v>860</v>
      </c>
      <c r="E10" s="95">
        <v>1746.19</v>
      </c>
      <c r="F10" s="95">
        <v>1746.19</v>
      </c>
      <c r="G10" s="95">
        <v>0.1</v>
      </c>
      <c r="H10" s="95" t="s">
        <v>853</v>
      </c>
      <c r="I10" s="95" t="s">
        <v>861</v>
      </c>
      <c r="J10" s="72">
        <v>46236</v>
      </c>
    </row>
    <row r="11" spans="1:14" ht="29.25" customHeight="1">
      <c r="A11" s="95" t="s">
        <v>862</v>
      </c>
      <c r="B11" s="95" t="s">
        <v>688</v>
      </c>
      <c r="C11" s="95" t="s">
        <v>863</v>
      </c>
      <c r="D11" s="95" t="s">
        <v>864</v>
      </c>
      <c r="E11" s="95">
        <v>1333.16</v>
      </c>
      <c r="F11" s="95">
        <v>1333.16</v>
      </c>
      <c r="G11" s="95">
        <v>0.1</v>
      </c>
      <c r="H11" s="95" t="s">
        <v>853</v>
      </c>
      <c r="I11" s="95" t="s">
        <v>861</v>
      </c>
      <c r="J11" s="72">
        <v>46236</v>
      </c>
    </row>
    <row r="12" spans="1:14" ht="29.25" customHeight="1">
      <c r="A12" s="95" t="s">
        <v>865</v>
      </c>
      <c r="B12" s="95" t="s">
        <v>688</v>
      </c>
      <c r="C12" s="95" t="s">
        <v>866</v>
      </c>
      <c r="D12" s="95" t="s">
        <v>867</v>
      </c>
      <c r="E12" s="95">
        <v>1999.74</v>
      </c>
      <c r="F12" s="95">
        <v>1999.74</v>
      </c>
      <c r="G12" s="95">
        <v>0.1</v>
      </c>
      <c r="H12" s="95" t="s">
        <v>853</v>
      </c>
      <c r="I12" s="95" t="s">
        <v>868</v>
      </c>
      <c r="J12" s="72">
        <v>46236</v>
      </c>
    </row>
    <row r="13" spans="1:14" ht="29.25" customHeight="1">
      <c r="A13" s="95" t="s">
        <v>869</v>
      </c>
      <c r="B13" s="95" t="s">
        <v>688</v>
      </c>
      <c r="C13" s="95" t="s">
        <v>870</v>
      </c>
      <c r="D13" s="95" t="s">
        <v>871</v>
      </c>
      <c r="E13" s="95">
        <v>1.5</v>
      </c>
      <c r="F13" s="95">
        <v>1.5</v>
      </c>
      <c r="G13" s="95">
        <v>1E-3</v>
      </c>
      <c r="H13" s="95" t="s">
        <v>853</v>
      </c>
      <c r="I13" s="95" t="s">
        <v>872</v>
      </c>
      <c r="J13" s="72">
        <v>46236</v>
      </c>
    </row>
    <row r="14" spans="1:14" ht="29.25" customHeight="1">
      <c r="A14" s="95" t="s">
        <v>873</v>
      </c>
      <c r="B14" s="95" t="s">
        <v>688</v>
      </c>
      <c r="C14" s="95" t="s">
        <v>92</v>
      </c>
      <c r="D14" s="95" t="s">
        <v>874</v>
      </c>
      <c r="E14" s="95">
        <v>1999.74</v>
      </c>
      <c r="F14" s="95">
        <v>1999.74</v>
      </c>
      <c r="G14" s="95">
        <v>0.1</v>
      </c>
      <c r="H14" s="95" t="s">
        <v>853</v>
      </c>
      <c r="I14" s="95" t="s">
        <v>875</v>
      </c>
      <c r="J14" s="72">
        <v>46236</v>
      </c>
    </row>
    <row r="15" spans="1:14" ht="43.5" customHeight="1">
      <c r="A15" s="95" t="s">
        <v>876</v>
      </c>
      <c r="B15" s="95" t="s">
        <v>688</v>
      </c>
      <c r="C15" s="95" t="s">
        <v>877</v>
      </c>
      <c r="D15" s="95" t="s">
        <v>878</v>
      </c>
      <c r="E15" s="95">
        <v>1993.9</v>
      </c>
      <c r="F15" s="95">
        <v>1993.9</v>
      </c>
      <c r="G15" s="95">
        <v>0.1</v>
      </c>
      <c r="H15" s="95" t="s">
        <v>853</v>
      </c>
      <c r="I15" s="95" t="s">
        <v>879</v>
      </c>
      <c r="J15" s="72">
        <v>46236</v>
      </c>
    </row>
    <row r="16" spans="1:14" ht="29.25" customHeight="1">
      <c r="A16" s="95" t="s">
        <v>880</v>
      </c>
      <c r="B16" s="95" t="s">
        <v>881</v>
      </c>
      <c r="C16" s="95" t="s">
        <v>882</v>
      </c>
      <c r="D16" s="95" t="s">
        <v>883</v>
      </c>
      <c r="E16" s="95">
        <v>75</v>
      </c>
      <c r="F16" s="95">
        <v>75</v>
      </c>
      <c r="G16" s="95">
        <v>0.1</v>
      </c>
      <c r="H16" s="95" t="s">
        <v>853</v>
      </c>
      <c r="I16" s="95" t="s">
        <v>884</v>
      </c>
      <c r="J16" s="72">
        <v>46236</v>
      </c>
    </row>
    <row r="17" spans="1:10" ht="29.25" customHeight="1">
      <c r="A17" s="95" t="s">
        <v>885</v>
      </c>
      <c r="B17" s="95" t="s">
        <v>881</v>
      </c>
      <c r="C17" s="95" t="s">
        <v>886</v>
      </c>
      <c r="D17" s="95" t="s">
        <v>883</v>
      </c>
      <c r="E17" s="95">
        <v>66.666666666666671</v>
      </c>
      <c r="F17" s="95">
        <v>66.666666666666671</v>
      </c>
      <c r="G17" s="95">
        <v>0.1</v>
      </c>
      <c r="H17" s="95" t="s">
        <v>853</v>
      </c>
      <c r="I17" s="95" t="s">
        <v>884</v>
      </c>
      <c r="J17" s="72">
        <v>46236</v>
      </c>
    </row>
    <row r="18" spans="1:10" ht="29.25" customHeight="1">
      <c r="A18" s="95" t="s">
        <v>887</v>
      </c>
      <c r="B18" s="95" t="s">
        <v>881</v>
      </c>
      <c r="C18" s="95" t="s">
        <v>888</v>
      </c>
      <c r="D18" s="95" t="s">
        <v>883</v>
      </c>
      <c r="E18" s="95">
        <v>275</v>
      </c>
      <c r="F18" s="95">
        <v>275</v>
      </c>
      <c r="G18" s="95">
        <v>0.1</v>
      </c>
      <c r="H18" s="95" t="s">
        <v>853</v>
      </c>
      <c r="I18" s="95" t="s">
        <v>884</v>
      </c>
      <c r="J18" s="72">
        <v>46236</v>
      </c>
    </row>
    <row r="19" spans="1:10" ht="29.25" customHeight="1">
      <c r="A19" s="95" t="s">
        <v>889</v>
      </c>
      <c r="B19" s="95" t="s">
        <v>881</v>
      </c>
      <c r="C19" s="95" t="s">
        <v>890</v>
      </c>
      <c r="D19" s="95" t="s">
        <v>883</v>
      </c>
      <c r="E19" s="95">
        <v>100</v>
      </c>
      <c r="F19" s="95">
        <v>100</v>
      </c>
      <c r="G19" s="95">
        <v>0.1</v>
      </c>
      <c r="H19" s="95" t="s">
        <v>853</v>
      </c>
      <c r="I19" s="95" t="s">
        <v>884</v>
      </c>
      <c r="J19" s="72">
        <v>46236</v>
      </c>
    </row>
    <row r="20" spans="1:10" ht="29.25" customHeight="1">
      <c r="A20" s="95" t="s">
        <v>891</v>
      </c>
      <c r="B20" s="95" t="s">
        <v>892</v>
      </c>
      <c r="C20" s="95" t="s">
        <v>893</v>
      </c>
      <c r="D20" s="95" t="s">
        <v>894</v>
      </c>
      <c r="E20" s="95">
        <v>2.7</v>
      </c>
      <c r="F20" s="95">
        <v>2.7</v>
      </c>
      <c r="G20" s="95">
        <v>0.01</v>
      </c>
      <c r="H20" s="95" t="s">
        <v>853</v>
      </c>
      <c r="I20" s="95" t="s">
        <v>895</v>
      </c>
      <c r="J20" s="72">
        <v>46236</v>
      </c>
    </row>
    <row r="21" spans="1:10" ht="15" customHeight="1">
      <c r="A21" s="95" t="s">
        <v>896</v>
      </c>
      <c r="B21" s="95" t="s">
        <v>892</v>
      </c>
      <c r="C21" s="95" t="s">
        <v>897</v>
      </c>
      <c r="D21" s="95" t="s">
        <v>894</v>
      </c>
      <c r="E21" s="95">
        <v>25</v>
      </c>
      <c r="F21" s="95">
        <v>25</v>
      </c>
      <c r="G21" s="95">
        <v>0.01</v>
      </c>
      <c r="H21" s="95" t="s">
        <v>853</v>
      </c>
      <c r="I21" s="95" t="s">
        <v>898</v>
      </c>
      <c r="J21" s="72">
        <v>46236</v>
      </c>
    </row>
    <row r="22" spans="1:10" ht="29.25" customHeight="1">
      <c r="A22" s="95" t="s">
        <v>899</v>
      </c>
      <c r="B22" s="95" t="s">
        <v>892</v>
      </c>
      <c r="C22" s="95" t="s">
        <v>900</v>
      </c>
      <c r="D22" s="95" t="s">
        <v>901</v>
      </c>
      <c r="E22" s="95">
        <v>3.7</v>
      </c>
      <c r="F22" s="95">
        <v>3.7</v>
      </c>
      <c r="G22" s="95">
        <v>0.01</v>
      </c>
      <c r="H22" s="95" t="s">
        <v>853</v>
      </c>
      <c r="I22" s="95" t="s">
        <v>895</v>
      </c>
      <c r="J22" s="72">
        <v>46236</v>
      </c>
    </row>
    <row r="23" spans="1:10" ht="29.25" customHeight="1">
      <c r="A23" s="95" t="s">
        <v>902</v>
      </c>
      <c r="B23" s="95" t="s">
        <v>892</v>
      </c>
      <c r="C23" s="95" t="s">
        <v>903</v>
      </c>
      <c r="D23" s="95" t="s">
        <v>901</v>
      </c>
      <c r="E23" s="95">
        <v>38</v>
      </c>
      <c r="F23" s="95">
        <v>38</v>
      </c>
      <c r="G23" s="95">
        <v>0.01</v>
      </c>
      <c r="H23" s="95" t="s">
        <v>853</v>
      </c>
      <c r="I23" s="95" t="s">
        <v>898</v>
      </c>
      <c r="J23" s="72">
        <v>46236</v>
      </c>
    </row>
    <row r="24" spans="1:10" ht="43.5" customHeight="1">
      <c r="A24" s="95" t="s">
        <v>904</v>
      </c>
      <c r="B24" s="95" t="s">
        <v>688</v>
      </c>
      <c r="C24" s="95" t="s">
        <v>905</v>
      </c>
      <c r="D24" s="95" t="s">
        <v>906</v>
      </c>
      <c r="E24" s="95">
        <v>2634</v>
      </c>
      <c r="F24" s="95">
        <v>2634</v>
      </c>
      <c r="G24" s="95">
        <v>0.1</v>
      </c>
      <c r="H24" s="95" t="s">
        <v>853</v>
      </c>
      <c r="I24" s="95" t="s">
        <v>907</v>
      </c>
      <c r="J24" s="72">
        <v>46236</v>
      </c>
    </row>
    <row r="25" spans="1:10" ht="29.25" customHeight="1">
      <c r="A25" s="95" t="s">
        <v>908</v>
      </c>
      <c r="B25" s="95" t="s">
        <v>881</v>
      </c>
      <c r="C25" s="95" t="s">
        <v>909</v>
      </c>
      <c r="D25" s="95" t="s">
        <v>910</v>
      </c>
      <c r="E25" s="95">
        <v>71</v>
      </c>
      <c r="F25" s="95">
        <v>71</v>
      </c>
      <c r="G25" s="95">
        <v>0.01</v>
      </c>
      <c r="H25" s="95" t="s">
        <v>853</v>
      </c>
      <c r="I25" s="95" t="s">
        <v>911</v>
      </c>
      <c r="J25" s="72">
        <v>46236</v>
      </c>
    </row>
    <row r="26" spans="1:10" ht="29.25" customHeight="1">
      <c r="A26" s="95" t="s">
        <v>912</v>
      </c>
      <c r="B26" s="95" t="s">
        <v>892</v>
      </c>
      <c r="C26" s="95" t="s">
        <v>913</v>
      </c>
      <c r="D26" s="95" t="s">
        <v>910</v>
      </c>
      <c r="E26" s="95">
        <v>3</v>
      </c>
      <c r="F26" s="95">
        <v>3</v>
      </c>
      <c r="G26" s="95">
        <v>0.01</v>
      </c>
      <c r="H26" s="95" t="s">
        <v>853</v>
      </c>
      <c r="I26" s="95" t="s">
        <v>911</v>
      </c>
      <c r="J26" s="72">
        <v>46236</v>
      </c>
    </row>
    <row r="27" spans="1:10" ht="43.5" customHeight="1">
      <c r="A27" s="95" t="s">
        <v>914</v>
      </c>
      <c r="B27" s="95" t="s">
        <v>688</v>
      </c>
      <c r="C27" s="95" t="s">
        <v>915</v>
      </c>
      <c r="D27" s="95" t="s">
        <v>916</v>
      </c>
      <c r="E27" s="95">
        <v>2678.62</v>
      </c>
      <c r="F27" s="95">
        <v>2678.62</v>
      </c>
      <c r="G27" s="95">
        <v>0.1</v>
      </c>
      <c r="H27" s="95" t="s">
        <v>853</v>
      </c>
      <c r="I27" s="95" t="s">
        <v>917</v>
      </c>
      <c r="J27" s="72">
        <v>46236</v>
      </c>
    </row>
    <row r="28" spans="1:10" ht="29.25" customHeight="1">
      <c r="A28" s="95" t="s">
        <v>918</v>
      </c>
      <c r="B28" s="95" t="s">
        <v>881</v>
      </c>
      <c r="C28" s="95" t="s">
        <v>919</v>
      </c>
      <c r="D28" s="95" t="s">
        <v>920</v>
      </c>
      <c r="E28" s="95">
        <v>210</v>
      </c>
      <c r="F28" s="95">
        <v>210</v>
      </c>
      <c r="G28" s="95">
        <v>0.01</v>
      </c>
      <c r="H28" s="95" t="s">
        <v>853</v>
      </c>
      <c r="I28" s="95" t="s">
        <v>911</v>
      </c>
      <c r="J28" s="72">
        <v>46236</v>
      </c>
    </row>
    <row r="29" spans="1:10" ht="29.25" customHeight="1">
      <c r="A29" s="95" t="s">
        <v>921</v>
      </c>
      <c r="B29" s="95" t="s">
        <v>922</v>
      </c>
      <c r="C29" s="95" t="s">
        <v>923</v>
      </c>
      <c r="D29" s="95" t="s">
        <v>924</v>
      </c>
      <c r="E29" s="95" t="s">
        <v>348</v>
      </c>
      <c r="F29" s="95" t="s">
        <v>348</v>
      </c>
      <c r="G29" s="95">
        <v>0</v>
      </c>
      <c r="H29" s="95" t="s">
        <v>853</v>
      </c>
      <c r="I29" s="95" t="s">
        <v>925</v>
      </c>
      <c r="J29" s="72">
        <v>46236</v>
      </c>
    </row>
    <row r="30" spans="1:10" ht="29.25" customHeight="1">
      <c r="A30" s="95" t="s">
        <v>926</v>
      </c>
      <c r="B30" s="95" t="s">
        <v>723</v>
      </c>
      <c r="C30" s="95" t="s">
        <v>166</v>
      </c>
      <c r="D30" s="95" t="s">
        <v>927</v>
      </c>
      <c r="E30" s="95">
        <v>21.9</v>
      </c>
      <c r="F30" s="95">
        <v>21.9</v>
      </c>
      <c r="G30" s="95">
        <v>0.01</v>
      </c>
      <c r="H30" s="95" t="s">
        <v>853</v>
      </c>
      <c r="I30" s="95" t="s">
        <v>928</v>
      </c>
      <c r="J30" s="72">
        <v>46236</v>
      </c>
    </row>
    <row r="31" spans="1:10" ht="29.25" customHeight="1">
      <c r="A31" s="95" t="s">
        <v>929</v>
      </c>
      <c r="B31" s="95" t="s">
        <v>723</v>
      </c>
      <c r="C31" s="95" t="s">
        <v>930</v>
      </c>
      <c r="D31" s="95" t="s">
        <v>931</v>
      </c>
      <c r="E31" s="95" t="s">
        <v>932</v>
      </c>
      <c r="F31" s="95" t="s">
        <v>932</v>
      </c>
      <c r="G31" s="95">
        <v>0</v>
      </c>
      <c r="H31" s="95" t="s">
        <v>853</v>
      </c>
      <c r="I31" s="95" t="s">
        <v>933</v>
      </c>
      <c r="J31" s="72">
        <v>46236</v>
      </c>
    </row>
    <row r="32" spans="1:10" ht="29.25" customHeight="1">
      <c r="A32" s="95" t="s">
        <v>934</v>
      </c>
      <c r="B32" s="95" t="s">
        <v>723</v>
      </c>
      <c r="C32" s="95" t="s">
        <v>935</v>
      </c>
      <c r="D32" s="95" t="s">
        <v>936</v>
      </c>
      <c r="E32" s="95" t="s">
        <v>937</v>
      </c>
      <c r="F32" s="95" t="s">
        <v>937</v>
      </c>
      <c r="G32" s="95">
        <v>0</v>
      </c>
      <c r="H32" s="95" t="s">
        <v>853</v>
      </c>
      <c r="I32" s="95" t="s">
        <v>933</v>
      </c>
      <c r="J32" s="72">
        <v>46236</v>
      </c>
    </row>
    <row r="33" spans="1:10" ht="72" customHeight="1">
      <c r="A33" s="95" t="s">
        <v>938</v>
      </c>
      <c r="B33" s="95" t="s">
        <v>939</v>
      </c>
      <c r="C33" s="95" t="s">
        <v>940</v>
      </c>
      <c r="D33" s="95" t="s">
        <v>941</v>
      </c>
      <c r="E33" s="95">
        <v>0</v>
      </c>
      <c r="F33" s="95">
        <v>0</v>
      </c>
      <c r="G33" s="95">
        <v>0</v>
      </c>
      <c r="H33" s="95" t="s">
        <v>853</v>
      </c>
      <c r="I33" s="95" t="s">
        <v>942</v>
      </c>
      <c r="J33" s="72">
        <v>46236</v>
      </c>
    </row>
    <row r="34" spans="1:10" ht="43.5" customHeight="1">
      <c r="A34" s="95" t="s">
        <v>943</v>
      </c>
      <c r="B34" s="95" t="s">
        <v>944</v>
      </c>
      <c r="C34" s="95" t="s">
        <v>945</v>
      </c>
      <c r="D34" s="95" t="s">
        <v>946</v>
      </c>
      <c r="E34" s="95" t="s">
        <v>947</v>
      </c>
      <c r="F34" s="95" t="s">
        <v>948</v>
      </c>
      <c r="G34" s="95" t="s">
        <v>729</v>
      </c>
      <c r="H34" s="95" t="s">
        <v>853</v>
      </c>
      <c r="I34" s="95" t="s">
        <v>950</v>
      </c>
      <c r="J34" s="72">
        <v>46236</v>
      </c>
    </row>
    <row r="35" spans="1:10" ht="29.25" customHeight="1">
      <c r="A35" s="95" t="s">
        <v>951</v>
      </c>
      <c r="B35" s="95" t="s">
        <v>741</v>
      </c>
      <c r="C35" s="95" t="s">
        <v>952</v>
      </c>
      <c r="D35" s="95" t="s">
        <v>953</v>
      </c>
      <c r="E35" s="95">
        <v>23</v>
      </c>
      <c r="F35" s="95">
        <v>23</v>
      </c>
      <c r="G35" s="95">
        <v>0</v>
      </c>
      <c r="H35" s="95" t="s">
        <v>853</v>
      </c>
      <c r="I35" s="95" t="s">
        <v>954</v>
      </c>
      <c r="J35" s="72">
        <v>46237</v>
      </c>
    </row>
    <row r="36" spans="1:10" ht="29.25" customHeight="1">
      <c r="A36" s="95" t="s">
        <v>955</v>
      </c>
      <c r="B36" s="95" t="s">
        <v>741</v>
      </c>
      <c r="C36" s="95" t="s">
        <v>956</v>
      </c>
      <c r="D36" s="95" t="s">
        <v>957</v>
      </c>
      <c r="E36" s="95">
        <v>18</v>
      </c>
      <c r="F36" s="95">
        <v>18</v>
      </c>
      <c r="G36" s="95">
        <v>0</v>
      </c>
      <c r="H36" s="95" t="s">
        <v>853</v>
      </c>
      <c r="I36" s="95" t="s">
        <v>958</v>
      </c>
      <c r="J36" s="72">
        <v>46237</v>
      </c>
    </row>
    <row r="37" spans="1:10" ht="43.5" customHeight="1">
      <c r="A37" s="95" t="s">
        <v>959</v>
      </c>
      <c r="B37" s="95" t="s">
        <v>741</v>
      </c>
      <c r="C37" s="95" t="s">
        <v>960</v>
      </c>
      <c r="D37" s="95" t="s">
        <v>961</v>
      </c>
      <c r="E37" s="95">
        <v>414</v>
      </c>
      <c r="F37" s="95">
        <v>414</v>
      </c>
      <c r="G37" s="95">
        <v>0</v>
      </c>
      <c r="H37" s="95" t="s">
        <v>853</v>
      </c>
      <c r="I37" s="95" t="s">
        <v>962</v>
      </c>
      <c r="J37" s="72">
        <v>46237</v>
      </c>
    </row>
    <row r="38" spans="1:10" ht="29.25" customHeight="1">
      <c r="A38" s="95" t="s">
        <v>963</v>
      </c>
      <c r="B38" s="95" t="s">
        <v>964</v>
      </c>
      <c r="C38" s="95" t="s">
        <v>965</v>
      </c>
      <c r="D38" s="95" t="s">
        <v>966</v>
      </c>
      <c r="E38" s="95">
        <v>23</v>
      </c>
      <c r="F38" s="95">
        <v>23</v>
      </c>
      <c r="G38" s="95">
        <v>0</v>
      </c>
      <c r="H38" s="95" t="s">
        <v>853</v>
      </c>
      <c r="I38" s="95" t="s">
        <v>967</v>
      </c>
      <c r="J38" s="72">
        <v>46237</v>
      </c>
    </row>
    <row r="39" spans="1:10" ht="43.5" customHeight="1">
      <c r="A39" s="95" t="s">
        <v>968</v>
      </c>
      <c r="B39" s="95" t="s">
        <v>969</v>
      </c>
      <c r="C39" s="95" t="s">
        <v>970</v>
      </c>
      <c r="D39" s="95" t="s">
        <v>971</v>
      </c>
      <c r="E39" s="95">
        <v>35</v>
      </c>
      <c r="F39" s="95">
        <v>35</v>
      </c>
      <c r="G39" s="95">
        <v>0</v>
      </c>
      <c r="H39" s="95" t="s">
        <v>853</v>
      </c>
      <c r="I39" s="95" t="s">
        <v>972</v>
      </c>
      <c r="J39" s="72">
        <v>46237</v>
      </c>
    </row>
    <row r="40" spans="1:10" ht="29.25" customHeight="1">
      <c r="A40" s="95" t="s">
        <v>973</v>
      </c>
      <c r="B40" s="95" t="s">
        <v>974</v>
      </c>
      <c r="C40" s="95" t="s">
        <v>975</v>
      </c>
      <c r="D40" s="95" t="s">
        <v>976</v>
      </c>
      <c r="E40" s="95">
        <v>26</v>
      </c>
      <c r="F40" s="95">
        <v>26</v>
      </c>
      <c r="G40" s="95">
        <v>0</v>
      </c>
      <c r="H40" s="95" t="s">
        <v>853</v>
      </c>
      <c r="I40" s="95" t="s">
        <v>977</v>
      </c>
      <c r="J40" s="72">
        <v>46237</v>
      </c>
    </row>
    <row r="41" spans="1:10" ht="43.5" customHeight="1">
      <c r="A41" s="95" t="s">
        <v>978</v>
      </c>
      <c r="B41" s="95" t="s">
        <v>979</v>
      </c>
      <c r="C41" s="95" t="s">
        <v>980</v>
      </c>
      <c r="D41" s="95" t="s">
        <v>981</v>
      </c>
      <c r="E41" s="95">
        <v>24</v>
      </c>
      <c r="F41" s="95">
        <v>24</v>
      </c>
      <c r="G41" s="95">
        <v>0</v>
      </c>
      <c r="H41" s="95" t="s">
        <v>853</v>
      </c>
      <c r="I41" s="95" t="s">
        <v>982</v>
      </c>
      <c r="J41" s="72">
        <v>46237</v>
      </c>
    </row>
    <row r="42" spans="1:10" ht="43.5" customHeight="1">
      <c r="A42" s="95" t="s">
        <v>983</v>
      </c>
      <c r="B42" s="95" t="s">
        <v>984</v>
      </c>
      <c r="C42" s="95" t="s">
        <v>985</v>
      </c>
      <c r="D42" s="95" t="s">
        <v>986</v>
      </c>
      <c r="E42" s="95" t="s">
        <v>303</v>
      </c>
      <c r="F42" s="95" t="s">
        <v>303</v>
      </c>
      <c r="G42" s="95">
        <v>0</v>
      </c>
      <c r="H42" s="95" t="s">
        <v>853</v>
      </c>
      <c r="I42" s="95" t="s">
        <v>987</v>
      </c>
      <c r="J42" s="72">
        <v>46237</v>
      </c>
    </row>
    <row r="43" spans="1:10" ht="29.25" customHeight="1">
      <c r="A43" s="95" t="s">
        <v>988</v>
      </c>
      <c r="B43" s="95" t="s">
        <v>989</v>
      </c>
      <c r="C43" s="95" t="s">
        <v>990</v>
      </c>
      <c r="D43" s="95" t="s">
        <v>991</v>
      </c>
      <c r="E43" s="95">
        <v>23</v>
      </c>
      <c r="F43" s="95">
        <v>23</v>
      </c>
      <c r="G43" s="95">
        <v>0</v>
      </c>
      <c r="H43" s="95" t="s">
        <v>853</v>
      </c>
      <c r="I43" s="95" t="s">
        <v>992</v>
      </c>
      <c r="J43" s="72">
        <v>46237</v>
      </c>
    </row>
    <row r="44" spans="1:10" ht="43.5" customHeight="1">
      <c r="A44" s="95" t="s">
        <v>993</v>
      </c>
      <c r="B44" s="95" t="s">
        <v>979</v>
      </c>
      <c r="C44" s="95" t="s">
        <v>994</v>
      </c>
      <c r="D44" s="95" t="s">
        <v>995</v>
      </c>
      <c r="E44" s="95">
        <v>24</v>
      </c>
      <c r="F44" s="95">
        <v>24</v>
      </c>
      <c r="G44" s="95">
        <v>0</v>
      </c>
      <c r="H44" s="95" t="s">
        <v>853</v>
      </c>
      <c r="I44" s="95" t="s">
        <v>982</v>
      </c>
      <c r="J44" s="72">
        <v>46237</v>
      </c>
    </row>
    <row r="45" spans="1:10" ht="57.75" customHeight="1">
      <c r="A45" s="95" t="s">
        <v>996</v>
      </c>
      <c r="B45" s="95" t="s">
        <v>997</v>
      </c>
      <c r="C45" s="95" t="s">
        <v>998</v>
      </c>
      <c r="D45" s="95" t="s">
        <v>999</v>
      </c>
      <c r="E45" s="95" t="s">
        <v>1000</v>
      </c>
      <c r="F45" s="95" t="s">
        <v>1001</v>
      </c>
      <c r="G45" s="95">
        <v>0</v>
      </c>
      <c r="H45" s="95" t="s">
        <v>853</v>
      </c>
      <c r="I45" s="95" t="s">
        <v>1002</v>
      </c>
      <c r="J45" s="72">
        <v>46237</v>
      </c>
    </row>
    <row r="46" spans="1:10" ht="72" customHeight="1">
      <c r="A46" s="95" t="s">
        <v>1003</v>
      </c>
      <c r="B46" s="95" t="s">
        <v>939</v>
      </c>
      <c r="C46" s="95" t="s">
        <v>1004</v>
      </c>
      <c r="D46" s="95" t="s">
        <v>941</v>
      </c>
      <c r="E46" s="95">
        <v>0</v>
      </c>
      <c r="F46" s="95">
        <v>0</v>
      </c>
      <c r="G46" s="95">
        <v>0</v>
      </c>
      <c r="H46" s="95" t="s">
        <v>853</v>
      </c>
      <c r="I46" s="95" t="s">
        <v>1005</v>
      </c>
      <c r="J46" s="72">
        <v>46237</v>
      </c>
    </row>
    <row r="47" spans="1:10" ht="72" customHeight="1">
      <c r="A47" s="95" t="s">
        <v>1006</v>
      </c>
      <c r="B47" s="95" t="s">
        <v>1007</v>
      </c>
      <c r="C47" s="95" t="s">
        <v>1008</v>
      </c>
      <c r="D47" s="95" t="s">
        <v>1009</v>
      </c>
      <c r="E47" s="95">
        <v>23</v>
      </c>
      <c r="F47" s="95">
        <v>23</v>
      </c>
      <c r="G47" s="95">
        <v>0</v>
      </c>
      <c r="H47" s="95" t="s">
        <v>853</v>
      </c>
      <c r="I47" s="95" t="s">
        <v>1010</v>
      </c>
      <c r="J47" s="72">
        <v>46237</v>
      </c>
    </row>
    <row r="48" spans="1:10" ht="28.5" customHeight="1">
      <c r="A48" s="95" t="s">
        <v>1011</v>
      </c>
      <c r="B48" s="95" t="s">
        <v>1012</v>
      </c>
      <c r="C48" s="95" t="s">
        <v>1013</v>
      </c>
      <c r="D48" s="95" t="s">
        <v>1014</v>
      </c>
      <c r="E48" s="95">
        <v>21</v>
      </c>
      <c r="F48" s="95">
        <v>21</v>
      </c>
      <c r="G48" s="95">
        <v>0</v>
      </c>
      <c r="H48" s="95" t="s">
        <v>853</v>
      </c>
      <c r="I48" s="95" t="s">
        <v>1015</v>
      </c>
      <c r="J48" s="72">
        <v>46237</v>
      </c>
    </row>
    <row r="49" spans="1:10" ht="28.5" customHeight="1">
      <c r="A49" s="95" t="s">
        <v>1016</v>
      </c>
      <c r="B49" s="95" t="s">
        <v>1017</v>
      </c>
      <c r="C49" s="95" t="s">
        <v>1018</v>
      </c>
      <c r="D49" s="95" t="s">
        <v>1019</v>
      </c>
      <c r="E49" s="95">
        <v>414</v>
      </c>
      <c r="F49" s="95">
        <v>414</v>
      </c>
      <c r="G49" s="95">
        <v>0</v>
      </c>
      <c r="H49" s="95" t="s">
        <v>853</v>
      </c>
      <c r="I49" s="95" t="s">
        <v>1020</v>
      </c>
      <c r="J49" s="72">
        <v>46237</v>
      </c>
    </row>
    <row r="50" spans="1:10">
      <c r="A50" s="95" t="s">
        <v>1021</v>
      </c>
      <c r="B50" s="95" t="s">
        <v>1022</v>
      </c>
      <c r="C50" s="95" t="s">
        <v>1023</v>
      </c>
      <c r="D50" s="95" t="s">
        <v>1024</v>
      </c>
      <c r="E50" s="95">
        <v>18</v>
      </c>
      <c r="F50" s="95">
        <v>18</v>
      </c>
      <c r="G50" s="95">
        <v>0</v>
      </c>
      <c r="H50" s="95" t="s">
        <v>853</v>
      </c>
      <c r="I50" s="95" t="s">
        <v>1025</v>
      </c>
      <c r="J50" s="72">
        <v>46237</v>
      </c>
    </row>
    <row r="51" spans="1:10">
      <c r="A51" s="95" t="s">
        <v>1026</v>
      </c>
      <c r="B51" s="95" t="s">
        <v>1022</v>
      </c>
      <c r="C51" s="95" t="s">
        <v>1027</v>
      </c>
      <c r="D51" s="95" t="s">
        <v>1024</v>
      </c>
      <c r="E51" s="95">
        <v>30</v>
      </c>
      <c r="F51" s="95">
        <v>30</v>
      </c>
      <c r="G51" s="95">
        <v>0</v>
      </c>
      <c r="H51" s="95" t="s">
        <v>853</v>
      </c>
      <c r="I51" s="95" t="s">
        <v>1028</v>
      </c>
      <c r="J51" s="72">
        <v>46237</v>
      </c>
    </row>
    <row r="52" spans="1:10">
      <c r="A52" s="95" t="s">
        <v>1029</v>
      </c>
      <c r="B52" s="95" t="s">
        <v>1022</v>
      </c>
      <c r="C52" s="95" t="s">
        <v>1030</v>
      </c>
      <c r="D52" s="95" t="s">
        <v>1024</v>
      </c>
      <c r="E52" s="95">
        <v>2300</v>
      </c>
      <c r="F52" s="95">
        <v>2300</v>
      </c>
      <c r="G52" s="95">
        <v>0</v>
      </c>
      <c r="H52" s="95" t="s">
        <v>853</v>
      </c>
      <c r="I52" s="95" t="s">
        <v>1031</v>
      </c>
      <c r="J52" s="72">
        <v>46237</v>
      </c>
    </row>
    <row r="53" spans="1:10" ht="28.5" customHeight="1">
      <c r="A53" s="95" t="s">
        <v>1032</v>
      </c>
      <c r="B53" s="95" t="s">
        <v>1033</v>
      </c>
      <c r="C53" s="95" t="s">
        <v>1034</v>
      </c>
      <c r="D53" s="95" t="s">
        <v>1035</v>
      </c>
      <c r="E53" s="95">
        <v>4.95</v>
      </c>
      <c r="F53" s="95">
        <v>4.95</v>
      </c>
      <c r="G53" s="95">
        <v>1E-3</v>
      </c>
      <c r="H53" s="95" t="s">
        <v>853</v>
      </c>
      <c r="I53" s="95" t="s">
        <v>1036</v>
      </c>
      <c r="J53" s="72">
        <v>46237</v>
      </c>
    </row>
    <row r="54" spans="1:10" ht="42.75" customHeight="1">
      <c r="A54" s="95" t="s">
        <v>1037</v>
      </c>
      <c r="B54" s="95" t="s">
        <v>137</v>
      </c>
      <c r="C54" s="95" t="s">
        <v>1038</v>
      </c>
      <c r="D54" s="95" t="s">
        <v>1039</v>
      </c>
      <c r="E54" s="95">
        <v>15.22</v>
      </c>
      <c r="F54" s="95">
        <v>15.22</v>
      </c>
      <c r="G54" s="95">
        <v>1E-3</v>
      </c>
      <c r="H54" s="95" t="s">
        <v>853</v>
      </c>
      <c r="I54" s="95" t="s">
        <v>1040</v>
      </c>
      <c r="J54" s="72">
        <v>46237</v>
      </c>
    </row>
    <row r="55" spans="1:10" ht="28.5" customHeight="1">
      <c r="A55" s="95" t="s">
        <v>1041</v>
      </c>
      <c r="B55" s="95" t="s">
        <v>1042</v>
      </c>
      <c r="C55" s="95" t="s">
        <v>1043</v>
      </c>
      <c r="D55" s="95" t="s">
        <v>1044</v>
      </c>
      <c r="E55" s="95">
        <v>18</v>
      </c>
      <c r="F55" s="95">
        <v>18</v>
      </c>
      <c r="G55" s="95">
        <v>0</v>
      </c>
      <c r="H55" s="95" t="s">
        <v>853</v>
      </c>
      <c r="I55" s="95" t="s">
        <v>1045</v>
      </c>
      <c r="J55" s="72">
        <v>46237</v>
      </c>
    </row>
    <row r="56" spans="1:10" ht="28.5" customHeight="1">
      <c r="A56" s="95" t="s">
        <v>1046</v>
      </c>
      <c r="B56" s="95" t="s">
        <v>1047</v>
      </c>
      <c r="C56" s="95" t="s">
        <v>1048</v>
      </c>
      <c r="D56" s="95" t="s">
        <v>1049</v>
      </c>
      <c r="E56" s="95">
        <v>23</v>
      </c>
      <c r="F56" s="95">
        <v>23</v>
      </c>
      <c r="G56" s="95">
        <v>0</v>
      </c>
      <c r="H56" s="95" t="s">
        <v>853</v>
      </c>
      <c r="I56" s="95" t="s">
        <v>992</v>
      </c>
      <c r="J56" s="72">
        <v>46237</v>
      </c>
    </row>
    <row r="57" spans="1:10" ht="28.5" customHeight="1">
      <c r="A57" s="95" t="s">
        <v>1050</v>
      </c>
      <c r="B57" s="95" t="s">
        <v>1051</v>
      </c>
      <c r="C57" s="95" t="s">
        <v>1052</v>
      </c>
      <c r="D57" s="95" t="s">
        <v>1053</v>
      </c>
      <c r="E57" s="95" t="s">
        <v>1054</v>
      </c>
      <c r="F57" s="95" t="s">
        <v>1054</v>
      </c>
      <c r="G57" s="95">
        <v>0</v>
      </c>
      <c r="H57" s="95" t="s">
        <v>853</v>
      </c>
      <c r="I57" s="95" t="s">
        <v>1055</v>
      </c>
      <c r="J57" s="72">
        <v>46237</v>
      </c>
    </row>
    <row r="58" spans="1:10" ht="28.5" customHeight="1">
      <c r="A58" s="95" t="s">
        <v>1056</v>
      </c>
      <c r="B58" s="95" t="s">
        <v>1057</v>
      </c>
      <c r="C58" s="95" t="s">
        <v>1058</v>
      </c>
      <c r="D58" s="95" t="s">
        <v>1059</v>
      </c>
      <c r="E58" s="95" t="s">
        <v>1060</v>
      </c>
      <c r="F58" s="95" t="s">
        <v>1060</v>
      </c>
      <c r="G58" s="95">
        <v>0</v>
      </c>
      <c r="H58" s="95" t="s">
        <v>853</v>
      </c>
      <c r="I58" s="95" t="s">
        <v>1061</v>
      </c>
      <c r="J58" s="72">
        <v>46237</v>
      </c>
    </row>
    <row r="59" spans="1:10" ht="28.5" customHeight="1">
      <c r="A59" s="95" t="s">
        <v>1062</v>
      </c>
      <c r="B59" s="95" t="s">
        <v>1063</v>
      </c>
      <c r="C59" s="95" t="s">
        <v>1064</v>
      </c>
      <c r="D59" s="95" t="s">
        <v>1044</v>
      </c>
      <c r="E59" s="95" t="s">
        <v>1065</v>
      </c>
      <c r="F59" s="95" t="s">
        <v>1066</v>
      </c>
      <c r="G59" s="95">
        <v>0</v>
      </c>
      <c r="H59" s="95" t="s">
        <v>853</v>
      </c>
      <c r="I59" s="95" t="s">
        <v>1067</v>
      </c>
      <c r="J59" s="72">
        <v>46237</v>
      </c>
    </row>
    <row r="60" spans="1:10" ht="42.75" customHeight="1">
      <c r="A60" s="95" t="s">
        <v>1068</v>
      </c>
      <c r="B60" s="95" t="s">
        <v>939</v>
      </c>
      <c r="C60" s="95" t="s">
        <v>1069</v>
      </c>
      <c r="D60" s="95" t="s">
        <v>941</v>
      </c>
      <c r="E60" s="95">
        <v>0</v>
      </c>
      <c r="F60" s="95">
        <v>0</v>
      </c>
      <c r="G60" s="95">
        <v>0</v>
      </c>
      <c r="H60" s="95" t="s">
        <v>853</v>
      </c>
      <c r="I60" s="95" t="s">
        <v>1070</v>
      </c>
      <c r="J60" s="72">
        <v>46237</v>
      </c>
    </row>
    <row r="61" spans="1:10" ht="42.75" customHeight="1">
      <c r="A61" s="95" t="s">
        <v>1071</v>
      </c>
      <c r="B61" s="95" t="s">
        <v>1072</v>
      </c>
      <c r="C61" s="95" t="s">
        <v>1073</v>
      </c>
      <c r="D61" s="95" t="s">
        <v>1074</v>
      </c>
      <c r="E61" s="95" t="s">
        <v>1075</v>
      </c>
      <c r="F61" s="95" t="s">
        <v>1075</v>
      </c>
      <c r="G61" s="95">
        <v>0</v>
      </c>
      <c r="H61" s="95" t="s">
        <v>853</v>
      </c>
      <c r="I61" s="95" t="s">
        <v>1076</v>
      </c>
      <c r="J61" s="72">
        <v>46237</v>
      </c>
    </row>
    <row r="62" spans="1:10" ht="42.75" customHeight="1">
      <c r="A62" s="95" t="s">
        <v>1077</v>
      </c>
      <c r="B62" s="95" t="s">
        <v>979</v>
      </c>
      <c r="C62" s="95" t="s">
        <v>1078</v>
      </c>
      <c r="D62" s="95" t="s">
        <v>1079</v>
      </c>
      <c r="E62" s="95">
        <v>37</v>
      </c>
      <c r="F62" s="95">
        <v>37</v>
      </c>
      <c r="G62" s="95">
        <v>0</v>
      </c>
      <c r="H62" s="95" t="s">
        <v>853</v>
      </c>
      <c r="I62" s="95" t="s">
        <v>1080</v>
      </c>
      <c r="J62" s="72">
        <v>46237</v>
      </c>
    </row>
    <row r="63" spans="1:10" ht="28.5" customHeight="1">
      <c r="A63" s="95" t="s">
        <v>1081</v>
      </c>
      <c r="B63" s="95" t="s">
        <v>979</v>
      </c>
      <c r="C63" s="95" t="s">
        <v>1082</v>
      </c>
      <c r="D63" s="95" t="s">
        <v>1083</v>
      </c>
      <c r="E63" s="95">
        <v>0</v>
      </c>
      <c r="F63" s="95">
        <v>0</v>
      </c>
      <c r="G63" s="95">
        <v>0</v>
      </c>
      <c r="H63" s="95" t="s">
        <v>853</v>
      </c>
      <c r="I63" s="95" t="s">
        <v>1084</v>
      </c>
      <c r="J63" s="72">
        <v>46237</v>
      </c>
    </row>
    <row r="64" spans="1:10" ht="57" customHeight="1">
      <c r="A64" s="95" t="s">
        <v>1085</v>
      </c>
      <c r="B64" s="95" t="s">
        <v>979</v>
      </c>
      <c r="C64" s="95" t="s">
        <v>1086</v>
      </c>
      <c r="D64" s="95" t="s">
        <v>1087</v>
      </c>
      <c r="E64" s="95">
        <v>0</v>
      </c>
      <c r="F64" s="95">
        <v>0</v>
      </c>
      <c r="G64" s="95">
        <v>0</v>
      </c>
      <c r="H64" s="95" t="s">
        <v>853</v>
      </c>
      <c r="I64" s="95" t="s">
        <v>1088</v>
      </c>
      <c r="J64" s="72">
        <v>46237</v>
      </c>
    </row>
    <row r="65" spans="1:10" ht="42.75" customHeight="1">
      <c r="A65" s="95" t="s">
        <v>1089</v>
      </c>
      <c r="B65" s="95" t="s">
        <v>939</v>
      </c>
      <c r="C65" s="95" t="s">
        <v>940</v>
      </c>
      <c r="D65" s="95" t="s">
        <v>941</v>
      </c>
      <c r="E65" s="95">
        <v>0</v>
      </c>
      <c r="F65" s="95">
        <v>0</v>
      </c>
      <c r="G65" s="95">
        <v>0</v>
      </c>
      <c r="H65" s="95" t="s">
        <v>853</v>
      </c>
      <c r="I65" s="95" t="s">
        <v>1090</v>
      </c>
      <c r="J65" s="72">
        <v>46237</v>
      </c>
    </row>
    <row r="66" spans="1:10" ht="42.75" customHeight="1">
      <c r="A66" s="95" t="s">
        <v>1091</v>
      </c>
      <c r="B66" s="95" t="s">
        <v>1092</v>
      </c>
      <c r="C66" s="95" t="s">
        <v>1093</v>
      </c>
      <c r="D66" s="95" t="s">
        <v>1094</v>
      </c>
      <c r="E66" s="95">
        <v>23</v>
      </c>
      <c r="F66" s="95">
        <v>23</v>
      </c>
      <c r="G66" s="95">
        <v>0</v>
      </c>
      <c r="H66" s="95" t="s">
        <v>853</v>
      </c>
      <c r="I66" s="95" t="s">
        <v>1095</v>
      </c>
      <c r="J66" s="72">
        <v>46237</v>
      </c>
    </row>
    <row r="67" spans="1:10" ht="28.5" customHeight="1">
      <c r="A67" s="95" t="s">
        <v>1096</v>
      </c>
      <c r="B67" s="95" t="s">
        <v>1092</v>
      </c>
      <c r="C67" s="95" t="s">
        <v>1097</v>
      </c>
      <c r="D67" s="95" t="s">
        <v>1094</v>
      </c>
      <c r="E67" s="95">
        <v>11</v>
      </c>
      <c r="F67" s="95">
        <v>11</v>
      </c>
      <c r="G67" s="95">
        <v>0</v>
      </c>
      <c r="H67" s="95" t="s">
        <v>853</v>
      </c>
      <c r="I67" s="95" t="s">
        <v>1098</v>
      </c>
      <c r="J67" s="72">
        <v>46237</v>
      </c>
    </row>
    <row r="68" spans="1:10" ht="42.75" customHeight="1">
      <c r="A68" s="95" t="s">
        <v>1099</v>
      </c>
      <c r="B68" s="95" t="s">
        <v>1100</v>
      </c>
      <c r="C68" s="95" t="s">
        <v>1101</v>
      </c>
      <c r="D68" s="95" t="s">
        <v>1102</v>
      </c>
      <c r="E68" s="95">
        <v>48</v>
      </c>
      <c r="F68" s="95">
        <v>48</v>
      </c>
      <c r="G68" s="95">
        <v>0</v>
      </c>
      <c r="H68" s="95" t="s">
        <v>853</v>
      </c>
      <c r="I68" s="95" t="s">
        <v>1103</v>
      </c>
      <c r="J68" s="72">
        <v>46237</v>
      </c>
    </row>
    <row r="69" spans="1:10" ht="28.5" customHeight="1">
      <c r="A69" s="95" t="s">
        <v>1104</v>
      </c>
      <c r="B69" s="95" t="s">
        <v>1100</v>
      </c>
      <c r="C69" s="95" t="s">
        <v>1105</v>
      </c>
      <c r="D69" s="95" t="s">
        <v>1106</v>
      </c>
      <c r="E69" s="95">
        <v>48</v>
      </c>
      <c r="F69" s="95">
        <v>48</v>
      </c>
      <c r="G69" s="95">
        <v>0</v>
      </c>
      <c r="H69" s="95" t="s">
        <v>853</v>
      </c>
      <c r="I69" s="95" t="s">
        <v>1107</v>
      </c>
      <c r="J69" s="72">
        <v>46237</v>
      </c>
    </row>
    <row r="70" spans="1:10" ht="42.75" customHeight="1">
      <c r="A70" s="95" t="s">
        <v>1108</v>
      </c>
      <c r="B70" s="95" t="s">
        <v>1109</v>
      </c>
      <c r="C70" s="95" t="s">
        <v>1110</v>
      </c>
      <c r="D70" s="95" t="s">
        <v>1111</v>
      </c>
      <c r="E70" s="95">
        <v>9</v>
      </c>
      <c r="F70" s="95">
        <v>9</v>
      </c>
      <c r="G70" s="95">
        <v>0</v>
      </c>
      <c r="H70" s="95" t="s">
        <v>853</v>
      </c>
      <c r="I70" s="95" t="s">
        <v>1112</v>
      </c>
      <c r="J70" s="72">
        <v>46237</v>
      </c>
    </row>
    <row r="71" spans="1:10" ht="42.75" customHeight="1">
      <c r="A71" s="95" t="s">
        <v>1113</v>
      </c>
      <c r="B71" s="95" t="s">
        <v>1109</v>
      </c>
      <c r="C71" s="95" t="s">
        <v>1114</v>
      </c>
      <c r="D71" s="95" t="s">
        <v>1115</v>
      </c>
      <c r="E71" s="95">
        <v>11</v>
      </c>
      <c r="F71" s="95">
        <v>11</v>
      </c>
      <c r="G71" s="95">
        <v>0</v>
      </c>
      <c r="H71" s="95" t="s">
        <v>853</v>
      </c>
      <c r="I71" s="95" t="s">
        <v>1116</v>
      </c>
      <c r="J71" s="72">
        <v>46237</v>
      </c>
    </row>
    <row r="72" spans="1:10" ht="28.5" customHeight="1">
      <c r="A72" s="95" t="s">
        <v>1117</v>
      </c>
      <c r="B72" s="95" t="s">
        <v>1118</v>
      </c>
      <c r="C72" s="95" t="s">
        <v>1119</v>
      </c>
      <c r="D72" s="95" t="s">
        <v>1120</v>
      </c>
      <c r="E72" s="95">
        <v>15</v>
      </c>
      <c r="F72" s="95">
        <v>15</v>
      </c>
      <c r="G72" s="95">
        <v>0</v>
      </c>
      <c r="H72" s="95" t="s">
        <v>853</v>
      </c>
      <c r="I72" s="95" t="s">
        <v>1121</v>
      </c>
      <c r="J72" s="72">
        <v>46237</v>
      </c>
    </row>
    <row r="73" spans="1:10" ht="42.75" customHeight="1">
      <c r="A73" s="95" t="s">
        <v>1122</v>
      </c>
      <c r="B73" s="95" t="s">
        <v>1123</v>
      </c>
      <c r="C73" s="95" t="s">
        <v>1124</v>
      </c>
      <c r="D73" s="95" t="s">
        <v>1125</v>
      </c>
      <c r="E73" s="95">
        <v>23</v>
      </c>
      <c r="F73" s="95">
        <v>23</v>
      </c>
      <c r="G73" s="95">
        <v>0</v>
      </c>
      <c r="H73" s="95" t="s">
        <v>853</v>
      </c>
      <c r="I73" s="95" t="s">
        <v>1126</v>
      </c>
      <c r="J73" s="72">
        <v>46237</v>
      </c>
    </row>
    <row r="74" spans="1:10" ht="28.5" customHeight="1">
      <c r="A74" s="95" t="s">
        <v>1127</v>
      </c>
      <c r="B74" s="95" t="s">
        <v>1128</v>
      </c>
      <c r="C74" s="95" t="s">
        <v>1129</v>
      </c>
      <c r="D74" s="95" t="s">
        <v>1130</v>
      </c>
      <c r="E74" s="95" t="s">
        <v>1131</v>
      </c>
      <c r="F74" s="95" t="s">
        <v>1131</v>
      </c>
      <c r="G74" s="95">
        <v>0</v>
      </c>
      <c r="H74" s="95" t="s">
        <v>853</v>
      </c>
      <c r="I74" s="95" t="s">
        <v>1132</v>
      </c>
      <c r="J74" s="72">
        <v>46237</v>
      </c>
    </row>
    <row r="75" spans="1:10" ht="42.75" customHeight="1">
      <c r="A75" s="95" t="s">
        <v>1133</v>
      </c>
      <c r="B75" s="95" t="s">
        <v>1128</v>
      </c>
      <c r="C75" s="95" t="s">
        <v>1134</v>
      </c>
      <c r="D75" s="95" t="s">
        <v>1130</v>
      </c>
      <c r="E75" s="95" t="s">
        <v>1135</v>
      </c>
      <c r="F75" s="95" t="s">
        <v>1135</v>
      </c>
      <c r="G75" s="95">
        <v>0</v>
      </c>
      <c r="H75" s="95" t="s">
        <v>853</v>
      </c>
      <c r="I75" s="95" t="s">
        <v>1136</v>
      </c>
      <c r="J75" s="72">
        <v>46237</v>
      </c>
    </row>
    <row r="76" spans="1:10" ht="57" customHeight="1">
      <c r="A76" s="95" t="s">
        <v>1137</v>
      </c>
      <c r="B76" s="95" t="s">
        <v>944</v>
      </c>
      <c r="C76" s="95" t="s">
        <v>1138</v>
      </c>
      <c r="D76" s="95" t="s">
        <v>1139</v>
      </c>
      <c r="E76" s="95" t="s">
        <v>947</v>
      </c>
      <c r="F76" s="95" t="s">
        <v>1140</v>
      </c>
      <c r="G76" s="95" t="s">
        <v>729</v>
      </c>
      <c r="H76" s="95" t="s">
        <v>949</v>
      </c>
      <c r="I76" s="95" t="s">
        <v>1141</v>
      </c>
      <c r="J76" s="72">
        <v>46237</v>
      </c>
    </row>
    <row r="77" spans="1:10" ht="42.75" customHeight="1">
      <c r="A77" s="95" t="s">
        <v>1142</v>
      </c>
      <c r="B77" s="95" t="s">
        <v>1143</v>
      </c>
      <c r="C77" s="95" t="s">
        <v>1144</v>
      </c>
      <c r="D77" s="95" t="s">
        <v>1139</v>
      </c>
      <c r="E77" s="95" t="s">
        <v>947</v>
      </c>
      <c r="F77" s="95" t="s">
        <v>1140</v>
      </c>
      <c r="G77" s="95" t="s">
        <v>729</v>
      </c>
      <c r="H77" s="95" t="s">
        <v>949</v>
      </c>
      <c r="I77" s="95" t="s">
        <v>1145</v>
      </c>
      <c r="J77" s="72">
        <v>46237</v>
      </c>
    </row>
    <row r="78" spans="1:10" ht="28.5" customHeight="1">
      <c r="A78" s="95" t="s">
        <v>1146</v>
      </c>
      <c r="B78" s="95" t="s">
        <v>1147</v>
      </c>
      <c r="C78" s="95" t="s">
        <v>1148</v>
      </c>
      <c r="D78" s="95" t="s">
        <v>1149</v>
      </c>
      <c r="E78" s="95">
        <v>35</v>
      </c>
      <c r="F78" s="95">
        <v>35</v>
      </c>
      <c r="G78" s="95">
        <v>0</v>
      </c>
      <c r="H78" s="95" t="s">
        <v>853</v>
      </c>
      <c r="I78" s="95" t="s">
        <v>1150</v>
      </c>
      <c r="J78" s="72">
        <v>46237</v>
      </c>
    </row>
    <row r="79" spans="1:10" ht="28.5" customHeight="1">
      <c r="A79" s="95" t="s">
        <v>1151</v>
      </c>
      <c r="B79" s="95" t="s">
        <v>1152</v>
      </c>
      <c r="C79" s="95" t="s">
        <v>1153</v>
      </c>
      <c r="D79" s="95" t="s">
        <v>1154</v>
      </c>
      <c r="E79" s="95">
        <v>35</v>
      </c>
      <c r="F79" s="95">
        <v>35</v>
      </c>
      <c r="G79" s="95">
        <v>0</v>
      </c>
      <c r="H79" s="95" t="s">
        <v>853</v>
      </c>
      <c r="I79" s="95" t="s">
        <v>1155</v>
      </c>
      <c r="J79" s="72">
        <v>46237</v>
      </c>
    </row>
    <row r="80" spans="1:10" ht="28.5" customHeight="1">
      <c r="A80" s="95" t="s">
        <v>1156</v>
      </c>
      <c r="B80" s="95" t="s">
        <v>979</v>
      </c>
      <c r="C80" s="95" t="s">
        <v>1078</v>
      </c>
      <c r="D80" s="95" t="s">
        <v>979</v>
      </c>
      <c r="E80" s="95">
        <v>37</v>
      </c>
      <c r="F80" s="95">
        <v>37</v>
      </c>
      <c r="G80" s="95">
        <v>0</v>
      </c>
      <c r="H80" s="95" t="s">
        <v>853</v>
      </c>
      <c r="I80" s="95" t="s">
        <v>1157</v>
      </c>
      <c r="J80" s="72">
        <v>46237</v>
      </c>
    </row>
    <row r="81" spans="1:10" ht="28.5" customHeight="1">
      <c r="A81" s="95" t="s">
        <v>1158</v>
      </c>
      <c r="B81" s="95" t="s">
        <v>1159</v>
      </c>
      <c r="C81" s="95" t="s">
        <v>1160</v>
      </c>
      <c r="D81" s="95" t="s">
        <v>1161</v>
      </c>
      <c r="E81" s="95">
        <v>0</v>
      </c>
      <c r="F81" s="95">
        <v>0</v>
      </c>
      <c r="G81" s="95">
        <v>0</v>
      </c>
      <c r="H81" s="95" t="s">
        <v>853</v>
      </c>
      <c r="I81" s="95" t="s">
        <v>1162</v>
      </c>
      <c r="J81" s="72">
        <v>46237</v>
      </c>
    </row>
    <row r="82" spans="1:10" ht="42.75" customHeight="1">
      <c r="A82" s="95" t="s">
        <v>1163</v>
      </c>
      <c r="B82" s="95" t="s">
        <v>979</v>
      </c>
      <c r="C82" s="95" t="s">
        <v>1164</v>
      </c>
      <c r="D82" s="95" t="s">
        <v>1165</v>
      </c>
      <c r="E82" s="95">
        <v>0</v>
      </c>
      <c r="F82" s="95">
        <v>0</v>
      </c>
      <c r="G82" s="95">
        <v>0</v>
      </c>
      <c r="H82" s="95" t="s">
        <v>853</v>
      </c>
      <c r="I82" s="95" t="s">
        <v>1166</v>
      </c>
      <c r="J82" s="72">
        <v>46237</v>
      </c>
    </row>
    <row r="83" spans="1:10" ht="28.5" customHeight="1">
      <c r="A83" s="95" t="s">
        <v>1167</v>
      </c>
      <c r="B83" s="95" t="s">
        <v>1118</v>
      </c>
      <c r="C83" s="95" t="s">
        <v>1119</v>
      </c>
      <c r="D83" s="95" t="s">
        <v>941</v>
      </c>
      <c r="E83" s="95">
        <v>15</v>
      </c>
      <c r="F83" s="95">
        <v>15</v>
      </c>
      <c r="G83" s="95">
        <v>0</v>
      </c>
      <c r="H83" s="95" t="s">
        <v>853</v>
      </c>
      <c r="I83" s="95" t="s">
        <v>1121</v>
      </c>
      <c r="J83" s="72">
        <v>46237</v>
      </c>
    </row>
    <row r="84" spans="1:10" ht="28.5" customHeight="1">
      <c r="A84" s="95" t="s">
        <v>1168</v>
      </c>
      <c r="B84" s="95" t="s">
        <v>1109</v>
      </c>
      <c r="C84" s="95" t="s">
        <v>1169</v>
      </c>
      <c r="D84" s="95" t="s">
        <v>941</v>
      </c>
      <c r="E84" s="95">
        <v>20</v>
      </c>
      <c r="F84" s="95">
        <v>20</v>
      </c>
      <c r="G84" s="95">
        <v>0</v>
      </c>
      <c r="H84" s="95" t="s">
        <v>853</v>
      </c>
      <c r="I84" s="95" t="s">
        <v>1170</v>
      </c>
      <c r="J84" s="72">
        <v>46237</v>
      </c>
    </row>
    <row r="85" spans="1:10" ht="28.5" customHeight="1">
      <c r="A85" s="95" t="s">
        <v>1171</v>
      </c>
      <c r="B85" s="95" t="s">
        <v>1100</v>
      </c>
      <c r="C85" s="95" t="s">
        <v>1172</v>
      </c>
      <c r="D85" s="95" t="s">
        <v>1100</v>
      </c>
      <c r="E85" s="95">
        <v>49</v>
      </c>
      <c r="F85" s="95">
        <v>49</v>
      </c>
      <c r="G85" s="95">
        <v>0</v>
      </c>
      <c r="H85" s="95" t="s">
        <v>853</v>
      </c>
      <c r="I85" s="95" t="s">
        <v>1173</v>
      </c>
      <c r="J85" s="72">
        <v>46237</v>
      </c>
    </row>
    <row r="86" spans="1:10" ht="28.5" customHeight="1">
      <c r="A86" s="95" t="s">
        <v>1174</v>
      </c>
      <c r="B86" s="95" t="s">
        <v>1175</v>
      </c>
      <c r="C86" s="95" t="s">
        <v>1176</v>
      </c>
      <c r="D86" s="95" t="s">
        <v>1177</v>
      </c>
      <c r="E86" s="95" t="s">
        <v>1178</v>
      </c>
      <c r="F86" s="95" t="s">
        <v>1178</v>
      </c>
      <c r="G86" s="95">
        <v>0</v>
      </c>
      <c r="H86" s="95" t="s">
        <v>853</v>
      </c>
      <c r="I86" s="95" t="s">
        <v>1179</v>
      </c>
      <c r="J86" s="72">
        <v>46237</v>
      </c>
    </row>
    <row r="87" spans="1:10" ht="42.75" customHeight="1">
      <c r="A87" s="95" t="s">
        <v>1180</v>
      </c>
      <c r="B87" s="95" t="s">
        <v>939</v>
      </c>
      <c r="C87" s="95" t="s">
        <v>940</v>
      </c>
      <c r="D87" s="95" t="s">
        <v>941</v>
      </c>
      <c r="E87" s="95">
        <v>0</v>
      </c>
      <c r="F87" s="95">
        <v>0</v>
      </c>
      <c r="G87" s="95">
        <v>0</v>
      </c>
      <c r="H87" s="95" t="s">
        <v>853</v>
      </c>
      <c r="I87" s="95" t="s">
        <v>1181</v>
      </c>
      <c r="J87" s="72">
        <v>46237</v>
      </c>
    </row>
    <row r="88" spans="1:10" ht="42.75" customHeight="1">
      <c r="A88" s="95" t="s">
        <v>1182</v>
      </c>
      <c r="B88" s="95" t="s">
        <v>1183</v>
      </c>
      <c r="C88" s="95" t="s">
        <v>1184</v>
      </c>
      <c r="D88" s="95" t="s">
        <v>1185</v>
      </c>
      <c r="E88" s="95">
        <v>1</v>
      </c>
      <c r="F88" s="95">
        <v>1</v>
      </c>
      <c r="G88" s="95">
        <v>0</v>
      </c>
      <c r="H88" s="95" t="s">
        <v>853</v>
      </c>
      <c r="I88" s="95" t="s">
        <v>1186</v>
      </c>
      <c r="J88" s="72">
        <v>46237</v>
      </c>
    </row>
    <row r="89" spans="1:10" ht="28.5" customHeight="1">
      <c r="A89" s="95" t="s">
        <v>1187</v>
      </c>
      <c r="B89" s="95" t="s">
        <v>1188</v>
      </c>
      <c r="C89" s="95" t="s">
        <v>1189</v>
      </c>
      <c r="D89" s="95" t="s">
        <v>1190</v>
      </c>
      <c r="E89" s="95" t="s">
        <v>1191</v>
      </c>
      <c r="F89" s="95" t="s">
        <v>1191</v>
      </c>
      <c r="G89" s="95">
        <v>0</v>
      </c>
      <c r="H89" s="95" t="s">
        <v>853</v>
      </c>
      <c r="I89" s="95" t="s">
        <v>1192</v>
      </c>
      <c r="J89" s="72">
        <v>46237</v>
      </c>
    </row>
    <row r="90" spans="1:10" ht="57" customHeight="1">
      <c r="A90" s="95" t="s">
        <v>1193</v>
      </c>
      <c r="B90" s="95" t="s">
        <v>1194</v>
      </c>
      <c r="C90" s="95" t="s">
        <v>1195</v>
      </c>
      <c r="D90" s="95" t="s">
        <v>1196</v>
      </c>
      <c r="E90" s="95">
        <v>35</v>
      </c>
      <c r="F90" s="95">
        <v>35</v>
      </c>
      <c r="G90" s="95">
        <v>0</v>
      </c>
      <c r="H90" s="95" t="s">
        <v>853</v>
      </c>
      <c r="I90" s="95" t="s">
        <v>1197</v>
      </c>
      <c r="J90" s="72">
        <v>46237</v>
      </c>
    </row>
    <row r="91" spans="1:10" ht="42.75" customHeight="1">
      <c r="A91" s="95" t="s">
        <v>1198</v>
      </c>
      <c r="B91" s="95" t="s">
        <v>1199</v>
      </c>
      <c r="C91" s="95" t="s">
        <v>1200</v>
      </c>
      <c r="D91" s="95" t="s">
        <v>1201</v>
      </c>
      <c r="E91" s="95">
        <v>3</v>
      </c>
      <c r="F91" s="95">
        <v>3</v>
      </c>
      <c r="G91" s="95">
        <v>0</v>
      </c>
      <c r="H91" s="95" t="s">
        <v>853</v>
      </c>
      <c r="I91" s="95" t="s">
        <v>1202</v>
      </c>
      <c r="J91" s="72">
        <v>46237</v>
      </c>
    </row>
  </sheetData>
  <mergeCells count="2">
    <mergeCell ref="A1:N2"/>
    <mergeCell ref="A3:N3"/>
  </mergeCells>
  <conditionalFormatting sqref="H8:H34">
    <cfRule type="expression" dxfId="13" priority="1">
      <formula>H8="APROBADA"</formula>
    </cfRule>
    <cfRule type="expression" dxfId="12" priority="2">
      <formula>H8="FALLIDA"</formula>
    </cfRule>
    <cfRule type="expression" dxfId="11" priority="3">
      <formula>H8="NO EJECUTADA"</formula>
    </cfRule>
  </conditionalFormatting>
  <conditionalFormatting sqref="H35:H46">
    <cfRule type="expression" dxfId="10" priority="4">
      <formula>H35="APROBADA"</formula>
    </cfRule>
    <cfRule type="expression" dxfId="9" priority="5">
      <formula>H35="FALLIDA"</formula>
    </cfRule>
    <cfRule type="expression" dxfId="8" priority="6">
      <formula>H35="REVISAR"</formula>
    </cfRule>
  </conditionalFormatting>
  <conditionalFormatting sqref="H47">
    <cfRule type="expression" dxfId="7" priority="7">
      <formula>H47="APROBADA"</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8"/>
  <sheetViews>
    <sheetView showGridLines="0" topLeftCell="A13" workbookViewId="0">
      <selection sqref="A1:N2"/>
    </sheetView>
  </sheetViews>
  <sheetFormatPr baseColWidth="10" defaultColWidth="9" defaultRowHeight="14.25"/>
  <cols>
    <col min="1" max="1" width="32" style="30" customWidth="1"/>
    <col min="2" max="2" width="20" style="30" customWidth="1"/>
    <col min="3" max="3" width="15" style="30" customWidth="1"/>
    <col min="4" max="4" width="20" style="30" customWidth="1"/>
    <col min="5" max="5" width="25" style="30" customWidth="1"/>
    <col min="6" max="6" width="20" style="30" customWidth="1"/>
    <col min="7" max="7" width="48" style="30" customWidth="1"/>
    <col min="8" max="14" width="14" style="30" customWidth="1"/>
  </cols>
  <sheetData>
    <row r="1" spans="1:14">
      <c r="A1" s="155" t="s">
        <v>1203</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1204</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c r="A7" s="8" t="s">
        <v>1205</v>
      </c>
      <c r="B7" s="8" t="s">
        <v>153</v>
      </c>
      <c r="C7" s="8" t="s">
        <v>156</v>
      </c>
      <c r="D7" s="8" t="s">
        <v>217</v>
      </c>
      <c r="E7" s="8" t="s">
        <v>158</v>
      </c>
      <c r="F7" s="8" t="s">
        <v>113</v>
      </c>
      <c r="G7" s="8" t="s">
        <v>351</v>
      </c>
    </row>
    <row r="8" spans="1:14">
      <c r="A8" s="55" t="s">
        <v>1206</v>
      </c>
      <c r="B8" s="50">
        <v>4</v>
      </c>
      <c r="C8" s="55" t="s">
        <v>1207</v>
      </c>
      <c r="D8" s="55" t="s">
        <v>1208</v>
      </c>
      <c r="E8" s="55" t="s">
        <v>711</v>
      </c>
      <c r="F8" s="55" t="s">
        <v>673</v>
      </c>
      <c r="G8" s="55" t="s">
        <v>1209</v>
      </c>
    </row>
    <row r="9" spans="1:14">
      <c r="A9" s="55" t="s">
        <v>1210</v>
      </c>
      <c r="B9" s="50">
        <v>4</v>
      </c>
      <c r="C9" s="55" t="s">
        <v>1207</v>
      </c>
      <c r="D9" s="55" t="s">
        <v>1208</v>
      </c>
      <c r="E9" s="55" t="s">
        <v>711</v>
      </c>
      <c r="F9" s="55" t="s">
        <v>673</v>
      </c>
      <c r="G9" s="55" t="s">
        <v>1211</v>
      </c>
    </row>
    <row r="10" spans="1:14">
      <c r="A10" s="55" t="s">
        <v>1212</v>
      </c>
      <c r="B10" s="50">
        <v>9</v>
      </c>
      <c r="C10" s="55" t="s">
        <v>1207</v>
      </c>
      <c r="D10" s="55" t="s">
        <v>1208</v>
      </c>
      <c r="E10" s="55" t="s">
        <v>711</v>
      </c>
      <c r="F10" s="55" t="s">
        <v>673</v>
      </c>
      <c r="G10" s="55" t="s">
        <v>1209</v>
      </c>
    </row>
    <row r="11" spans="1:14">
      <c r="A11" s="55" t="s">
        <v>1213</v>
      </c>
      <c r="B11" s="50">
        <v>2</v>
      </c>
      <c r="C11" s="55" t="s">
        <v>136</v>
      </c>
      <c r="D11" s="55" t="s">
        <v>1214</v>
      </c>
      <c r="E11" s="55" t="s">
        <v>1215</v>
      </c>
      <c r="F11" s="55" t="s">
        <v>673</v>
      </c>
      <c r="G11" s="55" t="s">
        <v>1216</v>
      </c>
    </row>
    <row r="12" spans="1:14">
      <c r="A12" s="55" t="s">
        <v>1217</v>
      </c>
      <c r="B12" s="50" t="s">
        <v>348</v>
      </c>
      <c r="C12" s="55"/>
      <c r="D12" s="55" t="s">
        <v>1218</v>
      </c>
      <c r="E12" s="55" t="s">
        <v>1215</v>
      </c>
      <c r="F12" s="55" t="s">
        <v>673</v>
      </c>
      <c r="G12" s="55" t="s">
        <v>1219</v>
      </c>
    </row>
    <row r="13" spans="1:14">
      <c r="A13" s="55" t="s">
        <v>1220</v>
      </c>
      <c r="B13" s="50">
        <v>55</v>
      </c>
      <c r="C13" s="55" t="s">
        <v>1221</v>
      </c>
      <c r="D13" s="55" t="s">
        <v>157</v>
      </c>
      <c r="E13" s="55" t="s">
        <v>718</v>
      </c>
      <c r="F13" s="55" t="s">
        <v>673</v>
      </c>
      <c r="G13" s="55" t="s">
        <v>1222</v>
      </c>
    </row>
    <row r="14" spans="1:14">
      <c r="A14" s="55" t="s">
        <v>1223</v>
      </c>
      <c r="B14" s="50">
        <v>69</v>
      </c>
      <c r="C14" s="55" t="s">
        <v>1221</v>
      </c>
      <c r="D14" s="55" t="s">
        <v>157</v>
      </c>
      <c r="E14" s="55" t="s">
        <v>718</v>
      </c>
      <c r="F14" s="55" t="s">
        <v>673</v>
      </c>
      <c r="G14" s="55" t="s">
        <v>1224</v>
      </c>
    </row>
    <row r="15" spans="1:14">
      <c r="A15" s="55" t="s">
        <v>1225</v>
      </c>
      <c r="B15" s="50">
        <v>10</v>
      </c>
      <c r="C15" s="55" t="s">
        <v>1226</v>
      </c>
      <c r="D15" s="55" t="s">
        <v>157</v>
      </c>
      <c r="E15" s="55" t="s">
        <v>725</v>
      </c>
      <c r="F15" s="55" t="s">
        <v>673</v>
      </c>
      <c r="G15" s="55" t="s">
        <v>1227</v>
      </c>
    </row>
    <row r="16" spans="1:14">
      <c r="A16" s="55" t="s">
        <v>1228</v>
      </c>
      <c r="B16" s="50">
        <v>19</v>
      </c>
      <c r="C16" s="55" t="s">
        <v>1226</v>
      </c>
      <c r="D16" s="55" t="s">
        <v>157</v>
      </c>
      <c r="E16" s="55" t="s">
        <v>725</v>
      </c>
      <c r="F16" s="55" t="s">
        <v>673</v>
      </c>
      <c r="G16" s="55" t="s">
        <v>1229</v>
      </c>
    </row>
    <row r="17" spans="1:7">
      <c r="A17" s="55" t="s">
        <v>1230</v>
      </c>
      <c r="B17" s="50">
        <v>90</v>
      </c>
      <c r="C17" s="55" t="s">
        <v>136</v>
      </c>
      <c r="D17" s="55" t="s">
        <v>1231</v>
      </c>
      <c r="E17" s="55" t="s">
        <v>1215</v>
      </c>
      <c r="F17" s="55" t="s">
        <v>673</v>
      </c>
      <c r="G17" s="55" t="s">
        <v>1232</v>
      </c>
    </row>
    <row r="18" spans="1:7">
      <c r="A18" s="55" t="s">
        <v>1233</v>
      </c>
      <c r="B18" s="50">
        <v>110</v>
      </c>
      <c r="C18" s="55" t="s">
        <v>136</v>
      </c>
      <c r="D18" s="55" t="s">
        <v>1231</v>
      </c>
      <c r="E18" s="55" t="s">
        <v>1215</v>
      </c>
      <c r="F18" s="55" t="s">
        <v>673</v>
      </c>
      <c r="G18" s="55" t="s">
        <v>1234</v>
      </c>
    </row>
    <row r="19" spans="1:7">
      <c r="A19" s="55" t="s">
        <v>1235</v>
      </c>
      <c r="B19" s="50">
        <v>1.55</v>
      </c>
      <c r="C19" s="55" t="s">
        <v>58</v>
      </c>
      <c r="D19" s="55" t="s">
        <v>452</v>
      </c>
      <c r="E19" s="55" t="s">
        <v>682</v>
      </c>
      <c r="F19" s="55" t="s">
        <v>673</v>
      </c>
      <c r="G19" s="55" t="s">
        <v>1236</v>
      </c>
    </row>
    <row r="20" spans="1:7">
      <c r="A20" s="55" t="s">
        <v>1237</v>
      </c>
      <c r="B20" s="50">
        <v>1.85</v>
      </c>
      <c r="C20" s="55" t="s">
        <v>58</v>
      </c>
      <c r="D20" s="55" t="s">
        <v>452</v>
      </c>
      <c r="E20" s="55" t="s">
        <v>682</v>
      </c>
      <c r="F20" s="55" t="s">
        <v>673</v>
      </c>
      <c r="G20" s="55" t="s">
        <v>1238</v>
      </c>
    </row>
    <row r="21" spans="1:7">
      <c r="A21" s="55" t="s">
        <v>1239</v>
      </c>
      <c r="B21" s="50">
        <v>2.2000000000000002</v>
      </c>
      <c r="C21" s="55" t="s">
        <v>58</v>
      </c>
      <c r="D21" s="55" t="s">
        <v>452</v>
      </c>
      <c r="E21" s="55" t="s">
        <v>682</v>
      </c>
      <c r="F21" s="55" t="s">
        <v>673</v>
      </c>
      <c r="G21" s="55" t="s">
        <v>1240</v>
      </c>
    </row>
    <row r="22" spans="1:7">
      <c r="A22" s="55" t="s">
        <v>1241</v>
      </c>
      <c r="B22" s="50">
        <v>0.85</v>
      </c>
      <c r="C22" s="55" t="s">
        <v>1242</v>
      </c>
      <c r="D22" s="55" t="s">
        <v>1243</v>
      </c>
      <c r="E22" s="55" t="s">
        <v>682</v>
      </c>
      <c r="F22" s="55" t="s">
        <v>673</v>
      </c>
      <c r="G22" s="55" t="s">
        <v>1244</v>
      </c>
    </row>
    <row r="23" spans="1:7">
      <c r="A23" s="55" t="s">
        <v>1245</v>
      </c>
      <c r="B23" s="50">
        <v>1</v>
      </c>
      <c r="C23" s="55" t="s">
        <v>1242</v>
      </c>
      <c r="D23" s="55" t="s">
        <v>1243</v>
      </c>
      <c r="E23" s="55" t="s">
        <v>682</v>
      </c>
      <c r="F23" s="55" t="s">
        <v>673</v>
      </c>
      <c r="G23" s="55" t="s">
        <v>1246</v>
      </c>
    </row>
    <row r="24" spans="1:7">
      <c r="A24" s="55" t="s">
        <v>1247</v>
      </c>
      <c r="B24" s="50">
        <v>1.1499999999999999</v>
      </c>
      <c r="C24" s="55" t="s">
        <v>1242</v>
      </c>
      <c r="D24" s="55" t="s">
        <v>1243</v>
      </c>
      <c r="E24" s="55" t="s">
        <v>682</v>
      </c>
      <c r="F24" s="55" t="s">
        <v>673</v>
      </c>
      <c r="G24" s="55" t="s">
        <v>1248</v>
      </c>
    </row>
    <row r="25" spans="1:7">
      <c r="A25" s="55" t="s">
        <v>1249</v>
      </c>
      <c r="B25" s="50">
        <v>300</v>
      </c>
      <c r="C25" s="55" t="s">
        <v>87</v>
      </c>
      <c r="D25" s="55" t="s">
        <v>1250</v>
      </c>
      <c r="E25" s="55" t="s">
        <v>697</v>
      </c>
      <c r="F25" s="55" t="s">
        <v>673</v>
      </c>
      <c r="G25" s="55" t="s">
        <v>1251</v>
      </c>
    </row>
    <row r="26" spans="1:7">
      <c r="A26" s="55" t="s">
        <v>1252</v>
      </c>
      <c r="B26" s="50">
        <v>200</v>
      </c>
      <c r="C26" s="55" t="s">
        <v>87</v>
      </c>
      <c r="D26" s="55" t="s">
        <v>1250</v>
      </c>
      <c r="E26" s="55" t="s">
        <v>697</v>
      </c>
      <c r="F26" s="55" t="s">
        <v>673</v>
      </c>
      <c r="G26" s="55" t="s">
        <v>1251</v>
      </c>
    </row>
    <row r="27" spans="1:7">
      <c r="A27" s="55" t="s">
        <v>1253</v>
      </c>
      <c r="B27" s="50">
        <v>150</v>
      </c>
      <c r="C27" s="55" t="s">
        <v>87</v>
      </c>
      <c r="D27" s="55" t="s">
        <v>1250</v>
      </c>
      <c r="E27" s="55" t="s">
        <v>697</v>
      </c>
      <c r="F27" s="55" t="s">
        <v>673</v>
      </c>
      <c r="G27" s="55" t="s">
        <v>1251</v>
      </c>
    </row>
    <row r="28" spans="1:7">
      <c r="A28" s="55" t="s">
        <v>1254</v>
      </c>
      <c r="B28" s="50">
        <v>-50</v>
      </c>
      <c r="C28" s="55" t="s">
        <v>87</v>
      </c>
      <c r="D28" s="55" t="s">
        <v>1250</v>
      </c>
      <c r="E28" s="55" t="s">
        <v>697</v>
      </c>
      <c r="F28" s="55" t="s">
        <v>673</v>
      </c>
      <c r="G28" s="55" t="s">
        <v>1251</v>
      </c>
    </row>
    <row r="29" spans="1:7">
      <c r="A29" s="55" t="s">
        <v>1255</v>
      </c>
      <c r="B29" s="50">
        <v>400</v>
      </c>
      <c r="C29" s="55" t="s">
        <v>87</v>
      </c>
      <c r="D29" s="55" t="s">
        <v>1250</v>
      </c>
      <c r="E29" s="55" t="s">
        <v>697</v>
      </c>
      <c r="F29" s="55" t="s">
        <v>673</v>
      </c>
      <c r="G29" s="55" t="s">
        <v>1256</v>
      </c>
    </row>
    <row r="30" spans="1:7">
      <c r="A30" s="55" t="s">
        <v>1257</v>
      </c>
      <c r="B30" s="50">
        <v>380</v>
      </c>
      <c r="C30" s="55" t="s">
        <v>87</v>
      </c>
      <c r="D30" s="55" t="s">
        <v>1250</v>
      </c>
      <c r="E30" s="55" t="s">
        <v>697</v>
      </c>
      <c r="F30" s="55" t="s">
        <v>673</v>
      </c>
      <c r="G30" s="55" t="s">
        <v>1258</v>
      </c>
    </row>
    <row r="31" spans="1:7">
      <c r="A31" s="55" t="s">
        <v>1259</v>
      </c>
      <c r="B31" s="50" t="s">
        <v>1260</v>
      </c>
      <c r="C31" s="55"/>
      <c r="D31" s="55" t="s">
        <v>1261</v>
      </c>
      <c r="E31" s="55" t="s">
        <v>703</v>
      </c>
      <c r="F31" s="55" t="s">
        <v>673</v>
      </c>
      <c r="G31" s="55" t="s">
        <v>1262</v>
      </c>
    </row>
    <row r="32" spans="1:7">
      <c r="A32" s="55" t="s">
        <v>1263</v>
      </c>
      <c r="B32" s="50" t="s">
        <v>1264</v>
      </c>
      <c r="C32" s="55"/>
      <c r="D32" s="55" t="s">
        <v>1261</v>
      </c>
      <c r="E32" s="55" t="s">
        <v>682</v>
      </c>
      <c r="F32" s="55" t="s">
        <v>673</v>
      </c>
      <c r="G32" s="55" t="s">
        <v>1265</v>
      </c>
    </row>
    <row r="33" spans="1:7">
      <c r="A33" s="55" t="s">
        <v>1266</v>
      </c>
      <c r="B33" s="50" t="s">
        <v>1267</v>
      </c>
      <c r="C33" s="55"/>
      <c r="D33" s="55" t="s">
        <v>1268</v>
      </c>
      <c r="E33" s="55" t="s">
        <v>1215</v>
      </c>
      <c r="F33" s="55" t="s">
        <v>673</v>
      </c>
      <c r="G33" s="55" t="s">
        <v>1269</v>
      </c>
    </row>
    <row r="34" spans="1:7">
      <c r="A34" s="55" t="s">
        <v>1270</v>
      </c>
      <c r="B34" s="50" t="s">
        <v>1271</v>
      </c>
      <c r="C34" s="55"/>
      <c r="D34" s="55" t="s">
        <v>1272</v>
      </c>
      <c r="E34" s="55" t="s">
        <v>1215</v>
      </c>
      <c r="F34" s="55" t="s">
        <v>673</v>
      </c>
      <c r="G34" s="55" t="s">
        <v>1273</v>
      </c>
    </row>
    <row r="35" spans="1:7" ht="28.5" customHeight="1">
      <c r="A35" s="95" t="s">
        <v>1274</v>
      </c>
      <c r="B35" s="95">
        <v>8</v>
      </c>
      <c r="C35" s="95" t="s">
        <v>1275</v>
      </c>
      <c r="D35" s="95" t="s">
        <v>1261</v>
      </c>
      <c r="E35" s="95" t="s">
        <v>1215</v>
      </c>
      <c r="F35" s="95" t="s">
        <v>673</v>
      </c>
      <c r="G35" s="95" t="s">
        <v>1276</v>
      </c>
    </row>
    <row r="36" spans="1:7">
      <c r="A36" s="95" t="s">
        <v>1277</v>
      </c>
      <c r="B36" s="95">
        <v>23</v>
      </c>
      <c r="C36" s="95" t="s">
        <v>1278</v>
      </c>
      <c r="D36" s="95" t="s">
        <v>1279</v>
      </c>
      <c r="E36" s="95" t="s">
        <v>1215</v>
      </c>
      <c r="F36" s="95" t="s">
        <v>673</v>
      </c>
      <c r="G36" s="95" t="s">
        <v>1280</v>
      </c>
    </row>
    <row r="37" spans="1:7">
      <c r="A37" s="95" t="s">
        <v>1281</v>
      </c>
      <c r="B37" s="95">
        <v>35</v>
      </c>
      <c r="C37" s="95" t="s">
        <v>1282</v>
      </c>
      <c r="D37" s="95" t="s">
        <v>1279</v>
      </c>
      <c r="E37" s="95" t="s">
        <v>1215</v>
      </c>
      <c r="F37" s="95" t="s">
        <v>673</v>
      </c>
      <c r="G37" s="95" t="s">
        <v>1283</v>
      </c>
    </row>
    <row r="38" spans="1:7">
      <c r="A38" s="95" t="s">
        <v>1284</v>
      </c>
      <c r="B38" s="95">
        <v>26</v>
      </c>
      <c r="C38" s="95" t="s">
        <v>1282</v>
      </c>
      <c r="D38" s="95" t="s">
        <v>1279</v>
      </c>
      <c r="E38" s="95" t="s">
        <v>1215</v>
      </c>
      <c r="F38" s="95" t="s">
        <v>673</v>
      </c>
      <c r="G38" s="95" t="s">
        <v>1285</v>
      </c>
    </row>
    <row r="39" spans="1:7">
      <c r="A39" s="95" t="s">
        <v>1286</v>
      </c>
      <c r="B39" s="95">
        <v>23</v>
      </c>
      <c r="C39" s="95" t="s">
        <v>1287</v>
      </c>
      <c r="D39" s="95" t="s">
        <v>1279</v>
      </c>
      <c r="E39" s="95" t="s">
        <v>1215</v>
      </c>
      <c r="F39" s="95" t="s">
        <v>673</v>
      </c>
      <c r="G39" s="95" t="s">
        <v>1288</v>
      </c>
    </row>
    <row r="40" spans="1:7">
      <c r="A40" s="78" t="s">
        <v>1289</v>
      </c>
      <c r="B40" s="78">
        <v>618</v>
      </c>
      <c r="C40" s="78" t="s">
        <v>1290</v>
      </c>
      <c r="D40" s="78" t="s">
        <v>1291</v>
      </c>
      <c r="E40" s="78" t="s">
        <v>366</v>
      </c>
      <c r="F40" s="78" t="s">
        <v>673</v>
      </c>
      <c r="G40" s="78" t="s">
        <v>1292</v>
      </c>
    </row>
    <row r="41" spans="1:7">
      <c r="A41" s="78" t="s">
        <v>1293</v>
      </c>
      <c r="B41" s="78">
        <v>21</v>
      </c>
      <c r="C41" s="78" t="s">
        <v>1278</v>
      </c>
      <c r="D41" s="78" t="s">
        <v>1291</v>
      </c>
      <c r="E41" s="78" t="s">
        <v>366</v>
      </c>
      <c r="F41" s="78" t="s">
        <v>673</v>
      </c>
      <c r="G41" s="78" t="s">
        <v>1294</v>
      </c>
    </row>
    <row r="42" spans="1:7">
      <c r="A42" s="78" t="s">
        <v>1295</v>
      </c>
      <c r="B42" s="78">
        <v>468</v>
      </c>
      <c r="C42" s="78" t="s">
        <v>1296</v>
      </c>
      <c r="D42" s="78" t="s">
        <v>1291</v>
      </c>
      <c r="E42" s="78" t="s">
        <v>822</v>
      </c>
      <c r="F42" s="78" t="s">
        <v>232</v>
      </c>
      <c r="G42" s="78" t="s">
        <v>1297</v>
      </c>
    </row>
    <row r="43" spans="1:7">
      <c r="A43" s="78" t="s">
        <v>1298</v>
      </c>
      <c r="B43" s="78">
        <v>10</v>
      </c>
      <c r="C43" s="78" t="s">
        <v>1296</v>
      </c>
      <c r="D43" s="78" t="s">
        <v>1291</v>
      </c>
      <c r="E43" s="78" t="s">
        <v>1215</v>
      </c>
      <c r="F43" s="78" t="s">
        <v>673</v>
      </c>
      <c r="G43" s="78" t="s">
        <v>1299</v>
      </c>
    </row>
    <row r="44" spans="1:7">
      <c r="A44" s="78" t="s">
        <v>1300</v>
      </c>
      <c r="B44" s="78">
        <v>10</v>
      </c>
      <c r="C44" s="78" t="s">
        <v>1290</v>
      </c>
      <c r="D44" s="78" t="s">
        <v>1291</v>
      </c>
      <c r="E44" s="78" t="s">
        <v>1215</v>
      </c>
      <c r="F44" s="78" t="s">
        <v>673</v>
      </c>
      <c r="G44" s="78" t="s">
        <v>1301</v>
      </c>
    </row>
    <row r="45" spans="1:7">
      <c r="A45" s="78" t="s">
        <v>1302</v>
      </c>
      <c r="B45" s="78" t="s">
        <v>1303</v>
      </c>
      <c r="C45" s="78"/>
      <c r="D45" s="78" t="s">
        <v>1291</v>
      </c>
      <c r="E45" s="78" t="s">
        <v>1215</v>
      </c>
      <c r="F45" s="78" t="s">
        <v>673</v>
      </c>
      <c r="G45" s="78" t="s">
        <v>1304</v>
      </c>
    </row>
    <row r="46" spans="1:7">
      <c r="A46" s="95" t="s">
        <v>1305</v>
      </c>
      <c r="B46" s="95">
        <v>34</v>
      </c>
      <c r="C46" s="95" t="s">
        <v>1306</v>
      </c>
      <c r="D46" s="95" t="s">
        <v>1307</v>
      </c>
      <c r="E46" s="95" t="s">
        <v>838</v>
      </c>
      <c r="F46" s="95" t="s">
        <v>673</v>
      </c>
      <c r="G46" s="95" t="s">
        <v>1308</v>
      </c>
    </row>
    <row r="47" spans="1:7">
      <c r="A47" s="95" t="s">
        <v>1309</v>
      </c>
      <c r="B47" s="95">
        <v>37</v>
      </c>
      <c r="C47" s="95" t="s">
        <v>1310</v>
      </c>
      <c r="D47" s="95" t="s">
        <v>1307</v>
      </c>
      <c r="E47" s="95" t="s">
        <v>979</v>
      </c>
      <c r="F47" s="95" t="s">
        <v>673</v>
      </c>
      <c r="G47" s="95" t="s">
        <v>1311</v>
      </c>
    </row>
    <row r="48" spans="1:7">
      <c r="A48" s="95" t="s">
        <v>1312</v>
      </c>
      <c r="B48" s="95">
        <v>48</v>
      </c>
      <c r="C48" s="95" t="s">
        <v>1313</v>
      </c>
      <c r="D48" s="95" t="s">
        <v>1307</v>
      </c>
      <c r="E48" s="95" t="s">
        <v>838</v>
      </c>
      <c r="F48" s="95" t="s">
        <v>673</v>
      </c>
      <c r="G48" s="95" t="s">
        <v>1314</v>
      </c>
    </row>
    <row r="49" spans="1:7">
      <c r="A49" s="95" t="s">
        <v>1315</v>
      </c>
      <c r="B49" s="95">
        <v>67</v>
      </c>
      <c r="C49" s="95" t="s">
        <v>1316</v>
      </c>
      <c r="D49" s="95" t="s">
        <v>1307</v>
      </c>
      <c r="E49" s="95" t="s">
        <v>1317</v>
      </c>
      <c r="F49" s="95" t="s">
        <v>673</v>
      </c>
      <c r="G49" s="95" t="s">
        <v>1318</v>
      </c>
    </row>
    <row r="50" spans="1:7">
      <c r="A50" s="95" t="s">
        <v>1319</v>
      </c>
      <c r="B50" s="95">
        <v>3</v>
      </c>
      <c r="C50" s="95" t="s">
        <v>1316</v>
      </c>
      <c r="D50" s="95" t="s">
        <v>1307</v>
      </c>
      <c r="E50" s="95" t="s">
        <v>1317</v>
      </c>
      <c r="F50" s="95" t="s">
        <v>673</v>
      </c>
      <c r="G50" s="95" t="s">
        <v>1320</v>
      </c>
    </row>
    <row r="51" spans="1:7">
      <c r="A51" s="95" t="s">
        <v>1321</v>
      </c>
      <c r="B51" s="95" t="s">
        <v>1322</v>
      </c>
      <c r="C51" s="95"/>
      <c r="D51" s="95" t="s">
        <v>1307</v>
      </c>
      <c r="E51" s="95" t="s">
        <v>1215</v>
      </c>
      <c r="F51" s="95" t="s">
        <v>1323</v>
      </c>
      <c r="G51" s="95" t="s">
        <v>1324</v>
      </c>
    </row>
    <row r="52" spans="1:7">
      <c r="A52" s="95" t="s">
        <v>1325</v>
      </c>
      <c r="B52" s="95" t="s">
        <v>1322</v>
      </c>
      <c r="C52" s="95"/>
      <c r="D52" s="95" t="s">
        <v>1307</v>
      </c>
      <c r="E52" s="95" t="s">
        <v>1215</v>
      </c>
      <c r="F52" s="95" t="s">
        <v>1323</v>
      </c>
      <c r="G52" s="95" t="s">
        <v>1326</v>
      </c>
    </row>
    <row r="53" spans="1:7">
      <c r="A53" s="95" t="s">
        <v>1274</v>
      </c>
      <c r="B53" s="95">
        <v>8</v>
      </c>
      <c r="C53" s="95" t="s">
        <v>1275</v>
      </c>
      <c r="D53" s="95" t="s">
        <v>1327</v>
      </c>
      <c r="E53" s="95" t="s">
        <v>838</v>
      </c>
      <c r="F53" s="95" t="s">
        <v>673</v>
      </c>
      <c r="G53" s="95" t="s">
        <v>1328</v>
      </c>
    </row>
    <row r="54" spans="1:7">
      <c r="A54" s="95" t="s">
        <v>1329</v>
      </c>
      <c r="B54" s="95">
        <v>35</v>
      </c>
      <c r="C54" s="95" t="s">
        <v>1306</v>
      </c>
      <c r="D54" s="95" t="s">
        <v>1327</v>
      </c>
      <c r="E54" s="95" t="s">
        <v>838</v>
      </c>
      <c r="F54" s="95" t="s">
        <v>673</v>
      </c>
      <c r="G54" s="95" t="s">
        <v>1150</v>
      </c>
    </row>
    <row r="55" spans="1:7">
      <c r="A55" s="95" t="s">
        <v>1330</v>
      </c>
      <c r="B55" s="95">
        <v>84</v>
      </c>
      <c r="C55" s="95" t="s">
        <v>1316</v>
      </c>
      <c r="D55" s="95" t="s">
        <v>1327</v>
      </c>
      <c r="E55" s="95" t="s">
        <v>1317</v>
      </c>
      <c r="F55" s="95" t="s">
        <v>673</v>
      </c>
      <c r="G55" s="95" t="s">
        <v>1331</v>
      </c>
    </row>
    <row r="56" spans="1:7">
      <c r="A56" s="95" t="s">
        <v>1332</v>
      </c>
      <c r="B56" s="95">
        <v>81</v>
      </c>
      <c r="C56" s="95" t="s">
        <v>1316</v>
      </c>
      <c r="D56" s="95" t="s">
        <v>1327</v>
      </c>
      <c r="E56" s="95" t="s">
        <v>1317</v>
      </c>
      <c r="F56" s="95" t="s">
        <v>673</v>
      </c>
      <c r="G56" s="95" t="s">
        <v>1333</v>
      </c>
    </row>
    <row r="57" spans="1:7">
      <c r="A57" s="95" t="s">
        <v>1334</v>
      </c>
      <c r="B57" s="95">
        <v>3</v>
      </c>
      <c r="C57" s="95" t="s">
        <v>1316</v>
      </c>
      <c r="D57" s="95" t="s">
        <v>1327</v>
      </c>
      <c r="E57" s="95" t="s">
        <v>1317</v>
      </c>
      <c r="F57" s="95" t="s">
        <v>673</v>
      </c>
      <c r="G57" s="95" t="s">
        <v>1335</v>
      </c>
    </row>
    <row r="58" spans="1:7" ht="28.5" customHeight="1">
      <c r="A58" s="95" t="s">
        <v>1336</v>
      </c>
      <c r="B58" s="95" t="s">
        <v>1337</v>
      </c>
      <c r="C58" s="95"/>
      <c r="D58" s="95" t="s">
        <v>1327</v>
      </c>
      <c r="E58" s="95" t="s">
        <v>1215</v>
      </c>
      <c r="F58" s="95" t="s">
        <v>673</v>
      </c>
      <c r="G58" s="95" t="s">
        <v>1338</v>
      </c>
    </row>
  </sheetData>
  <mergeCells count="2">
    <mergeCell ref="A1:N2"/>
    <mergeCell ref="A3:N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3"/>
  <sheetViews>
    <sheetView showGridLines="0" workbookViewId="0">
      <selection sqref="A1:N2"/>
    </sheetView>
  </sheetViews>
  <sheetFormatPr baseColWidth="10" defaultColWidth="9" defaultRowHeight="14.25"/>
  <cols>
    <col min="1" max="1" width="28" style="30" customWidth="1"/>
    <col min="2" max="2" width="61.5" style="30" customWidth="1"/>
    <col min="3" max="3" width="28" style="30" customWidth="1"/>
    <col min="4" max="14" width="14" style="30" customWidth="1"/>
  </cols>
  <sheetData>
    <row r="1" spans="1:14">
      <c r="A1" s="155" t="s">
        <v>1339</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1340</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113" t="s">
        <v>1341</v>
      </c>
      <c r="B7" s="113" t="s">
        <v>1342</v>
      </c>
      <c r="C7" s="272" t="s">
        <v>1343</v>
      </c>
      <c r="D7" s="272"/>
      <c r="E7" s="272"/>
    </row>
    <row r="8" spans="1:14">
      <c r="A8" s="78" t="s">
        <v>378</v>
      </c>
      <c r="B8" s="78" t="s">
        <v>1344</v>
      </c>
      <c r="C8" s="273" t="s">
        <v>1345</v>
      </c>
      <c r="D8" s="173"/>
      <c r="E8" s="170"/>
    </row>
    <row r="9" spans="1:14">
      <c r="A9" s="78" t="s">
        <v>379</v>
      </c>
      <c r="B9" s="78" t="s">
        <v>1346</v>
      </c>
      <c r="C9" s="273" t="s">
        <v>1347</v>
      </c>
      <c r="D9" s="173"/>
      <c r="E9" s="170"/>
    </row>
    <row r="10" spans="1:14">
      <c r="A10" s="78" t="s">
        <v>380</v>
      </c>
      <c r="B10" s="78" t="s">
        <v>1348</v>
      </c>
      <c r="C10" s="273" t="s">
        <v>1349</v>
      </c>
      <c r="D10" s="173"/>
      <c r="E10" s="170"/>
    </row>
    <row r="11" spans="1:14">
      <c r="A11" s="78" t="s">
        <v>222</v>
      </c>
      <c r="B11" s="78" t="s">
        <v>1350</v>
      </c>
      <c r="C11" s="273" t="s">
        <v>1351</v>
      </c>
      <c r="D11" s="173"/>
      <c r="E11" s="170"/>
    </row>
    <row r="12" spans="1:14">
      <c r="A12" s="78" t="s">
        <v>348</v>
      </c>
      <c r="B12" s="78" t="s">
        <v>1352</v>
      </c>
      <c r="C12" s="273" t="s">
        <v>1353</v>
      </c>
      <c r="D12" s="173"/>
      <c r="E12" s="170"/>
    </row>
    <row r="13" spans="1:14">
      <c r="A13" s="78" t="s">
        <v>1354</v>
      </c>
      <c r="B13" s="78" t="s">
        <v>1355</v>
      </c>
      <c r="C13" s="273" t="s">
        <v>1356</v>
      </c>
      <c r="D13" s="173"/>
      <c r="E13" s="170"/>
    </row>
    <row r="14" spans="1:14">
      <c r="A14" s="78" t="s">
        <v>303</v>
      </c>
      <c r="B14" s="78" t="s">
        <v>1357</v>
      </c>
      <c r="C14" s="273" t="s">
        <v>1358</v>
      </c>
      <c r="D14" s="173"/>
      <c r="E14" s="170"/>
    </row>
    <row r="15" spans="1:14">
      <c r="A15" s="78" t="s">
        <v>263</v>
      </c>
      <c r="B15" s="78" t="s">
        <v>1359</v>
      </c>
      <c r="C15" s="273" t="s">
        <v>1360</v>
      </c>
      <c r="D15" s="173"/>
      <c r="E15" s="170"/>
    </row>
    <row r="16" spans="1:14">
      <c r="A16" s="78" t="s">
        <v>383</v>
      </c>
      <c r="B16" s="78" t="s">
        <v>1361</v>
      </c>
      <c r="C16" s="273" t="s">
        <v>1362</v>
      </c>
      <c r="D16" s="173"/>
      <c r="E16" s="170"/>
    </row>
    <row r="17" spans="1:5">
      <c r="A17" s="78" t="s">
        <v>1363</v>
      </c>
      <c r="B17" s="78" t="s">
        <v>1364</v>
      </c>
      <c r="C17" s="273" t="s">
        <v>1365</v>
      </c>
      <c r="D17" s="173"/>
      <c r="E17" s="170"/>
    </row>
    <row r="18" spans="1:5">
      <c r="A18" s="78" t="s">
        <v>1366</v>
      </c>
      <c r="B18" s="78" t="s">
        <v>1367</v>
      </c>
      <c r="C18" s="273" t="s">
        <v>1368</v>
      </c>
      <c r="D18" s="173"/>
      <c r="E18" s="170"/>
    </row>
    <row r="19" spans="1:5">
      <c r="A19" s="78" t="s">
        <v>1369</v>
      </c>
      <c r="B19" s="78" t="s">
        <v>1370</v>
      </c>
      <c r="C19" s="273" t="s">
        <v>1371</v>
      </c>
      <c r="D19" s="173"/>
      <c r="E19" s="170"/>
    </row>
    <row r="20" spans="1:5" ht="28.5" customHeight="1">
      <c r="A20" s="95" t="s">
        <v>158</v>
      </c>
      <c r="B20" s="95" t="s">
        <v>1372</v>
      </c>
      <c r="C20" s="274" t="s">
        <v>1373</v>
      </c>
      <c r="D20" s="275"/>
      <c r="E20" s="276"/>
    </row>
    <row r="21" spans="1:5" ht="28.5" customHeight="1">
      <c r="A21" s="95" t="s">
        <v>232</v>
      </c>
      <c r="B21" s="95" t="s">
        <v>1374</v>
      </c>
      <c r="C21" s="274" t="s">
        <v>1375</v>
      </c>
      <c r="D21" s="275"/>
      <c r="E21" s="276"/>
    </row>
    <row r="22" spans="1:5" ht="42.75" customHeight="1">
      <c r="A22" s="95" t="s">
        <v>1376</v>
      </c>
      <c r="B22" s="95" t="s">
        <v>1377</v>
      </c>
      <c r="C22" s="274" t="s">
        <v>1378</v>
      </c>
      <c r="D22" s="275"/>
      <c r="E22" s="276"/>
    </row>
    <row r="23" spans="1:5" ht="28.5" customHeight="1">
      <c r="A23" s="95" t="s">
        <v>1379</v>
      </c>
      <c r="B23" s="95" t="s">
        <v>1380</v>
      </c>
      <c r="C23" s="274" t="s">
        <v>1381</v>
      </c>
      <c r="D23" s="275"/>
      <c r="E23" s="276"/>
    </row>
  </sheetData>
  <mergeCells count="19">
    <mergeCell ref="C20:E20"/>
    <mergeCell ref="C21:E21"/>
    <mergeCell ref="C22:E22"/>
    <mergeCell ref="C23:E23"/>
    <mergeCell ref="C15:E15"/>
    <mergeCell ref="C16:E16"/>
    <mergeCell ref="C17:E17"/>
    <mergeCell ref="C18:E18"/>
    <mergeCell ref="C19:E19"/>
    <mergeCell ref="C10:E10"/>
    <mergeCell ref="C11:E11"/>
    <mergeCell ref="C12:E12"/>
    <mergeCell ref="C13:E13"/>
    <mergeCell ref="C14:E14"/>
    <mergeCell ref="A1:N2"/>
    <mergeCell ref="A3:N3"/>
    <mergeCell ref="C7:E7"/>
    <mergeCell ref="C8:E8"/>
    <mergeCell ref="C9:E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39"/>
  <sheetViews>
    <sheetView showGridLines="0" workbookViewId="0">
      <selection activeCell="H16" sqref="H16"/>
    </sheetView>
  </sheetViews>
  <sheetFormatPr baseColWidth="10" defaultColWidth="9" defaultRowHeight="14.25"/>
  <cols>
    <col min="1" max="5" width="24" style="30" customWidth="1"/>
    <col min="6" max="14" width="14" style="30" customWidth="1"/>
  </cols>
  <sheetData>
    <row r="1" spans="1:14">
      <c r="A1" s="155" t="s">
        <v>1382</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1383</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10" t="s">
        <v>188</v>
      </c>
      <c r="B7" s="10" t="s">
        <v>658</v>
      </c>
      <c r="C7" s="10" t="s">
        <v>351</v>
      </c>
      <c r="D7" s="10" t="s">
        <v>1384</v>
      </c>
      <c r="E7" s="10" t="s">
        <v>113</v>
      </c>
    </row>
    <row r="8" spans="1:14" ht="42.75" customHeight="1">
      <c r="A8" s="95" t="s">
        <v>1385</v>
      </c>
      <c r="B8" s="95" t="s">
        <v>985</v>
      </c>
      <c r="C8" s="95" t="s">
        <v>1386</v>
      </c>
      <c r="D8" s="95" t="s">
        <v>1387</v>
      </c>
      <c r="E8" s="95" t="s">
        <v>1388</v>
      </c>
    </row>
    <row r="9" spans="1:14" ht="42.75" customHeight="1">
      <c r="A9" s="95" t="s">
        <v>1389</v>
      </c>
      <c r="B9" s="95" t="s">
        <v>1390</v>
      </c>
      <c r="C9" s="95" t="s">
        <v>1391</v>
      </c>
      <c r="D9" s="95" t="s">
        <v>1387</v>
      </c>
      <c r="E9" s="95" t="s">
        <v>1388</v>
      </c>
    </row>
    <row r="10" spans="1:14" ht="57" customHeight="1">
      <c r="A10" s="95" t="s">
        <v>1392</v>
      </c>
      <c r="B10" s="95" t="s">
        <v>1393</v>
      </c>
      <c r="C10" s="95" t="s">
        <v>1394</v>
      </c>
      <c r="D10" s="95" t="s">
        <v>1395</v>
      </c>
      <c r="E10" s="95" t="s">
        <v>1396</v>
      </c>
    </row>
    <row r="11" spans="1:14" ht="28.5" customHeight="1">
      <c r="A11" s="95" t="s">
        <v>1397</v>
      </c>
      <c r="B11" s="95" t="s">
        <v>221</v>
      </c>
      <c r="C11" s="95" t="s">
        <v>1398</v>
      </c>
      <c r="D11" s="95" t="s">
        <v>1399</v>
      </c>
      <c r="E11" s="95" t="s">
        <v>1400</v>
      </c>
    </row>
    <row r="12" spans="1:14" ht="28.5" customHeight="1">
      <c r="A12" s="95" t="s">
        <v>1401</v>
      </c>
      <c r="B12" s="95" t="s">
        <v>1402</v>
      </c>
      <c r="C12" s="95" t="s">
        <v>1403</v>
      </c>
      <c r="D12" s="95" t="s">
        <v>1404</v>
      </c>
      <c r="E12" s="95" t="s">
        <v>1400</v>
      </c>
    </row>
    <row r="13" spans="1:14" ht="57" customHeight="1">
      <c r="A13" s="95" t="s">
        <v>1405</v>
      </c>
      <c r="B13" s="95" t="s">
        <v>1406</v>
      </c>
      <c r="C13" s="95" t="s">
        <v>1407</v>
      </c>
      <c r="D13" s="95" t="s">
        <v>1408</v>
      </c>
      <c r="E13" s="95" t="s">
        <v>1409</v>
      </c>
    </row>
    <row r="14" spans="1:14" ht="85.5" customHeight="1">
      <c r="A14" s="95" t="s">
        <v>1410</v>
      </c>
      <c r="B14" s="95" t="s">
        <v>162</v>
      </c>
      <c r="C14" s="95" t="s">
        <v>1411</v>
      </c>
      <c r="D14" s="95" t="s">
        <v>1399</v>
      </c>
      <c r="E14" s="95" t="s">
        <v>1400</v>
      </c>
    </row>
    <row r="15" spans="1:14" ht="85.5" customHeight="1">
      <c r="A15" s="95" t="s">
        <v>1412</v>
      </c>
      <c r="B15" s="95" t="s">
        <v>133</v>
      </c>
      <c r="C15" s="95" t="s">
        <v>1413</v>
      </c>
      <c r="D15" s="95" t="s">
        <v>1387</v>
      </c>
      <c r="E15" s="95" t="s">
        <v>1400</v>
      </c>
    </row>
    <row r="16" spans="1:14" ht="57" customHeight="1">
      <c r="A16" s="95" t="s">
        <v>1414</v>
      </c>
      <c r="B16" s="95" t="s">
        <v>1415</v>
      </c>
      <c r="C16" s="95" t="s">
        <v>1416</v>
      </c>
      <c r="D16" s="95" t="s">
        <v>1404</v>
      </c>
      <c r="E16" s="95" t="s">
        <v>7904</v>
      </c>
    </row>
    <row r="17" spans="1:5" ht="57" customHeight="1">
      <c r="A17" s="95" t="s">
        <v>1417</v>
      </c>
      <c r="B17" s="95" t="s">
        <v>1418</v>
      </c>
      <c r="C17" s="95" t="s">
        <v>1419</v>
      </c>
      <c r="D17" s="95" t="s">
        <v>1399</v>
      </c>
      <c r="E17" s="95" t="s">
        <v>1400</v>
      </c>
    </row>
    <row r="18" spans="1:5" ht="99.75" customHeight="1">
      <c r="A18" s="95" t="s">
        <v>1420</v>
      </c>
      <c r="B18" s="95" t="s">
        <v>1421</v>
      </c>
      <c r="C18" s="95" t="s">
        <v>1422</v>
      </c>
      <c r="D18" s="95" t="s">
        <v>1399</v>
      </c>
      <c r="E18" s="95" t="s">
        <v>1400</v>
      </c>
    </row>
    <row r="19" spans="1:5" ht="85.5" customHeight="1">
      <c r="A19" s="95" t="s">
        <v>1423</v>
      </c>
      <c r="B19" s="95" t="s">
        <v>1424</v>
      </c>
      <c r="C19" s="95" t="s">
        <v>1425</v>
      </c>
      <c r="D19" s="95" t="s">
        <v>1408</v>
      </c>
      <c r="E19" s="95" t="s">
        <v>1426</v>
      </c>
    </row>
    <row r="20" spans="1:5" ht="57" customHeight="1">
      <c r="A20" s="95" t="s">
        <v>1427</v>
      </c>
      <c r="B20" s="95" t="s">
        <v>1428</v>
      </c>
      <c r="C20" s="95" t="s">
        <v>1429</v>
      </c>
      <c r="D20" s="95" t="s">
        <v>1430</v>
      </c>
      <c r="E20" s="95" t="s">
        <v>1400</v>
      </c>
    </row>
    <row r="21" spans="1:5" ht="85.5" customHeight="1">
      <c r="A21" s="95" t="s">
        <v>1431</v>
      </c>
      <c r="B21" s="95" t="s">
        <v>1432</v>
      </c>
      <c r="C21" s="95" t="s">
        <v>1433</v>
      </c>
      <c r="D21" s="95" t="s">
        <v>1434</v>
      </c>
      <c r="E21" s="95" t="s">
        <v>1400</v>
      </c>
    </row>
    <row r="22" spans="1:5" ht="57" customHeight="1">
      <c r="A22" s="95" t="s">
        <v>1435</v>
      </c>
      <c r="B22" s="95" t="s">
        <v>1436</v>
      </c>
      <c r="C22" s="95" t="s">
        <v>1437</v>
      </c>
      <c r="D22" s="95" t="s">
        <v>1387</v>
      </c>
      <c r="E22" s="95" t="s">
        <v>1400</v>
      </c>
    </row>
    <row r="23" spans="1:5">
      <c r="A23" s="78" t="s">
        <v>1438</v>
      </c>
      <c r="B23" s="78" t="s">
        <v>1439</v>
      </c>
      <c r="C23" s="78" t="s">
        <v>1440</v>
      </c>
      <c r="D23" s="78" t="s">
        <v>1408</v>
      </c>
      <c r="E23" s="78" t="s">
        <v>1400</v>
      </c>
    </row>
    <row r="24" spans="1:5">
      <c r="A24" s="78" t="s">
        <v>1441</v>
      </c>
      <c r="B24" s="78" t="s">
        <v>1442</v>
      </c>
      <c r="C24" s="78" t="s">
        <v>1443</v>
      </c>
      <c r="D24" s="78" t="s">
        <v>1404</v>
      </c>
      <c r="E24" s="78" t="s">
        <v>1400</v>
      </c>
    </row>
    <row r="25" spans="1:5">
      <c r="A25" s="78" t="s">
        <v>1444</v>
      </c>
      <c r="B25" s="78" t="s">
        <v>1445</v>
      </c>
      <c r="C25" s="78" t="s">
        <v>1446</v>
      </c>
      <c r="D25" s="78" t="s">
        <v>1399</v>
      </c>
      <c r="E25" s="78" t="s">
        <v>1400</v>
      </c>
    </row>
    <row r="26" spans="1:5">
      <c r="A26" s="78" t="s">
        <v>1447</v>
      </c>
      <c r="B26" s="78" t="s">
        <v>1448</v>
      </c>
      <c r="C26" s="78" t="s">
        <v>1449</v>
      </c>
      <c r="D26" s="78" t="s">
        <v>1450</v>
      </c>
      <c r="E26" s="78" t="s">
        <v>1400</v>
      </c>
    </row>
    <row r="27" spans="1:5">
      <c r="A27" s="78" t="s">
        <v>1451</v>
      </c>
      <c r="B27" s="78" t="s">
        <v>1059</v>
      </c>
      <c r="C27" s="78" t="s">
        <v>1452</v>
      </c>
      <c r="D27" s="78" t="s">
        <v>1387</v>
      </c>
      <c r="E27" s="78" t="s">
        <v>1400</v>
      </c>
    </row>
    <row r="28" spans="1:5">
      <c r="A28" s="78" t="s">
        <v>1453</v>
      </c>
      <c r="B28" s="78" t="s">
        <v>378</v>
      </c>
      <c r="C28" s="78" t="s">
        <v>1454</v>
      </c>
      <c r="D28" s="78" t="s">
        <v>1408</v>
      </c>
      <c r="E28" s="78" t="s">
        <v>1323</v>
      </c>
    </row>
    <row r="29" spans="1:5" ht="42.75" customHeight="1">
      <c r="A29" s="95" t="s">
        <v>1455</v>
      </c>
      <c r="B29" s="95" t="s">
        <v>1456</v>
      </c>
      <c r="C29" s="95" t="s">
        <v>1457</v>
      </c>
      <c r="D29" s="95" t="s">
        <v>1261</v>
      </c>
      <c r="E29" s="95" t="s">
        <v>1409</v>
      </c>
    </row>
    <row r="30" spans="1:5" ht="57" customHeight="1">
      <c r="A30" s="95" t="s">
        <v>1458</v>
      </c>
      <c r="B30" s="95" t="s">
        <v>1459</v>
      </c>
      <c r="C30" s="95" t="s">
        <v>1460</v>
      </c>
      <c r="D30" s="95" t="s">
        <v>1261</v>
      </c>
      <c r="E30" s="95" t="s">
        <v>1409</v>
      </c>
    </row>
    <row r="31" spans="1:5" ht="57" customHeight="1">
      <c r="A31" s="95" t="s">
        <v>1461</v>
      </c>
      <c r="B31" s="95" t="s">
        <v>1462</v>
      </c>
      <c r="C31" s="95" t="s">
        <v>1463</v>
      </c>
      <c r="D31" s="95" t="s">
        <v>1450</v>
      </c>
      <c r="E31" s="95" t="s">
        <v>1409</v>
      </c>
    </row>
    <row r="32" spans="1:5" ht="57" customHeight="1">
      <c r="A32" s="95" t="s">
        <v>1464</v>
      </c>
      <c r="B32" s="95" t="s">
        <v>1415</v>
      </c>
      <c r="C32" s="95" t="s">
        <v>1465</v>
      </c>
      <c r="D32" s="95" t="s">
        <v>1404</v>
      </c>
      <c r="E32" s="95" t="s">
        <v>1376</v>
      </c>
    </row>
    <row r="33" spans="1:5" ht="71.25" customHeight="1">
      <c r="A33" s="95" t="s">
        <v>1466</v>
      </c>
      <c r="B33" s="95" t="s">
        <v>1467</v>
      </c>
      <c r="C33" s="95" t="s">
        <v>1468</v>
      </c>
      <c r="D33" s="95" t="s">
        <v>1404</v>
      </c>
      <c r="E33" s="95" t="s">
        <v>1376</v>
      </c>
    </row>
    <row r="34" spans="1:5" ht="71.25" customHeight="1">
      <c r="A34" s="95" t="s">
        <v>1469</v>
      </c>
      <c r="B34" s="95" t="s">
        <v>1327</v>
      </c>
      <c r="C34" s="95" t="s">
        <v>1470</v>
      </c>
      <c r="D34" s="95" t="s">
        <v>1408</v>
      </c>
      <c r="E34" s="95" t="s">
        <v>1409</v>
      </c>
    </row>
    <row r="35" spans="1:5" ht="71.25" customHeight="1">
      <c r="A35" s="95" t="s">
        <v>1471</v>
      </c>
      <c r="B35" s="95" t="s">
        <v>1472</v>
      </c>
      <c r="C35" s="95" t="s">
        <v>1473</v>
      </c>
      <c r="D35" s="95" t="s">
        <v>1261</v>
      </c>
      <c r="E35" s="95" t="s">
        <v>1409</v>
      </c>
    </row>
    <row r="36" spans="1:5" ht="57" customHeight="1">
      <c r="A36" s="95" t="s">
        <v>1474</v>
      </c>
      <c r="B36" s="95" t="s">
        <v>1475</v>
      </c>
      <c r="C36" s="95" t="s">
        <v>1476</v>
      </c>
      <c r="D36" s="95" t="s">
        <v>1404</v>
      </c>
      <c r="E36" s="95" t="s">
        <v>1376</v>
      </c>
    </row>
    <row r="37" spans="1:5" ht="57" customHeight="1">
      <c r="A37" s="95" t="s">
        <v>1477</v>
      </c>
      <c r="B37" s="95" t="s">
        <v>1478</v>
      </c>
      <c r="C37" s="95" t="s">
        <v>1479</v>
      </c>
      <c r="D37" s="95" t="s">
        <v>1404</v>
      </c>
      <c r="E37" s="95" t="s">
        <v>1409</v>
      </c>
    </row>
    <row r="38" spans="1:5" ht="57" customHeight="1">
      <c r="A38" s="95" t="s">
        <v>1480</v>
      </c>
      <c r="B38" s="95" t="s">
        <v>1481</v>
      </c>
      <c r="C38" s="95" t="s">
        <v>1482</v>
      </c>
      <c r="D38" s="95" t="s">
        <v>1408</v>
      </c>
      <c r="E38" s="95" t="s">
        <v>1483</v>
      </c>
    </row>
    <row r="39" spans="1:5" ht="42.75" customHeight="1">
      <c r="A39" s="95" t="s">
        <v>1484</v>
      </c>
      <c r="B39" s="95" t="s">
        <v>1485</v>
      </c>
      <c r="C39" s="95" t="s">
        <v>1486</v>
      </c>
      <c r="D39" s="95" t="s">
        <v>1487</v>
      </c>
      <c r="E39" s="95" t="s">
        <v>1400</v>
      </c>
    </row>
  </sheetData>
  <mergeCells count="2">
    <mergeCell ref="A1:N2"/>
    <mergeCell ref="A3:N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21"/>
  <sheetViews>
    <sheetView showGridLines="0" workbookViewId="0">
      <selection sqref="A1:N2"/>
    </sheetView>
  </sheetViews>
  <sheetFormatPr baseColWidth="10" defaultColWidth="9" defaultRowHeight="14.25"/>
  <cols>
    <col min="1" max="6" width="24" style="30" customWidth="1"/>
    <col min="7" max="14" width="14" style="30" customWidth="1"/>
  </cols>
  <sheetData>
    <row r="1" spans="1:14">
      <c r="A1" s="155" t="s">
        <v>1488</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156" t="s">
        <v>1489</v>
      </c>
      <c r="B3" s="152"/>
      <c r="C3" s="152"/>
      <c r="D3" s="152"/>
      <c r="E3" s="152"/>
      <c r="F3" s="152"/>
      <c r="G3" s="152"/>
      <c r="H3" s="152"/>
      <c r="I3" s="152"/>
      <c r="J3" s="152"/>
      <c r="K3" s="152"/>
      <c r="L3" s="152"/>
      <c r="M3" s="152"/>
      <c r="N3" s="152"/>
    </row>
    <row r="5" spans="1:14">
      <c r="A5" s="2" t="str">
        <f>HYPERLINK("#'INICIO'!A1","INICIO")</f>
        <v>INICIO</v>
      </c>
      <c r="B5" s="2" t="str">
        <f>HYPERLINK("#'DATOS'!A1","DATOS")</f>
        <v>DATOS</v>
      </c>
      <c r="C5" s="2" t="str">
        <f>HYPERLINK("#'ENERGÍA'!A1","ENERGÍA")</f>
        <v>ENERGÍA</v>
      </c>
      <c r="D5" s="2" t="str">
        <f>HYPERLINK("#'MACRONUTRIENTES'!A1","MACRONUTRIENTES")</f>
        <v>MACRONUTRIENTES</v>
      </c>
      <c r="E5" s="2" t="str">
        <f>HYPERLINK("#'AGUA_FIBRA'!A1","AGUA/FIBRA")</f>
        <v>AGUA/FIBRA</v>
      </c>
      <c r="F5" s="2" t="str">
        <f>HYPERLINK("#'FICHA_NUTRIENTE'!A1","FICHA/NUTRIENTE")</f>
        <v>FICHA/NUTRIENTE</v>
      </c>
      <c r="G5" s="2" t="str">
        <f>HYPERLINK("#'RESULTADOS'!A1","RESULTADOS")</f>
        <v>RESULTADOS</v>
      </c>
      <c r="H5" s="20" t="str">
        <f>HYPERLINK("#'DOCUMENTACIÓN'!A1","DOCUMENTACIÓN")</f>
        <v>DOCUMENTACIÓN</v>
      </c>
      <c r="I5" s="20" t="str">
        <f>HYPERLINK("#'COBERTURA'!A1","COBERTURA")</f>
        <v>COBERTURA</v>
      </c>
      <c r="J5" s="26" t="str">
        <f>HYPERLINK("#'AUDITORÍA_FINAL'!A1","AUDITORÍA")</f>
        <v>AUDITORÍA</v>
      </c>
    </row>
    <row r="7" spans="1:14" ht="15" customHeight="1">
      <c r="A7" s="4" t="s">
        <v>1490</v>
      </c>
      <c r="B7" s="4" t="s">
        <v>30</v>
      </c>
      <c r="C7" s="4" t="s">
        <v>1491</v>
      </c>
      <c r="D7" s="4" t="s">
        <v>1492</v>
      </c>
      <c r="E7" s="4" t="s">
        <v>113</v>
      </c>
      <c r="F7" s="4" t="s">
        <v>1493</v>
      </c>
    </row>
    <row r="8" spans="1:14" ht="57" customHeight="1">
      <c r="A8" s="78" t="s">
        <v>1494</v>
      </c>
      <c r="B8" s="94">
        <v>46236</v>
      </c>
      <c r="C8" s="78" t="s">
        <v>1495</v>
      </c>
      <c r="D8" s="95" t="s">
        <v>1496</v>
      </c>
      <c r="E8" s="78" t="s">
        <v>1497</v>
      </c>
      <c r="F8" s="78" t="s">
        <v>1498</v>
      </c>
    </row>
    <row r="9" spans="1:14" ht="85.5" customHeight="1">
      <c r="A9" s="78" t="s">
        <v>1499</v>
      </c>
      <c r="B9" s="94">
        <v>46236</v>
      </c>
      <c r="C9" s="78" t="s">
        <v>1406</v>
      </c>
      <c r="D9" s="95" t="s">
        <v>1500</v>
      </c>
      <c r="E9" s="78" t="s">
        <v>1497</v>
      </c>
      <c r="F9" s="78" t="s">
        <v>1498</v>
      </c>
    </row>
    <row r="10" spans="1:14" ht="99.75" customHeight="1">
      <c r="A10" s="95" t="s">
        <v>1501</v>
      </c>
      <c r="B10" s="72">
        <v>46237</v>
      </c>
      <c r="C10" s="95" t="s">
        <v>1279</v>
      </c>
      <c r="D10" s="95" t="s">
        <v>1502</v>
      </c>
      <c r="E10" s="95" t="s">
        <v>1497</v>
      </c>
      <c r="F10" s="78" t="s">
        <v>1498</v>
      </c>
    </row>
    <row r="11" spans="1:14">
      <c r="A11" s="78" t="s">
        <v>1503</v>
      </c>
      <c r="B11" s="78">
        <v>46237</v>
      </c>
      <c r="C11" s="78" t="s">
        <v>1291</v>
      </c>
      <c r="D11" s="78" t="s">
        <v>1504</v>
      </c>
      <c r="E11" s="78" t="s">
        <v>1497</v>
      </c>
      <c r="F11" s="78" t="s">
        <v>1498</v>
      </c>
    </row>
    <row r="12" spans="1:14" ht="99.75" customHeight="1">
      <c r="A12" s="95" t="s">
        <v>1505</v>
      </c>
      <c r="B12" s="72">
        <v>46237</v>
      </c>
      <c r="C12" s="95" t="s">
        <v>1307</v>
      </c>
      <c r="D12" s="95" t="s">
        <v>1506</v>
      </c>
      <c r="E12" s="95" t="s">
        <v>1507</v>
      </c>
      <c r="F12" s="78" t="s">
        <v>1498</v>
      </c>
    </row>
    <row r="13" spans="1:14" ht="85.5" customHeight="1">
      <c r="A13" s="95" t="s">
        <v>1508</v>
      </c>
      <c r="B13" s="72">
        <v>46237</v>
      </c>
      <c r="C13" s="95" t="s">
        <v>1327</v>
      </c>
      <c r="D13" s="95" t="s">
        <v>1509</v>
      </c>
      <c r="E13" s="95" t="s">
        <v>1510</v>
      </c>
      <c r="F13" s="78" t="s">
        <v>1498</v>
      </c>
    </row>
    <row r="14" spans="1:14">
      <c r="A14" t="s">
        <v>1511</v>
      </c>
      <c r="B14" s="130">
        <v>46240</v>
      </c>
      <c r="C14" t="s">
        <v>1512</v>
      </c>
      <c r="D14" t="s">
        <v>1513</v>
      </c>
      <c r="E14" t="s">
        <v>1514</v>
      </c>
      <c r="F14" t="s">
        <v>1515</v>
      </c>
    </row>
    <row r="15" spans="1:14">
      <c r="A15" t="s">
        <v>1511</v>
      </c>
      <c r="B15" s="130">
        <v>46240</v>
      </c>
      <c r="C15" t="s">
        <v>1512</v>
      </c>
      <c r="D15" t="s">
        <v>1513</v>
      </c>
      <c r="E15" t="s">
        <v>1514</v>
      </c>
      <c r="F15" t="s">
        <v>1515</v>
      </c>
    </row>
    <row r="16" spans="1:14">
      <c r="A16" t="s">
        <v>1511</v>
      </c>
      <c r="B16" s="130">
        <v>46240</v>
      </c>
      <c r="C16" t="s">
        <v>1512</v>
      </c>
      <c r="D16" t="s">
        <v>1513</v>
      </c>
      <c r="E16" t="s">
        <v>1514</v>
      </c>
      <c r="F16" t="s">
        <v>1515</v>
      </c>
    </row>
    <row r="17" spans="1:6">
      <c r="A17" t="s">
        <v>1511</v>
      </c>
      <c r="B17" s="130">
        <v>46240</v>
      </c>
      <c r="C17" t="s">
        <v>1512</v>
      </c>
      <c r="D17" t="s">
        <v>1513</v>
      </c>
      <c r="E17" t="s">
        <v>1514</v>
      </c>
      <c r="F17" t="s">
        <v>1515</v>
      </c>
    </row>
    <row r="18" spans="1:6">
      <c r="A18" t="s">
        <v>1511</v>
      </c>
      <c r="B18" s="130">
        <v>46240</v>
      </c>
      <c r="C18" t="s">
        <v>1512</v>
      </c>
      <c r="D18" t="s">
        <v>1513</v>
      </c>
      <c r="E18" t="s">
        <v>1514</v>
      </c>
      <c r="F18" t="s">
        <v>1515</v>
      </c>
    </row>
    <row r="19" spans="1:6">
      <c r="A19" t="s">
        <v>1511</v>
      </c>
      <c r="B19" s="130">
        <v>46240</v>
      </c>
      <c r="C19" t="s">
        <v>1512</v>
      </c>
      <c r="D19" t="s">
        <v>1513</v>
      </c>
      <c r="E19" t="s">
        <v>1514</v>
      </c>
      <c r="F19" t="s">
        <v>1515</v>
      </c>
    </row>
    <row r="20" spans="1:6">
      <c r="A20" t="s">
        <v>1511</v>
      </c>
      <c r="B20" s="141">
        <v>46240</v>
      </c>
      <c r="C20" t="s">
        <v>1512</v>
      </c>
      <c r="D20" t="s">
        <v>1513</v>
      </c>
      <c r="E20" t="s">
        <v>1514</v>
      </c>
      <c r="F20" t="s">
        <v>1515</v>
      </c>
    </row>
    <row r="21" spans="1:6">
      <c r="A21" t="s">
        <v>1511</v>
      </c>
      <c r="B21" s="141">
        <v>46240</v>
      </c>
      <c r="C21" t="s">
        <v>1512</v>
      </c>
      <c r="D21" t="s">
        <v>1513</v>
      </c>
      <c r="E21" t="s">
        <v>1514</v>
      </c>
      <c r="F21" t="s">
        <v>1515</v>
      </c>
    </row>
  </sheetData>
  <mergeCells count="2">
    <mergeCell ref="A1:N2"/>
    <mergeCell ref="A3:N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625"/>
  <sheetViews>
    <sheetView topLeftCell="A590" workbookViewId="0">
      <selection activeCell="B36" sqref="B35:B36"/>
    </sheetView>
  </sheetViews>
  <sheetFormatPr baseColWidth="10" defaultColWidth="9" defaultRowHeight="14.25"/>
  <cols>
    <col min="1" max="41" width="13" style="30" customWidth="1"/>
  </cols>
  <sheetData>
    <row r="1" spans="1:41" ht="30" customHeight="1">
      <c r="A1" s="114" t="s">
        <v>1516</v>
      </c>
      <c r="B1" s="114" t="s">
        <v>1517</v>
      </c>
      <c r="C1" s="114" t="s">
        <v>1518</v>
      </c>
      <c r="D1" s="114" t="s">
        <v>1519</v>
      </c>
      <c r="E1" s="114" t="s">
        <v>1520</v>
      </c>
      <c r="F1" s="114" t="s">
        <v>1521</v>
      </c>
      <c r="G1" s="114" t="s">
        <v>1522</v>
      </c>
      <c r="H1" s="114" t="s">
        <v>1523</v>
      </c>
      <c r="I1" s="114" t="s">
        <v>1524</v>
      </c>
      <c r="J1" s="114" t="s">
        <v>1525</v>
      </c>
      <c r="K1" s="114" t="s">
        <v>1526</v>
      </c>
      <c r="L1" s="114" t="s">
        <v>1527</v>
      </c>
      <c r="M1" s="114" t="s">
        <v>1528</v>
      </c>
      <c r="N1" s="114" t="s">
        <v>1529</v>
      </c>
      <c r="O1" s="114" t="s">
        <v>1530</v>
      </c>
      <c r="P1" s="114" t="s">
        <v>1531</v>
      </c>
      <c r="Q1" s="114" t="s">
        <v>1532</v>
      </c>
      <c r="R1" s="114" t="s">
        <v>1533</v>
      </c>
      <c r="S1" s="114" t="s">
        <v>1534</v>
      </c>
      <c r="T1" s="114" t="s">
        <v>1535</v>
      </c>
      <c r="U1" s="114" t="s">
        <v>1536</v>
      </c>
      <c r="V1" s="114" t="s">
        <v>1537</v>
      </c>
      <c r="W1" s="114" t="s">
        <v>1538</v>
      </c>
      <c r="X1" s="114" t="s">
        <v>1539</v>
      </c>
      <c r="Y1" s="114" t="s">
        <v>1540</v>
      </c>
      <c r="Z1" s="114" t="s">
        <v>1541</v>
      </c>
      <c r="AA1" s="114" t="s">
        <v>1542</v>
      </c>
      <c r="AB1" s="114" t="s">
        <v>1543</v>
      </c>
      <c r="AC1" s="114" t="s">
        <v>1544</v>
      </c>
      <c r="AD1" s="114" t="s">
        <v>1545</v>
      </c>
      <c r="AE1" s="114" t="s">
        <v>1546</v>
      </c>
      <c r="AF1" s="114" t="s">
        <v>1547</v>
      </c>
      <c r="AG1" s="114" t="s">
        <v>1548</v>
      </c>
      <c r="AH1" s="114" t="s">
        <v>1549</v>
      </c>
      <c r="AI1" s="114" t="s">
        <v>1550</v>
      </c>
      <c r="AJ1" s="114" t="s">
        <v>1551</v>
      </c>
      <c r="AK1" s="114" t="s">
        <v>1552</v>
      </c>
      <c r="AL1" s="114" t="s">
        <v>1553</v>
      </c>
      <c r="AM1" s="114" t="s">
        <v>1554</v>
      </c>
      <c r="AN1" s="114" t="s">
        <v>1555</v>
      </c>
      <c r="AO1" s="114" t="s">
        <v>1556</v>
      </c>
    </row>
    <row r="2" spans="1:41">
      <c r="A2" s="78" t="s">
        <v>1557</v>
      </c>
      <c r="B2" s="78" t="s">
        <v>1558</v>
      </c>
      <c r="C2" s="78" t="s">
        <v>366</v>
      </c>
      <c r="D2" s="78" t="s">
        <v>1559</v>
      </c>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row>
    <row r="3" spans="1:41">
      <c r="A3" s="78" t="s">
        <v>1560</v>
      </c>
      <c r="B3" s="78" t="s">
        <v>1558</v>
      </c>
      <c r="C3" s="78" t="s">
        <v>366</v>
      </c>
      <c r="D3" s="78" t="s">
        <v>1561</v>
      </c>
      <c r="E3" s="78" t="s">
        <v>1562</v>
      </c>
      <c r="F3" s="78" t="s">
        <v>1563</v>
      </c>
      <c r="G3" s="78" t="s">
        <v>1564</v>
      </c>
      <c r="H3" s="78" t="s">
        <v>1565</v>
      </c>
      <c r="I3" s="78" t="s">
        <v>1566</v>
      </c>
      <c r="J3" s="78" t="s">
        <v>1567</v>
      </c>
      <c r="K3" s="78" t="s">
        <v>1568</v>
      </c>
      <c r="L3" s="78" t="s">
        <v>1569</v>
      </c>
      <c r="M3" s="78" t="s">
        <v>1570</v>
      </c>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row>
    <row r="4" spans="1:41">
      <c r="A4" s="78" t="s">
        <v>1571</v>
      </c>
      <c r="B4" s="78" t="s">
        <v>1558</v>
      </c>
      <c r="C4" s="78" t="s">
        <v>366</v>
      </c>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row>
    <row r="5" spans="1:41">
      <c r="A5" s="78" t="s">
        <v>1572</v>
      </c>
      <c r="B5" s="78" t="s">
        <v>1558</v>
      </c>
      <c r="C5" s="78" t="s">
        <v>366</v>
      </c>
      <c r="D5" s="78" t="s">
        <v>1573</v>
      </c>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row>
    <row r="6" spans="1:41">
      <c r="A6" s="78" t="s">
        <v>1574</v>
      </c>
      <c r="B6" s="78" t="s">
        <v>1558</v>
      </c>
      <c r="C6" s="78" t="s">
        <v>366</v>
      </c>
      <c r="D6" s="78" t="s">
        <v>1575</v>
      </c>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row>
    <row r="7" spans="1:41">
      <c r="A7" s="78" t="s">
        <v>1576</v>
      </c>
      <c r="B7" s="78" t="s">
        <v>1558</v>
      </c>
      <c r="C7" s="78" t="s">
        <v>366</v>
      </c>
      <c r="D7" s="78" t="s">
        <v>188</v>
      </c>
      <c r="E7" s="78" t="s">
        <v>341</v>
      </c>
      <c r="F7" s="78" t="s">
        <v>342</v>
      </c>
      <c r="G7" s="78" t="s">
        <v>113</v>
      </c>
      <c r="H7" s="78" t="s">
        <v>1577</v>
      </c>
      <c r="I7" s="78" t="s">
        <v>1578</v>
      </c>
      <c r="J7" s="78" t="s">
        <v>1579</v>
      </c>
      <c r="K7" s="78" t="s">
        <v>1580</v>
      </c>
      <c r="L7" s="78" t="s">
        <v>1581</v>
      </c>
      <c r="M7" s="78" t="s">
        <v>1582</v>
      </c>
      <c r="N7" s="78" t="s">
        <v>1583</v>
      </c>
      <c r="O7" s="78" t="s">
        <v>1584</v>
      </c>
      <c r="P7" s="78" t="s">
        <v>1585</v>
      </c>
      <c r="Q7" s="78" t="s">
        <v>1586</v>
      </c>
      <c r="R7" s="78" t="s">
        <v>1587</v>
      </c>
      <c r="S7" s="78" t="s">
        <v>1588</v>
      </c>
      <c r="T7" s="78" t="s">
        <v>1589</v>
      </c>
      <c r="U7" s="78" t="s">
        <v>1590</v>
      </c>
      <c r="V7" s="78" t="s">
        <v>1591</v>
      </c>
      <c r="W7" s="78" t="s">
        <v>1592</v>
      </c>
      <c r="X7" s="78" t="s">
        <v>1593</v>
      </c>
      <c r="Y7" s="78" t="s">
        <v>1594</v>
      </c>
      <c r="Z7" s="78" t="s">
        <v>1595</v>
      </c>
      <c r="AA7" s="78" t="s">
        <v>1596</v>
      </c>
      <c r="AB7" s="78" t="s">
        <v>1597</v>
      </c>
      <c r="AC7" s="78" t="s">
        <v>1598</v>
      </c>
      <c r="AD7" s="78" t="s">
        <v>1599</v>
      </c>
      <c r="AE7" s="78" t="s">
        <v>1600</v>
      </c>
      <c r="AF7" s="78" t="s">
        <v>1601</v>
      </c>
      <c r="AG7" s="78" t="s">
        <v>1602</v>
      </c>
      <c r="AH7" s="78" t="s">
        <v>1603</v>
      </c>
      <c r="AI7" s="78" t="s">
        <v>1604</v>
      </c>
      <c r="AJ7" s="78" t="s">
        <v>1605</v>
      </c>
      <c r="AK7" s="78" t="s">
        <v>1606</v>
      </c>
      <c r="AL7" s="78" t="s">
        <v>1607</v>
      </c>
      <c r="AM7" s="78" t="s">
        <v>1608</v>
      </c>
      <c r="AN7" s="78" t="s">
        <v>1609</v>
      </c>
      <c r="AO7" s="78" t="s">
        <v>1610</v>
      </c>
    </row>
    <row r="8" spans="1:41">
      <c r="A8" s="78" t="s">
        <v>1611</v>
      </c>
      <c r="B8" s="78" t="s">
        <v>1558</v>
      </c>
      <c r="C8" s="78" t="s">
        <v>366</v>
      </c>
      <c r="D8" s="78" t="s">
        <v>1557</v>
      </c>
      <c r="E8" s="78" t="s">
        <v>1612</v>
      </c>
      <c r="F8" s="78" t="s">
        <v>1613</v>
      </c>
      <c r="G8" s="78" t="s">
        <v>1614</v>
      </c>
      <c r="H8" s="78">
        <v>70</v>
      </c>
      <c r="I8" s="78">
        <v>87.5</v>
      </c>
      <c r="J8" s="78">
        <v>0.2</v>
      </c>
      <c r="K8" s="78">
        <v>1</v>
      </c>
      <c r="L8" s="78">
        <v>6.9</v>
      </c>
      <c r="M8" s="78">
        <v>6.9</v>
      </c>
      <c r="N8" s="78">
        <v>0</v>
      </c>
      <c r="O8" s="78">
        <v>4.4000000000000004</v>
      </c>
      <c r="P8" s="78">
        <v>2.0099999999999998</v>
      </c>
      <c r="Q8" s="78">
        <v>1.66</v>
      </c>
      <c r="R8" s="78">
        <v>0.5</v>
      </c>
      <c r="S8" s="78" t="s">
        <v>1615</v>
      </c>
      <c r="T8" s="78">
        <v>14</v>
      </c>
      <c r="U8" s="78">
        <v>61</v>
      </c>
      <c r="V8" s="78">
        <v>5</v>
      </c>
      <c r="W8" s="78">
        <v>0.1</v>
      </c>
      <c r="X8" s="78">
        <v>0.1</v>
      </c>
      <c r="Y8" s="78">
        <v>0.3</v>
      </c>
      <c r="Z8" s="78">
        <v>0</v>
      </c>
      <c r="AA8" s="78">
        <v>0</v>
      </c>
      <c r="AB8" s="78">
        <v>0.2</v>
      </c>
      <c r="AC8" s="78">
        <v>0</v>
      </c>
      <c r="AD8" s="78">
        <v>0.2</v>
      </c>
      <c r="AE8" s="78">
        <v>0.1</v>
      </c>
      <c r="AF8" s="78">
        <v>5</v>
      </c>
      <c r="AG8" s="78">
        <v>17</v>
      </c>
      <c r="AH8" s="78">
        <v>51</v>
      </c>
      <c r="AI8" s="78">
        <v>32</v>
      </c>
      <c r="AJ8" s="78">
        <v>14</v>
      </c>
      <c r="AK8" s="78">
        <v>3</v>
      </c>
      <c r="AL8" s="78">
        <v>0</v>
      </c>
      <c r="AM8" s="78">
        <v>0.2</v>
      </c>
      <c r="AN8" s="78">
        <v>0.1</v>
      </c>
      <c r="AO8" s="78">
        <v>1.8</v>
      </c>
    </row>
    <row r="9" spans="1:41">
      <c r="A9" s="78" t="s">
        <v>1616</v>
      </c>
      <c r="B9" s="78" t="s">
        <v>1558</v>
      </c>
      <c r="C9" s="78" t="s">
        <v>366</v>
      </c>
      <c r="D9" s="78" t="s">
        <v>1560</v>
      </c>
      <c r="E9" s="78" t="s">
        <v>362</v>
      </c>
      <c r="F9" s="78" t="s">
        <v>1613</v>
      </c>
      <c r="G9" s="78" t="s">
        <v>1614</v>
      </c>
      <c r="H9" s="78">
        <v>41</v>
      </c>
      <c r="I9" s="78">
        <v>90.4</v>
      </c>
      <c r="J9" s="78">
        <v>0.4</v>
      </c>
      <c r="K9" s="78">
        <v>1.6</v>
      </c>
      <c r="L9" s="78">
        <v>6.7</v>
      </c>
      <c r="M9" s="78" t="s">
        <v>1615</v>
      </c>
      <c r="N9" s="78">
        <v>0</v>
      </c>
      <c r="O9" s="78">
        <v>0.9</v>
      </c>
      <c r="P9" s="78" t="s">
        <v>1615</v>
      </c>
      <c r="Q9" s="78" t="s">
        <v>1615</v>
      </c>
      <c r="R9" s="78" t="s">
        <v>1615</v>
      </c>
      <c r="S9" s="78" t="s">
        <v>1615</v>
      </c>
      <c r="T9" s="78" t="s">
        <v>1615</v>
      </c>
      <c r="U9" s="78" t="s">
        <v>1615</v>
      </c>
      <c r="V9" s="78">
        <v>1.7</v>
      </c>
      <c r="W9" s="78" t="s">
        <v>1615</v>
      </c>
      <c r="X9" s="78" t="s">
        <v>1615</v>
      </c>
      <c r="Y9" s="78" t="s">
        <v>1615</v>
      </c>
      <c r="Z9" s="78">
        <v>0</v>
      </c>
      <c r="AA9" s="78">
        <v>0.1</v>
      </c>
      <c r="AB9" s="78">
        <v>0.1</v>
      </c>
      <c r="AC9" s="78" t="s">
        <v>1615</v>
      </c>
      <c r="AD9" s="78" t="s">
        <v>1615</v>
      </c>
      <c r="AE9" s="78" t="s">
        <v>1615</v>
      </c>
      <c r="AF9" s="78" t="s">
        <v>1615</v>
      </c>
      <c r="AG9" s="78" t="s">
        <v>1615</v>
      </c>
      <c r="AH9" s="78" t="s">
        <v>1615</v>
      </c>
      <c r="AI9" s="78">
        <v>138</v>
      </c>
      <c r="AJ9" s="78">
        <v>60</v>
      </c>
      <c r="AK9" s="78" t="s">
        <v>1615</v>
      </c>
      <c r="AL9" s="78" t="s">
        <v>1615</v>
      </c>
      <c r="AM9" s="78" t="s">
        <v>1615</v>
      </c>
      <c r="AN9" s="78" t="s">
        <v>1615</v>
      </c>
      <c r="AO9" s="78" t="s">
        <v>1615</v>
      </c>
    </row>
    <row r="10" spans="1:41">
      <c r="A10" s="78" t="s">
        <v>1617</v>
      </c>
      <c r="B10" s="78" t="s">
        <v>1558</v>
      </c>
      <c r="C10" s="78" t="s">
        <v>366</v>
      </c>
      <c r="D10" s="78" t="s">
        <v>1571</v>
      </c>
      <c r="E10" s="78" t="s">
        <v>1618</v>
      </c>
      <c r="F10" s="78" t="s">
        <v>1613</v>
      </c>
      <c r="G10" s="78" t="s">
        <v>1614</v>
      </c>
      <c r="H10" s="78">
        <v>69</v>
      </c>
      <c r="I10" s="78">
        <v>87</v>
      </c>
      <c r="J10" s="78">
        <v>0.8</v>
      </c>
      <c r="K10" s="78">
        <v>3.6</v>
      </c>
      <c r="L10" s="78">
        <v>4.5</v>
      </c>
      <c r="M10" s="78">
        <v>4.5</v>
      </c>
      <c r="N10" s="78">
        <v>0</v>
      </c>
      <c r="O10" s="78">
        <v>4.0999999999999996</v>
      </c>
      <c r="P10" s="78">
        <v>2.67</v>
      </c>
      <c r="Q10" s="78">
        <v>1.1100000000000001</v>
      </c>
      <c r="R10" s="78">
        <v>0.15</v>
      </c>
      <c r="S10" s="78" t="s">
        <v>1615</v>
      </c>
      <c r="T10" s="78">
        <v>11</v>
      </c>
      <c r="U10" s="78">
        <v>57</v>
      </c>
      <c r="V10" s="78">
        <v>1.3</v>
      </c>
      <c r="W10" s="78" t="s">
        <v>1615</v>
      </c>
      <c r="X10" s="78">
        <v>0.1</v>
      </c>
      <c r="Y10" s="78">
        <v>0.3</v>
      </c>
      <c r="Z10" s="78">
        <v>0.1</v>
      </c>
      <c r="AA10" s="78">
        <v>0.1</v>
      </c>
      <c r="AB10" s="78">
        <v>0.3</v>
      </c>
      <c r="AC10" s="78">
        <v>0.1</v>
      </c>
      <c r="AD10" s="78">
        <v>0.3</v>
      </c>
      <c r="AE10" s="78">
        <v>0.1</v>
      </c>
      <c r="AF10" s="78">
        <v>1</v>
      </c>
      <c r="AG10" s="78">
        <v>50</v>
      </c>
      <c r="AH10" s="78">
        <v>204</v>
      </c>
      <c r="AI10" s="78">
        <v>134</v>
      </c>
      <c r="AJ10" s="78">
        <v>111</v>
      </c>
      <c r="AK10" s="78">
        <v>14</v>
      </c>
      <c r="AL10" s="78">
        <v>0.1</v>
      </c>
      <c r="AM10" s="78">
        <v>0.3</v>
      </c>
      <c r="AN10" s="78">
        <v>0.1</v>
      </c>
      <c r="AO10" s="78">
        <v>1.4</v>
      </c>
    </row>
    <row r="11" spans="1:41">
      <c r="A11" s="78" t="s">
        <v>1619</v>
      </c>
      <c r="B11" s="78" t="s">
        <v>1558</v>
      </c>
      <c r="C11" s="78" t="s">
        <v>366</v>
      </c>
      <c r="D11" s="78" t="s">
        <v>1572</v>
      </c>
      <c r="E11" s="78" t="s">
        <v>361</v>
      </c>
      <c r="F11" s="78" t="s">
        <v>1613</v>
      </c>
      <c r="G11" s="78" t="s">
        <v>1614</v>
      </c>
      <c r="H11" s="78">
        <v>64</v>
      </c>
      <c r="I11" s="78">
        <v>87.7</v>
      </c>
      <c r="J11" s="78">
        <v>0.7</v>
      </c>
      <c r="K11" s="78">
        <v>3.3</v>
      </c>
      <c r="L11" s="78">
        <v>4.7</v>
      </c>
      <c r="M11" s="78" t="s">
        <v>1615</v>
      </c>
      <c r="N11" s="78">
        <v>0</v>
      </c>
      <c r="O11" s="78">
        <v>3.7</v>
      </c>
      <c r="P11" s="78">
        <v>2.2799999999999998</v>
      </c>
      <c r="Q11" s="78">
        <v>1.06</v>
      </c>
      <c r="R11" s="78">
        <v>0.14000000000000001</v>
      </c>
      <c r="S11" s="78" t="s">
        <v>1615</v>
      </c>
      <c r="T11" s="78">
        <v>14</v>
      </c>
      <c r="U11" s="78">
        <v>33</v>
      </c>
      <c r="V11" s="78">
        <v>1.5</v>
      </c>
      <c r="W11" s="78" t="s">
        <v>1615</v>
      </c>
      <c r="X11" s="78" t="s">
        <v>1615</v>
      </c>
      <c r="Y11" s="78" t="s">
        <v>1615</v>
      </c>
      <c r="Z11" s="78">
        <v>0</v>
      </c>
      <c r="AA11" s="78">
        <v>0.2</v>
      </c>
      <c r="AB11" s="78">
        <v>0.1</v>
      </c>
      <c r="AC11" s="78">
        <v>0</v>
      </c>
      <c r="AD11" s="78">
        <v>0.3</v>
      </c>
      <c r="AE11" s="78">
        <v>0.4</v>
      </c>
      <c r="AF11" s="78">
        <v>5</v>
      </c>
      <c r="AG11" s="78">
        <v>49</v>
      </c>
      <c r="AH11" s="78">
        <v>151</v>
      </c>
      <c r="AI11" s="78">
        <v>119</v>
      </c>
      <c r="AJ11" s="78">
        <v>93</v>
      </c>
      <c r="AK11" s="78">
        <v>13</v>
      </c>
      <c r="AL11" s="78">
        <v>0.1</v>
      </c>
      <c r="AM11" s="78">
        <v>0.4</v>
      </c>
      <c r="AN11" s="78">
        <v>0</v>
      </c>
      <c r="AO11" s="78">
        <v>2</v>
      </c>
    </row>
    <row r="12" spans="1:41">
      <c r="A12" s="78" t="s">
        <v>1620</v>
      </c>
      <c r="B12" s="78" t="s">
        <v>1558</v>
      </c>
      <c r="C12" s="78" t="s">
        <v>366</v>
      </c>
      <c r="D12" s="78" t="s">
        <v>1574</v>
      </c>
      <c r="E12" s="78" t="s">
        <v>1621</v>
      </c>
      <c r="F12" s="78" t="s">
        <v>1613</v>
      </c>
      <c r="G12" s="78" t="s">
        <v>1614</v>
      </c>
      <c r="H12" s="78">
        <v>58</v>
      </c>
      <c r="I12" s="78">
        <v>88.1</v>
      </c>
      <c r="J12" s="78">
        <v>0.6</v>
      </c>
      <c r="K12" s="78">
        <v>3.2</v>
      </c>
      <c r="L12" s="78">
        <v>5.6</v>
      </c>
      <c r="M12" s="78" t="s">
        <v>1615</v>
      </c>
      <c r="N12" s="78">
        <v>0</v>
      </c>
      <c r="O12" s="78">
        <v>2.5</v>
      </c>
      <c r="P12" s="78">
        <v>2.09</v>
      </c>
      <c r="Q12" s="78">
        <v>0.96</v>
      </c>
      <c r="R12" s="78">
        <v>0.12</v>
      </c>
      <c r="S12" s="78" t="s">
        <v>1615</v>
      </c>
      <c r="T12" s="78">
        <v>13.5</v>
      </c>
      <c r="U12" s="78">
        <v>31.1</v>
      </c>
      <c r="V12" s="78">
        <v>1</v>
      </c>
      <c r="W12" s="78" t="s">
        <v>1615</v>
      </c>
      <c r="X12" s="78" t="s">
        <v>1615</v>
      </c>
      <c r="Y12" s="78" t="s">
        <v>1615</v>
      </c>
      <c r="Z12" s="78">
        <v>0.1</v>
      </c>
      <c r="AA12" s="78">
        <v>0.1</v>
      </c>
      <c r="AB12" s="78">
        <v>0.1</v>
      </c>
      <c r="AC12" s="78">
        <v>0</v>
      </c>
      <c r="AD12" s="78">
        <v>0.3</v>
      </c>
      <c r="AE12" s="78">
        <v>0.4</v>
      </c>
      <c r="AF12" s="78">
        <v>4.9000000000000004</v>
      </c>
      <c r="AG12" s="78">
        <v>59.7</v>
      </c>
      <c r="AH12" s="78">
        <v>141.80000000000001</v>
      </c>
      <c r="AI12" s="78">
        <v>123</v>
      </c>
      <c r="AJ12" s="78">
        <v>95</v>
      </c>
      <c r="AK12" s="78">
        <v>13.5</v>
      </c>
      <c r="AL12" s="78">
        <v>0.1</v>
      </c>
      <c r="AM12" s="78">
        <v>0.4</v>
      </c>
      <c r="AN12" s="78">
        <v>0</v>
      </c>
      <c r="AO12" s="78" t="s">
        <v>1615</v>
      </c>
    </row>
    <row r="13" spans="1:41">
      <c r="A13" s="78" t="s">
        <v>1622</v>
      </c>
      <c r="B13" s="78" t="s">
        <v>1558</v>
      </c>
      <c r="C13" s="78" t="s">
        <v>366</v>
      </c>
      <c r="D13" s="78" t="s">
        <v>1576</v>
      </c>
      <c r="E13" s="78" t="s">
        <v>1623</v>
      </c>
      <c r="F13" s="78" t="s">
        <v>1613</v>
      </c>
      <c r="G13" s="78" t="s">
        <v>1614</v>
      </c>
      <c r="H13" s="78">
        <v>80</v>
      </c>
      <c r="I13" s="78">
        <v>82.9</v>
      </c>
      <c r="J13" s="78">
        <v>0.8</v>
      </c>
      <c r="K13" s="78">
        <v>2.4</v>
      </c>
      <c r="L13" s="78">
        <v>10.5</v>
      </c>
      <c r="M13" s="78" t="s">
        <v>1615</v>
      </c>
      <c r="N13" s="78">
        <v>0.5</v>
      </c>
      <c r="O13" s="78">
        <v>2.9</v>
      </c>
      <c r="P13" s="78">
        <v>1.84</v>
      </c>
      <c r="Q13" s="78">
        <v>0.87</v>
      </c>
      <c r="R13" s="78">
        <v>0.15</v>
      </c>
      <c r="S13" s="78" t="s">
        <v>1615</v>
      </c>
      <c r="T13" s="78">
        <v>6.4</v>
      </c>
      <c r="U13" s="78">
        <v>29</v>
      </c>
      <c r="V13" s="78">
        <v>0.9</v>
      </c>
      <c r="W13" s="78" t="s">
        <v>1615</v>
      </c>
      <c r="X13" s="78">
        <v>0.1</v>
      </c>
      <c r="Y13" s="78" t="s">
        <v>1615</v>
      </c>
      <c r="Z13" s="78">
        <v>0</v>
      </c>
      <c r="AA13" s="78">
        <v>0.2</v>
      </c>
      <c r="AB13" s="78">
        <v>0.1</v>
      </c>
      <c r="AC13" s="78">
        <v>0</v>
      </c>
      <c r="AD13" s="78">
        <v>0.3</v>
      </c>
      <c r="AE13" s="78">
        <v>0.3</v>
      </c>
      <c r="AF13" s="78">
        <v>4.7</v>
      </c>
      <c r="AG13" s="78">
        <v>59.6</v>
      </c>
      <c r="AH13" s="78">
        <v>167</v>
      </c>
      <c r="AI13" s="78">
        <v>112</v>
      </c>
      <c r="AJ13" s="78">
        <v>100</v>
      </c>
      <c r="AK13" s="78">
        <v>13</v>
      </c>
      <c r="AL13" s="78">
        <v>0.2</v>
      </c>
      <c r="AM13" s="78">
        <v>0.4</v>
      </c>
      <c r="AN13" s="78">
        <v>0.1</v>
      </c>
      <c r="AO13" s="78">
        <v>1.2</v>
      </c>
    </row>
    <row r="14" spans="1:41">
      <c r="A14" s="78" t="s">
        <v>1624</v>
      </c>
      <c r="B14" s="78" t="s">
        <v>1558</v>
      </c>
      <c r="C14" s="78" t="s">
        <v>366</v>
      </c>
      <c r="D14" s="78" t="s">
        <v>1611</v>
      </c>
      <c r="E14" s="78" t="s">
        <v>1625</v>
      </c>
      <c r="F14" s="78" t="s">
        <v>1613</v>
      </c>
      <c r="G14" s="78" t="s">
        <v>1614</v>
      </c>
      <c r="H14" s="78">
        <v>42</v>
      </c>
      <c r="I14" s="78">
        <v>90.2</v>
      </c>
      <c r="J14" s="78">
        <v>0.8</v>
      </c>
      <c r="K14" s="78">
        <v>2.6</v>
      </c>
      <c r="L14" s="78">
        <v>5.0999999999999996</v>
      </c>
      <c r="M14" s="78">
        <v>3.2</v>
      </c>
      <c r="N14" s="78">
        <v>0</v>
      </c>
      <c r="O14" s="78">
        <v>1.3</v>
      </c>
      <c r="P14" s="78" t="s">
        <v>1615</v>
      </c>
      <c r="Q14" s="78" t="s">
        <v>1615</v>
      </c>
      <c r="R14" s="78" t="s">
        <v>1615</v>
      </c>
      <c r="S14" s="78" t="s">
        <v>1615</v>
      </c>
      <c r="T14" s="78" t="s">
        <v>1615</v>
      </c>
      <c r="U14" s="78" t="s">
        <v>1615</v>
      </c>
      <c r="V14" s="78" t="s">
        <v>1615</v>
      </c>
      <c r="W14" s="78" t="s">
        <v>1615</v>
      </c>
      <c r="X14" s="78" t="s">
        <v>1615</v>
      </c>
      <c r="Y14" s="78" t="s">
        <v>1615</v>
      </c>
      <c r="Z14" s="78" t="s">
        <v>1615</v>
      </c>
      <c r="AA14" s="78" t="s">
        <v>1615</v>
      </c>
      <c r="AB14" s="78" t="s">
        <v>1615</v>
      </c>
      <c r="AC14" s="78" t="s">
        <v>1615</v>
      </c>
      <c r="AD14" s="78" t="s">
        <v>1615</v>
      </c>
      <c r="AE14" s="78" t="s">
        <v>1615</v>
      </c>
      <c r="AF14" s="78" t="s">
        <v>1615</v>
      </c>
      <c r="AG14" s="78" t="s">
        <v>1615</v>
      </c>
      <c r="AH14" s="78" t="s">
        <v>1615</v>
      </c>
      <c r="AI14" s="78" t="s">
        <v>1615</v>
      </c>
      <c r="AJ14" s="78" t="s">
        <v>1615</v>
      </c>
      <c r="AK14" s="78" t="s">
        <v>1615</v>
      </c>
      <c r="AL14" s="78" t="s">
        <v>1615</v>
      </c>
      <c r="AM14" s="78" t="s">
        <v>1615</v>
      </c>
      <c r="AN14" s="78" t="s">
        <v>1615</v>
      </c>
      <c r="AO14" s="78" t="s">
        <v>1615</v>
      </c>
    </row>
    <row r="15" spans="1:41">
      <c r="A15" s="78" t="s">
        <v>1626</v>
      </c>
      <c r="B15" s="78" t="s">
        <v>1558</v>
      </c>
      <c r="C15" s="78" t="s">
        <v>366</v>
      </c>
      <c r="D15" s="78" t="s">
        <v>1616</v>
      </c>
      <c r="E15" s="78" t="s">
        <v>1627</v>
      </c>
      <c r="F15" s="78" t="s">
        <v>1613</v>
      </c>
      <c r="G15" s="78" t="s">
        <v>1614</v>
      </c>
      <c r="H15" s="78">
        <v>76</v>
      </c>
      <c r="I15" s="78">
        <v>82.2</v>
      </c>
      <c r="J15" s="78">
        <v>0.8</v>
      </c>
      <c r="K15" s="78">
        <v>3</v>
      </c>
      <c r="L15" s="78">
        <v>11.4</v>
      </c>
      <c r="M15" s="78">
        <v>9.6</v>
      </c>
      <c r="N15" s="78">
        <v>0.7</v>
      </c>
      <c r="O15" s="78">
        <v>1.9</v>
      </c>
      <c r="P15" s="78">
        <v>1.18</v>
      </c>
      <c r="Q15" s="78">
        <v>0.46</v>
      </c>
      <c r="R15" s="78">
        <v>0.09</v>
      </c>
      <c r="S15" s="78" t="s">
        <v>1615</v>
      </c>
      <c r="T15" s="78">
        <v>8</v>
      </c>
      <c r="U15" s="78">
        <v>64</v>
      </c>
      <c r="V15" s="78">
        <v>0</v>
      </c>
      <c r="W15" s="78">
        <v>1.2</v>
      </c>
      <c r="X15" s="78">
        <v>0</v>
      </c>
      <c r="Y15" s="78">
        <v>0.2</v>
      </c>
      <c r="Z15" s="78">
        <v>0.1</v>
      </c>
      <c r="AA15" s="78">
        <v>0.2</v>
      </c>
      <c r="AB15" s="78">
        <v>0.2</v>
      </c>
      <c r="AC15" s="78">
        <v>0</v>
      </c>
      <c r="AD15" s="78">
        <v>0.5</v>
      </c>
      <c r="AE15" s="78">
        <v>0.3</v>
      </c>
      <c r="AF15" s="78">
        <v>2</v>
      </c>
      <c r="AG15" s="78">
        <v>66</v>
      </c>
      <c r="AH15" s="78">
        <v>169</v>
      </c>
      <c r="AI15" s="78">
        <v>109</v>
      </c>
      <c r="AJ15" s="78">
        <v>102</v>
      </c>
      <c r="AK15" s="78">
        <v>14</v>
      </c>
      <c r="AL15" s="78">
        <v>0.2</v>
      </c>
      <c r="AM15" s="78">
        <v>0.4</v>
      </c>
      <c r="AN15" s="78">
        <v>0.1</v>
      </c>
      <c r="AO15" s="78">
        <v>3.4</v>
      </c>
    </row>
    <row r="16" spans="1:41">
      <c r="A16" s="78" t="s">
        <v>1628</v>
      </c>
      <c r="B16" s="78" t="s">
        <v>1558</v>
      </c>
      <c r="C16" s="78" t="s">
        <v>366</v>
      </c>
      <c r="D16" s="78" t="s">
        <v>1617</v>
      </c>
      <c r="E16" s="78" t="s">
        <v>1629</v>
      </c>
      <c r="F16" s="78" t="s">
        <v>1613</v>
      </c>
      <c r="G16" s="78" t="s">
        <v>1614</v>
      </c>
      <c r="H16" s="78">
        <v>52</v>
      </c>
      <c r="I16" s="78" t="s">
        <v>1615</v>
      </c>
      <c r="J16" s="78" t="s">
        <v>1615</v>
      </c>
      <c r="K16" s="78">
        <v>3.2</v>
      </c>
      <c r="L16" s="78">
        <v>5.6</v>
      </c>
      <c r="M16" s="78">
        <v>5</v>
      </c>
      <c r="N16" s="78" t="s">
        <v>1615</v>
      </c>
      <c r="O16" s="78">
        <v>1.8</v>
      </c>
      <c r="P16" s="78">
        <v>1.1499999999999999</v>
      </c>
      <c r="Q16" s="78">
        <v>0.52</v>
      </c>
      <c r="R16" s="78">
        <v>0.05</v>
      </c>
      <c r="S16" s="78">
        <v>0.1</v>
      </c>
      <c r="T16" s="78">
        <v>6</v>
      </c>
      <c r="U16" s="78">
        <v>40</v>
      </c>
      <c r="V16" s="78" t="s">
        <v>1615</v>
      </c>
      <c r="W16" s="78">
        <v>0.3</v>
      </c>
      <c r="X16" s="78">
        <v>1</v>
      </c>
      <c r="Y16" s="78" t="s">
        <v>1615</v>
      </c>
      <c r="Z16" s="78" t="s">
        <v>1615</v>
      </c>
      <c r="AA16" s="78" t="s">
        <v>1615</v>
      </c>
      <c r="AB16" s="78" t="s">
        <v>1615</v>
      </c>
      <c r="AC16" s="78" t="s">
        <v>1615</v>
      </c>
      <c r="AD16" s="78" t="s">
        <v>1615</v>
      </c>
      <c r="AE16" s="78" t="s">
        <v>1615</v>
      </c>
      <c r="AF16" s="78" t="s">
        <v>1615</v>
      </c>
      <c r="AG16" s="78">
        <v>70</v>
      </c>
      <c r="AH16" s="78" t="s">
        <v>1615</v>
      </c>
      <c r="AI16" s="78">
        <v>93</v>
      </c>
      <c r="AJ16" s="78">
        <v>84</v>
      </c>
      <c r="AK16" s="78" t="s">
        <v>1615</v>
      </c>
      <c r="AL16" s="78" t="s">
        <v>1615</v>
      </c>
      <c r="AM16" s="78" t="s">
        <v>1615</v>
      </c>
      <c r="AN16" s="78" t="s">
        <v>1615</v>
      </c>
      <c r="AO16" s="78" t="s">
        <v>1615</v>
      </c>
    </row>
    <row r="17" spans="1:41">
      <c r="A17" s="78" t="s">
        <v>1630</v>
      </c>
      <c r="B17" s="78" t="s">
        <v>1558</v>
      </c>
      <c r="C17" s="78" t="s">
        <v>366</v>
      </c>
      <c r="D17" s="78" t="s">
        <v>1619</v>
      </c>
      <c r="E17" s="78" t="s">
        <v>1631</v>
      </c>
      <c r="F17" s="78" t="s">
        <v>1613</v>
      </c>
      <c r="G17" s="78" t="s">
        <v>1614</v>
      </c>
      <c r="H17" s="78">
        <v>54</v>
      </c>
      <c r="I17" s="78" t="s">
        <v>1615</v>
      </c>
      <c r="J17" s="78" t="s">
        <v>1615</v>
      </c>
      <c r="K17" s="78">
        <v>3.1</v>
      </c>
      <c r="L17" s="78">
        <v>6</v>
      </c>
      <c r="M17" s="78">
        <v>5.5</v>
      </c>
      <c r="N17" s="78" t="s">
        <v>1615</v>
      </c>
      <c r="O17" s="78">
        <v>1.9</v>
      </c>
      <c r="P17" s="78">
        <v>1.22</v>
      </c>
      <c r="Q17" s="78">
        <v>0.55000000000000004</v>
      </c>
      <c r="R17" s="78">
        <v>0.05</v>
      </c>
      <c r="S17" s="78">
        <v>0.1</v>
      </c>
      <c r="T17" s="78">
        <v>6</v>
      </c>
      <c r="U17" s="78">
        <v>40</v>
      </c>
      <c r="V17" s="78" t="s">
        <v>1615</v>
      </c>
      <c r="W17" s="78">
        <v>0.3</v>
      </c>
      <c r="X17" s="78">
        <v>1</v>
      </c>
      <c r="Y17" s="78" t="s">
        <v>1615</v>
      </c>
      <c r="Z17" s="78" t="s">
        <v>1615</v>
      </c>
      <c r="AA17" s="78" t="s">
        <v>1615</v>
      </c>
      <c r="AB17" s="78" t="s">
        <v>1615</v>
      </c>
      <c r="AC17" s="78" t="s">
        <v>1615</v>
      </c>
      <c r="AD17" s="78" t="s">
        <v>1615</v>
      </c>
      <c r="AE17" s="78" t="s">
        <v>1615</v>
      </c>
      <c r="AF17" s="78" t="s">
        <v>1615</v>
      </c>
      <c r="AG17" s="78">
        <v>60</v>
      </c>
      <c r="AH17" s="78" t="s">
        <v>1615</v>
      </c>
      <c r="AI17" s="78">
        <v>104</v>
      </c>
      <c r="AJ17" s="78">
        <v>84</v>
      </c>
      <c r="AK17" s="78" t="s">
        <v>1615</v>
      </c>
      <c r="AL17" s="78" t="s">
        <v>1615</v>
      </c>
      <c r="AM17" s="78" t="s">
        <v>1615</v>
      </c>
      <c r="AN17" s="78" t="s">
        <v>1615</v>
      </c>
      <c r="AO17" s="78" t="s">
        <v>1615</v>
      </c>
    </row>
    <row r="18" spans="1:41">
      <c r="A18" s="78" t="s">
        <v>1632</v>
      </c>
      <c r="B18" s="78" t="s">
        <v>1558</v>
      </c>
      <c r="C18" s="78" t="s">
        <v>366</v>
      </c>
      <c r="D18" s="78" t="s">
        <v>1620</v>
      </c>
      <c r="E18" s="78" t="s">
        <v>1633</v>
      </c>
      <c r="F18" s="78" t="s">
        <v>1613</v>
      </c>
      <c r="G18" s="78" t="s">
        <v>1614</v>
      </c>
      <c r="H18" s="78">
        <v>44</v>
      </c>
      <c r="I18" s="78" t="s">
        <v>1615</v>
      </c>
      <c r="J18" s="78" t="s">
        <v>1615</v>
      </c>
      <c r="K18" s="78">
        <v>3.1</v>
      </c>
      <c r="L18" s="78">
        <v>4.5999999999999996</v>
      </c>
      <c r="M18" s="78">
        <v>4.5999999999999996</v>
      </c>
      <c r="N18" s="78" t="s">
        <v>1615</v>
      </c>
      <c r="O18" s="78">
        <v>1.3</v>
      </c>
      <c r="P18" s="78">
        <v>1</v>
      </c>
      <c r="Q18" s="78">
        <v>0.35</v>
      </c>
      <c r="R18" s="78">
        <v>0.05</v>
      </c>
      <c r="S18" s="78">
        <v>0.1</v>
      </c>
      <c r="T18" s="78">
        <v>6</v>
      </c>
      <c r="U18" s="78">
        <v>50</v>
      </c>
      <c r="V18" s="78" t="s">
        <v>1615</v>
      </c>
      <c r="W18" s="78">
        <v>0.4</v>
      </c>
      <c r="X18" s="78" t="s">
        <v>1615</v>
      </c>
      <c r="Y18" s="78" t="s">
        <v>1615</v>
      </c>
      <c r="Z18" s="78" t="s">
        <v>1615</v>
      </c>
      <c r="AA18" s="78" t="s">
        <v>1615</v>
      </c>
      <c r="AB18" s="78" t="s">
        <v>1615</v>
      </c>
      <c r="AC18" s="78" t="s">
        <v>1615</v>
      </c>
      <c r="AD18" s="78" t="s">
        <v>1615</v>
      </c>
      <c r="AE18" s="78" t="s">
        <v>1615</v>
      </c>
      <c r="AF18" s="78" t="s">
        <v>1615</v>
      </c>
      <c r="AG18" s="78">
        <v>60</v>
      </c>
      <c r="AH18" s="78" t="s">
        <v>1615</v>
      </c>
      <c r="AI18" s="78">
        <v>101</v>
      </c>
      <c r="AJ18" s="78" t="s">
        <v>1615</v>
      </c>
      <c r="AK18" s="78" t="s">
        <v>1615</v>
      </c>
      <c r="AL18" s="78" t="s">
        <v>1615</v>
      </c>
      <c r="AM18" s="78" t="s">
        <v>1615</v>
      </c>
      <c r="AN18" s="78" t="s">
        <v>1615</v>
      </c>
      <c r="AO18" s="78" t="s">
        <v>1615</v>
      </c>
    </row>
    <row r="19" spans="1:41">
      <c r="A19" s="78" t="s">
        <v>1634</v>
      </c>
      <c r="B19" s="78" t="s">
        <v>1558</v>
      </c>
      <c r="C19" s="78" t="s">
        <v>366</v>
      </c>
      <c r="D19" s="78" t="s">
        <v>1622</v>
      </c>
      <c r="E19" s="78" t="s">
        <v>1635</v>
      </c>
      <c r="F19" s="78" t="s">
        <v>1613</v>
      </c>
      <c r="G19" s="78" t="s">
        <v>1614</v>
      </c>
      <c r="H19" s="78">
        <v>32</v>
      </c>
      <c r="I19" s="78" t="s">
        <v>1615</v>
      </c>
      <c r="J19" s="78" t="s">
        <v>1615</v>
      </c>
      <c r="K19" s="78">
        <v>3.3</v>
      </c>
      <c r="L19" s="78">
        <v>4.7</v>
      </c>
      <c r="M19" s="78">
        <v>4.7</v>
      </c>
      <c r="N19" s="78" t="s">
        <v>1615</v>
      </c>
      <c r="O19" s="78">
        <v>0.1</v>
      </c>
      <c r="P19" s="78">
        <v>0.03</v>
      </c>
      <c r="Q19" s="78">
        <v>0.01</v>
      </c>
      <c r="R19" s="78">
        <v>0</v>
      </c>
      <c r="S19" s="78">
        <v>0</v>
      </c>
      <c r="T19" s="78">
        <v>0.2</v>
      </c>
      <c r="U19" s="78" t="s">
        <v>1615</v>
      </c>
      <c r="V19" s="78" t="s">
        <v>1615</v>
      </c>
      <c r="W19" s="78" t="s">
        <v>1615</v>
      </c>
      <c r="X19" s="78" t="s">
        <v>1615</v>
      </c>
      <c r="Y19" s="78" t="s">
        <v>1615</v>
      </c>
      <c r="Z19" s="78" t="s">
        <v>1615</v>
      </c>
      <c r="AA19" s="78" t="s">
        <v>1615</v>
      </c>
      <c r="AB19" s="78" t="s">
        <v>1615</v>
      </c>
      <c r="AC19" s="78" t="s">
        <v>1615</v>
      </c>
      <c r="AD19" s="78" t="s">
        <v>1615</v>
      </c>
      <c r="AE19" s="78" t="s">
        <v>1615</v>
      </c>
      <c r="AF19" s="78" t="s">
        <v>1615</v>
      </c>
      <c r="AG19" s="78">
        <v>32</v>
      </c>
      <c r="AH19" s="78" t="s">
        <v>1615</v>
      </c>
      <c r="AI19" s="78">
        <v>115</v>
      </c>
      <c r="AJ19" s="78">
        <v>90</v>
      </c>
      <c r="AK19" s="78" t="s">
        <v>1615</v>
      </c>
      <c r="AL19" s="78" t="s">
        <v>1615</v>
      </c>
      <c r="AM19" s="78" t="s">
        <v>1615</v>
      </c>
      <c r="AN19" s="78" t="s">
        <v>1615</v>
      </c>
      <c r="AO19" s="78" t="s">
        <v>1615</v>
      </c>
    </row>
    <row r="20" spans="1:41">
      <c r="A20" s="78" t="s">
        <v>1636</v>
      </c>
      <c r="B20" s="78" t="s">
        <v>1558</v>
      </c>
      <c r="C20" s="78" t="s">
        <v>366</v>
      </c>
      <c r="D20" s="78" t="s">
        <v>1624</v>
      </c>
      <c r="E20" s="78" t="s">
        <v>1637</v>
      </c>
      <c r="F20" s="78" t="s">
        <v>1613</v>
      </c>
      <c r="G20" s="78" t="s">
        <v>1614</v>
      </c>
      <c r="H20" s="78">
        <v>42</v>
      </c>
      <c r="I20" s="78">
        <v>89.9</v>
      </c>
      <c r="J20" s="78">
        <v>0.8</v>
      </c>
      <c r="K20" s="78">
        <v>3.4</v>
      </c>
      <c r="L20" s="78">
        <v>5</v>
      </c>
      <c r="M20" s="78">
        <v>5.2</v>
      </c>
      <c r="N20" s="78">
        <v>0</v>
      </c>
      <c r="O20" s="78">
        <v>1</v>
      </c>
      <c r="P20" s="78">
        <v>0.63</v>
      </c>
      <c r="Q20" s="78">
        <v>0.28000000000000003</v>
      </c>
      <c r="R20" s="78">
        <v>0.04</v>
      </c>
      <c r="S20" s="78" t="s">
        <v>1615</v>
      </c>
      <c r="T20" s="78">
        <v>5</v>
      </c>
      <c r="U20" s="78">
        <v>14</v>
      </c>
      <c r="V20" s="78">
        <v>0</v>
      </c>
      <c r="W20" s="78">
        <v>0</v>
      </c>
      <c r="X20" s="78">
        <v>0</v>
      </c>
      <c r="Y20" s="78">
        <v>0.1</v>
      </c>
      <c r="Z20" s="78">
        <v>0</v>
      </c>
      <c r="AA20" s="78">
        <v>0.2</v>
      </c>
      <c r="AB20" s="78">
        <v>0.1</v>
      </c>
      <c r="AC20" s="78">
        <v>0</v>
      </c>
      <c r="AD20" s="78">
        <v>0.4</v>
      </c>
      <c r="AE20" s="78">
        <v>0.5</v>
      </c>
      <c r="AF20" s="78">
        <v>5</v>
      </c>
      <c r="AG20" s="78">
        <v>44</v>
      </c>
      <c r="AH20" s="78">
        <v>150</v>
      </c>
      <c r="AI20" s="78">
        <v>125</v>
      </c>
      <c r="AJ20" s="78">
        <v>95</v>
      </c>
      <c r="AK20" s="78">
        <v>11</v>
      </c>
      <c r="AL20" s="78">
        <v>0</v>
      </c>
      <c r="AM20" s="78">
        <v>0.4</v>
      </c>
      <c r="AN20" s="78">
        <v>0</v>
      </c>
      <c r="AO20" s="78">
        <v>3.3</v>
      </c>
    </row>
    <row r="21" spans="1:41">
      <c r="A21" s="78" t="s">
        <v>1638</v>
      </c>
      <c r="B21" s="78" t="s">
        <v>1558</v>
      </c>
      <c r="C21" s="78" t="s">
        <v>366</v>
      </c>
      <c r="D21" s="78" t="s">
        <v>1626</v>
      </c>
      <c r="E21" s="78" t="s">
        <v>1639</v>
      </c>
      <c r="F21" s="78" t="s">
        <v>1613</v>
      </c>
      <c r="G21" s="78" t="s">
        <v>1614</v>
      </c>
      <c r="H21" s="78">
        <v>489</v>
      </c>
      <c r="I21" s="78">
        <v>3.2</v>
      </c>
      <c r="J21" s="78">
        <v>6.2</v>
      </c>
      <c r="K21" s="78">
        <v>28.6</v>
      </c>
      <c r="L21" s="78">
        <v>36.700000000000003</v>
      </c>
      <c r="M21" s="78" t="s">
        <v>1615</v>
      </c>
      <c r="N21" s="78">
        <v>0</v>
      </c>
      <c r="O21" s="78">
        <v>25.3</v>
      </c>
      <c r="P21" s="78">
        <v>16.190000000000001</v>
      </c>
      <c r="Q21" s="78">
        <v>7.62</v>
      </c>
      <c r="R21" s="78">
        <v>1.44</v>
      </c>
      <c r="S21" s="78" t="s">
        <v>1615</v>
      </c>
      <c r="T21" s="78">
        <v>80</v>
      </c>
      <c r="U21" s="78">
        <v>281.3</v>
      </c>
      <c r="V21" s="78">
        <v>9.4</v>
      </c>
      <c r="W21" s="78" t="s">
        <v>1615</v>
      </c>
      <c r="X21" s="78" t="s">
        <v>1615</v>
      </c>
      <c r="Y21" s="78" t="s">
        <v>1615</v>
      </c>
      <c r="Z21" s="78">
        <v>0.3</v>
      </c>
      <c r="AA21" s="78">
        <v>2.1</v>
      </c>
      <c r="AB21" s="78">
        <v>0.6</v>
      </c>
      <c r="AC21" s="78">
        <v>0.3</v>
      </c>
      <c r="AD21" s="78">
        <v>2.2999999999999998</v>
      </c>
      <c r="AE21" s="78">
        <v>3.3</v>
      </c>
      <c r="AF21" s="78">
        <v>37.5</v>
      </c>
      <c r="AG21" s="78">
        <v>394.6</v>
      </c>
      <c r="AH21" s="78">
        <v>1307</v>
      </c>
      <c r="AI21" s="78">
        <v>912.5</v>
      </c>
      <c r="AJ21" s="78">
        <v>775</v>
      </c>
      <c r="AK21" s="78">
        <v>84.4</v>
      </c>
      <c r="AL21" s="78">
        <v>0.5</v>
      </c>
      <c r="AM21" s="78">
        <v>3.3</v>
      </c>
      <c r="AN21" s="78" t="s">
        <v>1615</v>
      </c>
      <c r="AO21" s="78" t="s">
        <v>1615</v>
      </c>
    </row>
    <row r="22" spans="1:41">
      <c r="A22" s="78" t="s">
        <v>1640</v>
      </c>
      <c r="B22" s="78" t="s">
        <v>1558</v>
      </c>
      <c r="C22" s="78" t="s">
        <v>366</v>
      </c>
      <c r="D22" s="78" t="s">
        <v>1628</v>
      </c>
      <c r="E22" s="78" t="s">
        <v>1641</v>
      </c>
      <c r="F22" s="78" t="s">
        <v>1613</v>
      </c>
      <c r="G22" s="78" t="s">
        <v>1614</v>
      </c>
      <c r="H22" s="78">
        <v>496</v>
      </c>
      <c r="I22" s="78">
        <v>2.5</v>
      </c>
      <c r="J22" s="78">
        <v>6.1</v>
      </c>
      <c r="K22" s="78">
        <v>26.3</v>
      </c>
      <c r="L22" s="78">
        <v>38.4</v>
      </c>
      <c r="M22" s="78">
        <v>38.4</v>
      </c>
      <c r="N22" s="78">
        <v>0</v>
      </c>
      <c r="O22" s="78">
        <v>26.7</v>
      </c>
      <c r="P22" s="78">
        <v>16.739999999999998</v>
      </c>
      <c r="Q22" s="78">
        <v>7.92</v>
      </c>
      <c r="R22" s="78">
        <v>0.67</v>
      </c>
      <c r="S22" s="78" t="s">
        <v>1615</v>
      </c>
      <c r="T22" s="78">
        <v>97</v>
      </c>
      <c r="U22" s="78">
        <v>258</v>
      </c>
      <c r="V22" s="78">
        <v>8.6</v>
      </c>
      <c r="W22" s="78">
        <v>10.5</v>
      </c>
      <c r="X22" s="78">
        <v>0.6</v>
      </c>
      <c r="Y22" s="78">
        <v>2.2000000000000002</v>
      </c>
      <c r="Z22" s="78">
        <v>0.3</v>
      </c>
      <c r="AA22" s="78">
        <v>1.2</v>
      </c>
      <c r="AB22" s="78">
        <v>0.7</v>
      </c>
      <c r="AC22" s="78">
        <v>0.3</v>
      </c>
      <c r="AD22" s="78">
        <v>2.2999999999999998</v>
      </c>
      <c r="AE22" s="78">
        <v>3.3</v>
      </c>
      <c r="AF22" s="78">
        <v>37</v>
      </c>
      <c r="AG22" s="78">
        <v>371</v>
      </c>
      <c r="AH22" s="78">
        <v>1330</v>
      </c>
      <c r="AI22" s="78">
        <v>912</v>
      </c>
      <c r="AJ22" s="78">
        <v>776</v>
      </c>
      <c r="AK22" s="78">
        <v>85</v>
      </c>
      <c r="AL22" s="78">
        <v>0.5</v>
      </c>
      <c r="AM22" s="78">
        <v>3.3</v>
      </c>
      <c r="AN22" s="78">
        <v>0.1</v>
      </c>
      <c r="AO22" s="78">
        <v>16.3</v>
      </c>
    </row>
    <row r="23" spans="1:41">
      <c r="A23" s="78" t="s">
        <v>1642</v>
      </c>
      <c r="B23" s="78" t="s">
        <v>1558</v>
      </c>
      <c r="C23" s="78" t="s">
        <v>366</v>
      </c>
      <c r="D23" s="78" t="s">
        <v>1630</v>
      </c>
      <c r="E23" s="78" t="s">
        <v>1643</v>
      </c>
      <c r="F23" s="78" t="s">
        <v>1613</v>
      </c>
      <c r="G23" s="78" t="s">
        <v>1614</v>
      </c>
      <c r="H23" s="78">
        <v>454</v>
      </c>
      <c r="I23" s="78" t="s">
        <v>1615</v>
      </c>
      <c r="J23" s="78" t="s">
        <v>1615</v>
      </c>
      <c r="K23" s="78">
        <v>29.1</v>
      </c>
      <c r="L23" s="78">
        <v>42.7</v>
      </c>
      <c r="M23" s="78" t="s">
        <v>1615</v>
      </c>
      <c r="N23" s="78">
        <v>0</v>
      </c>
      <c r="O23" s="78">
        <v>17.899999999999999</v>
      </c>
      <c r="P23" s="78">
        <v>11.46</v>
      </c>
      <c r="Q23" s="78">
        <v>5.39</v>
      </c>
      <c r="R23" s="78">
        <v>1.02</v>
      </c>
      <c r="S23" s="78" t="s">
        <v>1615</v>
      </c>
      <c r="T23" s="78">
        <v>32</v>
      </c>
      <c r="U23" s="78" t="s">
        <v>1615</v>
      </c>
      <c r="V23" s="78">
        <v>75</v>
      </c>
      <c r="W23" s="78" t="s">
        <v>1615</v>
      </c>
      <c r="X23" s="78" t="s">
        <v>1615</v>
      </c>
      <c r="Y23" s="78" t="s">
        <v>1615</v>
      </c>
      <c r="Z23" s="78" t="s">
        <v>1615</v>
      </c>
      <c r="AA23" s="78" t="s">
        <v>1615</v>
      </c>
      <c r="AB23" s="78" t="s">
        <v>1615</v>
      </c>
      <c r="AC23" s="78" t="s">
        <v>1615</v>
      </c>
      <c r="AD23" s="78" t="s">
        <v>1615</v>
      </c>
      <c r="AE23" s="78" t="s">
        <v>1615</v>
      </c>
      <c r="AF23" s="78" t="s">
        <v>1615</v>
      </c>
      <c r="AG23" s="78" t="s">
        <v>1615</v>
      </c>
      <c r="AH23" s="78" t="s">
        <v>1615</v>
      </c>
      <c r="AI23" s="78">
        <v>1610</v>
      </c>
      <c r="AJ23" s="78">
        <v>865</v>
      </c>
      <c r="AK23" s="78" t="s">
        <v>1615</v>
      </c>
      <c r="AL23" s="78">
        <v>15</v>
      </c>
      <c r="AM23" s="78" t="s">
        <v>1615</v>
      </c>
      <c r="AN23" s="78" t="s">
        <v>1615</v>
      </c>
      <c r="AO23" s="78" t="s">
        <v>1615</v>
      </c>
    </row>
    <row r="24" spans="1:41">
      <c r="A24" s="78" t="s">
        <v>1644</v>
      </c>
      <c r="B24" s="78" t="s">
        <v>1558</v>
      </c>
      <c r="C24" s="78" t="s">
        <v>366</v>
      </c>
      <c r="D24" s="78" t="s">
        <v>1632</v>
      </c>
      <c r="E24" s="78" t="s">
        <v>1645</v>
      </c>
      <c r="F24" s="78" t="s">
        <v>1613</v>
      </c>
      <c r="G24" s="78" t="s">
        <v>1614</v>
      </c>
      <c r="H24" s="78">
        <v>406</v>
      </c>
      <c r="I24" s="78">
        <v>5.4</v>
      </c>
      <c r="J24" s="78">
        <v>7.1</v>
      </c>
      <c r="K24" s="78">
        <v>34.6</v>
      </c>
      <c r="L24" s="78">
        <v>41.8</v>
      </c>
      <c r="M24" s="78" t="s">
        <v>1615</v>
      </c>
      <c r="N24" s="78">
        <v>0</v>
      </c>
      <c r="O24" s="78">
        <v>11.1</v>
      </c>
      <c r="P24" s="78">
        <v>7.1</v>
      </c>
      <c r="Q24" s="78">
        <v>3.34</v>
      </c>
      <c r="R24" s="78">
        <v>0.63</v>
      </c>
      <c r="S24" s="78" t="s">
        <v>1615</v>
      </c>
      <c r="T24" s="78">
        <v>19.8</v>
      </c>
      <c r="U24" s="78">
        <v>111</v>
      </c>
      <c r="V24" s="78" t="s">
        <v>1615</v>
      </c>
      <c r="W24" s="78" t="s">
        <v>1615</v>
      </c>
      <c r="X24" s="78" t="s">
        <v>1615</v>
      </c>
      <c r="Y24" s="78" t="s">
        <v>1615</v>
      </c>
      <c r="Z24" s="78">
        <v>0.2</v>
      </c>
      <c r="AA24" s="78">
        <v>1.7</v>
      </c>
      <c r="AB24" s="78" t="s">
        <v>1615</v>
      </c>
      <c r="AC24" s="78" t="s">
        <v>1615</v>
      </c>
      <c r="AD24" s="78" t="s">
        <v>1615</v>
      </c>
      <c r="AE24" s="78" t="s">
        <v>1615</v>
      </c>
      <c r="AF24" s="78" t="s">
        <v>1615</v>
      </c>
      <c r="AG24" s="78">
        <v>534.9</v>
      </c>
      <c r="AH24" s="78">
        <v>1521.6</v>
      </c>
      <c r="AI24" s="78" t="s">
        <v>1615</v>
      </c>
      <c r="AJ24" s="78">
        <v>946</v>
      </c>
      <c r="AK24" s="78" t="s">
        <v>1615</v>
      </c>
      <c r="AL24" s="78" t="s">
        <v>1615</v>
      </c>
      <c r="AM24" s="78" t="s">
        <v>1615</v>
      </c>
      <c r="AN24" s="78" t="s">
        <v>1615</v>
      </c>
      <c r="AO24" s="78" t="s">
        <v>1615</v>
      </c>
    </row>
    <row r="25" spans="1:41">
      <c r="A25" s="78" t="s">
        <v>1646</v>
      </c>
      <c r="B25" s="78" t="s">
        <v>1558</v>
      </c>
      <c r="C25" s="78" t="s">
        <v>366</v>
      </c>
      <c r="D25" s="78" t="s">
        <v>1634</v>
      </c>
      <c r="E25" s="78" t="s">
        <v>1647</v>
      </c>
      <c r="F25" s="78" t="s">
        <v>1613</v>
      </c>
      <c r="G25" s="78" t="s">
        <v>1614</v>
      </c>
      <c r="H25" s="78">
        <v>358</v>
      </c>
      <c r="I25" s="78">
        <v>4</v>
      </c>
      <c r="J25" s="78">
        <v>8</v>
      </c>
      <c r="K25" s="78">
        <v>35.1</v>
      </c>
      <c r="L25" s="78">
        <v>52.2</v>
      </c>
      <c r="M25" s="78">
        <v>52.2</v>
      </c>
      <c r="N25" s="78">
        <v>0</v>
      </c>
      <c r="O25" s="78">
        <v>0.7</v>
      </c>
      <c r="P25" s="78">
        <v>0.47</v>
      </c>
      <c r="Q25" s="78">
        <v>0.19</v>
      </c>
      <c r="R25" s="78">
        <v>0.03</v>
      </c>
      <c r="S25" s="78" t="s">
        <v>1615</v>
      </c>
      <c r="T25" s="78">
        <v>18</v>
      </c>
      <c r="U25" s="78">
        <v>4</v>
      </c>
      <c r="V25" s="78">
        <v>5.6</v>
      </c>
      <c r="W25" s="78">
        <v>0</v>
      </c>
      <c r="X25" s="78">
        <v>0</v>
      </c>
      <c r="Y25" s="78">
        <v>0</v>
      </c>
      <c r="Z25" s="78">
        <v>0.4</v>
      </c>
      <c r="AA25" s="78">
        <v>1.7</v>
      </c>
      <c r="AB25" s="78">
        <v>0.9</v>
      </c>
      <c r="AC25" s="78">
        <v>0.4</v>
      </c>
      <c r="AD25" s="78">
        <v>3.2</v>
      </c>
      <c r="AE25" s="78">
        <v>4</v>
      </c>
      <c r="AF25" s="78">
        <v>50</v>
      </c>
      <c r="AG25" s="78">
        <v>549</v>
      </c>
      <c r="AH25" s="78">
        <v>1705</v>
      </c>
      <c r="AI25" s="78">
        <v>1231</v>
      </c>
      <c r="AJ25" s="78">
        <v>985</v>
      </c>
      <c r="AK25" s="78">
        <v>117</v>
      </c>
      <c r="AL25" s="78">
        <v>0.3</v>
      </c>
      <c r="AM25" s="78">
        <v>4.4000000000000004</v>
      </c>
      <c r="AN25" s="78">
        <v>0</v>
      </c>
      <c r="AO25" s="78">
        <v>27.3</v>
      </c>
    </row>
    <row r="26" spans="1:41">
      <c r="A26" s="78" t="s">
        <v>1648</v>
      </c>
      <c r="B26" s="78" t="s">
        <v>1558</v>
      </c>
      <c r="C26" s="78" t="s">
        <v>366</v>
      </c>
      <c r="D26" s="78" t="s">
        <v>1636</v>
      </c>
      <c r="E26" s="78" t="s">
        <v>1649</v>
      </c>
      <c r="F26" s="78" t="s">
        <v>1613</v>
      </c>
      <c r="G26" s="78" t="s">
        <v>1614</v>
      </c>
      <c r="H26" s="78">
        <v>349</v>
      </c>
      <c r="I26" s="78" t="s">
        <v>1615</v>
      </c>
      <c r="J26" s="78" t="s">
        <v>1615</v>
      </c>
      <c r="K26" s="78">
        <v>31</v>
      </c>
      <c r="L26" s="78">
        <v>52.8</v>
      </c>
      <c r="M26" s="78">
        <v>52.5</v>
      </c>
      <c r="N26" s="78" t="s">
        <v>1615</v>
      </c>
      <c r="O26" s="78">
        <v>1.5</v>
      </c>
      <c r="P26" s="78">
        <v>0.9</v>
      </c>
      <c r="Q26" s="78">
        <v>0.2</v>
      </c>
      <c r="R26" s="78">
        <v>0.03</v>
      </c>
      <c r="S26" s="78">
        <v>0.1</v>
      </c>
      <c r="T26" s="78">
        <v>20</v>
      </c>
      <c r="U26" s="78">
        <v>450</v>
      </c>
      <c r="V26" s="78">
        <v>85</v>
      </c>
      <c r="W26" s="78">
        <v>6</v>
      </c>
      <c r="X26" s="78">
        <v>18</v>
      </c>
      <c r="Y26" s="78">
        <v>100</v>
      </c>
      <c r="Z26" s="78" t="s">
        <v>1615</v>
      </c>
      <c r="AA26" s="78" t="s">
        <v>1615</v>
      </c>
      <c r="AB26" s="78" t="s">
        <v>1615</v>
      </c>
      <c r="AC26" s="78" t="s">
        <v>1615</v>
      </c>
      <c r="AD26" s="78" t="s">
        <v>1615</v>
      </c>
      <c r="AE26" s="78" t="s">
        <v>1615</v>
      </c>
      <c r="AF26" s="78" t="s">
        <v>1615</v>
      </c>
      <c r="AG26" s="78">
        <v>450</v>
      </c>
      <c r="AH26" s="78" t="s">
        <v>1615</v>
      </c>
      <c r="AI26" s="78">
        <v>2000</v>
      </c>
      <c r="AJ26" s="78">
        <v>900</v>
      </c>
      <c r="AK26" s="78">
        <v>240</v>
      </c>
      <c r="AL26" s="78">
        <v>17</v>
      </c>
      <c r="AM26" s="78">
        <v>10</v>
      </c>
      <c r="AN26" s="78" t="s">
        <v>1615</v>
      </c>
      <c r="AO26" s="78" t="s">
        <v>1615</v>
      </c>
    </row>
    <row r="27" spans="1:41">
      <c r="A27" s="78" t="s">
        <v>1650</v>
      </c>
      <c r="B27" s="78" t="s">
        <v>1558</v>
      </c>
      <c r="C27" s="78" t="s">
        <v>366</v>
      </c>
      <c r="D27" s="78" t="s">
        <v>1638</v>
      </c>
      <c r="E27" s="78" t="s">
        <v>1651</v>
      </c>
      <c r="F27" s="78" t="s">
        <v>1613</v>
      </c>
      <c r="G27" s="78" t="s">
        <v>1614</v>
      </c>
      <c r="H27" s="78">
        <v>454</v>
      </c>
      <c r="I27" s="78" t="s">
        <v>1615</v>
      </c>
      <c r="J27" s="78" t="s">
        <v>1615</v>
      </c>
      <c r="K27" s="78">
        <v>19.399999999999999</v>
      </c>
      <c r="L27" s="78">
        <v>51.2</v>
      </c>
      <c r="M27" s="78">
        <v>36.799999999999997</v>
      </c>
      <c r="N27" s="78">
        <v>1.7</v>
      </c>
      <c r="O27" s="78">
        <v>19.100000000000001</v>
      </c>
      <c r="P27" s="78">
        <v>7.9</v>
      </c>
      <c r="Q27" s="78">
        <v>8.3000000000000007</v>
      </c>
      <c r="R27" s="78">
        <v>2.9</v>
      </c>
      <c r="S27" s="78">
        <v>0</v>
      </c>
      <c r="T27" s="78">
        <v>56.3</v>
      </c>
      <c r="U27" s="78">
        <v>538</v>
      </c>
      <c r="V27" s="78">
        <v>65.8</v>
      </c>
      <c r="W27" s="78">
        <v>8.6</v>
      </c>
      <c r="X27" s="78">
        <v>10.199999999999999</v>
      </c>
      <c r="Y27" s="78" t="s">
        <v>1615</v>
      </c>
      <c r="Z27" s="78">
        <v>0.4</v>
      </c>
      <c r="AA27" s="78">
        <v>0.7</v>
      </c>
      <c r="AB27" s="78">
        <v>5.9</v>
      </c>
      <c r="AC27" s="78">
        <v>0.8</v>
      </c>
      <c r="AD27" s="78" t="s">
        <v>1615</v>
      </c>
      <c r="AE27" s="78">
        <v>1.9</v>
      </c>
      <c r="AF27" s="78">
        <v>167</v>
      </c>
      <c r="AG27" s="78">
        <v>207</v>
      </c>
      <c r="AH27" s="78" t="s">
        <v>1615</v>
      </c>
      <c r="AI27" s="78">
        <v>1066</v>
      </c>
      <c r="AJ27" s="78">
        <v>644</v>
      </c>
      <c r="AK27" s="78">
        <v>92.6</v>
      </c>
      <c r="AL27" s="78">
        <v>7.1</v>
      </c>
      <c r="AM27" s="78">
        <v>6.7</v>
      </c>
      <c r="AN27" s="78">
        <v>0.3</v>
      </c>
      <c r="AO27" s="78" t="s">
        <v>1615</v>
      </c>
    </row>
    <row r="28" spans="1:41">
      <c r="A28" s="78" t="s">
        <v>1652</v>
      </c>
      <c r="B28" s="78" t="s">
        <v>1558</v>
      </c>
      <c r="C28" s="78" t="s">
        <v>366</v>
      </c>
      <c r="D28" s="78" t="s">
        <v>1640</v>
      </c>
      <c r="E28" s="78" t="s">
        <v>1653</v>
      </c>
      <c r="F28" s="78" t="s">
        <v>1613</v>
      </c>
      <c r="G28" s="78" t="s">
        <v>1614</v>
      </c>
      <c r="H28" s="78">
        <v>321</v>
      </c>
      <c r="I28" s="78">
        <v>27.2</v>
      </c>
      <c r="J28" s="78">
        <v>1.8</v>
      </c>
      <c r="K28" s="78">
        <v>7.9</v>
      </c>
      <c r="L28" s="78">
        <v>54.4</v>
      </c>
      <c r="M28" s="78">
        <v>54.4</v>
      </c>
      <c r="N28" s="78">
        <v>0</v>
      </c>
      <c r="O28" s="78">
        <v>8.6999999999999993</v>
      </c>
      <c r="P28" s="78">
        <v>5.49</v>
      </c>
      <c r="Q28" s="78">
        <v>2.4300000000000002</v>
      </c>
      <c r="R28" s="78">
        <v>0.34</v>
      </c>
      <c r="S28" s="78" t="s">
        <v>1615</v>
      </c>
      <c r="T28" s="78">
        <v>34</v>
      </c>
      <c r="U28" s="78">
        <v>74</v>
      </c>
      <c r="V28" s="78">
        <v>2.6</v>
      </c>
      <c r="W28" s="78">
        <v>0.2</v>
      </c>
      <c r="X28" s="78">
        <v>0.2</v>
      </c>
      <c r="Y28" s="78">
        <v>0.6</v>
      </c>
      <c r="Z28" s="78">
        <v>0.1</v>
      </c>
      <c r="AA28" s="78">
        <v>0.4</v>
      </c>
      <c r="AB28" s="78">
        <v>0.2</v>
      </c>
      <c r="AC28" s="78">
        <v>0.1</v>
      </c>
      <c r="AD28" s="78">
        <v>0.8</v>
      </c>
      <c r="AE28" s="78">
        <v>0.4</v>
      </c>
      <c r="AF28" s="78">
        <v>11</v>
      </c>
      <c r="AG28" s="78">
        <v>127</v>
      </c>
      <c r="AH28" s="78">
        <v>371</v>
      </c>
      <c r="AI28" s="78">
        <v>284</v>
      </c>
      <c r="AJ28" s="78">
        <v>253</v>
      </c>
      <c r="AK28" s="78">
        <v>26</v>
      </c>
      <c r="AL28" s="78">
        <v>0.2</v>
      </c>
      <c r="AM28" s="78">
        <v>0.9</v>
      </c>
      <c r="AN28" s="78">
        <v>0</v>
      </c>
      <c r="AO28" s="78">
        <v>14.8</v>
      </c>
    </row>
    <row r="29" spans="1:41">
      <c r="A29" s="78" t="s">
        <v>1654</v>
      </c>
      <c r="B29" s="78" t="s">
        <v>1558</v>
      </c>
      <c r="C29" s="78" t="s">
        <v>366</v>
      </c>
      <c r="D29" s="78" t="s">
        <v>1642</v>
      </c>
      <c r="E29" s="78" t="s">
        <v>364</v>
      </c>
      <c r="F29" s="78" t="s">
        <v>1613</v>
      </c>
      <c r="G29" s="78" t="s">
        <v>1614</v>
      </c>
      <c r="H29" s="78">
        <v>134</v>
      </c>
      <c r="I29" s="78">
        <v>74</v>
      </c>
      <c r="J29" s="78">
        <v>1.6</v>
      </c>
      <c r="K29" s="78">
        <v>6.8</v>
      </c>
      <c r="L29" s="78">
        <v>10</v>
      </c>
      <c r="M29" s="78">
        <v>10</v>
      </c>
      <c r="N29" s="78">
        <v>0</v>
      </c>
      <c r="O29" s="78">
        <v>7.6</v>
      </c>
      <c r="P29" s="78">
        <v>4.59</v>
      </c>
      <c r="Q29" s="78">
        <v>2.34</v>
      </c>
      <c r="R29" s="78">
        <v>0.25</v>
      </c>
      <c r="S29" s="78" t="s">
        <v>1615</v>
      </c>
      <c r="T29" s="78">
        <v>29</v>
      </c>
      <c r="U29" s="78">
        <v>65</v>
      </c>
      <c r="V29" s="78">
        <v>1.9</v>
      </c>
      <c r="W29" s="78">
        <v>2</v>
      </c>
      <c r="X29" s="78">
        <v>0.1</v>
      </c>
      <c r="Y29" s="78">
        <v>0.5</v>
      </c>
      <c r="Z29" s="78">
        <v>0.1</v>
      </c>
      <c r="AA29" s="78">
        <v>0.3</v>
      </c>
      <c r="AB29" s="78">
        <v>0.2</v>
      </c>
      <c r="AC29" s="78">
        <v>0.1</v>
      </c>
      <c r="AD29" s="78">
        <v>0.6</v>
      </c>
      <c r="AE29" s="78">
        <v>0.2</v>
      </c>
      <c r="AF29" s="78">
        <v>8</v>
      </c>
      <c r="AG29" s="78">
        <v>106</v>
      </c>
      <c r="AH29" s="78">
        <v>303</v>
      </c>
      <c r="AI29" s="78">
        <v>261</v>
      </c>
      <c r="AJ29" s="78">
        <v>203</v>
      </c>
      <c r="AK29" s="78">
        <v>24</v>
      </c>
      <c r="AL29" s="78">
        <v>0.2</v>
      </c>
      <c r="AM29" s="78">
        <v>0.8</v>
      </c>
      <c r="AN29" s="78">
        <v>0</v>
      </c>
      <c r="AO29" s="78">
        <v>2.2999999999999998</v>
      </c>
    </row>
    <row r="30" spans="1:41">
      <c r="A30" s="78" t="s">
        <v>1655</v>
      </c>
      <c r="B30" s="78" t="s">
        <v>1558</v>
      </c>
      <c r="C30" s="78" t="s">
        <v>366</v>
      </c>
      <c r="D30" s="78" t="s">
        <v>1644</v>
      </c>
      <c r="E30" s="78" t="s">
        <v>1656</v>
      </c>
      <c r="F30" s="78" t="s">
        <v>1613</v>
      </c>
      <c r="G30" s="78" t="s">
        <v>1614</v>
      </c>
      <c r="H30" s="78">
        <v>103</v>
      </c>
      <c r="I30" s="78">
        <v>79</v>
      </c>
      <c r="J30" s="78" t="s">
        <v>1615</v>
      </c>
      <c r="K30" s="78">
        <v>12.5</v>
      </c>
      <c r="L30" s="78">
        <v>2.7</v>
      </c>
      <c r="M30" s="78" t="s">
        <v>1615</v>
      </c>
      <c r="N30" s="78">
        <v>0</v>
      </c>
      <c r="O30" s="78">
        <v>4.5</v>
      </c>
      <c r="P30" s="78">
        <v>2.85</v>
      </c>
      <c r="Q30" s="78">
        <v>1.29</v>
      </c>
      <c r="R30" s="78">
        <v>0.14000000000000001</v>
      </c>
      <c r="S30" s="78" t="s">
        <v>1615</v>
      </c>
      <c r="T30" s="78">
        <v>14.9</v>
      </c>
      <c r="U30" s="78">
        <v>48.1</v>
      </c>
      <c r="V30" s="78">
        <v>0</v>
      </c>
      <c r="W30" s="78" t="s">
        <v>1615</v>
      </c>
      <c r="X30" s="78">
        <v>0.6</v>
      </c>
      <c r="Y30" s="78" t="s">
        <v>1615</v>
      </c>
      <c r="Z30" s="78">
        <v>0</v>
      </c>
      <c r="AA30" s="78">
        <v>0.2</v>
      </c>
      <c r="AB30" s="78">
        <v>0.1</v>
      </c>
      <c r="AC30" s="78">
        <v>0.1</v>
      </c>
      <c r="AD30" s="78">
        <v>0.2</v>
      </c>
      <c r="AE30" s="78">
        <v>0.6</v>
      </c>
      <c r="AF30" s="78">
        <v>12.2</v>
      </c>
      <c r="AG30" s="78">
        <v>405</v>
      </c>
      <c r="AH30" s="78">
        <v>84.3</v>
      </c>
      <c r="AI30" s="78">
        <v>60</v>
      </c>
      <c r="AJ30" s="78">
        <v>131</v>
      </c>
      <c r="AK30" s="78">
        <v>5.2</v>
      </c>
      <c r="AL30" s="78">
        <v>0.1</v>
      </c>
      <c r="AM30" s="78">
        <v>0.4</v>
      </c>
      <c r="AN30" s="78">
        <v>0</v>
      </c>
      <c r="AO30" s="78">
        <v>6</v>
      </c>
    </row>
    <row r="31" spans="1:41">
      <c r="A31" s="78" t="s">
        <v>1657</v>
      </c>
      <c r="B31" s="78" t="s">
        <v>1558</v>
      </c>
      <c r="C31" s="78" t="s">
        <v>366</v>
      </c>
      <c r="D31" s="78" t="s">
        <v>1646</v>
      </c>
      <c r="E31" s="78" t="s">
        <v>1658</v>
      </c>
      <c r="F31" s="78" t="s">
        <v>1613</v>
      </c>
      <c r="G31" s="78" t="s">
        <v>1614</v>
      </c>
      <c r="H31" s="78">
        <v>85</v>
      </c>
      <c r="I31" s="78" t="s">
        <v>1615</v>
      </c>
      <c r="J31" s="78" t="s">
        <v>1615</v>
      </c>
      <c r="K31" s="78">
        <v>13.9</v>
      </c>
      <c r="L31" s="78">
        <v>4.4000000000000004</v>
      </c>
      <c r="M31" s="78">
        <v>3.8</v>
      </c>
      <c r="N31" s="78" t="s">
        <v>1615</v>
      </c>
      <c r="O31" s="78">
        <v>1.3</v>
      </c>
      <c r="P31" s="78">
        <v>0.83</v>
      </c>
      <c r="Q31" s="78">
        <v>0.38</v>
      </c>
      <c r="R31" s="78">
        <v>0.03</v>
      </c>
      <c r="S31" s="78">
        <v>0.06</v>
      </c>
      <c r="T31" s="78">
        <v>4</v>
      </c>
      <c r="U31" s="78" t="s">
        <v>1615</v>
      </c>
      <c r="V31" s="78" t="s">
        <v>1615</v>
      </c>
      <c r="W31" s="78" t="s">
        <v>1615</v>
      </c>
      <c r="X31" s="78" t="s">
        <v>1615</v>
      </c>
      <c r="Y31" s="78" t="s">
        <v>1615</v>
      </c>
      <c r="Z31" s="78" t="s">
        <v>1615</v>
      </c>
      <c r="AA31" s="78" t="s">
        <v>1615</v>
      </c>
      <c r="AB31" s="78" t="s">
        <v>1615</v>
      </c>
      <c r="AC31" s="78" t="s">
        <v>1615</v>
      </c>
      <c r="AD31" s="78" t="s">
        <v>1615</v>
      </c>
      <c r="AE31" s="78" t="s">
        <v>1615</v>
      </c>
      <c r="AF31" s="78" t="s">
        <v>1615</v>
      </c>
      <c r="AG31" s="78">
        <v>260</v>
      </c>
      <c r="AH31" s="78" t="s">
        <v>1615</v>
      </c>
      <c r="AI31" s="78">
        <v>434</v>
      </c>
      <c r="AJ31" s="78" t="s">
        <v>1615</v>
      </c>
      <c r="AK31" s="78" t="s">
        <v>1615</v>
      </c>
      <c r="AL31" s="78" t="s">
        <v>1615</v>
      </c>
      <c r="AM31" s="78" t="s">
        <v>1615</v>
      </c>
      <c r="AN31" s="78" t="s">
        <v>1615</v>
      </c>
      <c r="AO31" s="78" t="s">
        <v>1615</v>
      </c>
    </row>
    <row r="32" spans="1:41">
      <c r="A32" s="78" t="s">
        <v>1659</v>
      </c>
      <c r="B32" s="78" t="s">
        <v>1558</v>
      </c>
      <c r="C32" s="78" t="s">
        <v>366</v>
      </c>
      <c r="D32" s="78" t="s">
        <v>1648</v>
      </c>
      <c r="E32" s="78" t="s">
        <v>1660</v>
      </c>
      <c r="F32" s="78" t="s">
        <v>1613</v>
      </c>
      <c r="G32" s="78" t="s">
        <v>1614</v>
      </c>
      <c r="H32" s="78">
        <v>151</v>
      </c>
      <c r="I32" s="78" t="s">
        <v>1615</v>
      </c>
      <c r="J32" s="78" t="s">
        <v>1615</v>
      </c>
      <c r="K32" s="78">
        <v>13</v>
      </c>
      <c r="L32" s="78">
        <v>4.5</v>
      </c>
      <c r="M32" s="78">
        <v>3.8</v>
      </c>
      <c r="N32" s="78" t="s">
        <v>1615</v>
      </c>
      <c r="O32" s="78">
        <v>9</v>
      </c>
      <c r="P32" s="78">
        <v>5.76</v>
      </c>
      <c r="Q32" s="78">
        <v>2.62</v>
      </c>
      <c r="R32" s="78">
        <v>0.23</v>
      </c>
      <c r="S32" s="78">
        <v>0.39</v>
      </c>
      <c r="T32" s="78">
        <v>29</v>
      </c>
      <c r="U32" s="78" t="s">
        <v>1615</v>
      </c>
      <c r="V32" s="78" t="s">
        <v>1615</v>
      </c>
      <c r="W32" s="78" t="s">
        <v>1615</v>
      </c>
      <c r="X32" s="78" t="s">
        <v>1615</v>
      </c>
      <c r="Y32" s="78" t="s">
        <v>1615</v>
      </c>
      <c r="Z32" s="78" t="s">
        <v>1615</v>
      </c>
      <c r="AA32" s="78" t="s">
        <v>1615</v>
      </c>
      <c r="AB32" s="78" t="s">
        <v>1615</v>
      </c>
      <c r="AC32" s="78" t="s">
        <v>1615</v>
      </c>
      <c r="AD32" s="78" t="s">
        <v>1615</v>
      </c>
      <c r="AE32" s="78" t="s">
        <v>1615</v>
      </c>
      <c r="AF32" s="78" t="s">
        <v>1615</v>
      </c>
      <c r="AG32" s="78">
        <v>51</v>
      </c>
      <c r="AH32" s="78" t="s">
        <v>1615</v>
      </c>
      <c r="AI32" s="78">
        <v>420</v>
      </c>
      <c r="AJ32" s="78" t="s">
        <v>1615</v>
      </c>
      <c r="AK32" s="78" t="s">
        <v>1615</v>
      </c>
      <c r="AL32" s="78" t="s">
        <v>1615</v>
      </c>
      <c r="AM32" s="78" t="s">
        <v>1615</v>
      </c>
      <c r="AN32" s="78" t="s">
        <v>1615</v>
      </c>
      <c r="AO32" s="78" t="s">
        <v>1615</v>
      </c>
    </row>
    <row r="33" spans="1:41">
      <c r="A33" s="78" t="s">
        <v>1661</v>
      </c>
      <c r="B33" s="78" t="s">
        <v>1558</v>
      </c>
      <c r="C33" s="78" t="s">
        <v>366</v>
      </c>
      <c r="D33" s="78" t="s">
        <v>1650</v>
      </c>
      <c r="E33" s="78" t="s">
        <v>1662</v>
      </c>
      <c r="F33" s="78" t="s">
        <v>1613</v>
      </c>
      <c r="G33" s="78" t="s">
        <v>1614</v>
      </c>
      <c r="H33" s="78">
        <v>364</v>
      </c>
      <c r="I33" s="78">
        <v>45.5</v>
      </c>
      <c r="J33" s="78">
        <v>2.9</v>
      </c>
      <c r="K33" s="78">
        <v>21.6</v>
      </c>
      <c r="L33" s="78">
        <v>0.1</v>
      </c>
      <c r="M33" s="78">
        <v>0.1</v>
      </c>
      <c r="N33" s="78">
        <v>0</v>
      </c>
      <c r="O33" s="78">
        <v>29.8</v>
      </c>
      <c r="P33" s="78">
        <v>20.64</v>
      </c>
      <c r="Q33" s="78">
        <v>6.81</v>
      </c>
      <c r="R33" s="78">
        <v>0.71</v>
      </c>
      <c r="S33" s="78" t="s">
        <v>1615</v>
      </c>
      <c r="T33" s="78">
        <v>79</v>
      </c>
      <c r="U33" s="78">
        <v>407</v>
      </c>
      <c r="V33" s="78">
        <v>0</v>
      </c>
      <c r="W33" s="78">
        <v>0.5</v>
      </c>
      <c r="X33" s="78">
        <v>0.3</v>
      </c>
      <c r="Y33" s="78">
        <v>2.5</v>
      </c>
      <c r="Z33" s="78">
        <v>0.1</v>
      </c>
      <c r="AA33" s="78">
        <v>0.7</v>
      </c>
      <c r="AB33" s="78">
        <v>1.2</v>
      </c>
      <c r="AC33" s="78">
        <v>0.1</v>
      </c>
      <c r="AD33" s="78">
        <v>0.19</v>
      </c>
      <c r="AE33" s="78">
        <v>0.2</v>
      </c>
      <c r="AF33" s="78">
        <v>2</v>
      </c>
      <c r="AG33" s="78">
        <v>415</v>
      </c>
      <c r="AH33" s="78">
        <v>158</v>
      </c>
      <c r="AI33" s="78">
        <v>298</v>
      </c>
      <c r="AJ33" s="78">
        <v>375</v>
      </c>
      <c r="AK33" s="78">
        <v>29</v>
      </c>
      <c r="AL33" s="78">
        <v>1.6</v>
      </c>
      <c r="AM33" s="78">
        <v>0.7</v>
      </c>
      <c r="AN33" s="78">
        <v>0.6</v>
      </c>
      <c r="AO33" s="78">
        <v>3.8</v>
      </c>
    </row>
    <row r="34" spans="1:41">
      <c r="A34" s="78" t="s">
        <v>1663</v>
      </c>
      <c r="B34" s="78" t="s">
        <v>1558</v>
      </c>
      <c r="C34" s="78" t="s">
        <v>366</v>
      </c>
      <c r="D34" s="78" t="s">
        <v>1652</v>
      </c>
      <c r="E34" s="78" t="s">
        <v>1664</v>
      </c>
      <c r="F34" s="78" t="s">
        <v>1613</v>
      </c>
      <c r="G34" s="78" t="s">
        <v>1614</v>
      </c>
      <c r="H34" s="78">
        <v>356</v>
      </c>
      <c r="I34" s="78">
        <v>42.8</v>
      </c>
      <c r="J34" s="78">
        <v>3.3</v>
      </c>
      <c r="K34" s="78">
        <v>20.8</v>
      </c>
      <c r="L34" s="78">
        <v>5.0999999999999996</v>
      </c>
      <c r="M34" s="78">
        <v>0.1</v>
      </c>
      <c r="N34" s="78">
        <v>0</v>
      </c>
      <c r="O34" s="78">
        <v>28</v>
      </c>
      <c r="P34" s="78">
        <v>16.34</v>
      </c>
      <c r="Q34" s="78">
        <v>8.82</v>
      </c>
      <c r="R34" s="78">
        <v>0.44</v>
      </c>
      <c r="S34" s="78">
        <v>0.9</v>
      </c>
      <c r="T34" s="78">
        <v>83</v>
      </c>
      <c r="U34" s="78" t="s">
        <v>1615</v>
      </c>
      <c r="V34" s="78" t="s">
        <v>1615</v>
      </c>
      <c r="W34" s="78" t="s">
        <v>1615</v>
      </c>
      <c r="X34" s="78" t="s">
        <v>1615</v>
      </c>
      <c r="Y34" s="78" t="s">
        <v>1615</v>
      </c>
      <c r="Z34" s="78" t="s">
        <v>1615</v>
      </c>
      <c r="AA34" s="78" t="s">
        <v>1615</v>
      </c>
      <c r="AB34" s="78" t="s">
        <v>1615</v>
      </c>
      <c r="AC34" s="78" t="s">
        <v>1615</v>
      </c>
      <c r="AD34" s="78" t="s">
        <v>1615</v>
      </c>
      <c r="AE34" s="78" t="s">
        <v>1615</v>
      </c>
      <c r="AF34" s="78" t="s">
        <v>1615</v>
      </c>
      <c r="AG34" s="78">
        <v>536</v>
      </c>
      <c r="AH34" s="78" t="s">
        <v>1615</v>
      </c>
      <c r="AI34" s="78">
        <v>822</v>
      </c>
      <c r="AJ34" s="78" t="s">
        <v>1615</v>
      </c>
      <c r="AK34" s="78" t="s">
        <v>1615</v>
      </c>
      <c r="AL34" s="78" t="s">
        <v>1615</v>
      </c>
      <c r="AM34" s="78" t="s">
        <v>1615</v>
      </c>
      <c r="AN34" s="78" t="s">
        <v>1615</v>
      </c>
      <c r="AO34" s="78" t="s">
        <v>1615</v>
      </c>
    </row>
    <row r="35" spans="1:41">
      <c r="A35" s="78" t="s">
        <v>1665</v>
      </c>
      <c r="B35" s="78" t="s">
        <v>1558</v>
      </c>
      <c r="C35" s="78" t="s">
        <v>366</v>
      </c>
      <c r="D35" s="78" t="s">
        <v>1654</v>
      </c>
      <c r="E35" s="78" t="s">
        <v>1666</v>
      </c>
      <c r="F35" s="78" t="s">
        <v>1613</v>
      </c>
      <c r="G35" s="78" t="s">
        <v>1614</v>
      </c>
      <c r="H35" s="78">
        <v>404</v>
      </c>
      <c r="I35" s="78">
        <v>37</v>
      </c>
      <c r="J35" s="78">
        <v>3.7</v>
      </c>
      <c r="K35" s="78">
        <v>22.9</v>
      </c>
      <c r="L35" s="78">
        <v>3.1</v>
      </c>
      <c r="M35" s="78">
        <v>0.5</v>
      </c>
      <c r="N35" s="78">
        <v>0</v>
      </c>
      <c r="O35" s="78">
        <v>33.299999999999997</v>
      </c>
      <c r="P35" s="78">
        <v>18.87</v>
      </c>
      <c r="Q35" s="78">
        <v>9.25</v>
      </c>
      <c r="R35" s="78">
        <v>1.42</v>
      </c>
      <c r="S35" s="78" t="s">
        <v>1615</v>
      </c>
      <c r="T35" s="78">
        <v>99</v>
      </c>
      <c r="U35" s="78">
        <v>330</v>
      </c>
      <c r="V35" s="78">
        <v>0</v>
      </c>
      <c r="W35" s="78">
        <v>0.6</v>
      </c>
      <c r="X35" s="78">
        <v>0.7</v>
      </c>
      <c r="Y35" s="78">
        <v>2.4</v>
      </c>
      <c r="Z35" s="78">
        <v>0</v>
      </c>
      <c r="AA35" s="78">
        <v>0.4</v>
      </c>
      <c r="AB35" s="78">
        <v>0.1</v>
      </c>
      <c r="AC35" s="78">
        <v>0.1</v>
      </c>
      <c r="AD35" s="78">
        <v>0.41</v>
      </c>
      <c r="AE35" s="78">
        <v>1.1000000000000001</v>
      </c>
      <c r="AF35" s="78">
        <v>27</v>
      </c>
      <c r="AG35" s="78">
        <v>653</v>
      </c>
      <c r="AH35" s="78">
        <v>76</v>
      </c>
      <c r="AI35" s="78">
        <v>710</v>
      </c>
      <c r="AJ35" s="78">
        <v>455</v>
      </c>
      <c r="AK35" s="78">
        <v>27</v>
      </c>
      <c r="AL35" s="78">
        <v>0.1</v>
      </c>
      <c r="AM35" s="78">
        <v>3.6</v>
      </c>
      <c r="AN35" s="78">
        <v>0</v>
      </c>
      <c r="AO35" s="78">
        <v>28.5</v>
      </c>
    </row>
    <row r="36" spans="1:41">
      <c r="A36" s="78" t="s">
        <v>1667</v>
      </c>
      <c r="B36" s="78" t="s">
        <v>1558</v>
      </c>
      <c r="C36" s="78" t="s">
        <v>366</v>
      </c>
      <c r="D36" s="78" t="s">
        <v>1655</v>
      </c>
      <c r="E36" s="78" t="s">
        <v>1668</v>
      </c>
      <c r="F36" s="78" t="s">
        <v>1613</v>
      </c>
      <c r="G36" s="78" t="s">
        <v>1614</v>
      </c>
      <c r="H36" s="78">
        <v>350</v>
      </c>
      <c r="I36" s="78">
        <v>52.6</v>
      </c>
      <c r="J36" s="78">
        <v>1.3</v>
      </c>
      <c r="K36" s="78">
        <v>6.2</v>
      </c>
      <c r="L36" s="78">
        <v>5.5</v>
      </c>
      <c r="M36" s="78">
        <v>3.8</v>
      </c>
      <c r="N36" s="78">
        <v>0</v>
      </c>
      <c r="O36" s="78">
        <v>34.4</v>
      </c>
      <c r="P36" s="78">
        <v>20.21</v>
      </c>
      <c r="Q36" s="78">
        <v>8.91</v>
      </c>
      <c r="R36" s="78">
        <v>1.48</v>
      </c>
      <c r="S36" s="78" t="s">
        <v>1615</v>
      </c>
      <c r="T36" s="78">
        <v>101</v>
      </c>
      <c r="U36" s="78">
        <v>308</v>
      </c>
      <c r="V36" s="78">
        <v>0</v>
      </c>
      <c r="W36" s="78">
        <v>0</v>
      </c>
      <c r="X36" s="78">
        <v>0.9</v>
      </c>
      <c r="Y36" s="78">
        <v>2.1</v>
      </c>
      <c r="Z36" s="78">
        <v>0</v>
      </c>
      <c r="AA36" s="78">
        <v>0.2</v>
      </c>
      <c r="AB36" s="78">
        <v>0.1</v>
      </c>
      <c r="AC36" s="78">
        <v>0.1</v>
      </c>
      <c r="AD36" s="78">
        <v>0.52</v>
      </c>
      <c r="AE36" s="78">
        <v>0.2</v>
      </c>
      <c r="AF36" s="78">
        <v>9</v>
      </c>
      <c r="AG36" s="78">
        <v>314</v>
      </c>
      <c r="AH36" s="78">
        <v>132</v>
      </c>
      <c r="AI36" s="78">
        <v>97</v>
      </c>
      <c r="AJ36" s="78">
        <v>107</v>
      </c>
      <c r="AK36" s="78">
        <v>9</v>
      </c>
      <c r="AL36" s="78">
        <v>0.1</v>
      </c>
      <c r="AM36" s="78">
        <v>0.5</v>
      </c>
      <c r="AN36" s="78">
        <v>0</v>
      </c>
      <c r="AO36" s="78">
        <v>8.6</v>
      </c>
    </row>
    <row r="37" spans="1:41">
      <c r="A37" s="78" t="s">
        <v>1669</v>
      </c>
      <c r="B37" s="78" t="s">
        <v>1558</v>
      </c>
      <c r="C37" s="78" t="s">
        <v>366</v>
      </c>
      <c r="D37" s="78" t="s">
        <v>1657</v>
      </c>
      <c r="E37" s="78" t="s">
        <v>1670</v>
      </c>
      <c r="F37" s="78" t="s">
        <v>1613</v>
      </c>
      <c r="G37" s="78" t="s">
        <v>1614</v>
      </c>
      <c r="H37" s="78">
        <v>218</v>
      </c>
      <c r="I37" s="78">
        <v>61.6</v>
      </c>
      <c r="J37" s="78">
        <v>3.5</v>
      </c>
      <c r="K37" s="78">
        <v>12</v>
      </c>
      <c r="L37" s="78">
        <v>7.3</v>
      </c>
      <c r="M37" s="78">
        <v>0</v>
      </c>
      <c r="N37" s="78">
        <v>0</v>
      </c>
      <c r="O37" s="78">
        <v>15.6</v>
      </c>
      <c r="P37" s="78">
        <v>9.85</v>
      </c>
      <c r="Q37" s="78">
        <v>3.94</v>
      </c>
      <c r="R37" s="78">
        <v>0.25</v>
      </c>
      <c r="S37" s="78">
        <v>0.7</v>
      </c>
      <c r="T37" s="78">
        <v>58.3</v>
      </c>
      <c r="U37" s="78" t="s">
        <v>1615</v>
      </c>
      <c r="V37" s="78" t="s">
        <v>1615</v>
      </c>
      <c r="W37" s="78" t="s">
        <v>1615</v>
      </c>
      <c r="X37" s="78" t="s">
        <v>1615</v>
      </c>
      <c r="Y37" s="78" t="s">
        <v>1615</v>
      </c>
      <c r="Z37" s="78" t="s">
        <v>1615</v>
      </c>
      <c r="AA37" s="78" t="s">
        <v>1615</v>
      </c>
      <c r="AB37" s="78" t="s">
        <v>1615</v>
      </c>
      <c r="AC37" s="78" t="s">
        <v>1615</v>
      </c>
      <c r="AD37" s="78" t="s">
        <v>1615</v>
      </c>
      <c r="AE37" s="78" t="s">
        <v>1615</v>
      </c>
      <c r="AF37" s="78" t="s">
        <v>1615</v>
      </c>
      <c r="AG37" s="78">
        <v>763</v>
      </c>
      <c r="AH37" s="78" t="s">
        <v>1615</v>
      </c>
      <c r="AI37" s="78">
        <v>430</v>
      </c>
      <c r="AJ37" s="78" t="s">
        <v>1615</v>
      </c>
      <c r="AK37" s="78" t="s">
        <v>1615</v>
      </c>
      <c r="AL37" s="78" t="s">
        <v>1615</v>
      </c>
      <c r="AM37" s="78" t="s">
        <v>1615</v>
      </c>
      <c r="AN37" s="78" t="s">
        <v>1615</v>
      </c>
      <c r="AO37" s="78" t="s">
        <v>1615</v>
      </c>
    </row>
    <row r="38" spans="1:41">
      <c r="A38" s="78" t="s">
        <v>1671</v>
      </c>
      <c r="B38" s="78" t="s">
        <v>1558</v>
      </c>
      <c r="C38" s="78" t="s">
        <v>366</v>
      </c>
      <c r="D38" s="78" t="s">
        <v>1659</v>
      </c>
      <c r="E38" s="78" t="s">
        <v>1672</v>
      </c>
      <c r="F38" s="78" t="s">
        <v>1613</v>
      </c>
      <c r="G38" s="78" t="s">
        <v>1614</v>
      </c>
      <c r="H38" s="78">
        <v>228</v>
      </c>
      <c r="I38" s="78">
        <v>61.7</v>
      </c>
      <c r="J38" s="78">
        <v>2.7</v>
      </c>
      <c r="K38" s="78">
        <v>16.899999999999999</v>
      </c>
      <c r="L38" s="78">
        <v>1.6</v>
      </c>
      <c r="M38" s="78" t="s">
        <v>1615</v>
      </c>
      <c r="N38" s="78" t="s">
        <v>1615</v>
      </c>
      <c r="O38" s="78">
        <v>17.100000000000001</v>
      </c>
      <c r="P38" s="78">
        <v>11.37</v>
      </c>
      <c r="Q38" s="78">
        <v>4.62</v>
      </c>
      <c r="R38" s="78">
        <v>0.17</v>
      </c>
      <c r="S38" s="78">
        <v>0</v>
      </c>
      <c r="T38" s="78">
        <v>61</v>
      </c>
      <c r="U38" s="78" t="s">
        <v>1615</v>
      </c>
      <c r="V38" s="78" t="s">
        <v>1615</v>
      </c>
      <c r="W38" s="78" t="s">
        <v>1615</v>
      </c>
      <c r="X38" s="78" t="s">
        <v>1615</v>
      </c>
      <c r="Y38" s="78" t="s">
        <v>1615</v>
      </c>
      <c r="Z38" s="78" t="s">
        <v>1615</v>
      </c>
      <c r="AA38" s="78" t="s">
        <v>1615</v>
      </c>
      <c r="AB38" s="78" t="s">
        <v>1615</v>
      </c>
      <c r="AC38" s="78" t="s">
        <v>1615</v>
      </c>
      <c r="AD38" s="78" t="s">
        <v>1615</v>
      </c>
      <c r="AE38" s="78" t="s">
        <v>1615</v>
      </c>
      <c r="AF38" s="78" t="s">
        <v>1615</v>
      </c>
      <c r="AG38" s="78">
        <v>401</v>
      </c>
      <c r="AH38" s="78" t="s">
        <v>1615</v>
      </c>
      <c r="AI38" s="78" t="s">
        <v>1615</v>
      </c>
      <c r="AJ38" s="78" t="s">
        <v>1615</v>
      </c>
      <c r="AK38" s="78" t="s">
        <v>1615</v>
      </c>
      <c r="AL38" s="78" t="s">
        <v>1615</v>
      </c>
      <c r="AM38" s="78" t="s">
        <v>1615</v>
      </c>
      <c r="AN38" s="78" t="s">
        <v>1615</v>
      </c>
      <c r="AO38" s="78" t="s">
        <v>1615</v>
      </c>
    </row>
    <row r="39" spans="1:41">
      <c r="A39" s="78" t="s">
        <v>1673</v>
      </c>
      <c r="B39" s="78" t="s">
        <v>1558</v>
      </c>
      <c r="C39" s="78" t="s">
        <v>366</v>
      </c>
      <c r="D39" s="78" t="s">
        <v>1661</v>
      </c>
      <c r="E39" s="78" t="s">
        <v>1674</v>
      </c>
      <c r="F39" s="78" t="s">
        <v>1613</v>
      </c>
      <c r="G39" s="78" t="s">
        <v>1614</v>
      </c>
      <c r="H39" s="78">
        <v>177</v>
      </c>
      <c r="I39" s="78" t="s">
        <v>1615</v>
      </c>
      <c r="J39" s="78" t="s">
        <v>1615</v>
      </c>
      <c r="K39" s="78">
        <v>12.6</v>
      </c>
      <c r="L39" s="78">
        <v>4.5</v>
      </c>
      <c r="M39" s="78">
        <v>3.3</v>
      </c>
      <c r="N39" s="78" t="s">
        <v>1615</v>
      </c>
      <c r="O39" s="78">
        <v>12.1</v>
      </c>
      <c r="P39" s="78">
        <v>7.74</v>
      </c>
      <c r="Q39" s="78">
        <v>3.52</v>
      </c>
      <c r="R39" s="78">
        <v>0.3</v>
      </c>
      <c r="S39" s="78">
        <v>0.5</v>
      </c>
      <c r="T39" s="78" t="s">
        <v>1615</v>
      </c>
      <c r="U39" s="78" t="s">
        <v>1615</v>
      </c>
      <c r="V39" s="78" t="s">
        <v>1615</v>
      </c>
      <c r="W39" s="78" t="s">
        <v>1615</v>
      </c>
      <c r="X39" s="78" t="s">
        <v>1615</v>
      </c>
      <c r="Y39" s="78" t="s">
        <v>1615</v>
      </c>
      <c r="Z39" s="78" t="s">
        <v>1615</v>
      </c>
      <c r="AA39" s="78" t="s">
        <v>1615</v>
      </c>
      <c r="AB39" s="78" t="s">
        <v>1615</v>
      </c>
      <c r="AC39" s="78" t="s">
        <v>1615</v>
      </c>
      <c r="AD39" s="78" t="s">
        <v>1615</v>
      </c>
      <c r="AE39" s="78" t="s">
        <v>1615</v>
      </c>
      <c r="AF39" s="78" t="s">
        <v>1615</v>
      </c>
      <c r="AG39" s="78">
        <v>254</v>
      </c>
      <c r="AH39" s="78" t="s">
        <v>1615</v>
      </c>
      <c r="AI39" s="78">
        <v>383</v>
      </c>
      <c r="AJ39" s="78" t="s">
        <v>1615</v>
      </c>
      <c r="AK39" s="78" t="s">
        <v>1615</v>
      </c>
      <c r="AL39" s="78" t="s">
        <v>1615</v>
      </c>
      <c r="AM39" s="78" t="s">
        <v>1615</v>
      </c>
      <c r="AN39" s="78" t="s">
        <v>1615</v>
      </c>
      <c r="AO39" s="78" t="s">
        <v>1615</v>
      </c>
    </row>
    <row r="40" spans="1:41">
      <c r="A40" s="78" t="s">
        <v>1675</v>
      </c>
      <c r="B40" s="78" t="s">
        <v>1558</v>
      </c>
      <c r="C40" s="78" t="s">
        <v>366</v>
      </c>
      <c r="D40" s="78" t="s">
        <v>1663</v>
      </c>
      <c r="E40" s="78" t="s">
        <v>1676</v>
      </c>
      <c r="F40" s="78" t="s">
        <v>1613</v>
      </c>
      <c r="G40" s="78" t="s">
        <v>1614</v>
      </c>
      <c r="H40" s="78">
        <v>193</v>
      </c>
      <c r="I40" s="78">
        <v>66.5</v>
      </c>
      <c r="J40" s="78">
        <v>2.6</v>
      </c>
      <c r="K40" s="78">
        <v>13.8</v>
      </c>
      <c r="L40" s="78">
        <v>3.2</v>
      </c>
      <c r="M40" s="78" t="s">
        <v>1615</v>
      </c>
      <c r="N40" s="78" t="s">
        <v>1615</v>
      </c>
      <c r="O40" s="78">
        <v>13.9</v>
      </c>
      <c r="P40" s="78" t="s">
        <v>1615</v>
      </c>
      <c r="Q40" s="78" t="s">
        <v>1615</v>
      </c>
      <c r="R40" s="78" t="s">
        <v>1615</v>
      </c>
      <c r="S40" s="78" t="s">
        <v>1615</v>
      </c>
      <c r="T40" s="78" t="s">
        <v>1615</v>
      </c>
      <c r="U40" s="78" t="s">
        <v>1615</v>
      </c>
      <c r="V40" s="78" t="s">
        <v>1615</v>
      </c>
      <c r="W40" s="78" t="s">
        <v>1615</v>
      </c>
      <c r="X40" s="78" t="s">
        <v>1615</v>
      </c>
      <c r="Y40" s="78" t="s">
        <v>1615</v>
      </c>
      <c r="Z40" s="78" t="s">
        <v>1615</v>
      </c>
      <c r="AA40" s="78" t="s">
        <v>1615</v>
      </c>
      <c r="AB40" s="78" t="s">
        <v>1615</v>
      </c>
      <c r="AC40" s="78" t="s">
        <v>1615</v>
      </c>
      <c r="AD40" s="78" t="s">
        <v>1615</v>
      </c>
      <c r="AE40" s="78" t="s">
        <v>1615</v>
      </c>
      <c r="AF40" s="78" t="s">
        <v>1615</v>
      </c>
      <c r="AG40" s="78">
        <v>363</v>
      </c>
      <c r="AH40" s="78" t="s">
        <v>1615</v>
      </c>
      <c r="AI40" s="78" t="s">
        <v>1615</v>
      </c>
      <c r="AJ40" s="78" t="s">
        <v>1615</v>
      </c>
      <c r="AK40" s="78" t="s">
        <v>1615</v>
      </c>
      <c r="AL40" s="78" t="s">
        <v>1615</v>
      </c>
      <c r="AM40" s="78" t="s">
        <v>1615</v>
      </c>
      <c r="AN40" s="78" t="s">
        <v>1615</v>
      </c>
      <c r="AO40" s="78" t="s">
        <v>1615</v>
      </c>
    </row>
    <row r="41" spans="1:41">
      <c r="A41" s="78" t="s">
        <v>1677</v>
      </c>
      <c r="B41" s="78" t="s">
        <v>1558</v>
      </c>
      <c r="C41" s="78" t="s">
        <v>366</v>
      </c>
      <c r="D41" s="78" t="s">
        <v>1665</v>
      </c>
      <c r="E41" s="78" t="s">
        <v>1678</v>
      </c>
      <c r="F41" s="78" t="s">
        <v>1613</v>
      </c>
      <c r="G41" s="78" t="s">
        <v>1614</v>
      </c>
      <c r="H41" s="78">
        <v>356</v>
      </c>
      <c r="I41" s="78">
        <v>41.5</v>
      </c>
      <c r="J41" s="78">
        <v>3.9</v>
      </c>
      <c r="K41" s="78">
        <v>24.9</v>
      </c>
      <c r="L41" s="78">
        <v>2.2000000000000002</v>
      </c>
      <c r="M41" s="78">
        <v>2.2000000000000002</v>
      </c>
      <c r="N41" s="78">
        <v>0</v>
      </c>
      <c r="O41" s="78">
        <v>27.4</v>
      </c>
      <c r="P41" s="78">
        <v>17.61</v>
      </c>
      <c r="Q41" s="78">
        <v>7.75</v>
      </c>
      <c r="R41" s="78">
        <v>0.66</v>
      </c>
      <c r="S41" s="78" t="s">
        <v>1615</v>
      </c>
      <c r="T41" s="78">
        <v>39</v>
      </c>
      <c r="U41" s="78">
        <v>114</v>
      </c>
      <c r="V41" s="78">
        <v>0</v>
      </c>
      <c r="W41" s="78">
        <v>0.5</v>
      </c>
      <c r="X41" s="78">
        <v>0.2</v>
      </c>
      <c r="Y41" s="78">
        <v>2.2999999999999998</v>
      </c>
      <c r="Z41" s="78">
        <v>0</v>
      </c>
      <c r="AA41" s="78">
        <v>0.3</v>
      </c>
      <c r="AB41" s="78">
        <v>0.1</v>
      </c>
      <c r="AC41" s="78">
        <v>0.1</v>
      </c>
      <c r="AD41" s="78">
        <v>0.3</v>
      </c>
      <c r="AE41" s="78">
        <v>1.5</v>
      </c>
      <c r="AF41" s="78">
        <v>21</v>
      </c>
      <c r="AG41" s="78">
        <v>819</v>
      </c>
      <c r="AH41" s="78">
        <v>121</v>
      </c>
      <c r="AI41" s="78">
        <v>700</v>
      </c>
      <c r="AJ41" s="78">
        <v>546</v>
      </c>
      <c r="AK41" s="78">
        <v>29</v>
      </c>
      <c r="AL41" s="78">
        <v>0.2</v>
      </c>
      <c r="AM41" s="78">
        <v>3.9</v>
      </c>
      <c r="AN41" s="78">
        <v>0</v>
      </c>
      <c r="AO41" s="78">
        <v>14.5</v>
      </c>
    </row>
    <row r="42" spans="1:41">
      <c r="A42" s="78" t="s">
        <v>1679</v>
      </c>
      <c r="B42" s="78" t="s">
        <v>1558</v>
      </c>
      <c r="C42" s="78" t="s">
        <v>366</v>
      </c>
      <c r="D42" s="78" t="s">
        <v>1667</v>
      </c>
      <c r="E42" s="78" t="s">
        <v>1680</v>
      </c>
      <c r="F42" s="78" t="s">
        <v>1613</v>
      </c>
      <c r="G42" s="78" t="s">
        <v>1614</v>
      </c>
      <c r="H42" s="78">
        <v>341</v>
      </c>
      <c r="I42" s="78">
        <v>42.7</v>
      </c>
      <c r="J42" s="78">
        <v>3</v>
      </c>
      <c r="K42" s="78">
        <v>24.8</v>
      </c>
      <c r="L42" s="78">
        <v>4.8</v>
      </c>
      <c r="M42" s="78">
        <v>0</v>
      </c>
      <c r="N42" s="78">
        <v>0</v>
      </c>
      <c r="O42" s="78">
        <v>24.7</v>
      </c>
      <c r="P42" s="78">
        <v>15.55</v>
      </c>
      <c r="Q42" s="78">
        <v>6.79</v>
      </c>
      <c r="R42" s="78">
        <v>0.47</v>
      </c>
      <c r="S42" s="78">
        <v>0.5</v>
      </c>
      <c r="T42" s="78" t="s">
        <v>1615</v>
      </c>
      <c r="U42" s="78">
        <v>165</v>
      </c>
      <c r="V42" s="78" t="s">
        <v>1615</v>
      </c>
      <c r="W42" s="78" t="s">
        <v>1615</v>
      </c>
      <c r="X42" s="78" t="s">
        <v>1615</v>
      </c>
      <c r="Y42" s="78" t="s">
        <v>1615</v>
      </c>
      <c r="Z42" s="78" t="s">
        <v>1615</v>
      </c>
      <c r="AA42" s="78" t="s">
        <v>1615</v>
      </c>
      <c r="AB42" s="78" t="s">
        <v>1615</v>
      </c>
      <c r="AC42" s="78" t="s">
        <v>1615</v>
      </c>
      <c r="AD42" s="78" t="s">
        <v>1615</v>
      </c>
      <c r="AE42" s="78" t="s">
        <v>1615</v>
      </c>
      <c r="AF42" s="78" t="s">
        <v>1615</v>
      </c>
      <c r="AG42" s="78">
        <v>259</v>
      </c>
      <c r="AH42" s="78" t="s">
        <v>1615</v>
      </c>
      <c r="AI42" s="78">
        <v>850</v>
      </c>
      <c r="AJ42" s="78" t="s">
        <v>1615</v>
      </c>
      <c r="AK42" s="78" t="s">
        <v>1615</v>
      </c>
      <c r="AL42" s="78" t="s">
        <v>1615</v>
      </c>
      <c r="AM42" s="78" t="s">
        <v>1615</v>
      </c>
      <c r="AN42" s="78" t="s">
        <v>1615</v>
      </c>
      <c r="AO42" s="78" t="s">
        <v>1615</v>
      </c>
    </row>
    <row r="43" spans="1:41">
      <c r="A43" s="78" t="s">
        <v>1681</v>
      </c>
      <c r="B43" s="78" t="s">
        <v>1558</v>
      </c>
      <c r="C43" s="78" t="s">
        <v>366</v>
      </c>
      <c r="D43" s="78" t="s">
        <v>1669</v>
      </c>
      <c r="E43" s="78" t="s">
        <v>1682</v>
      </c>
      <c r="F43" s="78" t="s">
        <v>1613</v>
      </c>
      <c r="G43" s="78" t="s">
        <v>1614</v>
      </c>
      <c r="H43" s="78">
        <v>394</v>
      </c>
      <c r="I43" s="78">
        <v>35.200000000000003</v>
      </c>
      <c r="J43" s="78">
        <v>2.9</v>
      </c>
      <c r="K43" s="78">
        <v>24.7</v>
      </c>
      <c r="L43" s="78">
        <v>8</v>
      </c>
      <c r="M43" s="78">
        <v>0</v>
      </c>
      <c r="N43" s="78" t="s">
        <v>1615</v>
      </c>
      <c r="O43" s="78">
        <v>29.2</v>
      </c>
      <c r="P43" s="78">
        <v>18.93</v>
      </c>
      <c r="Q43" s="78">
        <v>7.13</v>
      </c>
      <c r="R43" s="78">
        <v>0.66</v>
      </c>
      <c r="S43" s="78">
        <v>0.9</v>
      </c>
      <c r="T43" s="78">
        <v>85.4</v>
      </c>
      <c r="U43" s="78" t="s">
        <v>1615</v>
      </c>
      <c r="V43" s="78" t="s">
        <v>1615</v>
      </c>
      <c r="W43" s="78" t="s">
        <v>1615</v>
      </c>
      <c r="X43" s="78" t="s">
        <v>1615</v>
      </c>
      <c r="Y43" s="78" t="s">
        <v>1615</v>
      </c>
      <c r="Z43" s="78" t="s">
        <v>1615</v>
      </c>
      <c r="AA43" s="78" t="s">
        <v>1615</v>
      </c>
      <c r="AB43" s="78" t="s">
        <v>1615</v>
      </c>
      <c r="AC43" s="78" t="s">
        <v>1615</v>
      </c>
      <c r="AD43" s="78" t="s">
        <v>1615</v>
      </c>
      <c r="AE43" s="78" t="s">
        <v>1615</v>
      </c>
      <c r="AF43" s="78" t="s">
        <v>1615</v>
      </c>
      <c r="AG43" s="78">
        <v>452</v>
      </c>
      <c r="AH43" s="78" t="s">
        <v>1615</v>
      </c>
      <c r="AI43" s="78" t="s">
        <v>1615</v>
      </c>
      <c r="AJ43" s="78" t="s">
        <v>1615</v>
      </c>
      <c r="AK43" s="78" t="s">
        <v>1615</v>
      </c>
      <c r="AL43" s="78" t="s">
        <v>1615</v>
      </c>
      <c r="AM43" s="78" t="s">
        <v>1615</v>
      </c>
      <c r="AN43" s="78" t="s">
        <v>1615</v>
      </c>
      <c r="AO43" s="78" t="s">
        <v>1615</v>
      </c>
    </row>
    <row r="44" spans="1:41">
      <c r="A44" s="78" t="s">
        <v>1683</v>
      </c>
      <c r="B44" s="78" t="s">
        <v>1558</v>
      </c>
      <c r="C44" s="78" t="s">
        <v>366</v>
      </c>
      <c r="D44" s="78" t="s">
        <v>1671</v>
      </c>
      <c r="E44" s="78" t="s">
        <v>1684</v>
      </c>
      <c r="F44" s="78" t="s">
        <v>1613</v>
      </c>
      <c r="G44" s="78" t="s">
        <v>1614</v>
      </c>
      <c r="H44" s="78">
        <v>199</v>
      </c>
      <c r="I44" s="78">
        <v>66.7</v>
      </c>
      <c r="J44" s="78">
        <v>2.4</v>
      </c>
      <c r="K44" s="78">
        <v>13.5</v>
      </c>
      <c r="L44" s="78">
        <v>2.2999999999999998</v>
      </c>
      <c r="M44" s="78">
        <v>1.3</v>
      </c>
      <c r="N44" s="78">
        <v>0</v>
      </c>
      <c r="O44" s="78">
        <v>15.1</v>
      </c>
      <c r="P44" s="78">
        <v>9.4</v>
      </c>
      <c r="Q44" s="78">
        <v>3.92</v>
      </c>
      <c r="R44" s="78">
        <v>0.59</v>
      </c>
      <c r="S44" s="78">
        <v>0.4</v>
      </c>
      <c r="T44" s="78" t="s">
        <v>1615</v>
      </c>
      <c r="U44" s="78">
        <v>142</v>
      </c>
      <c r="V44" s="78" t="s">
        <v>1615</v>
      </c>
      <c r="W44" s="78" t="s">
        <v>1615</v>
      </c>
      <c r="X44" s="78" t="s">
        <v>1615</v>
      </c>
      <c r="Y44" s="78" t="s">
        <v>1615</v>
      </c>
      <c r="Z44" s="78" t="s">
        <v>1615</v>
      </c>
      <c r="AA44" s="78" t="s">
        <v>1615</v>
      </c>
      <c r="AB44" s="78" t="s">
        <v>1615</v>
      </c>
      <c r="AC44" s="78" t="s">
        <v>1615</v>
      </c>
      <c r="AD44" s="78" t="s">
        <v>1615</v>
      </c>
      <c r="AE44" s="78" t="s">
        <v>1615</v>
      </c>
      <c r="AF44" s="78" t="s">
        <v>1615</v>
      </c>
      <c r="AG44" s="78">
        <v>507</v>
      </c>
      <c r="AH44" s="78" t="s">
        <v>1615</v>
      </c>
      <c r="AI44" s="78" t="s">
        <v>1615</v>
      </c>
      <c r="AJ44" s="78" t="s">
        <v>1615</v>
      </c>
      <c r="AK44" s="78" t="s">
        <v>1615</v>
      </c>
      <c r="AL44" s="78" t="s">
        <v>1615</v>
      </c>
      <c r="AM44" s="78" t="s">
        <v>1615</v>
      </c>
      <c r="AN44" s="78" t="s">
        <v>1615</v>
      </c>
      <c r="AO44" s="78" t="s">
        <v>1615</v>
      </c>
    </row>
    <row r="45" spans="1:41">
      <c r="A45" s="78" t="s">
        <v>1685</v>
      </c>
      <c r="B45" s="78" t="s">
        <v>1558</v>
      </c>
      <c r="C45" s="78" t="s">
        <v>366</v>
      </c>
      <c r="D45" s="78" t="s">
        <v>1673</v>
      </c>
      <c r="E45" s="78" t="s">
        <v>1686</v>
      </c>
      <c r="F45" s="78" t="s">
        <v>1613</v>
      </c>
      <c r="G45" s="78" t="s">
        <v>1614</v>
      </c>
      <c r="H45" s="78">
        <v>476</v>
      </c>
      <c r="I45" s="78">
        <v>10.3</v>
      </c>
      <c r="J45" s="78">
        <v>7.6</v>
      </c>
      <c r="K45" s="78">
        <v>47.1</v>
      </c>
      <c r="L45" s="78">
        <v>5.5</v>
      </c>
      <c r="M45" s="78" t="s">
        <v>1615</v>
      </c>
      <c r="N45" s="78" t="s">
        <v>1615</v>
      </c>
      <c r="O45" s="78">
        <v>29.5</v>
      </c>
      <c r="P45" s="78" t="s">
        <v>1615</v>
      </c>
      <c r="Q45" s="78" t="s">
        <v>1615</v>
      </c>
      <c r="R45" s="78" t="s">
        <v>1615</v>
      </c>
      <c r="S45" s="78" t="s">
        <v>1615</v>
      </c>
      <c r="T45" s="78">
        <v>44.9</v>
      </c>
      <c r="U45" s="78">
        <v>262</v>
      </c>
      <c r="V45" s="78" t="s">
        <v>1615</v>
      </c>
      <c r="W45" s="78" t="s">
        <v>1615</v>
      </c>
      <c r="X45" s="78" t="s">
        <v>1615</v>
      </c>
      <c r="Y45" s="78" t="s">
        <v>1615</v>
      </c>
      <c r="Z45" s="78" t="s">
        <v>1615</v>
      </c>
      <c r="AA45" s="78" t="s">
        <v>1615</v>
      </c>
      <c r="AB45" s="78" t="s">
        <v>1615</v>
      </c>
      <c r="AC45" s="78" t="s">
        <v>1615</v>
      </c>
      <c r="AD45" s="78" t="s">
        <v>1615</v>
      </c>
      <c r="AE45" s="78" t="s">
        <v>1615</v>
      </c>
      <c r="AF45" s="78" t="s">
        <v>1615</v>
      </c>
      <c r="AG45" s="78">
        <v>1176</v>
      </c>
      <c r="AH45" s="78" t="s">
        <v>1615</v>
      </c>
      <c r="AI45" s="78">
        <v>1653</v>
      </c>
      <c r="AJ45" s="78" t="s">
        <v>1615</v>
      </c>
      <c r="AK45" s="78" t="s">
        <v>1615</v>
      </c>
      <c r="AL45" s="78" t="s">
        <v>1615</v>
      </c>
      <c r="AM45" s="78" t="s">
        <v>1615</v>
      </c>
      <c r="AN45" s="78" t="s">
        <v>1615</v>
      </c>
      <c r="AO45" s="78" t="s">
        <v>1615</v>
      </c>
    </row>
    <row r="46" spans="1:41">
      <c r="A46" s="78" t="s">
        <v>1687</v>
      </c>
      <c r="B46" s="78" t="s">
        <v>1558</v>
      </c>
      <c r="C46" s="78" t="s">
        <v>366</v>
      </c>
      <c r="D46" s="78" t="s">
        <v>1675</v>
      </c>
      <c r="E46" s="78" t="s">
        <v>1688</v>
      </c>
      <c r="F46" s="78" t="s">
        <v>1613</v>
      </c>
      <c r="G46" s="78" t="s">
        <v>1614</v>
      </c>
      <c r="H46" s="78">
        <v>420</v>
      </c>
      <c r="I46" s="78">
        <v>22.7</v>
      </c>
      <c r="J46" s="78">
        <v>7.2</v>
      </c>
      <c r="K46" s="78">
        <v>28.4</v>
      </c>
      <c r="L46" s="78">
        <v>13.9</v>
      </c>
      <c r="M46" s="78">
        <v>0.1</v>
      </c>
      <c r="N46" s="78">
        <v>0</v>
      </c>
      <c r="O46" s="78">
        <v>27.8</v>
      </c>
      <c r="P46" s="78">
        <v>15.37</v>
      </c>
      <c r="Q46" s="78">
        <v>7.13</v>
      </c>
      <c r="R46" s="78">
        <v>1.39</v>
      </c>
      <c r="S46" s="78" t="s">
        <v>1615</v>
      </c>
      <c r="T46" s="78" t="s">
        <v>1615</v>
      </c>
      <c r="U46" s="78">
        <v>55.8</v>
      </c>
      <c r="V46" s="78">
        <v>0</v>
      </c>
      <c r="W46" s="78">
        <v>0.5</v>
      </c>
      <c r="X46" s="78">
        <v>0.5</v>
      </c>
      <c r="Y46" s="78">
        <v>1.7</v>
      </c>
      <c r="Z46" s="78">
        <v>0</v>
      </c>
      <c r="AA46" s="78">
        <v>0.4</v>
      </c>
      <c r="AB46" s="78">
        <v>0.1</v>
      </c>
      <c r="AC46" s="78">
        <v>0.1</v>
      </c>
      <c r="AD46" s="78">
        <v>0.5</v>
      </c>
      <c r="AE46" s="78">
        <v>1.4</v>
      </c>
      <c r="AF46" s="78">
        <v>6</v>
      </c>
      <c r="AG46" s="78">
        <v>1804</v>
      </c>
      <c r="AH46" s="78">
        <v>180</v>
      </c>
      <c r="AI46" s="78">
        <v>853</v>
      </c>
      <c r="AJ46" s="78">
        <v>627</v>
      </c>
      <c r="AK46" s="78">
        <v>34</v>
      </c>
      <c r="AL46" s="78">
        <v>0.5</v>
      </c>
      <c r="AM46" s="78">
        <v>4.2</v>
      </c>
      <c r="AN46" s="78">
        <v>0</v>
      </c>
      <c r="AO46" s="78">
        <v>34.4</v>
      </c>
    </row>
    <row r="47" spans="1:41">
      <c r="A47" s="78" t="s">
        <v>1689</v>
      </c>
      <c r="B47" s="78" t="s">
        <v>1558</v>
      </c>
      <c r="C47" s="78" t="s">
        <v>366</v>
      </c>
      <c r="D47" s="78" t="s">
        <v>1677</v>
      </c>
      <c r="E47" s="78" t="s">
        <v>1690</v>
      </c>
      <c r="F47" s="78" t="s">
        <v>1613</v>
      </c>
      <c r="G47" s="78" t="s">
        <v>1614</v>
      </c>
      <c r="H47" s="78">
        <v>394</v>
      </c>
      <c r="I47" s="78">
        <v>37</v>
      </c>
      <c r="J47" s="78">
        <v>3.8</v>
      </c>
      <c r="K47" s="78">
        <v>25.7</v>
      </c>
      <c r="L47" s="78">
        <v>2.2999999999999998</v>
      </c>
      <c r="M47" s="78" t="s">
        <v>1615</v>
      </c>
      <c r="N47" s="78">
        <v>0</v>
      </c>
      <c r="O47" s="78">
        <v>31.2</v>
      </c>
      <c r="P47" s="78">
        <v>19.97</v>
      </c>
      <c r="Q47" s="78">
        <v>9.39</v>
      </c>
      <c r="R47" s="78">
        <v>1.78</v>
      </c>
      <c r="S47" s="78" t="s">
        <v>1615</v>
      </c>
      <c r="T47" s="78">
        <v>86</v>
      </c>
      <c r="U47" s="78" t="s">
        <v>1615</v>
      </c>
      <c r="V47" s="78" t="s">
        <v>1615</v>
      </c>
      <c r="W47" s="78" t="s">
        <v>1615</v>
      </c>
      <c r="X47" s="78" t="s">
        <v>1615</v>
      </c>
      <c r="Y47" s="78" t="s">
        <v>1615</v>
      </c>
      <c r="Z47" s="78">
        <v>0</v>
      </c>
      <c r="AA47" s="78">
        <v>0.3</v>
      </c>
      <c r="AB47" s="78">
        <v>0.3</v>
      </c>
      <c r="AC47" s="78" t="s">
        <v>1615</v>
      </c>
      <c r="AD47" s="78" t="s">
        <v>1615</v>
      </c>
      <c r="AE47" s="78" t="s">
        <v>1615</v>
      </c>
      <c r="AF47" s="78" t="s">
        <v>1615</v>
      </c>
      <c r="AG47" s="78">
        <v>720</v>
      </c>
      <c r="AH47" s="78">
        <v>73</v>
      </c>
      <c r="AI47" s="78">
        <v>474</v>
      </c>
      <c r="AJ47" s="78">
        <v>578</v>
      </c>
      <c r="AK47" s="78">
        <v>14.3</v>
      </c>
      <c r="AL47" s="78">
        <v>0.5</v>
      </c>
      <c r="AM47" s="78">
        <v>3.5</v>
      </c>
      <c r="AN47" s="78">
        <v>0</v>
      </c>
      <c r="AO47" s="78" t="s">
        <v>1615</v>
      </c>
    </row>
    <row r="48" spans="1:41">
      <c r="A48" s="78" t="s">
        <v>1691</v>
      </c>
      <c r="B48" s="78" t="s">
        <v>1558</v>
      </c>
      <c r="C48" s="78" t="s">
        <v>366</v>
      </c>
      <c r="D48" s="78" t="s">
        <v>1679</v>
      </c>
      <c r="E48" s="78" t="s">
        <v>1692</v>
      </c>
      <c r="F48" s="78" t="s">
        <v>1613</v>
      </c>
      <c r="G48" s="78" t="s">
        <v>1614</v>
      </c>
      <c r="H48" s="78">
        <v>339</v>
      </c>
      <c r="I48" s="78">
        <v>35.9</v>
      </c>
      <c r="J48" s="78">
        <v>4.8</v>
      </c>
      <c r="K48" s="78">
        <v>33.1</v>
      </c>
      <c r="L48" s="78">
        <v>5.9</v>
      </c>
      <c r="M48" s="78" t="s">
        <v>1615</v>
      </c>
      <c r="N48" s="78">
        <v>0</v>
      </c>
      <c r="O48" s="78">
        <v>20.3</v>
      </c>
      <c r="P48" s="78" t="s">
        <v>1615</v>
      </c>
      <c r="Q48" s="78" t="s">
        <v>1615</v>
      </c>
      <c r="R48" s="78" t="s">
        <v>1615</v>
      </c>
      <c r="S48" s="78" t="s">
        <v>1615</v>
      </c>
      <c r="T48" s="78" t="s">
        <v>1615</v>
      </c>
      <c r="U48" s="78">
        <v>271</v>
      </c>
      <c r="V48" s="78" t="s">
        <v>1615</v>
      </c>
      <c r="W48" s="78" t="s">
        <v>1615</v>
      </c>
      <c r="X48" s="78" t="s">
        <v>1615</v>
      </c>
      <c r="Y48" s="78" t="s">
        <v>1615</v>
      </c>
      <c r="Z48" s="78" t="s">
        <v>1615</v>
      </c>
      <c r="AA48" s="78" t="s">
        <v>1615</v>
      </c>
      <c r="AB48" s="78" t="s">
        <v>1615</v>
      </c>
      <c r="AC48" s="78" t="s">
        <v>1615</v>
      </c>
      <c r="AD48" s="78" t="s">
        <v>1615</v>
      </c>
      <c r="AE48" s="78" t="s">
        <v>1615</v>
      </c>
      <c r="AF48" s="78" t="s">
        <v>1615</v>
      </c>
      <c r="AG48" s="78">
        <v>742</v>
      </c>
      <c r="AH48" s="78" t="s">
        <v>1615</v>
      </c>
      <c r="AI48" s="78">
        <v>1199</v>
      </c>
      <c r="AJ48" s="78" t="s">
        <v>1615</v>
      </c>
      <c r="AK48" s="78" t="s">
        <v>1615</v>
      </c>
      <c r="AL48" s="78" t="s">
        <v>1615</v>
      </c>
      <c r="AM48" s="78" t="s">
        <v>1615</v>
      </c>
      <c r="AN48" s="78" t="s">
        <v>1615</v>
      </c>
      <c r="AO48" s="78" t="s">
        <v>1615</v>
      </c>
    </row>
    <row r="49" spans="1:41">
      <c r="A49" s="78" t="s">
        <v>1693</v>
      </c>
      <c r="B49" s="78" t="s">
        <v>1558</v>
      </c>
      <c r="C49" s="78" t="s">
        <v>366</v>
      </c>
      <c r="D49" s="78" t="s">
        <v>1681</v>
      </c>
      <c r="E49" s="78" t="s">
        <v>1694</v>
      </c>
      <c r="F49" s="78" t="s">
        <v>1613</v>
      </c>
      <c r="G49" s="78" t="s">
        <v>1614</v>
      </c>
      <c r="H49" s="78">
        <v>393</v>
      </c>
      <c r="I49" s="78">
        <v>37.6</v>
      </c>
      <c r="J49" s="78">
        <v>3</v>
      </c>
      <c r="K49" s="78">
        <v>27</v>
      </c>
      <c r="L49" s="78">
        <v>1.5</v>
      </c>
      <c r="M49" s="78">
        <v>0</v>
      </c>
      <c r="N49" s="78">
        <v>0</v>
      </c>
      <c r="O49" s="78">
        <v>31</v>
      </c>
      <c r="P49" s="78">
        <v>18.23</v>
      </c>
      <c r="Q49" s="78">
        <v>8.0500000000000007</v>
      </c>
      <c r="R49" s="78">
        <v>1.34</v>
      </c>
      <c r="S49" s="78" t="s">
        <v>1615</v>
      </c>
      <c r="T49" s="78">
        <v>93</v>
      </c>
      <c r="U49" s="78">
        <v>288</v>
      </c>
      <c r="V49" s="78">
        <v>0</v>
      </c>
      <c r="W49" s="78">
        <v>0</v>
      </c>
      <c r="X49" s="78">
        <v>0.6</v>
      </c>
      <c r="Y49" s="78">
        <v>1.4</v>
      </c>
      <c r="Z49" s="78">
        <v>0</v>
      </c>
      <c r="AA49" s="78">
        <v>0.3</v>
      </c>
      <c r="AB49" s="78">
        <v>0.1</v>
      </c>
      <c r="AC49" s="78">
        <v>0.1</v>
      </c>
      <c r="AD49" s="78">
        <v>0.4</v>
      </c>
      <c r="AE49" s="78">
        <v>3.1</v>
      </c>
      <c r="AF49" s="78">
        <v>10</v>
      </c>
      <c r="AG49" s="78">
        <v>187</v>
      </c>
      <c r="AH49" s="78">
        <v>72</v>
      </c>
      <c r="AI49" s="78">
        <v>890</v>
      </c>
      <c r="AJ49" s="78">
        <v>574</v>
      </c>
      <c r="AK49" s="78">
        <v>33</v>
      </c>
      <c r="AL49" s="78">
        <v>0.1</v>
      </c>
      <c r="AM49" s="78">
        <v>4.4000000000000004</v>
      </c>
      <c r="AN49" s="78">
        <v>0.1</v>
      </c>
      <c r="AO49" s="78">
        <v>30</v>
      </c>
    </row>
    <row r="50" spans="1:41">
      <c r="A50" s="78" t="s">
        <v>1695</v>
      </c>
      <c r="B50" s="78" t="s">
        <v>1558</v>
      </c>
      <c r="C50" s="78" t="s">
        <v>366</v>
      </c>
      <c r="D50" s="78" t="s">
        <v>1683</v>
      </c>
      <c r="E50" s="78" t="s">
        <v>1696</v>
      </c>
      <c r="F50" s="78" t="s">
        <v>1613</v>
      </c>
      <c r="G50" s="78" t="s">
        <v>1614</v>
      </c>
      <c r="H50" s="78">
        <v>303</v>
      </c>
      <c r="I50" s="78">
        <v>50</v>
      </c>
      <c r="J50" s="78">
        <v>1.7</v>
      </c>
      <c r="K50" s="78">
        <v>20</v>
      </c>
      <c r="L50" s="78">
        <v>3.3</v>
      </c>
      <c r="M50" s="78" t="s">
        <v>1615</v>
      </c>
      <c r="N50" s="78">
        <v>0</v>
      </c>
      <c r="O50" s="78">
        <v>25</v>
      </c>
      <c r="P50" s="78">
        <v>16</v>
      </c>
      <c r="Q50" s="78">
        <v>7.53</v>
      </c>
      <c r="R50" s="78">
        <v>1.43</v>
      </c>
      <c r="S50" s="78" t="s">
        <v>1615</v>
      </c>
      <c r="T50" s="78">
        <v>44.7</v>
      </c>
      <c r="U50" s="78" t="s">
        <v>1615</v>
      </c>
      <c r="V50" s="78" t="s">
        <v>1615</v>
      </c>
      <c r="W50" s="78" t="s">
        <v>1615</v>
      </c>
      <c r="X50" s="78" t="s">
        <v>1615</v>
      </c>
      <c r="Y50" s="78" t="s">
        <v>1615</v>
      </c>
      <c r="Z50" s="78" t="s">
        <v>1615</v>
      </c>
      <c r="AA50" s="78" t="s">
        <v>1615</v>
      </c>
      <c r="AB50" s="78" t="s">
        <v>1615</v>
      </c>
      <c r="AC50" s="78" t="s">
        <v>1615</v>
      </c>
      <c r="AD50" s="78" t="s">
        <v>1615</v>
      </c>
      <c r="AE50" s="78" t="s">
        <v>1615</v>
      </c>
      <c r="AF50" s="78" t="s">
        <v>1615</v>
      </c>
      <c r="AG50" s="78" t="s">
        <v>1615</v>
      </c>
      <c r="AH50" s="78" t="s">
        <v>1615</v>
      </c>
      <c r="AI50" s="78" t="s">
        <v>1615</v>
      </c>
      <c r="AJ50" s="78" t="s">
        <v>1615</v>
      </c>
      <c r="AK50" s="78" t="s">
        <v>1615</v>
      </c>
      <c r="AL50" s="78" t="s">
        <v>1615</v>
      </c>
      <c r="AM50" s="78" t="s">
        <v>1615</v>
      </c>
      <c r="AN50" s="78" t="s">
        <v>1615</v>
      </c>
      <c r="AO50" s="78" t="s">
        <v>1615</v>
      </c>
    </row>
    <row r="51" spans="1:41">
      <c r="A51" s="78" t="s">
        <v>1697</v>
      </c>
      <c r="B51" s="78" t="s">
        <v>1558</v>
      </c>
      <c r="C51" s="78" t="s">
        <v>366</v>
      </c>
      <c r="D51" s="78" t="s">
        <v>1685</v>
      </c>
      <c r="E51" s="78" t="s">
        <v>1698</v>
      </c>
      <c r="F51" s="78" t="s">
        <v>1613</v>
      </c>
      <c r="G51" s="78" t="s">
        <v>1614</v>
      </c>
      <c r="H51" s="78">
        <v>174</v>
      </c>
      <c r="I51" s="78">
        <v>71.7</v>
      </c>
      <c r="J51" s="78">
        <v>1</v>
      </c>
      <c r="K51" s="78">
        <v>11.3</v>
      </c>
      <c r="L51" s="78">
        <v>3</v>
      </c>
      <c r="M51" s="78">
        <v>0.3</v>
      </c>
      <c r="N51" s="78">
        <v>0</v>
      </c>
      <c r="O51" s="78">
        <v>13</v>
      </c>
      <c r="P51" s="78">
        <v>8.3000000000000007</v>
      </c>
      <c r="Q51" s="78">
        <v>3.63</v>
      </c>
      <c r="R51" s="78">
        <v>0.39</v>
      </c>
      <c r="S51" s="78" t="s">
        <v>1615</v>
      </c>
      <c r="T51" s="78">
        <v>51</v>
      </c>
      <c r="U51" s="78">
        <v>120</v>
      </c>
      <c r="V51" s="78">
        <v>0</v>
      </c>
      <c r="W51" s="78">
        <v>0.2</v>
      </c>
      <c r="X51" s="78">
        <v>0.1</v>
      </c>
      <c r="Y51" s="78">
        <v>1.1000000000000001</v>
      </c>
      <c r="Z51" s="78">
        <v>0</v>
      </c>
      <c r="AA51" s="78">
        <v>0.2</v>
      </c>
      <c r="AB51" s="78">
        <v>0.1</v>
      </c>
      <c r="AC51" s="78">
        <v>0</v>
      </c>
      <c r="AD51" s="78">
        <v>0.2</v>
      </c>
      <c r="AE51" s="78">
        <v>0.3</v>
      </c>
      <c r="AF51" s="78">
        <v>12</v>
      </c>
      <c r="AG51" s="78">
        <v>84</v>
      </c>
      <c r="AH51" s="78">
        <v>105</v>
      </c>
      <c r="AI51" s="78">
        <v>207</v>
      </c>
      <c r="AJ51" s="78">
        <v>158</v>
      </c>
      <c r="AK51" s="78">
        <v>11</v>
      </c>
      <c r="AL51" s="78">
        <v>0.4</v>
      </c>
      <c r="AM51" s="78">
        <v>1.2</v>
      </c>
      <c r="AN51" s="78">
        <v>0</v>
      </c>
      <c r="AO51" s="78">
        <v>14.5</v>
      </c>
    </row>
    <row r="52" spans="1:41">
      <c r="A52" s="78" t="s">
        <v>1699</v>
      </c>
      <c r="B52" s="78" t="s">
        <v>1558</v>
      </c>
      <c r="C52" s="78" t="s">
        <v>366</v>
      </c>
      <c r="D52" s="78" t="s">
        <v>1687</v>
      </c>
      <c r="E52" s="78" t="s">
        <v>359</v>
      </c>
      <c r="F52" s="78" t="s">
        <v>1613</v>
      </c>
      <c r="G52" s="78" t="s">
        <v>1614</v>
      </c>
      <c r="H52" s="78">
        <v>61</v>
      </c>
      <c r="I52" s="78">
        <v>87.9</v>
      </c>
      <c r="J52" s="78">
        <v>0.7</v>
      </c>
      <c r="K52" s="78">
        <v>3.5</v>
      </c>
      <c r="L52" s="78">
        <v>4.7</v>
      </c>
      <c r="M52" s="78">
        <v>4.7</v>
      </c>
      <c r="N52" s="78">
        <v>0</v>
      </c>
      <c r="O52" s="78">
        <v>3.3</v>
      </c>
      <c r="P52" s="78">
        <v>2.1</v>
      </c>
      <c r="Q52" s="78">
        <v>0.89</v>
      </c>
      <c r="R52" s="78">
        <v>0.09</v>
      </c>
      <c r="S52" s="78" t="s">
        <v>1615</v>
      </c>
      <c r="T52" s="78">
        <v>13</v>
      </c>
      <c r="U52" s="78">
        <v>27</v>
      </c>
      <c r="V52" s="78">
        <v>0.5</v>
      </c>
      <c r="W52" s="78">
        <v>0.1</v>
      </c>
      <c r="X52" s="78">
        <v>0.1</v>
      </c>
      <c r="Y52" s="78">
        <v>0.2</v>
      </c>
      <c r="Z52" s="78">
        <v>0</v>
      </c>
      <c r="AA52" s="78">
        <v>0.1</v>
      </c>
      <c r="AB52" s="78">
        <v>0.1</v>
      </c>
      <c r="AC52" s="78">
        <v>0</v>
      </c>
      <c r="AD52" s="78">
        <v>0.4</v>
      </c>
      <c r="AE52" s="78">
        <v>0.4</v>
      </c>
      <c r="AF52" s="78">
        <v>7</v>
      </c>
      <c r="AG52" s="78">
        <v>46</v>
      </c>
      <c r="AH52" s="78">
        <v>155</v>
      </c>
      <c r="AI52" s="78">
        <v>121</v>
      </c>
      <c r="AJ52" s="78">
        <v>95</v>
      </c>
      <c r="AK52" s="78">
        <v>12</v>
      </c>
      <c r="AL52" s="78">
        <v>0.1</v>
      </c>
      <c r="AM52" s="78">
        <v>0.6</v>
      </c>
      <c r="AN52" s="78">
        <v>0</v>
      </c>
      <c r="AO52" s="78">
        <v>2.2000000000000002</v>
      </c>
    </row>
    <row r="53" spans="1:41">
      <c r="A53" s="78" t="s">
        <v>1700</v>
      </c>
      <c r="B53" s="78" t="s">
        <v>1558</v>
      </c>
      <c r="C53" s="78" t="s">
        <v>366</v>
      </c>
      <c r="D53" s="78" t="s">
        <v>1689</v>
      </c>
      <c r="E53" s="78" t="s">
        <v>1701</v>
      </c>
      <c r="F53" s="78" t="s">
        <v>1613</v>
      </c>
      <c r="G53" s="78" t="s">
        <v>1614</v>
      </c>
      <c r="H53" s="78">
        <v>56</v>
      </c>
      <c r="I53" s="78">
        <v>85.2</v>
      </c>
      <c r="J53" s="78">
        <v>0.9</v>
      </c>
      <c r="K53" s="78">
        <v>4.4000000000000004</v>
      </c>
      <c r="L53" s="78">
        <v>14.9</v>
      </c>
      <c r="M53" s="78" t="s">
        <v>1615</v>
      </c>
      <c r="N53" s="78">
        <v>0.1</v>
      </c>
      <c r="O53" s="78">
        <v>0</v>
      </c>
      <c r="P53" s="78">
        <v>1.73</v>
      </c>
      <c r="Q53" s="78">
        <v>0.81</v>
      </c>
      <c r="R53" s="78">
        <v>0.15</v>
      </c>
      <c r="S53" s="78" t="s">
        <v>1615</v>
      </c>
      <c r="T53" s="78">
        <v>4.8</v>
      </c>
      <c r="U53" s="78" t="s">
        <v>1615</v>
      </c>
      <c r="V53" s="78">
        <v>0.4</v>
      </c>
      <c r="W53" s="78" t="s">
        <v>1615</v>
      </c>
      <c r="X53" s="78" t="s">
        <v>1615</v>
      </c>
      <c r="Y53" s="78" t="s">
        <v>1615</v>
      </c>
      <c r="Z53" s="78">
        <v>0</v>
      </c>
      <c r="AA53" s="78">
        <v>0.2</v>
      </c>
      <c r="AB53" s="78">
        <v>0.1</v>
      </c>
      <c r="AC53" s="78">
        <v>0</v>
      </c>
      <c r="AD53" s="78">
        <v>0.6</v>
      </c>
      <c r="AE53" s="78">
        <v>0.4</v>
      </c>
      <c r="AF53" s="78">
        <v>12</v>
      </c>
      <c r="AG53" s="78">
        <v>77</v>
      </c>
      <c r="AH53" s="78">
        <v>154.6</v>
      </c>
      <c r="AI53" s="78">
        <v>199</v>
      </c>
      <c r="AJ53" s="78">
        <v>113</v>
      </c>
      <c r="AK53" s="78">
        <v>19</v>
      </c>
      <c r="AL53" s="78">
        <v>0.1</v>
      </c>
      <c r="AM53" s="78">
        <v>0.6</v>
      </c>
      <c r="AN53" s="78">
        <v>0</v>
      </c>
      <c r="AO53" s="78">
        <v>3.6</v>
      </c>
    </row>
    <row r="54" spans="1:41">
      <c r="A54" s="78" t="s">
        <v>1702</v>
      </c>
      <c r="B54" s="78" t="s">
        <v>1558</v>
      </c>
      <c r="C54" s="78" t="s">
        <v>366</v>
      </c>
      <c r="D54" s="78" t="s">
        <v>1691</v>
      </c>
      <c r="E54" s="78" t="s">
        <v>1703</v>
      </c>
      <c r="F54" s="78" t="s">
        <v>1613</v>
      </c>
      <c r="G54" s="78" t="s">
        <v>1614</v>
      </c>
      <c r="H54" s="78">
        <v>101</v>
      </c>
      <c r="I54" s="78">
        <v>77.099999999999994</v>
      </c>
      <c r="J54" s="78">
        <v>1.2</v>
      </c>
      <c r="K54" s="78">
        <v>5.7</v>
      </c>
      <c r="L54" s="78">
        <v>7.7</v>
      </c>
      <c r="M54" s="78">
        <v>7.7</v>
      </c>
      <c r="N54" s="78">
        <v>0</v>
      </c>
      <c r="O54" s="78">
        <v>2.7</v>
      </c>
      <c r="P54" s="78">
        <v>0.12</v>
      </c>
      <c r="Q54" s="78">
        <v>0.05</v>
      </c>
      <c r="R54" s="78">
        <v>0.01</v>
      </c>
      <c r="S54" s="78" t="s">
        <v>1615</v>
      </c>
      <c r="T54" s="78">
        <v>2</v>
      </c>
      <c r="U54" s="78">
        <v>2</v>
      </c>
      <c r="V54" s="78">
        <v>0.9</v>
      </c>
      <c r="W54" s="78">
        <v>0</v>
      </c>
      <c r="X54" s="78">
        <v>0</v>
      </c>
      <c r="Y54" s="78">
        <v>0.2</v>
      </c>
      <c r="Z54" s="78">
        <v>0.1</v>
      </c>
      <c r="AA54" s="78">
        <v>0.4</v>
      </c>
      <c r="AB54" s="78">
        <v>0.1</v>
      </c>
      <c r="AC54" s="78">
        <v>0.1</v>
      </c>
      <c r="AD54" s="78">
        <v>0.4</v>
      </c>
      <c r="AE54" s="78">
        <v>0.6</v>
      </c>
      <c r="AF54" s="78">
        <v>7.5</v>
      </c>
      <c r="AG54" s="78">
        <v>46.3</v>
      </c>
      <c r="AH54" s="78">
        <v>255</v>
      </c>
      <c r="AI54" s="78">
        <v>127</v>
      </c>
      <c r="AJ54" s="78">
        <v>157</v>
      </c>
      <c r="AK54" s="78">
        <v>11.5</v>
      </c>
      <c r="AL54" s="78">
        <v>0</v>
      </c>
      <c r="AM54" s="78">
        <v>1</v>
      </c>
      <c r="AN54" s="78">
        <v>0</v>
      </c>
      <c r="AO54" s="78" t="s">
        <v>1615</v>
      </c>
    </row>
    <row r="55" spans="1:41">
      <c r="A55" s="78" t="s">
        <v>1704</v>
      </c>
      <c r="B55" s="78" t="s">
        <v>1558</v>
      </c>
      <c r="C55" s="78" t="s">
        <v>366</v>
      </c>
      <c r="D55" s="78" t="s">
        <v>1693</v>
      </c>
      <c r="E55" s="78" t="s">
        <v>1705</v>
      </c>
      <c r="F55" s="78" t="s">
        <v>1613</v>
      </c>
      <c r="G55" s="78" t="s">
        <v>1614</v>
      </c>
      <c r="H55" s="78">
        <v>53</v>
      </c>
      <c r="I55" s="78">
        <v>86.7</v>
      </c>
      <c r="J55" s="78">
        <v>0.6</v>
      </c>
      <c r="K55" s="78">
        <v>3</v>
      </c>
      <c r="L55" s="78">
        <v>9.3000000000000007</v>
      </c>
      <c r="M55" s="78">
        <v>2</v>
      </c>
      <c r="N55" s="78">
        <v>0</v>
      </c>
      <c r="O55" s="78">
        <v>0.4</v>
      </c>
      <c r="P55" s="78">
        <v>0.23</v>
      </c>
      <c r="Q55" s="78">
        <v>0.1</v>
      </c>
      <c r="R55" s="78">
        <v>0.01</v>
      </c>
      <c r="S55" s="78">
        <v>0</v>
      </c>
      <c r="T55" s="78">
        <v>0</v>
      </c>
      <c r="U55" s="78" t="s">
        <v>1615</v>
      </c>
      <c r="V55" s="78" t="s">
        <v>1615</v>
      </c>
      <c r="W55" s="78" t="s">
        <v>1615</v>
      </c>
      <c r="X55" s="78" t="s">
        <v>1615</v>
      </c>
      <c r="Y55" s="78" t="s">
        <v>1615</v>
      </c>
      <c r="Z55" s="78" t="s">
        <v>1615</v>
      </c>
      <c r="AA55" s="78" t="s">
        <v>1615</v>
      </c>
      <c r="AB55" s="78" t="s">
        <v>1615</v>
      </c>
      <c r="AC55" s="78" t="s">
        <v>1615</v>
      </c>
      <c r="AD55" s="78" t="s">
        <v>1615</v>
      </c>
      <c r="AE55" s="78" t="s">
        <v>1615</v>
      </c>
      <c r="AF55" s="78" t="s">
        <v>1615</v>
      </c>
      <c r="AG55" s="78">
        <v>55</v>
      </c>
      <c r="AH55" s="78" t="s">
        <v>1615</v>
      </c>
      <c r="AI55" s="78" t="s">
        <v>1615</v>
      </c>
      <c r="AJ55" s="78" t="s">
        <v>1615</v>
      </c>
      <c r="AK55" s="78" t="s">
        <v>1615</v>
      </c>
      <c r="AL55" s="78" t="s">
        <v>1615</v>
      </c>
      <c r="AM55" s="78" t="s">
        <v>1615</v>
      </c>
      <c r="AN55" s="78" t="s">
        <v>1615</v>
      </c>
      <c r="AO55" s="78" t="s">
        <v>1615</v>
      </c>
    </row>
    <row r="56" spans="1:41">
      <c r="A56" s="78" t="s">
        <v>1706</v>
      </c>
      <c r="B56" s="78" t="s">
        <v>1558</v>
      </c>
      <c r="C56" s="78" t="s">
        <v>366</v>
      </c>
      <c r="D56" s="78" t="s">
        <v>1695</v>
      </c>
      <c r="E56" s="78" t="s">
        <v>1707</v>
      </c>
      <c r="F56" s="78" t="s">
        <v>1613</v>
      </c>
      <c r="G56" s="78" t="s">
        <v>1614</v>
      </c>
      <c r="H56" s="78">
        <v>114</v>
      </c>
      <c r="I56" s="78">
        <v>73.8</v>
      </c>
      <c r="J56" s="78">
        <v>0.8</v>
      </c>
      <c r="K56" s="78">
        <v>4.0999999999999996</v>
      </c>
      <c r="L56" s="78">
        <v>18.2</v>
      </c>
      <c r="M56" s="78" t="s">
        <v>1615</v>
      </c>
      <c r="N56" s="78">
        <v>0.3</v>
      </c>
      <c r="O56" s="78">
        <v>2.8</v>
      </c>
      <c r="P56" s="78">
        <v>1.79</v>
      </c>
      <c r="Q56" s="78">
        <v>0.84</v>
      </c>
      <c r="R56" s="78">
        <v>0.16</v>
      </c>
      <c r="S56" s="78" t="s">
        <v>1615</v>
      </c>
      <c r="T56" s="78">
        <v>5</v>
      </c>
      <c r="U56" s="78">
        <v>30</v>
      </c>
      <c r="V56" s="78">
        <v>0.4</v>
      </c>
      <c r="W56" s="78" t="s">
        <v>1615</v>
      </c>
      <c r="X56" s="78" t="s">
        <v>1615</v>
      </c>
      <c r="Y56" s="78" t="s">
        <v>1615</v>
      </c>
      <c r="Z56" s="78">
        <v>0</v>
      </c>
      <c r="AA56" s="78">
        <v>0.4</v>
      </c>
      <c r="AB56" s="78">
        <v>0.1</v>
      </c>
      <c r="AC56" s="78">
        <v>0</v>
      </c>
      <c r="AD56" s="78">
        <v>0.4</v>
      </c>
      <c r="AE56" s="78">
        <v>0.4</v>
      </c>
      <c r="AF56" s="78">
        <v>7.5</v>
      </c>
      <c r="AG56" s="78">
        <v>46.3</v>
      </c>
      <c r="AH56" s="78">
        <v>154.6</v>
      </c>
      <c r="AI56" s="78">
        <v>105</v>
      </c>
      <c r="AJ56" s="78">
        <v>105</v>
      </c>
      <c r="AK56" s="78">
        <v>11.5</v>
      </c>
      <c r="AL56" s="78">
        <v>0</v>
      </c>
      <c r="AM56" s="78">
        <v>0.6</v>
      </c>
      <c r="AN56" s="78">
        <v>0</v>
      </c>
      <c r="AO56" s="78" t="s">
        <v>1615</v>
      </c>
    </row>
    <row r="57" spans="1:41">
      <c r="A57" s="78" t="s">
        <v>1708</v>
      </c>
      <c r="B57" s="78" t="s">
        <v>1558</v>
      </c>
      <c r="C57" s="78" t="s">
        <v>366</v>
      </c>
      <c r="D57" s="78" t="s">
        <v>1697</v>
      </c>
      <c r="E57" s="78" t="s">
        <v>1709</v>
      </c>
      <c r="F57" s="78" t="s">
        <v>1613</v>
      </c>
      <c r="G57" s="78" t="s">
        <v>1614</v>
      </c>
      <c r="H57" s="78">
        <v>105</v>
      </c>
      <c r="I57" s="78">
        <v>74.099999999999994</v>
      </c>
      <c r="J57" s="78">
        <v>1</v>
      </c>
      <c r="K57" s="78">
        <v>4.9000000000000004</v>
      </c>
      <c r="L57" s="78">
        <v>18.600000000000001</v>
      </c>
      <c r="M57" s="78" t="s">
        <v>1615</v>
      </c>
      <c r="N57" s="78">
        <v>0</v>
      </c>
      <c r="O57" s="78">
        <v>1.4</v>
      </c>
      <c r="P57" s="78">
        <v>0.91</v>
      </c>
      <c r="Q57" s="78">
        <v>0.39</v>
      </c>
      <c r="R57" s="78">
        <v>0.04</v>
      </c>
      <c r="S57" s="78" t="s">
        <v>1615</v>
      </c>
      <c r="T57" s="78">
        <v>6</v>
      </c>
      <c r="U57" s="78" t="s">
        <v>1615</v>
      </c>
      <c r="V57" s="78">
        <v>0.7</v>
      </c>
      <c r="W57" s="78" t="s">
        <v>1615</v>
      </c>
      <c r="X57" s="78" t="s">
        <v>1615</v>
      </c>
      <c r="Y57" s="78" t="s">
        <v>1615</v>
      </c>
      <c r="Z57" s="78">
        <v>0</v>
      </c>
      <c r="AA57" s="78">
        <v>0.2</v>
      </c>
      <c r="AB57" s="78">
        <v>0.1</v>
      </c>
      <c r="AC57" s="78">
        <v>0.1</v>
      </c>
      <c r="AD57" s="78">
        <v>0.5</v>
      </c>
      <c r="AE57" s="78">
        <v>0.5</v>
      </c>
      <c r="AF57" s="78">
        <v>10</v>
      </c>
      <c r="AG57" s="78">
        <v>65</v>
      </c>
      <c r="AH57" s="78">
        <v>216</v>
      </c>
      <c r="AI57" s="78">
        <v>169</v>
      </c>
      <c r="AJ57" s="78">
        <v>133</v>
      </c>
      <c r="AK57" s="78">
        <v>16</v>
      </c>
      <c r="AL57" s="78">
        <v>0.1</v>
      </c>
      <c r="AM57" s="78">
        <v>0.8</v>
      </c>
      <c r="AN57" s="78">
        <v>0.1</v>
      </c>
      <c r="AO57" s="78">
        <v>3.1</v>
      </c>
    </row>
    <row r="58" spans="1:41">
      <c r="A58" s="78" t="s">
        <v>1710</v>
      </c>
      <c r="B58" s="78" t="s">
        <v>1558</v>
      </c>
      <c r="C58" s="78" t="s">
        <v>366</v>
      </c>
      <c r="D58" s="78" t="s">
        <v>1699</v>
      </c>
      <c r="E58" s="78" t="s">
        <v>1711</v>
      </c>
      <c r="F58" s="78" t="s">
        <v>1613</v>
      </c>
      <c r="G58" s="78" t="s">
        <v>1614</v>
      </c>
      <c r="H58" s="78">
        <v>56</v>
      </c>
      <c r="I58" s="78">
        <v>86</v>
      </c>
      <c r="J58" s="78">
        <v>0.5</v>
      </c>
      <c r="K58" s="78">
        <v>3</v>
      </c>
      <c r="L58" s="78">
        <v>10.1</v>
      </c>
      <c r="M58" s="78" t="s">
        <v>1615</v>
      </c>
      <c r="N58" s="78">
        <v>0</v>
      </c>
      <c r="O58" s="78">
        <v>0.4</v>
      </c>
      <c r="P58" s="78">
        <v>0.25</v>
      </c>
      <c r="Q58" s="78">
        <v>0.1</v>
      </c>
      <c r="R58" s="78">
        <v>0.01</v>
      </c>
      <c r="S58" s="78">
        <v>0</v>
      </c>
      <c r="T58" s="78">
        <v>2.5</v>
      </c>
      <c r="U58" s="78" t="s">
        <v>1615</v>
      </c>
      <c r="V58" s="78" t="s">
        <v>1615</v>
      </c>
      <c r="W58" s="78" t="s">
        <v>1615</v>
      </c>
      <c r="X58" s="78" t="s">
        <v>1615</v>
      </c>
      <c r="Y58" s="78" t="s">
        <v>1615</v>
      </c>
      <c r="Z58" s="78" t="s">
        <v>1615</v>
      </c>
      <c r="AA58" s="78" t="s">
        <v>1615</v>
      </c>
      <c r="AB58" s="78" t="s">
        <v>1615</v>
      </c>
      <c r="AC58" s="78" t="s">
        <v>1615</v>
      </c>
      <c r="AD58" s="78" t="s">
        <v>1615</v>
      </c>
      <c r="AE58" s="78" t="s">
        <v>1615</v>
      </c>
      <c r="AF58" s="78" t="s">
        <v>1615</v>
      </c>
      <c r="AG58" s="78">
        <v>55</v>
      </c>
      <c r="AH58" s="78" t="s">
        <v>1615</v>
      </c>
      <c r="AI58" s="78" t="s">
        <v>1615</v>
      </c>
      <c r="AJ58" s="78" t="s">
        <v>1615</v>
      </c>
      <c r="AK58" s="78" t="s">
        <v>1615</v>
      </c>
      <c r="AL58" s="78" t="s">
        <v>1615</v>
      </c>
      <c r="AM58" s="78" t="s">
        <v>1615</v>
      </c>
      <c r="AN58" s="78" t="s">
        <v>1615</v>
      </c>
      <c r="AO58" s="78" t="s">
        <v>1615</v>
      </c>
    </row>
    <row r="59" spans="1:41">
      <c r="A59" s="78" t="s">
        <v>1712</v>
      </c>
      <c r="B59" s="78" t="s">
        <v>1558</v>
      </c>
      <c r="C59" s="78" t="s">
        <v>366</v>
      </c>
      <c r="D59" s="78" t="s">
        <v>1700</v>
      </c>
      <c r="E59" s="78" t="s">
        <v>1713</v>
      </c>
      <c r="F59" s="78" t="s">
        <v>1613</v>
      </c>
      <c r="G59" s="78" t="s">
        <v>1614</v>
      </c>
      <c r="H59" s="78">
        <v>78</v>
      </c>
      <c r="I59" s="78">
        <v>82.9</v>
      </c>
      <c r="J59" s="78">
        <v>1</v>
      </c>
      <c r="K59" s="78">
        <v>9</v>
      </c>
      <c r="L59" s="78">
        <v>2</v>
      </c>
      <c r="M59" s="78">
        <v>0.6</v>
      </c>
      <c r="N59" s="78">
        <v>0.9</v>
      </c>
      <c r="O59" s="78">
        <v>4.2</v>
      </c>
      <c r="P59" s="78">
        <v>0.79</v>
      </c>
      <c r="Q59" s="78">
        <v>1.1299999999999999</v>
      </c>
      <c r="R59" s="78">
        <v>1.65</v>
      </c>
      <c r="S59" s="78" t="s">
        <v>1615</v>
      </c>
      <c r="T59" s="78">
        <v>0</v>
      </c>
      <c r="U59" s="78">
        <v>0</v>
      </c>
      <c r="V59" s="78">
        <v>0.2</v>
      </c>
      <c r="W59" s="78">
        <v>0</v>
      </c>
      <c r="X59" s="78">
        <v>0</v>
      </c>
      <c r="Y59" s="78">
        <v>2.4</v>
      </c>
      <c r="Z59" s="78">
        <v>0.1</v>
      </c>
      <c r="AA59" s="78">
        <v>0.1</v>
      </c>
      <c r="AB59" s="78">
        <v>0.1</v>
      </c>
      <c r="AC59" s="78">
        <v>0.1</v>
      </c>
      <c r="AD59" s="78">
        <v>0.1</v>
      </c>
      <c r="AE59" s="78">
        <v>0</v>
      </c>
      <c r="AF59" s="78">
        <v>19</v>
      </c>
      <c r="AG59" s="78">
        <v>12</v>
      </c>
      <c r="AH59" s="78">
        <v>148</v>
      </c>
      <c r="AI59" s="78">
        <v>201</v>
      </c>
      <c r="AJ59" s="78">
        <v>121</v>
      </c>
      <c r="AK59" s="78">
        <v>37</v>
      </c>
      <c r="AL59" s="78">
        <v>1.6</v>
      </c>
      <c r="AM59" s="78">
        <v>0.8</v>
      </c>
      <c r="AN59" s="78">
        <v>0.2</v>
      </c>
      <c r="AO59" s="78">
        <v>9.9</v>
      </c>
    </row>
    <row r="60" spans="1:41">
      <c r="A60" s="78" t="s">
        <v>1714</v>
      </c>
      <c r="B60" s="78" t="s">
        <v>1558</v>
      </c>
      <c r="C60" s="78" t="s">
        <v>366</v>
      </c>
      <c r="D60" s="78" t="s">
        <v>1702</v>
      </c>
      <c r="E60" s="78" t="s">
        <v>1715</v>
      </c>
      <c r="F60" s="78" t="s">
        <v>1613</v>
      </c>
      <c r="G60" s="78" t="s">
        <v>1614</v>
      </c>
      <c r="H60" s="78">
        <v>95</v>
      </c>
      <c r="I60" s="78">
        <v>78.400000000000006</v>
      </c>
      <c r="J60" s="78">
        <v>0.8</v>
      </c>
      <c r="K60" s="78">
        <v>10.4</v>
      </c>
      <c r="L60" s="78">
        <v>8</v>
      </c>
      <c r="M60" s="78">
        <v>0.4</v>
      </c>
      <c r="N60" s="78" t="s">
        <v>1615</v>
      </c>
      <c r="O60" s="78">
        <v>2.4</v>
      </c>
      <c r="P60" s="78" t="s">
        <v>1615</v>
      </c>
      <c r="Q60" s="78" t="s">
        <v>1615</v>
      </c>
      <c r="R60" s="78" t="s">
        <v>1615</v>
      </c>
      <c r="S60" s="78" t="s">
        <v>1615</v>
      </c>
      <c r="T60" s="78" t="s">
        <v>1615</v>
      </c>
      <c r="U60" s="78" t="s">
        <v>1615</v>
      </c>
      <c r="V60" s="78" t="s">
        <v>1615</v>
      </c>
      <c r="W60" s="78" t="s">
        <v>1615</v>
      </c>
      <c r="X60" s="78" t="s">
        <v>1615</v>
      </c>
      <c r="Y60" s="78" t="s">
        <v>1615</v>
      </c>
      <c r="Z60" s="78" t="s">
        <v>1615</v>
      </c>
      <c r="AA60" s="78" t="s">
        <v>1615</v>
      </c>
      <c r="AB60" s="78" t="s">
        <v>1615</v>
      </c>
      <c r="AC60" s="78" t="s">
        <v>1615</v>
      </c>
      <c r="AD60" s="78" t="s">
        <v>1615</v>
      </c>
      <c r="AE60" s="78" t="s">
        <v>1615</v>
      </c>
      <c r="AF60" s="78" t="s">
        <v>1615</v>
      </c>
      <c r="AG60" s="78">
        <v>73</v>
      </c>
      <c r="AH60" s="78" t="s">
        <v>1615</v>
      </c>
      <c r="AI60" s="78" t="s">
        <v>1615</v>
      </c>
      <c r="AJ60" s="78" t="s">
        <v>1615</v>
      </c>
      <c r="AK60" s="78" t="s">
        <v>1615</v>
      </c>
      <c r="AL60" s="78" t="s">
        <v>1615</v>
      </c>
      <c r="AM60" s="78" t="s">
        <v>1615</v>
      </c>
      <c r="AN60" s="78" t="s">
        <v>1615</v>
      </c>
      <c r="AO60" s="78" t="s">
        <v>1615</v>
      </c>
    </row>
    <row r="61" spans="1:41">
      <c r="A61" s="78" t="s">
        <v>1716</v>
      </c>
      <c r="B61" s="78" t="s">
        <v>1558</v>
      </c>
      <c r="C61" s="78" t="s">
        <v>366</v>
      </c>
      <c r="D61" s="78" t="s">
        <v>1704</v>
      </c>
      <c r="E61" s="78" t="s">
        <v>1717</v>
      </c>
      <c r="F61" s="78" t="s">
        <v>1718</v>
      </c>
      <c r="G61" s="78" t="s">
        <v>1614</v>
      </c>
      <c r="H61" s="78">
        <v>143</v>
      </c>
      <c r="I61" s="78">
        <v>76.2</v>
      </c>
      <c r="J61" s="78">
        <v>1.1000000000000001</v>
      </c>
      <c r="K61" s="78">
        <v>12.6</v>
      </c>
      <c r="L61" s="78">
        <v>0.7</v>
      </c>
      <c r="M61" s="78">
        <v>0.4</v>
      </c>
      <c r="N61" s="78">
        <v>0</v>
      </c>
      <c r="O61" s="78">
        <v>9.5</v>
      </c>
      <c r="P61" s="78">
        <v>3.13</v>
      </c>
      <c r="Q61" s="78">
        <v>3.66</v>
      </c>
      <c r="R61" s="78">
        <v>1.91</v>
      </c>
      <c r="S61" s="78" t="s">
        <v>1615</v>
      </c>
      <c r="T61" s="78">
        <v>372</v>
      </c>
      <c r="U61" s="78">
        <v>160</v>
      </c>
      <c r="V61" s="78">
        <v>0</v>
      </c>
      <c r="W61" s="78">
        <v>2</v>
      </c>
      <c r="X61" s="78">
        <v>1.1000000000000001</v>
      </c>
      <c r="Y61" s="78">
        <v>0.3</v>
      </c>
      <c r="Z61" s="78">
        <v>0</v>
      </c>
      <c r="AA61" s="78">
        <v>0.5</v>
      </c>
      <c r="AB61" s="78">
        <v>0.1</v>
      </c>
      <c r="AC61" s="78">
        <v>0.2</v>
      </c>
      <c r="AD61" s="78">
        <v>1.5</v>
      </c>
      <c r="AE61" s="78">
        <v>0.9</v>
      </c>
      <c r="AF61" s="78">
        <v>47</v>
      </c>
      <c r="AG61" s="78">
        <v>142</v>
      </c>
      <c r="AH61" s="78">
        <v>138</v>
      </c>
      <c r="AI61" s="78">
        <v>56</v>
      </c>
      <c r="AJ61" s="78">
        <v>198</v>
      </c>
      <c r="AK61" s="78">
        <v>12</v>
      </c>
      <c r="AL61" s="78">
        <v>1.8</v>
      </c>
      <c r="AM61" s="78">
        <v>1.3</v>
      </c>
      <c r="AN61" s="78">
        <v>0.1</v>
      </c>
      <c r="AO61" s="78">
        <v>30.7</v>
      </c>
    </row>
    <row r="62" spans="1:41">
      <c r="A62" s="78" t="s">
        <v>1719</v>
      </c>
      <c r="B62" s="78" t="s">
        <v>1558</v>
      </c>
      <c r="C62" s="78" t="s">
        <v>366</v>
      </c>
      <c r="D62" s="78" t="s">
        <v>1706</v>
      </c>
      <c r="E62" s="78" t="s">
        <v>357</v>
      </c>
      <c r="F62" s="78" t="s">
        <v>1718</v>
      </c>
      <c r="G62" s="78" t="s">
        <v>1614</v>
      </c>
      <c r="H62" s="78">
        <v>149</v>
      </c>
      <c r="I62" s="78">
        <v>75.5</v>
      </c>
      <c r="J62" s="78">
        <v>0.9</v>
      </c>
      <c r="K62" s="78">
        <v>12.4</v>
      </c>
      <c r="L62" s="78">
        <v>0.3</v>
      </c>
      <c r="M62" s="78">
        <v>0.1</v>
      </c>
      <c r="N62" s="78" t="s">
        <v>1615</v>
      </c>
      <c r="O62" s="78">
        <v>10.9</v>
      </c>
      <c r="P62" s="78">
        <v>2.9</v>
      </c>
      <c r="Q62" s="78">
        <v>4.51</v>
      </c>
      <c r="R62" s="78">
        <v>0.99</v>
      </c>
      <c r="S62" s="78">
        <v>0</v>
      </c>
      <c r="T62" s="78">
        <v>367</v>
      </c>
      <c r="U62" s="78" t="s">
        <v>1615</v>
      </c>
      <c r="V62" s="78" t="s">
        <v>1615</v>
      </c>
      <c r="W62" s="78" t="s">
        <v>1615</v>
      </c>
      <c r="X62" s="78" t="s">
        <v>1615</v>
      </c>
      <c r="Y62" s="78" t="s">
        <v>1615</v>
      </c>
      <c r="Z62" s="78" t="s">
        <v>1615</v>
      </c>
      <c r="AA62" s="78" t="s">
        <v>1615</v>
      </c>
      <c r="AB62" s="78" t="s">
        <v>1615</v>
      </c>
      <c r="AC62" s="78" t="s">
        <v>1615</v>
      </c>
      <c r="AD62" s="78" t="s">
        <v>1615</v>
      </c>
      <c r="AE62" s="78" t="s">
        <v>1615</v>
      </c>
      <c r="AF62" s="78" t="s">
        <v>1615</v>
      </c>
      <c r="AG62" s="78">
        <v>153</v>
      </c>
      <c r="AH62" s="78" t="s">
        <v>1615</v>
      </c>
      <c r="AI62" s="78" t="s">
        <v>1615</v>
      </c>
      <c r="AJ62" s="78" t="s">
        <v>1615</v>
      </c>
      <c r="AK62" s="78" t="s">
        <v>1615</v>
      </c>
      <c r="AL62" s="78" t="s">
        <v>1615</v>
      </c>
      <c r="AM62" s="78" t="s">
        <v>1615</v>
      </c>
      <c r="AN62" s="78" t="s">
        <v>1615</v>
      </c>
      <c r="AO62" s="78" t="s">
        <v>1615</v>
      </c>
    </row>
    <row r="63" spans="1:41">
      <c r="A63" s="78" t="s">
        <v>1720</v>
      </c>
      <c r="B63" s="78" t="s">
        <v>1558</v>
      </c>
      <c r="C63" s="78" t="s">
        <v>366</v>
      </c>
      <c r="D63" s="78" t="s">
        <v>1708</v>
      </c>
      <c r="E63" s="78" t="s">
        <v>1721</v>
      </c>
      <c r="F63" s="78" t="s">
        <v>1718</v>
      </c>
      <c r="G63" s="78" t="s">
        <v>1614</v>
      </c>
      <c r="H63" s="78">
        <v>52</v>
      </c>
      <c r="I63" s="78">
        <v>87.6</v>
      </c>
      <c r="J63" s="78">
        <v>0.6</v>
      </c>
      <c r="K63" s="78">
        <v>10.9</v>
      </c>
      <c r="L63" s="78">
        <v>0.7</v>
      </c>
      <c r="M63" s="78">
        <v>0.7</v>
      </c>
      <c r="N63" s="78">
        <v>0</v>
      </c>
      <c r="O63" s="78">
        <v>0.2</v>
      </c>
      <c r="P63" s="78">
        <v>0</v>
      </c>
      <c r="Q63" s="78">
        <v>0</v>
      </c>
      <c r="R63" s="78">
        <v>0</v>
      </c>
      <c r="S63" s="78" t="s">
        <v>1615</v>
      </c>
      <c r="T63" s="78">
        <v>0</v>
      </c>
      <c r="U63" s="78">
        <v>0</v>
      </c>
      <c r="V63" s="78">
        <v>0</v>
      </c>
      <c r="W63" s="78">
        <v>0</v>
      </c>
      <c r="X63" s="78">
        <v>0</v>
      </c>
      <c r="Y63" s="78">
        <v>0</v>
      </c>
      <c r="Z63" s="78">
        <v>0</v>
      </c>
      <c r="AA63" s="78">
        <v>0.4</v>
      </c>
      <c r="AB63" s="78">
        <v>0.1</v>
      </c>
      <c r="AC63" s="78">
        <v>0</v>
      </c>
      <c r="AD63" s="78">
        <v>0.2</v>
      </c>
      <c r="AE63" s="78">
        <v>0.1</v>
      </c>
      <c r="AF63" s="78">
        <v>4</v>
      </c>
      <c r="AG63" s="78">
        <v>166</v>
      </c>
      <c r="AH63" s="78">
        <v>163</v>
      </c>
      <c r="AI63" s="78">
        <v>7</v>
      </c>
      <c r="AJ63" s="78">
        <v>15</v>
      </c>
      <c r="AK63" s="78">
        <v>11</v>
      </c>
      <c r="AL63" s="78">
        <v>0.1</v>
      </c>
      <c r="AM63" s="78">
        <v>0</v>
      </c>
      <c r="AN63" s="78">
        <v>0</v>
      </c>
      <c r="AO63" s="78">
        <v>20</v>
      </c>
    </row>
    <row r="64" spans="1:41">
      <c r="A64" s="78" t="s">
        <v>1722</v>
      </c>
      <c r="B64" s="78" t="s">
        <v>1558</v>
      </c>
      <c r="C64" s="78" t="s">
        <v>366</v>
      </c>
      <c r="D64" s="78" t="s">
        <v>1710</v>
      </c>
      <c r="E64" s="78" t="s">
        <v>1723</v>
      </c>
      <c r="F64" s="78" t="s">
        <v>1718</v>
      </c>
      <c r="G64" s="78" t="s">
        <v>1614</v>
      </c>
      <c r="H64" s="78">
        <v>322</v>
      </c>
      <c r="I64" s="78">
        <v>52.3</v>
      </c>
      <c r="J64" s="78">
        <v>1.7</v>
      </c>
      <c r="K64" s="78">
        <v>15.9</v>
      </c>
      <c r="L64" s="78">
        <v>3.6</v>
      </c>
      <c r="M64" s="78">
        <v>0.6</v>
      </c>
      <c r="N64" s="78">
        <v>0</v>
      </c>
      <c r="O64" s="78">
        <v>26.5</v>
      </c>
      <c r="P64" s="78">
        <v>9.5500000000000007</v>
      </c>
      <c r="Q64" s="78">
        <v>11.74</v>
      </c>
      <c r="R64" s="78">
        <v>4.2</v>
      </c>
      <c r="S64" s="78" t="s">
        <v>1615</v>
      </c>
      <c r="T64" s="78">
        <v>1085</v>
      </c>
      <c r="U64" s="78">
        <v>381</v>
      </c>
      <c r="V64" s="78">
        <v>0</v>
      </c>
      <c r="W64" s="78">
        <v>5.4</v>
      </c>
      <c r="X64" s="78">
        <v>2.6</v>
      </c>
      <c r="Y64" s="78">
        <v>0.7</v>
      </c>
      <c r="Z64" s="78">
        <v>0.2</v>
      </c>
      <c r="AA64" s="78">
        <v>0.5</v>
      </c>
      <c r="AB64" s="78">
        <v>0</v>
      </c>
      <c r="AC64" s="78">
        <v>0.4</v>
      </c>
      <c r="AD64" s="78">
        <v>3</v>
      </c>
      <c r="AE64" s="78">
        <v>2</v>
      </c>
      <c r="AF64" s="78">
        <v>146</v>
      </c>
      <c r="AG64" s="78">
        <v>48</v>
      </c>
      <c r="AH64" s="78">
        <v>109</v>
      </c>
      <c r="AI64" s="78">
        <v>129</v>
      </c>
      <c r="AJ64" s="78">
        <v>390</v>
      </c>
      <c r="AK64" s="78">
        <v>5</v>
      </c>
      <c r="AL64" s="78">
        <v>2.7</v>
      </c>
      <c r="AM64" s="78">
        <v>2.2999999999999998</v>
      </c>
      <c r="AN64" s="78">
        <v>0.1</v>
      </c>
      <c r="AO64" s="78">
        <v>56</v>
      </c>
    </row>
    <row r="65" spans="1:41">
      <c r="A65" s="78" t="s">
        <v>1724</v>
      </c>
      <c r="B65" s="78" t="s">
        <v>1558</v>
      </c>
      <c r="C65" s="78" t="s">
        <v>366</v>
      </c>
      <c r="D65" s="78" t="s">
        <v>1712</v>
      </c>
      <c r="E65" s="78" t="s">
        <v>1725</v>
      </c>
      <c r="F65" s="78" t="s">
        <v>1718</v>
      </c>
      <c r="G65" s="78" t="s">
        <v>1614</v>
      </c>
      <c r="H65" s="78">
        <v>158</v>
      </c>
      <c r="I65" s="78">
        <v>74.400000000000006</v>
      </c>
      <c r="J65" s="78">
        <v>1.1000000000000001</v>
      </c>
      <c r="K65" s="78">
        <v>13.1</v>
      </c>
      <c r="L65" s="78">
        <v>0.4</v>
      </c>
      <c r="M65" s="78">
        <v>0.4</v>
      </c>
      <c r="N65" s="78">
        <v>0</v>
      </c>
      <c r="O65" s="78">
        <v>11.1</v>
      </c>
      <c r="P65" s="78">
        <v>3.56</v>
      </c>
      <c r="Q65" s="78">
        <v>4.32</v>
      </c>
      <c r="R65" s="78">
        <v>1.32</v>
      </c>
      <c r="S65" s="78" t="s">
        <v>1615</v>
      </c>
      <c r="T65" s="78">
        <v>844</v>
      </c>
      <c r="U65" s="78">
        <v>156</v>
      </c>
      <c r="V65" s="78">
        <v>0</v>
      </c>
      <c r="W65" s="78">
        <v>1.4</v>
      </c>
      <c r="X65" s="78">
        <v>1.1000000000000001</v>
      </c>
      <c r="Y65" s="78">
        <v>0.3</v>
      </c>
      <c r="Z65" s="78">
        <v>0.1</v>
      </c>
      <c r="AA65" s="78">
        <v>0.8</v>
      </c>
      <c r="AB65" s="78">
        <v>0.2</v>
      </c>
      <c r="AC65" s="78">
        <v>0.2</v>
      </c>
      <c r="AD65" s="78">
        <v>1.8</v>
      </c>
      <c r="AE65" s="78">
        <v>1.6</v>
      </c>
      <c r="AF65" s="78">
        <v>66</v>
      </c>
      <c r="AG65" s="78">
        <v>141</v>
      </c>
      <c r="AH65" s="78">
        <v>132</v>
      </c>
      <c r="AI65" s="78">
        <v>64</v>
      </c>
      <c r="AJ65" s="78">
        <v>226</v>
      </c>
      <c r="AK65" s="78">
        <v>13</v>
      </c>
      <c r="AL65" s="78">
        <v>3.7</v>
      </c>
      <c r="AM65" s="78">
        <v>1.5</v>
      </c>
      <c r="AN65" s="78">
        <v>0.1</v>
      </c>
      <c r="AO65" s="78">
        <v>32</v>
      </c>
    </row>
    <row r="66" spans="1:41">
      <c r="A66" s="78" t="s">
        <v>1726</v>
      </c>
      <c r="B66" s="78" t="s">
        <v>1558</v>
      </c>
      <c r="C66" s="78" t="s">
        <v>366</v>
      </c>
      <c r="D66" s="78" t="s">
        <v>1714</v>
      </c>
      <c r="E66" s="78" t="s">
        <v>1727</v>
      </c>
      <c r="F66" s="78" t="s">
        <v>1728</v>
      </c>
      <c r="G66" s="78" t="s">
        <v>1614</v>
      </c>
      <c r="H66" s="78">
        <v>176</v>
      </c>
      <c r="I66" s="78">
        <v>65.2</v>
      </c>
      <c r="J66" s="78">
        <v>0.8</v>
      </c>
      <c r="K66" s="78">
        <v>27.3</v>
      </c>
      <c r="L66" s="78">
        <v>0</v>
      </c>
      <c r="M66" s="78" t="s">
        <v>1615</v>
      </c>
      <c r="N66" s="78">
        <v>0</v>
      </c>
      <c r="O66" s="78">
        <v>6.7</v>
      </c>
      <c r="P66" s="78">
        <v>1.84</v>
      </c>
      <c r="Q66" s="78">
        <v>2.39</v>
      </c>
      <c r="R66" s="78">
        <v>1.54</v>
      </c>
      <c r="S66" s="78" t="s">
        <v>1615</v>
      </c>
      <c r="T66" s="78">
        <v>82.9</v>
      </c>
      <c r="U66" s="78">
        <v>15</v>
      </c>
      <c r="V66" s="78">
        <v>0</v>
      </c>
      <c r="W66" s="78" t="s">
        <v>1615</v>
      </c>
      <c r="X66" s="78">
        <v>0.5</v>
      </c>
      <c r="Y66" s="78" t="s">
        <v>1615</v>
      </c>
      <c r="Z66" s="78">
        <v>0</v>
      </c>
      <c r="AA66" s="78">
        <v>0.2</v>
      </c>
      <c r="AB66" s="78">
        <v>6.1</v>
      </c>
      <c r="AC66" s="78">
        <v>0.3</v>
      </c>
      <c r="AD66" s="78">
        <v>0.7</v>
      </c>
      <c r="AE66" s="78">
        <v>0.2</v>
      </c>
      <c r="AF66" s="78">
        <v>6</v>
      </c>
      <c r="AG66" s="78">
        <v>70</v>
      </c>
      <c r="AH66" s="78">
        <v>180</v>
      </c>
      <c r="AI66" s="78">
        <v>14</v>
      </c>
      <c r="AJ66" s="78">
        <v>150</v>
      </c>
      <c r="AK66" s="78">
        <v>21</v>
      </c>
      <c r="AL66" s="78">
        <v>1.2</v>
      </c>
      <c r="AM66" s="78">
        <v>2</v>
      </c>
      <c r="AN66" s="78">
        <v>0.1</v>
      </c>
      <c r="AO66" s="78">
        <v>16.2</v>
      </c>
    </row>
    <row r="67" spans="1:41">
      <c r="A67" s="78" t="s">
        <v>1729</v>
      </c>
      <c r="B67" s="78" t="s">
        <v>1558</v>
      </c>
      <c r="C67" s="78" t="s">
        <v>366</v>
      </c>
      <c r="D67" s="78" t="s">
        <v>1716</v>
      </c>
      <c r="E67" s="78" t="s">
        <v>1730</v>
      </c>
      <c r="F67" s="78" t="s">
        <v>1728</v>
      </c>
      <c r="G67" s="78" t="s">
        <v>1614</v>
      </c>
      <c r="H67" s="78">
        <v>199</v>
      </c>
      <c r="I67" s="78">
        <v>65.2</v>
      </c>
      <c r="J67" s="78">
        <v>0.9</v>
      </c>
      <c r="K67" s="78">
        <v>22.4</v>
      </c>
      <c r="L67" s="78">
        <v>1.5</v>
      </c>
      <c r="M67" s="78" t="s">
        <v>1615</v>
      </c>
      <c r="N67" s="78">
        <v>0</v>
      </c>
      <c r="O67" s="78">
        <v>11.5</v>
      </c>
      <c r="P67" s="78">
        <v>3.5</v>
      </c>
      <c r="Q67" s="78">
        <v>5.46</v>
      </c>
      <c r="R67" s="78">
        <v>2.5099999999999998</v>
      </c>
      <c r="S67" s="78" t="s">
        <v>1615</v>
      </c>
      <c r="T67" s="78">
        <v>93</v>
      </c>
      <c r="U67" s="78">
        <v>15</v>
      </c>
      <c r="V67" s="78">
        <v>0</v>
      </c>
      <c r="W67" s="78" t="s">
        <v>1615</v>
      </c>
      <c r="X67" s="78" t="s">
        <v>1615</v>
      </c>
      <c r="Y67" s="78" t="s">
        <v>1615</v>
      </c>
      <c r="Z67" s="78" t="s">
        <v>1615</v>
      </c>
      <c r="AA67" s="78" t="s">
        <v>1615</v>
      </c>
      <c r="AB67" s="78" t="s">
        <v>1615</v>
      </c>
      <c r="AC67" s="78" t="s">
        <v>1615</v>
      </c>
      <c r="AD67" s="78" t="s">
        <v>1615</v>
      </c>
      <c r="AE67" s="78" t="s">
        <v>1615</v>
      </c>
      <c r="AF67" s="78" t="s">
        <v>1615</v>
      </c>
      <c r="AG67" s="78">
        <v>70</v>
      </c>
      <c r="AH67" s="78">
        <v>180</v>
      </c>
      <c r="AI67" s="78">
        <v>21</v>
      </c>
      <c r="AJ67" s="78">
        <v>120</v>
      </c>
      <c r="AK67" s="78" t="s">
        <v>1615</v>
      </c>
      <c r="AL67" s="78">
        <v>0.8</v>
      </c>
      <c r="AM67" s="78" t="s">
        <v>1615</v>
      </c>
      <c r="AN67" s="78" t="s">
        <v>1615</v>
      </c>
      <c r="AO67" s="78" t="s">
        <v>1615</v>
      </c>
    </row>
    <row r="68" spans="1:41">
      <c r="A68" s="78" t="s">
        <v>1731</v>
      </c>
      <c r="B68" s="78" t="s">
        <v>1558</v>
      </c>
      <c r="C68" s="78" t="s">
        <v>366</v>
      </c>
      <c r="D68" s="78" t="s">
        <v>1719</v>
      </c>
      <c r="E68" s="78" t="s">
        <v>1732</v>
      </c>
      <c r="F68" s="78" t="s">
        <v>1728</v>
      </c>
      <c r="G68" s="78" t="s">
        <v>1614</v>
      </c>
      <c r="H68" s="78">
        <v>130</v>
      </c>
      <c r="I68" s="78">
        <v>73.2</v>
      </c>
      <c r="J68" s="78">
        <v>0.7</v>
      </c>
      <c r="K68" s="78">
        <v>22.3</v>
      </c>
      <c r="L68" s="78">
        <v>1.7</v>
      </c>
      <c r="M68" s="78" t="s">
        <v>1615</v>
      </c>
      <c r="N68" s="78">
        <v>0</v>
      </c>
      <c r="O68" s="78">
        <v>3.8</v>
      </c>
      <c r="P68" s="78">
        <v>1.1599999999999999</v>
      </c>
      <c r="Q68" s="78">
        <v>1.81</v>
      </c>
      <c r="R68" s="78">
        <v>0.83</v>
      </c>
      <c r="S68" s="78" t="s">
        <v>1615</v>
      </c>
      <c r="T68" s="78">
        <v>94</v>
      </c>
      <c r="U68" s="78">
        <v>15</v>
      </c>
      <c r="V68" s="78">
        <v>0</v>
      </c>
      <c r="W68" s="78" t="s">
        <v>1615</v>
      </c>
      <c r="X68" s="78" t="s">
        <v>1615</v>
      </c>
      <c r="Y68" s="78" t="s">
        <v>1615</v>
      </c>
      <c r="Z68" s="78" t="s">
        <v>1615</v>
      </c>
      <c r="AA68" s="78" t="s">
        <v>1615</v>
      </c>
      <c r="AB68" s="78" t="s">
        <v>1615</v>
      </c>
      <c r="AC68" s="78" t="s">
        <v>1615</v>
      </c>
      <c r="AD68" s="78" t="s">
        <v>1615</v>
      </c>
      <c r="AE68" s="78" t="s">
        <v>1615</v>
      </c>
      <c r="AF68" s="78" t="s">
        <v>1615</v>
      </c>
      <c r="AG68" s="78">
        <v>70</v>
      </c>
      <c r="AH68" s="78">
        <v>180</v>
      </c>
      <c r="AI68" s="78">
        <v>28</v>
      </c>
      <c r="AJ68" s="78">
        <v>91</v>
      </c>
      <c r="AK68" s="78" t="s">
        <v>1615</v>
      </c>
      <c r="AL68" s="78">
        <v>2.2000000000000002</v>
      </c>
      <c r="AM68" s="78" t="s">
        <v>1615</v>
      </c>
      <c r="AN68" s="78" t="s">
        <v>1615</v>
      </c>
      <c r="AO68" s="78" t="s">
        <v>1615</v>
      </c>
    </row>
    <row r="69" spans="1:41">
      <c r="A69" s="78" t="s">
        <v>1733</v>
      </c>
      <c r="B69" s="78" t="s">
        <v>1558</v>
      </c>
      <c r="C69" s="78" t="s">
        <v>366</v>
      </c>
      <c r="D69" s="78" t="s">
        <v>1720</v>
      </c>
      <c r="E69" s="78" t="s">
        <v>1734</v>
      </c>
      <c r="F69" s="78" t="s">
        <v>1728</v>
      </c>
      <c r="G69" s="78" t="s">
        <v>1614</v>
      </c>
      <c r="H69" s="78">
        <v>114</v>
      </c>
      <c r="I69" s="78">
        <v>72.3</v>
      </c>
      <c r="J69" s="78">
        <v>1.7</v>
      </c>
      <c r="K69" s="78">
        <v>22.2</v>
      </c>
      <c r="L69" s="78">
        <v>1.9</v>
      </c>
      <c r="M69" s="78" t="s">
        <v>1615</v>
      </c>
      <c r="N69" s="78" t="s">
        <v>1615</v>
      </c>
      <c r="O69" s="78">
        <v>1.9</v>
      </c>
      <c r="P69" s="78" t="s">
        <v>1615</v>
      </c>
      <c r="Q69" s="78" t="s">
        <v>1615</v>
      </c>
      <c r="R69" s="78" t="s">
        <v>1615</v>
      </c>
      <c r="S69" s="78" t="s">
        <v>1615</v>
      </c>
      <c r="T69" s="78" t="s">
        <v>1615</v>
      </c>
      <c r="U69" s="78" t="s">
        <v>1615</v>
      </c>
      <c r="V69" s="78" t="s">
        <v>1615</v>
      </c>
      <c r="W69" s="78" t="s">
        <v>1615</v>
      </c>
      <c r="X69" s="78" t="s">
        <v>1615</v>
      </c>
      <c r="Y69" s="78" t="s">
        <v>1615</v>
      </c>
      <c r="Z69" s="78" t="s">
        <v>1615</v>
      </c>
      <c r="AA69" s="78" t="s">
        <v>1615</v>
      </c>
      <c r="AB69" s="78" t="s">
        <v>1615</v>
      </c>
      <c r="AC69" s="78" t="s">
        <v>1615</v>
      </c>
      <c r="AD69" s="78" t="s">
        <v>1615</v>
      </c>
      <c r="AE69" s="78" t="s">
        <v>1615</v>
      </c>
      <c r="AF69" s="78" t="s">
        <v>1615</v>
      </c>
      <c r="AG69" s="78" t="s">
        <v>1615</v>
      </c>
      <c r="AH69" s="78" t="s">
        <v>1615</v>
      </c>
      <c r="AI69" s="78" t="s">
        <v>1615</v>
      </c>
      <c r="AJ69" s="78" t="s">
        <v>1615</v>
      </c>
      <c r="AK69" s="78" t="s">
        <v>1615</v>
      </c>
      <c r="AL69" s="78" t="s">
        <v>1615</v>
      </c>
      <c r="AM69" s="78" t="s">
        <v>1615</v>
      </c>
      <c r="AN69" s="78" t="s">
        <v>1615</v>
      </c>
      <c r="AO69" s="78" t="s">
        <v>1615</v>
      </c>
    </row>
    <row r="70" spans="1:41">
      <c r="A70" s="78" t="s">
        <v>1735</v>
      </c>
      <c r="B70" s="78" t="s">
        <v>1558</v>
      </c>
      <c r="C70" s="78" t="s">
        <v>366</v>
      </c>
      <c r="D70" s="78" t="s">
        <v>1722</v>
      </c>
      <c r="E70" s="78" t="s">
        <v>1736</v>
      </c>
      <c r="F70" s="78" t="s">
        <v>1728</v>
      </c>
      <c r="G70" s="78" t="s">
        <v>1614</v>
      </c>
      <c r="H70" s="78">
        <v>201</v>
      </c>
      <c r="I70" s="78">
        <v>64.2</v>
      </c>
      <c r="J70" s="78">
        <v>1.1000000000000001</v>
      </c>
      <c r="K70" s="78">
        <v>23.5</v>
      </c>
      <c r="L70" s="78">
        <v>0</v>
      </c>
      <c r="M70" s="78">
        <v>0</v>
      </c>
      <c r="N70" s="78">
        <v>0</v>
      </c>
      <c r="O70" s="78">
        <v>11.2</v>
      </c>
      <c r="P70" s="78">
        <v>3.95</v>
      </c>
      <c r="Q70" s="78">
        <v>3.86</v>
      </c>
      <c r="R70" s="78">
        <v>1.49</v>
      </c>
      <c r="S70" s="78" t="s">
        <v>1615</v>
      </c>
      <c r="T70" s="78">
        <v>89</v>
      </c>
      <c r="U70" s="78">
        <v>23</v>
      </c>
      <c r="V70" s="78">
        <v>0</v>
      </c>
      <c r="W70" s="78">
        <v>0.1</v>
      </c>
      <c r="X70" s="78">
        <v>0.7</v>
      </c>
      <c r="Y70" s="78">
        <v>3.8</v>
      </c>
      <c r="Z70" s="78">
        <v>0.3</v>
      </c>
      <c r="AA70" s="78">
        <v>0.5</v>
      </c>
      <c r="AB70" s="78">
        <v>5.0999999999999996</v>
      </c>
      <c r="AC70" s="78">
        <v>0.3</v>
      </c>
      <c r="AD70" s="78">
        <v>1.5</v>
      </c>
      <c r="AE70" s="78">
        <v>0.4</v>
      </c>
      <c r="AF70" s="78">
        <v>10</v>
      </c>
      <c r="AG70" s="78">
        <v>65</v>
      </c>
      <c r="AH70" s="78">
        <v>252</v>
      </c>
      <c r="AI70" s="78">
        <v>12</v>
      </c>
      <c r="AJ70" s="78">
        <v>203</v>
      </c>
      <c r="AK70" s="78">
        <v>20</v>
      </c>
      <c r="AL70" s="78">
        <v>2.7</v>
      </c>
      <c r="AM70" s="78">
        <v>2.6</v>
      </c>
      <c r="AN70" s="78">
        <v>0.2</v>
      </c>
      <c r="AO70" s="78">
        <v>22.4</v>
      </c>
    </row>
    <row r="71" spans="1:41">
      <c r="A71" s="78" t="s">
        <v>1737</v>
      </c>
      <c r="B71" s="78" t="s">
        <v>1558</v>
      </c>
      <c r="C71" s="78" t="s">
        <v>366</v>
      </c>
      <c r="D71" s="78" t="s">
        <v>1724</v>
      </c>
      <c r="E71" s="78" t="s">
        <v>1738</v>
      </c>
      <c r="F71" s="78" t="s">
        <v>1728</v>
      </c>
      <c r="G71" s="78" t="s">
        <v>1614</v>
      </c>
      <c r="H71" s="78">
        <v>123</v>
      </c>
      <c r="I71" s="78">
        <v>73.7</v>
      </c>
      <c r="J71" s="78">
        <v>1</v>
      </c>
      <c r="K71" s="78">
        <v>22</v>
      </c>
      <c r="L71" s="78">
        <v>1.2</v>
      </c>
      <c r="M71" s="78" t="s">
        <v>1615</v>
      </c>
      <c r="N71" s="78">
        <v>0</v>
      </c>
      <c r="O71" s="78">
        <v>3.3</v>
      </c>
      <c r="P71" s="78">
        <v>1.64</v>
      </c>
      <c r="Q71" s="78">
        <v>1.03</v>
      </c>
      <c r="R71" s="78">
        <v>1.43</v>
      </c>
      <c r="S71" s="78" t="s">
        <v>1615</v>
      </c>
      <c r="T71" s="78">
        <v>75.7</v>
      </c>
      <c r="U71" s="78" t="s">
        <v>1615</v>
      </c>
      <c r="V71" s="78" t="s">
        <v>1615</v>
      </c>
      <c r="W71" s="78" t="s">
        <v>1615</v>
      </c>
      <c r="X71" s="78" t="s">
        <v>1615</v>
      </c>
      <c r="Y71" s="78" t="s">
        <v>1615</v>
      </c>
      <c r="Z71" s="78" t="s">
        <v>1615</v>
      </c>
      <c r="AA71" s="78" t="s">
        <v>1615</v>
      </c>
      <c r="AB71" s="78" t="s">
        <v>1615</v>
      </c>
      <c r="AC71" s="78" t="s">
        <v>1615</v>
      </c>
      <c r="AD71" s="78" t="s">
        <v>1615</v>
      </c>
      <c r="AE71" s="78" t="s">
        <v>1615</v>
      </c>
      <c r="AF71" s="78" t="s">
        <v>1615</v>
      </c>
      <c r="AG71" s="78">
        <v>70</v>
      </c>
      <c r="AH71" s="78">
        <v>298</v>
      </c>
      <c r="AI71" s="78">
        <v>23</v>
      </c>
      <c r="AJ71" s="78">
        <v>141</v>
      </c>
      <c r="AK71" s="78" t="s">
        <v>1615</v>
      </c>
      <c r="AL71" s="78">
        <v>2.2000000000000002</v>
      </c>
      <c r="AM71" s="78" t="s">
        <v>1615</v>
      </c>
      <c r="AN71" s="78" t="s">
        <v>1615</v>
      </c>
      <c r="AO71" s="78" t="s">
        <v>1615</v>
      </c>
    </row>
    <row r="72" spans="1:41">
      <c r="A72" s="78" t="s">
        <v>1739</v>
      </c>
      <c r="B72" s="78" t="s">
        <v>1558</v>
      </c>
      <c r="C72" s="78" t="s">
        <v>366</v>
      </c>
      <c r="D72" s="78" t="s">
        <v>1726</v>
      </c>
      <c r="E72" s="78" t="s">
        <v>1740</v>
      </c>
      <c r="F72" s="78" t="s">
        <v>1728</v>
      </c>
      <c r="G72" s="78" t="s">
        <v>1614</v>
      </c>
      <c r="H72" s="78">
        <v>189</v>
      </c>
      <c r="I72" s="78">
        <v>63.5</v>
      </c>
      <c r="J72" s="78">
        <v>1.2</v>
      </c>
      <c r="K72" s="78">
        <v>28.6</v>
      </c>
      <c r="L72" s="78">
        <v>0.1</v>
      </c>
      <c r="M72" s="78">
        <v>0</v>
      </c>
      <c r="N72" s="78">
        <v>0</v>
      </c>
      <c r="O72" s="78">
        <v>7.4</v>
      </c>
      <c r="P72" s="78">
        <v>2.16</v>
      </c>
      <c r="Q72" s="78">
        <v>2.65</v>
      </c>
      <c r="R72" s="78">
        <v>2.12</v>
      </c>
      <c r="S72" s="78" t="s">
        <v>1615</v>
      </c>
      <c r="T72" s="78">
        <v>109</v>
      </c>
      <c r="U72" s="78">
        <v>12</v>
      </c>
      <c r="V72" s="78">
        <v>0</v>
      </c>
      <c r="W72" s="78">
        <v>0.4</v>
      </c>
      <c r="X72" s="78">
        <v>0.1</v>
      </c>
      <c r="Y72" s="78">
        <v>0</v>
      </c>
      <c r="Z72" s="78">
        <v>0</v>
      </c>
      <c r="AA72" s="78">
        <v>0.3</v>
      </c>
      <c r="AB72" s="78">
        <v>9.6</v>
      </c>
      <c r="AC72" s="78">
        <v>0.6</v>
      </c>
      <c r="AD72" s="78">
        <v>0.9</v>
      </c>
      <c r="AE72" s="78">
        <v>1</v>
      </c>
      <c r="AF72" s="78">
        <v>9</v>
      </c>
      <c r="AG72" s="78">
        <v>103</v>
      </c>
      <c r="AH72" s="78">
        <v>239</v>
      </c>
      <c r="AI72" s="78">
        <v>14</v>
      </c>
      <c r="AJ72" s="78">
        <v>223</v>
      </c>
      <c r="AK72" s="78">
        <v>30</v>
      </c>
      <c r="AL72" s="78">
        <v>1.1000000000000001</v>
      </c>
      <c r="AM72" s="78">
        <v>2.5</v>
      </c>
      <c r="AN72" s="78">
        <v>0.1</v>
      </c>
      <c r="AO72" s="78">
        <v>29.8</v>
      </c>
    </row>
    <row r="73" spans="1:41">
      <c r="A73" s="78" t="s">
        <v>1741</v>
      </c>
      <c r="B73" s="78" t="s">
        <v>1558</v>
      </c>
      <c r="C73" s="78" t="s">
        <v>366</v>
      </c>
      <c r="D73" s="78" t="s">
        <v>1729</v>
      </c>
      <c r="E73" s="78" t="s">
        <v>594</v>
      </c>
      <c r="F73" s="78" t="s">
        <v>1728</v>
      </c>
      <c r="G73" s="78" t="s">
        <v>1614</v>
      </c>
      <c r="H73" s="78">
        <v>293</v>
      </c>
      <c r="I73" s="78">
        <v>53.4</v>
      </c>
      <c r="J73" s="78">
        <v>0.8</v>
      </c>
      <c r="K73" s="78">
        <v>25.1</v>
      </c>
      <c r="L73" s="78">
        <v>0</v>
      </c>
      <c r="M73" s="78" t="s">
        <v>1615</v>
      </c>
      <c r="N73" s="78">
        <v>0</v>
      </c>
      <c r="O73" s="78">
        <v>20.7</v>
      </c>
      <c r="P73" s="78">
        <v>7.51</v>
      </c>
      <c r="Q73" s="78">
        <v>9.49</v>
      </c>
      <c r="R73" s="78">
        <v>2.34</v>
      </c>
      <c r="S73" s="78" t="s">
        <v>1615</v>
      </c>
      <c r="T73" s="78">
        <v>93.1</v>
      </c>
      <c r="U73" s="78">
        <v>3</v>
      </c>
      <c r="V73" s="78">
        <v>0.3</v>
      </c>
      <c r="W73" s="78" t="s">
        <v>1615</v>
      </c>
      <c r="X73" s="78">
        <v>0.4</v>
      </c>
      <c r="Y73" s="78" t="s">
        <v>1615</v>
      </c>
      <c r="Z73" s="78">
        <v>0.6</v>
      </c>
      <c r="AA73" s="78">
        <v>0.3</v>
      </c>
      <c r="AB73" s="78">
        <v>4.5999999999999996</v>
      </c>
      <c r="AC73" s="78">
        <v>0.4</v>
      </c>
      <c r="AD73" s="78">
        <v>0.6</v>
      </c>
      <c r="AE73" s="78">
        <v>0.7</v>
      </c>
      <c r="AF73" s="78">
        <v>10</v>
      </c>
      <c r="AG73" s="78">
        <v>59.1</v>
      </c>
      <c r="AH73" s="78">
        <v>328</v>
      </c>
      <c r="AI73" s="78">
        <v>6</v>
      </c>
      <c r="AJ73" s="78">
        <v>246</v>
      </c>
      <c r="AK73" s="78">
        <v>22</v>
      </c>
      <c r="AL73" s="78">
        <v>1</v>
      </c>
      <c r="AM73" s="78">
        <v>2.9</v>
      </c>
      <c r="AN73" s="78">
        <v>0.1</v>
      </c>
      <c r="AO73" s="78">
        <v>35.1</v>
      </c>
    </row>
    <row r="74" spans="1:41">
      <c r="A74" s="78" t="s">
        <v>1742</v>
      </c>
      <c r="B74" s="78" t="s">
        <v>1558</v>
      </c>
      <c r="C74" s="78" t="s">
        <v>366</v>
      </c>
      <c r="D74" s="78" t="s">
        <v>1731</v>
      </c>
      <c r="E74" s="78" t="s">
        <v>1743</v>
      </c>
      <c r="F74" s="78" t="s">
        <v>1728</v>
      </c>
      <c r="G74" s="78" t="s">
        <v>1614</v>
      </c>
      <c r="H74" s="78">
        <v>264</v>
      </c>
      <c r="I74" s="78">
        <v>56.1</v>
      </c>
      <c r="J74" s="78">
        <v>0.7</v>
      </c>
      <c r="K74" s="78">
        <v>20.6</v>
      </c>
      <c r="L74" s="78">
        <v>4.4000000000000004</v>
      </c>
      <c r="M74" s="78" t="s">
        <v>1615</v>
      </c>
      <c r="N74" s="78">
        <v>0</v>
      </c>
      <c r="O74" s="78">
        <v>18.2</v>
      </c>
      <c r="P74" s="78">
        <v>7.7</v>
      </c>
      <c r="Q74" s="78">
        <v>9.0299999999999994</v>
      </c>
      <c r="R74" s="78">
        <v>1.47</v>
      </c>
      <c r="S74" s="78" t="s">
        <v>1615</v>
      </c>
      <c r="T74" s="78" t="s">
        <v>1615</v>
      </c>
      <c r="U74" s="78">
        <v>0</v>
      </c>
      <c r="V74" s="78" t="s">
        <v>1615</v>
      </c>
      <c r="W74" s="78" t="s">
        <v>1615</v>
      </c>
      <c r="X74" s="78" t="s">
        <v>1615</v>
      </c>
      <c r="Y74" s="78" t="s">
        <v>1615</v>
      </c>
      <c r="Z74" s="78" t="s">
        <v>1615</v>
      </c>
      <c r="AA74" s="78" t="s">
        <v>1615</v>
      </c>
      <c r="AB74" s="78" t="s">
        <v>1615</v>
      </c>
      <c r="AC74" s="78" t="s">
        <v>1615</v>
      </c>
      <c r="AD74" s="78" t="s">
        <v>1615</v>
      </c>
      <c r="AE74" s="78" t="s">
        <v>1615</v>
      </c>
      <c r="AF74" s="78" t="s">
        <v>1615</v>
      </c>
      <c r="AG74" s="78">
        <v>161</v>
      </c>
      <c r="AH74" s="78">
        <v>731</v>
      </c>
      <c r="AI74" s="78">
        <v>21</v>
      </c>
      <c r="AJ74" s="78">
        <v>107</v>
      </c>
      <c r="AK74" s="78" t="s">
        <v>1615</v>
      </c>
      <c r="AL74" s="78">
        <v>1.3</v>
      </c>
      <c r="AM74" s="78" t="s">
        <v>1615</v>
      </c>
      <c r="AN74" s="78" t="s">
        <v>1615</v>
      </c>
      <c r="AO74" s="78" t="s">
        <v>1615</v>
      </c>
    </row>
    <row r="75" spans="1:41">
      <c r="A75" s="78" t="s">
        <v>1744</v>
      </c>
      <c r="B75" s="78" t="s">
        <v>1558</v>
      </c>
      <c r="C75" s="78" t="s">
        <v>366</v>
      </c>
      <c r="D75" s="78" t="s">
        <v>1733</v>
      </c>
      <c r="E75" s="78" t="s">
        <v>1745</v>
      </c>
      <c r="F75" s="78" t="s">
        <v>1728</v>
      </c>
      <c r="G75" s="78" t="s">
        <v>1614</v>
      </c>
      <c r="H75" s="78">
        <v>90</v>
      </c>
      <c r="I75" s="78">
        <v>79.7</v>
      </c>
      <c r="J75" s="78">
        <v>1.6</v>
      </c>
      <c r="K75" s="78">
        <v>15.3</v>
      </c>
      <c r="L75" s="78">
        <v>0.3</v>
      </c>
      <c r="M75" s="78">
        <v>0.3</v>
      </c>
      <c r="N75" s="78" t="s">
        <v>1615</v>
      </c>
      <c r="O75" s="78">
        <v>3</v>
      </c>
      <c r="P75" s="78">
        <v>1.01</v>
      </c>
      <c r="Q75" s="78">
        <v>1.3</v>
      </c>
      <c r="R75" s="78">
        <v>0.57999999999999996</v>
      </c>
      <c r="S75" s="78">
        <v>0</v>
      </c>
      <c r="T75" s="78">
        <v>32.1</v>
      </c>
      <c r="U75" s="78" t="s">
        <v>1615</v>
      </c>
      <c r="V75" s="78" t="s">
        <v>1615</v>
      </c>
      <c r="W75" s="78" t="s">
        <v>1615</v>
      </c>
      <c r="X75" s="78" t="s">
        <v>1615</v>
      </c>
      <c r="Y75" s="78" t="s">
        <v>1615</v>
      </c>
      <c r="Z75" s="78" t="s">
        <v>1615</v>
      </c>
      <c r="AA75" s="78" t="s">
        <v>1615</v>
      </c>
      <c r="AB75" s="78" t="s">
        <v>1615</v>
      </c>
      <c r="AC75" s="78" t="s">
        <v>1615</v>
      </c>
      <c r="AD75" s="78" t="s">
        <v>1615</v>
      </c>
      <c r="AE75" s="78" t="s">
        <v>1615</v>
      </c>
      <c r="AF75" s="78" t="s">
        <v>1615</v>
      </c>
      <c r="AG75" s="78">
        <v>339</v>
      </c>
      <c r="AH75" s="78" t="s">
        <v>1615</v>
      </c>
      <c r="AI75" s="78" t="s">
        <v>1615</v>
      </c>
      <c r="AJ75" s="78" t="s">
        <v>1615</v>
      </c>
      <c r="AK75" s="78" t="s">
        <v>1615</v>
      </c>
      <c r="AL75" s="78" t="s">
        <v>1615</v>
      </c>
      <c r="AM75" s="78" t="s">
        <v>1615</v>
      </c>
      <c r="AN75" s="78" t="s">
        <v>1615</v>
      </c>
      <c r="AO75" s="78" t="s">
        <v>1615</v>
      </c>
    </row>
    <row r="76" spans="1:41">
      <c r="A76" s="78" t="s">
        <v>1746</v>
      </c>
      <c r="B76" s="78" t="s">
        <v>1558</v>
      </c>
      <c r="C76" s="78" t="s">
        <v>366</v>
      </c>
      <c r="D76" s="78" t="s">
        <v>1735</v>
      </c>
      <c r="E76" s="78" t="s">
        <v>1747</v>
      </c>
      <c r="F76" s="78" t="s">
        <v>1728</v>
      </c>
      <c r="G76" s="78" t="s">
        <v>1614</v>
      </c>
      <c r="H76" s="78">
        <v>164</v>
      </c>
      <c r="I76" s="78">
        <v>71.099999999999994</v>
      </c>
      <c r="J76" s="78">
        <v>1.3</v>
      </c>
      <c r="K76" s="78">
        <v>16.600000000000001</v>
      </c>
      <c r="L76" s="78">
        <v>0.2</v>
      </c>
      <c r="M76" s="78">
        <v>0.1</v>
      </c>
      <c r="N76" s="78" t="s">
        <v>1615</v>
      </c>
      <c r="O76" s="78">
        <v>10.7</v>
      </c>
      <c r="P76" s="78">
        <v>4.04</v>
      </c>
      <c r="Q76" s="78">
        <v>4.92</v>
      </c>
      <c r="R76" s="78">
        <v>1.24</v>
      </c>
      <c r="S76" s="78">
        <v>0</v>
      </c>
      <c r="T76" s="78">
        <v>55.7</v>
      </c>
      <c r="U76" s="78" t="s">
        <v>1615</v>
      </c>
      <c r="V76" s="78" t="s">
        <v>1615</v>
      </c>
      <c r="W76" s="78" t="s">
        <v>1615</v>
      </c>
      <c r="X76" s="78" t="s">
        <v>1615</v>
      </c>
      <c r="Y76" s="78" t="s">
        <v>1615</v>
      </c>
      <c r="Z76" s="78" t="s">
        <v>1615</v>
      </c>
      <c r="AA76" s="78" t="s">
        <v>1615</v>
      </c>
      <c r="AB76" s="78" t="s">
        <v>1615</v>
      </c>
      <c r="AC76" s="78" t="s">
        <v>1615</v>
      </c>
      <c r="AD76" s="78" t="s">
        <v>1615</v>
      </c>
      <c r="AE76" s="78" t="s">
        <v>1615</v>
      </c>
      <c r="AF76" s="78" t="s">
        <v>1615</v>
      </c>
      <c r="AG76" s="78">
        <v>204</v>
      </c>
      <c r="AH76" s="78" t="s">
        <v>1615</v>
      </c>
      <c r="AI76" s="78" t="s">
        <v>1615</v>
      </c>
      <c r="AJ76" s="78" t="s">
        <v>1615</v>
      </c>
      <c r="AK76" s="78" t="s">
        <v>1615</v>
      </c>
      <c r="AL76" s="78" t="s">
        <v>1615</v>
      </c>
      <c r="AM76" s="78" t="s">
        <v>1615</v>
      </c>
      <c r="AN76" s="78" t="s">
        <v>1615</v>
      </c>
      <c r="AO76" s="78" t="s">
        <v>1615</v>
      </c>
    </row>
    <row r="77" spans="1:41">
      <c r="A77" s="78" t="s">
        <v>1748</v>
      </c>
      <c r="B77" s="78" t="s">
        <v>1558</v>
      </c>
      <c r="C77" s="78" t="s">
        <v>366</v>
      </c>
      <c r="D77" s="78" t="s">
        <v>1737</v>
      </c>
      <c r="E77" s="78" t="s">
        <v>1749</v>
      </c>
      <c r="F77" s="78" t="s">
        <v>1728</v>
      </c>
      <c r="G77" s="78" t="s">
        <v>1614</v>
      </c>
      <c r="H77" s="78">
        <v>284</v>
      </c>
      <c r="I77" s="78">
        <v>59.3</v>
      </c>
      <c r="J77" s="78">
        <v>1</v>
      </c>
      <c r="K77" s="78">
        <v>13.7</v>
      </c>
      <c r="L77" s="78">
        <v>0.9</v>
      </c>
      <c r="M77" s="78">
        <v>0.1</v>
      </c>
      <c r="N77" s="78" t="s">
        <v>1615</v>
      </c>
      <c r="O77" s="78">
        <v>25</v>
      </c>
      <c r="P77" s="78">
        <v>10.15</v>
      </c>
      <c r="Q77" s="78">
        <v>11.23</v>
      </c>
      <c r="R77" s="78">
        <v>2.35</v>
      </c>
      <c r="S77" s="78">
        <v>0.1</v>
      </c>
      <c r="T77" s="78">
        <v>56</v>
      </c>
      <c r="U77" s="78" t="s">
        <v>1615</v>
      </c>
      <c r="V77" s="78" t="s">
        <v>1615</v>
      </c>
      <c r="W77" s="78" t="s">
        <v>1615</v>
      </c>
      <c r="X77" s="78" t="s">
        <v>1615</v>
      </c>
      <c r="Y77" s="78" t="s">
        <v>1615</v>
      </c>
      <c r="Z77" s="78" t="s">
        <v>1615</v>
      </c>
      <c r="AA77" s="78" t="s">
        <v>1615</v>
      </c>
      <c r="AB77" s="78" t="s">
        <v>1615</v>
      </c>
      <c r="AC77" s="78" t="s">
        <v>1615</v>
      </c>
      <c r="AD77" s="78" t="s">
        <v>1615</v>
      </c>
      <c r="AE77" s="78" t="s">
        <v>1615</v>
      </c>
      <c r="AF77" s="78" t="s">
        <v>1615</v>
      </c>
      <c r="AG77" s="78">
        <v>156</v>
      </c>
      <c r="AH77" s="78" t="s">
        <v>1615</v>
      </c>
      <c r="AI77" s="78" t="s">
        <v>1615</v>
      </c>
      <c r="AJ77" s="78" t="s">
        <v>1615</v>
      </c>
      <c r="AK77" s="78" t="s">
        <v>1615</v>
      </c>
      <c r="AL77" s="78" t="s">
        <v>1615</v>
      </c>
      <c r="AM77" s="78" t="s">
        <v>1615</v>
      </c>
      <c r="AN77" s="78" t="s">
        <v>1615</v>
      </c>
      <c r="AO77" s="78" t="s">
        <v>1615</v>
      </c>
    </row>
    <row r="78" spans="1:41">
      <c r="A78" s="78" t="s">
        <v>1750</v>
      </c>
      <c r="B78" s="78" t="s">
        <v>1558</v>
      </c>
      <c r="C78" s="78" t="s">
        <v>366</v>
      </c>
      <c r="D78" s="78" t="s">
        <v>1739</v>
      </c>
      <c r="E78" s="78" t="s">
        <v>1751</v>
      </c>
      <c r="F78" s="78" t="s">
        <v>1728</v>
      </c>
      <c r="G78" s="78" t="s">
        <v>1614</v>
      </c>
      <c r="H78" s="78">
        <v>312</v>
      </c>
      <c r="I78" s="78">
        <v>56.1</v>
      </c>
      <c r="J78" s="78">
        <v>0.9</v>
      </c>
      <c r="K78" s="78">
        <v>14.7</v>
      </c>
      <c r="L78" s="78">
        <v>0.2</v>
      </c>
      <c r="M78" s="78">
        <v>0.1</v>
      </c>
      <c r="N78" s="78" t="s">
        <v>1615</v>
      </c>
      <c r="O78" s="78">
        <v>28.1</v>
      </c>
      <c r="P78" s="78">
        <v>11.34</v>
      </c>
      <c r="Q78" s="78">
        <v>12.48</v>
      </c>
      <c r="R78" s="78">
        <v>2.84</v>
      </c>
      <c r="S78" s="78">
        <v>0.1</v>
      </c>
      <c r="T78" s="78">
        <v>51.5</v>
      </c>
      <c r="U78" s="78" t="s">
        <v>1615</v>
      </c>
      <c r="V78" s="78" t="s">
        <v>1615</v>
      </c>
      <c r="W78" s="78" t="s">
        <v>1615</v>
      </c>
      <c r="X78" s="78" t="s">
        <v>1615</v>
      </c>
      <c r="Y78" s="78" t="s">
        <v>1615</v>
      </c>
      <c r="Z78" s="78" t="s">
        <v>1615</v>
      </c>
      <c r="AA78" s="78" t="s">
        <v>1615</v>
      </c>
      <c r="AB78" s="78" t="s">
        <v>1615</v>
      </c>
      <c r="AC78" s="78" t="s">
        <v>1615</v>
      </c>
      <c r="AD78" s="78" t="s">
        <v>1615</v>
      </c>
      <c r="AE78" s="78" t="s">
        <v>1615</v>
      </c>
      <c r="AF78" s="78" t="s">
        <v>1615</v>
      </c>
      <c r="AG78" s="78">
        <v>148</v>
      </c>
      <c r="AH78" s="78" t="s">
        <v>1615</v>
      </c>
      <c r="AI78" s="78" t="s">
        <v>1615</v>
      </c>
      <c r="AJ78" s="78" t="s">
        <v>1615</v>
      </c>
      <c r="AK78" s="78" t="s">
        <v>1615</v>
      </c>
      <c r="AL78" s="78" t="s">
        <v>1615</v>
      </c>
      <c r="AM78" s="78" t="s">
        <v>1615</v>
      </c>
      <c r="AN78" s="78" t="s">
        <v>1615</v>
      </c>
      <c r="AO78" s="78" t="s">
        <v>1615</v>
      </c>
    </row>
    <row r="79" spans="1:41">
      <c r="A79" s="78" t="s">
        <v>1752</v>
      </c>
      <c r="B79" s="78" t="s">
        <v>1558</v>
      </c>
      <c r="C79" s="78" t="s">
        <v>366</v>
      </c>
      <c r="D79" s="78" t="s">
        <v>1741</v>
      </c>
      <c r="E79" s="78" t="s">
        <v>1753</v>
      </c>
      <c r="F79" s="78" t="s">
        <v>1728</v>
      </c>
      <c r="G79" s="78" t="s">
        <v>1614</v>
      </c>
      <c r="H79" s="78">
        <v>210</v>
      </c>
      <c r="I79" s="78">
        <v>64.900000000000006</v>
      </c>
      <c r="J79" s="78">
        <v>1.9</v>
      </c>
      <c r="K79" s="78">
        <v>17.5</v>
      </c>
      <c r="L79" s="78">
        <v>0.1</v>
      </c>
      <c r="M79" s="78">
        <v>0.1</v>
      </c>
      <c r="N79" s="78" t="s">
        <v>1615</v>
      </c>
      <c r="O79" s="78">
        <v>15.5</v>
      </c>
      <c r="P79" s="78">
        <v>5.72</v>
      </c>
      <c r="Q79" s="78">
        <v>6.64</v>
      </c>
      <c r="R79" s="78">
        <v>1.56</v>
      </c>
      <c r="S79" s="78">
        <v>0</v>
      </c>
      <c r="T79" s="78">
        <v>73</v>
      </c>
      <c r="U79" s="78" t="s">
        <v>1615</v>
      </c>
      <c r="V79" s="78" t="s">
        <v>1615</v>
      </c>
      <c r="W79" s="78" t="s">
        <v>1615</v>
      </c>
      <c r="X79" s="78" t="s">
        <v>1615</v>
      </c>
      <c r="Y79" s="78" t="s">
        <v>1615</v>
      </c>
      <c r="Z79" s="78" t="s">
        <v>1615</v>
      </c>
      <c r="AA79" s="78" t="s">
        <v>1615</v>
      </c>
      <c r="AB79" s="78" t="s">
        <v>1615</v>
      </c>
      <c r="AC79" s="78" t="s">
        <v>1615</v>
      </c>
      <c r="AD79" s="78" t="s">
        <v>1615</v>
      </c>
      <c r="AE79" s="78" t="s">
        <v>1615</v>
      </c>
      <c r="AF79" s="78" t="s">
        <v>1615</v>
      </c>
      <c r="AG79" s="78">
        <v>117</v>
      </c>
      <c r="AH79" s="78" t="s">
        <v>1615</v>
      </c>
      <c r="AI79" s="78" t="s">
        <v>1615</v>
      </c>
      <c r="AJ79" s="78" t="s">
        <v>1615</v>
      </c>
      <c r="AK79" s="78" t="s">
        <v>1615</v>
      </c>
      <c r="AL79" s="78" t="s">
        <v>1615</v>
      </c>
      <c r="AM79" s="78" t="s">
        <v>1615</v>
      </c>
      <c r="AN79" s="78" t="s">
        <v>1615</v>
      </c>
      <c r="AO79" s="78" t="s">
        <v>1615</v>
      </c>
    </row>
    <row r="80" spans="1:41">
      <c r="A80" s="78" t="s">
        <v>1754</v>
      </c>
      <c r="B80" s="78" t="s">
        <v>1558</v>
      </c>
      <c r="C80" s="78" t="s">
        <v>366</v>
      </c>
      <c r="D80" s="78" t="s">
        <v>1742</v>
      </c>
      <c r="E80" s="78" t="s">
        <v>1755</v>
      </c>
      <c r="F80" s="78" t="s">
        <v>1728</v>
      </c>
      <c r="G80" s="78" t="s">
        <v>1614</v>
      </c>
      <c r="H80" s="78">
        <v>209</v>
      </c>
      <c r="I80" s="78">
        <v>66</v>
      </c>
      <c r="J80" s="78">
        <v>1.1000000000000001</v>
      </c>
      <c r="K80" s="78">
        <v>17.2</v>
      </c>
      <c r="L80" s="78">
        <v>0.2</v>
      </c>
      <c r="M80" s="78">
        <v>0.1</v>
      </c>
      <c r="N80" s="78" t="s">
        <v>1615</v>
      </c>
      <c r="O80" s="78">
        <v>15.5</v>
      </c>
      <c r="P80" s="78">
        <v>6.08</v>
      </c>
      <c r="Q80" s="78">
        <v>6.17</v>
      </c>
      <c r="R80" s="78">
        <v>2.5</v>
      </c>
      <c r="S80" s="78">
        <v>0</v>
      </c>
      <c r="T80" s="78">
        <v>55.1</v>
      </c>
      <c r="U80" s="78" t="s">
        <v>1615</v>
      </c>
      <c r="V80" s="78" t="s">
        <v>1615</v>
      </c>
      <c r="W80" s="78" t="s">
        <v>1615</v>
      </c>
      <c r="X80" s="78" t="s">
        <v>1615</v>
      </c>
      <c r="Y80" s="78" t="s">
        <v>1615</v>
      </c>
      <c r="Z80" s="78" t="s">
        <v>1615</v>
      </c>
      <c r="AA80" s="78" t="s">
        <v>1615</v>
      </c>
      <c r="AB80" s="78" t="s">
        <v>1615</v>
      </c>
      <c r="AC80" s="78" t="s">
        <v>1615</v>
      </c>
      <c r="AD80" s="78" t="s">
        <v>1615</v>
      </c>
      <c r="AE80" s="78" t="s">
        <v>1615</v>
      </c>
      <c r="AF80" s="78" t="s">
        <v>1615</v>
      </c>
      <c r="AG80" s="78">
        <v>54</v>
      </c>
      <c r="AH80" s="78" t="s">
        <v>1615</v>
      </c>
      <c r="AI80" s="78" t="s">
        <v>1615</v>
      </c>
      <c r="AJ80" s="78" t="s">
        <v>1615</v>
      </c>
      <c r="AK80" s="78" t="s">
        <v>1615</v>
      </c>
      <c r="AL80" s="78" t="s">
        <v>1615</v>
      </c>
      <c r="AM80" s="78" t="s">
        <v>1615</v>
      </c>
      <c r="AN80" s="78" t="s">
        <v>1615</v>
      </c>
      <c r="AO80" s="78" t="s">
        <v>1615</v>
      </c>
    </row>
    <row r="81" spans="1:41">
      <c r="A81" s="78" t="s">
        <v>1756</v>
      </c>
      <c r="B81" s="78" t="s">
        <v>1558</v>
      </c>
      <c r="C81" s="78" t="s">
        <v>366</v>
      </c>
      <c r="D81" s="78" t="s">
        <v>1744</v>
      </c>
      <c r="E81" s="78" t="s">
        <v>1757</v>
      </c>
      <c r="F81" s="78" t="s">
        <v>1728</v>
      </c>
      <c r="G81" s="78" t="s">
        <v>1614</v>
      </c>
      <c r="H81" s="78">
        <v>129</v>
      </c>
      <c r="I81" s="78">
        <v>72.8</v>
      </c>
      <c r="J81" s="78">
        <v>0.9</v>
      </c>
      <c r="K81" s="78">
        <v>21.4</v>
      </c>
      <c r="L81" s="78">
        <v>0.2</v>
      </c>
      <c r="M81" s="78" t="s">
        <v>1615</v>
      </c>
      <c r="N81" s="78">
        <v>0</v>
      </c>
      <c r="O81" s="78">
        <v>4.7</v>
      </c>
      <c r="P81" s="78">
        <v>1.99</v>
      </c>
      <c r="Q81" s="78">
        <v>2.33</v>
      </c>
      <c r="R81" s="78">
        <v>0.38</v>
      </c>
      <c r="S81" s="78" t="s">
        <v>1615</v>
      </c>
      <c r="T81" s="78" t="s">
        <v>1615</v>
      </c>
      <c r="U81" s="78" t="s">
        <v>1615</v>
      </c>
      <c r="V81" s="78" t="s">
        <v>1615</v>
      </c>
      <c r="W81" s="78" t="s">
        <v>1615</v>
      </c>
      <c r="X81" s="78" t="s">
        <v>1615</v>
      </c>
      <c r="Y81" s="78" t="s">
        <v>1615</v>
      </c>
      <c r="Z81" s="78" t="s">
        <v>1615</v>
      </c>
      <c r="AA81" s="78" t="s">
        <v>1615</v>
      </c>
      <c r="AB81" s="78" t="s">
        <v>1615</v>
      </c>
      <c r="AC81" s="78" t="s">
        <v>1615</v>
      </c>
      <c r="AD81" s="78" t="s">
        <v>1615</v>
      </c>
      <c r="AE81" s="78" t="s">
        <v>1615</v>
      </c>
      <c r="AF81" s="78" t="s">
        <v>1615</v>
      </c>
      <c r="AG81" s="78">
        <v>59.1</v>
      </c>
      <c r="AH81" s="78">
        <v>328</v>
      </c>
      <c r="AI81" s="78">
        <v>18</v>
      </c>
      <c r="AJ81" s="78">
        <v>94</v>
      </c>
      <c r="AK81" s="78" t="s">
        <v>1615</v>
      </c>
      <c r="AL81" s="78">
        <v>1.6</v>
      </c>
      <c r="AM81" s="78" t="s">
        <v>1615</v>
      </c>
      <c r="AN81" s="78" t="s">
        <v>1615</v>
      </c>
      <c r="AO81" s="78" t="s">
        <v>1615</v>
      </c>
    </row>
    <row r="82" spans="1:41">
      <c r="A82" s="78" t="s">
        <v>1758</v>
      </c>
      <c r="B82" s="78" t="s">
        <v>1558</v>
      </c>
      <c r="C82" s="78" t="s">
        <v>366</v>
      </c>
      <c r="D82" s="78" t="s">
        <v>1746</v>
      </c>
      <c r="E82" s="78" t="s">
        <v>1759</v>
      </c>
      <c r="F82" s="78" t="s">
        <v>1728</v>
      </c>
      <c r="G82" s="78" t="s">
        <v>1614</v>
      </c>
      <c r="H82" s="78">
        <v>132</v>
      </c>
      <c r="I82" s="78">
        <v>71.8</v>
      </c>
      <c r="J82" s="78">
        <v>0.8</v>
      </c>
      <c r="K82" s="78">
        <v>21.2</v>
      </c>
      <c r="L82" s="78">
        <v>1.8</v>
      </c>
      <c r="M82" s="78" t="s">
        <v>1615</v>
      </c>
      <c r="N82" s="78">
        <v>0</v>
      </c>
      <c r="O82" s="78">
        <v>4.4000000000000004</v>
      </c>
      <c r="P82" s="78">
        <v>1.86</v>
      </c>
      <c r="Q82" s="78">
        <v>2.1800000000000002</v>
      </c>
      <c r="R82" s="78">
        <v>0.36</v>
      </c>
      <c r="S82" s="78" t="s">
        <v>1615</v>
      </c>
      <c r="T82" s="78" t="s">
        <v>1615</v>
      </c>
      <c r="U82" s="78" t="s">
        <v>1615</v>
      </c>
      <c r="V82" s="78" t="s">
        <v>1615</v>
      </c>
      <c r="W82" s="78" t="s">
        <v>1615</v>
      </c>
      <c r="X82" s="78" t="s">
        <v>1615</v>
      </c>
      <c r="Y82" s="78" t="s">
        <v>1615</v>
      </c>
      <c r="Z82" s="78" t="s">
        <v>1615</v>
      </c>
      <c r="AA82" s="78" t="s">
        <v>1615</v>
      </c>
      <c r="AB82" s="78" t="s">
        <v>1615</v>
      </c>
      <c r="AC82" s="78" t="s">
        <v>1615</v>
      </c>
      <c r="AD82" s="78" t="s">
        <v>1615</v>
      </c>
      <c r="AE82" s="78" t="s">
        <v>1615</v>
      </c>
      <c r="AF82" s="78" t="s">
        <v>1615</v>
      </c>
      <c r="AG82" s="78">
        <v>91</v>
      </c>
      <c r="AH82" s="78">
        <v>384</v>
      </c>
      <c r="AI82" s="78">
        <v>16</v>
      </c>
      <c r="AJ82" s="78">
        <v>99</v>
      </c>
      <c r="AK82" s="78" t="s">
        <v>1615</v>
      </c>
      <c r="AL82" s="78">
        <v>1.2</v>
      </c>
      <c r="AM82" s="78" t="s">
        <v>1615</v>
      </c>
      <c r="AN82" s="78" t="s">
        <v>1615</v>
      </c>
      <c r="AO82" s="78" t="s">
        <v>1615</v>
      </c>
    </row>
    <row r="83" spans="1:41">
      <c r="A83" s="78" t="s">
        <v>1760</v>
      </c>
      <c r="B83" s="78" t="s">
        <v>1558</v>
      </c>
      <c r="C83" s="78" t="s">
        <v>366</v>
      </c>
      <c r="D83" s="78" t="s">
        <v>1748</v>
      </c>
      <c r="E83" s="78" t="s">
        <v>1761</v>
      </c>
      <c r="F83" s="78" t="s">
        <v>1728</v>
      </c>
      <c r="G83" s="78" t="s">
        <v>1614</v>
      </c>
      <c r="H83" s="78">
        <v>152</v>
      </c>
      <c r="I83" s="78">
        <v>70.599999999999994</v>
      </c>
      <c r="J83" s="78">
        <v>1</v>
      </c>
      <c r="K83" s="78">
        <v>20.6</v>
      </c>
      <c r="L83" s="78">
        <v>0.2</v>
      </c>
      <c r="M83" s="78" t="s">
        <v>1615</v>
      </c>
      <c r="N83" s="78">
        <v>0</v>
      </c>
      <c r="O83" s="78">
        <v>7.6</v>
      </c>
      <c r="P83" s="78">
        <v>4.37</v>
      </c>
      <c r="Q83" s="78">
        <v>2.87</v>
      </c>
      <c r="R83" s="78">
        <v>0.18</v>
      </c>
      <c r="S83" s="78" t="s">
        <v>1615</v>
      </c>
      <c r="T83" s="78" t="s">
        <v>1615</v>
      </c>
      <c r="U83" s="78">
        <v>0</v>
      </c>
      <c r="V83" s="78">
        <v>0</v>
      </c>
      <c r="W83" s="78" t="s">
        <v>1615</v>
      </c>
      <c r="X83" s="78" t="s">
        <v>1615</v>
      </c>
      <c r="Y83" s="78" t="s">
        <v>1615</v>
      </c>
      <c r="Z83" s="78" t="s">
        <v>1615</v>
      </c>
      <c r="AA83" s="78" t="s">
        <v>1615</v>
      </c>
      <c r="AB83" s="78" t="s">
        <v>1615</v>
      </c>
      <c r="AC83" s="78" t="s">
        <v>1615</v>
      </c>
      <c r="AD83" s="78" t="s">
        <v>1615</v>
      </c>
      <c r="AE83" s="78" t="s">
        <v>1615</v>
      </c>
      <c r="AF83" s="78" t="s">
        <v>1615</v>
      </c>
      <c r="AG83" s="78">
        <v>116</v>
      </c>
      <c r="AH83" s="78">
        <v>356</v>
      </c>
      <c r="AI83" s="78">
        <v>20</v>
      </c>
      <c r="AJ83" s="78">
        <v>117</v>
      </c>
      <c r="AK83" s="78" t="s">
        <v>1615</v>
      </c>
      <c r="AL83" s="78">
        <v>1</v>
      </c>
      <c r="AM83" s="78" t="s">
        <v>1615</v>
      </c>
      <c r="AN83" s="78" t="s">
        <v>1615</v>
      </c>
      <c r="AO83" s="78" t="s">
        <v>1615</v>
      </c>
    </row>
    <row r="84" spans="1:41">
      <c r="A84" s="78" t="s">
        <v>1762</v>
      </c>
      <c r="B84" s="78" t="s">
        <v>1558</v>
      </c>
      <c r="C84" s="78" t="s">
        <v>366</v>
      </c>
      <c r="D84" s="78" t="s">
        <v>1750</v>
      </c>
      <c r="E84" s="78" t="s">
        <v>1763</v>
      </c>
      <c r="F84" s="78" t="s">
        <v>1728</v>
      </c>
      <c r="G84" s="78" t="s">
        <v>1614</v>
      </c>
      <c r="H84" s="78">
        <v>201</v>
      </c>
      <c r="I84" s="78">
        <v>63.6</v>
      </c>
      <c r="J84" s="78">
        <v>0.7</v>
      </c>
      <c r="K84" s="78">
        <v>18.8</v>
      </c>
      <c r="L84" s="78">
        <v>5.3</v>
      </c>
      <c r="M84" s="78" t="s">
        <v>1615</v>
      </c>
      <c r="N84" s="78">
        <v>0</v>
      </c>
      <c r="O84" s="78">
        <v>11.6</v>
      </c>
      <c r="P84" s="78">
        <v>6.67</v>
      </c>
      <c r="Q84" s="78">
        <v>4.37</v>
      </c>
      <c r="R84" s="78">
        <v>0.28000000000000003</v>
      </c>
      <c r="S84" s="78" t="s">
        <v>1615</v>
      </c>
      <c r="T84" s="78" t="s">
        <v>1615</v>
      </c>
      <c r="U84" s="78">
        <v>0</v>
      </c>
      <c r="V84" s="78">
        <v>0</v>
      </c>
      <c r="W84" s="78" t="s">
        <v>1615</v>
      </c>
      <c r="X84" s="78" t="s">
        <v>1615</v>
      </c>
      <c r="Y84" s="78" t="s">
        <v>1615</v>
      </c>
      <c r="Z84" s="78" t="s">
        <v>1615</v>
      </c>
      <c r="AA84" s="78" t="s">
        <v>1615</v>
      </c>
      <c r="AB84" s="78" t="s">
        <v>1615</v>
      </c>
      <c r="AC84" s="78" t="s">
        <v>1615</v>
      </c>
      <c r="AD84" s="78" t="s">
        <v>1615</v>
      </c>
      <c r="AE84" s="78" t="s">
        <v>1615</v>
      </c>
      <c r="AF84" s="78" t="s">
        <v>1615</v>
      </c>
      <c r="AG84" s="78">
        <v>142</v>
      </c>
      <c r="AH84" s="78">
        <v>452</v>
      </c>
      <c r="AI84" s="78">
        <v>21</v>
      </c>
      <c r="AJ84" s="78">
        <v>75</v>
      </c>
      <c r="AK84" s="78" t="s">
        <v>1615</v>
      </c>
      <c r="AL84" s="78">
        <v>0.6</v>
      </c>
      <c r="AM84" s="78" t="s">
        <v>1615</v>
      </c>
      <c r="AN84" s="78" t="s">
        <v>1615</v>
      </c>
      <c r="AO84" s="78" t="s">
        <v>1615</v>
      </c>
    </row>
    <row r="85" spans="1:41">
      <c r="A85" s="78" t="s">
        <v>1764</v>
      </c>
      <c r="B85" s="78" t="s">
        <v>1558</v>
      </c>
      <c r="C85" s="78" t="s">
        <v>366</v>
      </c>
      <c r="D85" s="78" t="s">
        <v>1752</v>
      </c>
      <c r="E85" s="78" t="s">
        <v>1765</v>
      </c>
      <c r="F85" s="78" t="s">
        <v>1728</v>
      </c>
      <c r="G85" s="78" t="s">
        <v>1614</v>
      </c>
      <c r="H85" s="78">
        <v>144</v>
      </c>
      <c r="I85" s="78">
        <v>69.599999999999994</v>
      </c>
      <c r="J85" s="78">
        <v>0.5</v>
      </c>
      <c r="K85" s="78">
        <v>20.399999999999999</v>
      </c>
      <c r="L85" s="78">
        <v>4.7</v>
      </c>
      <c r="M85" s="78" t="s">
        <v>1615</v>
      </c>
      <c r="N85" s="78">
        <v>0</v>
      </c>
      <c r="O85" s="78">
        <v>4.8</v>
      </c>
      <c r="P85" s="78">
        <v>2.76</v>
      </c>
      <c r="Q85" s="78">
        <v>1.81</v>
      </c>
      <c r="R85" s="78">
        <v>0.12</v>
      </c>
      <c r="S85" s="78" t="s">
        <v>1615</v>
      </c>
      <c r="T85" s="78" t="s">
        <v>1615</v>
      </c>
      <c r="U85" s="78" t="s">
        <v>1615</v>
      </c>
      <c r="V85" s="78">
        <v>0</v>
      </c>
      <c r="W85" s="78" t="s">
        <v>1615</v>
      </c>
      <c r="X85" s="78">
        <v>0.2</v>
      </c>
      <c r="Y85" s="78" t="s">
        <v>1615</v>
      </c>
      <c r="Z85" s="78" t="s">
        <v>1615</v>
      </c>
      <c r="AA85" s="78" t="s">
        <v>1615</v>
      </c>
      <c r="AB85" s="78" t="s">
        <v>1615</v>
      </c>
      <c r="AC85" s="78" t="s">
        <v>1615</v>
      </c>
      <c r="AD85" s="78" t="s">
        <v>1615</v>
      </c>
      <c r="AE85" s="78" t="s">
        <v>1615</v>
      </c>
      <c r="AF85" s="78" t="s">
        <v>1615</v>
      </c>
      <c r="AG85" s="78">
        <v>101</v>
      </c>
      <c r="AH85" s="78">
        <v>424</v>
      </c>
      <c r="AI85" s="78">
        <v>25</v>
      </c>
      <c r="AJ85" s="78">
        <v>125</v>
      </c>
      <c r="AK85" s="78">
        <v>24</v>
      </c>
      <c r="AL85" s="78">
        <v>2.9</v>
      </c>
      <c r="AM85" s="78" t="s">
        <v>1615</v>
      </c>
      <c r="AN85" s="78">
        <v>0.1</v>
      </c>
      <c r="AO85" s="78" t="s">
        <v>1615</v>
      </c>
    </row>
    <row r="86" spans="1:41">
      <c r="A86" s="78" t="s">
        <v>1766</v>
      </c>
      <c r="B86" s="78" t="s">
        <v>1558</v>
      </c>
      <c r="C86" s="78" t="s">
        <v>366</v>
      </c>
      <c r="D86" s="78" t="s">
        <v>1754</v>
      </c>
      <c r="E86" s="78" t="s">
        <v>1767</v>
      </c>
      <c r="F86" s="78" t="s">
        <v>1728</v>
      </c>
      <c r="G86" s="78" t="s">
        <v>1614</v>
      </c>
      <c r="H86" s="78">
        <v>109</v>
      </c>
      <c r="I86" s="78">
        <v>75.5</v>
      </c>
      <c r="J86" s="78">
        <v>1.2</v>
      </c>
      <c r="K86" s="78">
        <v>19.399999999999999</v>
      </c>
      <c r="L86" s="78">
        <v>0.8</v>
      </c>
      <c r="M86" s="78" t="s">
        <v>1615</v>
      </c>
      <c r="N86" s="78">
        <v>0</v>
      </c>
      <c r="O86" s="78">
        <v>3.1</v>
      </c>
      <c r="P86" s="78" t="s">
        <v>1615</v>
      </c>
      <c r="Q86" s="78" t="s">
        <v>1615</v>
      </c>
      <c r="R86" s="78" t="s">
        <v>1615</v>
      </c>
      <c r="S86" s="78" t="s">
        <v>1615</v>
      </c>
      <c r="T86" s="78">
        <v>64</v>
      </c>
      <c r="U86" s="78" t="s">
        <v>1615</v>
      </c>
      <c r="V86" s="78">
        <v>0</v>
      </c>
      <c r="W86" s="78" t="s">
        <v>1615</v>
      </c>
      <c r="X86" s="78" t="s">
        <v>1615</v>
      </c>
      <c r="Y86" s="78" t="s">
        <v>1615</v>
      </c>
      <c r="Z86" s="78" t="s">
        <v>1615</v>
      </c>
      <c r="AA86" s="78" t="s">
        <v>1615</v>
      </c>
      <c r="AB86" s="78" t="s">
        <v>1615</v>
      </c>
      <c r="AC86" s="78" t="s">
        <v>1615</v>
      </c>
      <c r="AD86" s="78" t="s">
        <v>1615</v>
      </c>
      <c r="AE86" s="78" t="s">
        <v>1615</v>
      </c>
      <c r="AF86" s="78" t="s">
        <v>1615</v>
      </c>
      <c r="AG86" s="78">
        <v>37</v>
      </c>
      <c r="AH86" s="78">
        <v>300</v>
      </c>
      <c r="AI86" s="78">
        <v>15</v>
      </c>
      <c r="AJ86" s="78">
        <v>206</v>
      </c>
      <c r="AK86" s="78" t="s">
        <v>1615</v>
      </c>
      <c r="AL86" s="78">
        <v>1.8</v>
      </c>
      <c r="AM86" s="78" t="s">
        <v>1615</v>
      </c>
      <c r="AN86" s="78" t="s">
        <v>1615</v>
      </c>
      <c r="AO86" s="78" t="s">
        <v>1615</v>
      </c>
    </row>
    <row r="87" spans="1:41">
      <c r="A87" s="78" t="s">
        <v>1768</v>
      </c>
      <c r="B87" s="78" t="s">
        <v>1558</v>
      </c>
      <c r="C87" s="78" t="s">
        <v>366</v>
      </c>
      <c r="D87" s="78" t="s">
        <v>1756</v>
      </c>
      <c r="E87" s="78" t="s">
        <v>1769</v>
      </c>
      <c r="F87" s="78" t="s">
        <v>1728</v>
      </c>
      <c r="G87" s="78" t="s">
        <v>1614</v>
      </c>
      <c r="H87" s="78">
        <v>136</v>
      </c>
      <c r="I87" s="78">
        <v>72.8</v>
      </c>
      <c r="J87" s="78">
        <v>0.7</v>
      </c>
      <c r="K87" s="78">
        <v>20.100000000000001</v>
      </c>
      <c r="L87" s="78">
        <v>0</v>
      </c>
      <c r="M87" s="78" t="s">
        <v>1615</v>
      </c>
      <c r="N87" s="78">
        <v>0</v>
      </c>
      <c r="O87" s="78">
        <v>5.6</v>
      </c>
      <c r="P87" s="78">
        <v>1.66</v>
      </c>
      <c r="Q87" s="78">
        <v>1.5</v>
      </c>
      <c r="R87" s="78">
        <v>1.08</v>
      </c>
      <c r="S87" s="78" t="s">
        <v>1615</v>
      </c>
      <c r="T87" s="78">
        <v>57</v>
      </c>
      <c r="U87" s="78">
        <v>0</v>
      </c>
      <c r="V87" s="78">
        <v>0</v>
      </c>
      <c r="W87" s="78" t="s">
        <v>1615</v>
      </c>
      <c r="X87" s="78" t="s">
        <v>1615</v>
      </c>
      <c r="Y87" s="78" t="s">
        <v>1615</v>
      </c>
      <c r="Z87" s="78">
        <v>0.1</v>
      </c>
      <c r="AA87" s="78">
        <v>0.2</v>
      </c>
      <c r="AB87" s="78">
        <v>7.3</v>
      </c>
      <c r="AC87" s="78">
        <v>0.5</v>
      </c>
      <c r="AD87" s="78">
        <v>0.8</v>
      </c>
      <c r="AE87" s="78">
        <v>7.2</v>
      </c>
      <c r="AF87" s="78">
        <v>8</v>
      </c>
      <c r="AG87" s="78">
        <v>41</v>
      </c>
      <c r="AH87" s="78">
        <v>330</v>
      </c>
      <c r="AI87" s="78">
        <v>13</v>
      </c>
      <c r="AJ87" s="78">
        <v>213</v>
      </c>
      <c r="AK87" s="78">
        <v>19</v>
      </c>
      <c r="AL87" s="78">
        <v>1.5</v>
      </c>
      <c r="AM87" s="78">
        <v>1.6</v>
      </c>
      <c r="AN87" s="78">
        <v>0.1</v>
      </c>
      <c r="AO87" s="78">
        <v>23.7</v>
      </c>
    </row>
    <row r="88" spans="1:41">
      <c r="A88" s="78" t="s">
        <v>1770</v>
      </c>
      <c r="B88" s="78" t="s">
        <v>1558</v>
      </c>
      <c r="C88" s="78" t="s">
        <v>366</v>
      </c>
      <c r="D88" s="78" t="s">
        <v>1758</v>
      </c>
      <c r="E88" s="78" t="s">
        <v>1771</v>
      </c>
      <c r="F88" s="78" t="s">
        <v>1728</v>
      </c>
      <c r="G88" s="78" t="s">
        <v>1614</v>
      </c>
      <c r="H88" s="78">
        <v>197</v>
      </c>
      <c r="I88" s="78">
        <v>60.6</v>
      </c>
      <c r="J88" s="78">
        <v>1</v>
      </c>
      <c r="K88" s="78">
        <v>29.1</v>
      </c>
      <c r="L88" s="78">
        <v>0</v>
      </c>
      <c r="M88" s="78" t="s">
        <v>1615</v>
      </c>
      <c r="N88" s="78">
        <v>0</v>
      </c>
      <c r="O88" s="78">
        <v>8.1</v>
      </c>
      <c r="P88" s="78">
        <v>2.4</v>
      </c>
      <c r="Q88" s="78">
        <v>2.17</v>
      </c>
      <c r="R88" s="78">
        <v>1.56</v>
      </c>
      <c r="S88" s="78" t="s">
        <v>1615</v>
      </c>
      <c r="T88" s="78">
        <v>82</v>
      </c>
      <c r="U88" s="78">
        <v>0</v>
      </c>
      <c r="V88" s="78">
        <v>0</v>
      </c>
      <c r="W88" s="78" t="s">
        <v>1615</v>
      </c>
      <c r="X88" s="78" t="s">
        <v>1615</v>
      </c>
      <c r="Y88" s="78" t="s">
        <v>1615</v>
      </c>
      <c r="Z88" s="78">
        <v>0.1</v>
      </c>
      <c r="AA88" s="78">
        <v>0.2</v>
      </c>
      <c r="AB88" s="78">
        <v>8.4</v>
      </c>
      <c r="AC88" s="78">
        <v>0.5</v>
      </c>
      <c r="AD88" s="78">
        <v>0.9</v>
      </c>
      <c r="AE88" s="78">
        <v>8.3000000000000007</v>
      </c>
      <c r="AF88" s="78">
        <v>11</v>
      </c>
      <c r="AG88" s="78">
        <v>47</v>
      </c>
      <c r="AH88" s="78">
        <v>383</v>
      </c>
      <c r="AI88" s="78">
        <v>19</v>
      </c>
      <c r="AJ88" s="78">
        <v>263</v>
      </c>
      <c r="AK88" s="78">
        <v>21</v>
      </c>
      <c r="AL88" s="78">
        <v>2.2999999999999998</v>
      </c>
      <c r="AM88" s="78">
        <v>2.2999999999999998</v>
      </c>
      <c r="AN88" s="78">
        <v>0.2</v>
      </c>
      <c r="AO88" s="78">
        <v>38.5</v>
      </c>
    </row>
    <row r="89" spans="1:41">
      <c r="A89" s="78" t="s">
        <v>1772</v>
      </c>
      <c r="B89" s="78" t="s">
        <v>1558</v>
      </c>
      <c r="C89" s="78" t="s">
        <v>366</v>
      </c>
      <c r="D89" s="78" t="s">
        <v>1760</v>
      </c>
      <c r="E89" s="78" t="s">
        <v>1773</v>
      </c>
      <c r="F89" s="78" t="s">
        <v>1728</v>
      </c>
      <c r="G89" s="78" t="s">
        <v>1614</v>
      </c>
      <c r="H89" s="78">
        <v>124</v>
      </c>
      <c r="I89" s="78">
        <v>72.7</v>
      </c>
      <c r="J89" s="78">
        <v>1.1000000000000001</v>
      </c>
      <c r="K89" s="78">
        <v>21.2</v>
      </c>
      <c r="L89" s="78">
        <v>1.1000000000000001</v>
      </c>
      <c r="M89" s="78" t="s">
        <v>1615</v>
      </c>
      <c r="N89" s="78">
        <v>0</v>
      </c>
      <c r="O89" s="78">
        <v>3.9</v>
      </c>
      <c r="P89" s="78">
        <v>2.09</v>
      </c>
      <c r="Q89" s="78">
        <v>1.62</v>
      </c>
      <c r="R89" s="78">
        <v>0.16</v>
      </c>
      <c r="S89" s="78" t="s">
        <v>1615</v>
      </c>
      <c r="T89" s="78" t="s">
        <v>1615</v>
      </c>
      <c r="U89" s="78" t="s">
        <v>1615</v>
      </c>
      <c r="V89" s="78" t="s">
        <v>1615</v>
      </c>
      <c r="W89" s="78" t="s">
        <v>1615</v>
      </c>
      <c r="X89" s="78" t="s">
        <v>1615</v>
      </c>
      <c r="Y89" s="78" t="s">
        <v>1615</v>
      </c>
      <c r="Z89" s="78">
        <v>0.1</v>
      </c>
      <c r="AA89" s="78">
        <v>0.3</v>
      </c>
      <c r="AB89" s="78">
        <v>4.3</v>
      </c>
      <c r="AC89" s="78" t="s">
        <v>1615</v>
      </c>
      <c r="AD89" s="78" t="s">
        <v>1615</v>
      </c>
      <c r="AE89" s="78" t="s">
        <v>1615</v>
      </c>
      <c r="AF89" s="78" t="s">
        <v>1615</v>
      </c>
      <c r="AG89" s="78">
        <v>180</v>
      </c>
      <c r="AH89" s="78">
        <v>347</v>
      </c>
      <c r="AI89" s="78">
        <v>12</v>
      </c>
      <c r="AJ89" s="78">
        <v>136</v>
      </c>
      <c r="AK89" s="78" t="s">
        <v>1615</v>
      </c>
      <c r="AL89" s="78">
        <v>3.2</v>
      </c>
      <c r="AM89" s="78" t="s">
        <v>1615</v>
      </c>
      <c r="AN89" s="78" t="s">
        <v>1615</v>
      </c>
      <c r="AO89" s="78" t="s">
        <v>1615</v>
      </c>
    </row>
    <row r="90" spans="1:41">
      <c r="A90" s="78" t="s">
        <v>1774</v>
      </c>
      <c r="B90" s="78" t="s">
        <v>1558</v>
      </c>
      <c r="C90" s="78" t="s">
        <v>366</v>
      </c>
      <c r="D90" s="78" t="s">
        <v>1762</v>
      </c>
      <c r="E90" s="78" t="s">
        <v>1775</v>
      </c>
      <c r="F90" s="78" t="s">
        <v>1728</v>
      </c>
      <c r="G90" s="78" t="s">
        <v>1614</v>
      </c>
      <c r="H90" s="78">
        <v>128</v>
      </c>
      <c r="I90" s="78">
        <v>71.8</v>
      </c>
      <c r="J90" s="78">
        <v>1</v>
      </c>
      <c r="K90" s="78">
        <v>23.2</v>
      </c>
      <c r="L90" s="78">
        <v>0.2</v>
      </c>
      <c r="M90" s="78" t="s">
        <v>1615</v>
      </c>
      <c r="N90" s="78">
        <v>0</v>
      </c>
      <c r="O90" s="78">
        <v>3.8</v>
      </c>
      <c r="P90" s="78">
        <v>2.04</v>
      </c>
      <c r="Q90" s="78">
        <v>1.58</v>
      </c>
      <c r="R90" s="78">
        <v>0.16</v>
      </c>
      <c r="S90" s="78" t="s">
        <v>1615</v>
      </c>
      <c r="T90" s="78" t="s">
        <v>1615</v>
      </c>
      <c r="U90" s="78">
        <v>0</v>
      </c>
      <c r="V90" s="78">
        <v>0</v>
      </c>
      <c r="W90" s="78" t="s">
        <v>1615</v>
      </c>
      <c r="X90" s="78" t="s">
        <v>1615</v>
      </c>
      <c r="Y90" s="78" t="s">
        <v>1615</v>
      </c>
      <c r="Z90" s="78">
        <v>0.1</v>
      </c>
      <c r="AA90" s="78">
        <v>0.3</v>
      </c>
      <c r="AB90" s="78">
        <v>4.7</v>
      </c>
      <c r="AC90" s="78" t="s">
        <v>1615</v>
      </c>
      <c r="AD90" s="78" t="s">
        <v>1615</v>
      </c>
      <c r="AE90" s="78" t="s">
        <v>1615</v>
      </c>
      <c r="AF90" s="78" t="s">
        <v>1615</v>
      </c>
      <c r="AG90" s="78">
        <v>107</v>
      </c>
      <c r="AH90" s="78">
        <v>515</v>
      </c>
      <c r="AI90" s="78">
        <v>9</v>
      </c>
      <c r="AJ90" s="78">
        <v>135</v>
      </c>
      <c r="AK90" s="78" t="s">
        <v>1615</v>
      </c>
      <c r="AL90" s="78">
        <v>1.5</v>
      </c>
      <c r="AM90" s="78" t="s">
        <v>1615</v>
      </c>
      <c r="AN90" s="78" t="s">
        <v>1615</v>
      </c>
      <c r="AO90" s="78" t="s">
        <v>1615</v>
      </c>
    </row>
    <row r="91" spans="1:41">
      <c r="A91" s="78" t="s">
        <v>1776</v>
      </c>
      <c r="B91" s="78" t="s">
        <v>1558</v>
      </c>
      <c r="C91" s="78" t="s">
        <v>366</v>
      </c>
      <c r="D91" s="78" t="s">
        <v>1764</v>
      </c>
      <c r="E91" s="78" t="s">
        <v>1777</v>
      </c>
      <c r="F91" s="78" t="s">
        <v>1728</v>
      </c>
      <c r="G91" s="78" t="s">
        <v>1614</v>
      </c>
      <c r="H91" s="78">
        <v>116</v>
      </c>
      <c r="I91" s="78">
        <v>74.400000000000006</v>
      </c>
      <c r="J91" s="78">
        <v>1.2</v>
      </c>
      <c r="K91" s="78">
        <v>20.399999999999999</v>
      </c>
      <c r="L91" s="78">
        <v>0.3</v>
      </c>
      <c r="M91" s="78">
        <v>0.1</v>
      </c>
      <c r="N91" s="78" t="s">
        <v>1615</v>
      </c>
      <c r="O91" s="78">
        <v>3.7</v>
      </c>
      <c r="P91" s="78">
        <v>1.44</v>
      </c>
      <c r="Q91" s="78">
        <v>1.38</v>
      </c>
      <c r="R91" s="78">
        <v>0.73</v>
      </c>
      <c r="S91" s="78">
        <v>0</v>
      </c>
      <c r="T91" s="78">
        <v>42.4</v>
      </c>
      <c r="U91" s="78" t="s">
        <v>1615</v>
      </c>
      <c r="V91" s="78" t="s">
        <v>1615</v>
      </c>
      <c r="W91" s="78" t="s">
        <v>1615</v>
      </c>
      <c r="X91" s="78" t="s">
        <v>1615</v>
      </c>
      <c r="Y91" s="78" t="s">
        <v>1615</v>
      </c>
      <c r="Z91" s="78" t="s">
        <v>1615</v>
      </c>
      <c r="AA91" s="78" t="s">
        <v>1615</v>
      </c>
      <c r="AB91" s="78" t="s">
        <v>1615</v>
      </c>
      <c r="AC91" s="78" t="s">
        <v>1615</v>
      </c>
      <c r="AD91" s="78" t="s">
        <v>1615</v>
      </c>
      <c r="AE91" s="78" t="s">
        <v>1615</v>
      </c>
      <c r="AF91" s="78" t="s">
        <v>1615</v>
      </c>
      <c r="AG91" s="78">
        <v>202</v>
      </c>
      <c r="AH91" s="78" t="s">
        <v>1615</v>
      </c>
      <c r="AI91" s="78" t="s">
        <v>1615</v>
      </c>
      <c r="AJ91" s="78" t="s">
        <v>1615</v>
      </c>
      <c r="AK91" s="78" t="s">
        <v>1615</v>
      </c>
      <c r="AL91" s="78" t="s">
        <v>1615</v>
      </c>
      <c r="AM91" s="78" t="s">
        <v>1615</v>
      </c>
      <c r="AN91" s="78" t="s">
        <v>1615</v>
      </c>
      <c r="AO91" s="78" t="s">
        <v>1615</v>
      </c>
    </row>
    <row r="92" spans="1:41">
      <c r="A92" s="78" t="s">
        <v>1778</v>
      </c>
      <c r="B92" s="78" t="s">
        <v>1558</v>
      </c>
      <c r="C92" s="78" t="s">
        <v>366</v>
      </c>
      <c r="D92" s="78" t="s">
        <v>1766</v>
      </c>
      <c r="E92" s="78" t="s">
        <v>1779</v>
      </c>
      <c r="F92" s="78" t="s">
        <v>1728</v>
      </c>
      <c r="G92" s="78" t="s">
        <v>1614</v>
      </c>
      <c r="H92" s="78">
        <v>145</v>
      </c>
      <c r="I92" s="78">
        <v>70</v>
      </c>
      <c r="J92" s="78">
        <v>0.8</v>
      </c>
      <c r="K92" s="78">
        <v>23</v>
      </c>
      <c r="L92" s="78">
        <v>0.6</v>
      </c>
      <c r="M92" s="78" t="s">
        <v>1615</v>
      </c>
      <c r="N92" s="78">
        <v>0</v>
      </c>
      <c r="O92" s="78">
        <v>5.6</v>
      </c>
      <c r="P92" s="78">
        <v>3.01</v>
      </c>
      <c r="Q92" s="78">
        <v>2.33</v>
      </c>
      <c r="R92" s="78">
        <v>0.24</v>
      </c>
      <c r="S92" s="78" t="s">
        <v>1615</v>
      </c>
      <c r="T92" s="78" t="s">
        <v>1615</v>
      </c>
      <c r="U92" s="78" t="s">
        <v>1615</v>
      </c>
      <c r="V92" s="78" t="s">
        <v>1615</v>
      </c>
      <c r="W92" s="78" t="s">
        <v>1615</v>
      </c>
      <c r="X92" s="78" t="s">
        <v>1615</v>
      </c>
      <c r="Y92" s="78" t="s">
        <v>1615</v>
      </c>
      <c r="Z92" s="78">
        <v>0.1</v>
      </c>
      <c r="AA92" s="78">
        <v>0.2</v>
      </c>
      <c r="AB92" s="78">
        <v>4.5999999999999996</v>
      </c>
      <c r="AC92" s="78" t="s">
        <v>1615</v>
      </c>
      <c r="AD92" s="78" t="s">
        <v>1615</v>
      </c>
      <c r="AE92" s="78" t="s">
        <v>1615</v>
      </c>
      <c r="AF92" s="78" t="s">
        <v>1615</v>
      </c>
      <c r="AG92" s="78">
        <v>73</v>
      </c>
      <c r="AH92" s="78">
        <v>523</v>
      </c>
      <c r="AI92" s="78">
        <v>10</v>
      </c>
      <c r="AJ92" s="78">
        <v>103</v>
      </c>
      <c r="AK92" s="78" t="s">
        <v>1615</v>
      </c>
      <c r="AL92" s="78">
        <v>5.5</v>
      </c>
      <c r="AM92" s="78" t="s">
        <v>1615</v>
      </c>
      <c r="AN92" s="78" t="s">
        <v>1615</v>
      </c>
      <c r="AO92" s="78" t="s">
        <v>1615</v>
      </c>
    </row>
    <row r="93" spans="1:41">
      <c r="A93" s="78" t="s">
        <v>1780</v>
      </c>
      <c r="B93" s="78" t="s">
        <v>1558</v>
      </c>
      <c r="C93" s="78" t="s">
        <v>366</v>
      </c>
      <c r="D93" s="78" t="s">
        <v>1768</v>
      </c>
      <c r="E93" s="78" t="s">
        <v>1781</v>
      </c>
      <c r="F93" s="78" t="s">
        <v>1728</v>
      </c>
      <c r="G93" s="78" t="s">
        <v>1614</v>
      </c>
      <c r="H93" s="78">
        <v>137</v>
      </c>
      <c r="I93" s="78">
        <v>70.8</v>
      </c>
      <c r="J93" s="78">
        <v>1.2</v>
      </c>
      <c r="K93" s="78">
        <v>21.8</v>
      </c>
      <c r="L93" s="78">
        <v>1.3</v>
      </c>
      <c r="M93" s="78" t="s">
        <v>1615</v>
      </c>
      <c r="N93" s="78">
        <v>0</v>
      </c>
      <c r="O93" s="78">
        <v>4.9000000000000004</v>
      </c>
      <c r="P93" s="78">
        <v>2.63</v>
      </c>
      <c r="Q93" s="78">
        <v>2.04</v>
      </c>
      <c r="R93" s="78">
        <v>0.21</v>
      </c>
      <c r="S93" s="78" t="s">
        <v>1615</v>
      </c>
      <c r="T93" s="78" t="s">
        <v>1615</v>
      </c>
      <c r="U93" s="78">
        <v>0</v>
      </c>
      <c r="V93" s="78">
        <v>0</v>
      </c>
      <c r="W93" s="78" t="s">
        <v>1615</v>
      </c>
      <c r="X93" s="78" t="s">
        <v>1615</v>
      </c>
      <c r="Y93" s="78" t="s">
        <v>1615</v>
      </c>
      <c r="Z93" s="78">
        <v>0</v>
      </c>
      <c r="AA93" s="78">
        <v>0.2</v>
      </c>
      <c r="AB93" s="78">
        <v>3</v>
      </c>
      <c r="AC93" s="78" t="s">
        <v>1615</v>
      </c>
      <c r="AD93" s="78" t="s">
        <v>1615</v>
      </c>
      <c r="AE93" s="78" t="s">
        <v>1615</v>
      </c>
      <c r="AF93" s="78" t="s">
        <v>1615</v>
      </c>
      <c r="AG93" s="78">
        <v>75</v>
      </c>
      <c r="AH93" s="78">
        <v>501</v>
      </c>
      <c r="AI93" s="78">
        <v>9</v>
      </c>
      <c r="AJ93" s="78">
        <v>95</v>
      </c>
      <c r="AK93" s="78" t="s">
        <v>1615</v>
      </c>
      <c r="AL93" s="78">
        <v>2.2999999999999998</v>
      </c>
      <c r="AM93" s="78" t="s">
        <v>1615</v>
      </c>
      <c r="AN93" s="78" t="s">
        <v>1615</v>
      </c>
      <c r="AO93" s="78" t="s">
        <v>1615</v>
      </c>
    </row>
    <row r="94" spans="1:41">
      <c r="A94" s="78" t="s">
        <v>1782</v>
      </c>
      <c r="B94" s="78" t="s">
        <v>1558</v>
      </c>
      <c r="C94" s="78" t="s">
        <v>366</v>
      </c>
      <c r="D94" s="78" t="s">
        <v>1770</v>
      </c>
      <c r="E94" s="78" t="s">
        <v>1783</v>
      </c>
      <c r="F94" s="78" t="s">
        <v>1728</v>
      </c>
      <c r="G94" s="78" t="s">
        <v>1614</v>
      </c>
      <c r="H94" s="78">
        <v>123</v>
      </c>
      <c r="I94" s="78">
        <v>72</v>
      </c>
      <c r="J94" s="78">
        <v>1.1000000000000001</v>
      </c>
      <c r="K94" s="78">
        <v>21.4</v>
      </c>
      <c r="L94" s="78">
        <v>2.4</v>
      </c>
      <c r="M94" s="78" t="s">
        <v>1615</v>
      </c>
      <c r="N94" s="78">
        <v>0</v>
      </c>
      <c r="O94" s="78">
        <v>3.1</v>
      </c>
      <c r="P94" s="78">
        <v>1.59</v>
      </c>
      <c r="Q94" s="78">
        <v>0.99</v>
      </c>
      <c r="R94" s="78">
        <v>0.13</v>
      </c>
      <c r="S94" s="78" t="s">
        <v>1615</v>
      </c>
      <c r="T94" s="78" t="s">
        <v>1615</v>
      </c>
      <c r="U94" s="78" t="s">
        <v>1615</v>
      </c>
      <c r="V94" s="78" t="s">
        <v>1615</v>
      </c>
      <c r="W94" s="78" t="s">
        <v>1615</v>
      </c>
      <c r="X94" s="78" t="s">
        <v>1615</v>
      </c>
      <c r="Y94" s="78" t="s">
        <v>1615</v>
      </c>
      <c r="Z94" s="78">
        <v>0.1</v>
      </c>
      <c r="AA94" s="78">
        <v>0.2</v>
      </c>
      <c r="AB94" s="78">
        <v>3.9</v>
      </c>
      <c r="AC94" s="78" t="s">
        <v>1615</v>
      </c>
      <c r="AD94" s="78" t="s">
        <v>1615</v>
      </c>
      <c r="AE94" s="78" t="s">
        <v>1615</v>
      </c>
      <c r="AF94" s="78" t="s">
        <v>1615</v>
      </c>
      <c r="AG94" s="78">
        <v>73</v>
      </c>
      <c r="AH94" s="78">
        <v>548</v>
      </c>
      <c r="AI94" s="78">
        <v>11</v>
      </c>
      <c r="AJ94" s="78">
        <v>135</v>
      </c>
      <c r="AK94" s="78" t="s">
        <v>1615</v>
      </c>
      <c r="AL94" s="78">
        <v>1.3</v>
      </c>
      <c r="AM94" s="78" t="s">
        <v>1615</v>
      </c>
      <c r="AN94" s="78" t="s">
        <v>1615</v>
      </c>
      <c r="AO94" s="78" t="s">
        <v>1615</v>
      </c>
    </row>
    <row r="95" spans="1:41">
      <c r="A95" s="78" t="s">
        <v>1784</v>
      </c>
      <c r="B95" s="78" t="s">
        <v>1558</v>
      </c>
      <c r="C95" s="78" t="s">
        <v>366</v>
      </c>
      <c r="D95" s="78" t="s">
        <v>1772</v>
      </c>
      <c r="E95" s="78" t="s">
        <v>1785</v>
      </c>
      <c r="F95" s="78" t="s">
        <v>1728</v>
      </c>
      <c r="G95" s="78" t="s">
        <v>1614</v>
      </c>
      <c r="H95" s="78">
        <v>134</v>
      </c>
      <c r="I95" s="78">
        <v>72.400000000000006</v>
      </c>
      <c r="J95" s="78">
        <v>0.9</v>
      </c>
      <c r="K95" s="78">
        <v>20.3</v>
      </c>
      <c r="L95" s="78">
        <v>0.9</v>
      </c>
      <c r="M95" s="78" t="s">
        <v>1615</v>
      </c>
      <c r="N95" s="78">
        <v>0</v>
      </c>
      <c r="O95" s="78">
        <v>5.5</v>
      </c>
      <c r="P95" s="78">
        <v>2.95</v>
      </c>
      <c r="Q95" s="78">
        <v>2.29</v>
      </c>
      <c r="R95" s="78">
        <v>0.23</v>
      </c>
      <c r="S95" s="78" t="s">
        <v>1615</v>
      </c>
      <c r="T95" s="78" t="s">
        <v>1615</v>
      </c>
      <c r="U95" s="78">
        <v>0</v>
      </c>
      <c r="V95" s="78">
        <v>0</v>
      </c>
      <c r="W95" s="78" t="s">
        <v>1615</v>
      </c>
      <c r="X95" s="78" t="s">
        <v>1615</v>
      </c>
      <c r="Y95" s="78" t="s">
        <v>1615</v>
      </c>
      <c r="Z95" s="78">
        <v>0.1</v>
      </c>
      <c r="AA95" s="78">
        <v>0.2</v>
      </c>
      <c r="AB95" s="78">
        <v>4.2</v>
      </c>
      <c r="AC95" s="78" t="s">
        <v>1615</v>
      </c>
      <c r="AD95" s="78" t="s">
        <v>1615</v>
      </c>
      <c r="AE95" s="78" t="s">
        <v>1615</v>
      </c>
      <c r="AF95" s="78" t="s">
        <v>1615</v>
      </c>
      <c r="AG95" s="78">
        <v>76</v>
      </c>
      <c r="AH95" s="78">
        <v>537</v>
      </c>
      <c r="AI95" s="78">
        <v>11</v>
      </c>
      <c r="AJ95" s="78">
        <v>77</v>
      </c>
      <c r="AK95" s="78" t="s">
        <v>1615</v>
      </c>
      <c r="AL95" s="78">
        <v>3</v>
      </c>
      <c r="AM95" s="78" t="s">
        <v>1615</v>
      </c>
      <c r="AN95" s="78" t="s">
        <v>1615</v>
      </c>
      <c r="AO95" s="78" t="s">
        <v>1615</v>
      </c>
    </row>
    <row r="96" spans="1:41">
      <c r="A96" s="78" t="s">
        <v>1786</v>
      </c>
      <c r="B96" s="78" t="s">
        <v>1558</v>
      </c>
      <c r="C96" s="78" t="s">
        <v>366</v>
      </c>
      <c r="D96" s="78" t="s">
        <v>1774</v>
      </c>
      <c r="E96" s="78" t="s">
        <v>1787</v>
      </c>
      <c r="F96" s="78" t="s">
        <v>1728</v>
      </c>
      <c r="G96" s="78" t="s">
        <v>1614</v>
      </c>
      <c r="H96" s="78">
        <v>116</v>
      </c>
      <c r="I96" s="78">
        <v>73.599999999999994</v>
      </c>
      <c r="J96" s="78">
        <v>0.6</v>
      </c>
      <c r="K96" s="78">
        <v>22.2</v>
      </c>
      <c r="L96" s="78">
        <v>1.1000000000000001</v>
      </c>
      <c r="M96" s="78" t="s">
        <v>1615</v>
      </c>
      <c r="N96" s="78">
        <v>0</v>
      </c>
      <c r="O96" s="78">
        <v>2.5</v>
      </c>
      <c r="P96" s="78">
        <v>1.34</v>
      </c>
      <c r="Q96" s="78">
        <v>1.04</v>
      </c>
      <c r="R96" s="78">
        <v>0.11</v>
      </c>
      <c r="S96" s="78" t="s">
        <v>1615</v>
      </c>
      <c r="T96" s="78" t="s">
        <v>1615</v>
      </c>
      <c r="U96" s="78" t="s">
        <v>1615</v>
      </c>
      <c r="V96" s="78" t="s">
        <v>1615</v>
      </c>
      <c r="W96" s="78" t="s">
        <v>1615</v>
      </c>
      <c r="X96" s="78" t="s">
        <v>1615</v>
      </c>
      <c r="Y96" s="78" t="s">
        <v>1615</v>
      </c>
      <c r="Z96" s="78">
        <v>0.1</v>
      </c>
      <c r="AA96" s="78">
        <v>0.3</v>
      </c>
      <c r="AB96" s="78">
        <v>4.5999999999999996</v>
      </c>
      <c r="AC96" s="78" t="s">
        <v>1615</v>
      </c>
      <c r="AD96" s="78" t="s">
        <v>1615</v>
      </c>
      <c r="AE96" s="78" t="s">
        <v>1615</v>
      </c>
      <c r="AF96" s="78" t="s">
        <v>1615</v>
      </c>
      <c r="AG96" s="78">
        <v>76</v>
      </c>
      <c r="AH96" s="78">
        <v>537</v>
      </c>
      <c r="AI96" s="78">
        <v>10</v>
      </c>
      <c r="AJ96" s="78">
        <v>108</v>
      </c>
      <c r="AK96" s="78" t="s">
        <v>1615</v>
      </c>
      <c r="AL96" s="78">
        <v>3.7</v>
      </c>
      <c r="AM96" s="78" t="s">
        <v>1615</v>
      </c>
      <c r="AN96" s="78" t="s">
        <v>1615</v>
      </c>
      <c r="AO96" s="78" t="s">
        <v>1615</v>
      </c>
    </row>
    <row r="97" spans="1:41">
      <c r="A97" s="78" t="s">
        <v>1788</v>
      </c>
      <c r="B97" s="78" t="s">
        <v>1558</v>
      </c>
      <c r="C97" s="78" t="s">
        <v>366</v>
      </c>
      <c r="D97" s="78" t="s">
        <v>1776</v>
      </c>
      <c r="E97" s="78" t="s">
        <v>1789</v>
      </c>
      <c r="F97" s="78" t="s">
        <v>1728</v>
      </c>
      <c r="G97" s="78" t="s">
        <v>1614</v>
      </c>
      <c r="H97" s="78">
        <v>130</v>
      </c>
      <c r="I97" s="78">
        <v>70.7</v>
      </c>
      <c r="J97" s="78">
        <v>0.8</v>
      </c>
      <c r="K97" s="78">
        <v>23.6</v>
      </c>
      <c r="L97" s="78">
        <v>1.8</v>
      </c>
      <c r="M97" s="78" t="s">
        <v>1615</v>
      </c>
      <c r="N97" s="78">
        <v>0</v>
      </c>
      <c r="O97" s="78">
        <v>3.1</v>
      </c>
      <c r="P97" s="78">
        <v>1.66</v>
      </c>
      <c r="Q97" s="78">
        <v>1.29</v>
      </c>
      <c r="R97" s="78">
        <v>0.13</v>
      </c>
      <c r="S97" s="78" t="s">
        <v>1615</v>
      </c>
      <c r="T97" s="78" t="s">
        <v>1615</v>
      </c>
      <c r="U97" s="78" t="s">
        <v>1615</v>
      </c>
      <c r="V97" s="78" t="s">
        <v>1615</v>
      </c>
      <c r="W97" s="78" t="s">
        <v>1615</v>
      </c>
      <c r="X97" s="78" t="s">
        <v>1615</v>
      </c>
      <c r="Y97" s="78" t="s">
        <v>1615</v>
      </c>
      <c r="Z97" s="78">
        <v>0.1</v>
      </c>
      <c r="AA97" s="78">
        <v>0.3</v>
      </c>
      <c r="AB97" s="78">
        <v>5.5</v>
      </c>
      <c r="AC97" s="78" t="s">
        <v>1615</v>
      </c>
      <c r="AD97" s="78" t="s">
        <v>1615</v>
      </c>
      <c r="AE97" s="78" t="s">
        <v>1615</v>
      </c>
      <c r="AF97" s="78" t="s">
        <v>1615</v>
      </c>
      <c r="AG97" s="78">
        <v>86</v>
      </c>
      <c r="AH97" s="78">
        <v>523</v>
      </c>
      <c r="AI97" s="78">
        <v>11</v>
      </c>
      <c r="AJ97" s="78">
        <v>105</v>
      </c>
      <c r="AK97" s="78" t="s">
        <v>1615</v>
      </c>
      <c r="AL97" s="78">
        <v>3.8</v>
      </c>
      <c r="AM97" s="78" t="s">
        <v>1615</v>
      </c>
      <c r="AN97" s="78" t="s">
        <v>1615</v>
      </c>
      <c r="AO97" s="78" t="s">
        <v>1615</v>
      </c>
    </row>
    <row r="98" spans="1:41">
      <c r="A98" s="78" t="s">
        <v>1790</v>
      </c>
      <c r="B98" s="78" t="s">
        <v>1558</v>
      </c>
      <c r="C98" s="78" t="s">
        <v>366</v>
      </c>
      <c r="D98" s="78" t="s">
        <v>1778</v>
      </c>
      <c r="E98" s="78" t="s">
        <v>1791</v>
      </c>
      <c r="F98" s="78" t="s">
        <v>1728</v>
      </c>
      <c r="G98" s="78" t="s">
        <v>1614</v>
      </c>
      <c r="H98" s="78">
        <v>127</v>
      </c>
      <c r="I98" s="78">
        <v>70.8</v>
      </c>
      <c r="J98" s="78">
        <v>0.9</v>
      </c>
      <c r="K98" s="78">
        <v>21.2</v>
      </c>
      <c r="L98" s="78">
        <v>4.3</v>
      </c>
      <c r="M98" s="78" t="s">
        <v>1615</v>
      </c>
      <c r="N98" s="78">
        <v>0</v>
      </c>
      <c r="O98" s="78">
        <v>2.8</v>
      </c>
      <c r="P98" s="78">
        <v>1.5</v>
      </c>
      <c r="Q98" s="78">
        <v>1.1599999999999999</v>
      </c>
      <c r="R98" s="78">
        <v>0.12</v>
      </c>
      <c r="S98" s="78" t="s">
        <v>1615</v>
      </c>
      <c r="T98" s="78" t="s">
        <v>1615</v>
      </c>
      <c r="U98" s="78" t="s">
        <v>1615</v>
      </c>
      <c r="V98" s="78" t="s">
        <v>1615</v>
      </c>
      <c r="W98" s="78" t="s">
        <v>1615</v>
      </c>
      <c r="X98" s="78" t="s">
        <v>1615</v>
      </c>
      <c r="Y98" s="78" t="s">
        <v>1615</v>
      </c>
      <c r="Z98" s="78">
        <v>0.1</v>
      </c>
      <c r="AA98" s="78">
        <v>0.2</v>
      </c>
      <c r="AB98" s="78">
        <v>3.7</v>
      </c>
      <c r="AC98" s="78" t="s">
        <v>1615</v>
      </c>
      <c r="AD98" s="78" t="s">
        <v>1615</v>
      </c>
      <c r="AE98" s="78" t="s">
        <v>1615</v>
      </c>
      <c r="AF98" s="78" t="s">
        <v>1615</v>
      </c>
      <c r="AG98" s="78">
        <v>92</v>
      </c>
      <c r="AH98" s="78">
        <v>496</v>
      </c>
      <c r="AI98" s="78">
        <v>10</v>
      </c>
      <c r="AJ98" s="78">
        <v>115</v>
      </c>
      <c r="AK98" s="78" t="s">
        <v>1615</v>
      </c>
      <c r="AL98" s="78">
        <v>0.6</v>
      </c>
      <c r="AM98" s="78" t="s">
        <v>1615</v>
      </c>
      <c r="AN98" s="78" t="s">
        <v>1615</v>
      </c>
      <c r="AO98" s="78" t="s">
        <v>1615</v>
      </c>
    </row>
    <row r="99" spans="1:41">
      <c r="A99" s="78" t="s">
        <v>1792</v>
      </c>
      <c r="B99" s="78" t="s">
        <v>1558</v>
      </c>
      <c r="C99" s="78" t="s">
        <v>366</v>
      </c>
      <c r="D99" s="78" t="s">
        <v>1780</v>
      </c>
      <c r="E99" s="78" t="s">
        <v>1793</v>
      </c>
      <c r="F99" s="78" t="s">
        <v>1728</v>
      </c>
      <c r="G99" s="78" t="s">
        <v>1614</v>
      </c>
      <c r="H99" s="78">
        <v>145</v>
      </c>
      <c r="I99" s="78">
        <v>70.099999999999994</v>
      </c>
      <c r="J99" s="78">
        <v>1</v>
      </c>
      <c r="K99" s="78">
        <v>22.3</v>
      </c>
      <c r="L99" s="78">
        <v>0.8</v>
      </c>
      <c r="M99" s="78" t="s">
        <v>1615</v>
      </c>
      <c r="N99" s="78">
        <v>0</v>
      </c>
      <c r="O99" s="78">
        <v>5.8</v>
      </c>
      <c r="P99" s="78">
        <v>3.11</v>
      </c>
      <c r="Q99" s="78">
        <v>2.41</v>
      </c>
      <c r="R99" s="78">
        <v>0.24</v>
      </c>
      <c r="S99" s="78" t="s">
        <v>1615</v>
      </c>
      <c r="T99" s="78" t="s">
        <v>1615</v>
      </c>
      <c r="U99" s="78">
        <v>0</v>
      </c>
      <c r="V99" s="78">
        <v>0</v>
      </c>
      <c r="W99" s="78" t="s">
        <v>1615</v>
      </c>
      <c r="X99" s="78" t="s">
        <v>1615</v>
      </c>
      <c r="Y99" s="78" t="s">
        <v>1615</v>
      </c>
      <c r="Z99" s="78">
        <v>0.1</v>
      </c>
      <c r="AA99" s="78">
        <v>0.2</v>
      </c>
      <c r="AB99" s="78">
        <v>2.7</v>
      </c>
      <c r="AC99" s="78" t="s">
        <v>1615</v>
      </c>
      <c r="AD99" s="78" t="s">
        <v>1615</v>
      </c>
      <c r="AE99" s="78" t="s">
        <v>1615</v>
      </c>
      <c r="AF99" s="78" t="s">
        <v>1615</v>
      </c>
      <c r="AG99" s="78">
        <v>129</v>
      </c>
      <c r="AH99" s="78">
        <v>546</v>
      </c>
      <c r="AI99" s="78">
        <v>40</v>
      </c>
      <c r="AJ99" s="78">
        <v>144</v>
      </c>
      <c r="AK99" s="78" t="s">
        <v>1615</v>
      </c>
      <c r="AL99" s="78">
        <v>2.2000000000000002</v>
      </c>
      <c r="AM99" s="78" t="s">
        <v>1615</v>
      </c>
      <c r="AN99" s="78" t="s">
        <v>1615</v>
      </c>
      <c r="AO99" s="78" t="s">
        <v>1615</v>
      </c>
    </row>
    <row r="100" spans="1:41">
      <c r="A100" s="78" t="s">
        <v>1794</v>
      </c>
      <c r="B100" s="78" t="s">
        <v>1558</v>
      </c>
      <c r="C100" s="78" t="s">
        <v>366</v>
      </c>
      <c r="D100" s="78" t="s">
        <v>1782</v>
      </c>
      <c r="E100" s="78" t="s">
        <v>1795</v>
      </c>
      <c r="F100" s="78" t="s">
        <v>1728</v>
      </c>
      <c r="G100" s="78" t="s">
        <v>1614</v>
      </c>
      <c r="H100" s="78">
        <v>138</v>
      </c>
      <c r="I100" s="78">
        <v>70.7</v>
      </c>
      <c r="J100" s="78">
        <v>1</v>
      </c>
      <c r="K100" s="78">
        <v>23.6</v>
      </c>
      <c r="L100" s="78">
        <v>1.6</v>
      </c>
      <c r="M100" s="78" t="s">
        <v>1615</v>
      </c>
      <c r="N100" s="78">
        <v>0</v>
      </c>
      <c r="O100" s="78">
        <v>3.1</v>
      </c>
      <c r="P100" s="78">
        <v>1.1000000000000001</v>
      </c>
      <c r="Q100" s="78">
        <v>1.3</v>
      </c>
      <c r="R100" s="78">
        <v>0.1</v>
      </c>
      <c r="S100" s="78" t="s">
        <v>1615</v>
      </c>
      <c r="T100" s="78">
        <v>68</v>
      </c>
      <c r="U100" s="78">
        <v>0</v>
      </c>
      <c r="V100" s="78">
        <v>0</v>
      </c>
      <c r="W100" s="78" t="s">
        <v>1615</v>
      </c>
      <c r="X100" s="78">
        <v>0.3</v>
      </c>
      <c r="Y100" s="78" t="s">
        <v>1615</v>
      </c>
      <c r="Z100" s="78">
        <v>0.1</v>
      </c>
      <c r="AA100" s="78">
        <v>0.2</v>
      </c>
      <c r="AB100" s="78">
        <v>3.3</v>
      </c>
      <c r="AC100" s="78">
        <v>0.3</v>
      </c>
      <c r="AD100" s="78">
        <v>0.3</v>
      </c>
      <c r="AE100" s="78">
        <v>2.2000000000000002</v>
      </c>
      <c r="AF100" s="78">
        <v>7.6</v>
      </c>
      <c r="AG100" s="78">
        <v>86</v>
      </c>
      <c r="AH100" s="78">
        <v>523</v>
      </c>
      <c r="AI100" s="78">
        <v>11</v>
      </c>
      <c r="AJ100" s="78">
        <v>105</v>
      </c>
      <c r="AK100" s="78">
        <v>24.4</v>
      </c>
      <c r="AL100" s="78">
        <v>3.8</v>
      </c>
      <c r="AM100" s="78">
        <v>5</v>
      </c>
      <c r="AN100" s="78">
        <v>0.1</v>
      </c>
      <c r="AO100" s="78">
        <v>15.3</v>
      </c>
    </row>
    <row r="101" spans="1:41">
      <c r="A101" s="78" t="s">
        <v>1796</v>
      </c>
      <c r="B101" s="78" t="s">
        <v>1558</v>
      </c>
      <c r="C101" s="78" t="s">
        <v>366</v>
      </c>
      <c r="D101" s="78" t="s">
        <v>1784</v>
      </c>
      <c r="E101" s="78" t="s">
        <v>1797</v>
      </c>
      <c r="F101" s="78" t="s">
        <v>1728</v>
      </c>
      <c r="G101" s="78" t="s">
        <v>1614</v>
      </c>
      <c r="H101" s="78">
        <v>174</v>
      </c>
      <c r="I101" s="78">
        <v>64.8</v>
      </c>
      <c r="J101" s="78">
        <v>0.9</v>
      </c>
      <c r="K101" s="78">
        <v>27.3</v>
      </c>
      <c r="L101" s="78">
        <v>0.6</v>
      </c>
      <c r="M101" s="78">
        <v>0</v>
      </c>
      <c r="N101" s="78">
        <v>0</v>
      </c>
      <c r="O101" s="78">
        <v>6.4</v>
      </c>
      <c r="P101" s="78">
        <v>2.79</v>
      </c>
      <c r="Q101" s="78">
        <v>2.5499999999999998</v>
      </c>
      <c r="R101" s="78">
        <v>0.31</v>
      </c>
      <c r="S101" s="78" t="s">
        <v>1615</v>
      </c>
      <c r="T101" s="78">
        <v>88</v>
      </c>
      <c r="U101" s="78">
        <v>3</v>
      </c>
      <c r="V101" s="78">
        <v>0</v>
      </c>
      <c r="W101" s="78">
        <v>0</v>
      </c>
      <c r="X101" s="78">
        <v>0.1</v>
      </c>
      <c r="Y101" s="78">
        <v>1.3</v>
      </c>
      <c r="Z101" s="78">
        <v>0</v>
      </c>
      <c r="AA101" s="78">
        <v>0.2</v>
      </c>
      <c r="AB101" s="78">
        <v>5.5</v>
      </c>
      <c r="AC101" s="78">
        <v>0.4</v>
      </c>
      <c r="AD101" s="78">
        <v>0.7</v>
      </c>
      <c r="AE101" s="78">
        <v>2.5</v>
      </c>
      <c r="AF101" s="78">
        <v>6</v>
      </c>
      <c r="AG101" s="78">
        <v>58</v>
      </c>
      <c r="AH101" s="78">
        <v>315</v>
      </c>
      <c r="AI101" s="78">
        <v>8</v>
      </c>
      <c r="AJ101" s="78">
        <v>199</v>
      </c>
      <c r="AK101" s="78">
        <v>22</v>
      </c>
      <c r="AL101" s="78">
        <v>3.1</v>
      </c>
      <c r="AM101" s="78">
        <v>6.9</v>
      </c>
      <c r="AN101" s="78">
        <v>0.1</v>
      </c>
      <c r="AO101" s="78">
        <v>22.3</v>
      </c>
    </row>
    <row r="102" spans="1:41">
      <c r="A102" s="78" t="s">
        <v>1798</v>
      </c>
      <c r="B102" s="78" t="s">
        <v>1558</v>
      </c>
      <c r="C102" s="78" t="s">
        <v>366</v>
      </c>
      <c r="D102" s="78" t="s">
        <v>1786</v>
      </c>
      <c r="E102" s="78" t="s">
        <v>1799</v>
      </c>
      <c r="F102" s="78" t="s">
        <v>1728</v>
      </c>
      <c r="G102" s="78" t="s">
        <v>1614</v>
      </c>
      <c r="H102" s="78">
        <v>176</v>
      </c>
      <c r="I102" s="78">
        <v>69</v>
      </c>
      <c r="J102" s="78">
        <v>1</v>
      </c>
      <c r="K102" s="78">
        <v>20</v>
      </c>
      <c r="L102" s="78">
        <v>0</v>
      </c>
      <c r="M102" s="78">
        <v>0</v>
      </c>
      <c r="N102" s="78">
        <v>0</v>
      </c>
      <c r="O102" s="78">
        <v>10</v>
      </c>
      <c r="P102" s="78">
        <v>3.93</v>
      </c>
      <c r="Q102" s="78">
        <v>4.1900000000000004</v>
      </c>
      <c r="R102" s="78">
        <v>0.35</v>
      </c>
      <c r="S102" s="78" t="s">
        <v>1615</v>
      </c>
      <c r="T102" s="78">
        <v>65</v>
      </c>
      <c r="U102" s="78">
        <v>4</v>
      </c>
      <c r="V102" s="78">
        <v>0</v>
      </c>
      <c r="W102" s="78">
        <v>0.1</v>
      </c>
      <c r="X102" s="78">
        <v>0.2</v>
      </c>
      <c r="Y102" s="78">
        <v>0.8</v>
      </c>
      <c r="Z102" s="78">
        <v>0</v>
      </c>
      <c r="AA102" s="78">
        <v>0.2</v>
      </c>
      <c r="AB102" s="78">
        <v>5.0999999999999996</v>
      </c>
      <c r="AC102" s="78">
        <v>0.4</v>
      </c>
      <c r="AD102" s="78">
        <v>0.6</v>
      </c>
      <c r="AE102" s="78">
        <v>2.2000000000000002</v>
      </c>
      <c r="AF102" s="78">
        <v>6</v>
      </c>
      <c r="AG102" s="78">
        <v>66</v>
      </c>
      <c r="AH102" s="78">
        <v>321</v>
      </c>
      <c r="AI102" s="78">
        <v>12</v>
      </c>
      <c r="AJ102" s="78">
        <v>184</v>
      </c>
      <c r="AK102" s="78">
        <v>20</v>
      </c>
      <c r="AL102" s="78">
        <v>2.2000000000000002</v>
      </c>
      <c r="AM102" s="78">
        <v>4.8</v>
      </c>
      <c r="AN102" s="78">
        <v>0.1</v>
      </c>
      <c r="AO102" s="78">
        <v>16.600000000000001</v>
      </c>
    </row>
    <row r="103" spans="1:41">
      <c r="A103" s="78" t="s">
        <v>1800</v>
      </c>
      <c r="B103" s="78" t="s">
        <v>1558</v>
      </c>
      <c r="C103" s="78" t="s">
        <v>366</v>
      </c>
      <c r="D103" s="78" t="s">
        <v>1788</v>
      </c>
      <c r="E103" s="78" t="s">
        <v>1801</v>
      </c>
      <c r="F103" s="78" t="s">
        <v>1728</v>
      </c>
      <c r="G103" s="78" t="s">
        <v>1614</v>
      </c>
      <c r="H103" s="78">
        <v>98</v>
      </c>
      <c r="I103" s="78">
        <v>81.400000000000006</v>
      </c>
      <c r="J103" s="78">
        <v>0.8</v>
      </c>
      <c r="K103" s="78">
        <v>14.5</v>
      </c>
      <c r="L103" s="78">
        <v>0</v>
      </c>
      <c r="M103" s="78" t="s">
        <v>1615</v>
      </c>
      <c r="N103" s="78">
        <v>0</v>
      </c>
      <c r="O103" s="78">
        <v>4</v>
      </c>
      <c r="P103" s="78">
        <v>2.0299999999999998</v>
      </c>
      <c r="Q103" s="78">
        <v>1.31</v>
      </c>
      <c r="R103" s="78">
        <v>7.0000000000000007E-2</v>
      </c>
      <c r="S103" s="78" t="s">
        <v>1615</v>
      </c>
      <c r="T103" s="78">
        <v>95</v>
      </c>
      <c r="U103" s="78">
        <v>0</v>
      </c>
      <c r="V103" s="78">
        <v>3.4</v>
      </c>
      <c r="W103" s="78" t="s">
        <v>1615</v>
      </c>
      <c r="X103" s="78" t="s">
        <v>1615</v>
      </c>
      <c r="Y103" s="78" t="s">
        <v>1615</v>
      </c>
      <c r="Z103" s="78">
        <v>0</v>
      </c>
      <c r="AA103" s="78">
        <v>0.2</v>
      </c>
      <c r="AB103" s="78">
        <v>0.1</v>
      </c>
      <c r="AC103" s="78">
        <v>0</v>
      </c>
      <c r="AD103" s="78">
        <v>0.6</v>
      </c>
      <c r="AE103" s="78">
        <v>1.5</v>
      </c>
      <c r="AF103" s="78">
        <v>2</v>
      </c>
      <c r="AG103" s="78">
        <v>46</v>
      </c>
      <c r="AH103" s="78">
        <v>270</v>
      </c>
      <c r="AI103" s="78">
        <v>9</v>
      </c>
      <c r="AJ103" s="78">
        <v>79</v>
      </c>
      <c r="AK103" s="78">
        <v>8</v>
      </c>
      <c r="AL103" s="78">
        <v>2</v>
      </c>
      <c r="AM103" s="78">
        <v>2.5</v>
      </c>
      <c r="AN103" s="78">
        <v>0.1</v>
      </c>
      <c r="AO103" s="78" t="s">
        <v>1615</v>
      </c>
    </row>
    <row r="104" spans="1:41">
      <c r="A104" s="78" t="s">
        <v>1802</v>
      </c>
      <c r="B104" s="78" t="s">
        <v>1558</v>
      </c>
      <c r="C104" s="78" t="s">
        <v>366</v>
      </c>
      <c r="D104" s="78" t="s">
        <v>1790</v>
      </c>
      <c r="E104" s="78" t="s">
        <v>1803</v>
      </c>
      <c r="F104" s="78" t="s">
        <v>1728</v>
      </c>
      <c r="G104" s="78" t="s">
        <v>1614</v>
      </c>
      <c r="H104" s="78">
        <v>146</v>
      </c>
      <c r="I104" s="78">
        <v>67.3</v>
      </c>
      <c r="J104" s="78">
        <v>0.7</v>
      </c>
      <c r="K104" s="78">
        <v>27.1</v>
      </c>
      <c r="L104" s="78">
        <v>1.1000000000000001</v>
      </c>
      <c r="M104" s="78" t="s">
        <v>1615</v>
      </c>
      <c r="N104" s="78" t="s">
        <v>1615</v>
      </c>
      <c r="O104" s="78">
        <v>3.7</v>
      </c>
      <c r="P104" s="78">
        <v>1.04</v>
      </c>
      <c r="Q104" s="78">
        <v>0.93</v>
      </c>
      <c r="R104" s="78">
        <v>1.06</v>
      </c>
      <c r="S104" s="78" t="s">
        <v>1615</v>
      </c>
      <c r="T104" s="78">
        <v>194</v>
      </c>
      <c r="U104" s="78">
        <v>55.9</v>
      </c>
      <c r="V104" s="78">
        <v>1.6</v>
      </c>
      <c r="W104" s="78" t="s">
        <v>1615</v>
      </c>
      <c r="X104" s="78" t="s">
        <v>1615</v>
      </c>
      <c r="Y104" s="78" t="s">
        <v>1615</v>
      </c>
      <c r="Z104" s="78">
        <v>0</v>
      </c>
      <c r="AA104" s="78">
        <v>0.2</v>
      </c>
      <c r="AB104" s="78">
        <v>4</v>
      </c>
      <c r="AC104" s="78">
        <v>0.1</v>
      </c>
      <c r="AD104" s="78">
        <v>0.7</v>
      </c>
      <c r="AE104" s="78">
        <v>1.9</v>
      </c>
      <c r="AF104" s="78">
        <v>53.2</v>
      </c>
      <c r="AG104" s="78">
        <v>65</v>
      </c>
      <c r="AH104" s="78">
        <v>240</v>
      </c>
      <c r="AI104" s="78">
        <v>10</v>
      </c>
      <c r="AJ104" s="78">
        <v>105</v>
      </c>
      <c r="AK104" s="78">
        <v>20</v>
      </c>
      <c r="AL104" s="78">
        <v>2.9</v>
      </c>
      <c r="AM104" s="78">
        <v>4.4000000000000004</v>
      </c>
      <c r="AN104" s="78">
        <v>0.1</v>
      </c>
      <c r="AO104" s="78">
        <v>11.7</v>
      </c>
    </row>
    <row r="105" spans="1:41">
      <c r="A105" s="78" t="s">
        <v>1804</v>
      </c>
      <c r="B105" s="78" t="s">
        <v>1558</v>
      </c>
      <c r="C105" s="78" t="s">
        <v>366</v>
      </c>
      <c r="D105" s="78" t="s">
        <v>1792</v>
      </c>
      <c r="E105" s="78" t="s">
        <v>1805</v>
      </c>
      <c r="F105" s="78" t="s">
        <v>1728</v>
      </c>
      <c r="G105" s="78" t="s">
        <v>1614</v>
      </c>
      <c r="H105" s="78">
        <v>185</v>
      </c>
      <c r="I105" s="78">
        <v>64.900000000000006</v>
      </c>
      <c r="J105" s="78">
        <v>0.7</v>
      </c>
      <c r="K105" s="78">
        <v>26.4</v>
      </c>
      <c r="L105" s="78">
        <v>0.1</v>
      </c>
      <c r="M105" s="78" t="s">
        <v>1615</v>
      </c>
      <c r="N105" s="78">
        <v>0</v>
      </c>
      <c r="O105" s="78">
        <v>7.9</v>
      </c>
      <c r="P105" s="78">
        <v>2.2599999999999998</v>
      </c>
      <c r="Q105" s="78">
        <v>2.0099999999999998</v>
      </c>
      <c r="R105" s="78">
        <v>2.2999999999999998</v>
      </c>
      <c r="S105" s="78" t="s">
        <v>1615</v>
      </c>
      <c r="T105" s="78">
        <v>242</v>
      </c>
      <c r="U105" s="78">
        <v>8</v>
      </c>
      <c r="V105" s="78">
        <v>1.8</v>
      </c>
      <c r="W105" s="78" t="s">
        <v>1615</v>
      </c>
      <c r="X105" s="78" t="s">
        <v>1615</v>
      </c>
      <c r="Y105" s="78" t="s">
        <v>1615</v>
      </c>
      <c r="Z105" s="78">
        <v>0.1</v>
      </c>
      <c r="AA105" s="78">
        <v>0.7</v>
      </c>
      <c r="AB105" s="78">
        <v>2.8</v>
      </c>
      <c r="AC105" s="78">
        <v>0.3</v>
      </c>
      <c r="AD105" s="78">
        <v>2.7</v>
      </c>
      <c r="AE105" s="78">
        <v>7.3</v>
      </c>
      <c r="AF105" s="78">
        <v>80</v>
      </c>
      <c r="AG105" s="78">
        <v>48</v>
      </c>
      <c r="AH105" s="78">
        <v>132</v>
      </c>
      <c r="AI105" s="78">
        <v>19</v>
      </c>
      <c r="AJ105" s="78">
        <v>199</v>
      </c>
      <c r="AK105" s="78">
        <v>20</v>
      </c>
      <c r="AL105" s="78">
        <v>9</v>
      </c>
      <c r="AM105" s="78">
        <v>7.3</v>
      </c>
      <c r="AN105" s="78">
        <v>0.5</v>
      </c>
      <c r="AO105" s="78">
        <v>8</v>
      </c>
    </row>
    <row r="106" spans="1:41">
      <c r="A106" s="78" t="s">
        <v>1806</v>
      </c>
      <c r="B106" s="78" t="s">
        <v>1558</v>
      </c>
      <c r="C106" s="78" t="s">
        <v>366</v>
      </c>
      <c r="D106" s="78" t="s">
        <v>1794</v>
      </c>
      <c r="E106" s="78" t="s">
        <v>1807</v>
      </c>
      <c r="F106" s="78" t="s">
        <v>1728</v>
      </c>
      <c r="G106" s="78" t="s">
        <v>1614</v>
      </c>
      <c r="H106" s="78">
        <v>144</v>
      </c>
      <c r="I106" s="78">
        <v>68.8</v>
      </c>
      <c r="J106" s="78">
        <v>1</v>
      </c>
      <c r="K106" s="78">
        <v>25.5</v>
      </c>
      <c r="L106" s="78">
        <v>1</v>
      </c>
      <c r="M106" s="78" t="s">
        <v>1615</v>
      </c>
      <c r="N106" s="78">
        <v>0</v>
      </c>
      <c r="O106" s="78">
        <v>3.4</v>
      </c>
      <c r="P106" s="78">
        <v>1.0900000000000001</v>
      </c>
      <c r="Q106" s="78">
        <v>0.74</v>
      </c>
      <c r="R106" s="78">
        <v>0.74</v>
      </c>
      <c r="S106" s="78" t="s">
        <v>1615</v>
      </c>
      <c r="T106" s="78">
        <v>386</v>
      </c>
      <c r="U106" s="78">
        <v>373</v>
      </c>
      <c r="V106" s="78">
        <v>0.8</v>
      </c>
      <c r="W106" s="78" t="s">
        <v>1615</v>
      </c>
      <c r="X106" s="78">
        <v>0</v>
      </c>
      <c r="Y106" s="78" t="s">
        <v>1615</v>
      </c>
      <c r="Z106" s="78">
        <v>0.2</v>
      </c>
      <c r="AA106" s="78">
        <v>4.0999999999999996</v>
      </c>
      <c r="AB106" s="78">
        <v>6</v>
      </c>
      <c r="AC106" s="78">
        <v>0.5</v>
      </c>
      <c r="AD106" s="78">
        <v>1.7</v>
      </c>
      <c r="AE106" s="78">
        <v>51.3</v>
      </c>
      <c r="AF106" s="78">
        <v>98</v>
      </c>
      <c r="AG106" s="78">
        <v>133</v>
      </c>
      <c r="AH106" s="78">
        <v>179</v>
      </c>
      <c r="AI106" s="78">
        <v>17.100000000000001</v>
      </c>
      <c r="AJ106" s="78">
        <v>306</v>
      </c>
      <c r="AK106" s="78">
        <v>18</v>
      </c>
      <c r="AL106" s="78">
        <v>7.3</v>
      </c>
      <c r="AM106" s="78">
        <v>4.2</v>
      </c>
      <c r="AN106" s="78">
        <v>0.7</v>
      </c>
      <c r="AO106" s="78">
        <v>0</v>
      </c>
    </row>
    <row r="107" spans="1:41">
      <c r="A107" s="78" t="s">
        <v>1808</v>
      </c>
      <c r="B107" s="78" t="s">
        <v>1558</v>
      </c>
      <c r="C107" s="78" t="s">
        <v>366</v>
      </c>
      <c r="D107" s="78" t="s">
        <v>1796</v>
      </c>
      <c r="E107" s="78" t="s">
        <v>1809</v>
      </c>
      <c r="F107" s="78" t="s">
        <v>1728</v>
      </c>
      <c r="G107" s="78" t="s">
        <v>1614</v>
      </c>
      <c r="H107" s="78">
        <v>66</v>
      </c>
      <c r="I107" s="78">
        <v>84</v>
      </c>
      <c r="J107" s="78">
        <v>1.1000000000000001</v>
      </c>
      <c r="K107" s="78">
        <v>13.1</v>
      </c>
      <c r="L107" s="78">
        <v>0.6</v>
      </c>
      <c r="M107" s="78" t="s">
        <v>1615</v>
      </c>
      <c r="N107" s="78">
        <v>0</v>
      </c>
      <c r="O107" s="78">
        <v>1.2</v>
      </c>
      <c r="P107" s="78" t="s">
        <v>1615</v>
      </c>
      <c r="Q107" s="78" t="s">
        <v>1615</v>
      </c>
      <c r="R107" s="78" t="s">
        <v>1615</v>
      </c>
      <c r="S107" s="78" t="s">
        <v>1615</v>
      </c>
      <c r="T107" s="78" t="s">
        <v>1615</v>
      </c>
      <c r="U107" s="78" t="s">
        <v>1615</v>
      </c>
      <c r="V107" s="78" t="s">
        <v>1615</v>
      </c>
      <c r="W107" s="78" t="s">
        <v>1615</v>
      </c>
      <c r="X107" s="78" t="s">
        <v>1615</v>
      </c>
      <c r="Y107" s="78" t="s">
        <v>1615</v>
      </c>
      <c r="Z107" s="78" t="s">
        <v>1615</v>
      </c>
      <c r="AA107" s="78" t="s">
        <v>1615</v>
      </c>
      <c r="AB107" s="78" t="s">
        <v>1615</v>
      </c>
      <c r="AC107" s="78" t="s">
        <v>1615</v>
      </c>
      <c r="AD107" s="78" t="s">
        <v>1615</v>
      </c>
      <c r="AE107" s="78" t="s">
        <v>1615</v>
      </c>
      <c r="AF107" s="78" t="s">
        <v>1615</v>
      </c>
      <c r="AG107" s="78">
        <v>163</v>
      </c>
      <c r="AH107" s="78">
        <v>255</v>
      </c>
      <c r="AI107" s="78">
        <v>7</v>
      </c>
      <c r="AJ107" s="78">
        <v>184</v>
      </c>
      <c r="AK107" s="78" t="s">
        <v>1615</v>
      </c>
      <c r="AL107" s="78">
        <v>1.6</v>
      </c>
      <c r="AM107" s="78" t="s">
        <v>1615</v>
      </c>
      <c r="AN107" s="78" t="s">
        <v>1615</v>
      </c>
      <c r="AO107" s="78" t="s">
        <v>1615</v>
      </c>
    </row>
    <row r="108" spans="1:41">
      <c r="A108" s="78" t="s">
        <v>1810</v>
      </c>
      <c r="B108" s="78" t="s">
        <v>1558</v>
      </c>
      <c r="C108" s="78" t="s">
        <v>366</v>
      </c>
      <c r="D108" s="78" t="s">
        <v>1798</v>
      </c>
      <c r="E108" s="78" t="s">
        <v>1811</v>
      </c>
      <c r="F108" s="78" t="s">
        <v>1728</v>
      </c>
      <c r="G108" s="78" t="s">
        <v>1614</v>
      </c>
      <c r="H108" s="78">
        <v>403</v>
      </c>
      <c r="I108" s="78">
        <v>38.4</v>
      </c>
      <c r="J108" s="78">
        <v>1.3</v>
      </c>
      <c r="K108" s="78">
        <v>27.4</v>
      </c>
      <c r="L108" s="78">
        <v>0.5</v>
      </c>
      <c r="M108" s="78">
        <v>0.2</v>
      </c>
      <c r="N108" s="78" t="s">
        <v>1615</v>
      </c>
      <c r="O108" s="78">
        <v>32.4</v>
      </c>
      <c r="P108" s="78">
        <v>11.04</v>
      </c>
      <c r="Q108" s="78">
        <v>12.53</v>
      </c>
      <c r="R108" s="78">
        <v>7.31</v>
      </c>
      <c r="S108" s="78">
        <v>0</v>
      </c>
      <c r="T108" s="78">
        <v>80</v>
      </c>
      <c r="U108" s="78" t="s">
        <v>1615</v>
      </c>
      <c r="V108" s="78" t="s">
        <v>1615</v>
      </c>
      <c r="W108" s="78" t="s">
        <v>1615</v>
      </c>
      <c r="X108" s="78" t="s">
        <v>1615</v>
      </c>
      <c r="Y108" s="78" t="s">
        <v>1615</v>
      </c>
      <c r="Z108" s="78" t="s">
        <v>1615</v>
      </c>
      <c r="AA108" s="78" t="s">
        <v>1615</v>
      </c>
      <c r="AB108" s="78" t="s">
        <v>1615</v>
      </c>
      <c r="AC108" s="78" t="s">
        <v>1615</v>
      </c>
      <c r="AD108" s="78" t="s">
        <v>1615</v>
      </c>
      <c r="AE108" s="78" t="s">
        <v>1615</v>
      </c>
      <c r="AF108" s="78" t="s">
        <v>1615</v>
      </c>
      <c r="AG108" s="78">
        <v>417</v>
      </c>
      <c r="AH108" s="78" t="s">
        <v>1615</v>
      </c>
      <c r="AI108" s="78" t="s">
        <v>1615</v>
      </c>
      <c r="AJ108" s="78" t="s">
        <v>1615</v>
      </c>
      <c r="AK108" s="78" t="s">
        <v>1615</v>
      </c>
      <c r="AL108" s="78" t="s">
        <v>1615</v>
      </c>
      <c r="AM108" s="78" t="s">
        <v>1615</v>
      </c>
      <c r="AN108" s="78" t="s">
        <v>1615</v>
      </c>
      <c r="AO108" s="78" t="s">
        <v>1615</v>
      </c>
    </row>
    <row r="109" spans="1:41">
      <c r="A109" s="78" t="s">
        <v>1812</v>
      </c>
      <c r="B109" s="78" t="s">
        <v>1558</v>
      </c>
      <c r="C109" s="78" t="s">
        <v>366</v>
      </c>
      <c r="D109" s="78" t="s">
        <v>1800</v>
      </c>
      <c r="E109" s="78" t="s">
        <v>1813</v>
      </c>
      <c r="F109" s="78" t="s">
        <v>1728</v>
      </c>
      <c r="G109" s="78" t="s">
        <v>1614</v>
      </c>
      <c r="H109" s="78">
        <v>350</v>
      </c>
      <c r="I109" s="78" t="s">
        <v>1615</v>
      </c>
      <c r="J109" s="78" t="s">
        <v>1615</v>
      </c>
      <c r="K109" s="78">
        <v>50</v>
      </c>
      <c r="L109" s="78">
        <v>28</v>
      </c>
      <c r="M109" s="78">
        <v>15</v>
      </c>
      <c r="N109" s="78">
        <v>3</v>
      </c>
      <c r="O109" s="78">
        <v>2</v>
      </c>
      <c r="P109" s="78" t="s">
        <v>1615</v>
      </c>
      <c r="Q109" s="78" t="s">
        <v>1615</v>
      </c>
      <c r="R109" s="78" t="s">
        <v>1615</v>
      </c>
      <c r="S109" s="78" t="s">
        <v>1615</v>
      </c>
      <c r="T109" s="78">
        <v>0</v>
      </c>
      <c r="U109" s="78" t="s">
        <v>1615</v>
      </c>
      <c r="V109" s="78" t="s">
        <v>1615</v>
      </c>
      <c r="W109" s="78" t="s">
        <v>1615</v>
      </c>
      <c r="X109" s="78" t="s">
        <v>1615</v>
      </c>
      <c r="Y109" s="78" t="s">
        <v>1615</v>
      </c>
      <c r="Z109" s="78">
        <v>0.6</v>
      </c>
      <c r="AA109" s="78">
        <v>0.3</v>
      </c>
      <c r="AB109" s="78">
        <v>3</v>
      </c>
      <c r="AC109" s="78">
        <v>0.5</v>
      </c>
      <c r="AD109" s="78">
        <v>1.3</v>
      </c>
      <c r="AE109" s="78" t="s">
        <v>1615</v>
      </c>
      <c r="AF109" s="78" t="s">
        <v>1615</v>
      </c>
      <c r="AG109" s="78">
        <v>15</v>
      </c>
      <c r="AH109" s="78" t="s">
        <v>1615</v>
      </c>
      <c r="AI109" s="78" t="s">
        <v>1615</v>
      </c>
      <c r="AJ109" s="78" t="s">
        <v>1615</v>
      </c>
      <c r="AK109" s="78" t="s">
        <v>1615</v>
      </c>
      <c r="AL109" s="78" t="s">
        <v>1615</v>
      </c>
      <c r="AM109" s="78" t="s">
        <v>1615</v>
      </c>
      <c r="AN109" s="78" t="s">
        <v>1615</v>
      </c>
      <c r="AO109" s="78" t="s">
        <v>1615</v>
      </c>
    </row>
    <row r="110" spans="1:41">
      <c r="A110" s="78" t="s">
        <v>1814</v>
      </c>
      <c r="B110" s="78" t="s">
        <v>1558</v>
      </c>
      <c r="C110" s="78" t="s">
        <v>366</v>
      </c>
      <c r="D110" s="78" t="s">
        <v>1802</v>
      </c>
      <c r="E110" s="78" t="s">
        <v>1815</v>
      </c>
      <c r="F110" s="78" t="s">
        <v>1728</v>
      </c>
      <c r="G110" s="78" t="s">
        <v>1614</v>
      </c>
      <c r="H110" s="78">
        <v>382</v>
      </c>
      <c r="I110" s="78">
        <v>7.3</v>
      </c>
      <c r="J110" s="78">
        <v>7.3</v>
      </c>
      <c r="K110" s="78">
        <v>75.599999999999994</v>
      </c>
      <c r="L110" s="78">
        <v>1.8</v>
      </c>
      <c r="M110" s="78">
        <v>0.5</v>
      </c>
      <c r="N110" s="78" t="s">
        <v>1615</v>
      </c>
      <c r="O110" s="78">
        <v>8</v>
      </c>
      <c r="P110" s="78">
        <v>3.29</v>
      </c>
      <c r="Q110" s="78">
        <v>3.63</v>
      </c>
      <c r="R110" s="78">
        <v>0.42</v>
      </c>
      <c r="S110" s="78">
        <v>0</v>
      </c>
      <c r="T110" s="78">
        <v>238</v>
      </c>
      <c r="U110" s="78" t="s">
        <v>1615</v>
      </c>
      <c r="V110" s="78" t="s">
        <v>1615</v>
      </c>
      <c r="W110" s="78" t="s">
        <v>1615</v>
      </c>
      <c r="X110" s="78" t="s">
        <v>1615</v>
      </c>
      <c r="Y110" s="78" t="s">
        <v>1615</v>
      </c>
      <c r="Z110" s="78" t="s">
        <v>1615</v>
      </c>
      <c r="AA110" s="78" t="s">
        <v>1615</v>
      </c>
      <c r="AB110" s="78" t="s">
        <v>1615</v>
      </c>
      <c r="AC110" s="78" t="s">
        <v>1615</v>
      </c>
      <c r="AD110" s="78" t="s">
        <v>1615</v>
      </c>
      <c r="AE110" s="78" t="s">
        <v>1615</v>
      </c>
      <c r="AF110" s="78" t="s">
        <v>1615</v>
      </c>
      <c r="AG110" s="78">
        <v>1477</v>
      </c>
      <c r="AH110" s="78" t="s">
        <v>1615</v>
      </c>
      <c r="AI110" s="78" t="s">
        <v>1615</v>
      </c>
      <c r="AJ110" s="78" t="s">
        <v>1615</v>
      </c>
      <c r="AK110" s="78" t="s">
        <v>1615</v>
      </c>
      <c r="AL110" s="78" t="s">
        <v>1615</v>
      </c>
      <c r="AM110" s="78" t="s">
        <v>1615</v>
      </c>
      <c r="AN110" s="78" t="s">
        <v>1615</v>
      </c>
      <c r="AO110" s="78" t="s">
        <v>1615</v>
      </c>
    </row>
    <row r="111" spans="1:41">
      <c r="A111" s="78" t="s">
        <v>1816</v>
      </c>
      <c r="B111" s="78" t="s">
        <v>1558</v>
      </c>
      <c r="C111" s="78" t="s">
        <v>366</v>
      </c>
      <c r="D111" s="78" t="s">
        <v>1804</v>
      </c>
      <c r="E111" s="78" t="s">
        <v>1817</v>
      </c>
      <c r="F111" s="78" t="s">
        <v>1728</v>
      </c>
      <c r="G111" s="78" t="s">
        <v>1614</v>
      </c>
      <c r="H111" s="78">
        <v>212</v>
      </c>
      <c r="I111" s="78">
        <v>64.900000000000006</v>
      </c>
      <c r="J111" s="78">
        <v>2.9</v>
      </c>
      <c r="K111" s="78">
        <v>15.2</v>
      </c>
      <c r="L111" s="78">
        <v>0.4</v>
      </c>
      <c r="M111" s="78" t="s">
        <v>1615</v>
      </c>
      <c r="N111" s="78" t="s">
        <v>1615</v>
      </c>
      <c r="O111" s="78">
        <v>16.600000000000001</v>
      </c>
      <c r="P111" s="78">
        <v>5.29</v>
      </c>
      <c r="Q111" s="78">
        <v>6.31</v>
      </c>
      <c r="R111" s="78">
        <v>2.3199999999999998</v>
      </c>
      <c r="S111" s="78">
        <v>0</v>
      </c>
      <c r="T111" s="78">
        <v>45</v>
      </c>
      <c r="U111" s="78" t="s">
        <v>1615</v>
      </c>
      <c r="V111" s="78" t="s">
        <v>1615</v>
      </c>
      <c r="W111" s="78" t="s">
        <v>1615</v>
      </c>
      <c r="X111" s="78" t="s">
        <v>1615</v>
      </c>
      <c r="Y111" s="78" t="s">
        <v>1615</v>
      </c>
      <c r="Z111" s="78" t="s">
        <v>1615</v>
      </c>
      <c r="AA111" s="78" t="s">
        <v>1615</v>
      </c>
      <c r="AB111" s="78" t="s">
        <v>1615</v>
      </c>
      <c r="AC111" s="78" t="s">
        <v>1615</v>
      </c>
      <c r="AD111" s="78" t="s">
        <v>1615</v>
      </c>
      <c r="AE111" s="78" t="s">
        <v>1615</v>
      </c>
      <c r="AF111" s="78" t="s">
        <v>1615</v>
      </c>
      <c r="AG111" s="78">
        <v>796</v>
      </c>
      <c r="AH111" s="78" t="s">
        <v>1615</v>
      </c>
      <c r="AI111" s="78" t="s">
        <v>1615</v>
      </c>
      <c r="AJ111" s="78" t="s">
        <v>1615</v>
      </c>
      <c r="AK111" s="78" t="s">
        <v>1615</v>
      </c>
      <c r="AL111" s="78" t="s">
        <v>1615</v>
      </c>
      <c r="AM111" s="78" t="s">
        <v>1615</v>
      </c>
      <c r="AN111" s="78" t="s">
        <v>1615</v>
      </c>
      <c r="AO111" s="78" t="s">
        <v>1615</v>
      </c>
    </row>
    <row r="112" spans="1:41">
      <c r="A112" s="78" t="s">
        <v>1818</v>
      </c>
      <c r="B112" s="78" t="s">
        <v>1558</v>
      </c>
      <c r="C112" s="78" t="s">
        <v>366</v>
      </c>
      <c r="D112" s="78" t="s">
        <v>1806</v>
      </c>
      <c r="E112" s="78" t="s">
        <v>1819</v>
      </c>
      <c r="F112" s="78" t="s">
        <v>1728</v>
      </c>
      <c r="G112" s="78" t="s">
        <v>1614</v>
      </c>
      <c r="H112" s="78">
        <v>405</v>
      </c>
      <c r="I112" s="78">
        <v>43</v>
      </c>
      <c r="J112" s="78">
        <v>1.6</v>
      </c>
      <c r="K112" s="78">
        <v>13.7</v>
      </c>
      <c r="L112" s="78">
        <v>5</v>
      </c>
      <c r="M112" s="78">
        <v>0.5</v>
      </c>
      <c r="N112" s="78" t="s">
        <v>1615</v>
      </c>
      <c r="O112" s="78">
        <v>36.700000000000003</v>
      </c>
      <c r="P112" s="78">
        <v>11.87</v>
      </c>
      <c r="Q112" s="78">
        <v>14.55</v>
      </c>
      <c r="R112" s="78">
        <v>8.57</v>
      </c>
      <c r="S112" s="78">
        <v>0</v>
      </c>
      <c r="T112" s="78">
        <v>103</v>
      </c>
      <c r="U112" s="78" t="s">
        <v>1615</v>
      </c>
      <c r="V112" s="78" t="s">
        <v>1615</v>
      </c>
      <c r="W112" s="78" t="s">
        <v>1615</v>
      </c>
      <c r="X112" s="78" t="s">
        <v>1615</v>
      </c>
      <c r="Y112" s="78" t="s">
        <v>1615</v>
      </c>
      <c r="Z112" s="78" t="s">
        <v>1615</v>
      </c>
      <c r="AA112" s="78" t="s">
        <v>1615</v>
      </c>
      <c r="AB112" s="78" t="s">
        <v>1615</v>
      </c>
      <c r="AC112" s="78" t="s">
        <v>1615</v>
      </c>
      <c r="AD112" s="78" t="s">
        <v>1615</v>
      </c>
      <c r="AE112" s="78" t="s">
        <v>1615</v>
      </c>
      <c r="AF112" s="78" t="s">
        <v>1615</v>
      </c>
      <c r="AG112" s="78">
        <v>609</v>
      </c>
      <c r="AH112" s="78" t="s">
        <v>1615</v>
      </c>
      <c r="AI112" s="78" t="s">
        <v>1615</v>
      </c>
      <c r="AJ112" s="78" t="s">
        <v>1615</v>
      </c>
      <c r="AK112" s="78" t="s">
        <v>1615</v>
      </c>
      <c r="AL112" s="78" t="s">
        <v>1615</v>
      </c>
      <c r="AM112" s="78" t="s">
        <v>1615</v>
      </c>
      <c r="AN112" s="78" t="s">
        <v>1615</v>
      </c>
      <c r="AO112" s="78" t="s">
        <v>1615</v>
      </c>
    </row>
    <row r="113" spans="1:41">
      <c r="A113" s="78" t="s">
        <v>1820</v>
      </c>
      <c r="B113" s="78" t="s">
        <v>1558</v>
      </c>
      <c r="C113" s="78" t="s">
        <v>366</v>
      </c>
      <c r="D113" s="78" t="s">
        <v>1808</v>
      </c>
      <c r="E113" s="78" t="s">
        <v>1821</v>
      </c>
      <c r="F113" s="78" t="s">
        <v>1728</v>
      </c>
      <c r="G113" s="78" t="s">
        <v>1614</v>
      </c>
      <c r="H113" s="78">
        <v>220</v>
      </c>
      <c r="I113" s="78">
        <v>56.7</v>
      </c>
      <c r="J113" s="78">
        <v>1.4</v>
      </c>
      <c r="K113" s="78">
        <v>30.6</v>
      </c>
      <c r="L113" s="78">
        <v>2.5</v>
      </c>
      <c r="M113" s="78" t="s">
        <v>1615</v>
      </c>
      <c r="N113" s="78">
        <v>0</v>
      </c>
      <c r="O113" s="78">
        <v>8.8000000000000007</v>
      </c>
      <c r="P113" s="78">
        <v>3.41</v>
      </c>
      <c r="Q113" s="78">
        <v>1.84</v>
      </c>
      <c r="R113" s="78">
        <v>1.31</v>
      </c>
      <c r="S113" s="78" t="s">
        <v>1615</v>
      </c>
      <c r="T113" s="78">
        <v>501</v>
      </c>
      <c r="U113" s="78">
        <v>7491</v>
      </c>
      <c r="V113" s="78">
        <v>4</v>
      </c>
      <c r="W113" s="78" t="s">
        <v>1615</v>
      </c>
      <c r="X113" s="78" t="s">
        <v>1615</v>
      </c>
      <c r="Y113" s="78" t="s">
        <v>1615</v>
      </c>
      <c r="Z113" s="78">
        <v>0.2</v>
      </c>
      <c r="AA113" s="78">
        <v>4</v>
      </c>
      <c r="AB113" s="78">
        <v>12.2</v>
      </c>
      <c r="AC113" s="78">
        <v>0.5</v>
      </c>
      <c r="AD113" s="78">
        <v>4</v>
      </c>
      <c r="AE113" s="78">
        <v>76.5</v>
      </c>
      <c r="AF113" s="78">
        <v>73</v>
      </c>
      <c r="AG113" s="78">
        <v>56</v>
      </c>
      <c r="AH113" s="78">
        <v>221</v>
      </c>
      <c r="AI113" s="78">
        <v>8</v>
      </c>
      <c r="AJ113" s="78">
        <v>420</v>
      </c>
      <c r="AK113" s="78">
        <v>22</v>
      </c>
      <c r="AL113" s="78">
        <v>8.3000000000000007</v>
      </c>
      <c r="AM113" s="78">
        <v>7.9</v>
      </c>
      <c r="AN113" s="78">
        <v>7.1</v>
      </c>
      <c r="AO113" s="78">
        <v>111.4</v>
      </c>
    </row>
    <row r="114" spans="1:41">
      <c r="A114" s="78" t="s">
        <v>1822</v>
      </c>
      <c r="B114" s="78" t="s">
        <v>1558</v>
      </c>
      <c r="C114" s="78" t="s">
        <v>366</v>
      </c>
      <c r="D114" s="78" t="s">
        <v>1810</v>
      </c>
      <c r="E114" s="78" t="s">
        <v>1823</v>
      </c>
      <c r="F114" s="78" t="s">
        <v>1728</v>
      </c>
      <c r="G114" s="78" t="s">
        <v>1614</v>
      </c>
      <c r="H114" s="78">
        <v>167</v>
      </c>
      <c r="I114" s="78">
        <v>66.8</v>
      </c>
      <c r="J114" s="78">
        <v>1.4</v>
      </c>
      <c r="K114" s="78">
        <v>24.5</v>
      </c>
      <c r="L114" s="78">
        <v>0.9</v>
      </c>
      <c r="M114" s="78">
        <v>0</v>
      </c>
      <c r="N114" s="78">
        <v>0</v>
      </c>
      <c r="O114" s="78">
        <v>6.5</v>
      </c>
      <c r="P114" s="78">
        <v>2.06</v>
      </c>
      <c r="Q114" s="78">
        <v>1.42</v>
      </c>
      <c r="R114" s="78">
        <v>1.99</v>
      </c>
      <c r="S114" s="78" t="s">
        <v>1615</v>
      </c>
      <c r="T114" s="78">
        <v>563</v>
      </c>
      <c r="U114" s="78">
        <v>3981</v>
      </c>
      <c r="V114" s="78">
        <v>27.9</v>
      </c>
      <c r="W114" s="78">
        <v>0</v>
      </c>
      <c r="X114" s="78">
        <v>0.8</v>
      </c>
      <c r="Y114" s="78">
        <v>0</v>
      </c>
      <c r="Z114" s="78">
        <v>0.3</v>
      </c>
      <c r="AA114" s="78">
        <v>2</v>
      </c>
      <c r="AB114" s="78">
        <v>11</v>
      </c>
      <c r="AC114" s="78">
        <v>0.8</v>
      </c>
      <c r="AD114" s="78">
        <v>6.7</v>
      </c>
      <c r="AE114" s="78">
        <v>16.899999999999999</v>
      </c>
      <c r="AF114" s="78">
        <v>578</v>
      </c>
      <c r="AG114" s="78">
        <v>76</v>
      </c>
      <c r="AH114" s="78">
        <v>263</v>
      </c>
      <c r="AI114" s="78">
        <v>11</v>
      </c>
      <c r="AJ114" s="78">
        <v>405</v>
      </c>
      <c r="AK114" s="78">
        <v>25</v>
      </c>
      <c r="AL114" s="78">
        <v>11.6</v>
      </c>
      <c r="AM114" s="78">
        <v>4</v>
      </c>
      <c r="AN114" s="78">
        <v>0.5</v>
      </c>
      <c r="AO114" s="78">
        <v>82.4</v>
      </c>
    </row>
    <row r="115" spans="1:41">
      <c r="A115" s="78" t="s">
        <v>1824</v>
      </c>
      <c r="B115" s="78" t="s">
        <v>1558</v>
      </c>
      <c r="C115" s="78" t="s">
        <v>366</v>
      </c>
      <c r="D115" s="78" t="s">
        <v>1812</v>
      </c>
      <c r="E115" s="78" t="s">
        <v>354</v>
      </c>
      <c r="F115" s="78" t="s">
        <v>1728</v>
      </c>
      <c r="G115" s="78" t="s">
        <v>1614</v>
      </c>
      <c r="H115" s="78">
        <v>191</v>
      </c>
      <c r="I115" s="78">
        <v>58.8</v>
      </c>
      <c r="J115" s="78">
        <v>1.7</v>
      </c>
      <c r="K115" s="78">
        <v>29.1</v>
      </c>
      <c r="L115" s="78">
        <v>5.0999999999999996</v>
      </c>
      <c r="M115" s="78">
        <v>0</v>
      </c>
      <c r="N115" s="78">
        <v>0</v>
      </c>
      <c r="O115" s="78">
        <v>5.3</v>
      </c>
      <c r="P115" s="78">
        <v>2.95</v>
      </c>
      <c r="Q115" s="78">
        <v>1.1200000000000001</v>
      </c>
      <c r="R115" s="78">
        <v>1.1100000000000001</v>
      </c>
      <c r="S115" s="78" t="s">
        <v>1615</v>
      </c>
      <c r="T115" s="78">
        <v>396</v>
      </c>
      <c r="U115" s="78">
        <v>9442</v>
      </c>
      <c r="V115" s="78">
        <v>1.9</v>
      </c>
      <c r="W115" s="78">
        <v>1.2</v>
      </c>
      <c r="X115" s="78">
        <v>0.5</v>
      </c>
      <c r="Y115" s="78">
        <v>3.3</v>
      </c>
      <c r="Z115" s="78">
        <v>0.2</v>
      </c>
      <c r="AA115" s="78">
        <v>3.4</v>
      </c>
      <c r="AB115" s="78">
        <v>17.5</v>
      </c>
      <c r="AC115" s="78">
        <v>1</v>
      </c>
      <c r="AD115" s="78">
        <v>7.1</v>
      </c>
      <c r="AE115" s="78">
        <v>70.599999999999994</v>
      </c>
      <c r="AF115" s="78">
        <v>253</v>
      </c>
      <c r="AG115" s="78">
        <v>79</v>
      </c>
      <c r="AH115" s="78">
        <v>352</v>
      </c>
      <c r="AI115" s="78">
        <v>6</v>
      </c>
      <c r="AJ115" s="78">
        <v>497</v>
      </c>
      <c r="AK115" s="78">
        <v>21</v>
      </c>
      <c r="AL115" s="78">
        <v>6.5</v>
      </c>
      <c r="AM115" s="78">
        <v>5.3</v>
      </c>
      <c r="AN115" s="78">
        <v>14.3</v>
      </c>
      <c r="AO115" s="78">
        <v>36.1</v>
      </c>
    </row>
    <row r="116" spans="1:41">
      <c r="A116" s="78" t="s">
        <v>1825</v>
      </c>
      <c r="B116" s="78" t="s">
        <v>1558</v>
      </c>
      <c r="C116" s="78" t="s">
        <v>366</v>
      </c>
      <c r="D116" s="78" t="s">
        <v>1814</v>
      </c>
      <c r="E116" s="78" t="s">
        <v>1826</v>
      </c>
      <c r="F116" s="78" t="s">
        <v>1728</v>
      </c>
      <c r="G116" s="78" t="s">
        <v>1614</v>
      </c>
      <c r="H116" s="78">
        <v>244</v>
      </c>
      <c r="I116" s="78">
        <v>55.8</v>
      </c>
      <c r="J116" s="78">
        <v>1.4</v>
      </c>
      <c r="K116" s="78">
        <v>20.100000000000001</v>
      </c>
      <c r="L116" s="78">
        <v>8.1</v>
      </c>
      <c r="M116" s="78">
        <v>0.1</v>
      </c>
      <c r="N116" s="78" t="s">
        <v>1615</v>
      </c>
      <c r="O116" s="78">
        <v>14.6</v>
      </c>
      <c r="P116" s="78">
        <v>5.33</v>
      </c>
      <c r="Q116" s="78">
        <v>6.93</v>
      </c>
      <c r="R116" s="78">
        <v>1.69</v>
      </c>
      <c r="S116" s="78">
        <v>0</v>
      </c>
      <c r="T116" s="78">
        <v>66</v>
      </c>
      <c r="U116" s="78" t="s">
        <v>1615</v>
      </c>
      <c r="V116" s="78" t="s">
        <v>1615</v>
      </c>
      <c r="W116" s="78" t="s">
        <v>1615</v>
      </c>
      <c r="X116" s="78" t="s">
        <v>1615</v>
      </c>
      <c r="Y116" s="78" t="s">
        <v>1615</v>
      </c>
      <c r="Z116" s="78" t="s">
        <v>1615</v>
      </c>
      <c r="AA116" s="78" t="s">
        <v>1615</v>
      </c>
      <c r="AB116" s="78" t="s">
        <v>1615</v>
      </c>
      <c r="AC116" s="78" t="s">
        <v>1615</v>
      </c>
      <c r="AD116" s="78" t="s">
        <v>1615</v>
      </c>
      <c r="AE116" s="78" t="s">
        <v>1615</v>
      </c>
      <c r="AF116" s="78" t="s">
        <v>1615</v>
      </c>
      <c r="AG116" s="78">
        <v>362</v>
      </c>
      <c r="AH116" s="78" t="s">
        <v>1615</v>
      </c>
      <c r="AI116" s="78" t="s">
        <v>1615</v>
      </c>
      <c r="AJ116" s="78" t="s">
        <v>1615</v>
      </c>
      <c r="AK116" s="78" t="s">
        <v>1615</v>
      </c>
      <c r="AL116" s="78" t="s">
        <v>1615</v>
      </c>
      <c r="AM116" s="78" t="s">
        <v>1615</v>
      </c>
      <c r="AN116" s="78" t="s">
        <v>1615</v>
      </c>
      <c r="AO116" s="78" t="s">
        <v>1615</v>
      </c>
    </row>
    <row r="117" spans="1:41">
      <c r="A117" s="78" t="s">
        <v>1827</v>
      </c>
      <c r="B117" s="78" t="s">
        <v>1558</v>
      </c>
      <c r="C117" s="78" t="s">
        <v>366</v>
      </c>
      <c r="D117" s="78" t="s">
        <v>1816</v>
      </c>
      <c r="E117" s="78" t="s">
        <v>1828</v>
      </c>
      <c r="F117" s="78" t="s">
        <v>1728</v>
      </c>
      <c r="G117" s="78" t="s">
        <v>1614</v>
      </c>
      <c r="H117" s="78">
        <v>284</v>
      </c>
      <c r="I117" s="78">
        <v>57.9</v>
      </c>
      <c r="J117" s="78">
        <v>0.7</v>
      </c>
      <c r="K117" s="78">
        <v>19.3</v>
      </c>
      <c r="L117" s="78">
        <v>0</v>
      </c>
      <c r="M117" s="78">
        <v>0</v>
      </c>
      <c r="N117" s="78">
        <v>0</v>
      </c>
      <c r="O117" s="78">
        <v>22.3</v>
      </c>
      <c r="P117" s="78">
        <v>8.1300000000000008</v>
      </c>
      <c r="Q117" s="78">
        <v>10.1</v>
      </c>
      <c r="R117" s="78">
        <v>0.75</v>
      </c>
      <c r="S117" s="78" t="s">
        <v>1615</v>
      </c>
      <c r="T117" s="78">
        <v>132</v>
      </c>
      <c r="U117" s="78">
        <v>0</v>
      </c>
      <c r="V117" s="78">
        <v>1.3</v>
      </c>
      <c r="W117" s="78">
        <v>0.4</v>
      </c>
      <c r="X117" s="78">
        <v>0.3</v>
      </c>
      <c r="Y117" s="78">
        <v>1.2</v>
      </c>
      <c r="Z117" s="78">
        <v>0</v>
      </c>
      <c r="AA117" s="78">
        <v>0.3</v>
      </c>
      <c r="AB117" s="78">
        <v>3.5</v>
      </c>
      <c r="AC117" s="78">
        <v>0.2</v>
      </c>
      <c r="AD117" s="78">
        <v>0.7</v>
      </c>
      <c r="AE117" s="78">
        <v>3.1</v>
      </c>
      <c r="AF117" s="78">
        <v>7</v>
      </c>
      <c r="AG117" s="78">
        <v>65</v>
      </c>
      <c r="AH117" s="78">
        <v>184</v>
      </c>
      <c r="AI117" s="78">
        <v>5</v>
      </c>
      <c r="AJ117" s="78">
        <v>145</v>
      </c>
      <c r="AK117" s="78">
        <v>15</v>
      </c>
      <c r="AL117" s="78">
        <v>2.6</v>
      </c>
      <c r="AM117" s="78">
        <v>4.0999999999999996</v>
      </c>
      <c r="AN117" s="78">
        <v>0.1</v>
      </c>
      <c r="AO117" s="78">
        <v>13.2</v>
      </c>
    </row>
    <row r="118" spans="1:41">
      <c r="A118" s="78" t="s">
        <v>1829</v>
      </c>
      <c r="B118" s="78" t="s">
        <v>1558</v>
      </c>
      <c r="C118" s="78" t="s">
        <v>366</v>
      </c>
      <c r="D118" s="78" t="s">
        <v>1818</v>
      </c>
      <c r="E118" s="78" t="s">
        <v>1830</v>
      </c>
      <c r="F118" s="78" t="s">
        <v>1728</v>
      </c>
      <c r="G118" s="78" t="s">
        <v>1614</v>
      </c>
      <c r="H118" s="78">
        <v>162</v>
      </c>
      <c r="I118" s="78">
        <v>74</v>
      </c>
      <c r="J118" s="78">
        <v>1.2</v>
      </c>
      <c r="K118" s="78">
        <v>11.2</v>
      </c>
      <c r="L118" s="78">
        <v>1</v>
      </c>
      <c r="M118" s="78" t="s">
        <v>1615</v>
      </c>
      <c r="N118" s="78">
        <v>0</v>
      </c>
      <c r="O118" s="78">
        <v>12.6</v>
      </c>
      <c r="P118" s="78" t="s">
        <v>1615</v>
      </c>
      <c r="Q118" s="78" t="s">
        <v>1615</v>
      </c>
      <c r="R118" s="78" t="s">
        <v>1615</v>
      </c>
      <c r="S118" s="78" t="s">
        <v>1615</v>
      </c>
      <c r="T118" s="78" t="s">
        <v>1615</v>
      </c>
      <c r="U118" s="78" t="s">
        <v>1615</v>
      </c>
      <c r="V118" s="78" t="s">
        <v>1615</v>
      </c>
      <c r="W118" s="78" t="s">
        <v>1615</v>
      </c>
      <c r="X118" s="78" t="s">
        <v>1615</v>
      </c>
      <c r="Y118" s="78" t="s">
        <v>1615</v>
      </c>
      <c r="Z118" s="78">
        <v>0.1</v>
      </c>
      <c r="AA118" s="78">
        <v>0.2</v>
      </c>
      <c r="AB118" s="78">
        <v>1.3</v>
      </c>
      <c r="AC118" s="78" t="s">
        <v>1615</v>
      </c>
      <c r="AD118" s="78" t="s">
        <v>1615</v>
      </c>
      <c r="AE118" s="78" t="s">
        <v>1615</v>
      </c>
      <c r="AF118" s="78" t="s">
        <v>1615</v>
      </c>
      <c r="AG118" s="78">
        <v>110</v>
      </c>
      <c r="AH118" s="78">
        <v>144</v>
      </c>
      <c r="AI118" s="78">
        <v>17</v>
      </c>
      <c r="AJ118" s="78">
        <v>171</v>
      </c>
      <c r="AK118" s="78" t="s">
        <v>1615</v>
      </c>
      <c r="AL118" s="78">
        <v>1.3</v>
      </c>
      <c r="AM118" s="78" t="s">
        <v>1615</v>
      </c>
      <c r="AN118" s="78" t="s">
        <v>1615</v>
      </c>
      <c r="AO118" s="78" t="s">
        <v>1615</v>
      </c>
    </row>
    <row r="119" spans="1:41">
      <c r="A119" s="78" t="s">
        <v>1831</v>
      </c>
      <c r="B119" s="78" t="s">
        <v>1558</v>
      </c>
      <c r="C119" s="78" t="s">
        <v>366</v>
      </c>
      <c r="D119" s="78" t="s">
        <v>1820</v>
      </c>
      <c r="E119" s="78" t="s">
        <v>1832</v>
      </c>
      <c r="F119" s="78" t="s">
        <v>1728</v>
      </c>
      <c r="G119" s="78" t="s">
        <v>1614</v>
      </c>
      <c r="H119" s="78">
        <v>180</v>
      </c>
      <c r="I119" s="78">
        <v>65.3</v>
      </c>
      <c r="J119" s="78">
        <v>3.7</v>
      </c>
      <c r="K119" s="78">
        <v>16.5</v>
      </c>
      <c r="L119" s="78">
        <v>4.2</v>
      </c>
      <c r="M119" s="78">
        <v>0</v>
      </c>
      <c r="N119" s="78">
        <v>0</v>
      </c>
      <c r="O119" s="78">
        <v>10.3</v>
      </c>
      <c r="P119" s="78">
        <v>3.42</v>
      </c>
      <c r="Q119" s="78">
        <v>4.9000000000000004</v>
      </c>
      <c r="R119" s="78">
        <v>1.26</v>
      </c>
      <c r="S119" s="78" t="s">
        <v>1615</v>
      </c>
      <c r="T119" s="78">
        <v>59</v>
      </c>
      <c r="U119" s="78">
        <v>0</v>
      </c>
      <c r="V119" s="78">
        <v>0</v>
      </c>
      <c r="W119" s="78" t="s">
        <v>1615</v>
      </c>
      <c r="X119" s="78">
        <v>0.2</v>
      </c>
      <c r="Y119" s="78">
        <v>0</v>
      </c>
      <c r="Z119" s="78">
        <v>0.6</v>
      </c>
      <c r="AA119" s="78">
        <v>0.2</v>
      </c>
      <c r="AB119" s="78">
        <v>3.9</v>
      </c>
      <c r="AC119" s="78">
        <v>0.4</v>
      </c>
      <c r="AD119" s="78" t="s">
        <v>1615</v>
      </c>
      <c r="AE119" s="78">
        <v>0.9</v>
      </c>
      <c r="AF119" s="78">
        <v>1</v>
      </c>
      <c r="AG119" s="78">
        <v>1039</v>
      </c>
      <c r="AH119" s="78">
        <v>319</v>
      </c>
      <c r="AI119" s="78">
        <v>7</v>
      </c>
      <c r="AJ119" s="78">
        <v>155</v>
      </c>
      <c r="AK119" s="78">
        <v>16</v>
      </c>
      <c r="AL119" s="78">
        <v>0.8</v>
      </c>
      <c r="AM119" s="78">
        <v>1.9</v>
      </c>
      <c r="AN119" s="78">
        <v>0.1</v>
      </c>
      <c r="AO119" s="78">
        <v>17.399999999999999</v>
      </c>
    </row>
    <row r="120" spans="1:41">
      <c r="A120" s="78" t="s">
        <v>1833</v>
      </c>
      <c r="B120" s="78" t="s">
        <v>1558</v>
      </c>
      <c r="C120" s="78" t="s">
        <v>366</v>
      </c>
      <c r="D120" s="78" t="s">
        <v>1822</v>
      </c>
      <c r="E120" s="78" t="s">
        <v>1834</v>
      </c>
      <c r="F120" s="78" t="s">
        <v>1728</v>
      </c>
      <c r="G120" s="78" t="s">
        <v>1614</v>
      </c>
      <c r="H120" s="78">
        <v>113</v>
      </c>
      <c r="I120" s="78">
        <v>73.400000000000006</v>
      </c>
      <c r="J120" s="78">
        <v>2.1</v>
      </c>
      <c r="K120" s="78">
        <v>20.100000000000001</v>
      </c>
      <c r="L120" s="78">
        <v>1.3</v>
      </c>
      <c r="M120" s="78" t="s">
        <v>1615</v>
      </c>
      <c r="N120" s="78" t="s">
        <v>1615</v>
      </c>
      <c r="O120" s="78">
        <v>3.1</v>
      </c>
      <c r="P120" s="78">
        <v>1.08</v>
      </c>
      <c r="Q120" s="78">
        <v>1.1100000000000001</v>
      </c>
      <c r="R120" s="78">
        <v>0.56999999999999995</v>
      </c>
      <c r="S120" s="78">
        <v>0</v>
      </c>
      <c r="T120" s="78">
        <v>51.1</v>
      </c>
      <c r="U120" s="78" t="s">
        <v>1615</v>
      </c>
      <c r="V120" s="78" t="s">
        <v>1615</v>
      </c>
      <c r="W120" s="78">
        <v>0.7</v>
      </c>
      <c r="X120" s="78" t="s">
        <v>1615</v>
      </c>
      <c r="Y120" s="78" t="s">
        <v>1615</v>
      </c>
      <c r="Z120" s="78" t="s">
        <v>1615</v>
      </c>
      <c r="AA120" s="78" t="s">
        <v>1615</v>
      </c>
      <c r="AB120" s="78" t="s">
        <v>1615</v>
      </c>
      <c r="AC120" s="78" t="s">
        <v>1615</v>
      </c>
      <c r="AD120" s="78" t="s">
        <v>1615</v>
      </c>
      <c r="AE120" s="78" t="s">
        <v>1615</v>
      </c>
      <c r="AF120" s="78" t="s">
        <v>1615</v>
      </c>
      <c r="AG120" s="78">
        <v>615</v>
      </c>
      <c r="AH120" s="78" t="s">
        <v>1615</v>
      </c>
      <c r="AI120" s="78" t="s">
        <v>1615</v>
      </c>
      <c r="AJ120" s="78" t="s">
        <v>1615</v>
      </c>
      <c r="AK120" s="78" t="s">
        <v>1615</v>
      </c>
      <c r="AL120" s="78" t="s">
        <v>1615</v>
      </c>
      <c r="AM120" s="78" t="s">
        <v>1615</v>
      </c>
      <c r="AN120" s="78" t="s">
        <v>1615</v>
      </c>
      <c r="AO120" s="78" t="s">
        <v>1615</v>
      </c>
    </row>
    <row r="121" spans="1:41">
      <c r="A121" s="78" t="s">
        <v>1835</v>
      </c>
      <c r="B121" s="78" t="s">
        <v>1558</v>
      </c>
      <c r="C121" s="78" t="s">
        <v>366</v>
      </c>
      <c r="D121" s="78" t="s">
        <v>1824</v>
      </c>
      <c r="E121" s="78" t="s">
        <v>1836</v>
      </c>
      <c r="F121" s="78" t="s">
        <v>1728</v>
      </c>
      <c r="G121" s="78" t="s">
        <v>1614</v>
      </c>
      <c r="H121" s="78">
        <v>312</v>
      </c>
      <c r="I121" s="78">
        <v>44</v>
      </c>
      <c r="J121" s="78">
        <v>10</v>
      </c>
      <c r="K121" s="78">
        <v>20.5</v>
      </c>
      <c r="L121" s="78">
        <v>0</v>
      </c>
      <c r="M121" s="78" t="s">
        <v>1615</v>
      </c>
      <c r="N121" s="78">
        <v>0</v>
      </c>
      <c r="O121" s="78">
        <v>25.5</v>
      </c>
      <c r="P121" s="78">
        <v>10.79</v>
      </c>
      <c r="Q121" s="78">
        <v>12.65</v>
      </c>
      <c r="R121" s="78">
        <v>2.0699999999999998</v>
      </c>
      <c r="S121" s="78" t="s">
        <v>1615</v>
      </c>
      <c r="T121" s="78">
        <v>93</v>
      </c>
      <c r="U121" s="78" t="s">
        <v>1615</v>
      </c>
      <c r="V121" s="78">
        <v>0</v>
      </c>
      <c r="W121" s="78" t="s">
        <v>1615</v>
      </c>
      <c r="X121" s="78" t="s">
        <v>1615</v>
      </c>
      <c r="Y121" s="78" t="s">
        <v>1615</v>
      </c>
      <c r="Z121" s="78" t="s">
        <v>1615</v>
      </c>
      <c r="AA121" s="78" t="s">
        <v>1615</v>
      </c>
      <c r="AB121" s="78" t="s">
        <v>1615</v>
      </c>
      <c r="AC121" s="78" t="s">
        <v>1615</v>
      </c>
      <c r="AD121" s="78" t="s">
        <v>1615</v>
      </c>
      <c r="AE121" s="78" t="s">
        <v>1615</v>
      </c>
      <c r="AF121" s="78" t="s">
        <v>1615</v>
      </c>
      <c r="AG121" s="78" t="s">
        <v>1615</v>
      </c>
      <c r="AH121" s="78" t="s">
        <v>1615</v>
      </c>
      <c r="AI121" s="78" t="s">
        <v>1615</v>
      </c>
      <c r="AJ121" s="78" t="s">
        <v>1615</v>
      </c>
      <c r="AK121" s="78" t="s">
        <v>1615</v>
      </c>
      <c r="AL121" s="78" t="s">
        <v>1615</v>
      </c>
      <c r="AM121" s="78" t="s">
        <v>1615</v>
      </c>
      <c r="AN121" s="78" t="s">
        <v>1615</v>
      </c>
      <c r="AO121" s="78" t="s">
        <v>1615</v>
      </c>
    </row>
    <row r="122" spans="1:41">
      <c r="A122" s="78" t="s">
        <v>1837</v>
      </c>
      <c r="B122" s="78" t="s">
        <v>1558</v>
      </c>
      <c r="C122" s="78" t="s">
        <v>366</v>
      </c>
      <c r="D122" s="78" t="s">
        <v>1825</v>
      </c>
      <c r="E122" s="78" t="s">
        <v>1838</v>
      </c>
      <c r="F122" s="78" t="s">
        <v>1728</v>
      </c>
      <c r="G122" s="78" t="s">
        <v>1614</v>
      </c>
      <c r="H122" s="78">
        <v>124</v>
      </c>
      <c r="I122" s="78">
        <v>72</v>
      </c>
      <c r="J122" s="78">
        <v>1.7</v>
      </c>
      <c r="K122" s="78">
        <v>19.600000000000001</v>
      </c>
      <c r="L122" s="78">
        <v>2.9</v>
      </c>
      <c r="M122" s="78">
        <v>0</v>
      </c>
      <c r="N122" s="78">
        <v>0</v>
      </c>
      <c r="O122" s="78">
        <v>3.8</v>
      </c>
      <c r="P122" s="78">
        <v>1.0900000000000001</v>
      </c>
      <c r="Q122" s="78">
        <v>0.86</v>
      </c>
      <c r="R122" s="78">
        <v>1.1499999999999999</v>
      </c>
      <c r="S122" s="78" t="s">
        <v>1615</v>
      </c>
      <c r="T122" s="78">
        <v>67</v>
      </c>
      <c r="U122" s="78">
        <v>0</v>
      </c>
      <c r="V122" s="78">
        <v>0</v>
      </c>
      <c r="W122" s="78">
        <v>0</v>
      </c>
      <c r="X122" s="78">
        <v>0.4</v>
      </c>
      <c r="Y122" s="78">
        <v>0</v>
      </c>
      <c r="Z122" s="78">
        <v>0.1</v>
      </c>
      <c r="AA122" s="78">
        <v>0.3</v>
      </c>
      <c r="AB122" s="78">
        <v>3.5</v>
      </c>
      <c r="AC122" s="78">
        <v>0.2</v>
      </c>
      <c r="AD122" s="78" t="s">
        <v>1615</v>
      </c>
      <c r="AE122" s="78">
        <v>0.3</v>
      </c>
      <c r="AF122" s="78">
        <v>6</v>
      </c>
      <c r="AG122" s="78">
        <v>1038</v>
      </c>
      <c r="AH122" s="78">
        <v>299</v>
      </c>
      <c r="AI122" s="78">
        <v>5</v>
      </c>
      <c r="AJ122" s="78">
        <v>304</v>
      </c>
      <c r="AK122" s="78">
        <v>20</v>
      </c>
      <c r="AL122" s="78">
        <v>1.4</v>
      </c>
      <c r="AM122" s="78">
        <v>2.4</v>
      </c>
      <c r="AN122" s="78">
        <v>0.1</v>
      </c>
      <c r="AO122" s="78">
        <v>37</v>
      </c>
    </row>
    <row r="123" spans="1:41">
      <c r="A123" s="78" t="s">
        <v>1839</v>
      </c>
      <c r="B123" s="78" t="s">
        <v>1558</v>
      </c>
      <c r="C123" s="78" t="s">
        <v>366</v>
      </c>
      <c r="D123" s="78" t="s">
        <v>1827</v>
      </c>
      <c r="E123" s="78" t="s">
        <v>1840</v>
      </c>
      <c r="F123" s="78" t="s">
        <v>1728</v>
      </c>
      <c r="G123" s="78" t="s">
        <v>1614</v>
      </c>
      <c r="H123" s="78">
        <v>118</v>
      </c>
      <c r="I123" s="78">
        <v>73.5</v>
      </c>
      <c r="J123" s="78">
        <v>3.2</v>
      </c>
      <c r="K123" s="78">
        <v>16.3</v>
      </c>
      <c r="L123" s="78">
        <v>3</v>
      </c>
      <c r="M123" s="78">
        <v>1.2</v>
      </c>
      <c r="N123" s="78">
        <v>0</v>
      </c>
      <c r="O123" s="78">
        <v>4</v>
      </c>
      <c r="P123" s="78">
        <v>1.2</v>
      </c>
      <c r="Q123" s="78">
        <v>1.34</v>
      </c>
      <c r="R123" s="78">
        <v>0.87</v>
      </c>
      <c r="S123" s="78" t="s">
        <v>1615</v>
      </c>
      <c r="T123" s="78">
        <v>64</v>
      </c>
      <c r="U123" s="78">
        <v>16</v>
      </c>
      <c r="V123" s="78">
        <v>0</v>
      </c>
      <c r="W123" s="78" t="s">
        <v>1615</v>
      </c>
      <c r="X123" s="78" t="s">
        <v>1615</v>
      </c>
      <c r="Y123" s="78" t="s">
        <v>1615</v>
      </c>
      <c r="Z123" s="78">
        <v>0.2</v>
      </c>
      <c r="AA123" s="78">
        <v>0.3</v>
      </c>
      <c r="AB123" s="78">
        <v>4.0999999999999996</v>
      </c>
      <c r="AC123" s="78">
        <v>0.1</v>
      </c>
      <c r="AD123" s="78" t="s">
        <v>1615</v>
      </c>
      <c r="AE123" s="78">
        <v>0.8</v>
      </c>
      <c r="AF123" s="78" t="s">
        <v>1615</v>
      </c>
      <c r="AG123" s="78">
        <v>909</v>
      </c>
      <c r="AH123" s="78">
        <v>253</v>
      </c>
      <c r="AI123" s="78">
        <v>7</v>
      </c>
      <c r="AJ123" s="78">
        <v>289</v>
      </c>
      <c r="AK123" s="78">
        <v>16</v>
      </c>
      <c r="AL123" s="78">
        <v>1</v>
      </c>
      <c r="AM123" s="78">
        <v>2.1</v>
      </c>
      <c r="AN123" s="78" t="s">
        <v>1615</v>
      </c>
      <c r="AO123" s="78">
        <v>38.200000000000003</v>
      </c>
    </row>
    <row r="124" spans="1:41">
      <c r="A124" s="78" t="s">
        <v>1841</v>
      </c>
      <c r="B124" s="78" t="s">
        <v>1558</v>
      </c>
      <c r="C124" s="78" t="s">
        <v>366</v>
      </c>
      <c r="D124" s="78" t="s">
        <v>1829</v>
      </c>
      <c r="E124" s="78" t="s">
        <v>1842</v>
      </c>
      <c r="F124" s="78" t="s">
        <v>1728</v>
      </c>
      <c r="G124" s="78" t="s">
        <v>1614</v>
      </c>
      <c r="H124" s="78">
        <v>83</v>
      </c>
      <c r="I124" s="78">
        <v>77.7</v>
      </c>
      <c r="J124" s="78">
        <v>2.9</v>
      </c>
      <c r="K124" s="78">
        <v>17.899999999999999</v>
      </c>
      <c r="L124" s="78">
        <v>0.4</v>
      </c>
      <c r="M124" s="78" t="s">
        <v>1615</v>
      </c>
      <c r="N124" s="78">
        <v>0</v>
      </c>
      <c r="O124" s="78">
        <v>1.1000000000000001</v>
      </c>
      <c r="P124" s="78">
        <v>0.27</v>
      </c>
      <c r="Q124" s="78">
        <v>0.19</v>
      </c>
      <c r="R124" s="78">
        <v>0.23</v>
      </c>
      <c r="S124" s="78">
        <v>0</v>
      </c>
      <c r="T124" s="78">
        <v>41.4</v>
      </c>
      <c r="U124" s="78" t="s">
        <v>1615</v>
      </c>
      <c r="V124" s="78" t="s">
        <v>1615</v>
      </c>
      <c r="W124" s="78" t="s">
        <v>1615</v>
      </c>
      <c r="X124" s="78" t="s">
        <v>1615</v>
      </c>
      <c r="Y124" s="78" t="s">
        <v>1615</v>
      </c>
      <c r="Z124" s="78" t="s">
        <v>1615</v>
      </c>
      <c r="AA124" s="78" t="s">
        <v>1615</v>
      </c>
      <c r="AB124" s="78" t="s">
        <v>1615</v>
      </c>
      <c r="AC124" s="78" t="s">
        <v>1615</v>
      </c>
      <c r="AD124" s="78" t="s">
        <v>1615</v>
      </c>
      <c r="AE124" s="78" t="s">
        <v>1615</v>
      </c>
      <c r="AF124" s="78" t="s">
        <v>1615</v>
      </c>
      <c r="AG124" s="78">
        <v>943</v>
      </c>
      <c r="AH124" s="78" t="s">
        <v>1615</v>
      </c>
      <c r="AI124" s="78" t="s">
        <v>1615</v>
      </c>
      <c r="AJ124" s="78" t="s">
        <v>1615</v>
      </c>
      <c r="AK124" s="78" t="s">
        <v>1615</v>
      </c>
      <c r="AL124" s="78" t="s">
        <v>1615</v>
      </c>
      <c r="AM124" s="78" t="s">
        <v>1615</v>
      </c>
      <c r="AN124" s="78" t="s">
        <v>1615</v>
      </c>
      <c r="AO124" s="78" t="s">
        <v>1615</v>
      </c>
    </row>
    <row r="125" spans="1:41">
      <c r="A125" s="78" t="s">
        <v>1843</v>
      </c>
      <c r="B125" s="78" t="s">
        <v>1558</v>
      </c>
      <c r="C125" s="78" t="s">
        <v>366</v>
      </c>
      <c r="D125" s="78" t="s">
        <v>1831</v>
      </c>
      <c r="E125" s="78" t="s">
        <v>1844</v>
      </c>
      <c r="F125" s="78" t="s">
        <v>1728</v>
      </c>
      <c r="G125" s="78" t="s">
        <v>1614</v>
      </c>
      <c r="H125" s="78">
        <v>263</v>
      </c>
      <c r="I125" s="78">
        <v>57.4</v>
      </c>
      <c r="J125" s="78">
        <v>3.9</v>
      </c>
      <c r="K125" s="78">
        <v>16.3</v>
      </c>
      <c r="L125" s="78">
        <v>1.8</v>
      </c>
      <c r="M125" s="78">
        <v>0</v>
      </c>
      <c r="N125" s="78">
        <v>0</v>
      </c>
      <c r="O125" s="78">
        <v>20.7</v>
      </c>
      <c r="P125" s="78">
        <v>7.18</v>
      </c>
      <c r="Q125" s="78">
        <v>9.58</v>
      </c>
      <c r="R125" s="78">
        <v>2.4700000000000002</v>
      </c>
      <c r="S125" s="78" t="s">
        <v>1615</v>
      </c>
      <c r="T125" s="78">
        <v>70</v>
      </c>
      <c r="U125" s="78">
        <v>0</v>
      </c>
      <c r="V125" s="78">
        <v>0</v>
      </c>
      <c r="W125" s="78">
        <v>0.7</v>
      </c>
      <c r="X125" s="78">
        <v>0.3</v>
      </c>
      <c r="Y125" s="78">
        <v>0</v>
      </c>
      <c r="Z125" s="78">
        <v>0.7</v>
      </c>
      <c r="AA125" s="78">
        <v>0.2</v>
      </c>
      <c r="AB125" s="78">
        <v>4.2</v>
      </c>
      <c r="AC125" s="78">
        <v>0.3</v>
      </c>
      <c r="AD125" s="78">
        <v>0.2</v>
      </c>
      <c r="AE125" s="78">
        <v>1</v>
      </c>
      <c r="AF125" s="78">
        <v>1</v>
      </c>
      <c r="AG125" s="78">
        <v>1245</v>
      </c>
      <c r="AH125" s="78">
        <v>311</v>
      </c>
      <c r="AI125" s="78">
        <v>10</v>
      </c>
      <c r="AJ125" s="78">
        <v>157</v>
      </c>
      <c r="AK125" s="78">
        <v>16</v>
      </c>
      <c r="AL125" s="78">
        <v>0.8</v>
      </c>
      <c r="AM125" s="78">
        <v>1.9</v>
      </c>
      <c r="AN125" s="78">
        <v>0.1</v>
      </c>
      <c r="AO125" s="78">
        <v>20</v>
      </c>
    </row>
    <row r="126" spans="1:41">
      <c r="A126" s="78" t="s">
        <v>1845</v>
      </c>
      <c r="B126" s="78" t="s">
        <v>1558</v>
      </c>
      <c r="C126" s="78" t="s">
        <v>366</v>
      </c>
      <c r="D126" s="78" t="s">
        <v>1833</v>
      </c>
      <c r="E126" s="78" t="s">
        <v>1846</v>
      </c>
      <c r="F126" s="78" t="s">
        <v>1728</v>
      </c>
      <c r="G126" s="78" t="s">
        <v>1614</v>
      </c>
      <c r="H126" s="78">
        <v>397</v>
      </c>
      <c r="I126" s="78">
        <v>45</v>
      </c>
      <c r="J126" s="78">
        <v>2</v>
      </c>
      <c r="K126" s="78">
        <v>14</v>
      </c>
      <c r="L126" s="78">
        <v>2.1</v>
      </c>
      <c r="M126" s="78">
        <v>0.6</v>
      </c>
      <c r="N126" s="78" t="s">
        <v>1615</v>
      </c>
      <c r="O126" s="78">
        <v>36.9</v>
      </c>
      <c r="P126" s="78">
        <v>11.82</v>
      </c>
      <c r="Q126" s="78">
        <v>14.57</v>
      </c>
      <c r="R126" s="78">
        <v>8.76</v>
      </c>
      <c r="S126" s="78">
        <v>0</v>
      </c>
      <c r="T126" s="78">
        <v>80</v>
      </c>
      <c r="U126" s="78" t="s">
        <v>1615</v>
      </c>
      <c r="V126" s="78" t="s">
        <v>1615</v>
      </c>
      <c r="W126" s="78" t="s">
        <v>1615</v>
      </c>
      <c r="X126" s="78" t="s">
        <v>1615</v>
      </c>
      <c r="Y126" s="78" t="s">
        <v>1615</v>
      </c>
      <c r="Z126" s="78" t="s">
        <v>1615</v>
      </c>
      <c r="AA126" s="78" t="s">
        <v>1615</v>
      </c>
      <c r="AB126" s="78" t="s">
        <v>1615</v>
      </c>
      <c r="AC126" s="78" t="s">
        <v>1615</v>
      </c>
      <c r="AD126" s="78" t="s">
        <v>1615</v>
      </c>
      <c r="AE126" s="78" t="s">
        <v>1615</v>
      </c>
      <c r="AF126" s="78" t="s">
        <v>1615</v>
      </c>
      <c r="AG126" s="78">
        <v>587</v>
      </c>
      <c r="AH126" s="78" t="s">
        <v>1615</v>
      </c>
      <c r="AI126" s="78" t="s">
        <v>1615</v>
      </c>
      <c r="AJ126" s="78" t="s">
        <v>1615</v>
      </c>
      <c r="AK126" s="78" t="s">
        <v>1615</v>
      </c>
      <c r="AL126" s="78" t="s">
        <v>1615</v>
      </c>
      <c r="AM126" s="78" t="s">
        <v>1615</v>
      </c>
      <c r="AN126" s="78" t="s">
        <v>1615</v>
      </c>
      <c r="AO126" s="78" t="s">
        <v>1615</v>
      </c>
    </row>
    <row r="127" spans="1:41">
      <c r="A127" s="78" t="s">
        <v>1847</v>
      </c>
      <c r="B127" s="78" t="s">
        <v>1558</v>
      </c>
      <c r="C127" s="78" t="s">
        <v>366</v>
      </c>
      <c r="D127" s="78" t="s">
        <v>1835</v>
      </c>
      <c r="E127" s="78" t="s">
        <v>1848</v>
      </c>
      <c r="F127" s="78" t="s">
        <v>1728</v>
      </c>
      <c r="G127" s="78" t="s">
        <v>1614</v>
      </c>
      <c r="H127" s="78">
        <v>346</v>
      </c>
      <c r="I127" s="78">
        <v>51.1</v>
      </c>
      <c r="J127" s="78">
        <v>2.7</v>
      </c>
      <c r="K127" s="78">
        <v>14.3</v>
      </c>
      <c r="L127" s="78">
        <v>0.6</v>
      </c>
      <c r="M127" s="78" t="s">
        <v>1615</v>
      </c>
      <c r="N127" s="78">
        <v>0</v>
      </c>
      <c r="O127" s="78">
        <v>31.3</v>
      </c>
      <c r="P127" s="78">
        <v>11.27</v>
      </c>
      <c r="Q127" s="78">
        <v>14.34</v>
      </c>
      <c r="R127" s="78">
        <v>4.03</v>
      </c>
      <c r="S127" s="78" t="s">
        <v>1615</v>
      </c>
      <c r="T127" s="78">
        <v>76</v>
      </c>
      <c r="U127" s="78">
        <v>0</v>
      </c>
      <c r="V127" s="78">
        <v>2</v>
      </c>
      <c r="W127" s="78" t="s">
        <v>1615</v>
      </c>
      <c r="X127" s="78" t="s">
        <v>1615</v>
      </c>
      <c r="Y127" s="78" t="s">
        <v>1615</v>
      </c>
      <c r="Z127" s="78">
        <v>0.6</v>
      </c>
      <c r="AA127" s="78">
        <v>0.2</v>
      </c>
      <c r="AB127" s="78">
        <v>3.3</v>
      </c>
      <c r="AC127" s="78">
        <v>0.3</v>
      </c>
      <c r="AD127" s="78">
        <v>0.5</v>
      </c>
      <c r="AE127" s="78">
        <v>0.9</v>
      </c>
      <c r="AF127" s="78">
        <v>8</v>
      </c>
      <c r="AG127" s="78">
        <v>731</v>
      </c>
      <c r="AH127" s="78">
        <v>253</v>
      </c>
      <c r="AI127" s="78">
        <v>18</v>
      </c>
      <c r="AJ127" s="78">
        <v>142</v>
      </c>
      <c r="AK127" s="78">
        <v>14</v>
      </c>
      <c r="AL127" s="78">
        <v>1.2</v>
      </c>
      <c r="AM127" s="78">
        <v>1.8</v>
      </c>
      <c r="AN127" s="78">
        <v>0.1</v>
      </c>
      <c r="AO127" s="78">
        <v>24.8</v>
      </c>
    </row>
    <row r="128" spans="1:41">
      <c r="A128" s="78" t="s">
        <v>1849</v>
      </c>
      <c r="B128" s="78" t="s">
        <v>1558</v>
      </c>
      <c r="C128" s="78" t="s">
        <v>366</v>
      </c>
      <c r="D128" s="78" t="s">
        <v>1837</v>
      </c>
      <c r="E128" s="78" t="s">
        <v>1850</v>
      </c>
      <c r="F128" s="78" t="s">
        <v>1728</v>
      </c>
      <c r="G128" s="78" t="s">
        <v>1614</v>
      </c>
      <c r="H128" s="78">
        <v>311</v>
      </c>
      <c r="I128" s="78">
        <v>52.3</v>
      </c>
      <c r="J128" s="78">
        <v>2.9</v>
      </c>
      <c r="K128" s="78">
        <v>16.399999999999999</v>
      </c>
      <c r="L128" s="78">
        <v>3.1</v>
      </c>
      <c r="M128" s="78">
        <v>0</v>
      </c>
      <c r="N128" s="78">
        <v>0</v>
      </c>
      <c r="O128" s="78">
        <v>25.4</v>
      </c>
      <c r="P128" s="78">
        <v>9.51</v>
      </c>
      <c r="Q128" s="78">
        <v>11.38</v>
      </c>
      <c r="R128" s="78">
        <v>3.12</v>
      </c>
      <c r="S128" s="78" t="s">
        <v>1615</v>
      </c>
      <c r="T128" s="78">
        <v>56</v>
      </c>
      <c r="U128" s="78">
        <v>0</v>
      </c>
      <c r="V128" s="78">
        <v>0</v>
      </c>
      <c r="W128" s="78">
        <v>1</v>
      </c>
      <c r="X128" s="78">
        <v>0.2</v>
      </c>
      <c r="Y128" s="78">
        <v>1.6</v>
      </c>
      <c r="Z128" s="78">
        <v>0.1</v>
      </c>
      <c r="AA128" s="78">
        <v>0.2</v>
      </c>
      <c r="AB128" s="78">
        <v>2.7</v>
      </c>
      <c r="AC128" s="78">
        <v>0.1</v>
      </c>
      <c r="AD128" s="78">
        <v>0.4</v>
      </c>
      <c r="AE128" s="78">
        <v>1.5</v>
      </c>
      <c r="AF128" s="78" t="s">
        <v>1615</v>
      </c>
      <c r="AG128" s="78">
        <v>1246</v>
      </c>
      <c r="AH128" s="78">
        <v>163</v>
      </c>
      <c r="AI128" s="78">
        <v>18</v>
      </c>
      <c r="AJ128" s="78">
        <v>97</v>
      </c>
      <c r="AK128" s="78" t="s">
        <v>1615</v>
      </c>
      <c r="AL128" s="78">
        <v>1.4</v>
      </c>
      <c r="AM128" s="78">
        <v>2.1</v>
      </c>
      <c r="AN128" s="78">
        <v>0.1</v>
      </c>
      <c r="AO128" s="78">
        <v>22.6</v>
      </c>
    </row>
    <row r="129" spans="1:41">
      <c r="A129" s="78" t="s">
        <v>1851</v>
      </c>
      <c r="B129" s="78" t="s">
        <v>1558</v>
      </c>
      <c r="C129" s="78" t="s">
        <v>366</v>
      </c>
      <c r="D129" s="78" t="s">
        <v>1839</v>
      </c>
      <c r="E129" s="78" t="s">
        <v>1852</v>
      </c>
      <c r="F129" s="78" t="s">
        <v>1728</v>
      </c>
      <c r="G129" s="78" t="s">
        <v>1614</v>
      </c>
      <c r="H129" s="78">
        <v>248</v>
      </c>
      <c r="I129" s="78">
        <v>55.3</v>
      </c>
      <c r="J129" s="78">
        <v>1.3</v>
      </c>
      <c r="K129" s="78">
        <v>10.7</v>
      </c>
      <c r="L129" s="78">
        <v>17.8</v>
      </c>
      <c r="M129" s="78" t="s">
        <v>1615</v>
      </c>
      <c r="N129" s="78" t="s">
        <v>1615</v>
      </c>
      <c r="O129" s="78">
        <v>14.9</v>
      </c>
      <c r="P129" s="78" t="s">
        <v>1615</v>
      </c>
      <c r="Q129" s="78" t="s">
        <v>1615</v>
      </c>
      <c r="R129" s="78" t="s">
        <v>1615</v>
      </c>
      <c r="S129" s="78" t="s">
        <v>1615</v>
      </c>
      <c r="T129" s="78">
        <v>35</v>
      </c>
      <c r="U129" s="78" t="s">
        <v>1615</v>
      </c>
      <c r="V129" s="78" t="s">
        <v>1615</v>
      </c>
      <c r="W129" s="78" t="s">
        <v>1615</v>
      </c>
      <c r="X129" s="78" t="s">
        <v>1615</v>
      </c>
      <c r="Y129" s="78" t="s">
        <v>1615</v>
      </c>
      <c r="Z129" s="78" t="s">
        <v>1615</v>
      </c>
      <c r="AA129" s="78" t="s">
        <v>1615</v>
      </c>
      <c r="AB129" s="78" t="s">
        <v>1615</v>
      </c>
      <c r="AC129" s="78" t="s">
        <v>1615</v>
      </c>
      <c r="AD129" s="78" t="s">
        <v>1615</v>
      </c>
      <c r="AE129" s="78" t="s">
        <v>1615</v>
      </c>
      <c r="AF129" s="78" t="s">
        <v>1615</v>
      </c>
      <c r="AG129" s="78">
        <v>394</v>
      </c>
      <c r="AH129" s="78" t="s">
        <v>1615</v>
      </c>
      <c r="AI129" s="78" t="s">
        <v>1615</v>
      </c>
      <c r="AJ129" s="78" t="s">
        <v>1615</v>
      </c>
      <c r="AK129" s="78" t="s">
        <v>1615</v>
      </c>
      <c r="AL129" s="78" t="s">
        <v>1615</v>
      </c>
      <c r="AM129" s="78" t="s">
        <v>1615</v>
      </c>
      <c r="AN129" s="78" t="s">
        <v>1615</v>
      </c>
      <c r="AO129" s="78" t="s">
        <v>1615</v>
      </c>
    </row>
    <row r="130" spans="1:41">
      <c r="A130" s="78" t="s">
        <v>1853</v>
      </c>
      <c r="B130" s="78" t="s">
        <v>1558</v>
      </c>
      <c r="C130" s="78" t="s">
        <v>366</v>
      </c>
      <c r="D130" s="78" t="s">
        <v>1841</v>
      </c>
      <c r="E130" s="78" t="s">
        <v>1854</v>
      </c>
      <c r="F130" s="78" t="s">
        <v>1728</v>
      </c>
      <c r="G130" s="78" t="s">
        <v>1614</v>
      </c>
      <c r="H130" s="78">
        <v>429</v>
      </c>
      <c r="I130" s="78">
        <v>42.3</v>
      </c>
      <c r="J130" s="78">
        <v>2.9</v>
      </c>
      <c r="K130" s="78">
        <v>11.5</v>
      </c>
      <c r="L130" s="78">
        <v>1.3</v>
      </c>
      <c r="M130" s="78" t="s">
        <v>1615</v>
      </c>
      <c r="N130" s="78">
        <v>0</v>
      </c>
      <c r="O130" s="78">
        <v>42</v>
      </c>
      <c r="P130" s="78">
        <v>17.77</v>
      </c>
      <c r="Q130" s="78">
        <v>20.83</v>
      </c>
      <c r="R130" s="78">
        <v>3.4</v>
      </c>
      <c r="S130" s="78" t="s">
        <v>1615</v>
      </c>
      <c r="T130" s="78">
        <v>93</v>
      </c>
      <c r="U130" s="78" t="s">
        <v>1615</v>
      </c>
      <c r="V130" s="78">
        <v>0</v>
      </c>
      <c r="W130" s="78" t="s">
        <v>1615</v>
      </c>
      <c r="X130" s="78">
        <v>0</v>
      </c>
      <c r="Y130" s="78">
        <v>0.2</v>
      </c>
      <c r="Z130" s="78">
        <v>0.2</v>
      </c>
      <c r="AA130" s="78">
        <v>0.8</v>
      </c>
      <c r="AB130" s="78">
        <v>3.6</v>
      </c>
      <c r="AC130" s="78">
        <v>0</v>
      </c>
      <c r="AD130" s="78">
        <v>0</v>
      </c>
      <c r="AE130" s="78">
        <v>0</v>
      </c>
      <c r="AF130" s="78">
        <v>0</v>
      </c>
      <c r="AG130" s="78">
        <v>446</v>
      </c>
      <c r="AH130" s="78">
        <v>181</v>
      </c>
      <c r="AI130" s="78">
        <v>36</v>
      </c>
      <c r="AJ130" s="78">
        <v>225</v>
      </c>
      <c r="AK130" s="78">
        <v>0</v>
      </c>
      <c r="AL130" s="78">
        <v>6</v>
      </c>
      <c r="AM130" s="78">
        <v>0</v>
      </c>
      <c r="AN130" s="78">
        <v>0</v>
      </c>
      <c r="AO130" s="78">
        <v>0</v>
      </c>
    </row>
    <row r="131" spans="1:41">
      <c r="A131" s="78" t="s">
        <v>1855</v>
      </c>
      <c r="B131" s="78" t="s">
        <v>1558</v>
      </c>
      <c r="C131" s="78" t="s">
        <v>366</v>
      </c>
      <c r="D131" s="78" t="s">
        <v>1843</v>
      </c>
      <c r="E131" s="78" t="s">
        <v>1856</v>
      </c>
      <c r="F131" s="78" t="s">
        <v>1728</v>
      </c>
      <c r="G131" s="78" t="s">
        <v>1614</v>
      </c>
      <c r="H131" s="78">
        <v>462</v>
      </c>
      <c r="I131" s="78">
        <v>37</v>
      </c>
      <c r="J131" s="78">
        <v>3.1</v>
      </c>
      <c r="K131" s="78">
        <v>11.4</v>
      </c>
      <c r="L131" s="78">
        <v>4.7</v>
      </c>
      <c r="M131" s="78" t="s">
        <v>1615</v>
      </c>
      <c r="N131" s="78">
        <v>0</v>
      </c>
      <c r="O131" s="78">
        <v>43.8</v>
      </c>
      <c r="P131" s="78">
        <v>14.45</v>
      </c>
      <c r="Q131" s="78">
        <v>25.61</v>
      </c>
      <c r="R131" s="78">
        <v>0.84</v>
      </c>
      <c r="S131" s="78" t="s">
        <v>1615</v>
      </c>
      <c r="T131" s="78">
        <v>150</v>
      </c>
      <c r="U131" s="78">
        <v>1001</v>
      </c>
      <c r="V131" s="78">
        <v>2</v>
      </c>
      <c r="W131" s="78" t="s">
        <v>1615</v>
      </c>
      <c r="X131" s="78" t="s">
        <v>1615</v>
      </c>
      <c r="Y131" s="78" t="s">
        <v>1615</v>
      </c>
      <c r="Z131" s="78">
        <v>0.1</v>
      </c>
      <c r="AA131" s="78">
        <v>0.3</v>
      </c>
      <c r="AB131" s="78">
        <v>2.5</v>
      </c>
      <c r="AC131" s="78">
        <v>0.1</v>
      </c>
      <c r="AD131" s="78">
        <v>1.2</v>
      </c>
      <c r="AE131" s="78">
        <v>9.4</v>
      </c>
      <c r="AF131" s="78">
        <v>60</v>
      </c>
      <c r="AG131" s="78">
        <v>697</v>
      </c>
      <c r="AH131" s="78">
        <v>138</v>
      </c>
      <c r="AI131" s="78">
        <v>70</v>
      </c>
      <c r="AJ131" s="78">
        <v>200</v>
      </c>
      <c r="AK131" s="78">
        <v>13</v>
      </c>
      <c r="AL131" s="78">
        <v>5.5</v>
      </c>
      <c r="AM131" s="78">
        <v>0.9</v>
      </c>
      <c r="AN131" s="78">
        <v>0.4</v>
      </c>
      <c r="AO131" s="78">
        <v>44</v>
      </c>
    </row>
    <row r="132" spans="1:41">
      <c r="A132" s="78" t="s">
        <v>1857</v>
      </c>
      <c r="B132" s="78" t="s">
        <v>1558</v>
      </c>
      <c r="C132" s="78" t="s">
        <v>366</v>
      </c>
      <c r="D132" s="78" t="s">
        <v>1845</v>
      </c>
      <c r="E132" s="78" t="s">
        <v>1858</v>
      </c>
      <c r="F132" s="78" t="s">
        <v>1728</v>
      </c>
      <c r="G132" s="78" t="s">
        <v>1614</v>
      </c>
      <c r="H132" s="78">
        <v>89</v>
      </c>
      <c r="I132" s="78">
        <v>77.400000000000006</v>
      </c>
      <c r="J132" s="78">
        <v>2.8</v>
      </c>
      <c r="K132" s="78">
        <v>16.7</v>
      </c>
      <c r="L132" s="78">
        <v>1.2</v>
      </c>
      <c r="M132" s="78" t="s">
        <v>1615</v>
      </c>
      <c r="N132" s="78">
        <v>0</v>
      </c>
      <c r="O132" s="78">
        <v>1.9</v>
      </c>
      <c r="P132" s="78">
        <v>0.57999999999999996</v>
      </c>
      <c r="Q132" s="78">
        <v>0.72</v>
      </c>
      <c r="R132" s="78">
        <v>0.5</v>
      </c>
      <c r="S132" s="78">
        <v>0</v>
      </c>
      <c r="T132" s="78">
        <v>43</v>
      </c>
      <c r="U132" s="78" t="s">
        <v>1615</v>
      </c>
      <c r="V132" s="78" t="s">
        <v>1615</v>
      </c>
      <c r="W132" s="78" t="s">
        <v>1615</v>
      </c>
      <c r="X132" s="78" t="s">
        <v>1615</v>
      </c>
      <c r="Y132" s="78" t="s">
        <v>1615</v>
      </c>
      <c r="Z132" s="78" t="s">
        <v>1615</v>
      </c>
      <c r="AA132" s="78" t="s">
        <v>1615</v>
      </c>
      <c r="AB132" s="78" t="s">
        <v>1615</v>
      </c>
      <c r="AC132" s="78" t="s">
        <v>1615</v>
      </c>
      <c r="AD132" s="78" t="s">
        <v>1615</v>
      </c>
      <c r="AE132" s="78" t="s">
        <v>1615</v>
      </c>
      <c r="AF132" s="78" t="s">
        <v>1615</v>
      </c>
      <c r="AG132" s="78">
        <v>976</v>
      </c>
      <c r="AH132" s="78" t="s">
        <v>1615</v>
      </c>
      <c r="AI132" s="78" t="s">
        <v>1615</v>
      </c>
      <c r="AJ132" s="78" t="s">
        <v>1615</v>
      </c>
      <c r="AK132" s="78" t="s">
        <v>1615</v>
      </c>
      <c r="AL132" s="78" t="s">
        <v>1615</v>
      </c>
      <c r="AM132" s="78" t="s">
        <v>1615</v>
      </c>
      <c r="AN132" s="78" t="s">
        <v>1615</v>
      </c>
      <c r="AO132" s="78" t="s">
        <v>1615</v>
      </c>
    </row>
    <row r="133" spans="1:41">
      <c r="A133" s="78" t="s">
        <v>1859</v>
      </c>
      <c r="B133" s="78" t="s">
        <v>1558</v>
      </c>
      <c r="C133" s="78" t="s">
        <v>366</v>
      </c>
      <c r="D133" s="78" t="s">
        <v>1847</v>
      </c>
      <c r="E133" s="78" t="s">
        <v>1860</v>
      </c>
      <c r="F133" s="78" t="s">
        <v>1728</v>
      </c>
      <c r="G133" s="78" t="s">
        <v>1614</v>
      </c>
      <c r="H133" s="78">
        <v>93</v>
      </c>
      <c r="I133" s="78">
        <v>76.900000000000006</v>
      </c>
      <c r="J133" s="78">
        <v>2.7</v>
      </c>
      <c r="K133" s="78">
        <v>15.4</v>
      </c>
      <c r="L133" s="78">
        <v>2.7</v>
      </c>
      <c r="M133" s="78" t="s">
        <v>1615</v>
      </c>
      <c r="N133" s="78">
        <v>0</v>
      </c>
      <c r="O133" s="78">
        <v>2.2999999999999998</v>
      </c>
      <c r="P133" s="78">
        <v>0.74</v>
      </c>
      <c r="Q133" s="78">
        <v>0.79</v>
      </c>
      <c r="R133" s="78">
        <v>0.67</v>
      </c>
      <c r="S133" s="78">
        <v>0</v>
      </c>
      <c r="T133" s="78">
        <v>44</v>
      </c>
      <c r="U133" s="78" t="s">
        <v>1615</v>
      </c>
      <c r="V133" s="78" t="s">
        <v>1615</v>
      </c>
      <c r="W133" s="78" t="s">
        <v>1615</v>
      </c>
      <c r="X133" s="78" t="s">
        <v>1615</v>
      </c>
      <c r="Y133" s="78" t="s">
        <v>1615</v>
      </c>
      <c r="Z133" s="78" t="s">
        <v>1615</v>
      </c>
      <c r="AA133" s="78" t="s">
        <v>1615</v>
      </c>
      <c r="AB133" s="78" t="s">
        <v>1615</v>
      </c>
      <c r="AC133" s="78" t="s">
        <v>1615</v>
      </c>
      <c r="AD133" s="78" t="s">
        <v>1615</v>
      </c>
      <c r="AE133" s="78" t="s">
        <v>1615</v>
      </c>
      <c r="AF133" s="78" t="s">
        <v>1615</v>
      </c>
      <c r="AG133" s="78">
        <v>821</v>
      </c>
      <c r="AH133" s="78" t="s">
        <v>1615</v>
      </c>
      <c r="AI133" s="78" t="s">
        <v>1615</v>
      </c>
      <c r="AJ133" s="78" t="s">
        <v>1615</v>
      </c>
      <c r="AK133" s="78" t="s">
        <v>1615</v>
      </c>
      <c r="AL133" s="78" t="s">
        <v>1615</v>
      </c>
      <c r="AM133" s="78" t="s">
        <v>1615</v>
      </c>
      <c r="AN133" s="78" t="s">
        <v>1615</v>
      </c>
      <c r="AO133" s="78" t="s">
        <v>1615</v>
      </c>
    </row>
    <row r="134" spans="1:41">
      <c r="A134" s="78" t="s">
        <v>1861</v>
      </c>
      <c r="B134" s="78" t="s">
        <v>1558</v>
      </c>
      <c r="C134" s="78" t="s">
        <v>366</v>
      </c>
      <c r="D134" s="78" t="s">
        <v>1849</v>
      </c>
      <c r="E134" s="78" t="s">
        <v>1862</v>
      </c>
      <c r="F134" s="78" t="s">
        <v>1728</v>
      </c>
      <c r="G134" s="78" t="s">
        <v>1614</v>
      </c>
      <c r="H134" s="78">
        <v>126</v>
      </c>
      <c r="I134" s="78">
        <v>70.900000000000006</v>
      </c>
      <c r="J134" s="78">
        <v>2.1</v>
      </c>
      <c r="K134" s="78">
        <v>22.2</v>
      </c>
      <c r="L134" s="78">
        <v>1.4</v>
      </c>
      <c r="M134" s="78" t="s">
        <v>1615</v>
      </c>
      <c r="N134" s="78">
        <v>0</v>
      </c>
      <c r="O134" s="78">
        <v>3.5</v>
      </c>
      <c r="P134" s="78">
        <v>0.98</v>
      </c>
      <c r="Q134" s="78">
        <v>1.1399999999999999</v>
      </c>
      <c r="R134" s="78">
        <v>0.84</v>
      </c>
      <c r="S134" s="78" t="s">
        <v>1615</v>
      </c>
      <c r="T134" s="78">
        <v>42</v>
      </c>
      <c r="U134" s="78">
        <v>0</v>
      </c>
      <c r="V134" s="78">
        <v>0</v>
      </c>
      <c r="W134" s="78" t="s">
        <v>1615</v>
      </c>
      <c r="X134" s="78" t="s">
        <v>1615</v>
      </c>
      <c r="Y134" s="78" t="s">
        <v>1615</v>
      </c>
      <c r="Z134" s="78">
        <v>0.1</v>
      </c>
      <c r="AA134" s="78">
        <v>0.1</v>
      </c>
      <c r="AB134" s="78">
        <v>9.1</v>
      </c>
      <c r="AC134" s="78">
        <v>0.3</v>
      </c>
      <c r="AD134" s="78">
        <v>0.5</v>
      </c>
      <c r="AE134" s="78">
        <v>0.3</v>
      </c>
      <c r="AF134" s="78">
        <v>5</v>
      </c>
      <c r="AG134" s="78">
        <v>397</v>
      </c>
      <c r="AH134" s="78">
        <v>248</v>
      </c>
      <c r="AI134" s="78">
        <v>9</v>
      </c>
      <c r="AJ134" s="78">
        <v>214</v>
      </c>
      <c r="AK134" s="78">
        <v>21</v>
      </c>
      <c r="AL134" s="78">
        <v>0.7</v>
      </c>
      <c r="AM134" s="78">
        <v>1.5</v>
      </c>
      <c r="AN134" s="78">
        <v>0</v>
      </c>
      <c r="AO134" s="78">
        <v>25.7</v>
      </c>
    </row>
    <row r="135" spans="1:41">
      <c r="A135" s="78" t="s">
        <v>1863</v>
      </c>
      <c r="B135" s="78" t="s">
        <v>1558</v>
      </c>
      <c r="C135" s="78" t="s">
        <v>366</v>
      </c>
      <c r="D135" s="78" t="s">
        <v>1851</v>
      </c>
      <c r="E135" s="78" t="s">
        <v>1864</v>
      </c>
      <c r="F135" s="78" t="s">
        <v>1728</v>
      </c>
      <c r="G135" s="78" t="s">
        <v>1614</v>
      </c>
      <c r="H135" s="78">
        <v>101</v>
      </c>
      <c r="I135" s="78">
        <v>74.900000000000006</v>
      </c>
      <c r="J135" s="78">
        <v>2.8</v>
      </c>
      <c r="K135" s="78">
        <v>17.8</v>
      </c>
      <c r="L135" s="78">
        <v>2.2000000000000002</v>
      </c>
      <c r="M135" s="78" t="s">
        <v>1615</v>
      </c>
      <c r="N135" s="78" t="s">
        <v>1615</v>
      </c>
      <c r="O135" s="78">
        <v>2.2999999999999998</v>
      </c>
      <c r="P135" s="78" t="s">
        <v>1615</v>
      </c>
      <c r="Q135" s="78" t="s">
        <v>1615</v>
      </c>
      <c r="R135" s="78" t="s">
        <v>1615</v>
      </c>
      <c r="S135" s="78" t="s">
        <v>1615</v>
      </c>
      <c r="T135" s="78" t="s">
        <v>1615</v>
      </c>
      <c r="U135" s="78" t="s">
        <v>1615</v>
      </c>
      <c r="V135" s="78" t="s">
        <v>1615</v>
      </c>
      <c r="W135" s="78" t="s">
        <v>1615</v>
      </c>
      <c r="X135" s="78" t="s">
        <v>1615</v>
      </c>
      <c r="Y135" s="78" t="s">
        <v>1615</v>
      </c>
      <c r="Z135" s="78" t="s">
        <v>1615</v>
      </c>
      <c r="AA135" s="78" t="s">
        <v>1615</v>
      </c>
      <c r="AB135" s="78" t="s">
        <v>1615</v>
      </c>
      <c r="AC135" s="78" t="s">
        <v>1615</v>
      </c>
      <c r="AD135" s="78" t="s">
        <v>1615</v>
      </c>
      <c r="AE135" s="78" t="s">
        <v>1615</v>
      </c>
      <c r="AF135" s="78" t="s">
        <v>1615</v>
      </c>
      <c r="AG135" s="78">
        <v>810</v>
      </c>
      <c r="AH135" s="78" t="s">
        <v>1615</v>
      </c>
      <c r="AI135" s="78" t="s">
        <v>1615</v>
      </c>
      <c r="AJ135" s="78" t="s">
        <v>1615</v>
      </c>
      <c r="AK135" s="78" t="s">
        <v>1615</v>
      </c>
      <c r="AL135" s="78" t="s">
        <v>1615</v>
      </c>
      <c r="AM135" s="78" t="s">
        <v>1615</v>
      </c>
      <c r="AN135" s="78" t="s">
        <v>1615</v>
      </c>
      <c r="AO135" s="78" t="s">
        <v>1615</v>
      </c>
    </row>
    <row r="136" spans="1:41">
      <c r="A136" s="78" t="s">
        <v>1865</v>
      </c>
      <c r="B136" s="78" t="s">
        <v>1558</v>
      </c>
      <c r="C136" s="78" t="s">
        <v>366</v>
      </c>
      <c r="D136" s="78" t="s">
        <v>1853</v>
      </c>
      <c r="E136" s="78" t="s">
        <v>1866</v>
      </c>
      <c r="F136" s="78" t="s">
        <v>1728</v>
      </c>
      <c r="G136" s="78" t="s">
        <v>1614</v>
      </c>
      <c r="H136" s="78">
        <v>504</v>
      </c>
      <c r="I136" s="78">
        <v>28.6</v>
      </c>
      <c r="J136" s="78">
        <v>4.7</v>
      </c>
      <c r="K136" s="78">
        <v>19.3</v>
      </c>
      <c r="L136" s="78">
        <v>1.2</v>
      </c>
      <c r="M136" s="78">
        <v>0</v>
      </c>
      <c r="N136" s="78">
        <v>0</v>
      </c>
      <c r="O136" s="78">
        <v>46.3</v>
      </c>
      <c r="P136" s="78">
        <v>17.71</v>
      </c>
      <c r="Q136" s="78">
        <v>20.77</v>
      </c>
      <c r="R136" s="78">
        <v>4.46</v>
      </c>
      <c r="S136" s="78" t="s">
        <v>1615</v>
      </c>
      <c r="T136" s="78">
        <v>97</v>
      </c>
      <c r="U136" s="78">
        <v>0</v>
      </c>
      <c r="V136" s="78">
        <v>0</v>
      </c>
      <c r="W136" s="78">
        <v>1.3</v>
      </c>
      <c r="X136" s="78">
        <v>1</v>
      </c>
      <c r="Y136" s="78">
        <v>5.8</v>
      </c>
      <c r="Z136" s="78">
        <v>0.3</v>
      </c>
      <c r="AA136" s="78">
        <v>0.3</v>
      </c>
      <c r="AB136" s="78">
        <v>5</v>
      </c>
      <c r="AC136" s="78">
        <v>0.4</v>
      </c>
      <c r="AD136" s="78">
        <v>0.9</v>
      </c>
      <c r="AE136" s="78">
        <v>1.3</v>
      </c>
      <c r="AF136" s="78">
        <v>5</v>
      </c>
      <c r="AG136" s="78">
        <v>1582</v>
      </c>
      <c r="AH136" s="78">
        <v>274</v>
      </c>
      <c r="AI136" s="78">
        <v>19</v>
      </c>
      <c r="AJ136" s="78">
        <v>158</v>
      </c>
      <c r="AK136" s="78">
        <v>18</v>
      </c>
      <c r="AL136" s="78">
        <v>1.3</v>
      </c>
      <c r="AM136" s="78">
        <v>2.4</v>
      </c>
      <c r="AN136" s="78">
        <v>0.1</v>
      </c>
      <c r="AO136" s="78">
        <v>29</v>
      </c>
    </row>
    <row r="137" spans="1:41">
      <c r="A137" s="78" t="s">
        <v>1867</v>
      </c>
      <c r="B137" s="78" t="s">
        <v>1558</v>
      </c>
      <c r="C137" s="78" t="s">
        <v>366</v>
      </c>
      <c r="D137" s="78" t="s">
        <v>1855</v>
      </c>
      <c r="E137" s="78" t="s">
        <v>1868</v>
      </c>
      <c r="F137" s="78" t="s">
        <v>1728</v>
      </c>
      <c r="G137" s="78" t="s">
        <v>1614</v>
      </c>
      <c r="H137" s="78">
        <v>206</v>
      </c>
      <c r="I137" s="78">
        <v>63.6</v>
      </c>
      <c r="J137" s="78">
        <v>1.2</v>
      </c>
      <c r="K137" s="78">
        <v>21.3</v>
      </c>
      <c r="L137" s="78">
        <v>0.9</v>
      </c>
      <c r="M137" s="78">
        <v>0</v>
      </c>
      <c r="N137" s="78" t="s">
        <v>1615</v>
      </c>
      <c r="O137" s="78">
        <v>13</v>
      </c>
      <c r="P137" s="78">
        <v>4.76</v>
      </c>
      <c r="Q137" s="78">
        <v>6.05</v>
      </c>
      <c r="R137" s="78">
        <v>1.62</v>
      </c>
      <c r="S137" s="78">
        <v>0</v>
      </c>
      <c r="T137" s="78">
        <v>89</v>
      </c>
      <c r="U137" s="78" t="s">
        <v>1615</v>
      </c>
      <c r="V137" s="78" t="s">
        <v>1615</v>
      </c>
      <c r="W137" s="78" t="s">
        <v>1615</v>
      </c>
      <c r="X137" s="78" t="s">
        <v>1615</v>
      </c>
      <c r="Y137" s="78" t="s">
        <v>1615</v>
      </c>
      <c r="Z137" s="78" t="s">
        <v>1615</v>
      </c>
      <c r="AA137" s="78" t="s">
        <v>1615</v>
      </c>
      <c r="AB137" s="78" t="s">
        <v>1615</v>
      </c>
      <c r="AC137" s="78" t="s">
        <v>1615</v>
      </c>
      <c r="AD137" s="78" t="s">
        <v>1615</v>
      </c>
      <c r="AE137" s="78" t="s">
        <v>1615</v>
      </c>
      <c r="AF137" s="78" t="s">
        <v>1615</v>
      </c>
      <c r="AG137" s="78">
        <v>276</v>
      </c>
      <c r="AH137" s="78" t="s">
        <v>1615</v>
      </c>
      <c r="AI137" s="78" t="s">
        <v>1615</v>
      </c>
      <c r="AJ137" s="78" t="s">
        <v>1615</v>
      </c>
      <c r="AK137" s="78" t="s">
        <v>1615</v>
      </c>
      <c r="AL137" s="78" t="s">
        <v>1615</v>
      </c>
      <c r="AM137" s="78" t="s">
        <v>1615</v>
      </c>
      <c r="AN137" s="78" t="s">
        <v>1615</v>
      </c>
      <c r="AO137" s="78" t="s">
        <v>1615</v>
      </c>
    </row>
    <row r="138" spans="1:41">
      <c r="A138" s="78" t="s">
        <v>1869</v>
      </c>
      <c r="B138" s="78" t="s">
        <v>1558</v>
      </c>
      <c r="C138" s="78" t="s">
        <v>366</v>
      </c>
      <c r="D138" s="78" t="s">
        <v>1857</v>
      </c>
      <c r="E138" s="78" t="s">
        <v>1870</v>
      </c>
      <c r="F138" s="78" t="s">
        <v>1728</v>
      </c>
      <c r="G138" s="78" t="s">
        <v>1614</v>
      </c>
      <c r="H138" s="78">
        <v>253</v>
      </c>
      <c r="I138" s="78">
        <v>61.3</v>
      </c>
      <c r="J138" s="78">
        <v>2.1</v>
      </c>
      <c r="K138" s="78">
        <v>9.1</v>
      </c>
      <c r="L138" s="78">
        <v>6.1</v>
      </c>
      <c r="M138" s="78">
        <v>1</v>
      </c>
      <c r="N138" s="78" t="s">
        <v>1615</v>
      </c>
      <c r="O138" s="78">
        <v>21.4</v>
      </c>
      <c r="P138" s="78">
        <v>8.19</v>
      </c>
      <c r="Q138" s="78">
        <v>8.64</v>
      </c>
      <c r="R138" s="78">
        <v>3.59</v>
      </c>
      <c r="S138" s="78">
        <v>0</v>
      </c>
      <c r="T138" s="78">
        <v>99</v>
      </c>
      <c r="U138" s="78" t="s">
        <v>1615</v>
      </c>
      <c r="V138" s="78" t="s">
        <v>1615</v>
      </c>
      <c r="W138" s="78" t="s">
        <v>1615</v>
      </c>
      <c r="X138" s="78" t="s">
        <v>1615</v>
      </c>
      <c r="Y138" s="78" t="s">
        <v>1615</v>
      </c>
      <c r="Z138" s="78" t="s">
        <v>1615</v>
      </c>
      <c r="AA138" s="78" t="s">
        <v>1615</v>
      </c>
      <c r="AB138" s="78" t="s">
        <v>1615</v>
      </c>
      <c r="AC138" s="78" t="s">
        <v>1615</v>
      </c>
      <c r="AD138" s="78" t="s">
        <v>1615</v>
      </c>
      <c r="AE138" s="78" t="s">
        <v>1615</v>
      </c>
      <c r="AF138" s="78" t="s">
        <v>1615</v>
      </c>
      <c r="AG138" s="78">
        <v>703</v>
      </c>
      <c r="AH138" s="78" t="s">
        <v>1615</v>
      </c>
      <c r="AI138" s="78" t="s">
        <v>1615</v>
      </c>
      <c r="AJ138" s="78" t="s">
        <v>1615</v>
      </c>
      <c r="AK138" s="78" t="s">
        <v>1615</v>
      </c>
      <c r="AL138" s="78" t="s">
        <v>1615</v>
      </c>
      <c r="AM138" s="78" t="s">
        <v>1615</v>
      </c>
      <c r="AN138" s="78" t="s">
        <v>1615</v>
      </c>
      <c r="AO138" s="78" t="s">
        <v>1615</v>
      </c>
    </row>
    <row r="139" spans="1:41">
      <c r="A139" s="78" t="s">
        <v>1871</v>
      </c>
      <c r="B139" s="78" t="s">
        <v>1558</v>
      </c>
      <c r="C139" s="78" t="s">
        <v>366</v>
      </c>
      <c r="D139" s="78" t="s">
        <v>1859</v>
      </c>
      <c r="E139" s="78" t="s">
        <v>1872</v>
      </c>
      <c r="F139" s="78" t="s">
        <v>1728</v>
      </c>
      <c r="G139" s="78" t="s">
        <v>1614</v>
      </c>
      <c r="H139" s="78">
        <v>379</v>
      </c>
      <c r="I139" s="78">
        <v>47.3</v>
      </c>
      <c r="J139" s="78">
        <v>2.2999999999999998</v>
      </c>
      <c r="K139" s="78">
        <v>14.6</v>
      </c>
      <c r="L139" s="78">
        <v>1.3</v>
      </c>
      <c r="M139" s="78">
        <v>1.3</v>
      </c>
      <c r="N139" s="78">
        <v>0</v>
      </c>
      <c r="O139" s="78">
        <v>34.5</v>
      </c>
      <c r="P139" s="78">
        <v>13.4</v>
      </c>
      <c r="Q139" s="78">
        <v>15.9</v>
      </c>
      <c r="R139" s="78">
        <v>3.46</v>
      </c>
      <c r="S139" s="78" t="s">
        <v>1615</v>
      </c>
      <c r="T139" s="78">
        <v>120</v>
      </c>
      <c r="U139" s="78">
        <v>0</v>
      </c>
      <c r="V139" s="78">
        <v>0</v>
      </c>
      <c r="W139" s="78">
        <v>1.3</v>
      </c>
      <c r="X139" s="78">
        <v>0.1</v>
      </c>
      <c r="Y139" s="78">
        <v>0</v>
      </c>
      <c r="Z139" s="78">
        <v>0.1</v>
      </c>
      <c r="AA139" s="78">
        <v>0.1</v>
      </c>
      <c r="AB139" s="78">
        <v>1.2</v>
      </c>
      <c r="AC139" s="78">
        <v>0</v>
      </c>
      <c r="AD139" s="78">
        <v>0.6</v>
      </c>
      <c r="AE139" s="78">
        <v>1</v>
      </c>
      <c r="AF139" s="78">
        <v>5</v>
      </c>
      <c r="AG139" s="78">
        <v>680</v>
      </c>
      <c r="AH139" s="78">
        <v>38</v>
      </c>
      <c r="AI139" s="78">
        <v>6</v>
      </c>
      <c r="AJ139" s="78">
        <v>22</v>
      </c>
      <c r="AK139" s="78">
        <v>8</v>
      </c>
      <c r="AL139" s="78">
        <v>6.4</v>
      </c>
      <c r="AM139" s="78">
        <v>1.3</v>
      </c>
      <c r="AN139" s="78">
        <v>0</v>
      </c>
      <c r="AO139" s="78">
        <v>15.5</v>
      </c>
    </row>
    <row r="140" spans="1:41">
      <c r="A140" s="78" t="s">
        <v>1873</v>
      </c>
      <c r="B140" s="78" t="s">
        <v>1558</v>
      </c>
      <c r="C140" s="78" t="s">
        <v>366</v>
      </c>
      <c r="D140" s="78" t="s">
        <v>1861</v>
      </c>
      <c r="E140" s="78" t="s">
        <v>1874</v>
      </c>
      <c r="F140" s="78" t="s">
        <v>1728</v>
      </c>
      <c r="G140" s="78" t="s">
        <v>1614</v>
      </c>
      <c r="H140" s="78">
        <v>359</v>
      </c>
      <c r="I140" s="78">
        <v>45.8</v>
      </c>
      <c r="J140" s="78">
        <v>1.9</v>
      </c>
      <c r="K140" s="78">
        <v>15.5</v>
      </c>
      <c r="L140" s="78">
        <v>6.8</v>
      </c>
      <c r="M140" s="78">
        <v>0.7</v>
      </c>
      <c r="N140" s="78" t="s">
        <v>1615</v>
      </c>
      <c r="O140" s="78">
        <v>30</v>
      </c>
      <c r="P140" s="78">
        <v>8.81</v>
      </c>
      <c r="Q140" s="78">
        <v>12.72</v>
      </c>
      <c r="R140" s="78">
        <v>7.08</v>
      </c>
      <c r="S140" s="78">
        <v>0</v>
      </c>
      <c r="T140" s="78">
        <v>66</v>
      </c>
      <c r="U140" s="78" t="s">
        <v>1615</v>
      </c>
      <c r="V140" s="78" t="s">
        <v>1615</v>
      </c>
      <c r="W140" s="78" t="s">
        <v>1615</v>
      </c>
      <c r="X140" s="78" t="s">
        <v>1615</v>
      </c>
      <c r="Y140" s="78" t="s">
        <v>1615</v>
      </c>
      <c r="Z140" s="78" t="s">
        <v>1615</v>
      </c>
      <c r="AA140" s="78" t="s">
        <v>1615</v>
      </c>
      <c r="AB140" s="78" t="s">
        <v>1615</v>
      </c>
      <c r="AC140" s="78" t="s">
        <v>1615</v>
      </c>
      <c r="AD140" s="78" t="s">
        <v>1615</v>
      </c>
      <c r="AE140" s="78" t="s">
        <v>1615</v>
      </c>
      <c r="AF140" s="78" t="s">
        <v>1615</v>
      </c>
      <c r="AG140" s="78">
        <v>748</v>
      </c>
      <c r="AH140" s="78" t="s">
        <v>1615</v>
      </c>
      <c r="AI140" s="78" t="s">
        <v>1615</v>
      </c>
      <c r="AJ140" s="78" t="s">
        <v>1615</v>
      </c>
      <c r="AK140" s="78" t="s">
        <v>1615</v>
      </c>
      <c r="AL140" s="78" t="s">
        <v>1615</v>
      </c>
      <c r="AM140" s="78" t="s">
        <v>1615</v>
      </c>
      <c r="AN140" s="78" t="s">
        <v>1615</v>
      </c>
      <c r="AO140" s="78" t="s">
        <v>1615</v>
      </c>
    </row>
    <row r="141" spans="1:41">
      <c r="A141" s="78" t="s">
        <v>1875</v>
      </c>
      <c r="B141" s="78" t="s">
        <v>1558</v>
      </c>
      <c r="C141" s="78" t="s">
        <v>366</v>
      </c>
      <c r="D141" s="78" t="s">
        <v>1863</v>
      </c>
      <c r="E141" s="78" t="s">
        <v>1876</v>
      </c>
      <c r="F141" s="78" t="s">
        <v>1728</v>
      </c>
      <c r="G141" s="78" t="s">
        <v>1614</v>
      </c>
      <c r="H141" s="78">
        <v>205</v>
      </c>
      <c r="I141" s="78">
        <v>66</v>
      </c>
      <c r="J141" s="78">
        <v>2.6</v>
      </c>
      <c r="K141" s="78">
        <v>15.8</v>
      </c>
      <c r="L141" s="78">
        <v>0</v>
      </c>
      <c r="M141" s="78" t="s">
        <v>1615</v>
      </c>
      <c r="N141" s="78">
        <v>0</v>
      </c>
      <c r="O141" s="78">
        <v>15.7</v>
      </c>
      <c r="P141" s="78" t="s">
        <v>1615</v>
      </c>
      <c r="Q141" s="78" t="s">
        <v>1615</v>
      </c>
      <c r="R141" s="78" t="s">
        <v>1615</v>
      </c>
      <c r="S141" s="78" t="s">
        <v>1615</v>
      </c>
      <c r="T141" s="78" t="s">
        <v>1615</v>
      </c>
      <c r="U141" s="78" t="s">
        <v>1615</v>
      </c>
      <c r="V141" s="78" t="s">
        <v>1615</v>
      </c>
      <c r="W141" s="78" t="s">
        <v>1615</v>
      </c>
      <c r="X141" s="78" t="s">
        <v>1615</v>
      </c>
      <c r="Y141" s="78" t="s">
        <v>1615</v>
      </c>
      <c r="Z141" s="78">
        <v>0.1</v>
      </c>
      <c r="AA141" s="78">
        <v>0.2</v>
      </c>
      <c r="AB141" s="78" t="s">
        <v>1615</v>
      </c>
      <c r="AC141" s="78" t="s">
        <v>1615</v>
      </c>
      <c r="AD141" s="78" t="s">
        <v>1615</v>
      </c>
      <c r="AE141" s="78" t="s">
        <v>1615</v>
      </c>
      <c r="AF141" s="78" t="s">
        <v>1615</v>
      </c>
      <c r="AG141" s="78" t="s">
        <v>1615</v>
      </c>
      <c r="AH141" s="78" t="s">
        <v>1615</v>
      </c>
      <c r="AI141" s="78" t="s">
        <v>1615</v>
      </c>
      <c r="AJ141" s="78">
        <v>106</v>
      </c>
      <c r="AK141" s="78" t="s">
        <v>1615</v>
      </c>
      <c r="AL141" s="78">
        <v>1.5</v>
      </c>
      <c r="AM141" s="78" t="s">
        <v>1615</v>
      </c>
      <c r="AN141" s="78" t="s">
        <v>1615</v>
      </c>
      <c r="AO141" s="78" t="s">
        <v>1615</v>
      </c>
    </row>
    <row r="142" spans="1:41">
      <c r="A142" s="78" t="s">
        <v>1877</v>
      </c>
      <c r="B142" s="78" t="s">
        <v>1558</v>
      </c>
      <c r="C142" s="78" t="s">
        <v>366</v>
      </c>
      <c r="D142" s="78" t="s">
        <v>1865</v>
      </c>
      <c r="E142" s="78" t="s">
        <v>1878</v>
      </c>
      <c r="F142" s="78" t="s">
        <v>1728</v>
      </c>
      <c r="G142" s="78" t="s">
        <v>1614</v>
      </c>
      <c r="H142" s="78">
        <v>426</v>
      </c>
      <c r="I142" s="78" t="s">
        <v>1615</v>
      </c>
      <c r="J142" s="78" t="s">
        <v>1615</v>
      </c>
      <c r="K142" s="78">
        <v>14.5</v>
      </c>
      <c r="L142" s="78">
        <v>0.7</v>
      </c>
      <c r="M142" s="78">
        <v>0.5</v>
      </c>
      <c r="N142" s="78" t="s">
        <v>1615</v>
      </c>
      <c r="O142" s="78">
        <v>40.6</v>
      </c>
      <c r="P142" s="78">
        <v>14.1</v>
      </c>
      <c r="Q142" s="78">
        <v>17.899999999999999</v>
      </c>
      <c r="R142" s="78">
        <v>8.41</v>
      </c>
      <c r="S142" s="78">
        <v>0.1</v>
      </c>
      <c r="T142" s="78">
        <v>93.7</v>
      </c>
      <c r="U142" s="78" t="s">
        <v>1615</v>
      </c>
      <c r="V142" s="78" t="s">
        <v>1615</v>
      </c>
      <c r="W142" s="78" t="s">
        <v>1615</v>
      </c>
      <c r="X142" s="78" t="s">
        <v>1615</v>
      </c>
      <c r="Y142" s="78" t="s">
        <v>1615</v>
      </c>
      <c r="Z142" s="78" t="s">
        <v>1615</v>
      </c>
      <c r="AA142" s="78" t="s">
        <v>1615</v>
      </c>
      <c r="AB142" s="78" t="s">
        <v>1615</v>
      </c>
      <c r="AC142" s="78" t="s">
        <v>1615</v>
      </c>
      <c r="AD142" s="78" t="s">
        <v>1615</v>
      </c>
      <c r="AE142" s="78" t="s">
        <v>1615</v>
      </c>
      <c r="AF142" s="78" t="s">
        <v>1615</v>
      </c>
      <c r="AG142" s="78">
        <v>2028</v>
      </c>
      <c r="AH142" s="78" t="s">
        <v>1615</v>
      </c>
      <c r="AI142" s="78" t="s">
        <v>1615</v>
      </c>
      <c r="AJ142" s="78" t="s">
        <v>1615</v>
      </c>
      <c r="AK142" s="78" t="s">
        <v>1615</v>
      </c>
      <c r="AL142" s="78" t="s">
        <v>1615</v>
      </c>
      <c r="AM142" s="78" t="s">
        <v>1615</v>
      </c>
      <c r="AN142" s="78" t="s">
        <v>1615</v>
      </c>
      <c r="AO142" s="78" t="s">
        <v>1615</v>
      </c>
    </row>
    <row r="143" spans="1:41">
      <c r="A143" s="78" t="s">
        <v>1879</v>
      </c>
      <c r="B143" s="78" t="s">
        <v>1558</v>
      </c>
      <c r="C143" s="78" t="s">
        <v>366</v>
      </c>
      <c r="D143" s="78" t="s">
        <v>1867</v>
      </c>
      <c r="E143" s="78" t="s">
        <v>1880</v>
      </c>
      <c r="F143" s="78" t="s">
        <v>1728</v>
      </c>
      <c r="G143" s="78" t="s">
        <v>1614</v>
      </c>
      <c r="H143" s="78">
        <v>261</v>
      </c>
      <c r="I143" s="78">
        <v>60</v>
      </c>
      <c r="J143" s="78">
        <v>3.3</v>
      </c>
      <c r="K143" s="78">
        <v>12.6</v>
      </c>
      <c r="L143" s="78">
        <v>1.9</v>
      </c>
      <c r="M143" s="78">
        <v>1.5</v>
      </c>
      <c r="N143" s="78">
        <v>0</v>
      </c>
      <c r="O143" s="78">
        <v>22.2</v>
      </c>
      <c r="P143" s="78">
        <v>9.8699999999999992</v>
      </c>
      <c r="Q143" s="78">
        <v>10.65</v>
      </c>
      <c r="R143" s="78">
        <v>1.04</v>
      </c>
      <c r="S143" s="78" t="s">
        <v>1615</v>
      </c>
      <c r="T143" s="78">
        <v>71</v>
      </c>
      <c r="U143" s="78">
        <v>0</v>
      </c>
      <c r="V143" s="78">
        <v>0</v>
      </c>
      <c r="W143" s="78">
        <v>1.2</v>
      </c>
      <c r="X143" s="78">
        <v>0.2</v>
      </c>
      <c r="Y143" s="78">
        <v>1.3</v>
      </c>
      <c r="Z143" s="78">
        <v>0.1</v>
      </c>
      <c r="AA143" s="78">
        <v>0.2</v>
      </c>
      <c r="AB143" s="78">
        <v>3.2</v>
      </c>
      <c r="AC143" s="78" t="s">
        <v>1615</v>
      </c>
      <c r="AD143" s="78">
        <v>1</v>
      </c>
      <c r="AE143" s="78">
        <v>3.1</v>
      </c>
      <c r="AF143" s="78">
        <v>2</v>
      </c>
      <c r="AG143" s="78">
        <v>1140</v>
      </c>
      <c r="AH143" s="78">
        <v>188</v>
      </c>
      <c r="AI143" s="78">
        <v>6</v>
      </c>
      <c r="AJ143" s="78">
        <v>205</v>
      </c>
      <c r="AK143" s="78">
        <v>13</v>
      </c>
      <c r="AL143" s="78">
        <v>2.2000000000000002</v>
      </c>
      <c r="AM143" s="78">
        <v>1.8</v>
      </c>
      <c r="AN143" s="78">
        <v>0.2</v>
      </c>
      <c r="AO143" s="78">
        <v>14.6</v>
      </c>
    </row>
    <row r="144" spans="1:41">
      <c r="A144" s="78" t="s">
        <v>1881</v>
      </c>
      <c r="B144" s="78" t="s">
        <v>1558</v>
      </c>
      <c r="C144" s="78" t="s">
        <v>366</v>
      </c>
      <c r="D144" s="78" t="s">
        <v>1869</v>
      </c>
      <c r="E144" s="78" t="s">
        <v>1882</v>
      </c>
      <c r="F144" s="78" t="s">
        <v>1728</v>
      </c>
      <c r="G144" s="78" t="s">
        <v>1614</v>
      </c>
      <c r="H144" s="78">
        <v>151</v>
      </c>
      <c r="I144" s="78">
        <v>74.900000000000006</v>
      </c>
      <c r="J144" s="78">
        <v>1.5</v>
      </c>
      <c r="K144" s="78">
        <v>11.7</v>
      </c>
      <c r="L144" s="78">
        <v>1.5</v>
      </c>
      <c r="M144" s="78">
        <v>0</v>
      </c>
      <c r="N144" s="78">
        <v>0</v>
      </c>
      <c r="O144" s="78">
        <v>10.5</v>
      </c>
      <c r="P144" s="78">
        <v>2.39</v>
      </c>
      <c r="Q144" s="78">
        <v>1.88</v>
      </c>
      <c r="R144" s="78">
        <v>1.63</v>
      </c>
      <c r="S144" s="78" t="s">
        <v>1615</v>
      </c>
      <c r="T144" s="78">
        <v>3100</v>
      </c>
      <c r="U144" s="78">
        <v>6</v>
      </c>
      <c r="V144" s="78">
        <v>10.5</v>
      </c>
      <c r="W144" s="78">
        <v>0</v>
      </c>
      <c r="X144" s="78">
        <v>1.7</v>
      </c>
      <c r="Y144" s="78">
        <v>0.1</v>
      </c>
      <c r="Z144" s="78">
        <v>0.1</v>
      </c>
      <c r="AA144" s="78">
        <v>0.2</v>
      </c>
      <c r="AB144" s="78">
        <v>3.6</v>
      </c>
      <c r="AC144" s="78">
        <v>0.1</v>
      </c>
      <c r="AD144" s="78">
        <v>1.2</v>
      </c>
      <c r="AE144" s="78">
        <v>10.1</v>
      </c>
      <c r="AF144" s="78">
        <v>5</v>
      </c>
      <c r="AG144" s="78">
        <v>108</v>
      </c>
      <c r="AH144" s="78">
        <v>244</v>
      </c>
      <c r="AI144" s="78">
        <v>9</v>
      </c>
      <c r="AJ144" s="78">
        <v>335</v>
      </c>
      <c r="AK144" s="78">
        <v>12</v>
      </c>
      <c r="AL144" s="78">
        <v>2.2999999999999998</v>
      </c>
      <c r="AM144" s="78">
        <v>1.1000000000000001</v>
      </c>
      <c r="AN144" s="78">
        <v>0.2</v>
      </c>
      <c r="AO144" s="78">
        <v>21.8</v>
      </c>
    </row>
    <row r="145" spans="1:41">
      <c r="A145" s="78" t="s">
        <v>1883</v>
      </c>
      <c r="B145" s="78" t="s">
        <v>1558</v>
      </c>
      <c r="C145" s="78" t="s">
        <v>366</v>
      </c>
      <c r="D145" s="78" t="s">
        <v>1871</v>
      </c>
      <c r="E145" s="78" t="s">
        <v>1884</v>
      </c>
      <c r="F145" s="78" t="s">
        <v>1728</v>
      </c>
      <c r="G145" s="78" t="s">
        <v>1614</v>
      </c>
      <c r="H145" s="78">
        <v>517</v>
      </c>
      <c r="I145" s="78">
        <v>21.6</v>
      </c>
      <c r="J145" s="78">
        <v>4.3</v>
      </c>
      <c r="K145" s="78">
        <v>29.1</v>
      </c>
      <c r="L145" s="78">
        <v>0.8</v>
      </c>
      <c r="M145" s="78">
        <v>0.8</v>
      </c>
      <c r="N145" s="78">
        <v>0</v>
      </c>
      <c r="O145" s="78">
        <v>44.2</v>
      </c>
      <c r="P145" s="78">
        <v>16</v>
      </c>
      <c r="Q145" s="78">
        <v>21.9</v>
      </c>
      <c r="R145" s="78">
        <v>4.3</v>
      </c>
      <c r="S145" s="78" t="s">
        <v>1615</v>
      </c>
      <c r="T145" s="78">
        <v>102</v>
      </c>
      <c r="U145" s="78">
        <v>0</v>
      </c>
      <c r="V145" s="78">
        <v>0</v>
      </c>
      <c r="W145" s="78" t="s">
        <v>1615</v>
      </c>
      <c r="X145" s="78" t="s">
        <v>1615</v>
      </c>
      <c r="Y145" s="78">
        <v>1.6</v>
      </c>
      <c r="Z145" s="78">
        <v>0.6</v>
      </c>
      <c r="AA145" s="78">
        <v>0.3</v>
      </c>
      <c r="AB145" s="78">
        <v>4.9000000000000004</v>
      </c>
      <c r="AC145" s="78">
        <v>0.5</v>
      </c>
      <c r="AD145" s="78">
        <v>1.1000000000000001</v>
      </c>
      <c r="AE145" s="78">
        <v>1.9</v>
      </c>
      <c r="AF145" s="78">
        <v>2</v>
      </c>
      <c r="AG145" s="78">
        <v>1420</v>
      </c>
      <c r="AH145" s="78">
        <v>385</v>
      </c>
      <c r="AI145" s="78">
        <v>14</v>
      </c>
      <c r="AJ145" s="78">
        <v>142</v>
      </c>
      <c r="AK145" s="78">
        <v>17</v>
      </c>
      <c r="AL145" s="78">
        <v>1.9</v>
      </c>
      <c r="AM145" s="78">
        <v>3.2</v>
      </c>
      <c r="AN145" s="78">
        <v>0.1</v>
      </c>
      <c r="AO145" s="78">
        <v>26.1</v>
      </c>
    </row>
    <row r="146" spans="1:41">
      <c r="A146" s="78" t="s">
        <v>1885</v>
      </c>
      <c r="B146" s="78" t="s">
        <v>1558</v>
      </c>
      <c r="C146" s="78" t="s">
        <v>366</v>
      </c>
      <c r="D146" s="78" t="s">
        <v>1873</v>
      </c>
      <c r="E146" s="78" t="s">
        <v>1886</v>
      </c>
      <c r="F146" s="78" t="s">
        <v>1728</v>
      </c>
      <c r="G146" s="78" t="s">
        <v>1614</v>
      </c>
      <c r="H146" s="78">
        <v>299</v>
      </c>
      <c r="I146" s="78">
        <v>52.6</v>
      </c>
      <c r="J146" s="78">
        <v>3.4</v>
      </c>
      <c r="K146" s="78">
        <v>15.9</v>
      </c>
      <c r="L146" s="78">
        <v>3.5</v>
      </c>
      <c r="M146" s="78" t="s">
        <v>1615</v>
      </c>
      <c r="N146" s="78">
        <v>0</v>
      </c>
      <c r="O146" s="78">
        <v>24.6</v>
      </c>
      <c r="P146" s="78">
        <v>10.41</v>
      </c>
      <c r="Q146" s="78">
        <v>12.2</v>
      </c>
      <c r="R146" s="78">
        <v>1.99</v>
      </c>
      <c r="S146" s="78" t="s">
        <v>1615</v>
      </c>
      <c r="T146" s="78" t="s">
        <v>1615</v>
      </c>
      <c r="U146" s="78" t="s">
        <v>1615</v>
      </c>
      <c r="V146" s="78" t="s">
        <v>1615</v>
      </c>
      <c r="W146" s="78" t="s">
        <v>1615</v>
      </c>
      <c r="X146" s="78" t="s">
        <v>1615</v>
      </c>
      <c r="Y146" s="78" t="s">
        <v>1615</v>
      </c>
      <c r="Z146" s="78">
        <v>0.2</v>
      </c>
      <c r="AA146" s="78">
        <v>0.2</v>
      </c>
      <c r="AB146" s="78" t="s">
        <v>1615</v>
      </c>
      <c r="AC146" s="78" t="s">
        <v>1615</v>
      </c>
      <c r="AD146" s="78" t="s">
        <v>1615</v>
      </c>
      <c r="AE146" s="78" t="s">
        <v>1615</v>
      </c>
      <c r="AF146" s="78" t="s">
        <v>1615</v>
      </c>
      <c r="AG146" s="78">
        <v>1215</v>
      </c>
      <c r="AH146" s="78">
        <v>270</v>
      </c>
      <c r="AI146" s="78" t="s">
        <v>1615</v>
      </c>
      <c r="AJ146" s="78">
        <v>267</v>
      </c>
      <c r="AK146" s="78" t="s">
        <v>1615</v>
      </c>
      <c r="AL146" s="78">
        <v>3.3</v>
      </c>
      <c r="AM146" s="78" t="s">
        <v>1615</v>
      </c>
      <c r="AN146" s="78" t="s">
        <v>1615</v>
      </c>
      <c r="AO146" s="78" t="s">
        <v>1615</v>
      </c>
    </row>
    <row r="147" spans="1:41">
      <c r="A147" s="78" t="s">
        <v>1887</v>
      </c>
      <c r="B147" s="78" t="s">
        <v>1558</v>
      </c>
      <c r="C147" s="78" t="s">
        <v>366</v>
      </c>
      <c r="D147" s="78" t="s">
        <v>1875</v>
      </c>
      <c r="E147" s="78" t="s">
        <v>1888</v>
      </c>
      <c r="F147" s="78" t="s">
        <v>1728</v>
      </c>
      <c r="G147" s="78" t="s">
        <v>1614</v>
      </c>
      <c r="H147" s="78">
        <v>235</v>
      </c>
      <c r="I147" s="78" t="s">
        <v>1615</v>
      </c>
      <c r="J147" s="78" t="s">
        <v>1615</v>
      </c>
      <c r="K147" s="78">
        <v>12</v>
      </c>
      <c r="L147" s="78">
        <v>1.6</v>
      </c>
      <c r="M147" s="78" t="s">
        <v>1615</v>
      </c>
      <c r="N147" s="78" t="s">
        <v>1615</v>
      </c>
      <c r="O147" s="78">
        <v>21.3</v>
      </c>
      <c r="P147" s="78">
        <v>6.91</v>
      </c>
      <c r="Q147" s="78">
        <v>8.76</v>
      </c>
      <c r="R147" s="78">
        <v>4.66</v>
      </c>
      <c r="S147" s="78">
        <v>0.4</v>
      </c>
      <c r="T147" s="78">
        <v>160</v>
      </c>
      <c r="U147" s="78">
        <v>0</v>
      </c>
      <c r="V147" s="78">
        <v>0.5</v>
      </c>
      <c r="W147" s="78">
        <v>0.4</v>
      </c>
      <c r="X147" s="78" t="s">
        <v>1615</v>
      </c>
      <c r="Y147" s="78" t="s">
        <v>1615</v>
      </c>
      <c r="Z147" s="78" t="s">
        <v>1615</v>
      </c>
      <c r="AA147" s="78">
        <v>0.1</v>
      </c>
      <c r="AB147" s="78" t="s">
        <v>1615</v>
      </c>
      <c r="AC147" s="78" t="s">
        <v>1615</v>
      </c>
      <c r="AD147" s="78" t="s">
        <v>1615</v>
      </c>
      <c r="AE147" s="78" t="s">
        <v>1615</v>
      </c>
      <c r="AF147" s="78" t="s">
        <v>1615</v>
      </c>
      <c r="AG147" s="78">
        <v>793</v>
      </c>
      <c r="AH147" s="78" t="s">
        <v>1615</v>
      </c>
      <c r="AI147" s="78">
        <v>32</v>
      </c>
      <c r="AJ147" s="78">
        <v>155</v>
      </c>
      <c r="AK147" s="78" t="s">
        <v>1615</v>
      </c>
      <c r="AL147" s="78" t="s">
        <v>1615</v>
      </c>
      <c r="AM147" s="78" t="s">
        <v>1615</v>
      </c>
      <c r="AN147" s="78" t="s">
        <v>1615</v>
      </c>
      <c r="AO147" s="78">
        <v>0</v>
      </c>
    </row>
    <row r="148" spans="1:41">
      <c r="A148" s="78" t="s">
        <v>1889</v>
      </c>
      <c r="B148" s="78" t="s">
        <v>1558</v>
      </c>
      <c r="C148" s="78" t="s">
        <v>366</v>
      </c>
      <c r="D148" s="78" t="s">
        <v>1877</v>
      </c>
      <c r="E148" s="78" t="s">
        <v>1890</v>
      </c>
      <c r="F148" s="78" t="s">
        <v>1728</v>
      </c>
      <c r="G148" s="78" t="s">
        <v>1614</v>
      </c>
      <c r="H148" s="78">
        <v>250</v>
      </c>
      <c r="I148" s="78">
        <v>63.1</v>
      </c>
      <c r="J148" s="78">
        <v>1.8</v>
      </c>
      <c r="K148" s="78">
        <v>15.4</v>
      </c>
      <c r="L148" s="78">
        <v>2.5</v>
      </c>
      <c r="M148" s="78">
        <v>0.5</v>
      </c>
      <c r="N148" s="78">
        <v>0</v>
      </c>
      <c r="O148" s="78">
        <v>18.100000000000001</v>
      </c>
      <c r="P148" s="78">
        <v>3.84</v>
      </c>
      <c r="Q148" s="78">
        <v>5.16</v>
      </c>
      <c r="R148" s="78">
        <v>5.63</v>
      </c>
      <c r="S148" s="78" t="s">
        <v>1615</v>
      </c>
      <c r="T148" s="78">
        <v>53.4</v>
      </c>
      <c r="U148" s="78" t="s">
        <v>1615</v>
      </c>
      <c r="V148" s="78" t="s">
        <v>1615</v>
      </c>
      <c r="W148" s="78" t="s">
        <v>1615</v>
      </c>
      <c r="X148" s="78">
        <v>0.2</v>
      </c>
      <c r="Y148" s="78">
        <v>1.6</v>
      </c>
      <c r="Z148" s="78" t="s">
        <v>1615</v>
      </c>
      <c r="AA148" s="78">
        <v>0.2</v>
      </c>
      <c r="AB148" s="78">
        <v>3.7</v>
      </c>
      <c r="AC148" s="78">
        <v>0.2</v>
      </c>
      <c r="AD148" s="78">
        <v>0.8</v>
      </c>
      <c r="AE148" s="78">
        <v>4</v>
      </c>
      <c r="AF148" s="78" t="s">
        <v>1615</v>
      </c>
      <c r="AG148" s="78">
        <v>639</v>
      </c>
      <c r="AH148" s="78" t="s">
        <v>1615</v>
      </c>
      <c r="AI148" s="78">
        <v>229</v>
      </c>
      <c r="AJ148" s="78" t="s">
        <v>1615</v>
      </c>
      <c r="AK148" s="78" t="s">
        <v>1615</v>
      </c>
      <c r="AL148" s="78">
        <v>1.1000000000000001</v>
      </c>
      <c r="AM148" s="78">
        <v>3</v>
      </c>
      <c r="AN148" s="78">
        <v>0.1</v>
      </c>
      <c r="AO148" s="78" t="s">
        <v>1615</v>
      </c>
    </row>
    <row r="149" spans="1:41">
      <c r="A149" s="78" t="s">
        <v>1891</v>
      </c>
      <c r="B149" s="78" t="s">
        <v>1558</v>
      </c>
      <c r="C149" s="78" t="s">
        <v>366</v>
      </c>
      <c r="D149" s="78" t="s">
        <v>1879</v>
      </c>
      <c r="E149" s="78" t="s">
        <v>1892</v>
      </c>
      <c r="F149" s="78" t="s">
        <v>1728</v>
      </c>
      <c r="G149" s="78" t="s">
        <v>1614</v>
      </c>
      <c r="H149" s="78">
        <v>226</v>
      </c>
      <c r="I149" s="78" t="s">
        <v>1615</v>
      </c>
      <c r="J149" s="78" t="s">
        <v>1615</v>
      </c>
      <c r="K149" s="78">
        <v>15.3</v>
      </c>
      <c r="L149" s="78">
        <v>3.5</v>
      </c>
      <c r="M149" s="78">
        <v>1</v>
      </c>
      <c r="N149" s="78" t="s">
        <v>1615</v>
      </c>
      <c r="O149" s="78">
        <v>16.7</v>
      </c>
      <c r="P149" s="78">
        <v>5.6</v>
      </c>
      <c r="Q149" s="78">
        <v>6.8</v>
      </c>
      <c r="R149" s="78">
        <v>3.5</v>
      </c>
      <c r="S149" s="78">
        <v>0.1</v>
      </c>
      <c r="T149" s="78">
        <v>96</v>
      </c>
      <c r="U149" s="78" t="s">
        <v>1615</v>
      </c>
      <c r="V149" s="78" t="s">
        <v>1615</v>
      </c>
      <c r="W149" s="78" t="s">
        <v>1615</v>
      </c>
      <c r="X149" s="78" t="s">
        <v>1615</v>
      </c>
      <c r="Y149" s="78" t="s">
        <v>1615</v>
      </c>
      <c r="Z149" s="78" t="s">
        <v>1615</v>
      </c>
      <c r="AA149" s="78" t="s">
        <v>1615</v>
      </c>
      <c r="AB149" s="78" t="s">
        <v>1615</v>
      </c>
      <c r="AC149" s="78" t="s">
        <v>1615</v>
      </c>
      <c r="AD149" s="78" t="s">
        <v>1615</v>
      </c>
      <c r="AE149" s="78" t="s">
        <v>1615</v>
      </c>
      <c r="AF149" s="78" t="s">
        <v>1615</v>
      </c>
      <c r="AG149" s="78">
        <v>713</v>
      </c>
      <c r="AH149" s="78" t="s">
        <v>1615</v>
      </c>
      <c r="AI149" s="78" t="s">
        <v>1615</v>
      </c>
      <c r="AJ149" s="78" t="s">
        <v>1615</v>
      </c>
      <c r="AK149" s="78" t="s">
        <v>1615</v>
      </c>
      <c r="AL149" s="78" t="s">
        <v>1615</v>
      </c>
      <c r="AM149" s="78" t="s">
        <v>1615</v>
      </c>
      <c r="AN149" s="78" t="s">
        <v>1615</v>
      </c>
      <c r="AO149" s="78" t="s">
        <v>1615</v>
      </c>
    </row>
    <row r="150" spans="1:41">
      <c r="A150" s="78" t="s">
        <v>1893</v>
      </c>
      <c r="B150" s="78" t="s">
        <v>1558</v>
      </c>
      <c r="C150" s="78" t="s">
        <v>366</v>
      </c>
      <c r="D150" s="78" t="s">
        <v>1881</v>
      </c>
      <c r="E150" s="78" t="s">
        <v>1894</v>
      </c>
      <c r="F150" s="78" t="s">
        <v>516</v>
      </c>
      <c r="G150" s="78" t="s">
        <v>1614</v>
      </c>
      <c r="H150" s="78">
        <v>74</v>
      </c>
      <c r="I150" s="78">
        <v>81.8</v>
      </c>
      <c r="J150" s="78" t="s">
        <v>1615</v>
      </c>
      <c r="K150" s="78">
        <v>12.8</v>
      </c>
      <c r="L150" s="78">
        <v>2.6</v>
      </c>
      <c r="M150" s="78" t="s">
        <v>1615</v>
      </c>
      <c r="N150" s="78">
        <v>0</v>
      </c>
      <c r="O150" s="78">
        <v>1</v>
      </c>
      <c r="P150" s="78">
        <v>0.09</v>
      </c>
      <c r="Q150" s="78">
        <v>0.08</v>
      </c>
      <c r="R150" s="78">
        <v>0.28000000000000003</v>
      </c>
      <c r="S150" s="78" t="s">
        <v>1615</v>
      </c>
      <c r="T150" s="78">
        <v>34</v>
      </c>
      <c r="U150" s="78">
        <v>90</v>
      </c>
      <c r="V150" s="78">
        <v>13.1</v>
      </c>
      <c r="W150" s="78" t="s">
        <v>1615</v>
      </c>
      <c r="X150" s="78">
        <v>0</v>
      </c>
      <c r="Y150" s="78" t="s">
        <v>1615</v>
      </c>
      <c r="Z150" s="78">
        <v>0.1</v>
      </c>
      <c r="AA150" s="78">
        <v>0.2</v>
      </c>
      <c r="AB150" s="78">
        <v>1.8</v>
      </c>
      <c r="AC150" s="78">
        <v>0.1</v>
      </c>
      <c r="AD150" s="78">
        <v>0.4</v>
      </c>
      <c r="AE150" s="78">
        <v>49.4</v>
      </c>
      <c r="AF150" s="78">
        <v>16</v>
      </c>
      <c r="AG150" s="78">
        <v>56</v>
      </c>
      <c r="AH150" s="78">
        <v>313</v>
      </c>
      <c r="AI150" s="78">
        <v>46</v>
      </c>
      <c r="AJ150" s="78">
        <v>168</v>
      </c>
      <c r="AK150" s="78">
        <v>9</v>
      </c>
      <c r="AL150" s="78">
        <v>14</v>
      </c>
      <c r="AM150" s="78">
        <v>1.4</v>
      </c>
      <c r="AN150" s="78">
        <v>0.3</v>
      </c>
      <c r="AO150" s="78">
        <v>44</v>
      </c>
    </row>
    <row r="151" spans="1:41">
      <c r="A151" s="78" t="s">
        <v>1895</v>
      </c>
      <c r="B151" s="78" t="s">
        <v>1558</v>
      </c>
      <c r="C151" s="78" t="s">
        <v>366</v>
      </c>
      <c r="D151" s="78" t="s">
        <v>1883</v>
      </c>
      <c r="E151" s="78" t="s">
        <v>1896</v>
      </c>
      <c r="F151" s="78" t="s">
        <v>516</v>
      </c>
      <c r="G151" s="78" t="s">
        <v>1614</v>
      </c>
      <c r="H151" s="78">
        <v>121</v>
      </c>
      <c r="I151" s="78">
        <v>71.900000000000006</v>
      </c>
      <c r="J151" s="78">
        <v>2</v>
      </c>
      <c r="K151" s="78">
        <v>20</v>
      </c>
      <c r="L151" s="78">
        <v>2.8</v>
      </c>
      <c r="M151" s="78" t="s">
        <v>1615</v>
      </c>
      <c r="N151" s="78">
        <v>0</v>
      </c>
      <c r="O151" s="78">
        <v>3.3</v>
      </c>
      <c r="P151" s="78">
        <v>1.46</v>
      </c>
      <c r="Q151" s="78">
        <v>0.82</v>
      </c>
      <c r="R151" s="78">
        <v>1.01</v>
      </c>
      <c r="S151" s="78" t="s">
        <v>1615</v>
      </c>
      <c r="T151" s="78">
        <v>34</v>
      </c>
      <c r="U151" s="78" t="s">
        <v>1615</v>
      </c>
      <c r="V151" s="78" t="s">
        <v>1615</v>
      </c>
      <c r="W151" s="78" t="s">
        <v>1615</v>
      </c>
      <c r="X151" s="78" t="s">
        <v>1615</v>
      </c>
      <c r="Y151" s="78" t="s">
        <v>1615</v>
      </c>
      <c r="Z151" s="78" t="s">
        <v>1615</v>
      </c>
      <c r="AA151" s="78" t="s">
        <v>1615</v>
      </c>
      <c r="AB151" s="78" t="s">
        <v>1615</v>
      </c>
      <c r="AC151" s="78" t="s">
        <v>1615</v>
      </c>
      <c r="AD151" s="78" t="s">
        <v>1615</v>
      </c>
      <c r="AE151" s="78" t="s">
        <v>1615</v>
      </c>
      <c r="AF151" s="78" t="s">
        <v>1615</v>
      </c>
      <c r="AG151" s="78">
        <v>395</v>
      </c>
      <c r="AH151" s="78" t="s">
        <v>1615</v>
      </c>
      <c r="AI151" s="78">
        <v>62</v>
      </c>
      <c r="AJ151" s="78" t="s">
        <v>1615</v>
      </c>
      <c r="AK151" s="78" t="s">
        <v>1615</v>
      </c>
      <c r="AL151" s="78" t="s">
        <v>1615</v>
      </c>
      <c r="AM151" s="78" t="s">
        <v>1615</v>
      </c>
      <c r="AN151" s="78" t="s">
        <v>1615</v>
      </c>
      <c r="AO151" s="78" t="s">
        <v>1615</v>
      </c>
    </row>
    <row r="152" spans="1:41">
      <c r="A152" s="78" t="s">
        <v>1897</v>
      </c>
      <c r="B152" s="78" t="s">
        <v>1558</v>
      </c>
      <c r="C152" s="78" t="s">
        <v>366</v>
      </c>
      <c r="D152" s="78" t="s">
        <v>1885</v>
      </c>
      <c r="E152" s="78" t="s">
        <v>1898</v>
      </c>
      <c r="F152" s="78" t="s">
        <v>516</v>
      </c>
      <c r="G152" s="78" t="s">
        <v>1614</v>
      </c>
      <c r="H152" s="78">
        <v>106</v>
      </c>
      <c r="I152" s="78">
        <v>73.8</v>
      </c>
      <c r="J152" s="78">
        <v>2.5</v>
      </c>
      <c r="K152" s="78">
        <v>16</v>
      </c>
      <c r="L152" s="78">
        <v>5.5</v>
      </c>
      <c r="M152" s="78" t="s">
        <v>1615</v>
      </c>
      <c r="N152" s="78">
        <v>0</v>
      </c>
      <c r="O152" s="78">
        <v>4</v>
      </c>
      <c r="P152" s="78" t="s">
        <v>1615</v>
      </c>
      <c r="Q152" s="78" t="s">
        <v>1615</v>
      </c>
      <c r="R152" s="78" t="s">
        <v>1615</v>
      </c>
      <c r="S152" s="78" t="s">
        <v>1615</v>
      </c>
      <c r="T152" s="78" t="s">
        <v>1615</v>
      </c>
      <c r="U152" s="78" t="s">
        <v>1615</v>
      </c>
      <c r="V152" s="78" t="s">
        <v>1615</v>
      </c>
      <c r="W152" s="78" t="s">
        <v>1615</v>
      </c>
      <c r="X152" s="78" t="s">
        <v>1615</v>
      </c>
      <c r="Y152" s="78" t="s">
        <v>1615</v>
      </c>
      <c r="Z152" s="78" t="s">
        <v>1615</v>
      </c>
      <c r="AA152" s="78">
        <v>0.2</v>
      </c>
      <c r="AB152" s="78">
        <v>0.6</v>
      </c>
      <c r="AC152" s="78" t="s">
        <v>1615</v>
      </c>
      <c r="AD152" s="78" t="s">
        <v>1615</v>
      </c>
      <c r="AE152" s="78" t="s">
        <v>1615</v>
      </c>
      <c r="AF152" s="78" t="s">
        <v>1615</v>
      </c>
      <c r="AG152" s="78" t="s">
        <v>1615</v>
      </c>
      <c r="AH152" s="78">
        <v>220</v>
      </c>
      <c r="AI152" s="78" t="s">
        <v>1615</v>
      </c>
      <c r="AJ152" s="78">
        <v>458</v>
      </c>
      <c r="AK152" s="78" t="s">
        <v>1615</v>
      </c>
      <c r="AL152" s="78">
        <v>5.2</v>
      </c>
      <c r="AM152" s="78" t="s">
        <v>1615</v>
      </c>
      <c r="AN152" s="78" t="s">
        <v>1615</v>
      </c>
      <c r="AO152" s="78" t="s">
        <v>1615</v>
      </c>
    </row>
    <row r="153" spans="1:41">
      <c r="A153" s="78" t="s">
        <v>1899</v>
      </c>
      <c r="B153" s="78" t="s">
        <v>1558</v>
      </c>
      <c r="C153" s="78" t="s">
        <v>366</v>
      </c>
      <c r="D153" s="78" t="s">
        <v>1887</v>
      </c>
      <c r="E153" s="78" t="s">
        <v>1900</v>
      </c>
      <c r="F153" s="78" t="s">
        <v>516</v>
      </c>
      <c r="G153" s="78" t="s">
        <v>1614</v>
      </c>
      <c r="H153" s="78">
        <v>74</v>
      </c>
      <c r="I153" s="78">
        <v>81.099999999999994</v>
      </c>
      <c r="J153" s="78">
        <v>1.4</v>
      </c>
      <c r="K153" s="78">
        <v>14.2</v>
      </c>
      <c r="L153" s="78">
        <v>2.5</v>
      </c>
      <c r="M153" s="78" t="s">
        <v>1615</v>
      </c>
      <c r="N153" s="78">
        <v>0</v>
      </c>
      <c r="O153" s="78">
        <v>0.8</v>
      </c>
      <c r="P153" s="78" t="s">
        <v>1615</v>
      </c>
      <c r="Q153" s="78" t="s">
        <v>1615</v>
      </c>
      <c r="R153" s="78" t="s">
        <v>1615</v>
      </c>
      <c r="S153" s="78" t="s">
        <v>1615</v>
      </c>
      <c r="T153" s="78" t="s">
        <v>1615</v>
      </c>
      <c r="U153" s="78" t="s">
        <v>1615</v>
      </c>
      <c r="V153" s="78" t="s">
        <v>1615</v>
      </c>
      <c r="W153" s="78" t="s">
        <v>1615</v>
      </c>
      <c r="X153" s="78" t="s">
        <v>1615</v>
      </c>
      <c r="Y153" s="78" t="s">
        <v>1615</v>
      </c>
      <c r="Z153" s="78">
        <v>0.1</v>
      </c>
      <c r="AA153" s="78">
        <v>0.1</v>
      </c>
      <c r="AB153" s="78">
        <v>0.9</v>
      </c>
      <c r="AC153" s="78" t="s">
        <v>1615</v>
      </c>
      <c r="AD153" s="78" t="s">
        <v>1615</v>
      </c>
      <c r="AE153" s="78" t="s">
        <v>1615</v>
      </c>
      <c r="AF153" s="78" t="s">
        <v>1615</v>
      </c>
      <c r="AG153" s="78" t="s">
        <v>1615</v>
      </c>
      <c r="AH153" s="78" t="s">
        <v>1615</v>
      </c>
      <c r="AI153" s="78">
        <v>73</v>
      </c>
      <c r="AJ153" s="78">
        <v>237</v>
      </c>
      <c r="AK153" s="78" t="s">
        <v>1615</v>
      </c>
      <c r="AL153" s="78">
        <v>1.2</v>
      </c>
      <c r="AM153" s="78" t="s">
        <v>1615</v>
      </c>
      <c r="AN153" s="78" t="s">
        <v>1615</v>
      </c>
      <c r="AO153" s="78" t="s">
        <v>1615</v>
      </c>
    </row>
    <row r="154" spans="1:41">
      <c r="A154" s="78" t="s">
        <v>1901</v>
      </c>
      <c r="B154" s="78" t="s">
        <v>1558</v>
      </c>
      <c r="C154" s="78" t="s">
        <v>366</v>
      </c>
      <c r="D154" s="78" t="s">
        <v>1889</v>
      </c>
      <c r="E154" s="78" t="s">
        <v>1902</v>
      </c>
      <c r="F154" s="78" t="s">
        <v>516</v>
      </c>
      <c r="G154" s="78" t="s">
        <v>1614</v>
      </c>
      <c r="H154" s="78">
        <v>132</v>
      </c>
      <c r="I154" s="78">
        <v>70.8</v>
      </c>
      <c r="J154" s="78">
        <v>1.6</v>
      </c>
      <c r="K154" s="78">
        <v>21.3</v>
      </c>
      <c r="L154" s="78">
        <v>1.9</v>
      </c>
      <c r="M154" s="78" t="s">
        <v>1615</v>
      </c>
      <c r="N154" s="78">
        <v>0</v>
      </c>
      <c r="O154" s="78">
        <v>4.4000000000000004</v>
      </c>
      <c r="P154" s="78" t="s">
        <v>1615</v>
      </c>
      <c r="Q154" s="78" t="s">
        <v>1615</v>
      </c>
      <c r="R154" s="78" t="s">
        <v>1615</v>
      </c>
      <c r="S154" s="78" t="s">
        <v>1615</v>
      </c>
      <c r="T154" s="78" t="s">
        <v>1615</v>
      </c>
      <c r="U154" s="78" t="s">
        <v>1615</v>
      </c>
      <c r="V154" s="78" t="s">
        <v>1615</v>
      </c>
      <c r="W154" s="78" t="s">
        <v>1615</v>
      </c>
      <c r="X154" s="78" t="s">
        <v>1615</v>
      </c>
      <c r="Y154" s="78" t="s">
        <v>1615</v>
      </c>
      <c r="Z154" s="78" t="s">
        <v>1615</v>
      </c>
      <c r="AA154" s="78">
        <v>0.2</v>
      </c>
      <c r="AB154" s="78">
        <v>0.8</v>
      </c>
      <c r="AC154" s="78" t="s">
        <v>1615</v>
      </c>
      <c r="AD154" s="78" t="s">
        <v>1615</v>
      </c>
      <c r="AE154" s="78" t="s">
        <v>1615</v>
      </c>
      <c r="AF154" s="78" t="s">
        <v>1615</v>
      </c>
      <c r="AG154" s="78">
        <v>315</v>
      </c>
      <c r="AH154" s="78">
        <v>89</v>
      </c>
      <c r="AI154" s="78">
        <v>65</v>
      </c>
      <c r="AJ154" s="78">
        <v>251</v>
      </c>
      <c r="AK154" s="78" t="s">
        <v>1615</v>
      </c>
      <c r="AL154" s="78">
        <v>3.3</v>
      </c>
      <c r="AM154" s="78" t="s">
        <v>1615</v>
      </c>
      <c r="AN154" s="78" t="s">
        <v>1615</v>
      </c>
      <c r="AO154" s="78" t="s">
        <v>1615</v>
      </c>
    </row>
    <row r="155" spans="1:41">
      <c r="A155" s="78" t="s">
        <v>1903</v>
      </c>
      <c r="B155" s="78" t="s">
        <v>1558</v>
      </c>
      <c r="C155" s="78" t="s">
        <v>366</v>
      </c>
      <c r="D155" s="78" t="s">
        <v>1891</v>
      </c>
      <c r="E155" s="78" t="s">
        <v>1904</v>
      </c>
      <c r="F155" s="78" t="s">
        <v>516</v>
      </c>
      <c r="G155" s="78" t="s">
        <v>1614</v>
      </c>
      <c r="H155" s="78">
        <v>100</v>
      </c>
      <c r="I155" s="78">
        <v>76.8</v>
      </c>
      <c r="J155" s="78">
        <v>2.2000000000000002</v>
      </c>
      <c r="K155" s="78">
        <v>16</v>
      </c>
      <c r="L155" s="78">
        <v>1.9</v>
      </c>
      <c r="M155" s="78" t="s">
        <v>1615</v>
      </c>
      <c r="N155" s="78">
        <v>0</v>
      </c>
      <c r="O155" s="78">
        <v>3.1</v>
      </c>
      <c r="P155" s="78" t="s">
        <v>1615</v>
      </c>
      <c r="Q155" s="78" t="s">
        <v>1615</v>
      </c>
      <c r="R155" s="78" t="s">
        <v>1615</v>
      </c>
      <c r="S155" s="78" t="s">
        <v>1615</v>
      </c>
      <c r="T155" s="78" t="s">
        <v>1615</v>
      </c>
      <c r="U155" s="78" t="s">
        <v>1615</v>
      </c>
      <c r="V155" s="78" t="s">
        <v>1615</v>
      </c>
      <c r="W155" s="78" t="s">
        <v>1615</v>
      </c>
      <c r="X155" s="78" t="s">
        <v>1615</v>
      </c>
      <c r="Y155" s="78" t="s">
        <v>1615</v>
      </c>
      <c r="Z155" s="78" t="s">
        <v>1615</v>
      </c>
      <c r="AA155" s="78">
        <v>0.1</v>
      </c>
      <c r="AB155" s="78">
        <v>0.6</v>
      </c>
      <c r="AC155" s="78" t="s">
        <v>1615</v>
      </c>
      <c r="AD155" s="78" t="s">
        <v>1615</v>
      </c>
      <c r="AE155" s="78" t="s">
        <v>1615</v>
      </c>
      <c r="AF155" s="78" t="s">
        <v>1615</v>
      </c>
      <c r="AG155" s="78">
        <v>392</v>
      </c>
      <c r="AH155" s="78">
        <v>68</v>
      </c>
      <c r="AI155" s="78">
        <v>43</v>
      </c>
      <c r="AJ155" s="78">
        <v>426</v>
      </c>
      <c r="AK155" s="78" t="s">
        <v>1615</v>
      </c>
      <c r="AL155" s="78">
        <v>7.4</v>
      </c>
      <c r="AM155" s="78" t="s">
        <v>1615</v>
      </c>
      <c r="AN155" s="78" t="s">
        <v>1615</v>
      </c>
      <c r="AO155" s="78" t="s">
        <v>1615</v>
      </c>
    </row>
    <row r="156" spans="1:41">
      <c r="A156" s="78" t="s">
        <v>1905</v>
      </c>
      <c r="B156" s="78" t="s">
        <v>1558</v>
      </c>
      <c r="C156" s="78" t="s">
        <v>366</v>
      </c>
      <c r="D156" s="78" t="s">
        <v>1893</v>
      </c>
      <c r="E156" s="78" t="s">
        <v>1906</v>
      </c>
      <c r="F156" s="78" t="s">
        <v>516</v>
      </c>
      <c r="G156" s="78" t="s">
        <v>1614</v>
      </c>
      <c r="H156" s="78">
        <v>72</v>
      </c>
      <c r="I156" s="78">
        <v>82.9</v>
      </c>
      <c r="J156" s="78">
        <v>1.3</v>
      </c>
      <c r="K156" s="78">
        <v>10</v>
      </c>
      <c r="L156" s="78">
        <v>4</v>
      </c>
      <c r="M156" s="78" t="s">
        <v>1615</v>
      </c>
      <c r="N156" s="78">
        <v>0</v>
      </c>
      <c r="O156" s="78">
        <v>1.8</v>
      </c>
      <c r="P156" s="78">
        <v>0.42</v>
      </c>
      <c r="Q156" s="78">
        <v>0.51</v>
      </c>
      <c r="R156" s="78">
        <v>0.61</v>
      </c>
      <c r="S156" s="78" t="s">
        <v>1615</v>
      </c>
      <c r="T156" s="78">
        <v>95</v>
      </c>
      <c r="U156" s="78" t="s">
        <v>1615</v>
      </c>
      <c r="V156" s="78" t="s">
        <v>1615</v>
      </c>
      <c r="W156" s="78" t="s">
        <v>1615</v>
      </c>
      <c r="X156" s="78" t="s">
        <v>1615</v>
      </c>
      <c r="Y156" s="78" t="s">
        <v>1615</v>
      </c>
      <c r="Z156" s="78">
        <v>0.1</v>
      </c>
      <c r="AA156" s="78" t="s">
        <v>1615</v>
      </c>
      <c r="AB156" s="78" t="s">
        <v>1615</v>
      </c>
      <c r="AC156" s="78" t="s">
        <v>1615</v>
      </c>
      <c r="AD156" s="78" t="s">
        <v>1615</v>
      </c>
      <c r="AE156" s="78" t="s">
        <v>1615</v>
      </c>
      <c r="AF156" s="78" t="s">
        <v>1615</v>
      </c>
      <c r="AG156" s="78">
        <v>137</v>
      </c>
      <c r="AH156" s="78">
        <v>138</v>
      </c>
      <c r="AI156" s="78">
        <v>26</v>
      </c>
      <c r="AJ156" s="78">
        <v>197</v>
      </c>
      <c r="AK156" s="78">
        <v>34</v>
      </c>
      <c r="AL156" s="78">
        <v>4</v>
      </c>
      <c r="AM156" s="78">
        <v>1.6</v>
      </c>
      <c r="AN156" s="78">
        <v>0.1</v>
      </c>
      <c r="AO156" s="78" t="s">
        <v>1615</v>
      </c>
    </row>
    <row r="157" spans="1:41">
      <c r="A157" s="78" t="s">
        <v>1907</v>
      </c>
      <c r="B157" s="78" t="s">
        <v>1558</v>
      </c>
      <c r="C157" s="78" t="s">
        <v>366</v>
      </c>
      <c r="D157" s="78" t="s">
        <v>1895</v>
      </c>
      <c r="E157" s="78" t="s">
        <v>1908</v>
      </c>
      <c r="F157" s="78" t="s">
        <v>516</v>
      </c>
      <c r="G157" s="78" t="s">
        <v>1614</v>
      </c>
      <c r="H157" s="78">
        <v>86</v>
      </c>
      <c r="I157" s="78">
        <v>80.599999999999994</v>
      </c>
      <c r="J157" s="78" t="s">
        <v>1615</v>
      </c>
      <c r="K157" s="78">
        <v>11.9</v>
      </c>
      <c r="L157" s="78">
        <v>3.7</v>
      </c>
      <c r="M157" s="78" t="s">
        <v>1615</v>
      </c>
      <c r="N157" s="78">
        <v>0</v>
      </c>
      <c r="O157" s="78">
        <v>2.2000000000000002</v>
      </c>
      <c r="P157" s="78">
        <v>0.43</v>
      </c>
      <c r="Q157" s="78">
        <v>0.51</v>
      </c>
      <c r="R157" s="78">
        <v>0.61</v>
      </c>
      <c r="S157" s="78" t="s">
        <v>1615</v>
      </c>
      <c r="T157" s="78">
        <v>28</v>
      </c>
      <c r="U157" s="78">
        <v>48</v>
      </c>
      <c r="V157" s="78">
        <v>8</v>
      </c>
      <c r="W157" s="78" t="s">
        <v>1615</v>
      </c>
      <c r="X157" s="78">
        <v>0.7</v>
      </c>
      <c r="Y157" s="78" t="s">
        <v>1615</v>
      </c>
      <c r="Z157" s="78">
        <v>0.2</v>
      </c>
      <c r="AA157" s="78">
        <v>0.2</v>
      </c>
      <c r="AB157" s="78">
        <v>1.6</v>
      </c>
      <c r="AC157" s="78">
        <v>0.1</v>
      </c>
      <c r="AD157" s="78">
        <v>0.5</v>
      </c>
      <c r="AE157" s="78">
        <v>12</v>
      </c>
      <c r="AF157" s="78">
        <v>42</v>
      </c>
      <c r="AG157" s="78">
        <v>286</v>
      </c>
      <c r="AH157" s="78">
        <v>320</v>
      </c>
      <c r="AI157" s="78">
        <v>26</v>
      </c>
      <c r="AJ157" s="78">
        <v>197</v>
      </c>
      <c r="AK157" s="78">
        <v>34</v>
      </c>
      <c r="AL157" s="78">
        <v>4</v>
      </c>
      <c r="AM157" s="78">
        <v>1.6</v>
      </c>
      <c r="AN157" s="78">
        <v>0.1</v>
      </c>
      <c r="AO157" s="78">
        <v>54</v>
      </c>
    </row>
    <row r="158" spans="1:41">
      <c r="A158" s="78" t="s">
        <v>1909</v>
      </c>
      <c r="B158" s="78" t="s">
        <v>1558</v>
      </c>
      <c r="C158" s="78" t="s">
        <v>366</v>
      </c>
      <c r="D158" s="78" t="s">
        <v>1897</v>
      </c>
      <c r="E158" s="78" t="s">
        <v>1910</v>
      </c>
      <c r="F158" s="78" t="s">
        <v>516</v>
      </c>
      <c r="G158" s="78" t="s">
        <v>1614</v>
      </c>
      <c r="H158" s="78">
        <v>123</v>
      </c>
      <c r="I158" s="78">
        <v>73.7</v>
      </c>
      <c r="J158" s="78">
        <v>1.9</v>
      </c>
      <c r="K158" s="78">
        <v>14.4</v>
      </c>
      <c r="L158" s="78">
        <v>4.9000000000000004</v>
      </c>
      <c r="M158" s="78" t="s">
        <v>1615</v>
      </c>
      <c r="N158" s="78">
        <v>0</v>
      </c>
      <c r="O158" s="78">
        <v>5.0999999999999996</v>
      </c>
      <c r="P158" s="78">
        <v>2.2799999999999998</v>
      </c>
      <c r="Q158" s="78">
        <v>1.39</v>
      </c>
      <c r="R158" s="78">
        <v>1.35</v>
      </c>
      <c r="S158" s="78" t="s">
        <v>1615</v>
      </c>
      <c r="T158" s="78">
        <v>266.2</v>
      </c>
      <c r="U158" s="78" t="s">
        <v>1615</v>
      </c>
      <c r="V158" s="78" t="s">
        <v>1615</v>
      </c>
      <c r="W158" s="78" t="s">
        <v>1615</v>
      </c>
      <c r="X158" s="78" t="s">
        <v>1615</v>
      </c>
      <c r="Y158" s="78" t="s">
        <v>1615</v>
      </c>
      <c r="Z158" s="78" t="s">
        <v>1615</v>
      </c>
      <c r="AA158" s="78" t="s">
        <v>1615</v>
      </c>
      <c r="AB158" s="78" t="s">
        <v>1615</v>
      </c>
      <c r="AC158" s="78" t="s">
        <v>1615</v>
      </c>
      <c r="AD158" s="78" t="s">
        <v>1615</v>
      </c>
      <c r="AE158" s="78" t="s">
        <v>1615</v>
      </c>
      <c r="AF158" s="78" t="s">
        <v>1615</v>
      </c>
      <c r="AG158" s="78" t="s">
        <v>1615</v>
      </c>
      <c r="AH158" s="78" t="s">
        <v>1615</v>
      </c>
      <c r="AI158" s="78">
        <v>38</v>
      </c>
      <c r="AJ158" s="78">
        <v>294</v>
      </c>
      <c r="AK158" s="78" t="s">
        <v>1615</v>
      </c>
      <c r="AL158" s="78">
        <v>0.9</v>
      </c>
      <c r="AM158" s="78" t="s">
        <v>1615</v>
      </c>
      <c r="AN158" s="78" t="s">
        <v>1615</v>
      </c>
      <c r="AO158" s="78" t="s">
        <v>1615</v>
      </c>
    </row>
    <row r="159" spans="1:41">
      <c r="A159" s="78" t="s">
        <v>1911</v>
      </c>
      <c r="B159" s="78" t="s">
        <v>1558</v>
      </c>
      <c r="C159" s="78" t="s">
        <v>366</v>
      </c>
      <c r="D159" s="78" t="s">
        <v>1899</v>
      </c>
      <c r="E159" s="78" t="s">
        <v>1912</v>
      </c>
      <c r="F159" s="78" t="s">
        <v>516</v>
      </c>
      <c r="G159" s="78" t="s">
        <v>1614</v>
      </c>
      <c r="H159" s="78">
        <v>181</v>
      </c>
      <c r="I159" s="78">
        <v>54.6</v>
      </c>
      <c r="J159" s="78">
        <v>0.4</v>
      </c>
      <c r="K159" s="78">
        <v>35</v>
      </c>
      <c r="L159" s="78">
        <v>9.8000000000000007</v>
      </c>
      <c r="M159" s="78" t="s">
        <v>1615</v>
      </c>
      <c r="N159" s="78">
        <v>0</v>
      </c>
      <c r="O159" s="78">
        <v>0.2</v>
      </c>
      <c r="P159" s="78" t="s">
        <v>1615</v>
      </c>
      <c r="Q159" s="78" t="s">
        <v>1615</v>
      </c>
      <c r="R159" s="78" t="s">
        <v>1615</v>
      </c>
      <c r="S159" s="78" t="s">
        <v>1615</v>
      </c>
      <c r="T159" s="78" t="s">
        <v>1615</v>
      </c>
      <c r="U159" s="78" t="s">
        <v>1615</v>
      </c>
      <c r="V159" s="78" t="s">
        <v>1615</v>
      </c>
      <c r="W159" s="78" t="s">
        <v>1615</v>
      </c>
      <c r="X159" s="78" t="s">
        <v>1615</v>
      </c>
      <c r="Y159" s="78" t="s">
        <v>1615</v>
      </c>
      <c r="Z159" s="78" t="s">
        <v>1615</v>
      </c>
      <c r="AA159" s="78" t="s">
        <v>1615</v>
      </c>
      <c r="AB159" s="78" t="s">
        <v>1615</v>
      </c>
      <c r="AC159" s="78" t="s">
        <v>1615</v>
      </c>
      <c r="AD159" s="78" t="s">
        <v>1615</v>
      </c>
      <c r="AE159" s="78" t="s">
        <v>1615</v>
      </c>
      <c r="AF159" s="78" t="s">
        <v>1615</v>
      </c>
      <c r="AG159" s="78">
        <v>34.700000000000003</v>
      </c>
      <c r="AH159" s="78" t="s">
        <v>1615</v>
      </c>
      <c r="AI159" s="78">
        <v>27.6</v>
      </c>
      <c r="AJ159" s="78">
        <v>13</v>
      </c>
      <c r="AK159" s="78">
        <v>20.9</v>
      </c>
      <c r="AL159" s="78" t="s">
        <v>1615</v>
      </c>
      <c r="AM159" s="78">
        <v>17.2</v>
      </c>
      <c r="AN159" s="78">
        <v>0.3</v>
      </c>
      <c r="AO159" s="78" t="s">
        <v>1615</v>
      </c>
    </row>
    <row r="160" spans="1:41">
      <c r="A160" s="78" t="s">
        <v>1913</v>
      </c>
      <c r="B160" s="78" t="s">
        <v>1558</v>
      </c>
      <c r="C160" s="78" t="s">
        <v>366</v>
      </c>
      <c r="D160" s="78" t="s">
        <v>1901</v>
      </c>
      <c r="E160" s="78" t="s">
        <v>1914</v>
      </c>
      <c r="F160" s="78" t="s">
        <v>516</v>
      </c>
      <c r="G160" s="78" t="s">
        <v>1614</v>
      </c>
      <c r="H160" s="78">
        <v>113</v>
      </c>
      <c r="I160" s="78">
        <v>71.099999999999994</v>
      </c>
      <c r="J160" s="78">
        <v>1.2</v>
      </c>
      <c r="K160" s="78">
        <v>21.7</v>
      </c>
      <c r="L160" s="78">
        <v>5.5</v>
      </c>
      <c r="M160" s="78" t="s">
        <v>1615</v>
      </c>
      <c r="N160" s="78">
        <v>0</v>
      </c>
      <c r="O160" s="78">
        <v>0.5</v>
      </c>
      <c r="P160" s="78">
        <v>0.21</v>
      </c>
      <c r="Q160" s="78">
        <v>0.16</v>
      </c>
      <c r="R160" s="78">
        <v>0.13</v>
      </c>
      <c r="S160" s="78" t="s">
        <v>1615</v>
      </c>
      <c r="T160" s="78" t="s">
        <v>1615</v>
      </c>
      <c r="U160" s="78" t="s">
        <v>1615</v>
      </c>
      <c r="V160" s="78" t="s">
        <v>1615</v>
      </c>
      <c r="W160" s="78" t="s">
        <v>1615</v>
      </c>
      <c r="X160" s="78" t="s">
        <v>1615</v>
      </c>
      <c r="Y160" s="78" t="s">
        <v>1615</v>
      </c>
      <c r="Z160" s="78">
        <v>0</v>
      </c>
      <c r="AA160" s="78">
        <v>0.1</v>
      </c>
      <c r="AB160" s="78">
        <v>1.7</v>
      </c>
      <c r="AC160" s="78" t="s">
        <v>1615</v>
      </c>
      <c r="AD160" s="78" t="s">
        <v>1615</v>
      </c>
      <c r="AE160" s="78" t="s">
        <v>1615</v>
      </c>
      <c r="AF160" s="78" t="s">
        <v>1615</v>
      </c>
      <c r="AG160" s="78" t="s">
        <v>1615</v>
      </c>
      <c r="AH160" s="78" t="s">
        <v>1615</v>
      </c>
      <c r="AI160" s="78">
        <v>55</v>
      </c>
      <c r="AJ160" s="78">
        <v>147</v>
      </c>
      <c r="AK160" s="78" t="s">
        <v>1615</v>
      </c>
      <c r="AL160" s="78">
        <v>0.7</v>
      </c>
      <c r="AM160" s="78" t="s">
        <v>1615</v>
      </c>
      <c r="AN160" s="78" t="s">
        <v>1615</v>
      </c>
      <c r="AO160" s="78" t="s">
        <v>1615</v>
      </c>
    </row>
    <row r="161" spans="1:41">
      <c r="A161" s="78" t="s">
        <v>1915</v>
      </c>
      <c r="B161" s="78" t="s">
        <v>1558</v>
      </c>
      <c r="C161" s="78" t="s">
        <v>366</v>
      </c>
      <c r="D161" s="78" t="s">
        <v>1903</v>
      </c>
      <c r="E161" s="78" t="s">
        <v>1916</v>
      </c>
      <c r="F161" s="78" t="s">
        <v>516</v>
      </c>
      <c r="G161" s="78" t="s">
        <v>1614</v>
      </c>
      <c r="H161" s="78">
        <v>118</v>
      </c>
      <c r="I161" s="78">
        <v>71.5</v>
      </c>
      <c r="J161" s="78">
        <v>2</v>
      </c>
      <c r="K161" s="78">
        <v>21.3</v>
      </c>
      <c r="L161" s="78">
        <v>2.8</v>
      </c>
      <c r="M161" s="78" t="s">
        <v>1615</v>
      </c>
      <c r="N161" s="78">
        <v>0</v>
      </c>
      <c r="O161" s="78">
        <v>2.4</v>
      </c>
      <c r="P161" s="78">
        <v>0.92</v>
      </c>
      <c r="Q161" s="78">
        <v>0.67</v>
      </c>
      <c r="R161" s="78">
        <v>0.8</v>
      </c>
      <c r="S161" s="78" t="s">
        <v>1615</v>
      </c>
      <c r="T161" s="78" t="s">
        <v>1615</v>
      </c>
      <c r="U161" s="78" t="s">
        <v>1615</v>
      </c>
      <c r="V161" s="78" t="s">
        <v>1615</v>
      </c>
      <c r="W161" s="78" t="s">
        <v>1615</v>
      </c>
      <c r="X161" s="78" t="s">
        <v>1615</v>
      </c>
      <c r="Y161" s="78" t="s">
        <v>1615</v>
      </c>
      <c r="Z161" s="78" t="s">
        <v>1615</v>
      </c>
      <c r="AA161" s="78">
        <v>0.1</v>
      </c>
      <c r="AB161" s="78" t="s">
        <v>1615</v>
      </c>
      <c r="AC161" s="78" t="s">
        <v>1615</v>
      </c>
      <c r="AD161" s="78" t="s">
        <v>1615</v>
      </c>
      <c r="AE161" s="78" t="s">
        <v>1615</v>
      </c>
      <c r="AF161" s="78" t="s">
        <v>1615</v>
      </c>
      <c r="AG161" s="78">
        <v>332</v>
      </c>
      <c r="AH161" s="78">
        <v>116</v>
      </c>
      <c r="AI161" s="78">
        <v>81</v>
      </c>
      <c r="AJ161" s="78">
        <v>258</v>
      </c>
      <c r="AK161" s="78" t="s">
        <v>1615</v>
      </c>
      <c r="AL161" s="78">
        <v>12.5</v>
      </c>
      <c r="AM161" s="78" t="s">
        <v>1615</v>
      </c>
      <c r="AN161" s="78" t="s">
        <v>1615</v>
      </c>
      <c r="AO161" s="78" t="s">
        <v>1615</v>
      </c>
    </row>
    <row r="162" spans="1:41">
      <c r="A162" s="78" t="s">
        <v>1917</v>
      </c>
      <c r="B162" s="78" t="s">
        <v>1558</v>
      </c>
      <c r="C162" s="78" t="s">
        <v>366</v>
      </c>
      <c r="D162" s="78" t="s">
        <v>1905</v>
      </c>
      <c r="E162" s="78" t="s">
        <v>1918</v>
      </c>
      <c r="F162" s="78" t="s">
        <v>516</v>
      </c>
      <c r="G162" s="78" t="s">
        <v>1614</v>
      </c>
      <c r="H162" s="78">
        <v>80</v>
      </c>
      <c r="I162" s="78">
        <v>78.5</v>
      </c>
      <c r="J162" s="78">
        <v>1.9</v>
      </c>
      <c r="K162" s="78">
        <v>14.2</v>
      </c>
      <c r="L162" s="78">
        <v>5</v>
      </c>
      <c r="M162" s="78" t="s">
        <v>1615</v>
      </c>
      <c r="N162" s="78">
        <v>0</v>
      </c>
      <c r="O162" s="78">
        <v>0.4</v>
      </c>
      <c r="P162" s="78">
        <v>0.15</v>
      </c>
      <c r="Q162" s="78">
        <v>0.11</v>
      </c>
      <c r="R162" s="78">
        <v>0.13</v>
      </c>
      <c r="S162" s="78" t="s">
        <v>1615</v>
      </c>
      <c r="T162" s="78" t="s">
        <v>1615</v>
      </c>
      <c r="U162" s="78" t="s">
        <v>1615</v>
      </c>
      <c r="V162" s="78" t="s">
        <v>1615</v>
      </c>
      <c r="W162" s="78" t="s">
        <v>1615</v>
      </c>
      <c r="X162" s="78" t="s">
        <v>1615</v>
      </c>
      <c r="Y162" s="78" t="s">
        <v>1615</v>
      </c>
      <c r="Z162" s="78" t="s">
        <v>1615</v>
      </c>
      <c r="AA162" s="78" t="s">
        <v>1615</v>
      </c>
      <c r="AB162" s="78" t="s">
        <v>1615</v>
      </c>
      <c r="AC162" s="78" t="s">
        <v>1615</v>
      </c>
      <c r="AD162" s="78" t="s">
        <v>1615</v>
      </c>
      <c r="AE162" s="78" t="s">
        <v>1615</v>
      </c>
      <c r="AF162" s="78" t="s">
        <v>1615</v>
      </c>
      <c r="AG162" s="78" t="s">
        <v>1615</v>
      </c>
      <c r="AH162" s="78" t="s">
        <v>1615</v>
      </c>
      <c r="AI162" s="78">
        <v>75</v>
      </c>
      <c r="AJ162" s="78">
        <v>233</v>
      </c>
      <c r="AK162" s="78" t="s">
        <v>1615</v>
      </c>
      <c r="AL162" s="78">
        <v>4.8</v>
      </c>
      <c r="AM162" s="78" t="s">
        <v>1615</v>
      </c>
      <c r="AN162" s="78" t="s">
        <v>1615</v>
      </c>
      <c r="AO162" s="78" t="s">
        <v>1615</v>
      </c>
    </row>
    <row r="163" spans="1:41">
      <c r="A163" s="78" t="s">
        <v>1919</v>
      </c>
      <c r="B163" s="78" t="s">
        <v>1558</v>
      </c>
      <c r="C163" s="78" t="s">
        <v>366</v>
      </c>
      <c r="D163" s="78" t="s">
        <v>1907</v>
      </c>
      <c r="E163" s="78" t="s">
        <v>1920</v>
      </c>
      <c r="F163" s="78" t="s">
        <v>516</v>
      </c>
      <c r="G163" s="78" t="s">
        <v>1614</v>
      </c>
      <c r="H163" s="78">
        <v>81</v>
      </c>
      <c r="I163" s="78">
        <v>82.1</v>
      </c>
      <c r="J163" s="78">
        <v>1.2</v>
      </c>
      <c r="K163" s="78">
        <v>9.5</v>
      </c>
      <c r="L163" s="78">
        <v>5</v>
      </c>
      <c r="M163" s="78" t="s">
        <v>1615</v>
      </c>
      <c r="N163" s="78">
        <v>0</v>
      </c>
      <c r="O163" s="78">
        <v>2.2999999999999998</v>
      </c>
      <c r="P163" s="78">
        <v>0.51</v>
      </c>
      <c r="Q163" s="78">
        <v>0.36</v>
      </c>
      <c r="R163" s="78">
        <v>0.89</v>
      </c>
      <c r="S163" s="78" t="s">
        <v>1615</v>
      </c>
      <c r="T163" s="78">
        <v>50</v>
      </c>
      <c r="U163" s="78">
        <v>81</v>
      </c>
      <c r="V163" s="78">
        <v>8</v>
      </c>
      <c r="W163" s="78" t="s">
        <v>1615</v>
      </c>
      <c r="X163" s="78" t="s">
        <v>1615</v>
      </c>
      <c r="Y163" s="78" t="s">
        <v>1615</v>
      </c>
      <c r="Z163" s="78">
        <v>0.1</v>
      </c>
      <c r="AA163" s="78">
        <v>0.2</v>
      </c>
      <c r="AB163" s="78">
        <v>2</v>
      </c>
      <c r="AC163" s="78">
        <v>0.1</v>
      </c>
      <c r="AD163" s="78">
        <v>0.5</v>
      </c>
      <c r="AE163" s="78">
        <v>16</v>
      </c>
      <c r="AF163" s="78">
        <v>10</v>
      </c>
      <c r="AG163" s="78">
        <v>106</v>
      </c>
      <c r="AH163" s="78">
        <v>168</v>
      </c>
      <c r="AI163" s="78">
        <v>8</v>
      </c>
      <c r="AJ163" s="78">
        <v>162</v>
      </c>
      <c r="AK163" s="78">
        <v>22</v>
      </c>
      <c r="AL163" s="78">
        <v>5.0999999999999996</v>
      </c>
      <c r="AM163" s="78">
        <v>16.600000000000001</v>
      </c>
      <c r="AN163" s="78">
        <v>1.6</v>
      </c>
      <c r="AO163" s="78">
        <v>77</v>
      </c>
    </row>
    <row r="164" spans="1:41">
      <c r="A164" s="78" t="s">
        <v>1921</v>
      </c>
      <c r="B164" s="78" t="s">
        <v>1558</v>
      </c>
      <c r="C164" s="78" t="s">
        <v>366</v>
      </c>
      <c r="D164" s="78" t="s">
        <v>1909</v>
      </c>
      <c r="E164" s="78" t="s">
        <v>1922</v>
      </c>
      <c r="F164" s="78" t="s">
        <v>516</v>
      </c>
      <c r="G164" s="78" t="s">
        <v>1614</v>
      </c>
      <c r="H164" s="78">
        <v>57</v>
      </c>
      <c r="I164" s="78">
        <v>84.6</v>
      </c>
      <c r="J164" s="78">
        <v>2.4</v>
      </c>
      <c r="K164" s="78">
        <v>8.8000000000000007</v>
      </c>
      <c r="L164" s="78">
        <v>3.3</v>
      </c>
      <c r="M164" s="78" t="s">
        <v>1615</v>
      </c>
      <c r="N164" s="78">
        <v>0</v>
      </c>
      <c r="O164" s="78">
        <v>0.9</v>
      </c>
      <c r="P164" s="78">
        <v>0.28999999999999998</v>
      </c>
      <c r="Q164" s="78">
        <v>0.35</v>
      </c>
      <c r="R164" s="78">
        <v>0.26</v>
      </c>
      <c r="S164" s="78" t="s">
        <v>1615</v>
      </c>
      <c r="T164" s="78">
        <v>61.3</v>
      </c>
      <c r="U164" s="78" t="s">
        <v>1615</v>
      </c>
      <c r="V164" s="78" t="s">
        <v>1615</v>
      </c>
      <c r="W164" s="78" t="s">
        <v>1615</v>
      </c>
      <c r="X164" s="78" t="s">
        <v>1615</v>
      </c>
      <c r="Y164" s="78" t="s">
        <v>1615</v>
      </c>
      <c r="Z164" s="78" t="s">
        <v>1615</v>
      </c>
      <c r="AA164" s="78" t="s">
        <v>1615</v>
      </c>
      <c r="AB164" s="78" t="s">
        <v>1615</v>
      </c>
      <c r="AC164" s="78" t="s">
        <v>1615</v>
      </c>
      <c r="AD164" s="78" t="s">
        <v>1615</v>
      </c>
      <c r="AE164" s="78" t="s">
        <v>1615</v>
      </c>
      <c r="AF164" s="78" t="s">
        <v>1615</v>
      </c>
      <c r="AG164" s="78" t="s">
        <v>1615</v>
      </c>
      <c r="AH164" s="78" t="s">
        <v>1615</v>
      </c>
      <c r="AI164" s="78">
        <v>57</v>
      </c>
      <c r="AJ164" s="78">
        <v>108</v>
      </c>
      <c r="AK164" s="78" t="s">
        <v>1615</v>
      </c>
      <c r="AL164" s="78">
        <v>16</v>
      </c>
      <c r="AM164" s="78" t="s">
        <v>1615</v>
      </c>
      <c r="AN164" s="78" t="s">
        <v>1615</v>
      </c>
      <c r="AO164" s="78" t="s">
        <v>1615</v>
      </c>
    </row>
    <row r="165" spans="1:41">
      <c r="A165" s="78" t="s">
        <v>1923</v>
      </c>
      <c r="B165" s="78" t="s">
        <v>1558</v>
      </c>
      <c r="C165" s="78" t="s">
        <v>366</v>
      </c>
      <c r="D165" s="78" t="s">
        <v>1911</v>
      </c>
      <c r="E165" s="78" t="s">
        <v>1924</v>
      </c>
      <c r="F165" s="78" t="s">
        <v>516</v>
      </c>
      <c r="G165" s="78" t="s">
        <v>1614</v>
      </c>
      <c r="H165" s="78">
        <v>85</v>
      </c>
      <c r="I165" s="78">
        <v>78.5</v>
      </c>
      <c r="J165" s="78">
        <v>1.2</v>
      </c>
      <c r="K165" s="78">
        <v>20.100000000000001</v>
      </c>
      <c r="L165" s="78">
        <v>0</v>
      </c>
      <c r="M165" s="78" t="s">
        <v>1615</v>
      </c>
      <c r="N165" s="78" t="s">
        <v>1615</v>
      </c>
      <c r="O165" s="78">
        <v>0.5</v>
      </c>
      <c r="P165" s="78">
        <v>0.1</v>
      </c>
      <c r="Q165" s="78">
        <v>0.09</v>
      </c>
      <c r="R165" s="78">
        <v>0.15</v>
      </c>
      <c r="S165" s="78" t="s">
        <v>1615</v>
      </c>
      <c r="T165" s="78">
        <v>161</v>
      </c>
      <c r="U165" s="78" t="s">
        <v>1615</v>
      </c>
      <c r="V165" s="78" t="s">
        <v>1615</v>
      </c>
      <c r="W165" s="78" t="s">
        <v>1615</v>
      </c>
      <c r="X165" s="78" t="s">
        <v>1615</v>
      </c>
      <c r="Y165" s="78" t="s">
        <v>1615</v>
      </c>
      <c r="Z165" s="78" t="s">
        <v>1615</v>
      </c>
      <c r="AA165" s="78" t="s">
        <v>1615</v>
      </c>
      <c r="AB165" s="78" t="s">
        <v>1615</v>
      </c>
      <c r="AC165" s="78" t="s">
        <v>1615</v>
      </c>
      <c r="AD165" s="78" t="s">
        <v>1615</v>
      </c>
      <c r="AE165" s="78" t="s">
        <v>1615</v>
      </c>
      <c r="AF165" s="78" t="s">
        <v>1615</v>
      </c>
      <c r="AG165" s="78">
        <v>119</v>
      </c>
      <c r="AH165" s="78">
        <v>264</v>
      </c>
      <c r="AI165" s="78">
        <v>64</v>
      </c>
      <c r="AJ165" s="78">
        <v>214</v>
      </c>
      <c r="AK165" s="78">
        <v>35</v>
      </c>
      <c r="AL165" s="78">
        <v>0.5</v>
      </c>
      <c r="AM165" s="78">
        <v>1.3</v>
      </c>
      <c r="AN165" s="78">
        <v>0.4</v>
      </c>
      <c r="AO165" s="78" t="s">
        <v>1615</v>
      </c>
    </row>
    <row r="166" spans="1:41">
      <c r="A166" s="78" t="s">
        <v>1925</v>
      </c>
      <c r="B166" s="78" t="s">
        <v>1558</v>
      </c>
      <c r="C166" s="78" t="s">
        <v>366</v>
      </c>
      <c r="D166" s="78" t="s">
        <v>1913</v>
      </c>
      <c r="E166" s="78" t="s">
        <v>1926</v>
      </c>
      <c r="F166" s="78" t="s">
        <v>516</v>
      </c>
      <c r="G166" s="78" t="s">
        <v>1614</v>
      </c>
      <c r="H166" s="78">
        <v>110</v>
      </c>
      <c r="I166" s="78">
        <v>72.599999999999994</v>
      </c>
      <c r="J166" s="78">
        <v>2</v>
      </c>
      <c r="K166" s="78">
        <v>23.7</v>
      </c>
      <c r="L166" s="78">
        <v>0</v>
      </c>
      <c r="M166" s="78" t="s">
        <v>1615</v>
      </c>
      <c r="N166" s="78">
        <v>0</v>
      </c>
      <c r="O166" s="78">
        <v>1.7</v>
      </c>
      <c r="P166" s="78" t="s">
        <v>1615</v>
      </c>
      <c r="Q166" s="78" t="s">
        <v>1615</v>
      </c>
      <c r="R166" s="78" t="s">
        <v>1615</v>
      </c>
      <c r="S166" s="78" t="s">
        <v>1615</v>
      </c>
      <c r="T166" s="78" t="s">
        <v>1615</v>
      </c>
      <c r="U166" s="78" t="s">
        <v>1615</v>
      </c>
      <c r="V166" s="78" t="s">
        <v>1615</v>
      </c>
      <c r="W166" s="78" t="s">
        <v>1615</v>
      </c>
      <c r="X166" s="78" t="s">
        <v>1615</v>
      </c>
      <c r="Y166" s="78" t="s">
        <v>1615</v>
      </c>
      <c r="Z166" s="78" t="s">
        <v>1615</v>
      </c>
      <c r="AA166" s="78" t="s">
        <v>1615</v>
      </c>
      <c r="AB166" s="78" t="s">
        <v>1615</v>
      </c>
      <c r="AC166" s="78" t="s">
        <v>1615</v>
      </c>
      <c r="AD166" s="78" t="s">
        <v>1615</v>
      </c>
      <c r="AE166" s="78" t="s">
        <v>1615</v>
      </c>
      <c r="AF166" s="78" t="s">
        <v>1615</v>
      </c>
      <c r="AG166" s="78">
        <v>240</v>
      </c>
      <c r="AH166" s="78">
        <v>121</v>
      </c>
      <c r="AI166" s="78">
        <v>25</v>
      </c>
      <c r="AJ166" s="78">
        <v>229</v>
      </c>
      <c r="AK166" s="78" t="s">
        <v>1615</v>
      </c>
      <c r="AL166" s="78">
        <v>2.1</v>
      </c>
      <c r="AM166" s="78" t="s">
        <v>1615</v>
      </c>
      <c r="AN166" s="78" t="s">
        <v>1615</v>
      </c>
      <c r="AO166" s="78" t="s">
        <v>1615</v>
      </c>
    </row>
    <row r="167" spans="1:41">
      <c r="A167" s="78" t="s">
        <v>1927</v>
      </c>
      <c r="B167" s="78" t="s">
        <v>1558</v>
      </c>
      <c r="C167" s="78" t="s">
        <v>366</v>
      </c>
      <c r="D167" s="78" t="s">
        <v>1915</v>
      </c>
      <c r="E167" s="78" t="s">
        <v>1928</v>
      </c>
      <c r="F167" s="78" t="s">
        <v>516</v>
      </c>
      <c r="G167" s="78" t="s">
        <v>1614</v>
      </c>
      <c r="H167" s="78">
        <v>87</v>
      </c>
      <c r="I167" s="78">
        <v>79.3</v>
      </c>
      <c r="J167" s="78">
        <v>1.4</v>
      </c>
      <c r="K167" s="78">
        <v>14.5</v>
      </c>
      <c r="L167" s="78">
        <v>0.2</v>
      </c>
      <c r="M167" s="78">
        <v>0</v>
      </c>
      <c r="N167" s="78" t="s">
        <v>1615</v>
      </c>
      <c r="O167" s="78">
        <v>1.8</v>
      </c>
      <c r="P167" s="78">
        <v>0.28000000000000003</v>
      </c>
      <c r="Q167" s="78">
        <v>0.28000000000000003</v>
      </c>
      <c r="R167" s="78">
        <v>0.64</v>
      </c>
      <c r="S167" s="78">
        <v>0</v>
      </c>
      <c r="T167" s="78" t="s">
        <v>1615</v>
      </c>
      <c r="U167" s="78" t="s">
        <v>1615</v>
      </c>
      <c r="V167" s="78" t="s">
        <v>1615</v>
      </c>
      <c r="W167" s="78" t="s">
        <v>1615</v>
      </c>
      <c r="X167" s="78" t="s">
        <v>1615</v>
      </c>
      <c r="Y167" s="78" t="s">
        <v>1615</v>
      </c>
      <c r="Z167" s="78" t="s">
        <v>1615</v>
      </c>
      <c r="AA167" s="78" t="s">
        <v>1615</v>
      </c>
      <c r="AB167" s="78" t="s">
        <v>1615</v>
      </c>
      <c r="AC167" s="78" t="s">
        <v>1615</v>
      </c>
      <c r="AD167" s="78" t="s">
        <v>1615</v>
      </c>
      <c r="AE167" s="78" t="s">
        <v>1615</v>
      </c>
      <c r="AF167" s="78" t="s">
        <v>1615</v>
      </c>
      <c r="AG167" s="78">
        <v>446</v>
      </c>
      <c r="AH167" s="78" t="s">
        <v>1615</v>
      </c>
      <c r="AI167" s="78" t="s">
        <v>1615</v>
      </c>
      <c r="AJ167" s="78" t="s">
        <v>1615</v>
      </c>
      <c r="AK167" s="78" t="s">
        <v>1615</v>
      </c>
      <c r="AL167" s="78" t="s">
        <v>1615</v>
      </c>
      <c r="AM167" s="78" t="s">
        <v>1615</v>
      </c>
      <c r="AN167" s="78" t="s">
        <v>1615</v>
      </c>
      <c r="AO167" s="78" t="s">
        <v>1615</v>
      </c>
    </row>
    <row r="168" spans="1:41">
      <c r="A168" s="78" t="s">
        <v>1929</v>
      </c>
      <c r="B168" s="78" t="s">
        <v>1558</v>
      </c>
      <c r="C168" s="78" t="s">
        <v>366</v>
      </c>
      <c r="D168" s="78" t="s">
        <v>1917</v>
      </c>
      <c r="E168" s="78" t="s">
        <v>1930</v>
      </c>
      <c r="F168" s="78" t="s">
        <v>516</v>
      </c>
      <c r="G168" s="78" t="s">
        <v>1614</v>
      </c>
      <c r="H168" s="78">
        <v>71</v>
      </c>
      <c r="I168" s="78">
        <v>82.6</v>
      </c>
      <c r="J168" s="78">
        <v>1.3</v>
      </c>
      <c r="K168" s="78">
        <v>17.399999999999999</v>
      </c>
      <c r="L168" s="78">
        <v>0</v>
      </c>
      <c r="M168" s="78">
        <v>0</v>
      </c>
      <c r="N168" s="78" t="s">
        <v>1615</v>
      </c>
      <c r="O168" s="78">
        <v>1.5</v>
      </c>
      <c r="P168" s="78">
        <v>0.24</v>
      </c>
      <c r="Q168" s="78">
        <v>0.32</v>
      </c>
      <c r="R168" s="78">
        <v>0.53</v>
      </c>
      <c r="S168" s="78" t="s">
        <v>1615</v>
      </c>
      <c r="T168" s="78" t="s">
        <v>1615</v>
      </c>
      <c r="U168" s="78" t="s">
        <v>1615</v>
      </c>
      <c r="V168" s="78" t="s">
        <v>1615</v>
      </c>
      <c r="W168" s="78" t="s">
        <v>1615</v>
      </c>
      <c r="X168" s="78" t="s">
        <v>1615</v>
      </c>
      <c r="Y168" s="78" t="s">
        <v>1615</v>
      </c>
      <c r="Z168" s="78" t="s">
        <v>1615</v>
      </c>
      <c r="AA168" s="78" t="s">
        <v>1615</v>
      </c>
      <c r="AB168" s="78" t="s">
        <v>1615</v>
      </c>
      <c r="AC168" s="78" t="s">
        <v>1615</v>
      </c>
      <c r="AD168" s="78" t="s">
        <v>1615</v>
      </c>
      <c r="AE168" s="78" t="s">
        <v>1615</v>
      </c>
      <c r="AF168" s="78" t="s">
        <v>1615</v>
      </c>
      <c r="AG168" s="78">
        <v>312</v>
      </c>
      <c r="AH168" s="78" t="s">
        <v>1615</v>
      </c>
      <c r="AI168" s="78" t="s">
        <v>1615</v>
      </c>
      <c r="AJ168" s="78" t="s">
        <v>1615</v>
      </c>
      <c r="AK168" s="78" t="s">
        <v>1615</v>
      </c>
      <c r="AL168" s="78" t="s">
        <v>1615</v>
      </c>
      <c r="AM168" s="78" t="s">
        <v>1615</v>
      </c>
      <c r="AN168" s="78" t="s">
        <v>1615</v>
      </c>
      <c r="AO168" s="78" t="s">
        <v>1615</v>
      </c>
    </row>
    <row r="169" spans="1:41">
      <c r="A169" s="78" t="s">
        <v>1931</v>
      </c>
      <c r="B169" s="78" t="s">
        <v>1558</v>
      </c>
      <c r="C169" s="78" t="s">
        <v>366</v>
      </c>
      <c r="D169" s="78" t="s">
        <v>1919</v>
      </c>
      <c r="E169" s="78" t="s">
        <v>1932</v>
      </c>
      <c r="F169" s="78" t="s">
        <v>516</v>
      </c>
      <c r="G169" s="78" t="s">
        <v>1614</v>
      </c>
      <c r="H169" s="78">
        <v>115</v>
      </c>
      <c r="I169" s="78">
        <v>72</v>
      </c>
      <c r="J169" s="78">
        <v>2.8</v>
      </c>
      <c r="K169" s="78">
        <v>18.3</v>
      </c>
      <c r="L169" s="78">
        <v>3.8</v>
      </c>
      <c r="M169" s="78" t="s">
        <v>1615</v>
      </c>
      <c r="N169" s="78">
        <v>0</v>
      </c>
      <c r="O169" s="78">
        <v>2.9</v>
      </c>
      <c r="P169" s="78" t="s">
        <v>1615</v>
      </c>
      <c r="Q169" s="78" t="s">
        <v>1615</v>
      </c>
      <c r="R169" s="78" t="s">
        <v>1615</v>
      </c>
      <c r="S169" s="78" t="s">
        <v>1615</v>
      </c>
      <c r="T169" s="78">
        <v>9.6999999999999993</v>
      </c>
      <c r="U169" s="78" t="s">
        <v>1615</v>
      </c>
      <c r="V169" s="78" t="s">
        <v>1615</v>
      </c>
      <c r="W169" s="78" t="s">
        <v>1615</v>
      </c>
      <c r="X169" s="78" t="s">
        <v>1615</v>
      </c>
      <c r="Y169" s="78" t="s">
        <v>1615</v>
      </c>
      <c r="Z169" s="78" t="s">
        <v>1615</v>
      </c>
      <c r="AA169" s="78" t="s">
        <v>1615</v>
      </c>
      <c r="AB169" s="78" t="s">
        <v>1615</v>
      </c>
      <c r="AC169" s="78" t="s">
        <v>1615</v>
      </c>
      <c r="AD169" s="78" t="s">
        <v>1615</v>
      </c>
      <c r="AE169" s="78" t="s">
        <v>1615</v>
      </c>
      <c r="AF169" s="78" t="s">
        <v>1615</v>
      </c>
      <c r="AG169" s="78">
        <v>542</v>
      </c>
      <c r="AH169" s="78">
        <v>254</v>
      </c>
      <c r="AI169" s="78">
        <v>226</v>
      </c>
      <c r="AJ169" s="78">
        <v>394</v>
      </c>
      <c r="AK169" s="78" t="s">
        <v>1615</v>
      </c>
      <c r="AL169" s="78">
        <v>2.9</v>
      </c>
      <c r="AM169" s="78" t="s">
        <v>1615</v>
      </c>
      <c r="AN169" s="78" t="s">
        <v>1615</v>
      </c>
      <c r="AO169" s="78" t="s">
        <v>1615</v>
      </c>
    </row>
    <row r="170" spans="1:41">
      <c r="A170" s="78" t="s">
        <v>1933</v>
      </c>
      <c r="B170" s="78" t="s">
        <v>1558</v>
      </c>
      <c r="C170" s="78" t="s">
        <v>366</v>
      </c>
      <c r="D170" s="78" t="s">
        <v>1921</v>
      </c>
      <c r="E170" s="78" t="s">
        <v>1934</v>
      </c>
      <c r="F170" s="78" t="s">
        <v>516</v>
      </c>
      <c r="G170" s="78" t="s">
        <v>1614</v>
      </c>
      <c r="H170" s="78">
        <v>120</v>
      </c>
      <c r="I170" s="78" t="s">
        <v>1615</v>
      </c>
      <c r="J170" s="78" t="s">
        <v>1615</v>
      </c>
      <c r="K170" s="78">
        <v>28</v>
      </c>
      <c r="L170" s="78">
        <v>0</v>
      </c>
      <c r="M170" s="78">
        <v>0</v>
      </c>
      <c r="N170" s="78" t="s">
        <v>1615</v>
      </c>
      <c r="O170" s="78">
        <v>1.4</v>
      </c>
      <c r="P170" s="78">
        <v>0.5</v>
      </c>
      <c r="Q170" s="78">
        <v>0.3</v>
      </c>
      <c r="R170" s="78">
        <v>0.6</v>
      </c>
      <c r="S170" s="78">
        <v>0.1</v>
      </c>
      <c r="T170" s="78">
        <v>56</v>
      </c>
      <c r="U170" s="78" t="s">
        <v>1615</v>
      </c>
      <c r="V170" s="78" t="s">
        <v>1615</v>
      </c>
      <c r="W170" s="78" t="s">
        <v>1615</v>
      </c>
      <c r="X170" s="78" t="s">
        <v>1615</v>
      </c>
      <c r="Y170" s="78" t="s">
        <v>1615</v>
      </c>
      <c r="Z170" s="78" t="s">
        <v>1615</v>
      </c>
      <c r="AA170" s="78" t="s">
        <v>1615</v>
      </c>
      <c r="AB170" s="78" t="s">
        <v>1615</v>
      </c>
      <c r="AC170" s="78" t="s">
        <v>1615</v>
      </c>
      <c r="AD170" s="78" t="s">
        <v>1615</v>
      </c>
      <c r="AE170" s="78" t="s">
        <v>1615</v>
      </c>
      <c r="AF170" s="78" t="s">
        <v>1615</v>
      </c>
      <c r="AG170" s="78">
        <v>500</v>
      </c>
      <c r="AH170" s="78" t="s">
        <v>1615</v>
      </c>
      <c r="AI170" s="78" t="s">
        <v>1615</v>
      </c>
      <c r="AJ170" s="78" t="s">
        <v>1615</v>
      </c>
      <c r="AK170" s="78" t="s">
        <v>1615</v>
      </c>
      <c r="AL170" s="78" t="s">
        <v>1615</v>
      </c>
      <c r="AM170" s="78" t="s">
        <v>1615</v>
      </c>
      <c r="AN170" s="78" t="s">
        <v>1615</v>
      </c>
      <c r="AO170" s="78" t="s">
        <v>1615</v>
      </c>
    </row>
    <row r="171" spans="1:41">
      <c r="A171" s="78" t="s">
        <v>1935</v>
      </c>
      <c r="B171" s="78" t="s">
        <v>1558</v>
      </c>
      <c r="C171" s="78" t="s">
        <v>366</v>
      </c>
      <c r="D171" s="78" t="s">
        <v>1923</v>
      </c>
      <c r="E171" s="78" t="s">
        <v>1936</v>
      </c>
      <c r="F171" s="78" t="s">
        <v>516</v>
      </c>
      <c r="G171" s="78" t="s">
        <v>1614</v>
      </c>
      <c r="H171" s="78">
        <v>131</v>
      </c>
      <c r="I171" s="78">
        <v>71.3</v>
      </c>
      <c r="J171" s="78" t="s">
        <v>1615</v>
      </c>
      <c r="K171" s="78">
        <v>29.6</v>
      </c>
      <c r="L171" s="78">
        <v>0</v>
      </c>
      <c r="M171" s="78" t="s">
        <v>1615</v>
      </c>
      <c r="N171" s="78">
        <v>0</v>
      </c>
      <c r="O171" s="78">
        <v>0.5</v>
      </c>
      <c r="P171" s="78">
        <v>0.16</v>
      </c>
      <c r="Q171" s="78">
        <v>0.14000000000000001</v>
      </c>
      <c r="R171" s="78">
        <v>0.13</v>
      </c>
      <c r="S171" s="78" t="s">
        <v>1615</v>
      </c>
      <c r="T171" s="78">
        <v>18</v>
      </c>
      <c r="U171" s="78">
        <v>23</v>
      </c>
      <c r="V171" s="78" t="s">
        <v>1615</v>
      </c>
      <c r="W171" s="78" t="s">
        <v>1615</v>
      </c>
      <c r="X171" s="78" t="s">
        <v>1615</v>
      </c>
      <c r="Y171" s="78" t="s">
        <v>1615</v>
      </c>
      <c r="Z171" s="78">
        <v>0</v>
      </c>
      <c r="AA171" s="78" t="s">
        <v>1615</v>
      </c>
      <c r="AB171" s="78">
        <v>12.4</v>
      </c>
      <c r="AC171" s="78">
        <v>0.4</v>
      </c>
      <c r="AD171" s="78" t="s">
        <v>1615</v>
      </c>
      <c r="AE171" s="78" t="s">
        <v>1615</v>
      </c>
      <c r="AF171" s="78" t="s">
        <v>1615</v>
      </c>
      <c r="AG171" s="78">
        <v>356</v>
      </c>
      <c r="AH171" s="78">
        <v>314</v>
      </c>
      <c r="AI171" s="78">
        <v>12</v>
      </c>
      <c r="AJ171" s="78">
        <v>185</v>
      </c>
      <c r="AK171" s="78">
        <v>29</v>
      </c>
      <c r="AL171" s="78">
        <v>3.2</v>
      </c>
      <c r="AM171" s="78">
        <v>0.4</v>
      </c>
      <c r="AN171" s="78">
        <v>0</v>
      </c>
      <c r="AO171" s="78">
        <v>72.099999999999994</v>
      </c>
    </row>
    <row r="172" spans="1:41">
      <c r="A172" s="78" t="s">
        <v>1937</v>
      </c>
      <c r="B172" s="78" t="s">
        <v>1558</v>
      </c>
      <c r="C172" s="78" t="s">
        <v>366</v>
      </c>
      <c r="D172" s="78" t="s">
        <v>1925</v>
      </c>
      <c r="E172" s="78" t="s">
        <v>1938</v>
      </c>
      <c r="F172" s="78" t="s">
        <v>516</v>
      </c>
      <c r="G172" s="78" t="s">
        <v>1614</v>
      </c>
      <c r="H172" s="78">
        <v>198</v>
      </c>
      <c r="I172" s="78">
        <v>59.9</v>
      </c>
      <c r="J172" s="78">
        <v>2.8</v>
      </c>
      <c r="K172" s="78">
        <v>29.1</v>
      </c>
      <c r="L172" s="78">
        <v>0</v>
      </c>
      <c r="M172" s="78">
        <v>0</v>
      </c>
      <c r="N172" s="78">
        <v>0</v>
      </c>
      <c r="O172" s="78">
        <v>8.1999999999999993</v>
      </c>
      <c r="P172" s="78">
        <v>1.53</v>
      </c>
      <c r="Q172" s="78">
        <v>2.95</v>
      </c>
      <c r="R172" s="78">
        <v>2.89</v>
      </c>
      <c r="S172" s="78" t="s">
        <v>1615</v>
      </c>
      <c r="T172" s="78">
        <v>18</v>
      </c>
      <c r="U172" s="78">
        <v>23</v>
      </c>
      <c r="V172" s="78">
        <v>0</v>
      </c>
      <c r="W172" s="78">
        <v>6.7</v>
      </c>
      <c r="X172" s="78">
        <v>0.9</v>
      </c>
      <c r="Y172" s="78">
        <v>44</v>
      </c>
      <c r="Z172" s="78">
        <v>0</v>
      </c>
      <c r="AA172" s="78">
        <v>0.1</v>
      </c>
      <c r="AB172" s="78">
        <v>12.4</v>
      </c>
      <c r="AC172" s="78">
        <v>0.4</v>
      </c>
      <c r="AD172" s="78">
        <v>2.2000000000000002</v>
      </c>
      <c r="AE172" s="78">
        <v>5</v>
      </c>
      <c r="AF172" s="78" t="s">
        <v>1615</v>
      </c>
      <c r="AG172" s="78">
        <v>416</v>
      </c>
      <c r="AH172" s="78">
        <v>207</v>
      </c>
      <c r="AI172" s="78">
        <v>13</v>
      </c>
      <c r="AJ172" s="78">
        <v>311</v>
      </c>
      <c r="AK172" s="78">
        <v>31</v>
      </c>
      <c r="AL172" s="78">
        <v>1.4</v>
      </c>
      <c r="AM172" s="78">
        <v>0.9</v>
      </c>
      <c r="AN172" s="78">
        <v>0.1</v>
      </c>
      <c r="AO172" s="78">
        <v>76</v>
      </c>
    </row>
    <row r="173" spans="1:41">
      <c r="A173" s="78" t="s">
        <v>1939</v>
      </c>
      <c r="B173" s="78" t="s">
        <v>1558</v>
      </c>
      <c r="C173" s="78" t="s">
        <v>366</v>
      </c>
      <c r="D173" s="78" t="s">
        <v>1927</v>
      </c>
      <c r="E173" s="78" t="s">
        <v>1940</v>
      </c>
      <c r="F173" s="78" t="s">
        <v>516</v>
      </c>
      <c r="G173" s="78" t="s">
        <v>1614</v>
      </c>
      <c r="H173" s="78">
        <v>187</v>
      </c>
      <c r="I173" s="78">
        <v>68.2</v>
      </c>
      <c r="J173" s="78">
        <v>1.1000000000000001</v>
      </c>
      <c r="K173" s="78">
        <v>17.2</v>
      </c>
      <c r="L173" s="78">
        <v>0.6</v>
      </c>
      <c r="M173" s="78" t="s">
        <v>1615</v>
      </c>
      <c r="N173" s="78">
        <v>0</v>
      </c>
      <c r="O173" s="78">
        <v>12.9</v>
      </c>
      <c r="P173" s="78" t="s">
        <v>1615</v>
      </c>
      <c r="Q173" s="78" t="s">
        <v>1615</v>
      </c>
      <c r="R173" s="78" t="s">
        <v>1615</v>
      </c>
      <c r="S173" s="78" t="s">
        <v>1615</v>
      </c>
      <c r="T173" s="78">
        <v>45.8</v>
      </c>
      <c r="U173" s="78" t="s">
        <v>1615</v>
      </c>
      <c r="V173" s="78" t="s">
        <v>1615</v>
      </c>
      <c r="W173" s="78" t="s">
        <v>1615</v>
      </c>
      <c r="X173" s="78" t="s">
        <v>1615</v>
      </c>
      <c r="Y173" s="78" t="s">
        <v>1615</v>
      </c>
      <c r="Z173" s="78" t="s">
        <v>1615</v>
      </c>
      <c r="AA173" s="78" t="s">
        <v>1615</v>
      </c>
      <c r="AB173" s="78" t="s">
        <v>1615</v>
      </c>
      <c r="AC173" s="78" t="s">
        <v>1615</v>
      </c>
      <c r="AD173" s="78" t="s">
        <v>1615</v>
      </c>
      <c r="AE173" s="78" t="s">
        <v>1615</v>
      </c>
      <c r="AF173" s="78" t="s">
        <v>1615</v>
      </c>
      <c r="AG173" s="78">
        <v>61</v>
      </c>
      <c r="AH173" s="78">
        <v>401</v>
      </c>
      <c r="AI173" s="78" t="s">
        <v>1615</v>
      </c>
      <c r="AJ173" s="78" t="s">
        <v>1615</v>
      </c>
      <c r="AK173" s="78" t="s">
        <v>1615</v>
      </c>
      <c r="AL173" s="78" t="s">
        <v>1615</v>
      </c>
      <c r="AM173" s="78" t="s">
        <v>1615</v>
      </c>
      <c r="AN173" s="78" t="s">
        <v>1615</v>
      </c>
      <c r="AO173" s="78" t="s">
        <v>1615</v>
      </c>
    </row>
    <row r="174" spans="1:41">
      <c r="A174" s="78" t="s">
        <v>1941</v>
      </c>
      <c r="B174" s="78" t="s">
        <v>1558</v>
      </c>
      <c r="C174" s="78" t="s">
        <v>366</v>
      </c>
      <c r="D174" s="78" t="s">
        <v>1929</v>
      </c>
      <c r="E174" s="78" t="s">
        <v>1942</v>
      </c>
      <c r="F174" s="78" t="s">
        <v>516</v>
      </c>
      <c r="G174" s="78" t="s">
        <v>1614</v>
      </c>
      <c r="H174" s="78">
        <v>77</v>
      </c>
      <c r="I174" s="78">
        <v>80</v>
      </c>
      <c r="J174" s="78">
        <v>1.1000000000000001</v>
      </c>
      <c r="K174" s="78">
        <v>15.5</v>
      </c>
      <c r="L174" s="78">
        <v>3.2</v>
      </c>
      <c r="M174" s="78" t="s">
        <v>1615</v>
      </c>
      <c r="N174" s="78">
        <v>0</v>
      </c>
      <c r="O174" s="78">
        <v>0.2</v>
      </c>
      <c r="P174" s="78" t="s">
        <v>1615</v>
      </c>
      <c r="Q174" s="78" t="s">
        <v>1615</v>
      </c>
      <c r="R174" s="78" t="s">
        <v>1615</v>
      </c>
      <c r="S174" s="78" t="s">
        <v>1615</v>
      </c>
      <c r="T174" s="78" t="s">
        <v>1615</v>
      </c>
      <c r="U174" s="78" t="s">
        <v>1615</v>
      </c>
      <c r="V174" s="78" t="s">
        <v>1615</v>
      </c>
      <c r="W174" s="78" t="s">
        <v>1615</v>
      </c>
      <c r="X174" s="78" t="s">
        <v>1615</v>
      </c>
      <c r="Y174" s="78" t="s">
        <v>1615</v>
      </c>
      <c r="Z174" s="78">
        <v>0.2</v>
      </c>
      <c r="AA174" s="78" t="s">
        <v>1615</v>
      </c>
      <c r="AB174" s="78" t="s">
        <v>1615</v>
      </c>
      <c r="AC174" s="78" t="s">
        <v>1615</v>
      </c>
      <c r="AD174" s="78" t="s">
        <v>1615</v>
      </c>
      <c r="AE174" s="78" t="s">
        <v>1615</v>
      </c>
      <c r="AF174" s="78" t="s">
        <v>1615</v>
      </c>
      <c r="AG174" s="78" t="s">
        <v>1615</v>
      </c>
      <c r="AH174" s="78" t="s">
        <v>1615</v>
      </c>
      <c r="AI174" s="78">
        <v>63</v>
      </c>
      <c r="AJ174" s="78">
        <v>173</v>
      </c>
      <c r="AK174" s="78" t="s">
        <v>1615</v>
      </c>
      <c r="AL174" s="78">
        <v>1.2</v>
      </c>
      <c r="AM174" s="78" t="s">
        <v>1615</v>
      </c>
      <c r="AN174" s="78" t="s">
        <v>1615</v>
      </c>
      <c r="AO174" s="78" t="s">
        <v>1615</v>
      </c>
    </row>
    <row r="175" spans="1:41">
      <c r="A175" s="78" t="s">
        <v>1943</v>
      </c>
      <c r="B175" s="78" t="s">
        <v>1558</v>
      </c>
      <c r="C175" s="78" t="s">
        <v>366</v>
      </c>
      <c r="D175" s="78" t="s">
        <v>1931</v>
      </c>
      <c r="E175" s="78" t="s">
        <v>1944</v>
      </c>
      <c r="F175" s="78" t="s">
        <v>516</v>
      </c>
      <c r="G175" s="78" t="s">
        <v>1614</v>
      </c>
      <c r="H175" s="78">
        <v>155</v>
      </c>
      <c r="I175" s="78">
        <v>66.900000000000006</v>
      </c>
      <c r="J175" s="78">
        <v>2.5</v>
      </c>
      <c r="K175" s="78">
        <v>23.8</v>
      </c>
      <c r="L175" s="78">
        <v>0.3</v>
      </c>
      <c r="M175" s="78" t="s">
        <v>1615</v>
      </c>
      <c r="N175" s="78">
        <v>0</v>
      </c>
      <c r="O175" s="78">
        <v>6.5</v>
      </c>
      <c r="P175" s="78">
        <v>2.19</v>
      </c>
      <c r="Q175" s="78">
        <v>1.48</v>
      </c>
      <c r="R175" s="78">
        <v>2.81</v>
      </c>
      <c r="S175" s="78" t="s">
        <v>1615</v>
      </c>
      <c r="T175" s="78">
        <v>73</v>
      </c>
      <c r="U175" s="78" t="s">
        <v>1615</v>
      </c>
      <c r="V175" s="78" t="s">
        <v>1615</v>
      </c>
      <c r="W175" s="78" t="s">
        <v>1615</v>
      </c>
      <c r="X175" s="78" t="s">
        <v>1615</v>
      </c>
      <c r="Y175" s="78" t="s">
        <v>1615</v>
      </c>
      <c r="Z175" s="78">
        <v>0</v>
      </c>
      <c r="AA175" s="78">
        <v>0.2</v>
      </c>
      <c r="AB175" s="78" t="s">
        <v>1615</v>
      </c>
      <c r="AC175" s="78" t="s">
        <v>1615</v>
      </c>
      <c r="AD175" s="78" t="s">
        <v>1615</v>
      </c>
      <c r="AE175" s="78" t="s">
        <v>1615</v>
      </c>
      <c r="AF175" s="78" t="s">
        <v>1615</v>
      </c>
      <c r="AG175" s="78">
        <v>444</v>
      </c>
      <c r="AH175" s="78">
        <v>293</v>
      </c>
      <c r="AI175" s="78">
        <v>21</v>
      </c>
      <c r="AJ175" s="78">
        <v>246</v>
      </c>
      <c r="AK175" s="78" t="s">
        <v>1615</v>
      </c>
      <c r="AL175" s="78">
        <v>1.6</v>
      </c>
      <c r="AM175" s="78" t="s">
        <v>1615</v>
      </c>
      <c r="AN175" s="78" t="s">
        <v>1615</v>
      </c>
      <c r="AO175" s="78" t="s">
        <v>1615</v>
      </c>
    </row>
    <row r="176" spans="1:41">
      <c r="A176" s="78" t="s">
        <v>1945</v>
      </c>
      <c r="B176" s="78" t="s">
        <v>1558</v>
      </c>
      <c r="C176" s="78" t="s">
        <v>366</v>
      </c>
      <c r="D176" s="78" t="s">
        <v>1933</v>
      </c>
      <c r="E176" s="78" t="s">
        <v>1946</v>
      </c>
      <c r="F176" s="78" t="s">
        <v>516</v>
      </c>
      <c r="G176" s="78" t="s">
        <v>1614</v>
      </c>
      <c r="H176" s="78">
        <v>280</v>
      </c>
      <c r="I176" s="78">
        <v>54.3</v>
      </c>
      <c r="J176" s="78">
        <v>2</v>
      </c>
      <c r="K176" s="78">
        <v>22</v>
      </c>
      <c r="L176" s="78">
        <v>0.7</v>
      </c>
      <c r="M176" s="78" t="s">
        <v>1615</v>
      </c>
      <c r="N176" s="78">
        <v>0</v>
      </c>
      <c r="O176" s="78">
        <v>21</v>
      </c>
      <c r="P176" s="78">
        <v>7.08</v>
      </c>
      <c r="Q176" s="78">
        <v>4.7699999999999996</v>
      </c>
      <c r="R176" s="78">
        <v>9.07</v>
      </c>
      <c r="S176" s="78" t="s">
        <v>1615</v>
      </c>
      <c r="T176" s="78">
        <v>73</v>
      </c>
      <c r="U176" s="78" t="s">
        <v>1615</v>
      </c>
      <c r="V176" s="78" t="s">
        <v>1615</v>
      </c>
      <c r="W176" s="78" t="s">
        <v>1615</v>
      </c>
      <c r="X176" s="78" t="s">
        <v>1615</v>
      </c>
      <c r="Y176" s="78" t="s">
        <v>1615</v>
      </c>
      <c r="Z176" s="78">
        <v>0</v>
      </c>
      <c r="AA176" s="78">
        <v>0.2</v>
      </c>
      <c r="AB176" s="78" t="s">
        <v>1615</v>
      </c>
      <c r="AC176" s="78" t="s">
        <v>1615</v>
      </c>
      <c r="AD176" s="78" t="s">
        <v>1615</v>
      </c>
      <c r="AE176" s="78" t="s">
        <v>1615</v>
      </c>
      <c r="AF176" s="78" t="s">
        <v>1615</v>
      </c>
      <c r="AG176" s="78">
        <v>450</v>
      </c>
      <c r="AH176" s="78">
        <v>286</v>
      </c>
      <c r="AI176" s="78">
        <v>19</v>
      </c>
      <c r="AJ176" s="78">
        <v>119</v>
      </c>
      <c r="AK176" s="78" t="s">
        <v>1615</v>
      </c>
      <c r="AL176" s="78">
        <v>1</v>
      </c>
      <c r="AM176" s="78" t="s">
        <v>1615</v>
      </c>
      <c r="AN176" s="78" t="s">
        <v>1615</v>
      </c>
      <c r="AO176" s="78" t="s">
        <v>1615</v>
      </c>
    </row>
    <row r="177" spans="1:41">
      <c r="A177" s="78" t="s">
        <v>1947</v>
      </c>
      <c r="B177" s="78" t="s">
        <v>1558</v>
      </c>
      <c r="C177" s="78" t="s">
        <v>366</v>
      </c>
      <c r="D177" s="78" t="s">
        <v>1935</v>
      </c>
      <c r="E177" s="78" t="s">
        <v>1948</v>
      </c>
      <c r="F177" s="78" t="s">
        <v>516</v>
      </c>
      <c r="G177" s="78" t="s">
        <v>1614</v>
      </c>
      <c r="H177" s="78">
        <v>85</v>
      </c>
      <c r="I177" s="78">
        <v>78</v>
      </c>
      <c r="J177" s="78">
        <v>1.3</v>
      </c>
      <c r="K177" s="78">
        <v>18.899999999999999</v>
      </c>
      <c r="L177" s="78">
        <v>1.4</v>
      </c>
      <c r="M177" s="78" t="s">
        <v>1615</v>
      </c>
      <c r="N177" s="78">
        <v>0</v>
      </c>
      <c r="O177" s="78">
        <v>0.4</v>
      </c>
      <c r="P177" s="78">
        <v>0.28000000000000003</v>
      </c>
      <c r="Q177" s="78">
        <v>0.23</v>
      </c>
      <c r="R177" s="78">
        <v>0.33</v>
      </c>
      <c r="S177" s="78" t="s">
        <v>1615</v>
      </c>
      <c r="T177" s="78">
        <v>48.2</v>
      </c>
      <c r="U177" s="78">
        <v>9.4</v>
      </c>
      <c r="V177" s="78">
        <v>1.7</v>
      </c>
      <c r="W177" s="78" t="s">
        <v>1615</v>
      </c>
      <c r="X177" s="78" t="s">
        <v>1615</v>
      </c>
      <c r="Y177" s="78" t="s">
        <v>1615</v>
      </c>
      <c r="Z177" s="78">
        <v>0.1</v>
      </c>
      <c r="AA177" s="78">
        <v>0.1</v>
      </c>
      <c r="AB177" s="78">
        <v>2.9</v>
      </c>
      <c r="AC177" s="78">
        <v>0.3</v>
      </c>
      <c r="AD177" s="78">
        <v>0.5</v>
      </c>
      <c r="AE177" s="78">
        <v>1.5</v>
      </c>
      <c r="AF177" s="78">
        <v>8</v>
      </c>
      <c r="AG177" s="78">
        <v>81.2</v>
      </c>
      <c r="AH177" s="78">
        <v>361</v>
      </c>
      <c r="AI177" s="78">
        <v>40</v>
      </c>
      <c r="AJ177" s="78">
        <v>173</v>
      </c>
      <c r="AK177" s="78">
        <v>31.8</v>
      </c>
      <c r="AL177" s="78">
        <v>1.7</v>
      </c>
      <c r="AM177" s="78">
        <v>0.5</v>
      </c>
      <c r="AN177" s="78">
        <v>0</v>
      </c>
      <c r="AO177" s="78" t="s">
        <v>1615</v>
      </c>
    </row>
    <row r="178" spans="1:41">
      <c r="A178" s="78" t="s">
        <v>1949</v>
      </c>
      <c r="B178" s="78" t="s">
        <v>1558</v>
      </c>
      <c r="C178" s="78" t="s">
        <v>366</v>
      </c>
      <c r="D178" s="78" t="s">
        <v>1937</v>
      </c>
      <c r="E178" s="78" t="s">
        <v>1950</v>
      </c>
      <c r="F178" s="78" t="s">
        <v>516</v>
      </c>
      <c r="G178" s="78" t="s">
        <v>1614</v>
      </c>
      <c r="H178" s="78">
        <v>70</v>
      </c>
      <c r="I178" s="78">
        <v>84.6</v>
      </c>
      <c r="J178" s="78">
        <v>1.2</v>
      </c>
      <c r="K178" s="78">
        <v>12.4</v>
      </c>
      <c r="L178" s="78">
        <v>0</v>
      </c>
      <c r="M178" s="78">
        <v>0</v>
      </c>
      <c r="N178" s="78">
        <v>0</v>
      </c>
      <c r="O178" s="78">
        <v>1.9</v>
      </c>
      <c r="P178" s="78">
        <v>0.44</v>
      </c>
      <c r="Q178" s="78">
        <v>0.54</v>
      </c>
      <c r="R178" s="78">
        <v>0.37</v>
      </c>
      <c r="S178" s="78" t="s">
        <v>1615</v>
      </c>
      <c r="T178" s="78">
        <v>45</v>
      </c>
      <c r="U178" s="78">
        <v>10</v>
      </c>
      <c r="V178" s="78">
        <v>0</v>
      </c>
      <c r="W178" s="78">
        <v>2.8</v>
      </c>
      <c r="X178" s="78">
        <v>0.6</v>
      </c>
      <c r="Y178" s="78">
        <v>0.1</v>
      </c>
      <c r="Z178" s="78">
        <v>0</v>
      </c>
      <c r="AA178" s="78">
        <v>0</v>
      </c>
      <c r="AB178" s="78">
        <v>1</v>
      </c>
      <c r="AC178" s="78">
        <v>0.1</v>
      </c>
      <c r="AD178" s="78">
        <v>0.2</v>
      </c>
      <c r="AE178" s="78">
        <v>1.1000000000000001</v>
      </c>
      <c r="AF178" s="78">
        <v>5</v>
      </c>
      <c r="AG178" s="78">
        <v>296</v>
      </c>
      <c r="AH178" s="78">
        <v>160</v>
      </c>
      <c r="AI178" s="78">
        <v>21</v>
      </c>
      <c r="AJ178" s="78">
        <v>252</v>
      </c>
      <c r="AK178" s="78">
        <v>18</v>
      </c>
      <c r="AL178" s="78">
        <v>0.2</v>
      </c>
      <c r="AM178" s="78">
        <v>0.3</v>
      </c>
      <c r="AN178" s="78">
        <v>0</v>
      </c>
      <c r="AO178" s="78">
        <v>26.6</v>
      </c>
    </row>
    <row r="179" spans="1:41">
      <c r="A179" s="78" t="s">
        <v>1951</v>
      </c>
      <c r="B179" s="78" t="s">
        <v>1558</v>
      </c>
      <c r="C179" s="78" t="s">
        <v>366</v>
      </c>
      <c r="D179" s="78" t="s">
        <v>1939</v>
      </c>
      <c r="E179" s="78" t="s">
        <v>1952</v>
      </c>
      <c r="F179" s="78" t="s">
        <v>516</v>
      </c>
      <c r="G179" s="78" t="s">
        <v>1614</v>
      </c>
      <c r="H179" s="78">
        <v>89</v>
      </c>
      <c r="I179" s="78">
        <v>78.900000000000006</v>
      </c>
      <c r="J179" s="78">
        <v>1.4</v>
      </c>
      <c r="K179" s="78">
        <v>18.600000000000001</v>
      </c>
      <c r="L179" s="78">
        <v>0</v>
      </c>
      <c r="M179" s="78" t="s">
        <v>1615</v>
      </c>
      <c r="N179" s="78">
        <v>0</v>
      </c>
      <c r="O179" s="78">
        <v>1.1000000000000001</v>
      </c>
      <c r="P179" s="78">
        <v>0.18</v>
      </c>
      <c r="Q179" s="78">
        <v>0.22</v>
      </c>
      <c r="R179" s="78">
        <v>0.33</v>
      </c>
      <c r="S179" s="78" t="s">
        <v>1615</v>
      </c>
      <c r="T179" s="78">
        <v>139</v>
      </c>
      <c r="U179" s="78">
        <v>18</v>
      </c>
      <c r="V179" s="78">
        <v>3</v>
      </c>
      <c r="W179" s="78" t="s">
        <v>1615</v>
      </c>
      <c r="X179" s="78">
        <v>1.1000000000000001</v>
      </c>
      <c r="Y179" s="78" t="s">
        <v>1615</v>
      </c>
      <c r="Z179" s="78">
        <v>0.2</v>
      </c>
      <c r="AA179" s="78">
        <v>0.1</v>
      </c>
      <c r="AB179" s="78">
        <v>2.4</v>
      </c>
      <c r="AC179" s="78">
        <v>0.2</v>
      </c>
      <c r="AD179" s="78">
        <v>0.4</v>
      </c>
      <c r="AE179" s="78">
        <v>2.7</v>
      </c>
      <c r="AF179" s="78">
        <v>3</v>
      </c>
      <c r="AG179" s="78">
        <v>53</v>
      </c>
      <c r="AH179" s="78">
        <v>274</v>
      </c>
      <c r="AI179" s="78">
        <v>24</v>
      </c>
      <c r="AJ179" s="78">
        <v>257</v>
      </c>
      <c r="AK179" s="78">
        <v>25</v>
      </c>
      <c r="AL179" s="78">
        <v>2.5</v>
      </c>
      <c r="AM179" s="78">
        <v>1.3</v>
      </c>
      <c r="AN179" s="78">
        <v>0.4</v>
      </c>
      <c r="AO179" s="78">
        <v>80</v>
      </c>
    </row>
    <row r="180" spans="1:41">
      <c r="A180" s="78" t="s">
        <v>1953</v>
      </c>
      <c r="B180" s="78" t="s">
        <v>1558</v>
      </c>
      <c r="C180" s="78" t="s">
        <v>366</v>
      </c>
      <c r="D180" s="78" t="s">
        <v>1941</v>
      </c>
      <c r="E180" s="78" t="s">
        <v>1954</v>
      </c>
      <c r="F180" s="78" t="s">
        <v>516</v>
      </c>
      <c r="G180" s="78" t="s">
        <v>1614</v>
      </c>
      <c r="H180" s="78">
        <v>239</v>
      </c>
      <c r="I180" s="78">
        <v>65.099999999999994</v>
      </c>
      <c r="J180" s="78">
        <v>0.9</v>
      </c>
      <c r="K180" s="78">
        <v>12.2</v>
      </c>
      <c r="L180" s="78">
        <v>1.3</v>
      </c>
      <c r="M180" s="78" t="s">
        <v>1615</v>
      </c>
      <c r="N180" s="78">
        <v>0</v>
      </c>
      <c r="O180" s="78">
        <v>20.5</v>
      </c>
      <c r="P180" s="78" t="s">
        <v>1615</v>
      </c>
      <c r="Q180" s="78" t="s">
        <v>1615</v>
      </c>
      <c r="R180" s="78" t="s">
        <v>1615</v>
      </c>
      <c r="S180" s="78" t="s">
        <v>1615</v>
      </c>
      <c r="T180" s="78">
        <v>41.8</v>
      </c>
      <c r="U180" s="78" t="s">
        <v>1615</v>
      </c>
      <c r="V180" s="78" t="s">
        <v>1615</v>
      </c>
      <c r="W180" s="78" t="s">
        <v>1615</v>
      </c>
      <c r="X180" s="78" t="s">
        <v>1615</v>
      </c>
      <c r="Y180" s="78" t="s">
        <v>1615</v>
      </c>
      <c r="Z180" s="78" t="s">
        <v>1615</v>
      </c>
      <c r="AA180" s="78" t="s">
        <v>1615</v>
      </c>
      <c r="AB180" s="78" t="s">
        <v>1615</v>
      </c>
      <c r="AC180" s="78" t="s">
        <v>1615</v>
      </c>
      <c r="AD180" s="78" t="s">
        <v>1615</v>
      </c>
      <c r="AE180" s="78" t="s">
        <v>1615</v>
      </c>
      <c r="AF180" s="78" t="s">
        <v>1615</v>
      </c>
      <c r="AG180" s="78">
        <v>64</v>
      </c>
      <c r="AH180" s="78">
        <v>244</v>
      </c>
      <c r="AI180" s="78" t="s">
        <v>1615</v>
      </c>
      <c r="AJ180" s="78" t="s">
        <v>1615</v>
      </c>
      <c r="AK180" s="78" t="s">
        <v>1615</v>
      </c>
      <c r="AL180" s="78" t="s">
        <v>1615</v>
      </c>
      <c r="AM180" s="78" t="s">
        <v>1615</v>
      </c>
      <c r="AN180" s="78" t="s">
        <v>1615</v>
      </c>
      <c r="AO180" s="78" t="s">
        <v>1615</v>
      </c>
    </row>
    <row r="181" spans="1:41">
      <c r="A181" s="78" t="s">
        <v>1955</v>
      </c>
      <c r="B181" s="78" t="s">
        <v>1558</v>
      </c>
      <c r="C181" s="78" t="s">
        <v>366</v>
      </c>
      <c r="D181" s="78" t="s">
        <v>1943</v>
      </c>
      <c r="E181" s="78" t="s">
        <v>1956</v>
      </c>
      <c r="F181" s="78" t="s">
        <v>516</v>
      </c>
      <c r="G181" s="78" t="s">
        <v>1614</v>
      </c>
      <c r="H181" s="78">
        <v>89</v>
      </c>
      <c r="I181" s="78">
        <v>76.900000000000006</v>
      </c>
      <c r="J181" s="78">
        <v>1.2</v>
      </c>
      <c r="K181" s="78">
        <v>21.3</v>
      </c>
      <c r="L181" s="78">
        <v>0.3</v>
      </c>
      <c r="M181" s="78" t="s">
        <v>1615</v>
      </c>
      <c r="N181" s="78">
        <v>0</v>
      </c>
      <c r="O181" s="78">
        <v>0.3</v>
      </c>
      <c r="P181" s="78" t="s">
        <v>1615</v>
      </c>
      <c r="Q181" s="78" t="s">
        <v>1615</v>
      </c>
      <c r="R181" s="78" t="s">
        <v>1615</v>
      </c>
      <c r="S181" s="78" t="s">
        <v>1615</v>
      </c>
      <c r="T181" s="78">
        <v>37.1</v>
      </c>
      <c r="U181" s="78" t="s">
        <v>1615</v>
      </c>
      <c r="V181" s="78" t="s">
        <v>1615</v>
      </c>
      <c r="W181" s="78" t="s">
        <v>1615</v>
      </c>
      <c r="X181" s="78" t="s">
        <v>1615</v>
      </c>
      <c r="Y181" s="78" t="s">
        <v>1615</v>
      </c>
      <c r="Z181" s="78" t="s">
        <v>1615</v>
      </c>
      <c r="AA181" s="78" t="s">
        <v>1615</v>
      </c>
      <c r="AB181" s="78" t="s">
        <v>1615</v>
      </c>
      <c r="AC181" s="78" t="s">
        <v>1615</v>
      </c>
      <c r="AD181" s="78" t="s">
        <v>1615</v>
      </c>
      <c r="AE181" s="78" t="s">
        <v>1615</v>
      </c>
      <c r="AF181" s="78" t="s">
        <v>1615</v>
      </c>
      <c r="AG181" s="78">
        <v>120</v>
      </c>
      <c r="AH181" s="78">
        <v>356</v>
      </c>
      <c r="AI181" s="78">
        <v>19</v>
      </c>
      <c r="AJ181" s="78">
        <v>184</v>
      </c>
      <c r="AK181" s="78" t="s">
        <v>1615</v>
      </c>
      <c r="AL181" s="78">
        <v>2.2999999999999998</v>
      </c>
      <c r="AM181" s="78" t="s">
        <v>1615</v>
      </c>
      <c r="AN181" s="78" t="s">
        <v>1615</v>
      </c>
      <c r="AO181" s="78" t="s">
        <v>1615</v>
      </c>
    </row>
    <row r="182" spans="1:41">
      <c r="A182" s="78" t="s">
        <v>1957</v>
      </c>
      <c r="B182" s="78" t="s">
        <v>1558</v>
      </c>
      <c r="C182" s="78" t="s">
        <v>366</v>
      </c>
      <c r="D182" s="78" t="s">
        <v>1945</v>
      </c>
      <c r="E182" s="78" t="s">
        <v>1958</v>
      </c>
      <c r="F182" s="78" t="s">
        <v>516</v>
      </c>
      <c r="G182" s="78" t="s">
        <v>1614</v>
      </c>
      <c r="H182" s="78">
        <v>103</v>
      </c>
      <c r="I182" s="78">
        <v>76.099999999999994</v>
      </c>
      <c r="J182" s="78">
        <v>1.7</v>
      </c>
      <c r="K182" s="78">
        <v>16.399999999999999</v>
      </c>
      <c r="L182" s="78">
        <v>2.9</v>
      </c>
      <c r="M182" s="78" t="s">
        <v>1615</v>
      </c>
      <c r="N182" s="78">
        <v>0</v>
      </c>
      <c r="O182" s="78">
        <v>2.9</v>
      </c>
      <c r="P182" s="78" t="s">
        <v>1615</v>
      </c>
      <c r="Q182" s="78" t="s">
        <v>1615</v>
      </c>
      <c r="R182" s="78" t="s">
        <v>1615</v>
      </c>
      <c r="S182" s="78" t="s">
        <v>1615</v>
      </c>
      <c r="T182" s="78">
        <v>111.5</v>
      </c>
      <c r="U182" s="78" t="s">
        <v>1615</v>
      </c>
      <c r="V182" s="78" t="s">
        <v>1615</v>
      </c>
      <c r="W182" s="78" t="s">
        <v>1615</v>
      </c>
      <c r="X182" s="78" t="s">
        <v>1615</v>
      </c>
      <c r="Y182" s="78" t="s">
        <v>1615</v>
      </c>
      <c r="Z182" s="78" t="s">
        <v>1615</v>
      </c>
      <c r="AA182" s="78" t="s">
        <v>1615</v>
      </c>
      <c r="AB182" s="78" t="s">
        <v>1615</v>
      </c>
      <c r="AC182" s="78" t="s">
        <v>1615</v>
      </c>
      <c r="AD182" s="78" t="s">
        <v>1615</v>
      </c>
      <c r="AE182" s="78" t="s">
        <v>1615</v>
      </c>
      <c r="AF182" s="78" t="s">
        <v>1615</v>
      </c>
      <c r="AG182" s="78">
        <v>112</v>
      </c>
      <c r="AH182" s="78">
        <v>342</v>
      </c>
      <c r="AI182" s="78" t="s">
        <v>1615</v>
      </c>
      <c r="AJ182" s="78" t="s">
        <v>1615</v>
      </c>
      <c r="AK182" s="78" t="s">
        <v>1615</v>
      </c>
      <c r="AL182" s="78" t="s">
        <v>1615</v>
      </c>
      <c r="AM182" s="78" t="s">
        <v>1615</v>
      </c>
      <c r="AN182" s="78" t="s">
        <v>1615</v>
      </c>
      <c r="AO182" s="78" t="s">
        <v>1615</v>
      </c>
    </row>
    <row r="183" spans="1:41">
      <c r="A183" s="78" t="s">
        <v>1959</v>
      </c>
      <c r="B183" s="78" t="s">
        <v>1558</v>
      </c>
      <c r="C183" s="78" t="s">
        <v>366</v>
      </c>
      <c r="D183" s="78" t="s">
        <v>1947</v>
      </c>
      <c r="E183" s="78" t="s">
        <v>1960</v>
      </c>
      <c r="F183" s="78" t="s">
        <v>516</v>
      </c>
      <c r="G183" s="78" t="s">
        <v>1614</v>
      </c>
      <c r="H183" s="78">
        <v>105</v>
      </c>
      <c r="I183" s="78">
        <v>75.400000000000006</v>
      </c>
      <c r="J183" s="78">
        <v>1.7</v>
      </c>
      <c r="K183" s="78">
        <v>19.3</v>
      </c>
      <c r="L183" s="78">
        <v>0.9</v>
      </c>
      <c r="M183" s="78" t="s">
        <v>1615</v>
      </c>
      <c r="N183" s="78">
        <v>0</v>
      </c>
      <c r="O183" s="78">
        <v>2.7</v>
      </c>
      <c r="P183" s="78" t="s">
        <v>1615</v>
      </c>
      <c r="Q183" s="78" t="s">
        <v>1615</v>
      </c>
      <c r="R183" s="78" t="s">
        <v>1615</v>
      </c>
      <c r="S183" s="78" t="s">
        <v>1615</v>
      </c>
      <c r="T183" s="78" t="s">
        <v>1615</v>
      </c>
      <c r="U183" s="78" t="s">
        <v>1615</v>
      </c>
      <c r="V183" s="78" t="s">
        <v>1615</v>
      </c>
      <c r="W183" s="78" t="s">
        <v>1615</v>
      </c>
      <c r="X183" s="78" t="s">
        <v>1615</v>
      </c>
      <c r="Y183" s="78" t="s">
        <v>1615</v>
      </c>
      <c r="Z183" s="78" t="s">
        <v>1615</v>
      </c>
      <c r="AA183" s="78" t="s">
        <v>1615</v>
      </c>
      <c r="AB183" s="78" t="s">
        <v>1615</v>
      </c>
      <c r="AC183" s="78" t="s">
        <v>1615</v>
      </c>
      <c r="AD183" s="78" t="s">
        <v>1615</v>
      </c>
      <c r="AE183" s="78" t="s">
        <v>1615</v>
      </c>
      <c r="AF183" s="78" t="s">
        <v>1615</v>
      </c>
      <c r="AG183" s="78">
        <v>142</v>
      </c>
      <c r="AH183" s="78">
        <v>199</v>
      </c>
      <c r="AI183" s="78">
        <v>45</v>
      </c>
      <c r="AJ183" s="78">
        <v>348</v>
      </c>
      <c r="AK183" s="78" t="s">
        <v>1615</v>
      </c>
      <c r="AL183" s="78">
        <v>1.2</v>
      </c>
      <c r="AM183" s="78" t="s">
        <v>1615</v>
      </c>
      <c r="AN183" s="78" t="s">
        <v>1615</v>
      </c>
      <c r="AO183" s="78" t="s">
        <v>1615</v>
      </c>
    </row>
    <row r="184" spans="1:41">
      <c r="A184" s="78" t="s">
        <v>1961</v>
      </c>
      <c r="B184" s="78" t="s">
        <v>1558</v>
      </c>
      <c r="C184" s="78" t="s">
        <v>366</v>
      </c>
      <c r="D184" s="78" t="s">
        <v>1949</v>
      </c>
      <c r="E184" s="78" t="s">
        <v>1962</v>
      </c>
      <c r="F184" s="78" t="s">
        <v>516</v>
      </c>
      <c r="G184" s="78" t="s">
        <v>1614</v>
      </c>
      <c r="H184" s="78">
        <v>88</v>
      </c>
      <c r="I184" s="78">
        <v>78.2</v>
      </c>
      <c r="J184" s="78">
        <v>1.1000000000000001</v>
      </c>
      <c r="K184" s="78">
        <v>18.2</v>
      </c>
      <c r="L184" s="78">
        <v>1.4</v>
      </c>
      <c r="M184" s="78" t="s">
        <v>1615</v>
      </c>
      <c r="N184" s="78">
        <v>0</v>
      </c>
      <c r="O184" s="78">
        <v>1.1000000000000001</v>
      </c>
      <c r="P184" s="78" t="s">
        <v>1615</v>
      </c>
      <c r="Q184" s="78" t="s">
        <v>1615</v>
      </c>
      <c r="R184" s="78" t="s">
        <v>1615</v>
      </c>
      <c r="S184" s="78" t="s">
        <v>1615</v>
      </c>
      <c r="T184" s="78" t="s">
        <v>1615</v>
      </c>
      <c r="U184" s="78" t="s">
        <v>1615</v>
      </c>
      <c r="V184" s="78" t="s">
        <v>1615</v>
      </c>
      <c r="W184" s="78" t="s">
        <v>1615</v>
      </c>
      <c r="X184" s="78" t="s">
        <v>1615</v>
      </c>
      <c r="Y184" s="78" t="s">
        <v>1615</v>
      </c>
      <c r="Z184" s="78" t="s">
        <v>1615</v>
      </c>
      <c r="AA184" s="78" t="s">
        <v>1615</v>
      </c>
      <c r="AB184" s="78" t="s">
        <v>1615</v>
      </c>
      <c r="AC184" s="78" t="s">
        <v>1615</v>
      </c>
      <c r="AD184" s="78" t="s">
        <v>1615</v>
      </c>
      <c r="AE184" s="78" t="s">
        <v>1615</v>
      </c>
      <c r="AF184" s="78" t="s">
        <v>1615</v>
      </c>
      <c r="AG184" s="78" t="s">
        <v>1615</v>
      </c>
      <c r="AH184" s="78" t="s">
        <v>1615</v>
      </c>
      <c r="AI184" s="78">
        <v>31</v>
      </c>
      <c r="AJ184" s="78">
        <v>172</v>
      </c>
      <c r="AK184" s="78" t="s">
        <v>1615</v>
      </c>
      <c r="AL184" s="78">
        <v>1.9</v>
      </c>
      <c r="AM184" s="78" t="s">
        <v>1615</v>
      </c>
      <c r="AN184" s="78" t="s">
        <v>1615</v>
      </c>
      <c r="AO184" s="78" t="s">
        <v>1615</v>
      </c>
    </row>
    <row r="185" spans="1:41">
      <c r="A185" s="78" t="s">
        <v>1963</v>
      </c>
      <c r="B185" s="78" t="s">
        <v>1558</v>
      </c>
      <c r="C185" s="78" t="s">
        <v>366</v>
      </c>
      <c r="D185" s="78" t="s">
        <v>1951</v>
      </c>
      <c r="E185" s="78" t="s">
        <v>1964</v>
      </c>
      <c r="F185" s="78" t="s">
        <v>516</v>
      </c>
      <c r="G185" s="78" t="s">
        <v>1614</v>
      </c>
      <c r="H185" s="78">
        <v>290</v>
      </c>
      <c r="I185" s="78">
        <v>56.1</v>
      </c>
      <c r="J185" s="78">
        <v>1</v>
      </c>
      <c r="K185" s="78">
        <v>19.100000000000001</v>
      </c>
      <c r="L185" s="78">
        <v>0.3</v>
      </c>
      <c r="M185" s="78">
        <v>0.2</v>
      </c>
      <c r="N185" s="78" t="s">
        <v>1615</v>
      </c>
      <c r="O185" s="78">
        <v>23.6</v>
      </c>
      <c r="P185" s="78">
        <v>3.91</v>
      </c>
      <c r="Q185" s="78">
        <v>10.79</v>
      </c>
      <c r="R185" s="78">
        <v>6.53</v>
      </c>
      <c r="S185" s="78">
        <v>0.1</v>
      </c>
      <c r="T185" s="78">
        <v>58.4</v>
      </c>
      <c r="U185" s="78" t="s">
        <v>1615</v>
      </c>
      <c r="V185" s="78" t="s">
        <v>1615</v>
      </c>
      <c r="W185" s="78" t="s">
        <v>1615</v>
      </c>
      <c r="X185" s="78" t="s">
        <v>1615</v>
      </c>
      <c r="Y185" s="78" t="s">
        <v>1615</v>
      </c>
      <c r="Z185" s="78" t="s">
        <v>1615</v>
      </c>
      <c r="AA185" s="78" t="s">
        <v>1615</v>
      </c>
      <c r="AB185" s="78" t="s">
        <v>1615</v>
      </c>
      <c r="AC185" s="78" t="s">
        <v>1615</v>
      </c>
      <c r="AD185" s="78" t="s">
        <v>1615</v>
      </c>
      <c r="AE185" s="78" t="s">
        <v>1615</v>
      </c>
      <c r="AF185" s="78" t="s">
        <v>1615</v>
      </c>
      <c r="AG185" s="78">
        <v>66</v>
      </c>
      <c r="AH185" s="78" t="s">
        <v>1615</v>
      </c>
      <c r="AI185" s="78" t="s">
        <v>1615</v>
      </c>
      <c r="AJ185" s="78" t="s">
        <v>1615</v>
      </c>
      <c r="AK185" s="78" t="s">
        <v>1615</v>
      </c>
      <c r="AL185" s="78" t="s">
        <v>1615</v>
      </c>
      <c r="AM185" s="78" t="s">
        <v>1615</v>
      </c>
      <c r="AN185" s="78" t="s">
        <v>1615</v>
      </c>
      <c r="AO185" s="78" t="s">
        <v>1615</v>
      </c>
    </row>
    <row r="186" spans="1:41">
      <c r="A186" s="78" t="s">
        <v>1965</v>
      </c>
      <c r="B186" s="78" t="s">
        <v>1558</v>
      </c>
      <c r="C186" s="78" t="s">
        <v>366</v>
      </c>
      <c r="D186" s="78" t="s">
        <v>1953</v>
      </c>
      <c r="E186" s="78" t="s">
        <v>1966</v>
      </c>
      <c r="F186" s="78" t="s">
        <v>516</v>
      </c>
      <c r="G186" s="78" t="s">
        <v>1614</v>
      </c>
      <c r="H186" s="78">
        <v>146</v>
      </c>
      <c r="I186" s="78">
        <v>71.3</v>
      </c>
      <c r="J186" s="78">
        <v>1.2</v>
      </c>
      <c r="K186" s="78">
        <v>21.6</v>
      </c>
      <c r="L186" s="78">
        <v>0</v>
      </c>
      <c r="M186" s="78">
        <v>0</v>
      </c>
      <c r="N186" s="78">
        <v>0</v>
      </c>
      <c r="O186" s="78">
        <v>5.9</v>
      </c>
      <c r="P186" s="78">
        <v>1.26</v>
      </c>
      <c r="Q186" s="78">
        <v>2.13</v>
      </c>
      <c r="R186" s="78">
        <v>1.99</v>
      </c>
      <c r="S186" s="78" t="s">
        <v>1615</v>
      </c>
      <c r="T186" s="78">
        <v>45</v>
      </c>
      <c r="U186" s="78">
        <v>40</v>
      </c>
      <c r="V186" s="78">
        <v>1</v>
      </c>
      <c r="W186" s="78">
        <v>9</v>
      </c>
      <c r="X186" s="78">
        <v>0.7</v>
      </c>
      <c r="Y186" s="78">
        <v>0.1</v>
      </c>
      <c r="Z186" s="78">
        <v>0.1</v>
      </c>
      <c r="AA186" s="78">
        <v>0.1</v>
      </c>
      <c r="AB186" s="78">
        <v>7.2</v>
      </c>
      <c r="AC186" s="78">
        <v>0.5</v>
      </c>
      <c r="AD186" s="78">
        <v>0.8</v>
      </c>
      <c r="AE186" s="78">
        <v>4.2</v>
      </c>
      <c r="AF186" s="78">
        <v>9</v>
      </c>
      <c r="AG186" s="78">
        <v>46</v>
      </c>
      <c r="AH186" s="78">
        <v>423</v>
      </c>
      <c r="AI186" s="78">
        <v>36</v>
      </c>
      <c r="AJ186" s="78">
        <v>262</v>
      </c>
      <c r="AK186" s="78">
        <v>31</v>
      </c>
      <c r="AL186" s="78">
        <v>0.6</v>
      </c>
      <c r="AM186" s="78">
        <v>0.4</v>
      </c>
      <c r="AN186" s="78">
        <v>0.1</v>
      </c>
      <c r="AO186" s="78">
        <v>36.5</v>
      </c>
    </row>
    <row r="187" spans="1:41">
      <c r="A187" s="78" t="s">
        <v>1967</v>
      </c>
      <c r="B187" s="78" t="s">
        <v>1558</v>
      </c>
      <c r="C187" s="78" t="s">
        <v>366</v>
      </c>
      <c r="D187" s="78" t="s">
        <v>1955</v>
      </c>
      <c r="E187" s="78" t="s">
        <v>1968</v>
      </c>
      <c r="F187" s="78" t="s">
        <v>516</v>
      </c>
      <c r="G187" s="78" t="s">
        <v>1614</v>
      </c>
      <c r="H187" s="78">
        <v>165</v>
      </c>
      <c r="I187" s="78">
        <v>69.099999999999994</v>
      </c>
      <c r="J187" s="78">
        <v>1</v>
      </c>
      <c r="K187" s="78">
        <v>20.6</v>
      </c>
      <c r="L187" s="78">
        <v>0.3</v>
      </c>
      <c r="M187" s="78">
        <v>0.3</v>
      </c>
      <c r="N187" s="78" t="s">
        <v>1615</v>
      </c>
      <c r="O187" s="78">
        <v>9</v>
      </c>
      <c r="P187" s="78">
        <v>2.08</v>
      </c>
      <c r="Q187" s="78">
        <v>4.6900000000000004</v>
      </c>
      <c r="R187" s="78">
        <v>1.36</v>
      </c>
      <c r="S187" s="78">
        <v>0</v>
      </c>
      <c r="T187" s="78">
        <v>59</v>
      </c>
      <c r="U187" s="78" t="s">
        <v>1615</v>
      </c>
      <c r="V187" s="78" t="s">
        <v>1615</v>
      </c>
      <c r="W187" s="78" t="s">
        <v>1615</v>
      </c>
      <c r="X187" s="78" t="s">
        <v>1615</v>
      </c>
      <c r="Y187" s="78" t="s">
        <v>1615</v>
      </c>
      <c r="Z187" s="78" t="s">
        <v>1615</v>
      </c>
      <c r="AA187" s="78" t="s">
        <v>1615</v>
      </c>
      <c r="AB187" s="78" t="s">
        <v>1615</v>
      </c>
      <c r="AC187" s="78" t="s">
        <v>1615</v>
      </c>
      <c r="AD187" s="78" t="s">
        <v>1615</v>
      </c>
      <c r="AE187" s="78" t="s">
        <v>1615</v>
      </c>
      <c r="AF187" s="78" t="s">
        <v>1615</v>
      </c>
      <c r="AG187" s="78">
        <v>87</v>
      </c>
      <c r="AH187" s="78" t="s">
        <v>1615</v>
      </c>
      <c r="AI187" s="78" t="s">
        <v>1615</v>
      </c>
      <c r="AJ187" s="78" t="s">
        <v>1615</v>
      </c>
      <c r="AK187" s="78" t="s">
        <v>1615</v>
      </c>
      <c r="AL187" s="78" t="s">
        <v>1615</v>
      </c>
      <c r="AM187" s="78" t="s">
        <v>1615</v>
      </c>
      <c r="AN187" s="78" t="s">
        <v>1615</v>
      </c>
      <c r="AO187" s="78" t="s">
        <v>1615</v>
      </c>
    </row>
    <row r="188" spans="1:41">
      <c r="A188" s="78" t="s">
        <v>1969</v>
      </c>
      <c r="B188" s="78" t="s">
        <v>1558</v>
      </c>
      <c r="C188" s="78" t="s">
        <v>366</v>
      </c>
      <c r="D188" s="78" t="s">
        <v>1957</v>
      </c>
      <c r="E188" s="78" t="s">
        <v>1970</v>
      </c>
      <c r="F188" s="78" t="s">
        <v>516</v>
      </c>
      <c r="G188" s="78" t="s">
        <v>1614</v>
      </c>
      <c r="H188" s="78">
        <v>309</v>
      </c>
      <c r="I188" s="78">
        <v>50.8</v>
      </c>
      <c r="J188" s="78">
        <v>2.8</v>
      </c>
      <c r="K188" s="78">
        <v>21.2</v>
      </c>
      <c r="L188" s="78">
        <v>0.6</v>
      </c>
      <c r="M188" s="78" t="s">
        <v>1615</v>
      </c>
      <c r="N188" s="78">
        <v>0</v>
      </c>
      <c r="O188" s="78">
        <v>24.6</v>
      </c>
      <c r="P188" s="78" t="s">
        <v>1615</v>
      </c>
      <c r="Q188" s="78" t="s">
        <v>1615</v>
      </c>
      <c r="R188" s="78" t="s">
        <v>1615</v>
      </c>
      <c r="S188" s="78" t="s">
        <v>1615</v>
      </c>
      <c r="T188" s="78">
        <v>61.3</v>
      </c>
      <c r="U188" s="78" t="s">
        <v>1615</v>
      </c>
      <c r="V188" s="78" t="s">
        <v>1615</v>
      </c>
      <c r="W188" s="78" t="s">
        <v>1615</v>
      </c>
      <c r="X188" s="78" t="s">
        <v>1615</v>
      </c>
      <c r="Y188" s="78" t="s">
        <v>1615</v>
      </c>
      <c r="Z188" s="78" t="s">
        <v>1615</v>
      </c>
      <c r="AA188" s="78" t="s">
        <v>1615</v>
      </c>
      <c r="AB188" s="78" t="s">
        <v>1615</v>
      </c>
      <c r="AC188" s="78" t="s">
        <v>1615</v>
      </c>
      <c r="AD188" s="78" t="s">
        <v>1615</v>
      </c>
      <c r="AE188" s="78" t="s">
        <v>1615</v>
      </c>
      <c r="AF188" s="78" t="s">
        <v>1615</v>
      </c>
      <c r="AG188" s="78">
        <v>443</v>
      </c>
      <c r="AH188" s="78">
        <v>359</v>
      </c>
      <c r="AI188" s="78">
        <v>374</v>
      </c>
      <c r="AJ188" s="78">
        <v>294</v>
      </c>
      <c r="AK188" s="78" t="s">
        <v>1615</v>
      </c>
      <c r="AL188" s="78">
        <v>3.4</v>
      </c>
      <c r="AM188" s="78" t="s">
        <v>1615</v>
      </c>
      <c r="AN188" s="78" t="s">
        <v>1615</v>
      </c>
      <c r="AO188" s="78" t="s">
        <v>1615</v>
      </c>
    </row>
    <row r="189" spans="1:41">
      <c r="A189" s="78" t="s">
        <v>1971</v>
      </c>
      <c r="B189" s="78" t="s">
        <v>1558</v>
      </c>
      <c r="C189" s="78" t="s">
        <v>366</v>
      </c>
      <c r="D189" s="78" t="s">
        <v>1959</v>
      </c>
      <c r="E189" s="78" t="s">
        <v>1972</v>
      </c>
      <c r="F189" s="78" t="s">
        <v>516</v>
      </c>
      <c r="G189" s="78" t="s">
        <v>1614</v>
      </c>
      <c r="H189" s="78">
        <v>169</v>
      </c>
      <c r="I189" s="78">
        <v>68.400000000000006</v>
      </c>
      <c r="J189" s="78">
        <v>1.5</v>
      </c>
      <c r="K189" s="78">
        <v>17.100000000000001</v>
      </c>
      <c r="L189" s="78">
        <v>2.2999999999999998</v>
      </c>
      <c r="M189" s="78" t="s">
        <v>1615</v>
      </c>
      <c r="N189" s="78">
        <v>0</v>
      </c>
      <c r="O189" s="78">
        <v>10.199999999999999</v>
      </c>
      <c r="P189" s="78" t="s">
        <v>1615</v>
      </c>
      <c r="Q189" s="78" t="s">
        <v>1615</v>
      </c>
      <c r="R189" s="78" t="s">
        <v>1615</v>
      </c>
      <c r="S189" s="78" t="s">
        <v>1615</v>
      </c>
      <c r="T189" s="78">
        <v>61.3</v>
      </c>
      <c r="U189" s="78" t="s">
        <v>1615</v>
      </c>
      <c r="V189" s="78" t="s">
        <v>1615</v>
      </c>
      <c r="W189" s="78" t="s">
        <v>1615</v>
      </c>
      <c r="X189" s="78" t="s">
        <v>1615</v>
      </c>
      <c r="Y189" s="78" t="s">
        <v>1615</v>
      </c>
      <c r="Z189" s="78" t="s">
        <v>1615</v>
      </c>
      <c r="AA189" s="78" t="s">
        <v>1615</v>
      </c>
      <c r="AB189" s="78" t="s">
        <v>1615</v>
      </c>
      <c r="AC189" s="78" t="s">
        <v>1615</v>
      </c>
      <c r="AD189" s="78" t="s">
        <v>1615</v>
      </c>
      <c r="AE189" s="78" t="s">
        <v>1615</v>
      </c>
      <c r="AF189" s="78" t="s">
        <v>1615</v>
      </c>
      <c r="AG189" s="78">
        <v>129</v>
      </c>
      <c r="AH189" s="78">
        <v>312</v>
      </c>
      <c r="AI189" s="78" t="s">
        <v>1615</v>
      </c>
      <c r="AJ189" s="78" t="s">
        <v>1615</v>
      </c>
      <c r="AK189" s="78" t="s">
        <v>1615</v>
      </c>
      <c r="AL189" s="78" t="s">
        <v>1615</v>
      </c>
      <c r="AM189" s="78" t="s">
        <v>1615</v>
      </c>
      <c r="AN189" s="78" t="s">
        <v>1615</v>
      </c>
      <c r="AO189" s="78" t="s">
        <v>1615</v>
      </c>
    </row>
    <row r="190" spans="1:41">
      <c r="A190" s="78" t="s">
        <v>1973</v>
      </c>
      <c r="B190" s="78" t="s">
        <v>1558</v>
      </c>
      <c r="C190" s="78" t="s">
        <v>366</v>
      </c>
      <c r="D190" s="78" t="s">
        <v>1961</v>
      </c>
      <c r="E190" s="78" t="s">
        <v>1974</v>
      </c>
      <c r="F190" s="78" t="s">
        <v>516</v>
      </c>
      <c r="G190" s="78" t="s">
        <v>1614</v>
      </c>
      <c r="H190" s="78">
        <v>156</v>
      </c>
      <c r="I190" s="78">
        <v>65.599999999999994</v>
      </c>
      <c r="J190" s="78">
        <v>1.3</v>
      </c>
      <c r="K190" s="78">
        <v>22.1</v>
      </c>
      <c r="L190" s="78">
        <v>6.3</v>
      </c>
      <c r="M190" s="78" t="s">
        <v>1615</v>
      </c>
      <c r="N190" s="78">
        <v>0</v>
      </c>
      <c r="O190" s="78">
        <v>4.7</v>
      </c>
      <c r="P190" s="78" t="s">
        <v>1615</v>
      </c>
      <c r="Q190" s="78" t="s">
        <v>1615</v>
      </c>
      <c r="R190" s="78" t="s">
        <v>1615</v>
      </c>
      <c r="S190" s="78" t="s">
        <v>1615</v>
      </c>
      <c r="T190" s="78" t="s">
        <v>1615</v>
      </c>
      <c r="U190" s="78" t="s">
        <v>1615</v>
      </c>
      <c r="V190" s="78" t="s">
        <v>1615</v>
      </c>
      <c r="W190" s="78" t="s">
        <v>1615</v>
      </c>
      <c r="X190" s="78" t="s">
        <v>1615</v>
      </c>
      <c r="Y190" s="78" t="s">
        <v>1615</v>
      </c>
      <c r="Z190" s="78" t="s">
        <v>1615</v>
      </c>
      <c r="AA190" s="78" t="s">
        <v>1615</v>
      </c>
      <c r="AB190" s="78" t="s">
        <v>1615</v>
      </c>
      <c r="AC190" s="78" t="s">
        <v>1615</v>
      </c>
      <c r="AD190" s="78" t="s">
        <v>1615</v>
      </c>
      <c r="AE190" s="78" t="s">
        <v>1615</v>
      </c>
      <c r="AF190" s="78" t="s">
        <v>1615</v>
      </c>
      <c r="AG190" s="78" t="s">
        <v>1615</v>
      </c>
      <c r="AH190" s="78" t="s">
        <v>1615</v>
      </c>
      <c r="AI190" s="78" t="s">
        <v>1615</v>
      </c>
      <c r="AJ190" s="78">
        <v>247</v>
      </c>
      <c r="AK190" s="78" t="s">
        <v>1615</v>
      </c>
      <c r="AL190" s="78" t="s">
        <v>1615</v>
      </c>
      <c r="AM190" s="78" t="s">
        <v>1615</v>
      </c>
      <c r="AN190" s="78" t="s">
        <v>1615</v>
      </c>
      <c r="AO190" s="78" t="s">
        <v>1615</v>
      </c>
    </row>
    <row r="191" spans="1:41">
      <c r="A191" s="78" t="s">
        <v>1975</v>
      </c>
      <c r="B191" s="78" t="s">
        <v>1558</v>
      </c>
      <c r="C191" s="78" t="s">
        <v>366</v>
      </c>
      <c r="D191" s="78" t="s">
        <v>1963</v>
      </c>
      <c r="E191" s="78" t="s">
        <v>1976</v>
      </c>
      <c r="F191" s="78" t="s">
        <v>516</v>
      </c>
      <c r="G191" s="78" t="s">
        <v>1614</v>
      </c>
      <c r="H191" s="78">
        <v>189</v>
      </c>
      <c r="I191" s="78">
        <v>66.2</v>
      </c>
      <c r="J191" s="78">
        <v>1.3</v>
      </c>
      <c r="K191" s="78">
        <v>19.5</v>
      </c>
      <c r="L191" s="78">
        <v>1.1000000000000001</v>
      </c>
      <c r="M191" s="78" t="s">
        <v>1615</v>
      </c>
      <c r="N191" s="78">
        <v>0</v>
      </c>
      <c r="O191" s="78">
        <v>11.9</v>
      </c>
      <c r="P191" s="78">
        <v>3.05</v>
      </c>
      <c r="Q191" s="78">
        <v>5.45</v>
      </c>
      <c r="R191" s="78">
        <v>2.16</v>
      </c>
      <c r="S191" s="78">
        <v>0</v>
      </c>
      <c r="T191" s="78">
        <v>51</v>
      </c>
      <c r="U191" s="78" t="s">
        <v>1615</v>
      </c>
      <c r="V191" s="78" t="s">
        <v>1615</v>
      </c>
      <c r="W191" s="78" t="s">
        <v>1615</v>
      </c>
      <c r="X191" s="78" t="s">
        <v>1615</v>
      </c>
      <c r="Y191" s="78" t="s">
        <v>1615</v>
      </c>
      <c r="Z191" s="78" t="s">
        <v>1615</v>
      </c>
      <c r="AA191" s="78" t="s">
        <v>1615</v>
      </c>
      <c r="AB191" s="78" t="s">
        <v>1615</v>
      </c>
      <c r="AC191" s="78" t="s">
        <v>1615</v>
      </c>
      <c r="AD191" s="78" t="s">
        <v>1615</v>
      </c>
      <c r="AE191" s="78" t="s">
        <v>1615</v>
      </c>
      <c r="AF191" s="78" t="s">
        <v>1615</v>
      </c>
      <c r="AG191" s="78">
        <v>174</v>
      </c>
      <c r="AH191" s="78">
        <v>59</v>
      </c>
      <c r="AI191" s="78">
        <v>14</v>
      </c>
      <c r="AJ191" s="78" t="s">
        <v>1615</v>
      </c>
      <c r="AK191" s="78" t="s">
        <v>1615</v>
      </c>
      <c r="AL191" s="78">
        <v>1.2</v>
      </c>
      <c r="AM191" s="78" t="s">
        <v>1615</v>
      </c>
      <c r="AN191" s="78" t="s">
        <v>1615</v>
      </c>
      <c r="AO191" s="78" t="s">
        <v>1615</v>
      </c>
    </row>
    <row r="192" spans="1:41">
      <c r="A192" s="78" t="s">
        <v>1977</v>
      </c>
      <c r="B192" s="78" t="s">
        <v>1558</v>
      </c>
      <c r="C192" s="78" t="s">
        <v>366</v>
      </c>
      <c r="D192" s="78" t="s">
        <v>1965</v>
      </c>
      <c r="E192" s="78" t="s">
        <v>1978</v>
      </c>
      <c r="F192" s="78" t="s">
        <v>516</v>
      </c>
      <c r="G192" s="78" t="s">
        <v>1614</v>
      </c>
      <c r="H192" s="78">
        <v>131</v>
      </c>
      <c r="I192" s="78">
        <v>73.099999999999994</v>
      </c>
      <c r="J192" s="78">
        <v>1.2</v>
      </c>
      <c r="K192" s="78">
        <v>19.600000000000001</v>
      </c>
      <c r="L192" s="78">
        <v>0.5</v>
      </c>
      <c r="M192" s="78" t="s">
        <v>1615</v>
      </c>
      <c r="N192" s="78">
        <v>0</v>
      </c>
      <c r="O192" s="78">
        <v>5.6</v>
      </c>
      <c r="P192" s="78">
        <v>1.61</v>
      </c>
      <c r="Q192" s="78">
        <v>2.16</v>
      </c>
      <c r="R192" s="78">
        <v>1.83</v>
      </c>
      <c r="S192" s="78" t="s">
        <v>1615</v>
      </c>
      <c r="T192" s="78">
        <v>73</v>
      </c>
      <c r="U192" s="78" t="s">
        <v>1615</v>
      </c>
      <c r="V192" s="78" t="s">
        <v>1615</v>
      </c>
      <c r="W192" s="78" t="s">
        <v>1615</v>
      </c>
      <c r="X192" s="78" t="s">
        <v>1615</v>
      </c>
      <c r="Y192" s="78" t="s">
        <v>1615</v>
      </c>
      <c r="Z192" s="78" t="s">
        <v>1615</v>
      </c>
      <c r="AA192" s="78" t="s">
        <v>1615</v>
      </c>
      <c r="AB192" s="78" t="s">
        <v>1615</v>
      </c>
      <c r="AC192" s="78" t="s">
        <v>1615</v>
      </c>
      <c r="AD192" s="78" t="s">
        <v>1615</v>
      </c>
      <c r="AE192" s="78" t="s">
        <v>1615</v>
      </c>
      <c r="AF192" s="78" t="s">
        <v>1615</v>
      </c>
      <c r="AG192" s="78">
        <v>41</v>
      </c>
      <c r="AH192" s="78" t="s">
        <v>1615</v>
      </c>
      <c r="AI192" s="78" t="s">
        <v>1615</v>
      </c>
      <c r="AJ192" s="78" t="s">
        <v>1615</v>
      </c>
      <c r="AK192" s="78" t="s">
        <v>1615</v>
      </c>
      <c r="AL192" s="78" t="s">
        <v>1615</v>
      </c>
      <c r="AM192" s="78" t="s">
        <v>1615</v>
      </c>
      <c r="AN192" s="78" t="s">
        <v>1615</v>
      </c>
      <c r="AO192" s="78" t="s">
        <v>1615</v>
      </c>
    </row>
    <row r="193" spans="1:41">
      <c r="A193" s="78" t="s">
        <v>1979</v>
      </c>
      <c r="B193" s="78" t="s">
        <v>1558</v>
      </c>
      <c r="C193" s="78" t="s">
        <v>366</v>
      </c>
      <c r="D193" s="78" t="s">
        <v>1967</v>
      </c>
      <c r="E193" s="78" t="s">
        <v>1980</v>
      </c>
      <c r="F193" s="78" t="s">
        <v>516</v>
      </c>
      <c r="G193" s="78" t="s">
        <v>1614</v>
      </c>
      <c r="H193" s="78">
        <v>198</v>
      </c>
      <c r="I193" s="78">
        <v>66.099999999999994</v>
      </c>
      <c r="J193" s="78">
        <v>1.3</v>
      </c>
      <c r="K193" s="78">
        <v>17.899999999999999</v>
      </c>
      <c r="L193" s="78">
        <v>1.1000000000000001</v>
      </c>
      <c r="M193" s="78">
        <v>0.1</v>
      </c>
      <c r="N193" s="78" t="s">
        <v>1615</v>
      </c>
      <c r="O193" s="78">
        <v>13.6</v>
      </c>
      <c r="P193" s="78">
        <v>2.39</v>
      </c>
      <c r="Q193" s="78">
        <v>5.9</v>
      </c>
      <c r="R193" s="78">
        <v>3.96</v>
      </c>
      <c r="S193" s="78">
        <v>0</v>
      </c>
      <c r="T193" s="78">
        <v>46</v>
      </c>
      <c r="U193" s="78" t="s">
        <v>1615</v>
      </c>
      <c r="V193" s="78" t="s">
        <v>1615</v>
      </c>
      <c r="W193" s="78" t="s">
        <v>1615</v>
      </c>
      <c r="X193" s="78" t="s">
        <v>1615</v>
      </c>
      <c r="Y193" s="78" t="s">
        <v>1615</v>
      </c>
      <c r="Z193" s="78" t="s">
        <v>1615</v>
      </c>
      <c r="AA193" s="78" t="s">
        <v>1615</v>
      </c>
      <c r="AB193" s="78" t="s">
        <v>1615</v>
      </c>
      <c r="AC193" s="78" t="s">
        <v>1615</v>
      </c>
      <c r="AD193" s="78" t="s">
        <v>1615</v>
      </c>
      <c r="AE193" s="78" t="s">
        <v>1615</v>
      </c>
      <c r="AF193" s="78" t="s">
        <v>1615</v>
      </c>
      <c r="AG193" s="78">
        <v>163</v>
      </c>
      <c r="AH193" s="78" t="s">
        <v>1615</v>
      </c>
      <c r="AI193" s="78" t="s">
        <v>1615</v>
      </c>
      <c r="AJ193" s="78" t="s">
        <v>1615</v>
      </c>
      <c r="AK193" s="78" t="s">
        <v>1615</v>
      </c>
      <c r="AL193" s="78">
        <v>0.4</v>
      </c>
      <c r="AM193" s="78" t="s">
        <v>1615</v>
      </c>
      <c r="AN193" s="78" t="s">
        <v>1615</v>
      </c>
      <c r="AO193" s="78" t="s">
        <v>1615</v>
      </c>
    </row>
    <row r="194" spans="1:41">
      <c r="A194" s="78" t="s">
        <v>1981</v>
      </c>
      <c r="B194" s="78" t="s">
        <v>1558</v>
      </c>
      <c r="C194" s="78" t="s">
        <v>366</v>
      </c>
      <c r="D194" s="78" t="s">
        <v>1969</v>
      </c>
      <c r="E194" s="78" t="s">
        <v>1982</v>
      </c>
      <c r="F194" s="78" t="s">
        <v>516</v>
      </c>
      <c r="G194" s="78" t="s">
        <v>1614</v>
      </c>
      <c r="H194" s="78">
        <v>104</v>
      </c>
      <c r="I194" s="78">
        <v>78.099999999999994</v>
      </c>
      <c r="J194" s="78">
        <v>1.3</v>
      </c>
      <c r="K194" s="78">
        <v>16.7</v>
      </c>
      <c r="L194" s="78">
        <v>0</v>
      </c>
      <c r="M194" s="78" t="s">
        <v>1615</v>
      </c>
      <c r="N194" s="78">
        <v>0</v>
      </c>
      <c r="O194" s="78">
        <v>3.6</v>
      </c>
      <c r="P194" s="78">
        <v>1.01</v>
      </c>
      <c r="Q194" s="78">
        <v>0.88</v>
      </c>
      <c r="R194" s="78">
        <v>0.73</v>
      </c>
      <c r="S194" s="78" t="s">
        <v>1615</v>
      </c>
      <c r="T194" s="78">
        <v>83</v>
      </c>
      <c r="U194" s="78">
        <v>30</v>
      </c>
      <c r="V194" s="78">
        <v>0</v>
      </c>
      <c r="W194" s="78" t="s">
        <v>1615</v>
      </c>
      <c r="X194" s="78" t="s">
        <v>1615</v>
      </c>
      <c r="Y194" s="78" t="s">
        <v>1615</v>
      </c>
      <c r="Z194" s="78" t="s">
        <v>1615</v>
      </c>
      <c r="AA194" s="78" t="s">
        <v>1615</v>
      </c>
      <c r="AB194" s="78">
        <v>2.4</v>
      </c>
      <c r="AC194" s="78" t="s">
        <v>1615</v>
      </c>
      <c r="AD194" s="78" t="s">
        <v>1615</v>
      </c>
      <c r="AE194" s="78">
        <v>5</v>
      </c>
      <c r="AF194" s="78" t="s">
        <v>1615</v>
      </c>
      <c r="AG194" s="78">
        <v>58</v>
      </c>
      <c r="AH194" s="78">
        <v>341</v>
      </c>
      <c r="AI194" s="78">
        <v>17</v>
      </c>
      <c r="AJ194" s="78">
        <v>250</v>
      </c>
      <c r="AK194" s="78" t="s">
        <v>1615</v>
      </c>
      <c r="AL194" s="78">
        <v>0.3</v>
      </c>
      <c r="AM194" s="78">
        <v>0.5</v>
      </c>
      <c r="AN194" s="78">
        <v>0</v>
      </c>
      <c r="AO194" s="78">
        <v>36.5</v>
      </c>
    </row>
    <row r="195" spans="1:41">
      <c r="A195" s="78" t="s">
        <v>1983</v>
      </c>
      <c r="B195" s="78" t="s">
        <v>1558</v>
      </c>
      <c r="C195" s="78" t="s">
        <v>366</v>
      </c>
      <c r="D195" s="78" t="s">
        <v>1971</v>
      </c>
      <c r="E195" s="78" t="s">
        <v>1984</v>
      </c>
      <c r="F195" s="78" t="s">
        <v>516</v>
      </c>
      <c r="G195" s="78" t="s">
        <v>1614</v>
      </c>
      <c r="H195" s="78">
        <v>118</v>
      </c>
      <c r="I195" s="78">
        <v>70.599999999999994</v>
      </c>
      <c r="J195" s="78">
        <v>1.4</v>
      </c>
      <c r="K195" s="78">
        <v>7.3</v>
      </c>
      <c r="L195" s="78">
        <v>19.399999999999999</v>
      </c>
      <c r="M195" s="78">
        <v>2.4</v>
      </c>
      <c r="N195" s="78" t="s">
        <v>1615</v>
      </c>
      <c r="O195" s="78">
        <v>1.3</v>
      </c>
      <c r="P195" s="78" t="s">
        <v>1615</v>
      </c>
      <c r="Q195" s="78" t="s">
        <v>1615</v>
      </c>
      <c r="R195" s="78" t="s">
        <v>1615</v>
      </c>
      <c r="S195" s="78" t="s">
        <v>1615</v>
      </c>
      <c r="T195" s="78" t="s">
        <v>1615</v>
      </c>
      <c r="U195" s="78" t="s">
        <v>1615</v>
      </c>
      <c r="V195" s="78" t="s">
        <v>1615</v>
      </c>
      <c r="W195" s="78" t="s">
        <v>1615</v>
      </c>
      <c r="X195" s="78" t="s">
        <v>1615</v>
      </c>
      <c r="Y195" s="78" t="s">
        <v>1615</v>
      </c>
      <c r="Z195" s="78" t="s">
        <v>1615</v>
      </c>
      <c r="AA195" s="78" t="s">
        <v>1615</v>
      </c>
      <c r="AB195" s="78" t="s">
        <v>1615</v>
      </c>
      <c r="AC195" s="78" t="s">
        <v>1615</v>
      </c>
      <c r="AD195" s="78" t="s">
        <v>1615</v>
      </c>
      <c r="AE195" s="78" t="s">
        <v>1615</v>
      </c>
      <c r="AF195" s="78" t="s">
        <v>1615</v>
      </c>
      <c r="AG195" s="78">
        <v>560</v>
      </c>
      <c r="AH195" s="78" t="s">
        <v>1615</v>
      </c>
      <c r="AI195" s="78" t="s">
        <v>1615</v>
      </c>
      <c r="AJ195" s="78" t="s">
        <v>1615</v>
      </c>
      <c r="AK195" s="78" t="s">
        <v>1615</v>
      </c>
      <c r="AL195" s="78" t="s">
        <v>1615</v>
      </c>
      <c r="AM195" s="78" t="s">
        <v>1615</v>
      </c>
      <c r="AN195" s="78" t="s">
        <v>1615</v>
      </c>
      <c r="AO195" s="78" t="s">
        <v>1615</v>
      </c>
    </row>
    <row r="196" spans="1:41">
      <c r="A196" s="78" t="s">
        <v>1985</v>
      </c>
      <c r="B196" s="78" t="s">
        <v>1558</v>
      </c>
      <c r="C196" s="78" t="s">
        <v>366</v>
      </c>
      <c r="D196" s="78" t="s">
        <v>1973</v>
      </c>
      <c r="E196" s="78" t="s">
        <v>1986</v>
      </c>
      <c r="F196" s="78" t="s">
        <v>516</v>
      </c>
      <c r="G196" s="78" t="s">
        <v>1614</v>
      </c>
      <c r="H196" s="78">
        <v>33</v>
      </c>
      <c r="I196" s="78">
        <v>72.099999999999994</v>
      </c>
      <c r="J196" s="78">
        <v>1.4</v>
      </c>
      <c r="K196" s="78">
        <v>5.6</v>
      </c>
      <c r="L196" s="78">
        <v>2.6</v>
      </c>
      <c r="M196" s="78" t="s">
        <v>1615</v>
      </c>
      <c r="N196" s="78">
        <v>0</v>
      </c>
      <c r="O196" s="78">
        <v>1.1000000000000001</v>
      </c>
      <c r="P196" s="78">
        <v>0.25</v>
      </c>
      <c r="Q196" s="78">
        <v>0.25</v>
      </c>
      <c r="R196" s="78">
        <v>0.42</v>
      </c>
      <c r="S196" s="78" t="s">
        <v>1615</v>
      </c>
      <c r="T196" s="78">
        <v>23.7</v>
      </c>
      <c r="U196" s="78">
        <v>10.1</v>
      </c>
      <c r="V196" s="78">
        <v>0.4</v>
      </c>
      <c r="W196" s="78" t="s">
        <v>1615</v>
      </c>
      <c r="X196" s="78" t="s">
        <v>1615</v>
      </c>
      <c r="Y196" s="78" t="s">
        <v>1615</v>
      </c>
      <c r="Z196" s="78">
        <v>0.1</v>
      </c>
      <c r="AA196" s="78">
        <v>0.1</v>
      </c>
      <c r="AB196" s="78">
        <v>1.1000000000000001</v>
      </c>
      <c r="AC196" s="78" t="s">
        <v>1615</v>
      </c>
      <c r="AD196" s="78" t="s">
        <v>1615</v>
      </c>
      <c r="AE196" s="78" t="s">
        <v>1615</v>
      </c>
      <c r="AF196" s="78" t="s">
        <v>1615</v>
      </c>
      <c r="AG196" s="78">
        <v>36.1</v>
      </c>
      <c r="AH196" s="78" t="s">
        <v>1615</v>
      </c>
      <c r="AI196" s="78">
        <v>11.2</v>
      </c>
      <c r="AJ196" s="78" t="s">
        <v>1615</v>
      </c>
      <c r="AK196" s="78" t="s">
        <v>1615</v>
      </c>
      <c r="AL196" s="78">
        <v>1.6</v>
      </c>
      <c r="AM196" s="78" t="s">
        <v>1615</v>
      </c>
      <c r="AN196" s="78" t="s">
        <v>1615</v>
      </c>
      <c r="AO196" s="78" t="s">
        <v>1615</v>
      </c>
    </row>
    <row r="197" spans="1:41">
      <c r="A197" s="78" t="s">
        <v>1987</v>
      </c>
      <c r="B197" s="78" t="s">
        <v>1558</v>
      </c>
      <c r="C197" s="78" t="s">
        <v>366</v>
      </c>
      <c r="D197" s="78" t="s">
        <v>1975</v>
      </c>
      <c r="E197" s="78" t="s">
        <v>1988</v>
      </c>
      <c r="F197" s="78" t="s">
        <v>516</v>
      </c>
      <c r="G197" s="78" t="s">
        <v>1614</v>
      </c>
      <c r="H197" s="78">
        <v>288</v>
      </c>
      <c r="I197" s="78">
        <v>55.1</v>
      </c>
      <c r="J197" s="78">
        <v>1.8</v>
      </c>
      <c r="K197" s="78">
        <v>3.4</v>
      </c>
      <c r="L197" s="78">
        <v>16.5</v>
      </c>
      <c r="M197" s="78">
        <v>0.9</v>
      </c>
      <c r="N197" s="78">
        <v>0</v>
      </c>
      <c r="O197" s="78">
        <v>23.2</v>
      </c>
      <c r="P197" s="78">
        <v>3.4</v>
      </c>
      <c r="Q197" s="78">
        <v>7.3</v>
      </c>
      <c r="R197" s="78">
        <v>10.14</v>
      </c>
      <c r="S197" s="78">
        <v>0</v>
      </c>
      <c r="T197" s="78">
        <v>33</v>
      </c>
      <c r="U197" s="78" t="s">
        <v>1615</v>
      </c>
      <c r="V197" s="78" t="s">
        <v>1615</v>
      </c>
      <c r="W197" s="78" t="s">
        <v>1615</v>
      </c>
      <c r="X197" s="78" t="s">
        <v>1615</v>
      </c>
      <c r="Y197" s="78" t="s">
        <v>1615</v>
      </c>
      <c r="Z197" s="78" t="s">
        <v>1615</v>
      </c>
      <c r="AA197" s="78" t="s">
        <v>1615</v>
      </c>
      <c r="AB197" s="78" t="s">
        <v>1615</v>
      </c>
      <c r="AC197" s="78" t="s">
        <v>1615</v>
      </c>
      <c r="AD197" s="78" t="s">
        <v>1615</v>
      </c>
      <c r="AE197" s="78" t="s">
        <v>1615</v>
      </c>
      <c r="AF197" s="78" t="s">
        <v>1615</v>
      </c>
      <c r="AG197" s="78">
        <v>455</v>
      </c>
      <c r="AH197" s="78" t="s">
        <v>1615</v>
      </c>
      <c r="AI197" s="78" t="s">
        <v>1615</v>
      </c>
      <c r="AJ197" s="78" t="s">
        <v>1615</v>
      </c>
      <c r="AK197" s="78" t="s">
        <v>1615</v>
      </c>
      <c r="AL197" s="78" t="s">
        <v>1615</v>
      </c>
      <c r="AM197" s="78" t="s">
        <v>1615</v>
      </c>
      <c r="AN197" s="78" t="s">
        <v>1615</v>
      </c>
      <c r="AO197" s="78" t="s">
        <v>1615</v>
      </c>
    </row>
    <row r="198" spans="1:41">
      <c r="A198" s="78" t="s">
        <v>1989</v>
      </c>
      <c r="B198" s="78" t="s">
        <v>1558</v>
      </c>
      <c r="C198" s="78" t="s">
        <v>366</v>
      </c>
      <c r="D198" s="78" t="s">
        <v>1977</v>
      </c>
      <c r="E198" s="78" t="s">
        <v>1990</v>
      </c>
      <c r="F198" s="78" t="s">
        <v>1991</v>
      </c>
      <c r="G198" s="78" t="s">
        <v>1614</v>
      </c>
      <c r="H198" s="78">
        <v>345</v>
      </c>
      <c r="I198" s="78">
        <v>9.6</v>
      </c>
      <c r="J198" s="78">
        <v>3</v>
      </c>
      <c r="K198" s="78">
        <v>22.4</v>
      </c>
      <c r="L198" s="78">
        <v>38.4</v>
      </c>
      <c r="M198" s="78" t="s">
        <v>1615</v>
      </c>
      <c r="N198" s="78" t="s">
        <v>1615</v>
      </c>
      <c r="O198" s="78">
        <v>2.2000000000000002</v>
      </c>
      <c r="P198" s="78">
        <v>0.16</v>
      </c>
      <c r="Q198" s="78">
        <v>0.24</v>
      </c>
      <c r="R198" s="78">
        <v>0.5</v>
      </c>
      <c r="S198" s="78" t="s">
        <v>1615</v>
      </c>
      <c r="T198" s="78">
        <v>0</v>
      </c>
      <c r="U198" s="78" t="s">
        <v>1615</v>
      </c>
      <c r="V198" s="78">
        <v>1.8</v>
      </c>
      <c r="W198" s="78" t="s">
        <v>1615</v>
      </c>
      <c r="X198" s="78" t="s">
        <v>1615</v>
      </c>
      <c r="Y198" s="78" t="s">
        <v>1615</v>
      </c>
      <c r="Z198" s="78">
        <v>0.3</v>
      </c>
      <c r="AA198" s="78">
        <v>0.2</v>
      </c>
      <c r="AB198" s="78">
        <v>2.9</v>
      </c>
      <c r="AC198" s="78">
        <v>0.2</v>
      </c>
      <c r="AD198" s="78">
        <v>1.8</v>
      </c>
      <c r="AE198" s="78">
        <v>0</v>
      </c>
      <c r="AF198" s="78">
        <v>274</v>
      </c>
      <c r="AG198" s="78">
        <v>6.4</v>
      </c>
      <c r="AH198" s="78">
        <v>751</v>
      </c>
      <c r="AI198" s="78">
        <v>65</v>
      </c>
      <c r="AJ198" s="78">
        <v>306</v>
      </c>
      <c r="AK198" s="78">
        <v>115</v>
      </c>
      <c r="AL198" s="78">
        <v>4.5</v>
      </c>
      <c r="AM198" s="78">
        <v>3</v>
      </c>
      <c r="AN198" s="78">
        <v>1</v>
      </c>
      <c r="AO198" s="78">
        <v>0</v>
      </c>
    </row>
    <row r="199" spans="1:41">
      <c r="A199" s="78" t="s">
        <v>1992</v>
      </c>
      <c r="B199" s="78" t="s">
        <v>1558</v>
      </c>
      <c r="C199" s="78" t="s">
        <v>366</v>
      </c>
      <c r="D199" s="78" t="s">
        <v>1979</v>
      </c>
      <c r="E199" s="78" t="s">
        <v>1993</v>
      </c>
      <c r="F199" s="78" t="s">
        <v>1991</v>
      </c>
      <c r="G199" s="78" t="s">
        <v>1614</v>
      </c>
      <c r="H199" s="78">
        <v>333</v>
      </c>
      <c r="I199" s="78">
        <v>9.6</v>
      </c>
      <c r="J199" s="78">
        <v>3</v>
      </c>
      <c r="K199" s="78">
        <v>23.6</v>
      </c>
      <c r="L199" s="78">
        <v>38.200000000000003</v>
      </c>
      <c r="M199" s="78" t="s">
        <v>1615</v>
      </c>
      <c r="N199" s="78" t="s">
        <v>1615</v>
      </c>
      <c r="O199" s="78">
        <v>1.2</v>
      </c>
      <c r="P199" s="78" t="s">
        <v>1615</v>
      </c>
      <c r="Q199" s="78" t="s">
        <v>1615</v>
      </c>
      <c r="R199" s="78" t="s">
        <v>1615</v>
      </c>
      <c r="S199" s="78" t="s">
        <v>1615</v>
      </c>
      <c r="T199" s="78">
        <v>0</v>
      </c>
      <c r="U199" s="78" t="s">
        <v>1615</v>
      </c>
      <c r="V199" s="78" t="s">
        <v>1615</v>
      </c>
      <c r="W199" s="78" t="s">
        <v>1615</v>
      </c>
      <c r="X199" s="78" t="s">
        <v>1615</v>
      </c>
      <c r="Y199" s="78" t="s">
        <v>1615</v>
      </c>
      <c r="Z199" s="78">
        <v>0.1</v>
      </c>
      <c r="AA199" s="78">
        <v>0.1</v>
      </c>
      <c r="AB199" s="78" t="s">
        <v>1615</v>
      </c>
      <c r="AC199" s="78" t="s">
        <v>1615</v>
      </c>
      <c r="AD199" s="78" t="s">
        <v>1615</v>
      </c>
      <c r="AE199" s="78" t="s">
        <v>1615</v>
      </c>
      <c r="AF199" s="78" t="s">
        <v>1615</v>
      </c>
      <c r="AG199" s="78">
        <v>28</v>
      </c>
      <c r="AH199" s="78">
        <v>886</v>
      </c>
      <c r="AI199" s="78">
        <v>56</v>
      </c>
      <c r="AJ199" s="78">
        <v>302</v>
      </c>
      <c r="AK199" s="78" t="s">
        <v>1615</v>
      </c>
      <c r="AL199" s="78">
        <v>33.299999999999997</v>
      </c>
      <c r="AM199" s="78" t="s">
        <v>1615</v>
      </c>
      <c r="AN199" s="78" t="s">
        <v>1615</v>
      </c>
      <c r="AO199" s="78" t="s">
        <v>1615</v>
      </c>
    </row>
    <row r="200" spans="1:41">
      <c r="A200" s="78" t="s">
        <v>1994</v>
      </c>
      <c r="B200" s="78" t="s">
        <v>1558</v>
      </c>
      <c r="C200" s="78" t="s">
        <v>366</v>
      </c>
      <c r="D200" s="78" t="s">
        <v>1981</v>
      </c>
      <c r="E200" s="78" t="s">
        <v>1995</v>
      </c>
      <c r="F200" s="78" t="s">
        <v>1991</v>
      </c>
      <c r="G200" s="78" t="s">
        <v>1614</v>
      </c>
      <c r="H200" s="78">
        <v>81</v>
      </c>
      <c r="I200" s="78">
        <v>78.900000000000006</v>
      </c>
      <c r="J200" s="78">
        <v>0.9</v>
      </c>
      <c r="K200" s="78">
        <v>5.4</v>
      </c>
      <c r="L200" s="78">
        <v>8.6999999999999993</v>
      </c>
      <c r="M200" s="78">
        <v>5.7</v>
      </c>
      <c r="N200" s="78">
        <v>5.7</v>
      </c>
      <c r="O200" s="78">
        <v>0.4</v>
      </c>
      <c r="P200" s="78">
        <v>7.0000000000000007E-2</v>
      </c>
      <c r="Q200" s="78">
        <v>0.04</v>
      </c>
      <c r="R200" s="78">
        <v>0.19</v>
      </c>
      <c r="S200" s="78" t="s">
        <v>1615</v>
      </c>
      <c r="T200" s="78">
        <v>0</v>
      </c>
      <c r="U200" s="78">
        <v>38</v>
      </c>
      <c r="V200" s="78">
        <v>40</v>
      </c>
      <c r="W200" s="78">
        <v>0</v>
      </c>
      <c r="X200" s="78">
        <v>0.1</v>
      </c>
      <c r="Y200" s="78">
        <v>24.8</v>
      </c>
      <c r="Z200" s="78">
        <v>0.1</v>
      </c>
      <c r="AA200" s="78">
        <v>0</v>
      </c>
      <c r="AB200" s="78">
        <v>2.1</v>
      </c>
      <c r="AC200" s="78">
        <v>0.2</v>
      </c>
      <c r="AD200" s="78">
        <v>0.1</v>
      </c>
      <c r="AE200" s="78">
        <v>0</v>
      </c>
      <c r="AF200" s="78">
        <v>65</v>
      </c>
      <c r="AG200" s="78">
        <v>5</v>
      </c>
      <c r="AH200" s="78">
        <v>244</v>
      </c>
      <c r="AI200" s="78">
        <v>25</v>
      </c>
      <c r="AJ200" s="78">
        <v>108</v>
      </c>
      <c r="AK200" s="78">
        <v>33</v>
      </c>
      <c r="AL200" s="78">
        <v>1.5</v>
      </c>
      <c r="AM200" s="78">
        <v>1.2</v>
      </c>
      <c r="AN200" s="78">
        <v>0.2</v>
      </c>
      <c r="AO200" s="78">
        <v>1.8</v>
      </c>
    </row>
    <row r="201" spans="1:41">
      <c r="A201" s="78" t="s">
        <v>1996</v>
      </c>
      <c r="B201" s="78" t="s">
        <v>1558</v>
      </c>
      <c r="C201" s="78" t="s">
        <v>366</v>
      </c>
      <c r="D201" s="78" t="s">
        <v>1983</v>
      </c>
      <c r="E201" s="78" t="s">
        <v>1997</v>
      </c>
      <c r="F201" s="78" t="s">
        <v>1991</v>
      </c>
      <c r="G201" s="78" t="s">
        <v>1614</v>
      </c>
      <c r="H201" s="78">
        <v>69</v>
      </c>
      <c r="I201" s="78">
        <v>81.7</v>
      </c>
      <c r="J201" s="78" t="s">
        <v>1615</v>
      </c>
      <c r="K201" s="78">
        <v>4.4000000000000004</v>
      </c>
      <c r="L201" s="78">
        <v>9.3000000000000007</v>
      </c>
      <c r="M201" s="78" t="s">
        <v>1615</v>
      </c>
      <c r="N201" s="78">
        <v>3.4</v>
      </c>
      <c r="O201" s="78">
        <v>0.4</v>
      </c>
      <c r="P201" s="78">
        <v>0.06</v>
      </c>
      <c r="Q201" s="78">
        <v>0.03</v>
      </c>
      <c r="R201" s="78">
        <v>0.16</v>
      </c>
      <c r="S201" s="78" t="s">
        <v>1615</v>
      </c>
      <c r="T201" s="78">
        <v>0</v>
      </c>
      <c r="U201" s="78">
        <v>76.900000000000006</v>
      </c>
      <c r="V201" s="78">
        <v>9.6</v>
      </c>
      <c r="W201" s="78" t="s">
        <v>1615</v>
      </c>
      <c r="X201" s="78">
        <v>0.9</v>
      </c>
      <c r="Y201" s="78" t="s">
        <v>1615</v>
      </c>
      <c r="Z201" s="78">
        <v>0.1</v>
      </c>
      <c r="AA201" s="78">
        <v>0</v>
      </c>
      <c r="AB201" s="78">
        <v>0.7</v>
      </c>
      <c r="AC201" s="78">
        <v>0.1</v>
      </c>
      <c r="AD201" s="78">
        <v>0.1</v>
      </c>
      <c r="AE201" s="78">
        <v>0</v>
      </c>
      <c r="AF201" s="78">
        <v>44.4</v>
      </c>
      <c r="AG201" s="78">
        <v>219</v>
      </c>
      <c r="AH201" s="78">
        <v>173</v>
      </c>
      <c r="AI201" s="78">
        <v>20</v>
      </c>
      <c r="AJ201" s="78">
        <v>67.099999999999994</v>
      </c>
      <c r="AK201" s="78">
        <v>17.100000000000001</v>
      </c>
      <c r="AL201" s="78">
        <v>1</v>
      </c>
      <c r="AM201" s="78">
        <v>0.7</v>
      </c>
      <c r="AN201" s="78">
        <v>0.1</v>
      </c>
      <c r="AO201" s="78">
        <v>4</v>
      </c>
    </row>
    <row r="202" spans="1:41">
      <c r="A202" s="78" t="s">
        <v>1998</v>
      </c>
      <c r="B202" s="78" t="s">
        <v>1558</v>
      </c>
      <c r="C202" s="78" t="s">
        <v>366</v>
      </c>
      <c r="D202" s="78" t="s">
        <v>1985</v>
      </c>
      <c r="E202" s="78" t="s">
        <v>1999</v>
      </c>
      <c r="F202" s="78" t="s">
        <v>1991</v>
      </c>
      <c r="G202" s="78" t="s">
        <v>1614</v>
      </c>
      <c r="H202" s="78">
        <v>163</v>
      </c>
      <c r="I202" s="78">
        <v>60.2</v>
      </c>
      <c r="J202" s="78">
        <v>1.2</v>
      </c>
      <c r="K202" s="78">
        <v>8.8000000000000007</v>
      </c>
      <c r="L202" s="78">
        <v>20.399999999999999</v>
      </c>
      <c r="M202" s="78" t="s">
        <v>1615</v>
      </c>
      <c r="N202" s="78">
        <v>6.8</v>
      </c>
      <c r="O202" s="78">
        <v>2.6</v>
      </c>
      <c r="P202" s="78">
        <v>0.27</v>
      </c>
      <c r="Q202" s="78">
        <v>0.57999999999999996</v>
      </c>
      <c r="R202" s="78">
        <v>1.1599999999999999</v>
      </c>
      <c r="S202" s="78" t="s">
        <v>1615</v>
      </c>
      <c r="T202" s="78">
        <v>0</v>
      </c>
      <c r="U202" s="78">
        <v>3</v>
      </c>
      <c r="V202" s="78">
        <v>1.3</v>
      </c>
      <c r="W202" s="78" t="s">
        <v>1615</v>
      </c>
      <c r="X202" s="78">
        <v>1.2</v>
      </c>
      <c r="Y202" s="78" t="s">
        <v>1615</v>
      </c>
      <c r="Z202" s="78">
        <v>0.1</v>
      </c>
      <c r="AA202" s="78">
        <v>0.1</v>
      </c>
      <c r="AB202" s="78">
        <v>0.5</v>
      </c>
      <c r="AC202" s="78">
        <v>0.1</v>
      </c>
      <c r="AD202" s="78">
        <v>0.3</v>
      </c>
      <c r="AE202" s="78">
        <v>0</v>
      </c>
      <c r="AF202" s="78">
        <v>172</v>
      </c>
      <c r="AG202" s="78">
        <v>7</v>
      </c>
      <c r="AH202" s="78">
        <v>291</v>
      </c>
      <c r="AI202" s="78">
        <v>49</v>
      </c>
      <c r="AJ202" s="78">
        <v>168</v>
      </c>
      <c r="AK202" s="78">
        <v>48</v>
      </c>
      <c r="AL202" s="78">
        <v>2.9</v>
      </c>
      <c r="AM202" s="78">
        <v>1.5</v>
      </c>
      <c r="AN202" s="78">
        <v>0.4</v>
      </c>
      <c r="AO202" s="78">
        <v>3.7</v>
      </c>
    </row>
    <row r="203" spans="1:41">
      <c r="A203" s="78" t="s">
        <v>2000</v>
      </c>
      <c r="B203" s="78" t="s">
        <v>1558</v>
      </c>
      <c r="C203" s="78" t="s">
        <v>366</v>
      </c>
      <c r="D203" s="78" t="s">
        <v>1987</v>
      </c>
      <c r="E203" s="78" t="s">
        <v>2001</v>
      </c>
      <c r="F203" s="78" t="s">
        <v>1991</v>
      </c>
      <c r="G203" s="78" t="s">
        <v>1614</v>
      </c>
      <c r="H203" s="78">
        <v>378</v>
      </c>
      <c r="I203" s="78">
        <v>7.7</v>
      </c>
      <c r="J203" s="78">
        <v>2.9</v>
      </c>
      <c r="K203" s="78">
        <v>20.5</v>
      </c>
      <c r="L203" s="78">
        <v>50.8</v>
      </c>
      <c r="M203" s="78">
        <v>10.7</v>
      </c>
      <c r="N203" s="78">
        <v>12.2</v>
      </c>
      <c r="O203" s="78">
        <v>6</v>
      </c>
      <c r="P203" s="78">
        <v>0.6</v>
      </c>
      <c r="Q203" s="78">
        <v>1.38</v>
      </c>
      <c r="R203" s="78">
        <v>2.73</v>
      </c>
      <c r="S203" s="78" t="s">
        <v>1615</v>
      </c>
      <c r="T203" s="78">
        <v>0</v>
      </c>
      <c r="U203" s="78">
        <v>3</v>
      </c>
      <c r="V203" s="78">
        <v>4</v>
      </c>
      <c r="W203" s="78">
        <v>0</v>
      </c>
      <c r="X203" s="78">
        <v>0.8</v>
      </c>
      <c r="Y203" s="78">
        <v>9</v>
      </c>
      <c r="Z203" s="78">
        <v>0.5</v>
      </c>
      <c r="AA203" s="78">
        <v>0.2</v>
      </c>
      <c r="AB203" s="78">
        <v>1.5</v>
      </c>
      <c r="AC203" s="78">
        <v>0.5</v>
      </c>
      <c r="AD203" s="78">
        <v>1.6</v>
      </c>
      <c r="AE203" s="78">
        <v>0</v>
      </c>
      <c r="AF203" s="78">
        <v>557</v>
      </c>
      <c r="AG203" s="78">
        <v>24</v>
      </c>
      <c r="AH203" s="78">
        <v>718</v>
      </c>
      <c r="AI203" s="78">
        <v>57</v>
      </c>
      <c r="AJ203" s="78">
        <v>252</v>
      </c>
      <c r="AK203" s="78">
        <v>79</v>
      </c>
      <c r="AL203" s="78">
        <v>4.3</v>
      </c>
      <c r="AM203" s="78">
        <v>2.8</v>
      </c>
      <c r="AN203" s="78">
        <v>0.7</v>
      </c>
      <c r="AO203" s="78">
        <v>0</v>
      </c>
    </row>
    <row r="204" spans="1:41">
      <c r="A204" s="78" t="s">
        <v>2002</v>
      </c>
      <c r="B204" s="78" t="s">
        <v>1558</v>
      </c>
      <c r="C204" s="78" t="s">
        <v>366</v>
      </c>
      <c r="D204" s="78" t="s">
        <v>1989</v>
      </c>
      <c r="E204" s="78" t="s">
        <v>2003</v>
      </c>
      <c r="F204" s="78" t="s">
        <v>1991</v>
      </c>
      <c r="G204" s="78" t="s">
        <v>1614</v>
      </c>
      <c r="H204" s="78">
        <v>387</v>
      </c>
      <c r="I204" s="78">
        <v>10.3</v>
      </c>
      <c r="J204" s="78">
        <v>2.8</v>
      </c>
      <c r="K204" s="78">
        <v>22.4</v>
      </c>
      <c r="L204" s="78">
        <v>47</v>
      </c>
      <c r="M204" s="78">
        <v>10.9</v>
      </c>
      <c r="N204" s="78">
        <v>10.8</v>
      </c>
      <c r="O204" s="78">
        <v>6.7</v>
      </c>
      <c r="P204" s="78">
        <v>0.69</v>
      </c>
      <c r="Q204" s="78">
        <v>1.5</v>
      </c>
      <c r="R204" s="78">
        <v>2.98</v>
      </c>
      <c r="S204" s="78" t="s">
        <v>1615</v>
      </c>
      <c r="T204" s="78">
        <v>0</v>
      </c>
      <c r="U204" s="78">
        <v>2</v>
      </c>
      <c r="V204" s="78">
        <v>0</v>
      </c>
      <c r="W204" s="78">
        <v>0</v>
      </c>
      <c r="X204" s="78">
        <v>0.8</v>
      </c>
      <c r="Y204" s="78">
        <v>9.1</v>
      </c>
      <c r="Z204" s="78">
        <v>0.5</v>
      </c>
      <c r="AA204" s="78">
        <v>0.1</v>
      </c>
      <c r="AB204" s="78">
        <v>1.8</v>
      </c>
      <c r="AC204" s="78">
        <v>0.5</v>
      </c>
      <c r="AD204" s="78">
        <v>0.6</v>
      </c>
      <c r="AE204" s="78">
        <v>0</v>
      </c>
      <c r="AF204" s="78">
        <v>437</v>
      </c>
      <c r="AG204" s="78">
        <v>64</v>
      </c>
      <c r="AH204" s="78">
        <v>846</v>
      </c>
      <c r="AI204" s="78">
        <v>45</v>
      </c>
      <c r="AJ204" s="78">
        <v>318</v>
      </c>
      <c r="AK204" s="78">
        <v>166</v>
      </c>
      <c r="AL204" s="78">
        <v>4.9000000000000004</v>
      </c>
      <c r="AM204" s="78">
        <v>2.8</v>
      </c>
      <c r="AN204" s="78">
        <v>0.9</v>
      </c>
      <c r="AO204" s="78">
        <v>8.3000000000000007</v>
      </c>
    </row>
    <row r="205" spans="1:41">
      <c r="A205" s="78" t="s">
        <v>2004</v>
      </c>
      <c r="B205" s="78" t="s">
        <v>1558</v>
      </c>
      <c r="C205" s="78" t="s">
        <v>366</v>
      </c>
      <c r="D205" s="78" t="s">
        <v>1992</v>
      </c>
      <c r="E205" s="78" t="s">
        <v>2005</v>
      </c>
      <c r="F205" s="78" t="s">
        <v>1991</v>
      </c>
      <c r="G205" s="78" t="s">
        <v>1614</v>
      </c>
      <c r="H205" s="78">
        <v>72</v>
      </c>
      <c r="I205" s="78">
        <v>81</v>
      </c>
      <c r="J205" s="78">
        <v>1.1000000000000001</v>
      </c>
      <c r="K205" s="78">
        <v>5.6</v>
      </c>
      <c r="L205" s="78">
        <v>7.5</v>
      </c>
      <c r="M205" s="78" t="s">
        <v>1615</v>
      </c>
      <c r="N205" s="78">
        <v>4.2</v>
      </c>
      <c r="O205" s="78">
        <v>0.6</v>
      </c>
      <c r="P205" s="78">
        <v>0.14000000000000001</v>
      </c>
      <c r="Q205" s="78">
        <v>0.02</v>
      </c>
      <c r="R205" s="78">
        <v>0.31</v>
      </c>
      <c r="S205" s="78" t="s">
        <v>1615</v>
      </c>
      <c r="T205" s="78">
        <v>0</v>
      </c>
      <c r="U205" s="78">
        <v>18</v>
      </c>
      <c r="V205" s="78">
        <v>33</v>
      </c>
      <c r="W205" s="78">
        <v>0</v>
      </c>
      <c r="X205" s="78" t="s">
        <v>1615</v>
      </c>
      <c r="Y205" s="78" t="s">
        <v>1615</v>
      </c>
      <c r="Z205" s="78">
        <v>0.2</v>
      </c>
      <c r="AA205" s="78">
        <v>0.1</v>
      </c>
      <c r="AB205" s="78">
        <v>1.5</v>
      </c>
      <c r="AC205" s="78">
        <v>0</v>
      </c>
      <c r="AD205" s="78">
        <v>0.1</v>
      </c>
      <c r="AE205" s="78">
        <v>0</v>
      </c>
      <c r="AF205" s="78">
        <v>96</v>
      </c>
      <c r="AG205" s="78">
        <v>50</v>
      </c>
      <c r="AH205" s="78">
        <v>250</v>
      </c>
      <c r="AI205" s="78">
        <v>22</v>
      </c>
      <c r="AJ205" s="78">
        <v>95</v>
      </c>
      <c r="AK205" s="78">
        <v>38</v>
      </c>
      <c r="AL205" s="78">
        <v>1.9</v>
      </c>
      <c r="AM205" s="78">
        <v>0.6</v>
      </c>
      <c r="AN205" s="78">
        <v>0.1</v>
      </c>
      <c r="AO205" s="78">
        <v>1.2</v>
      </c>
    </row>
    <row r="206" spans="1:41">
      <c r="A206" s="78" t="s">
        <v>2006</v>
      </c>
      <c r="B206" s="78" t="s">
        <v>1558</v>
      </c>
      <c r="C206" s="78" t="s">
        <v>366</v>
      </c>
      <c r="D206" s="78" t="s">
        <v>1994</v>
      </c>
      <c r="E206" s="78" t="s">
        <v>2007</v>
      </c>
      <c r="F206" s="78" t="s">
        <v>1991</v>
      </c>
      <c r="G206" s="78" t="s">
        <v>1614</v>
      </c>
      <c r="H206" s="78">
        <v>341</v>
      </c>
      <c r="I206" s="78">
        <v>11</v>
      </c>
      <c r="J206" s="78">
        <v>2.8</v>
      </c>
      <c r="K206" s="78">
        <v>26.1</v>
      </c>
      <c r="L206" s="78">
        <v>57.7</v>
      </c>
      <c r="M206" s="78" t="s">
        <v>1615</v>
      </c>
      <c r="N206" s="78">
        <v>1.6</v>
      </c>
      <c r="O206" s="78">
        <v>1.5</v>
      </c>
      <c r="P206" s="78">
        <v>0.25</v>
      </c>
      <c r="Q206" s="78">
        <v>0.3</v>
      </c>
      <c r="R206" s="78">
        <v>0.63</v>
      </c>
      <c r="S206" s="78" t="s">
        <v>1615</v>
      </c>
      <c r="T206" s="78">
        <v>0</v>
      </c>
      <c r="U206" s="78">
        <v>5</v>
      </c>
      <c r="V206" s="78">
        <v>1.4</v>
      </c>
      <c r="W206" s="78" t="s">
        <v>1615</v>
      </c>
      <c r="X206" s="78" t="s">
        <v>1615</v>
      </c>
      <c r="Y206" s="78" t="s">
        <v>1615</v>
      </c>
      <c r="Z206" s="78">
        <v>0.6</v>
      </c>
      <c r="AA206" s="78">
        <v>0.3</v>
      </c>
      <c r="AB206" s="78">
        <v>2.8</v>
      </c>
      <c r="AC206" s="78">
        <v>0.4</v>
      </c>
      <c r="AD206" s="78">
        <v>1</v>
      </c>
      <c r="AE206" s="78">
        <v>0</v>
      </c>
      <c r="AF206" s="78">
        <v>423</v>
      </c>
      <c r="AG206" s="78">
        <v>13</v>
      </c>
      <c r="AH206" s="78">
        <v>1062</v>
      </c>
      <c r="AI206" s="78">
        <v>103</v>
      </c>
      <c r="AJ206" s="78">
        <v>421</v>
      </c>
      <c r="AK206" s="78">
        <v>192</v>
      </c>
      <c r="AL206" s="78">
        <v>6.7</v>
      </c>
      <c r="AM206" s="78">
        <v>3.1</v>
      </c>
      <c r="AN206" s="78">
        <v>0.8</v>
      </c>
      <c r="AO206" s="78">
        <v>7.3</v>
      </c>
    </row>
    <row r="207" spans="1:41">
      <c r="A207" s="78" t="s">
        <v>2008</v>
      </c>
      <c r="B207" s="78" t="s">
        <v>1558</v>
      </c>
      <c r="C207" s="78" t="s">
        <v>366</v>
      </c>
      <c r="D207" s="78" t="s">
        <v>1996</v>
      </c>
      <c r="E207" s="78" t="s">
        <v>2009</v>
      </c>
      <c r="F207" s="78" t="s">
        <v>1991</v>
      </c>
      <c r="G207" s="78" t="s">
        <v>1614</v>
      </c>
      <c r="H207" s="78">
        <v>116</v>
      </c>
      <c r="I207" s="78">
        <v>69.599999999999994</v>
      </c>
      <c r="J207" s="78">
        <v>0.8</v>
      </c>
      <c r="K207" s="78">
        <v>9</v>
      </c>
      <c r="L207" s="78">
        <v>12.2</v>
      </c>
      <c r="M207" s="78">
        <v>1.8</v>
      </c>
      <c r="N207" s="78">
        <v>7.9</v>
      </c>
      <c r="O207" s="78">
        <v>0.4</v>
      </c>
      <c r="P207" s="78">
        <v>0.05</v>
      </c>
      <c r="Q207" s="78">
        <v>0.06</v>
      </c>
      <c r="R207" s="78">
        <v>0.18</v>
      </c>
      <c r="S207" s="78" t="s">
        <v>1615</v>
      </c>
      <c r="T207" s="78">
        <v>0</v>
      </c>
      <c r="U207" s="78">
        <v>0</v>
      </c>
      <c r="V207" s="78">
        <v>1.5</v>
      </c>
      <c r="W207" s="78">
        <v>0</v>
      </c>
      <c r="X207" s="78">
        <v>0.1</v>
      </c>
      <c r="Y207" s="78">
        <v>1.7</v>
      </c>
      <c r="Z207" s="78">
        <v>0.2</v>
      </c>
      <c r="AA207" s="78">
        <v>0.1</v>
      </c>
      <c r="AB207" s="78">
        <v>1.1000000000000001</v>
      </c>
      <c r="AC207" s="78">
        <v>0.2</v>
      </c>
      <c r="AD207" s="78">
        <v>0.6</v>
      </c>
      <c r="AE207" s="78">
        <v>0</v>
      </c>
      <c r="AF207" s="78">
        <v>181</v>
      </c>
      <c r="AG207" s="78">
        <v>2</v>
      </c>
      <c r="AH207" s="78">
        <v>369</v>
      </c>
      <c r="AI207" s="78">
        <v>19</v>
      </c>
      <c r="AJ207" s="78">
        <v>180</v>
      </c>
      <c r="AK207" s="78">
        <v>36</v>
      </c>
      <c r="AL207" s="78">
        <v>3.3</v>
      </c>
      <c r="AM207" s="78">
        <v>1.3</v>
      </c>
      <c r="AN207" s="78">
        <v>0.3</v>
      </c>
      <c r="AO207" s="78">
        <v>2.8</v>
      </c>
    </row>
    <row r="208" spans="1:41">
      <c r="A208" s="78" t="s">
        <v>2010</v>
      </c>
      <c r="B208" s="78" t="s">
        <v>1558</v>
      </c>
      <c r="C208" s="78" t="s">
        <v>366</v>
      </c>
      <c r="D208" s="78" t="s">
        <v>1998</v>
      </c>
      <c r="E208" s="78" t="s">
        <v>2011</v>
      </c>
      <c r="F208" s="78" t="s">
        <v>1991</v>
      </c>
      <c r="G208" s="78" t="s">
        <v>1614</v>
      </c>
      <c r="H208" s="78">
        <v>352</v>
      </c>
      <c r="I208" s="78">
        <v>8.3000000000000007</v>
      </c>
      <c r="J208" s="78">
        <v>2.7</v>
      </c>
      <c r="K208" s="78">
        <v>24.6</v>
      </c>
      <c r="L208" s="78">
        <v>52.6</v>
      </c>
      <c r="M208" s="78">
        <v>2</v>
      </c>
      <c r="N208" s="78">
        <v>10.7</v>
      </c>
      <c r="O208" s="78">
        <v>1.1000000000000001</v>
      </c>
      <c r="P208" s="78">
        <v>0.15</v>
      </c>
      <c r="Q208" s="78">
        <v>0.19</v>
      </c>
      <c r="R208" s="78">
        <v>0.53</v>
      </c>
      <c r="S208" s="78" t="s">
        <v>1615</v>
      </c>
      <c r="T208" s="78">
        <v>0</v>
      </c>
      <c r="U208" s="78">
        <v>2</v>
      </c>
      <c r="V208" s="78">
        <v>4.5</v>
      </c>
      <c r="W208" s="78">
        <v>0</v>
      </c>
      <c r="X208" s="78">
        <v>0.5</v>
      </c>
      <c r="Y208" s="78">
        <v>5</v>
      </c>
      <c r="Z208" s="78">
        <v>0.9</v>
      </c>
      <c r="AA208" s="78">
        <v>0.2</v>
      </c>
      <c r="AB208" s="78">
        <v>2.6</v>
      </c>
      <c r="AC208" s="78">
        <v>0.5</v>
      </c>
      <c r="AD208" s="78">
        <v>2.1</v>
      </c>
      <c r="AE208" s="78">
        <v>0</v>
      </c>
      <c r="AF208" s="78">
        <v>479</v>
      </c>
      <c r="AG208" s="78">
        <v>6</v>
      </c>
      <c r="AH208" s="78">
        <v>677</v>
      </c>
      <c r="AI208" s="78">
        <v>35</v>
      </c>
      <c r="AJ208" s="78">
        <v>281</v>
      </c>
      <c r="AK208" s="78">
        <v>47</v>
      </c>
      <c r="AL208" s="78">
        <v>6.5</v>
      </c>
      <c r="AM208" s="78">
        <v>3.3</v>
      </c>
      <c r="AN208" s="78">
        <v>0.8</v>
      </c>
      <c r="AO208" s="78">
        <v>0.1</v>
      </c>
    </row>
    <row r="209" spans="1:41">
      <c r="A209" s="78" t="s">
        <v>2012</v>
      </c>
      <c r="B209" s="78" t="s">
        <v>1558</v>
      </c>
      <c r="C209" s="78" t="s">
        <v>366</v>
      </c>
      <c r="D209" s="78" t="s">
        <v>2000</v>
      </c>
      <c r="E209" s="78" t="s">
        <v>2013</v>
      </c>
      <c r="F209" s="78" t="s">
        <v>1991</v>
      </c>
      <c r="G209" s="78" t="s">
        <v>1614</v>
      </c>
      <c r="H209" s="78">
        <v>340</v>
      </c>
      <c r="I209" s="78">
        <v>7.6</v>
      </c>
      <c r="J209" s="78">
        <v>4.8</v>
      </c>
      <c r="K209" s="78">
        <v>32.799999999999997</v>
      </c>
      <c r="L209" s="78">
        <v>43</v>
      </c>
      <c r="M209" s="78" t="s">
        <v>1615</v>
      </c>
      <c r="N209" s="78" t="s">
        <v>1615</v>
      </c>
      <c r="O209" s="78">
        <v>1</v>
      </c>
      <c r="P209" s="78" t="s">
        <v>1615</v>
      </c>
      <c r="Q209" s="78" t="s">
        <v>1615</v>
      </c>
      <c r="R209" s="78" t="s">
        <v>1615</v>
      </c>
      <c r="S209" s="78" t="s">
        <v>1615</v>
      </c>
      <c r="T209" s="78">
        <v>0</v>
      </c>
      <c r="U209" s="78" t="s">
        <v>1615</v>
      </c>
      <c r="V209" s="78" t="s">
        <v>1615</v>
      </c>
      <c r="W209" s="78" t="s">
        <v>1615</v>
      </c>
      <c r="X209" s="78" t="s">
        <v>1615</v>
      </c>
      <c r="Y209" s="78" t="s">
        <v>1615</v>
      </c>
      <c r="Z209" s="78">
        <v>0.3</v>
      </c>
      <c r="AA209" s="78">
        <v>0</v>
      </c>
      <c r="AB209" s="78" t="s">
        <v>1615</v>
      </c>
      <c r="AC209" s="78" t="s">
        <v>1615</v>
      </c>
      <c r="AD209" s="78" t="s">
        <v>1615</v>
      </c>
      <c r="AE209" s="78" t="s">
        <v>1615</v>
      </c>
      <c r="AF209" s="78" t="s">
        <v>1615</v>
      </c>
      <c r="AG209" s="78">
        <v>21</v>
      </c>
      <c r="AH209" s="78">
        <v>1031</v>
      </c>
      <c r="AI209" s="78">
        <v>49</v>
      </c>
      <c r="AJ209" s="78">
        <v>464</v>
      </c>
      <c r="AK209" s="78" t="s">
        <v>1615</v>
      </c>
      <c r="AL209" s="78">
        <v>50.2</v>
      </c>
      <c r="AM209" s="78" t="s">
        <v>1615</v>
      </c>
      <c r="AN209" s="78" t="s">
        <v>1615</v>
      </c>
      <c r="AO209" s="78" t="s">
        <v>1615</v>
      </c>
    </row>
    <row r="210" spans="1:41">
      <c r="A210" s="78" t="s">
        <v>2014</v>
      </c>
      <c r="B210" s="78" t="s">
        <v>1558</v>
      </c>
      <c r="C210" s="78" t="s">
        <v>366</v>
      </c>
      <c r="D210" s="78" t="s">
        <v>2002</v>
      </c>
      <c r="E210" s="78" t="s">
        <v>2015</v>
      </c>
      <c r="F210" s="78" t="s">
        <v>1991</v>
      </c>
      <c r="G210" s="78" t="s">
        <v>1614</v>
      </c>
      <c r="H210" s="78">
        <v>139</v>
      </c>
      <c r="I210" s="78">
        <v>64.2</v>
      </c>
      <c r="J210" s="78">
        <v>1.7</v>
      </c>
      <c r="K210" s="78">
        <v>9.6999999999999993</v>
      </c>
      <c r="L210" s="78">
        <v>19.100000000000001</v>
      </c>
      <c r="M210" s="78" t="s">
        <v>1615</v>
      </c>
      <c r="N210" s="78">
        <v>4.9000000000000004</v>
      </c>
      <c r="O210" s="78">
        <v>0.4</v>
      </c>
      <c r="P210" s="78">
        <v>0.09</v>
      </c>
      <c r="Q210" s="78">
        <v>0.03</v>
      </c>
      <c r="R210" s="78">
        <v>0.15</v>
      </c>
      <c r="S210" s="78" t="s">
        <v>1615</v>
      </c>
      <c r="T210" s="78">
        <v>0</v>
      </c>
      <c r="U210" s="78">
        <v>0</v>
      </c>
      <c r="V210" s="78">
        <v>0</v>
      </c>
      <c r="W210" s="78" t="s">
        <v>1615</v>
      </c>
      <c r="X210" s="78" t="s">
        <v>1615</v>
      </c>
      <c r="Y210" s="78" t="s">
        <v>1615</v>
      </c>
      <c r="Z210" s="78">
        <v>0.1</v>
      </c>
      <c r="AA210" s="78">
        <v>0</v>
      </c>
      <c r="AB210" s="78">
        <v>0.1</v>
      </c>
      <c r="AC210" s="78">
        <v>0.1</v>
      </c>
      <c r="AD210" s="78">
        <v>0.2</v>
      </c>
      <c r="AE210" s="78">
        <v>0</v>
      </c>
      <c r="AF210" s="78">
        <v>81</v>
      </c>
      <c r="AG210" s="78">
        <v>6.1</v>
      </c>
      <c r="AH210" s="78">
        <v>560.29999999999995</v>
      </c>
      <c r="AI210" s="78">
        <v>89.9</v>
      </c>
      <c r="AJ210" s="78">
        <v>112.8</v>
      </c>
      <c r="AK210" s="78">
        <v>63.1</v>
      </c>
      <c r="AL210" s="78">
        <v>3.7</v>
      </c>
      <c r="AM210" s="78">
        <v>1.4</v>
      </c>
      <c r="AN210" s="78">
        <v>0.3</v>
      </c>
      <c r="AO210" s="78" t="s">
        <v>1615</v>
      </c>
    </row>
    <row r="211" spans="1:41">
      <c r="A211" s="78" t="s">
        <v>2016</v>
      </c>
      <c r="B211" s="78" t="s">
        <v>1558</v>
      </c>
      <c r="C211" s="78" t="s">
        <v>366</v>
      </c>
      <c r="D211" s="78" t="s">
        <v>2004</v>
      </c>
      <c r="E211" s="78" t="s">
        <v>2017</v>
      </c>
      <c r="F211" s="78" t="s">
        <v>1991</v>
      </c>
      <c r="G211" s="78" t="s">
        <v>1614</v>
      </c>
      <c r="H211" s="78">
        <v>333</v>
      </c>
      <c r="I211" s="78">
        <v>11.3</v>
      </c>
      <c r="J211" s="78">
        <v>4.2</v>
      </c>
      <c r="K211" s="78">
        <v>23.4</v>
      </c>
      <c r="L211" s="78">
        <v>45.1</v>
      </c>
      <c r="M211" s="78">
        <v>2.1</v>
      </c>
      <c r="N211" s="78">
        <v>15.2</v>
      </c>
      <c r="O211" s="78">
        <v>0.9</v>
      </c>
      <c r="P211" s="78">
        <v>0.22</v>
      </c>
      <c r="Q211" s="78">
        <v>7.0000000000000007E-2</v>
      </c>
      <c r="R211" s="78">
        <v>0.36</v>
      </c>
      <c r="S211" s="78" t="s">
        <v>1615</v>
      </c>
      <c r="T211" s="78">
        <v>0</v>
      </c>
      <c r="U211" s="78">
        <v>0</v>
      </c>
      <c r="V211" s="78">
        <v>0</v>
      </c>
      <c r="W211" s="78">
        <v>0</v>
      </c>
      <c r="X211" s="78">
        <v>0.2</v>
      </c>
      <c r="Y211" s="78">
        <v>5.6</v>
      </c>
      <c r="Z211" s="78">
        <v>0.4</v>
      </c>
      <c r="AA211" s="78">
        <v>0.1</v>
      </c>
      <c r="AB211" s="78">
        <v>0.5</v>
      </c>
      <c r="AC211" s="78">
        <v>0.3</v>
      </c>
      <c r="AD211" s="78">
        <v>0.7</v>
      </c>
      <c r="AE211" s="78">
        <v>0</v>
      </c>
      <c r="AF211" s="78">
        <v>388</v>
      </c>
      <c r="AG211" s="78">
        <v>16</v>
      </c>
      <c r="AH211" s="78">
        <v>1795</v>
      </c>
      <c r="AI211" s="78">
        <v>240</v>
      </c>
      <c r="AJ211" s="78">
        <v>301</v>
      </c>
      <c r="AK211" s="78">
        <v>190</v>
      </c>
      <c r="AL211" s="78">
        <v>10.4</v>
      </c>
      <c r="AM211" s="78">
        <v>3.7</v>
      </c>
      <c r="AN211" s="78">
        <v>1</v>
      </c>
      <c r="AO211" s="78">
        <v>12.8</v>
      </c>
    </row>
    <row r="212" spans="1:41">
      <c r="A212" s="78" t="s">
        <v>2018</v>
      </c>
      <c r="B212" s="78" t="s">
        <v>1558</v>
      </c>
      <c r="C212" s="78" t="s">
        <v>366</v>
      </c>
      <c r="D212" s="78" t="s">
        <v>2006</v>
      </c>
      <c r="E212" s="78" t="s">
        <v>2019</v>
      </c>
      <c r="F212" s="78" t="s">
        <v>1991</v>
      </c>
      <c r="G212" s="78" t="s">
        <v>1614</v>
      </c>
      <c r="H212" s="78">
        <v>141</v>
      </c>
      <c r="I212" s="78">
        <v>68.599999999999994</v>
      </c>
      <c r="J212" s="78">
        <v>1.6</v>
      </c>
      <c r="K212" s="78">
        <v>12.4</v>
      </c>
      <c r="L212" s="78">
        <v>6.9</v>
      </c>
      <c r="M212" s="78" t="s">
        <v>1615</v>
      </c>
      <c r="N212" s="78">
        <v>4.2</v>
      </c>
      <c r="O212" s="78">
        <v>6.4</v>
      </c>
      <c r="P212" s="78">
        <v>0.74</v>
      </c>
      <c r="Q212" s="78">
        <v>1.21</v>
      </c>
      <c r="R212" s="78">
        <v>3.01</v>
      </c>
      <c r="S212" s="78" t="s">
        <v>1615</v>
      </c>
      <c r="T212" s="78">
        <v>0</v>
      </c>
      <c r="U212" s="78">
        <v>8</v>
      </c>
      <c r="V212" s="78">
        <v>17</v>
      </c>
      <c r="W212" s="78">
        <v>0</v>
      </c>
      <c r="X212" s="78" t="s">
        <v>1615</v>
      </c>
      <c r="Y212" s="78" t="s">
        <v>1615</v>
      </c>
      <c r="Z212" s="78">
        <v>0.3</v>
      </c>
      <c r="AA212" s="78">
        <v>0.2</v>
      </c>
      <c r="AB212" s="78">
        <v>1.3</v>
      </c>
      <c r="AC212" s="78">
        <v>0.1</v>
      </c>
      <c r="AD212" s="78">
        <v>0.1</v>
      </c>
      <c r="AE212" s="78">
        <v>0</v>
      </c>
      <c r="AF212" s="78">
        <v>111</v>
      </c>
      <c r="AG212" s="78">
        <v>14</v>
      </c>
      <c r="AH212" s="78">
        <v>539</v>
      </c>
      <c r="AI212" s="78">
        <v>145</v>
      </c>
      <c r="AJ212" s="78">
        <v>158</v>
      </c>
      <c r="AK212" s="78">
        <v>60</v>
      </c>
      <c r="AL212" s="78">
        <v>2.5</v>
      </c>
      <c r="AM212" s="78">
        <v>0.9</v>
      </c>
      <c r="AN212" s="78">
        <v>0.1</v>
      </c>
      <c r="AO212" s="78">
        <v>1.4</v>
      </c>
    </row>
    <row r="213" spans="1:41">
      <c r="A213" s="78" t="s">
        <v>2020</v>
      </c>
      <c r="B213" s="78" t="s">
        <v>1558</v>
      </c>
      <c r="C213" s="78" t="s">
        <v>366</v>
      </c>
      <c r="D213" s="78" t="s">
        <v>2008</v>
      </c>
      <c r="E213" s="78" t="s">
        <v>2021</v>
      </c>
      <c r="F213" s="78" t="s">
        <v>1991</v>
      </c>
      <c r="G213" s="78" t="s">
        <v>1614</v>
      </c>
      <c r="H213" s="78">
        <v>147</v>
      </c>
      <c r="I213" s="78">
        <v>67.5</v>
      </c>
      <c r="J213" s="78">
        <v>1.7</v>
      </c>
      <c r="K213" s="78">
        <v>13</v>
      </c>
      <c r="L213" s="78">
        <v>6.9</v>
      </c>
      <c r="M213" s="78" t="s">
        <v>1615</v>
      </c>
      <c r="N213" s="78">
        <v>4.2</v>
      </c>
      <c r="O213" s="78">
        <v>6.8</v>
      </c>
      <c r="P213" s="78">
        <v>0.79</v>
      </c>
      <c r="Q213" s="78">
        <v>1.28</v>
      </c>
      <c r="R213" s="78">
        <v>3.2</v>
      </c>
      <c r="S213" s="78" t="s">
        <v>1615</v>
      </c>
      <c r="T213" s="78">
        <v>0</v>
      </c>
      <c r="U213" s="78">
        <v>9</v>
      </c>
      <c r="V213" s="78">
        <v>29</v>
      </c>
      <c r="W213" s="78">
        <v>0</v>
      </c>
      <c r="X213" s="78" t="s">
        <v>1615</v>
      </c>
      <c r="Y213" s="78" t="s">
        <v>1615</v>
      </c>
      <c r="Z213" s="78">
        <v>0.4</v>
      </c>
      <c r="AA213" s="78">
        <v>0.2</v>
      </c>
      <c r="AB213" s="78">
        <v>1.7</v>
      </c>
      <c r="AC213" s="78">
        <v>0.1</v>
      </c>
      <c r="AD213" s="78">
        <v>0.1</v>
      </c>
      <c r="AE213" s="78">
        <v>0</v>
      </c>
      <c r="AF213" s="78">
        <v>165</v>
      </c>
      <c r="AG213" s="78">
        <v>15</v>
      </c>
      <c r="AH213" s="78">
        <v>620</v>
      </c>
      <c r="AI213" s="78">
        <v>197</v>
      </c>
      <c r="AJ213" s="78">
        <v>194</v>
      </c>
      <c r="AK213" s="78">
        <v>65</v>
      </c>
      <c r="AL213" s="78">
        <v>3.6</v>
      </c>
      <c r="AM213" s="78">
        <v>1</v>
      </c>
      <c r="AN213" s="78">
        <v>0.1</v>
      </c>
      <c r="AO213" s="78">
        <v>1.5</v>
      </c>
    </row>
    <row r="214" spans="1:41">
      <c r="A214" s="78" t="s">
        <v>2022</v>
      </c>
      <c r="B214" s="78" t="s">
        <v>1558</v>
      </c>
      <c r="C214" s="78" t="s">
        <v>366</v>
      </c>
      <c r="D214" s="78" t="s">
        <v>2010</v>
      </c>
      <c r="E214" s="78" t="s">
        <v>2023</v>
      </c>
      <c r="F214" s="78" t="s">
        <v>1991</v>
      </c>
      <c r="G214" s="78" t="s">
        <v>1614</v>
      </c>
      <c r="H214" s="78">
        <v>115</v>
      </c>
      <c r="I214" s="78">
        <v>69.8</v>
      </c>
      <c r="J214" s="78" t="s">
        <v>1615</v>
      </c>
      <c r="K214" s="78">
        <v>7.8</v>
      </c>
      <c r="L214" s="78">
        <v>13</v>
      </c>
      <c r="M214" s="78" t="s">
        <v>1615</v>
      </c>
      <c r="N214" s="78">
        <v>9</v>
      </c>
      <c r="O214" s="78">
        <v>0.4</v>
      </c>
      <c r="P214" s="78">
        <v>0.09</v>
      </c>
      <c r="Q214" s="78">
        <v>0.03</v>
      </c>
      <c r="R214" s="78">
        <v>0.17</v>
      </c>
      <c r="S214" s="78" t="s">
        <v>1615</v>
      </c>
      <c r="T214" s="78">
        <v>0</v>
      </c>
      <c r="U214" s="78">
        <v>0</v>
      </c>
      <c r="V214" s="78">
        <v>0</v>
      </c>
      <c r="W214" s="78" t="s">
        <v>1615</v>
      </c>
      <c r="X214" s="78">
        <v>3.3</v>
      </c>
      <c r="Y214" s="78" t="s">
        <v>1615</v>
      </c>
      <c r="Z214" s="78">
        <v>0.2</v>
      </c>
      <c r="AA214" s="78">
        <v>0.1</v>
      </c>
      <c r="AB214" s="78">
        <v>0.4</v>
      </c>
      <c r="AC214" s="78">
        <v>0.2</v>
      </c>
      <c r="AD214" s="78">
        <v>0.4</v>
      </c>
      <c r="AE214" s="78">
        <v>0</v>
      </c>
      <c r="AF214" s="78">
        <v>83</v>
      </c>
      <c r="AG214" s="78">
        <v>2</v>
      </c>
      <c r="AH214" s="78">
        <v>508</v>
      </c>
      <c r="AI214" s="78">
        <v>17</v>
      </c>
      <c r="AJ214" s="78">
        <v>111</v>
      </c>
      <c r="AK214" s="78">
        <v>43</v>
      </c>
      <c r="AL214" s="78">
        <v>2.4</v>
      </c>
      <c r="AM214" s="78">
        <v>1</v>
      </c>
      <c r="AN214" s="78">
        <v>0.2</v>
      </c>
      <c r="AO214" s="78">
        <v>2.5</v>
      </c>
    </row>
    <row r="215" spans="1:41">
      <c r="A215" s="78" t="s">
        <v>2024</v>
      </c>
      <c r="B215" s="78" t="s">
        <v>1558</v>
      </c>
      <c r="C215" s="78" t="s">
        <v>366</v>
      </c>
      <c r="D215" s="78" t="s">
        <v>2012</v>
      </c>
      <c r="E215" s="78" t="s">
        <v>2025</v>
      </c>
      <c r="F215" s="78" t="s">
        <v>1991</v>
      </c>
      <c r="G215" s="78" t="s">
        <v>1614</v>
      </c>
      <c r="H215" s="78">
        <v>341</v>
      </c>
      <c r="I215" s="78">
        <v>11</v>
      </c>
      <c r="J215" s="78">
        <v>3.6</v>
      </c>
      <c r="K215" s="78">
        <v>21.6</v>
      </c>
      <c r="L215" s="78">
        <v>46.9</v>
      </c>
      <c r="M215" s="78">
        <v>2.1</v>
      </c>
      <c r="N215" s="78">
        <v>15.5</v>
      </c>
      <c r="O215" s="78">
        <v>1.4</v>
      </c>
      <c r="P215" s="78">
        <v>0.37</v>
      </c>
      <c r="Q215" s="78">
        <v>0.12</v>
      </c>
      <c r="R215" s="78">
        <v>0.61</v>
      </c>
      <c r="S215" s="78" t="s">
        <v>1615</v>
      </c>
      <c r="T215" s="78">
        <v>0</v>
      </c>
      <c r="U215" s="78">
        <v>0</v>
      </c>
      <c r="V215" s="78">
        <v>0</v>
      </c>
      <c r="W215" s="78">
        <v>0</v>
      </c>
      <c r="X215" s="78">
        <v>0.2</v>
      </c>
      <c r="Y215" s="78">
        <v>5.6</v>
      </c>
      <c r="Z215" s="78">
        <v>0.9</v>
      </c>
      <c r="AA215" s="78">
        <v>0.2</v>
      </c>
      <c r="AB215" s="78">
        <v>2</v>
      </c>
      <c r="AC215" s="78">
        <v>0.3</v>
      </c>
      <c r="AD215" s="78">
        <v>0.9</v>
      </c>
      <c r="AE215" s="78">
        <v>0</v>
      </c>
      <c r="AF215" s="78">
        <v>444</v>
      </c>
      <c r="AG215" s="78">
        <v>5</v>
      </c>
      <c r="AH215" s="78">
        <v>1483</v>
      </c>
      <c r="AI215" s="78">
        <v>123</v>
      </c>
      <c r="AJ215" s="78">
        <v>352</v>
      </c>
      <c r="AK215" s="78">
        <v>171</v>
      </c>
      <c r="AL215" s="78">
        <v>5</v>
      </c>
      <c r="AM215" s="78">
        <v>3.7</v>
      </c>
      <c r="AN215" s="78">
        <v>0.8</v>
      </c>
      <c r="AO215" s="78">
        <v>3.2</v>
      </c>
    </row>
    <row r="216" spans="1:41">
      <c r="A216" s="78" t="s">
        <v>2026</v>
      </c>
      <c r="B216" s="78" t="s">
        <v>1558</v>
      </c>
      <c r="C216" s="78" t="s">
        <v>366</v>
      </c>
      <c r="D216" s="78" t="s">
        <v>2014</v>
      </c>
      <c r="E216" s="78" t="s">
        <v>2027</v>
      </c>
      <c r="F216" s="78" t="s">
        <v>2028</v>
      </c>
      <c r="G216" s="78" t="s">
        <v>1614</v>
      </c>
      <c r="H216" s="78">
        <v>579</v>
      </c>
      <c r="I216" s="78">
        <v>4.4000000000000004</v>
      </c>
      <c r="J216" s="78">
        <v>3</v>
      </c>
      <c r="K216" s="78">
        <v>21.2</v>
      </c>
      <c r="L216" s="78">
        <v>9</v>
      </c>
      <c r="M216" s="78">
        <v>4.4000000000000004</v>
      </c>
      <c r="N216" s="78">
        <v>12.5</v>
      </c>
      <c r="O216" s="78">
        <v>49.9</v>
      </c>
      <c r="P216" s="78">
        <v>3.8</v>
      </c>
      <c r="Q216" s="78">
        <v>31.55</v>
      </c>
      <c r="R216" s="78">
        <v>12.33</v>
      </c>
      <c r="S216" s="78" t="s">
        <v>1615</v>
      </c>
      <c r="T216" s="78">
        <v>0</v>
      </c>
      <c r="U216" s="78">
        <v>0</v>
      </c>
      <c r="V216" s="78">
        <v>0</v>
      </c>
      <c r="W216" s="78">
        <v>0</v>
      </c>
      <c r="X216" s="78">
        <v>25.6</v>
      </c>
      <c r="Y216" s="78">
        <v>0</v>
      </c>
      <c r="Z216" s="78">
        <v>0.2</v>
      </c>
      <c r="AA216" s="78">
        <v>1.1000000000000001</v>
      </c>
      <c r="AB216" s="78">
        <v>3.6</v>
      </c>
      <c r="AC216" s="78">
        <v>0.1</v>
      </c>
      <c r="AD216" s="78">
        <v>0.5</v>
      </c>
      <c r="AE216" s="78">
        <v>0</v>
      </c>
      <c r="AF216" s="78">
        <v>44</v>
      </c>
      <c r="AG216" s="78">
        <v>1</v>
      </c>
      <c r="AH216" s="78">
        <v>733</v>
      </c>
      <c r="AI216" s="78">
        <v>269</v>
      </c>
      <c r="AJ216" s="78">
        <v>481</v>
      </c>
      <c r="AK216" s="78">
        <v>270</v>
      </c>
      <c r="AL216" s="78">
        <v>3.7</v>
      </c>
      <c r="AM216" s="78">
        <v>3.1</v>
      </c>
      <c r="AN216" s="78">
        <v>1</v>
      </c>
      <c r="AO216" s="78">
        <v>4.0999999999999996</v>
      </c>
    </row>
    <row r="217" spans="1:41">
      <c r="A217" s="78" t="s">
        <v>2029</v>
      </c>
      <c r="B217" s="78" t="s">
        <v>1558</v>
      </c>
      <c r="C217" s="78" t="s">
        <v>366</v>
      </c>
      <c r="D217" s="78" t="s">
        <v>2016</v>
      </c>
      <c r="E217" s="78" t="s">
        <v>2030</v>
      </c>
      <c r="F217" s="78" t="s">
        <v>2028</v>
      </c>
      <c r="G217" s="78" t="s">
        <v>1614</v>
      </c>
      <c r="H217" s="78">
        <v>578</v>
      </c>
      <c r="I217" s="78">
        <v>4.5</v>
      </c>
      <c r="J217" s="78">
        <v>3</v>
      </c>
      <c r="K217" s="78">
        <v>24</v>
      </c>
      <c r="L217" s="78">
        <v>7.3</v>
      </c>
      <c r="M217" s="78" t="s">
        <v>1615</v>
      </c>
      <c r="N217" s="78">
        <v>10.9</v>
      </c>
      <c r="O217" s="78">
        <v>50.3</v>
      </c>
      <c r="P217" s="78">
        <v>4.0599999999999996</v>
      </c>
      <c r="Q217" s="78">
        <v>29.7</v>
      </c>
      <c r="R217" s="78" t="s">
        <v>1615</v>
      </c>
      <c r="S217" s="78">
        <v>0</v>
      </c>
      <c r="T217" s="78" t="s">
        <v>1615</v>
      </c>
      <c r="U217" s="78">
        <v>1</v>
      </c>
      <c r="V217" s="78">
        <v>6.3</v>
      </c>
      <c r="W217" s="78" t="s">
        <v>1615</v>
      </c>
      <c r="X217" s="78" t="s">
        <v>1615</v>
      </c>
      <c r="Y217" s="78" t="s">
        <v>1615</v>
      </c>
      <c r="Z217" s="78" t="s">
        <v>1615</v>
      </c>
      <c r="AA217" s="78">
        <v>0.1</v>
      </c>
      <c r="AB217" s="78" t="s">
        <v>1615</v>
      </c>
      <c r="AC217" s="78" t="s">
        <v>1615</v>
      </c>
      <c r="AD217" s="78">
        <v>0.9</v>
      </c>
      <c r="AE217" s="78" t="s">
        <v>1615</v>
      </c>
      <c r="AF217" s="78" t="s">
        <v>1615</v>
      </c>
      <c r="AG217" s="78">
        <v>49</v>
      </c>
      <c r="AH217" s="78" t="s">
        <v>1615</v>
      </c>
      <c r="AI217" s="78" t="s">
        <v>1615</v>
      </c>
      <c r="AJ217" s="78" t="s">
        <v>1615</v>
      </c>
      <c r="AK217" s="78">
        <v>163</v>
      </c>
      <c r="AL217" s="78" t="s">
        <v>1615</v>
      </c>
      <c r="AM217" s="78" t="s">
        <v>1615</v>
      </c>
      <c r="AN217" s="78">
        <v>1.7</v>
      </c>
      <c r="AO217" s="78">
        <v>2.4</v>
      </c>
    </row>
    <row r="218" spans="1:41">
      <c r="A218" s="78" t="s">
        <v>2031</v>
      </c>
      <c r="B218" s="78" t="s">
        <v>1558</v>
      </c>
      <c r="C218" s="78" t="s">
        <v>366</v>
      </c>
      <c r="D218" s="78" t="s">
        <v>2018</v>
      </c>
      <c r="E218" s="78" t="s">
        <v>2032</v>
      </c>
      <c r="F218" s="78" t="s">
        <v>2028</v>
      </c>
      <c r="G218" s="78" t="s">
        <v>1614</v>
      </c>
      <c r="H218" s="78">
        <v>628</v>
      </c>
      <c r="I218" s="78">
        <v>5.3</v>
      </c>
      <c r="J218" s="78">
        <v>2.2999999999999998</v>
      </c>
      <c r="K218" s="78">
        <v>15</v>
      </c>
      <c r="L218" s="78">
        <v>7</v>
      </c>
      <c r="M218" s="78">
        <v>4.3</v>
      </c>
      <c r="N218" s="78">
        <v>9.6999999999999993</v>
      </c>
      <c r="O218" s="78">
        <v>60.8</v>
      </c>
      <c r="P218" s="78">
        <v>4.46</v>
      </c>
      <c r="Q218" s="78">
        <v>45.65</v>
      </c>
      <c r="R218" s="78">
        <v>7.92</v>
      </c>
      <c r="S218" s="78" t="s">
        <v>1615</v>
      </c>
      <c r="T218" s="78">
        <v>0</v>
      </c>
      <c r="U218" s="78" t="s">
        <v>1615</v>
      </c>
      <c r="V218" s="78" t="s">
        <v>1615</v>
      </c>
      <c r="W218" s="78">
        <v>0</v>
      </c>
      <c r="X218" s="78">
        <v>15</v>
      </c>
      <c r="Y218" s="78">
        <v>14.2</v>
      </c>
      <c r="Z218" s="78">
        <v>0.6</v>
      </c>
      <c r="AA218" s="78" t="s">
        <v>1615</v>
      </c>
      <c r="AB218" s="78">
        <v>1.8</v>
      </c>
      <c r="AC218" s="78">
        <v>0.6</v>
      </c>
      <c r="AD218" s="78" t="s">
        <v>1615</v>
      </c>
      <c r="AE218" s="78">
        <v>0</v>
      </c>
      <c r="AF218" s="78">
        <v>113</v>
      </c>
      <c r="AG218" s="78">
        <v>0</v>
      </c>
      <c r="AH218" s="78">
        <v>680</v>
      </c>
      <c r="AI218" s="78">
        <v>114</v>
      </c>
      <c r="AJ218" s="78">
        <v>290</v>
      </c>
      <c r="AK218" s="78" t="s">
        <v>1615</v>
      </c>
      <c r="AL218" s="78">
        <v>4.7</v>
      </c>
      <c r="AM218" s="78">
        <v>2.5</v>
      </c>
      <c r="AN218" s="78" t="s">
        <v>1615</v>
      </c>
      <c r="AO218" s="78" t="s">
        <v>1615</v>
      </c>
    </row>
    <row r="219" spans="1:41">
      <c r="A219" s="78" t="s">
        <v>2033</v>
      </c>
      <c r="B219" s="78" t="s">
        <v>1558</v>
      </c>
      <c r="C219" s="78" t="s">
        <v>366</v>
      </c>
      <c r="D219" s="78" t="s">
        <v>2020</v>
      </c>
      <c r="E219" s="78" t="s">
        <v>2034</v>
      </c>
      <c r="F219" s="78" t="s">
        <v>2028</v>
      </c>
      <c r="G219" s="78" t="s">
        <v>1614</v>
      </c>
      <c r="H219" s="78">
        <v>574</v>
      </c>
      <c r="I219" s="78">
        <v>1.7</v>
      </c>
      <c r="J219" s="78">
        <v>4</v>
      </c>
      <c r="K219" s="78">
        <v>15.3</v>
      </c>
      <c r="L219" s="78">
        <v>29.7</v>
      </c>
      <c r="M219" s="78">
        <v>5</v>
      </c>
      <c r="N219" s="78">
        <v>3</v>
      </c>
      <c r="O219" s="78">
        <v>46.4</v>
      </c>
      <c r="P219" s="78">
        <v>9.16</v>
      </c>
      <c r="Q219" s="78">
        <v>27.32</v>
      </c>
      <c r="R219" s="78">
        <v>7.84</v>
      </c>
      <c r="S219" s="78" t="s">
        <v>1615</v>
      </c>
      <c r="T219" s="78">
        <v>0</v>
      </c>
      <c r="U219" s="78">
        <v>0</v>
      </c>
      <c r="V219" s="78">
        <v>0</v>
      </c>
      <c r="W219" s="78">
        <v>0</v>
      </c>
      <c r="X219" s="78">
        <v>0.9</v>
      </c>
      <c r="Y219" s="78">
        <v>34.700000000000003</v>
      </c>
      <c r="Z219" s="78">
        <v>0.2</v>
      </c>
      <c r="AA219" s="78">
        <v>0.2</v>
      </c>
      <c r="AB219" s="78">
        <v>1.4</v>
      </c>
      <c r="AC219" s="78">
        <v>0.3</v>
      </c>
      <c r="AD219" s="78">
        <v>1.2</v>
      </c>
      <c r="AE219" s="78">
        <v>0</v>
      </c>
      <c r="AF219" s="78">
        <v>69</v>
      </c>
      <c r="AG219" s="78">
        <v>16</v>
      </c>
      <c r="AH219" s="78">
        <v>565</v>
      </c>
      <c r="AI219" s="78">
        <v>45</v>
      </c>
      <c r="AJ219" s="78">
        <v>490</v>
      </c>
      <c r="AK219" s="78">
        <v>260</v>
      </c>
      <c r="AL219" s="78">
        <v>6</v>
      </c>
      <c r="AM219" s="78">
        <v>5.6</v>
      </c>
      <c r="AN219" s="78">
        <v>2.2000000000000002</v>
      </c>
      <c r="AO219" s="78">
        <v>11.7</v>
      </c>
    </row>
    <row r="220" spans="1:41">
      <c r="A220" s="78" t="s">
        <v>2035</v>
      </c>
      <c r="B220" s="78" t="s">
        <v>1558</v>
      </c>
      <c r="C220" s="78" t="s">
        <v>366</v>
      </c>
      <c r="D220" s="78" t="s">
        <v>2022</v>
      </c>
      <c r="E220" s="78" t="s">
        <v>2036</v>
      </c>
      <c r="F220" s="78" t="s">
        <v>2028</v>
      </c>
      <c r="G220" s="78" t="s">
        <v>1614</v>
      </c>
      <c r="H220" s="78">
        <v>718</v>
      </c>
      <c r="I220" s="78">
        <v>1.4</v>
      </c>
      <c r="J220" s="78">
        <v>1.1000000000000001</v>
      </c>
      <c r="K220" s="78">
        <v>7.9</v>
      </c>
      <c r="L220" s="78">
        <v>5.2</v>
      </c>
      <c r="M220" s="78">
        <v>4.5999999999999996</v>
      </c>
      <c r="N220" s="78">
        <v>8.6</v>
      </c>
      <c r="O220" s="78">
        <v>75.8</v>
      </c>
      <c r="P220" s="78">
        <v>12.06</v>
      </c>
      <c r="Q220" s="78">
        <v>58.88</v>
      </c>
      <c r="R220" s="78">
        <v>1.5</v>
      </c>
      <c r="S220" s="78" t="s">
        <v>1615</v>
      </c>
      <c r="T220" s="78">
        <v>0</v>
      </c>
      <c r="U220" s="78">
        <v>0</v>
      </c>
      <c r="V220" s="78">
        <v>1.2</v>
      </c>
      <c r="W220" s="78">
        <v>0</v>
      </c>
      <c r="X220" s="78">
        <v>0.5</v>
      </c>
      <c r="Y220" s="78" t="s">
        <v>1615</v>
      </c>
      <c r="Z220" s="78">
        <v>1.2</v>
      </c>
      <c r="AA220" s="78">
        <v>0.2</v>
      </c>
      <c r="AB220" s="78">
        <v>2.5</v>
      </c>
      <c r="AC220" s="78">
        <v>0.3</v>
      </c>
      <c r="AD220" s="78">
        <v>0.8</v>
      </c>
      <c r="AE220" s="78">
        <v>0</v>
      </c>
      <c r="AF220" s="78">
        <v>11</v>
      </c>
      <c r="AG220" s="78">
        <v>5</v>
      </c>
      <c r="AH220" s="78">
        <v>368</v>
      </c>
      <c r="AI220" s="78">
        <v>85</v>
      </c>
      <c r="AJ220" s="78">
        <v>188</v>
      </c>
      <c r="AK220" s="78">
        <v>130</v>
      </c>
      <c r="AL220" s="78">
        <v>3.7</v>
      </c>
      <c r="AM220" s="78">
        <v>1.3</v>
      </c>
      <c r="AN220" s="78">
        <v>0.8</v>
      </c>
      <c r="AO220" s="78">
        <v>3.6</v>
      </c>
    </row>
    <row r="221" spans="1:41">
      <c r="A221" s="78" t="s">
        <v>2037</v>
      </c>
      <c r="B221" s="78" t="s">
        <v>1558</v>
      </c>
      <c r="C221" s="78" t="s">
        <v>366</v>
      </c>
      <c r="D221" s="78" t="s">
        <v>2024</v>
      </c>
      <c r="E221" s="78" t="s">
        <v>2038</v>
      </c>
      <c r="F221" s="78" t="s">
        <v>2028</v>
      </c>
      <c r="G221" s="78" t="s">
        <v>1614</v>
      </c>
      <c r="H221" s="78">
        <v>567</v>
      </c>
      <c r="I221" s="78">
        <v>6.5</v>
      </c>
      <c r="J221" s="78">
        <v>2.2999999999999998</v>
      </c>
      <c r="K221" s="78">
        <v>25.8</v>
      </c>
      <c r="L221" s="78">
        <v>7.6</v>
      </c>
      <c r="M221" s="78">
        <v>4.7</v>
      </c>
      <c r="N221" s="78">
        <v>8.5</v>
      </c>
      <c r="O221" s="78">
        <v>49.2</v>
      </c>
      <c r="P221" s="78">
        <v>6.28</v>
      </c>
      <c r="Q221" s="78">
        <v>24.43</v>
      </c>
      <c r="R221" s="78">
        <v>15.56</v>
      </c>
      <c r="S221" s="78" t="s">
        <v>1615</v>
      </c>
      <c r="T221" s="78">
        <v>0</v>
      </c>
      <c r="U221" s="78">
        <v>0</v>
      </c>
      <c r="V221" s="78">
        <v>0</v>
      </c>
      <c r="W221" s="78">
        <v>0</v>
      </c>
      <c r="X221" s="78">
        <v>8.3000000000000007</v>
      </c>
      <c r="Y221" s="78">
        <v>0</v>
      </c>
      <c r="Z221" s="78">
        <v>0.6</v>
      </c>
      <c r="AA221" s="78">
        <v>0.1</v>
      </c>
      <c r="AB221" s="78">
        <v>12.1</v>
      </c>
      <c r="AC221" s="78">
        <v>0.3</v>
      </c>
      <c r="AD221" s="78">
        <v>1.8</v>
      </c>
      <c r="AE221" s="78">
        <v>0</v>
      </c>
      <c r="AF221" s="78">
        <v>240</v>
      </c>
      <c r="AG221" s="78">
        <v>18</v>
      </c>
      <c r="AH221" s="78">
        <v>705</v>
      </c>
      <c r="AI221" s="78">
        <v>92</v>
      </c>
      <c r="AJ221" s="78">
        <v>376</v>
      </c>
      <c r="AK221" s="78">
        <v>168</v>
      </c>
      <c r="AL221" s="78">
        <v>4.5999999999999996</v>
      </c>
      <c r="AM221" s="78">
        <v>3.3</v>
      </c>
      <c r="AN221" s="78">
        <v>1.1000000000000001</v>
      </c>
      <c r="AO221" s="78">
        <v>7.2</v>
      </c>
    </row>
    <row r="222" spans="1:41">
      <c r="A222" s="78" t="s">
        <v>2039</v>
      </c>
      <c r="B222" s="78" t="s">
        <v>1558</v>
      </c>
      <c r="C222" s="78" t="s">
        <v>366</v>
      </c>
      <c r="D222" s="78" t="s">
        <v>2026</v>
      </c>
      <c r="E222" s="78" t="s">
        <v>2040</v>
      </c>
      <c r="F222" s="78" t="s">
        <v>2028</v>
      </c>
      <c r="G222" s="78" t="s">
        <v>1614</v>
      </c>
      <c r="H222" s="78">
        <v>437</v>
      </c>
      <c r="I222" s="78">
        <v>2.4</v>
      </c>
      <c r="J222" s="78">
        <v>2.2000000000000002</v>
      </c>
      <c r="K222" s="78">
        <v>17.7</v>
      </c>
      <c r="L222" s="78">
        <v>44.2</v>
      </c>
      <c r="M222" s="78">
        <v>13.5</v>
      </c>
      <c r="N222" s="78">
        <v>12.4</v>
      </c>
      <c r="O222" s="78">
        <v>21.1</v>
      </c>
      <c r="P222" s="78">
        <v>2.5</v>
      </c>
      <c r="Q222" s="78">
        <v>16.04</v>
      </c>
      <c r="R222" s="78">
        <v>1.65</v>
      </c>
      <c r="S222" s="78">
        <v>0</v>
      </c>
      <c r="T222" s="78">
        <v>0</v>
      </c>
      <c r="U222" s="78" t="s">
        <v>1615</v>
      </c>
      <c r="V222" s="78" t="s">
        <v>1615</v>
      </c>
      <c r="W222" s="78" t="s">
        <v>1615</v>
      </c>
      <c r="X222" s="78" t="s">
        <v>1615</v>
      </c>
      <c r="Y222" s="78" t="s">
        <v>1615</v>
      </c>
      <c r="Z222" s="78" t="s">
        <v>1615</v>
      </c>
      <c r="AA222" s="78" t="s">
        <v>1615</v>
      </c>
      <c r="AB222" s="78" t="s">
        <v>1615</v>
      </c>
      <c r="AC222" s="78" t="s">
        <v>1615</v>
      </c>
      <c r="AD222" s="78" t="s">
        <v>1615</v>
      </c>
      <c r="AE222" s="78" t="s">
        <v>1615</v>
      </c>
      <c r="AF222" s="78" t="s">
        <v>1615</v>
      </c>
      <c r="AG222" s="78">
        <v>438</v>
      </c>
      <c r="AH222" s="78" t="s">
        <v>1615</v>
      </c>
      <c r="AI222" s="78" t="s">
        <v>1615</v>
      </c>
      <c r="AJ222" s="78" t="s">
        <v>1615</v>
      </c>
      <c r="AK222" s="78" t="s">
        <v>1615</v>
      </c>
      <c r="AL222" s="78" t="s">
        <v>1615</v>
      </c>
      <c r="AM222" s="78" t="s">
        <v>1615</v>
      </c>
      <c r="AN222" s="78" t="s">
        <v>1615</v>
      </c>
      <c r="AO222" s="78" t="s">
        <v>1615</v>
      </c>
    </row>
    <row r="223" spans="1:41">
      <c r="A223" s="78" t="s">
        <v>2041</v>
      </c>
      <c r="B223" s="78" t="s">
        <v>1558</v>
      </c>
      <c r="C223" s="78" t="s">
        <v>366</v>
      </c>
      <c r="D223" s="78" t="s">
        <v>2029</v>
      </c>
      <c r="E223" s="78" t="s">
        <v>2042</v>
      </c>
      <c r="F223" s="78" t="s">
        <v>2028</v>
      </c>
      <c r="G223" s="78" t="s">
        <v>1614</v>
      </c>
      <c r="H223" s="78">
        <v>587</v>
      </c>
      <c r="I223" s="78">
        <v>1.8</v>
      </c>
      <c r="J223" s="78">
        <v>2.9</v>
      </c>
      <c r="K223" s="78">
        <v>24.4</v>
      </c>
      <c r="L223" s="78">
        <v>12.9</v>
      </c>
      <c r="M223" s="78">
        <v>4.9000000000000004</v>
      </c>
      <c r="N223" s="78">
        <v>8.4</v>
      </c>
      <c r="O223" s="78">
        <v>49.7</v>
      </c>
      <c r="P223" s="78">
        <v>7.72</v>
      </c>
      <c r="Q223" s="78">
        <v>26.18</v>
      </c>
      <c r="R223" s="78">
        <v>9.77</v>
      </c>
      <c r="S223" s="78" t="s">
        <v>1615</v>
      </c>
      <c r="T223" s="78">
        <v>0</v>
      </c>
      <c r="U223" s="78">
        <v>0</v>
      </c>
      <c r="V223" s="78">
        <v>0</v>
      </c>
      <c r="W223" s="78">
        <v>0</v>
      </c>
      <c r="X223" s="78">
        <v>4.9000000000000004</v>
      </c>
      <c r="Y223" s="78">
        <v>0</v>
      </c>
      <c r="Z223" s="78">
        <v>0.2</v>
      </c>
      <c r="AA223" s="78">
        <v>0.2</v>
      </c>
      <c r="AB223" s="78">
        <v>14.4</v>
      </c>
      <c r="AC223" s="78">
        <v>0.5</v>
      </c>
      <c r="AD223" s="78">
        <v>1</v>
      </c>
      <c r="AE223" s="78">
        <v>0</v>
      </c>
      <c r="AF223" s="78">
        <v>97</v>
      </c>
      <c r="AG223" s="78">
        <v>410</v>
      </c>
      <c r="AH223" s="78">
        <v>634</v>
      </c>
      <c r="AI223" s="78">
        <v>58</v>
      </c>
      <c r="AJ223" s="78">
        <v>363</v>
      </c>
      <c r="AK223" s="78">
        <v>178</v>
      </c>
      <c r="AL223" s="78">
        <v>1.6</v>
      </c>
      <c r="AM223" s="78">
        <v>2.8</v>
      </c>
      <c r="AN223" s="78">
        <v>0.4</v>
      </c>
      <c r="AO223" s="78">
        <v>9.3000000000000007</v>
      </c>
    </row>
    <row r="224" spans="1:41">
      <c r="A224" s="78" t="s">
        <v>2043</v>
      </c>
      <c r="B224" s="78" t="s">
        <v>1558</v>
      </c>
      <c r="C224" s="78" t="s">
        <v>366</v>
      </c>
      <c r="D224" s="78" t="s">
        <v>2031</v>
      </c>
      <c r="E224" s="78" t="s">
        <v>2044</v>
      </c>
      <c r="F224" s="78" t="s">
        <v>2028</v>
      </c>
      <c r="G224" s="78" t="s">
        <v>1614</v>
      </c>
      <c r="H224" s="78">
        <v>551</v>
      </c>
      <c r="I224" s="78">
        <v>3.4</v>
      </c>
      <c r="J224" s="78">
        <v>1.5</v>
      </c>
      <c r="K224" s="78">
        <v>17.5</v>
      </c>
      <c r="L224" s="78">
        <v>3.1</v>
      </c>
      <c r="M224" s="78">
        <v>3.1</v>
      </c>
      <c r="N224" s="78">
        <v>22.4</v>
      </c>
      <c r="O224" s="78">
        <v>52.1</v>
      </c>
      <c r="P224" s="78" t="s">
        <v>1615</v>
      </c>
      <c r="Q224" s="78" t="s">
        <v>1615</v>
      </c>
      <c r="R224" s="78" t="s">
        <v>1615</v>
      </c>
      <c r="S224" s="78" t="s">
        <v>1615</v>
      </c>
      <c r="T224" s="78" t="s">
        <v>1615</v>
      </c>
      <c r="U224" s="78" t="s">
        <v>1615</v>
      </c>
      <c r="V224" s="78" t="s">
        <v>1615</v>
      </c>
      <c r="W224" s="78" t="s">
        <v>1615</v>
      </c>
      <c r="X224" s="78" t="s">
        <v>1615</v>
      </c>
      <c r="Y224" s="78" t="s">
        <v>1615</v>
      </c>
      <c r="Z224" s="78" t="s">
        <v>1615</v>
      </c>
      <c r="AA224" s="78" t="s">
        <v>1615</v>
      </c>
      <c r="AB224" s="78" t="s">
        <v>1615</v>
      </c>
      <c r="AC224" s="78" t="s">
        <v>1615</v>
      </c>
      <c r="AD224" s="78" t="s">
        <v>1615</v>
      </c>
      <c r="AE224" s="78" t="s">
        <v>1615</v>
      </c>
      <c r="AF224" s="78" t="s">
        <v>1615</v>
      </c>
      <c r="AG224" s="78">
        <v>18</v>
      </c>
      <c r="AH224" s="78" t="s">
        <v>1615</v>
      </c>
      <c r="AI224" s="78" t="s">
        <v>1615</v>
      </c>
      <c r="AJ224" s="78" t="s">
        <v>1615</v>
      </c>
      <c r="AK224" s="78" t="s">
        <v>1615</v>
      </c>
      <c r="AL224" s="78" t="s">
        <v>1615</v>
      </c>
      <c r="AM224" s="78" t="s">
        <v>1615</v>
      </c>
      <c r="AN224" s="78" t="s">
        <v>1615</v>
      </c>
      <c r="AO224" s="78" t="s">
        <v>1615</v>
      </c>
    </row>
    <row r="225" spans="1:41">
      <c r="A225" s="78" t="s">
        <v>2045</v>
      </c>
      <c r="B225" s="78" t="s">
        <v>1558</v>
      </c>
      <c r="C225" s="78" t="s">
        <v>366</v>
      </c>
      <c r="D225" s="78" t="s">
        <v>2033</v>
      </c>
      <c r="E225" s="78" t="s">
        <v>2046</v>
      </c>
      <c r="F225" s="78" t="s">
        <v>2028</v>
      </c>
      <c r="G225" s="78" t="s">
        <v>1614</v>
      </c>
      <c r="H225" s="78">
        <v>606</v>
      </c>
      <c r="I225" s="78">
        <v>4.4000000000000004</v>
      </c>
      <c r="J225" s="78" t="s">
        <v>1615</v>
      </c>
      <c r="K225" s="78">
        <v>24.3</v>
      </c>
      <c r="L225" s="78">
        <v>8.1999999999999993</v>
      </c>
      <c r="M225" s="78" t="s">
        <v>1615</v>
      </c>
      <c r="N225" s="78">
        <v>5</v>
      </c>
      <c r="O225" s="78">
        <v>56.6</v>
      </c>
      <c r="P225" s="78">
        <v>3.63</v>
      </c>
      <c r="Q225" s="78">
        <v>12.7</v>
      </c>
      <c r="R225" s="78">
        <v>37.5</v>
      </c>
      <c r="S225" s="78" t="s">
        <v>1615</v>
      </c>
      <c r="T225" s="78">
        <v>0</v>
      </c>
      <c r="U225" s="78">
        <v>30</v>
      </c>
      <c r="V225" s="78">
        <v>3.2</v>
      </c>
      <c r="W225" s="78" t="s">
        <v>1615</v>
      </c>
      <c r="X225" s="78">
        <v>2.5</v>
      </c>
      <c r="Y225" s="78" t="s">
        <v>1615</v>
      </c>
      <c r="Z225" s="78">
        <v>0.2</v>
      </c>
      <c r="AA225" s="78">
        <v>0.1</v>
      </c>
      <c r="AB225" s="78">
        <v>0.7</v>
      </c>
      <c r="AC225" s="78">
        <v>0.6</v>
      </c>
      <c r="AD225" s="78">
        <v>0.6</v>
      </c>
      <c r="AE225" s="78">
        <v>0</v>
      </c>
      <c r="AF225" s="78">
        <v>65.5</v>
      </c>
      <c r="AG225" s="78">
        <v>1</v>
      </c>
      <c r="AH225" s="78">
        <v>524</v>
      </c>
      <c r="AI225" s="78">
        <v>58</v>
      </c>
      <c r="AJ225" s="78">
        <v>464</v>
      </c>
      <c r="AK225" s="78">
        <v>202</v>
      </c>
      <c r="AL225" s="78">
        <v>3.1</v>
      </c>
      <c r="AM225" s="78">
        <v>3.4</v>
      </c>
      <c r="AN225" s="78">
        <v>1</v>
      </c>
      <c r="AO225" s="78">
        <v>17.600000000000001</v>
      </c>
    </row>
    <row r="226" spans="1:41">
      <c r="A226" s="78" t="s">
        <v>2047</v>
      </c>
      <c r="B226" s="78" t="s">
        <v>1558</v>
      </c>
      <c r="C226" s="78" t="s">
        <v>366</v>
      </c>
      <c r="D226" s="78" t="s">
        <v>2035</v>
      </c>
      <c r="E226" s="78" t="s">
        <v>2048</v>
      </c>
      <c r="F226" s="78" t="s">
        <v>2028</v>
      </c>
      <c r="G226" s="78" t="s">
        <v>1614</v>
      </c>
      <c r="H226" s="78">
        <v>560</v>
      </c>
      <c r="I226" s="78">
        <v>4.4000000000000004</v>
      </c>
      <c r="J226" s="78">
        <v>3</v>
      </c>
      <c r="K226" s="78">
        <v>20.2</v>
      </c>
      <c r="L226" s="78">
        <v>16.600000000000001</v>
      </c>
      <c r="M226" s="78">
        <v>7.7</v>
      </c>
      <c r="N226" s="78">
        <v>10.6</v>
      </c>
      <c r="O226" s="78">
        <v>45.3</v>
      </c>
      <c r="P226" s="78">
        <v>5.91</v>
      </c>
      <c r="Q226" s="78">
        <v>23.26</v>
      </c>
      <c r="R226" s="78">
        <v>14.38</v>
      </c>
      <c r="S226" s="78" t="s">
        <v>1615</v>
      </c>
      <c r="T226" s="78">
        <v>0</v>
      </c>
      <c r="U226" s="78">
        <v>26</v>
      </c>
      <c r="V226" s="78">
        <v>5.6</v>
      </c>
      <c r="W226" s="78">
        <v>0</v>
      </c>
      <c r="X226" s="78">
        <v>2.9</v>
      </c>
      <c r="Y226" s="78" t="s">
        <v>1615</v>
      </c>
      <c r="Z226" s="78">
        <v>0.9</v>
      </c>
      <c r="AA226" s="78">
        <v>0.2</v>
      </c>
      <c r="AB226" s="78">
        <v>1.3</v>
      </c>
      <c r="AC226" s="78">
        <v>1.7</v>
      </c>
      <c r="AD226" s="78">
        <v>0.5</v>
      </c>
      <c r="AE226" s="78">
        <v>0</v>
      </c>
      <c r="AF226" s="78">
        <v>51</v>
      </c>
      <c r="AG226" s="78">
        <v>1</v>
      </c>
      <c r="AH226" s="78">
        <v>1025</v>
      </c>
      <c r="AI226" s="78">
        <v>105</v>
      </c>
      <c r="AJ226" s="78">
        <v>490</v>
      </c>
      <c r="AK226" s="78">
        <v>121</v>
      </c>
      <c r="AL226" s="78">
        <v>3.9</v>
      </c>
      <c r="AM226" s="78">
        <v>2.2000000000000002</v>
      </c>
      <c r="AN226" s="78">
        <v>1.3</v>
      </c>
      <c r="AO226" s="78">
        <v>7</v>
      </c>
    </row>
    <row r="227" spans="1:41">
      <c r="A227" s="78" t="s">
        <v>2049</v>
      </c>
      <c r="B227" s="78" t="s">
        <v>1558</v>
      </c>
      <c r="C227" s="78" t="s">
        <v>366</v>
      </c>
      <c r="D227" s="78" t="s">
        <v>2037</v>
      </c>
      <c r="E227" s="78" t="s">
        <v>2050</v>
      </c>
      <c r="F227" s="78" t="s">
        <v>2028</v>
      </c>
      <c r="G227" s="78" t="s">
        <v>1614</v>
      </c>
      <c r="H227" s="78">
        <v>369</v>
      </c>
      <c r="I227" s="78">
        <v>9</v>
      </c>
      <c r="J227" s="78">
        <v>3.6</v>
      </c>
      <c r="K227" s="78">
        <v>5</v>
      </c>
      <c r="L227" s="78">
        <v>78.400000000000006</v>
      </c>
      <c r="M227" s="78" t="s">
        <v>1615</v>
      </c>
      <c r="N227" s="78" t="s">
        <v>1615</v>
      </c>
      <c r="O227" s="78">
        <v>3.9</v>
      </c>
      <c r="P227" s="78">
        <v>0.74</v>
      </c>
      <c r="Q227" s="78">
        <v>1.35</v>
      </c>
      <c r="R227" s="78">
        <v>1.55</v>
      </c>
      <c r="S227" s="78" t="s">
        <v>1615</v>
      </c>
      <c r="T227" s="78">
        <v>0</v>
      </c>
      <c r="U227" s="78">
        <v>0</v>
      </c>
      <c r="V227" s="78">
        <v>15.1</v>
      </c>
      <c r="W227" s="78">
        <v>0</v>
      </c>
      <c r="X227" s="78" t="s">
        <v>1615</v>
      </c>
      <c r="Y227" s="78" t="s">
        <v>1615</v>
      </c>
      <c r="Z227" s="78">
        <v>0.4</v>
      </c>
      <c r="AA227" s="78">
        <v>0.1</v>
      </c>
      <c r="AB227" s="78">
        <v>0.9</v>
      </c>
      <c r="AC227" s="78">
        <v>0.7</v>
      </c>
      <c r="AD227" s="78">
        <v>0.9</v>
      </c>
      <c r="AE227" s="78">
        <v>0</v>
      </c>
      <c r="AF227" s="78">
        <v>110</v>
      </c>
      <c r="AG227" s="78">
        <v>37</v>
      </c>
      <c r="AH227" s="78">
        <v>991</v>
      </c>
      <c r="AI227" s="78">
        <v>64</v>
      </c>
      <c r="AJ227" s="78">
        <v>137</v>
      </c>
      <c r="AK227" s="78">
        <v>74</v>
      </c>
      <c r="AL227" s="78">
        <v>2.4</v>
      </c>
      <c r="AM227" s="78">
        <v>0.4</v>
      </c>
      <c r="AN227" s="78">
        <v>0.7</v>
      </c>
      <c r="AO227" s="78" t="s">
        <v>1615</v>
      </c>
    </row>
    <row r="228" spans="1:41">
      <c r="A228" s="78" t="s">
        <v>2051</v>
      </c>
      <c r="B228" s="78" t="s">
        <v>1558</v>
      </c>
      <c r="C228" s="78" t="s">
        <v>366</v>
      </c>
      <c r="D228" s="78" t="s">
        <v>2039</v>
      </c>
      <c r="E228" s="78" t="s">
        <v>2052</v>
      </c>
      <c r="F228" s="78" t="s">
        <v>2028</v>
      </c>
      <c r="G228" s="78" t="s">
        <v>1614</v>
      </c>
      <c r="H228" s="78">
        <v>180</v>
      </c>
      <c r="I228" s="78">
        <v>53.1</v>
      </c>
      <c r="J228" s="78">
        <v>1.1000000000000001</v>
      </c>
      <c r="K228" s="78">
        <v>4.5</v>
      </c>
      <c r="L228" s="78">
        <v>9.4</v>
      </c>
      <c r="M228" s="78" t="s">
        <v>1615</v>
      </c>
      <c r="N228" s="78" t="s">
        <v>1615</v>
      </c>
      <c r="O228" s="78">
        <v>1.1000000000000001</v>
      </c>
      <c r="P228" s="78" t="s">
        <v>1615</v>
      </c>
      <c r="Q228" s="78" t="s">
        <v>1615</v>
      </c>
      <c r="R228" s="78" t="s">
        <v>1615</v>
      </c>
      <c r="S228" s="78" t="s">
        <v>1615</v>
      </c>
      <c r="T228" s="78" t="s">
        <v>1615</v>
      </c>
      <c r="U228" s="78">
        <v>1</v>
      </c>
      <c r="V228" s="78">
        <v>0.8</v>
      </c>
      <c r="W228" s="78" t="s">
        <v>1615</v>
      </c>
      <c r="X228" s="78" t="s">
        <v>1615</v>
      </c>
      <c r="Y228" s="78" t="s">
        <v>1615</v>
      </c>
      <c r="Z228" s="78">
        <v>0.3</v>
      </c>
      <c r="AA228" s="78">
        <v>0.2</v>
      </c>
      <c r="AB228" s="78" t="s">
        <v>1615</v>
      </c>
      <c r="AC228" s="78" t="s">
        <v>1615</v>
      </c>
      <c r="AD228" s="78" t="s">
        <v>1615</v>
      </c>
      <c r="AE228" s="78">
        <v>0</v>
      </c>
      <c r="AF228" s="78" t="s">
        <v>1615</v>
      </c>
      <c r="AG228" s="78" t="s">
        <v>1615</v>
      </c>
      <c r="AH228" s="78">
        <v>344</v>
      </c>
      <c r="AI228" s="78">
        <v>61</v>
      </c>
      <c r="AJ228" s="78">
        <v>98</v>
      </c>
      <c r="AK228" s="78" t="s">
        <v>1615</v>
      </c>
      <c r="AL228" s="78" t="s">
        <v>1615</v>
      </c>
      <c r="AM228" s="78">
        <v>6.5</v>
      </c>
      <c r="AN228" s="78" t="s">
        <v>1615</v>
      </c>
      <c r="AO228" s="78" t="s">
        <v>1615</v>
      </c>
    </row>
    <row r="229" spans="1:41">
      <c r="A229" s="78" t="s">
        <v>2053</v>
      </c>
      <c r="B229" s="78" t="s">
        <v>1558</v>
      </c>
      <c r="C229" s="78" t="s">
        <v>366</v>
      </c>
      <c r="D229" s="78" t="s">
        <v>2041</v>
      </c>
      <c r="E229" s="78" t="s">
        <v>2054</v>
      </c>
      <c r="F229" s="78" t="s">
        <v>2028</v>
      </c>
      <c r="G229" s="78" t="s">
        <v>1614</v>
      </c>
      <c r="H229" s="78">
        <v>673</v>
      </c>
      <c r="I229" s="78">
        <v>2.2999999999999998</v>
      </c>
      <c r="J229" s="78">
        <v>2.6</v>
      </c>
      <c r="K229" s="78">
        <v>13.7</v>
      </c>
      <c r="L229" s="78" t="s">
        <v>1615</v>
      </c>
      <c r="M229" s="78">
        <v>3.6</v>
      </c>
      <c r="N229" s="78">
        <v>3.7</v>
      </c>
      <c r="O229" s="78">
        <v>68.400000000000006</v>
      </c>
      <c r="P229" s="78">
        <v>4.9000000000000004</v>
      </c>
      <c r="Q229" s="78" t="s">
        <v>1615</v>
      </c>
      <c r="R229" s="78">
        <v>34.07</v>
      </c>
      <c r="S229" s="78" t="s">
        <v>1615</v>
      </c>
      <c r="T229" s="78">
        <v>0</v>
      </c>
      <c r="U229" s="78" t="s">
        <v>1615</v>
      </c>
      <c r="V229" s="78" t="s">
        <v>1615</v>
      </c>
      <c r="W229" s="78">
        <v>0</v>
      </c>
      <c r="X229" s="78">
        <v>9.3000000000000007</v>
      </c>
      <c r="Y229" s="78">
        <v>53.9</v>
      </c>
      <c r="Z229" s="78">
        <v>0.4</v>
      </c>
      <c r="AA229" s="78">
        <v>0.1</v>
      </c>
      <c r="AB229" s="78">
        <v>4.4000000000000004</v>
      </c>
      <c r="AC229" s="78">
        <v>0.1</v>
      </c>
      <c r="AD229" s="78">
        <v>0.3</v>
      </c>
      <c r="AE229" s="78" t="s">
        <v>1615</v>
      </c>
      <c r="AF229" s="78">
        <v>34</v>
      </c>
      <c r="AG229" s="78">
        <v>2</v>
      </c>
      <c r="AH229" s="78">
        <v>597</v>
      </c>
      <c r="AI229" s="78">
        <v>16</v>
      </c>
      <c r="AJ229" s="78">
        <v>575</v>
      </c>
      <c r="AK229" s="78">
        <v>251</v>
      </c>
      <c r="AL229" s="78">
        <v>5.5</v>
      </c>
      <c r="AM229" s="78" t="s">
        <v>1615</v>
      </c>
      <c r="AN229" s="78">
        <v>1.3</v>
      </c>
      <c r="AO229" s="78">
        <v>0.7</v>
      </c>
    </row>
    <row r="230" spans="1:41">
      <c r="A230" s="78" t="s">
        <v>2055</v>
      </c>
      <c r="B230" s="78" t="s">
        <v>1558</v>
      </c>
      <c r="C230" s="78" t="s">
        <v>366</v>
      </c>
      <c r="D230" s="78" t="s">
        <v>2043</v>
      </c>
      <c r="E230" s="78" t="s">
        <v>2056</v>
      </c>
      <c r="F230" s="78" t="s">
        <v>2028</v>
      </c>
      <c r="G230" s="78" t="s">
        <v>1614</v>
      </c>
      <c r="H230" s="78">
        <v>486</v>
      </c>
      <c r="I230" s="78">
        <v>5.8</v>
      </c>
      <c r="J230" s="78">
        <v>4.8</v>
      </c>
      <c r="K230" s="78">
        <v>16.5</v>
      </c>
      <c r="L230" s="78">
        <v>7.7</v>
      </c>
      <c r="M230" s="78" t="s">
        <v>1615</v>
      </c>
      <c r="N230" s="78">
        <v>34.4</v>
      </c>
      <c r="O230" s="78">
        <v>30.7</v>
      </c>
      <c r="P230" s="78">
        <v>3.33</v>
      </c>
      <c r="Q230" s="78">
        <v>2.31</v>
      </c>
      <c r="R230" s="78">
        <v>23.67</v>
      </c>
      <c r="S230" s="78" t="s">
        <v>1615</v>
      </c>
      <c r="T230" s="78">
        <v>0</v>
      </c>
      <c r="U230" s="78" t="s">
        <v>1615</v>
      </c>
      <c r="V230" s="78">
        <v>1.6</v>
      </c>
      <c r="W230" s="78" t="s">
        <v>1615</v>
      </c>
      <c r="X230" s="78">
        <v>0.5</v>
      </c>
      <c r="Y230" s="78" t="s">
        <v>1615</v>
      </c>
      <c r="Z230" s="78">
        <v>0.6</v>
      </c>
      <c r="AA230" s="78">
        <v>0.2</v>
      </c>
      <c r="AB230" s="78">
        <v>8.8000000000000007</v>
      </c>
      <c r="AC230" s="78" t="s">
        <v>1615</v>
      </c>
      <c r="AD230" s="78" t="s">
        <v>1615</v>
      </c>
      <c r="AE230" s="78">
        <v>0</v>
      </c>
      <c r="AF230" s="78">
        <v>49</v>
      </c>
      <c r="AG230" s="78">
        <v>16</v>
      </c>
      <c r="AH230" s="78">
        <v>407</v>
      </c>
      <c r="AI230" s="78">
        <v>631</v>
      </c>
      <c r="AJ230" s="78">
        <v>860</v>
      </c>
      <c r="AK230" s="78">
        <v>335</v>
      </c>
      <c r="AL230" s="78">
        <v>7.7</v>
      </c>
      <c r="AM230" s="78">
        <v>4.5999999999999996</v>
      </c>
      <c r="AN230" s="78">
        <v>0.9</v>
      </c>
      <c r="AO230" s="78">
        <v>55.2</v>
      </c>
    </row>
    <row r="231" spans="1:41">
      <c r="A231" s="78" t="s">
        <v>2057</v>
      </c>
      <c r="B231" s="78" t="s">
        <v>1558</v>
      </c>
      <c r="C231" s="78" t="s">
        <v>366</v>
      </c>
      <c r="D231" s="78" t="s">
        <v>2045</v>
      </c>
      <c r="E231" s="78" t="s">
        <v>2058</v>
      </c>
      <c r="F231" s="78" t="s">
        <v>2028</v>
      </c>
      <c r="G231" s="78" t="s">
        <v>1614</v>
      </c>
      <c r="H231" s="78">
        <v>525</v>
      </c>
      <c r="I231" s="78">
        <v>6</v>
      </c>
      <c r="J231" s="78">
        <v>6.4</v>
      </c>
      <c r="K231" s="78">
        <v>18</v>
      </c>
      <c r="L231" s="78">
        <v>8.6</v>
      </c>
      <c r="M231" s="78">
        <v>3</v>
      </c>
      <c r="N231" s="78">
        <v>19.5</v>
      </c>
      <c r="O231" s="78">
        <v>41.6</v>
      </c>
      <c r="P231" s="78">
        <v>4.5199999999999996</v>
      </c>
      <c r="Q231" s="78">
        <v>5.98</v>
      </c>
      <c r="R231" s="78">
        <v>28.57</v>
      </c>
      <c r="S231" s="78" t="s">
        <v>1615</v>
      </c>
      <c r="T231" s="78">
        <v>0</v>
      </c>
      <c r="U231" s="78">
        <v>0</v>
      </c>
      <c r="V231" s="78">
        <v>1</v>
      </c>
      <c r="W231" s="78">
        <v>0</v>
      </c>
      <c r="X231" s="78">
        <v>1.8</v>
      </c>
      <c r="Y231" s="78">
        <v>0</v>
      </c>
      <c r="Z231" s="78">
        <v>0.9</v>
      </c>
      <c r="AA231" s="78">
        <v>0.1</v>
      </c>
      <c r="AB231" s="78">
        <v>0.9</v>
      </c>
      <c r="AC231" s="78">
        <v>0.2</v>
      </c>
      <c r="AD231" s="78">
        <v>0.3</v>
      </c>
      <c r="AE231" s="78">
        <v>0</v>
      </c>
      <c r="AF231" s="78">
        <v>82</v>
      </c>
      <c r="AG231" s="78">
        <v>26</v>
      </c>
      <c r="AH231" s="78">
        <v>719</v>
      </c>
      <c r="AI231" s="78">
        <v>1438</v>
      </c>
      <c r="AJ231" s="78">
        <v>870</v>
      </c>
      <c r="AK231" s="78">
        <v>347</v>
      </c>
      <c r="AL231" s="78">
        <v>9.8000000000000007</v>
      </c>
      <c r="AM231" s="78">
        <v>7.9</v>
      </c>
      <c r="AN231" s="78">
        <v>1.6</v>
      </c>
      <c r="AO231" s="78">
        <v>13.5</v>
      </c>
    </row>
    <row r="232" spans="1:41">
      <c r="A232" s="78" t="s">
        <v>2059</v>
      </c>
      <c r="B232" s="78" t="s">
        <v>1558</v>
      </c>
      <c r="C232" s="78" t="s">
        <v>366</v>
      </c>
      <c r="D232" s="78" t="s">
        <v>2047</v>
      </c>
      <c r="E232" s="78" t="s">
        <v>2060</v>
      </c>
      <c r="F232" s="78" t="s">
        <v>2028</v>
      </c>
      <c r="G232" s="78" t="s">
        <v>1614</v>
      </c>
      <c r="H232" s="78">
        <v>565</v>
      </c>
      <c r="I232" s="78">
        <v>3.3</v>
      </c>
      <c r="J232" s="78">
        <v>6</v>
      </c>
      <c r="K232" s="78">
        <v>17</v>
      </c>
      <c r="L232" s="78">
        <v>11.7</v>
      </c>
      <c r="M232" s="78" t="s">
        <v>1615</v>
      </c>
      <c r="N232" s="78">
        <v>14</v>
      </c>
      <c r="O232" s="78">
        <v>48</v>
      </c>
      <c r="P232" s="78">
        <v>6.72</v>
      </c>
      <c r="Q232" s="78">
        <v>18.13</v>
      </c>
      <c r="R232" s="78">
        <v>21.04</v>
      </c>
      <c r="S232" s="78" t="s">
        <v>1615</v>
      </c>
      <c r="T232" s="78">
        <v>0</v>
      </c>
      <c r="U232" s="78">
        <v>0</v>
      </c>
      <c r="V232" s="78">
        <v>0</v>
      </c>
      <c r="W232" s="78">
        <v>0</v>
      </c>
      <c r="X232" s="78" t="s">
        <v>1615</v>
      </c>
      <c r="Y232" s="78" t="s">
        <v>1615</v>
      </c>
      <c r="Z232" s="78">
        <v>0.8</v>
      </c>
      <c r="AA232" s="78">
        <v>0.3</v>
      </c>
      <c r="AB232" s="78">
        <v>4.5999999999999996</v>
      </c>
      <c r="AC232" s="78">
        <v>0.8</v>
      </c>
      <c r="AD232" s="78">
        <v>0.1</v>
      </c>
      <c r="AE232" s="78">
        <v>0</v>
      </c>
      <c r="AF232" s="78">
        <v>98</v>
      </c>
      <c r="AG232" s="78">
        <v>11</v>
      </c>
      <c r="AH232" s="78">
        <v>475</v>
      </c>
      <c r="AI232" s="78">
        <v>989</v>
      </c>
      <c r="AJ232" s="78">
        <v>638</v>
      </c>
      <c r="AK232" s="78">
        <v>356</v>
      </c>
      <c r="AL232" s="78">
        <v>14.8</v>
      </c>
      <c r="AM232" s="78">
        <v>7.2</v>
      </c>
      <c r="AN232" s="78">
        <v>2.5</v>
      </c>
      <c r="AO232" s="78">
        <v>34.4</v>
      </c>
    </row>
    <row r="233" spans="1:41">
      <c r="A233" s="78" t="s">
        <v>2061</v>
      </c>
      <c r="B233" s="78" t="s">
        <v>1558</v>
      </c>
      <c r="C233" s="78" t="s">
        <v>366</v>
      </c>
      <c r="D233" s="78" t="s">
        <v>2049</v>
      </c>
      <c r="E233" s="78" t="s">
        <v>2062</v>
      </c>
      <c r="F233" s="78" t="s">
        <v>2028</v>
      </c>
      <c r="G233" s="78" t="s">
        <v>1614</v>
      </c>
      <c r="H233" s="78">
        <v>619</v>
      </c>
      <c r="I233" s="78">
        <v>1</v>
      </c>
      <c r="J233" s="78">
        <v>4.4000000000000004</v>
      </c>
      <c r="K233" s="78">
        <v>17.2</v>
      </c>
      <c r="L233" s="78">
        <v>9.1</v>
      </c>
      <c r="M233" s="78" t="s">
        <v>1615</v>
      </c>
      <c r="N233" s="78">
        <v>11.5</v>
      </c>
      <c r="O233" s="78">
        <v>56.8</v>
      </c>
      <c r="P233" s="78">
        <v>5.95</v>
      </c>
      <c r="Q233" s="78">
        <v>10.84</v>
      </c>
      <c r="R233" s="78">
        <v>37.51</v>
      </c>
      <c r="S233" s="78" t="s">
        <v>1615</v>
      </c>
      <c r="T233" s="78">
        <v>0</v>
      </c>
      <c r="U233" s="78">
        <v>0</v>
      </c>
      <c r="V233" s="78">
        <v>1.4</v>
      </c>
      <c r="W233" s="78">
        <v>0</v>
      </c>
      <c r="X233" s="78" t="s">
        <v>1615</v>
      </c>
      <c r="Y233" s="78" t="s">
        <v>1615</v>
      </c>
      <c r="Z233" s="78">
        <v>0.3</v>
      </c>
      <c r="AA233" s="78">
        <v>0.3</v>
      </c>
      <c r="AB233" s="78">
        <v>4.2</v>
      </c>
      <c r="AC233" s="78">
        <v>0.8</v>
      </c>
      <c r="AD233" s="78">
        <v>7.1</v>
      </c>
      <c r="AE233" s="78">
        <v>0</v>
      </c>
      <c r="AF233" s="78">
        <v>228</v>
      </c>
      <c r="AG233" s="78">
        <v>3</v>
      </c>
      <c r="AH233" s="78">
        <v>491</v>
      </c>
      <c r="AI233" s="78">
        <v>57</v>
      </c>
      <c r="AJ233" s="78">
        <v>1158</v>
      </c>
      <c r="AK233" s="78">
        <v>129</v>
      </c>
      <c r="AL233" s="78">
        <v>6.8</v>
      </c>
      <c r="AM233" s="78">
        <v>5.3</v>
      </c>
      <c r="AN233" s="78">
        <v>1.8</v>
      </c>
      <c r="AO233" s="78" t="s">
        <v>1615</v>
      </c>
    </row>
    <row r="234" spans="1:41">
      <c r="A234" s="78" t="s">
        <v>2063</v>
      </c>
      <c r="B234" s="78" t="s">
        <v>1558</v>
      </c>
      <c r="C234" s="78" t="s">
        <v>366</v>
      </c>
      <c r="D234" s="78" t="s">
        <v>2051</v>
      </c>
      <c r="E234" s="78" t="s">
        <v>2064</v>
      </c>
      <c r="F234" s="78" t="s">
        <v>2028</v>
      </c>
      <c r="G234" s="78" t="s">
        <v>1614</v>
      </c>
      <c r="H234" s="78">
        <v>559</v>
      </c>
      <c r="I234" s="78">
        <v>5.2</v>
      </c>
      <c r="J234" s="78">
        <v>4.8</v>
      </c>
      <c r="K234" s="78">
        <v>30.2</v>
      </c>
      <c r="L234" s="78">
        <v>4.7</v>
      </c>
      <c r="M234" s="78">
        <v>1.4</v>
      </c>
      <c r="N234" s="78">
        <v>6</v>
      </c>
      <c r="O234" s="78">
        <v>49.1</v>
      </c>
      <c r="P234" s="78">
        <v>8.66</v>
      </c>
      <c r="Q234" s="78">
        <v>16.239999999999998</v>
      </c>
      <c r="R234" s="78">
        <v>20.98</v>
      </c>
      <c r="S234" s="78" t="s">
        <v>1615</v>
      </c>
      <c r="T234" s="78">
        <v>0</v>
      </c>
      <c r="U234" s="78">
        <v>1</v>
      </c>
      <c r="V234" s="78">
        <v>1.9</v>
      </c>
      <c r="W234" s="78">
        <v>0</v>
      </c>
      <c r="X234" s="78">
        <v>2.2000000000000002</v>
      </c>
      <c r="Y234" s="78">
        <v>7.3</v>
      </c>
      <c r="Z234" s="78">
        <v>0.3</v>
      </c>
      <c r="AA234" s="78">
        <v>0.1</v>
      </c>
      <c r="AB234" s="78">
        <v>5</v>
      </c>
      <c r="AC234" s="78">
        <v>0.1</v>
      </c>
      <c r="AD234" s="78">
        <v>0.8</v>
      </c>
      <c r="AE234" s="78">
        <v>0</v>
      </c>
      <c r="AF234" s="78">
        <v>58</v>
      </c>
      <c r="AG234" s="78">
        <v>7</v>
      </c>
      <c r="AH234" s="78">
        <v>809</v>
      </c>
      <c r="AI234" s="78">
        <v>46</v>
      </c>
      <c r="AJ234" s="78">
        <v>1233</v>
      </c>
      <c r="AK234" s="78">
        <v>592</v>
      </c>
      <c r="AL234" s="78">
        <v>8.8000000000000007</v>
      </c>
      <c r="AM234" s="78">
        <v>7.8</v>
      </c>
      <c r="AN234" s="78">
        <v>1.3</v>
      </c>
      <c r="AO234" s="78">
        <v>9.4</v>
      </c>
    </row>
    <row r="235" spans="1:41">
      <c r="A235" s="78" t="s">
        <v>2065</v>
      </c>
      <c r="B235" s="78" t="s">
        <v>1558</v>
      </c>
      <c r="C235" s="78" t="s">
        <v>366</v>
      </c>
      <c r="D235" s="78" t="s">
        <v>2053</v>
      </c>
      <c r="E235" s="78" t="s">
        <v>2066</v>
      </c>
      <c r="F235" s="78" t="s">
        <v>2028</v>
      </c>
      <c r="G235" s="78" t="s">
        <v>1614</v>
      </c>
      <c r="H235" s="78">
        <v>418</v>
      </c>
      <c r="I235" s="78">
        <v>5.0999999999999996</v>
      </c>
      <c r="J235" s="78">
        <v>5.0999999999999996</v>
      </c>
      <c r="K235" s="78">
        <v>21.9</v>
      </c>
      <c r="L235" s="78">
        <v>29.6</v>
      </c>
      <c r="M235" s="78" t="s">
        <v>1615</v>
      </c>
      <c r="N235" s="78">
        <v>16.100000000000001</v>
      </c>
      <c r="O235" s="78">
        <v>22.2</v>
      </c>
      <c r="P235" s="78" t="s">
        <v>1615</v>
      </c>
      <c r="Q235" s="78" t="s">
        <v>1615</v>
      </c>
      <c r="R235" s="78" t="s">
        <v>1615</v>
      </c>
      <c r="S235" s="78" t="s">
        <v>1615</v>
      </c>
      <c r="T235" s="78" t="s">
        <v>1615</v>
      </c>
      <c r="U235" s="78" t="s">
        <v>1615</v>
      </c>
      <c r="V235" s="78" t="s">
        <v>1615</v>
      </c>
      <c r="W235" s="78" t="s">
        <v>1615</v>
      </c>
      <c r="X235" s="78" t="s">
        <v>1615</v>
      </c>
      <c r="Y235" s="78" t="s">
        <v>1615</v>
      </c>
      <c r="Z235" s="78" t="s">
        <v>1615</v>
      </c>
      <c r="AA235" s="78" t="s">
        <v>1615</v>
      </c>
      <c r="AB235" s="78" t="s">
        <v>1615</v>
      </c>
      <c r="AC235" s="78" t="s">
        <v>1615</v>
      </c>
      <c r="AD235" s="78" t="s">
        <v>1615</v>
      </c>
      <c r="AE235" s="78" t="s">
        <v>1615</v>
      </c>
      <c r="AF235" s="78" t="s">
        <v>1615</v>
      </c>
      <c r="AG235" s="78" t="s">
        <v>1615</v>
      </c>
      <c r="AH235" s="78" t="s">
        <v>1615</v>
      </c>
      <c r="AI235" s="78" t="s">
        <v>1615</v>
      </c>
      <c r="AJ235" s="78" t="s">
        <v>1615</v>
      </c>
      <c r="AK235" s="78" t="s">
        <v>1615</v>
      </c>
      <c r="AL235" s="78" t="s">
        <v>1615</v>
      </c>
      <c r="AM235" s="78" t="s">
        <v>1615</v>
      </c>
      <c r="AN235" s="78" t="s">
        <v>1615</v>
      </c>
      <c r="AO235" s="78" t="s">
        <v>1615</v>
      </c>
    </row>
    <row r="236" spans="1:41">
      <c r="A236" s="78" t="s">
        <v>2067</v>
      </c>
      <c r="B236" s="78" t="s">
        <v>1558</v>
      </c>
      <c r="C236" s="78" t="s">
        <v>366</v>
      </c>
      <c r="D236" s="78" t="s">
        <v>2055</v>
      </c>
      <c r="E236" s="78" t="s">
        <v>2068</v>
      </c>
      <c r="F236" s="78" t="s">
        <v>2069</v>
      </c>
      <c r="G236" s="78" t="s">
        <v>1614</v>
      </c>
      <c r="H236" s="78">
        <v>407</v>
      </c>
      <c r="I236" s="78">
        <v>5.5</v>
      </c>
      <c r="J236" s="78">
        <v>2.5</v>
      </c>
      <c r="K236" s="78">
        <v>11.9</v>
      </c>
      <c r="L236" s="78">
        <v>68.400000000000006</v>
      </c>
      <c r="M236" s="78" t="s">
        <v>1615</v>
      </c>
      <c r="N236" s="78">
        <v>5.0999999999999996</v>
      </c>
      <c r="O236" s="78">
        <v>6.6</v>
      </c>
      <c r="P236" s="78">
        <v>1.51</v>
      </c>
      <c r="Q236" s="78">
        <v>3.06</v>
      </c>
      <c r="R236" s="78">
        <v>1.27</v>
      </c>
      <c r="S236" s="78" t="s">
        <v>1615</v>
      </c>
      <c r="T236" s="78">
        <v>0</v>
      </c>
      <c r="U236" s="78">
        <v>0</v>
      </c>
      <c r="V236" s="78">
        <v>0</v>
      </c>
      <c r="W236" s="78" t="s">
        <v>1615</v>
      </c>
      <c r="X236" s="78" t="s">
        <v>1615</v>
      </c>
      <c r="Y236" s="78" t="s">
        <v>1615</v>
      </c>
      <c r="Z236" s="78">
        <v>0.6</v>
      </c>
      <c r="AA236" s="78">
        <v>0.3</v>
      </c>
      <c r="AB236" s="78">
        <v>5.4</v>
      </c>
      <c r="AC236" s="78">
        <v>0</v>
      </c>
      <c r="AD236" s="78">
        <v>0.4</v>
      </c>
      <c r="AE236" s="78">
        <v>0</v>
      </c>
      <c r="AF236" s="78">
        <v>132</v>
      </c>
      <c r="AG236" s="78">
        <v>698</v>
      </c>
      <c r="AH236" s="78">
        <v>124</v>
      </c>
      <c r="AI236" s="78">
        <v>76</v>
      </c>
      <c r="AJ236" s="78">
        <v>115</v>
      </c>
      <c r="AK236" s="78">
        <v>31</v>
      </c>
      <c r="AL236" s="78">
        <v>4.0999999999999996</v>
      </c>
      <c r="AM236" s="78">
        <v>0.9</v>
      </c>
      <c r="AN236" s="78">
        <v>0.2</v>
      </c>
      <c r="AO236" s="78">
        <v>37.5</v>
      </c>
    </row>
    <row r="237" spans="1:41">
      <c r="A237" s="78" t="s">
        <v>2070</v>
      </c>
      <c r="B237" s="78" t="s">
        <v>1558</v>
      </c>
      <c r="C237" s="78" t="s">
        <v>366</v>
      </c>
      <c r="D237" s="78" t="s">
        <v>2057</v>
      </c>
      <c r="E237" s="78" t="s">
        <v>2071</v>
      </c>
      <c r="F237" s="78" t="s">
        <v>2069</v>
      </c>
      <c r="G237" s="78" t="s">
        <v>1614</v>
      </c>
      <c r="H237" s="78">
        <v>267</v>
      </c>
      <c r="I237" s="78">
        <v>36.700000000000003</v>
      </c>
      <c r="J237" s="78">
        <v>1.9</v>
      </c>
      <c r="K237" s="78">
        <v>8.1999999999999993</v>
      </c>
      <c r="L237" s="78">
        <v>47.3</v>
      </c>
      <c r="M237" s="78">
        <v>4.3</v>
      </c>
      <c r="N237" s="78">
        <v>2.2999999999999998</v>
      </c>
      <c r="O237" s="78">
        <v>3.6</v>
      </c>
      <c r="P237" s="78">
        <v>0.81</v>
      </c>
      <c r="Q237" s="78">
        <v>1.61</v>
      </c>
      <c r="R237" s="78">
        <v>0.74</v>
      </c>
      <c r="S237" s="78" t="s">
        <v>1615</v>
      </c>
      <c r="T237" s="78">
        <v>1</v>
      </c>
      <c r="U237" s="78">
        <v>0</v>
      </c>
      <c r="V237" s="78">
        <v>0</v>
      </c>
      <c r="W237" s="78">
        <v>0</v>
      </c>
      <c r="X237" s="78">
        <v>0.2</v>
      </c>
      <c r="Y237" s="78">
        <v>3.1</v>
      </c>
      <c r="Z237" s="78">
        <v>0.5</v>
      </c>
      <c r="AA237" s="78">
        <v>0.3</v>
      </c>
      <c r="AB237" s="78">
        <v>4</v>
      </c>
      <c r="AC237" s="78">
        <v>0.1</v>
      </c>
      <c r="AD237" s="78">
        <v>0.4</v>
      </c>
      <c r="AE237" s="78">
        <v>0</v>
      </c>
      <c r="AF237" s="78">
        <v>111</v>
      </c>
      <c r="AG237" s="78">
        <v>298</v>
      </c>
      <c r="AH237" s="78">
        <v>119</v>
      </c>
      <c r="AI237" s="78">
        <v>108</v>
      </c>
      <c r="AJ237" s="78">
        <v>94</v>
      </c>
      <c r="AK237" s="78">
        <v>24</v>
      </c>
      <c r="AL237" s="78">
        <v>3</v>
      </c>
      <c r="AM237" s="78">
        <v>0.6</v>
      </c>
      <c r="AN237" s="78">
        <v>0.1</v>
      </c>
      <c r="AO237" s="78">
        <v>22.6</v>
      </c>
    </row>
    <row r="238" spans="1:41">
      <c r="A238" s="78" t="s">
        <v>2072</v>
      </c>
      <c r="B238" s="78" t="s">
        <v>1558</v>
      </c>
      <c r="C238" s="78" t="s">
        <v>366</v>
      </c>
      <c r="D238" s="78" t="s">
        <v>2059</v>
      </c>
      <c r="E238" s="78" t="s">
        <v>2073</v>
      </c>
      <c r="F238" s="78" t="s">
        <v>2069</v>
      </c>
      <c r="G238" s="78" t="s">
        <v>1614</v>
      </c>
      <c r="H238" s="78">
        <v>259</v>
      </c>
      <c r="I238" s="78">
        <v>37.299999999999997</v>
      </c>
      <c r="J238" s="78">
        <v>2.5</v>
      </c>
      <c r="K238" s="78">
        <v>8.5</v>
      </c>
      <c r="L238" s="78">
        <v>42.6</v>
      </c>
      <c r="M238" s="78">
        <v>3.9</v>
      </c>
      <c r="N238" s="78">
        <v>5.8</v>
      </c>
      <c r="O238" s="78">
        <v>3.3</v>
      </c>
      <c r="P238" s="78">
        <v>0.63</v>
      </c>
      <c r="Q238" s="78">
        <v>1.31</v>
      </c>
      <c r="R238" s="78">
        <v>0.8</v>
      </c>
      <c r="S238" s="78" t="s">
        <v>1615</v>
      </c>
      <c r="T238" s="78">
        <v>0</v>
      </c>
      <c r="U238" s="78">
        <v>0</v>
      </c>
      <c r="V238" s="78">
        <v>0.4</v>
      </c>
      <c r="W238" s="78">
        <v>0</v>
      </c>
      <c r="X238" s="78">
        <v>0.3</v>
      </c>
      <c r="Y238" s="78">
        <v>1.2</v>
      </c>
      <c r="Z238" s="78">
        <v>0.4</v>
      </c>
      <c r="AA238" s="78">
        <v>0.3</v>
      </c>
      <c r="AB238" s="78">
        <v>3.8</v>
      </c>
      <c r="AC238" s="78">
        <v>0.1</v>
      </c>
      <c r="AD238" s="78">
        <v>0.4</v>
      </c>
      <c r="AE238" s="78">
        <v>0</v>
      </c>
      <c r="AF238" s="78">
        <v>110</v>
      </c>
      <c r="AG238" s="78">
        <v>603</v>
      </c>
      <c r="AH238" s="78">
        <v>166</v>
      </c>
      <c r="AI238" s="78">
        <v>73</v>
      </c>
      <c r="AJ238" s="78">
        <v>125</v>
      </c>
      <c r="AK238" s="78">
        <v>40</v>
      </c>
      <c r="AL238" s="78">
        <v>2.8</v>
      </c>
      <c r="AM238" s="78">
        <v>1.1000000000000001</v>
      </c>
      <c r="AN238" s="78">
        <v>0.2</v>
      </c>
      <c r="AO238" s="78">
        <v>30.9</v>
      </c>
    </row>
    <row r="239" spans="1:41">
      <c r="A239" s="78" t="s">
        <v>2074</v>
      </c>
      <c r="B239" s="78" t="s">
        <v>1558</v>
      </c>
      <c r="C239" s="78" t="s">
        <v>366</v>
      </c>
      <c r="D239" s="78" t="s">
        <v>2061</v>
      </c>
      <c r="E239" s="78" t="s">
        <v>2075</v>
      </c>
      <c r="F239" s="78" t="s">
        <v>2069</v>
      </c>
      <c r="G239" s="78" t="s">
        <v>1614</v>
      </c>
      <c r="H239" s="78">
        <v>250</v>
      </c>
      <c r="I239" s="78">
        <v>34.9</v>
      </c>
      <c r="J239" s="78">
        <v>1.7</v>
      </c>
      <c r="K239" s="78">
        <v>12</v>
      </c>
      <c r="L239" s="78">
        <v>44.9</v>
      </c>
      <c r="M239" s="78">
        <v>6.4</v>
      </c>
      <c r="N239" s="78">
        <v>4</v>
      </c>
      <c r="O239" s="78">
        <v>2.5</v>
      </c>
      <c r="P239" s="78">
        <v>0.4</v>
      </c>
      <c r="Q239" s="78">
        <v>0.41</v>
      </c>
      <c r="R239" s="78">
        <v>0.87</v>
      </c>
      <c r="S239" s="78">
        <v>0</v>
      </c>
      <c r="T239" s="78">
        <v>0</v>
      </c>
      <c r="U239" s="78" t="s">
        <v>1615</v>
      </c>
      <c r="V239" s="78" t="s">
        <v>1615</v>
      </c>
      <c r="W239" s="78" t="s">
        <v>1615</v>
      </c>
      <c r="X239" s="78" t="s">
        <v>1615</v>
      </c>
      <c r="Y239" s="78" t="s">
        <v>1615</v>
      </c>
      <c r="Z239" s="78" t="s">
        <v>1615</v>
      </c>
      <c r="AA239" s="78" t="s">
        <v>1615</v>
      </c>
      <c r="AB239" s="78" t="s">
        <v>1615</v>
      </c>
      <c r="AC239" s="78" t="s">
        <v>1615</v>
      </c>
      <c r="AD239" s="78" t="s">
        <v>1615</v>
      </c>
      <c r="AE239" s="78" t="s">
        <v>1615</v>
      </c>
      <c r="AF239" s="78" t="s">
        <v>1615</v>
      </c>
      <c r="AG239" s="78">
        <v>289</v>
      </c>
      <c r="AH239" s="78" t="s">
        <v>1615</v>
      </c>
      <c r="AI239" s="78" t="s">
        <v>1615</v>
      </c>
      <c r="AJ239" s="78" t="s">
        <v>1615</v>
      </c>
      <c r="AK239" s="78" t="s">
        <v>1615</v>
      </c>
      <c r="AL239" s="78" t="s">
        <v>1615</v>
      </c>
      <c r="AM239" s="78" t="s">
        <v>1615</v>
      </c>
      <c r="AN239" s="78" t="s">
        <v>1615</v>
      </c>
      <c r="AO239" s="78" t="s">
        <v>1615</v>
      </c>
    </row>
    <row r="240" spans="1:41">
      <c r="A240" s="78" t="s">
        <v>2076</v>
      </c>
      <c r="B240" s="78" t="s">
        <v>1558</v>
      </c>
      <c r="C240" s="78" t="s">
        <v>366</v>
      </c>
      <c r="D240" s="78" t="s">
        <v>2063</v>
      </c>
      <c r="E240" s="78" t="s">
        <v>2077</v>
      </c>
      <c r="F240" s="78" t="s">
        <v>2069</v>
      </c>
      <c r="G240" s="78" t="s">
        <v>1614</v>
      </c>
      <c r="H240" s="78">
        <v>212</v>
      </c>
      <c r="I240" s="78">
        <v>38.9</v>
      </c>
      <c r="J240" s="78">
        <v>2.2000000000000002</v>
      </c>
      <c r="K240" s="78">
        <v>10.199999999999999</v>
      </c>
      <c r="L240" s="78">
        <v>38.4</v>
      </c>
      <c r="M240" s="78" t="s">
        <v>1615</v>
      </c>
      <c r="N240" s="78">
        <v>8.4</v>
      </c>
      <c r="O240" s="78">
        <v>1.9</v>
      </c>
      <c r="P240" s="78">
        <v>0.46</v>
      </c>
      <c r="Q240" s="78">
        <v>0.28999999999999998</v>
      </c>
      <c r="R240" s="78">
        <v>0.53</v>
      </c>
      <c r="S240" s="78">
        <v>0</v>
      </c>
      <c r="T240" s="78">
        <v>0.8</v>
      </c>
      <c r="U240" s="78" t="s">
        <v>1615</v>
      </c>
      <c r="V240" s="78" t="s">
        <v>1615</v>
      </c>
      <c r="W240" s="78" t="s">
        <v>1615</v>
      </c>
      <c r="X240" s="78" t="s">
        <v>1615</v>
      </c>
      <c r="Y240" s="78" t="s">
        <v>1615</v>
      </c>
      <c r="Z240" s="78" t="s">
        <v>1615</v>
      </c>
      <c r="AA240" s="78" t="s">
        <v>1615</v>
      </c>
      <c r="AB240" s="78" t="s">
        <v>1615</v>
      </c>
      <c r="AC240" s="78" t="s">
        <v>1615</v>
      </c>
      <c r="AD240" s="78" t="s">
        <v>1615</v>
      </c>
      <c r="AE240" s="78" t="s">
        <v>1615</v>
      </c>
      <c r="AF240" s="78" t="s">
        <v>1615</v>
      </c>
      <c r="AG240" s="78">
        <v>365</v>
      </c>
      <c r="AH240" s="78" t="s">
        <v>1615</v>
      </c>
      <c r="AI240" s="78" t="s">
        <v>1615</v>
      </c>
      <c r="AJ240" s="78" t="s">
        <v>1615</v>
      </c>
      <c r="AK240" s="78" t="s">
        <v>1615</v>
      </c>
      <c r="AL240" s="78" t="s">
        <v>1615</v>
      </c>
      <c r="AM240" s="78" t="s">
        <v>1615</v>
      </c>
      <c r="AN240" s="78" t="s">
        <v>1615</v>
      </c>
      <c r="AO240" s="78" t="s">
        <v>1615</v>
      </c>
    </row>
    <row r="241" spans="1:41">
      <c r="A241" s="78" t="s">
        <v>2078</v>
      </c>
      <c r="B241" s="78" t="s">
        <v>1558</v>
      </c>
      <c r="C241" s="78" t="s">
        <v>366</v>
      </c>
      <c r="D241" s="78" t="s">
        <v>2065</v>
      </c>
      <c r="E241" s="78" t="s">
        <v>2079</v>
      </c>
      <c r="F241" s="78" t="s">
        <v>2069</v>
      </c>
      <c r="G241" s="78" t="s">
        <v>1614</v>
      </c>
      <c r="H241" s="78">
        <v>363</v>
      </c>
      <c r="I241" s="78">
        <v>22.8</v>
      </c>
      <c r="J241" s="78">
        <v>2</v>
      </c>
      <c r="K241" s="78">
        <v>9.1</v>
      </c>
      <c r="L241" s="78">
        <v>53.6</v>
      </c>
      <c r="M241" s="78" t="s">
        <v>1615</v>
      </c>
      <c r="N241" s="78" t="s">
        <v>1615</v>
      </c>
      <c r="O241" s="78">
        <v>12.5</v>
      </c>
      <c r="P241" s="78" t="s">
        <v>1615</v>
      </c>
      <c r="Q241" s="78" t="s">
        <v>1615</v>
      </c>
      <c r="R241" s="78" t="s">
        <v>1615</v>
      </c>
      <c r="S241" s="78" t="s">
        <v>1615</v>
      </c>
      <c r="T241" s="78" t="s">
        <v>1615</v>
      </c>
      <c r="U241" s="78" t="s">
        <v>1615</v>
      </c>
      <c r="V241" s="78" t="s">
        <v>1615</v>
      </c>
      <c r="W241" s="78" t="s">
        <v>1615</v>
      </c>
      <c r="X241" s="78" t="s">
        <v>1615</v>
      </c>
      <c r="Y241" s="78" t="s">
        <v>1615</v>
      </c>
      <c r="Z241" s="78" t="s">
        <v>1615</v>
      </c>
      <c r="AA241" s="78" t="s">
        <v>1615</v>
      </c>
      <c r="AB241" s="78" t="s">
        <v>1615</v>
      </c>
      <c r="AC241" s="78" t="s">
        <v>1615</v>
      </c>
      <c r="AD241" s="78" t="s">
        <v>1615</v>
      </c>
      <c r="AE241" s="78" t="s">
        <v>1615</v>
      </c>
      <c r="AF241" s="78" t="s">
        <v>1615</v>
      </c>
      <c r="AG241" s="78">
        <v>564</v>
      </c>
      <c r="AH241" s="78" t="s">
        <v>1615</v>
      </c>
      <c r="AI241" s="78" t="s">
        <v>1615</v>
      </c>
      <c r="AJ241" s="78" t="s">
        <v>1615</v>
      </c>
      <c r="AK241" s="78" t="s">
        <v>1615</v>
      </c>
      <c r="AL241" s="78" t="s">
        <v>1615</v>
      </c>
      <c r="AM241" s="78" t="s">
        <v>1615</v>
      </c>
      <c r="AN241" s="78" t="s">
        <v>1615</v>
      </c>
      <c r="AO241" s="78" t="s">
        <v>1615</v>
      </c>
    </row>
    <row r="242" spans="1:41">
      <c r="A242" s="78" t="s">
        <v>2080</v>
      </c>
      <c r="B242" s="78" t="s">
        <v>1558</v>
      </c>
      <c r="C242" s="78" t="s">
        <v>366</v>
      </c>
      <c r="D242" s="78" t="s">
        <v>2067</v>
      </c>
      <c r="E242" s="78" t="s">
        <v>2081</v>
      </c>
      <c r="F242" s="78" t="s">
        <v>2069</v>
      </c>
      <c r="G242" s="78" t="s">
        <v>1614</v>
      </c>
      <c r="H242" s="78">
        <v>252</v>
      </c>
      <c r="I242" s="78">
        <v>39</v>
      </c>
      <c r="J242" s="78">
        <v>2.2999999999999998</v>
      </c>
      <c r="K242" s="78">
        <v>12.5</v>
      </c>
      <c r="L242" s="78">
        <v>36.700000000000003</v>
      </c>
      <c r="M242" s="78">
        <v>4.3</v>
      </c>
      <c r="N242" s="78">
        <v>6</v>
      </c>
      <c r="O242" s="78">
        <v>3.5</v>
      </c>
      <c r="P242" s="78">
        <v>0.72</v>
      </c>
      <c r="Q242" s="78">
        <v>0.62</v>
      </c>
      <c r="R242" s="78">
        <v>1.59</v>
      </c>
      <c r="S242" s="78" t="s">
        <v>1615</v>
      </c>
      <c r="T242" s="78">
        <v>0</v>
      </c>
      <c r="U242" s="78">
        <v>0</v>
      </c>
      <c r="V242" s="78">
        <v>0</v>
      </c>
      <c r="W242" s="78">
        <v>0</v>
      </c>
      <c r="X242" s="78">
        <v>2.7</v>
      </c>
      <c r="Y242" s="78">
        <v>0.7</v>
      </c>
      <c r="Z242" s="78">
        <v>0.4</v>
      </c>
      <c r="AA242" s="78">
        <v>0.4</v>
      </c>
      <c r="AB242" s="78">
        <v>4.4000000000000004</v>
      </c>
      <c r="AC242" s="78">
        <v>0.2</v>
      </c>
      <c r="AD242" s="78">
        <v>0.6</v>
      </c>
      <c r="AE242" s="78">
        <v>0</v>
      </c>
      <c r="AF242" s="78">
        <v>123</v>
      </c>
      <c r="AG242" s="78">
        <v>455</v>
      </c>
      <c r="AH242" s="78">
        <v>254</v>
      </c>
      <c r="AI242" s="78">
        <v>161</v>
      </c>
      <c r="AJ242" s="78">
        <v>212</v>
      </c>
      <c r="AK242" s="78">
        <v>75</v>
      </c>
      <c r="AL242" s="78">
        <v>2.5</v>
      </c>
      <c r="AM242" s="78">
        <v>1</v>
      </c>
      <c r="AN242" s="78">
        <v>0.2</v>
      </c>
      <c r="AO242" s="78">
        <v>25.7</v>
      </c>
    </row>
    <row r="243" spans="1:41">
      <c r="A243" s="78" t="s">
        <v>2082</v>
      </c>
      <c r="B243" s="78" t="s">
        <v>1558</v>
      </c>
      <c r="C243" s="78" t="s">
        <v>366</v>
      </c>
      <c r="D243" s="78" t="s">
        <v>2070</v>
      </c>
      <c r="E243" s="78" t="s">
        <v>2083</v>
      </c>
      <c r="F243" s="78" t="s">
        <v>2069</v>
      </c>
      <c r="G243" s="78" t="s">
        <v>1614</v>
      </c>
      <c r="H243" s="78">
        <v>272</v>
      </c>
      <c r="I243" s="78">
        <v>33</v>
      </c>
      <c r="J243" s="78">
        <v>2</v>
      </c>
      <c r="K243" s="78">
        <v>10.8</v>
      </c>
      <c r="L243" s="78">
        <v>49.7</v>
      </c>
      <c r="M243" s="78">
        <v>4.5999999999999996</v>
      </c>
      <c r="N243" s="78">
        <v>2.2000000000000002</v>
      </c>
      <c r="O243" s="78">
        <v>2.4</v>
      </c>
      <c r="P243" s="78">
        <v>0.53</v>
      </c>
      <c r="Q243" s="78">
        <v>0.36</v>
      </c>
      <c r="R243" s="78">
        <v>0.86</v>
      </c>
      <c r="S243" s="78" t="s">
        <v>1615</v>
      </c>
      <c r="T243" s="78">
        <v>0</v>
      </c>
      <c r="U243" s="78">
        <v>0</v>
      </c>
      <c r="V243" s="78">
        <v>0</v>
      </c>
      <c r="W243" s="78">
        <v>0</v>
      </c>
      <c r="X243" s="78">
        <v>0.2</v>
      </c>
      <c r="Y243" s="78">
        <v>7.8</v>
      </c>
      <c r="Z243" s="78">
        <v>0.7</v>
      </c>
      <c r="AA243" s="78">
        <v>0.2</v>
      </c>
      <c r="AB243" s="78">
        <v>4.8</v>
      </c>
      <c r="AC243" s="78">
        <v>0.1</v>
      </c>
      <c r="AD243" s="78">
        <v>0.5</v>
      </c>
      <c r="AE243" s="78">
        <v>0</v>
      </c>
      <c r="AF243" s="78">
        <v>42</v>
      </c>
      <c r="AG243" s="78">
        <v>602</v>
      </c>
      <c r="AH243" s="78">
        <v>117</v>
      </c>
      <c r="AI243" s="78">
        <v>52</v>
      </c>
      <c r="AJ243" s="78">
        <v>105</v>
      </c>
      <c r="AK243" s="78">
        <v>32</v>
      </c>
      <c r="AL243" s="78">
        <v>3.9</v>
      </c>
      <c r="AM243" s="78">
        <v>1.8</v>
      </c>
      <c r="AN243" s="78">
        <v>0.2</v>
      </c>
      <c r="AO243" s="78">
        <v>28.6</v>
      </c>
    </row>
    <row r="244" spans="1:41">
      <c r="A244" s="78" t="s">
        <v>2084</v>
      </c>
      <c r="B244" s="78" t="s">
        <v>1558</v>
      </c>
      <c r="C244" s="78" t="s">
        <v>366</v>
      </c>
      <c r="D244" s="78" t="s">
        <v>2072</v>
      </c>
      <c r="E244" s="78" t="s">
        <v>2085</v>
      </c>
      <c r="F244" s="78" t="s">
        <v>2069</v>
      </c>
      <c r="G244" s="78" t="s">
        <v>1614</v>
      </c>
      <c r="H244" s="78">
        <v>269</v>
      </c>
      <c r="I244" s="78">
        <v>35.6</v>
      </c>
      <c r="J244" s="78" t="s">
        <v>1615</v>
      </c>
      <c r="K244" s="78">
        <v>8.6999999999999993</v>
      </c>
      <c r="L244" s="78">
        <v>48.8</v>
      </c>
      <c r="M244" s="78" t="s">
        <v>1615</v>
      </c>
      <c r="N244" s="78">
        <v>1.9</v>
      </c>
      <c r="O244" s="78">
        <v>3.2</v>
      </c>
      <c r="P244" s="78">
        <v>0.73</v>
      </c>
      <c r="Q244" s="78">
        <v>1.41</v>
      </c>
      <c r="R244" s="78">
        <v>0.91</v>
      </c>
      <c r="S244" s="78" t="s">
        <v>1615</v>
      </c>
      <c r="T244" s="78">
        <v>3</v>
      </c>
      <c r="U244" s="78">
        <v>0</v>
      </c>
      <c r="V244" s="78">
        <v>0</v>
      </c>
      <c r="W244" s="78" t="s">
        <v>1615</v>
      </c>
      <c r="X244" s="78">
        <v>0.1</v>
      </c>
      <c r="Y244" s="78" t="s">
        <v>1615</v>
      </c>
      <c r="Z244" s="78">
        <v>0.4</v>
      </c>
      <c r="AA244" s="78">
        <v>0.2</v>
      </c>
      <c r="AB244" s="78">
        <v>3.3</v>
      </c>
      <c r="AC244" s="78">
        <v>0</v>
      </c>
      <c r="AD244" s="78">
        <v>0.4</v>
      </c>
      <c r="AE244" s="78">
        <v>0</v>
      </c>
      <c r="AF244" s="78">
        <v>34.5</v>
      </c>
      <c r="AG244" s="78">
        <v>504</v>
      </c>
      <c r="AH244" s="78">
        <v>106</v>
      </c>
      <c r="AI244" s="78">
        <v>83.8</v>
      </c>
      <c r="AJ244" s="78">
        <v>96.8</v>
      </c>
      <c r="AK244" s="78">
        <v>20.7</v>
      </c>
      <c r="AL244" s="78">
        <v>2.8</v>
      </c>
      <c r="AM244" s="78">
        <v>0.6</v>
      </c>
      <c r="AN244" s="78">
        <v>0.1</v>
      </c>
      <c r="AO244" s="78">
        <v>27.5</v>
      </c>
    </row>
    <row r="245" spans="1:41">
      <c r="A245" s="78" t="s">
        <v>2086</v>
      </c>
      <c r="B245" s="78" t="s">
        <v>1558</v>
      </c>
      <c r="C245" s="78" t="s">
        <v>366</v>
      </c>
      <c r="D245" s="78" t="s">
        <v>2074</v>
      </c>
      <c r="E245" s="78" t="s">
        <v>2087</v>
      </c>
      <c r="F245" s="78" t="s">
        <v>2069</v>
      </c>
      <c r="G245" s="78" t="s">
        <v>1614</v>
      </c>
      <c r="H245" s="78">
        <v>244</v>
      </c>
      <c r="I245" s="78">
        <v>35.5</v>
      </c>
      <c r="J245" s="78">
        <v>1.8</v>
      </c>
      <c r="K245" s="78">
        <v>8.1</v>
      </c>
      <c r="L245" s="78">
        <v>49.9</v>
      </c>
      <c r="M245" s="78" t="s">
        <v>1615</v>
      </c>
      <c r="N245" s="78">
        <v>3.3</v>
      </c>
      <c r="O245" s="78">
        <v>1.4</v>
      </c>
      <c r="P245" s="78">
        <v>0.23</v>
      </c>
      <c r="Q245" s="78">
        <v>0.08</v>
      </c>
      <c r="R245" s="78">
        <v>0.3</v>
      </c>
      <c r="S245" s="78">
        <v>0</v>
      </c>
      <c r="T245" s="78" t="s">
        <v>1615</v>
      </c>
      <c r="U245" s="78" t="s">
        <v>1615</v>
      </c>
      <c r="V245" s="78" t="s">
        <v>1615</v>
      </c>
      <c r="W245" s="78" t="s">
        <v>1615</v>
      </c>
      <c r="X245" s="78" t="s">
        <v>1615</v>
      </c>
      <c r="Y245" s="78" t="s">
        <v>1615</v>
      </c>
      <c r="Z245" s="78" t="s">
        <v>1615</v>
      </c>
      <c r="AA245" s="78" t="s">
        <v>1615</v>
      </c>
      <c r="AB245" s="78" t="s">
        <v>1615</v>
      </c>
      <c r="AC245" s="78" t="s">
        <v>1615</v>
      </c>
      <c r="AD245" s="78" t="s">
        <v>1615</v>
      </c>
      <c r="AE245" s="78" t="s">
        <v>1615</v>
      </c>
      <c r="AF245" s="78" t="s">
        <v>1615</v>
      </c>
      <c r="AG245" s="78">
        <v>466</v>
      </c>
      <c r="AH245" s="78" t="s">
        <v>1615</v>
      </c>
      <c r="AI245" s="78" t="s">
        <v>1615</v>
      </c>
      <c r="AJ245" s="78" t="s">
        <v>1615</v>
      </c>
      <c r="AK245" s="78" t="s">
        <v>1615</v>
      </c>
      <c r="AL245" s="78" t="s">
        <v>1615</v>
      </c>
      <c r="AM245" s="78" t="s">
        <v>1615</v>
      </c>
      <c r="AN245" s="78" t="s">
        <v>1615</v>
      </c>
      <c r="AO245" s="78" t="s">
        <v>1615</v>
      </c>
    </row>
    <row r="246" spans="1:41">
      <c r="A246" s="78" t="s">
        <v>2088</v>
      </c>
      <c r="B246" s="78" t="s">
        <v>1558</v>
      </c>
      <c r="C246" s="78" t="s">
        <v>366</v>
      </c>
      <c r="D246" s="78" t="s">
        <v>2076</v>
      </c>
      <c r="E246" s="78" t="s">
        <v>2089</v>
      </c>
      <c r="F246" s="78" t="s">
        <v>2069</v>
      </c>
      <c r="G246" s="78" t="s">
        <v>1614</v>
      </c>
      <c r="H246" s="78">
        <v>275</v>
      </c>
      <c r="I246" s="78">
        <v>32.1</v>
      </c>
      <c r="J246" s="78">
        <v>1.9</v>
      </c>
      <c r="K246" s="78">
        <v>9.1</v>
      </c>
      <c r="L246" s="78">
        <v>53.5</v>
      </c>
      <c r="M246" s="78" t="s">
        <v>1615</v>
      </c>
      <c r="N246" s="78">
        <v>2.2000000000000002</v>
      </c>
      <c r="O246" s="78">
        <v>1.2</v>
      </c>
      <c r="P246" s="78">
        <v>0.17</v>
      </c>
      <c r="Q246" s="78">
        <v>0.11</v>
      </c>
      <c r="R246" s="78">
        <v>0.54</v>
      </c>
      <c r="S246" s="78" t="s">
        <v>1615</v>
      </c>
      <c r="T246" s="78">
        <v>0</v>
      </c>
      <c r="U246" s="78">
        <v>0</v>
      </c>
      <c r="V246" s="78">
        <v>0</v>
      </c>
      <c r="W246" s="78" t="s">
        <v>1615</v>
      </c>
      <c r="X246" s="78" t="s">
        <v>1615</v>
      </c>
      <c r="Y246" s="78" t="s">
        <v>1615</v>
      </c>
      <c r="Z246" s="78" t="s">
        <v>1615</v>
      </c>
      <c r="AA246" s="78" t="s">
        <v>1615</v>
      </c>
      <c r="AB246" s="78">
        <v>2.1</v>
      </c>
      <c r="AC246" s="78">
        <v>0</v>
      </c>
      <c r="AD246" s="78">
        <v>0.4</v>
      </c>
      <c r="AE246" s="78">
        <v>0</v>
      </c>
      <c r="AF246" s="78">
        <v>24</v>
      </c>
      <c r="AG246" s="78">
        <v>536</v>
      </c>
      <c r="AH246" s="78">
        <v>120</v>
      </c>
      <c r="AI246" s="78">
        <v>86</v>
      </c>
      <c r="AJ246" s="78">
        <v>97</v>
      </c>
      <c r="AK246" s="78">
        <v>26</v>
      </c>
      <c r="AL246" s="78">
        <v>1.4</v>
      </c>
      <c r="AM246" s="78">
        <v>0.8</v>
      </c>
      <c r="AN246" s="78">
        <v>0.2</v>
      </c>
      <c r="AO246" s="78" t="s">
        <v>1615</v>
      </c>
    </row>
    <row r="247" spans="1:41">
      <c r="A247" s="78" t="s">
        <v>2090</v>
      </c>
      <c r="B247" s="78" t="s">
        <v>1558</v>
      </c>
      <c r="C247" s="78" t="s">
        <v>366</v>
      </c>
      <c r="D247" s="78" t="s">
        <v>2078</v>
      </c>
      <c r="E247" s="78" t="s">
        <v>2091</v>
      </c>
      <c r="F247" s="78" t="s">
        <v>2069</v>
      </c>
      <c r="G247" s="78" t="s">
        <v>1614</v>
      </c>
      <c r="H247" s="78">
        <v>395</v>
      </c>
      <c r="I247" s="78">
        <v>6.5</v>
      </c>
      <c r="J247" s="78">
        <v>2.9</v>
      </c>
      <c r="K247" s="78">
        <v>13.4</v>
      </c>
      <c r="L247" s="78">
        <v>67.5</v>
      </c>
      <c r="M247" s="78">
        <v>6.2</v>
      </c>
      <c r="N247" s="78">
        <v>4.5</v>
      </c>
      <c r="O247" s="78">
        <v>5.3</v>
      </c>
      <c r="P247" s="78">
        <v>1.2</v>
      </c>
      <c r="Q247" s="78">
        <v>1.02</v>
      </c>
      <c r="R247" s="78">
        <v>2.06</v>
      </c>
      <c r="S247" s="78" t="s">
        <v>1615</v>
      </c>
      <c r="T247" s="78">
        <v>0</v>
      </c>
      <c r="U247" s="78">
        <v>0</v>
      </c>
      <c r="V247" s="78">
        <v>0</v>
      </c>
      <c r="W247" s="78">
        <v>0</v>
      </c>
      <c r="X247" s="78">
        <v>0.1</v>
      </c>
      <c r="Y247" s="78">
        <v>6.6</v>
      </c>
      <c r="Z247" s="78" t="s">
        <v>1615</v>
      </c>
      <c r="AA247" s="78">
        <v>0.1</v>
      </c>
      <c r="AB247" s="78">
        <v>6.6</v>
      </c>
      <c r="AC247" s="78">
        <v>0.1</v>
      </c>
      <c r="AD247" s="78">
        <v>0.6</v>
      </c>
      <c r="AE247" s="78">
        <v>0.4</v>
      </c>
      <c r="AF247" s="78">
        <v>107</v>
      </c>
      <c r="AG247" s="78">
        <v>732</v>
      </c>
      <c r="AH247" s="78">
        <v>196</v>
      </c>
      <c r="AI247" s="78">
        <v>183</v>
      </c>
      <c r="AJ247" s="78">
        <v>165</v>
      </c>
      <c r="AK247" s="78">
        <v>43</v>
      </c>
      <c r="AL247" s="78">
        <v>4.8</v>
      </c>
      <c r="AM247" s="78">
        <v>1.5</v>
      </c>
      <c r="AN247" s="78">
        <v>0.3</v>
      </c>
      <c r="AO247" s="78">
        <v>25.2</v>
      </c>
    </row>
    <row r="248" spans="1:41">
      <c r="A248" s="78" t="s">
        <v>2092</v>
      </c>
      <c r="B248" s="78" t="s">
        <v>1558</v>
      </c>
      <c r="C248" s="78" t="s">
        <v>366</v>
      </c>
      <c r="D248" s="78" t="s">
        <v>2080</v>
      </c>
      <c r="E248" s="78" t="s">
        <v>2093</v>
      </c>
      <c r="F248" s="78" t="s">
        <v>2069</v>
      </c>
      <c r="G248" s="78" t="s">
        <v>1614</v>
      </c>
      <c r="H248" s="78">
        <v>248</v>
      </c>
      <c r="I248" s="78">
        <v>37.799999999999997</v>
      </c>
      <c r="J248" s="78">
        <v>2.2000000000000002</v>
      </c>
      <c r="K248" s="78">
        <v>8.8000000000000007</v>
      </c>
      <c r="L248" s="78">
        <v>43.8</v>
      </c>
      <c r="M248" s="78">
        <v>9.6999999999999993</v>
      </c>
      <c r="N248" s="78">
        <v>4</v>
      </c>
      <c r="O248" s="78">
        <v>3.4</v>
      </c>
      <c r="P248" s="78">
        <v>0.78</v>
      </c>
      <c r="Q248" s="78">
        <v>1.62</v>
      </c>
      <c r="R248" s="78">
        <v>0.65</v>
      </c>
      <c r="S248" s="78" t="s">
        <v>1615</v>
      </c>
      <c r="T248" s="78">
        <v>0</v>
      </c>
      <c r="U248" s="78">
        <v>0</v>
      </c>
      <c r="V248" s="78">
        <v>0</v>
      </c>
      <c r="W248" s="78">
        <v>0</v>
      </c>
      <c r="X248" s="78">
        <v>0.3</v>
      </c>
      <c r="Y248" s="78">
        <v>1.3</v>
      </c>
      <c r="Z248" s="78">
        <v>0.3</v>
      </c>
      <c r="AA248" s="78">
        <v>0.4</v>
      </c>
      <c r="AB248" s="78">
        <v>4.4000000000000004</v>
      </c>
      <c r="AC248" s="78">
        <v>0.2</v>
      </c>
      <c r="AD248" s="78">
        <v>0.5</v>
      </c>
      <c r="AE248" s="78">
        <v>0</v>
      </c>
      <c r="AF248" s="78">
        <v>105</v>
      </c>
      <c r="AG248" s="78">
        <v>486</v>
      </c>
      <c r="AH248" s="78">
        <v>227</v>
      </c>
      <c r="AI248" s="78">
        <v>74</v>
      </c>
      <c r="AJ248" s="78">
        <v>185</v>
      </c>
      <c r="AK248" s="78">
        <v>81</v>
      </c>
      <c r="AL248" s="78">
        <v>3.1</v>
      </c>
      <c r="AM248" s="78">
        <v>1.4</v>
      </c>
      <c r="AN248" s="78">
        <v>0.2</v>
      </c>
      <c r="AO248" s="78">
        <v>31</v>
      </c>
    </row>
    <row r="249" spans="1:41">
      <c r="A249" s="78" t="s">
        <v>2094</v>
      </c>
      <c r="B249" s="78" t="s">
        <v>1558</v>
      </c>
      <c r="C249" s="78" t="s">
        <v>366</v>
      </c>
      <c r="D249" s="78" t="s">
        <v>2082</v>
      </c>
      <c r="E249" s="78" t="s">
        <v>365</v>
      </c>
      <c r="F249" s="78" t="s">
        <v>2069</v>
      </c>
      <c r="G249" s="78" t="s">
        <v>1614</v>
      </c>
      <c r="H249" s="78">
        <v>260</v>
      </c>
      <c r="I249" s="78">
        <v>35.799999999999997</v>
      </c>
      <c r="J249" s="78">
        <v>2.1</v>
      </c>
      <c r="K249" s="78">
        <v>8.6999999999999993</v>
      </c>
      <c r="L249" s="78">
        <v>44</v>
      </c>
      <c r="M249" s="78" t="s">
        <v>1615</v>
      </c>
      <c r="N249" s="78">
        <v>5.5</v>
      </c>
      <c r="O249" s="78">
        <v>3.9</v>
      </c>
      <c r="P249" s="78">
        <v>0.92</v>
      </c>
      <c r="Q249" s="78">
        <v>1.9</v>
      </c>
      <c r="R249" s="78">
        <v>0.68</v>
      </c>
      <c r="S249" s="78" t="s">
        <v>1615</v>
      </c>
      <c r="T249" s="78">
        <v>0</v>
      </c>
      <c r="U249" s="78">
        <v>0</v>
      </c>
      <c r="V249" s="78">
        <v>0</v>
      </c>
      <c r="W249" s="78" t="s">
        <v>1615</v>
      </c>
      <c r="X249" s="78" t="s">
        <v>1615</v>
      </c>
      <c r="Y249" s="78" t="s">
        <v>1615</v>
      </c>
      <c r="Z249" s="78">
        <v>1</v>
      </c>
      <c r="AA249" s="78">
        <v>0.3</v>
      </c>
      <c r="AB249" s="78">
        <v>3.7</v>
      </c>
      <c r="AC249" s="78">
        <v>0.3</v>
      </c>
      <c r="AD249" s="78">
        <v>0.5</v>
      </c>
      <c r="AE249" s="78">
        <v>0</v>
      </c>
      <c r="AF249" s="78">
        <v>61</v>
      </c>
      <c r="AG249" s="78">
        <v>538</v>
      </c>
      <c r="AH249" s="78">
        <v>177</v>
      </c>
      <c r="AI249" s="78">
        <v>43</v>
      </c>
      <c r="AJ249" s="78">
        <v>153</v>
      </c>
      <c r="AK249" s="78">
        <v>52</v>
      </c>
      <c r="AL249" s="78">
        <v>2.8</v>
      </c>
      <c r="AM249" s="78">
        <v>1.2</v>
      </c>
      <c r="AN249" s="78">
        <v>0.2</v>
      </c>
      <c r="AO249" s="78">
        <v>25.3</v>
      </c>
    </row>
    <row r="250" spans="1:41">
      <c r="A250" s="78" t="s">
        <v>2095</v>
      </c>
      <c r="B250" s="78" t="s">
        <v>1558</v>
      </c>
      <c r="C250" s="78" t="s">
        <v>366</v>
      </c>
      <c r="D250" s="78" t="s">
        <v>2084</v>
      </c>
      <c r="E250" s="78" t="s">
        <v>2096</v>
      </c>
      <c r="F250" s="78" t="s">
        <v>2069</v>
      </c>
      <c r="G250" s="78" t="s">
        <v>1614</v>
      </c>
      <c r="H250" s="78">
        <v>269</v>
      </c>
      <c r="I250" s="78" t="s">
        <v>1615</v>
      </c>
      <c r="J250" s="78" t="s">
        <v>1615</v>
      </c>
      <c r="K250" s="78">
        <v>8.9</v>
      </c>
      <c r="L250" s="78">
        <v>45</v>
      </c>
      <c r="M250" s="78">
        <v>1.2</v>
      </c>
      <c r="N250" s="78" t="s">
        <v>1615</v>
      </c>
      <c r="O250" s="78">
        <v>5.9</v>
      </c>
      <c r="P250" s="78">
        <v>2.8</v>
      </c>
      <c r="Q250" s="78">
        <v>1.5</v>
      </c>
      <c r="R250" s="78">
        <v>1.6</v>
      </c>
      <c r="S250" s="78">
        <v>0.1</v>
      </c>
      <c r="T250" s="78">
        <v>0</v>
      </c>
      <c r="U250" s="78" t="s">
        <v>1615</v>
      </c>
      <c r="V250" s="78" t="s">
        <v>1615</v>
      </c>
      <c r="W250" s="78" t="s">
        <v>1615</v>
      </c>
      <c r="X250" s="78" t="s">
        <v>1615</v>
      </c>
      <c r="Y250" s="78" t="s">
        <v>1615</v>
      </c>
      <c r="Z250" s="78">
        <v>0.4</v>
      </c>
      <c r="AA250" s="78">
        <v>0.2</v>
      </c>
      <c r="AB250" s="78" t="s">
        <v>1615</v>
      </c>
      <c r="AC250" s="78" t="s">
        <v>1615</v>
      </c>
      <c r="AD250" s="78" t="s">
        <v>1615</v>
      </c>
      <c r="AE250" s="78" t="s">
        <v>1615</v>
      </c>
      <c r="AF250" s="78" t="s">
        <v>1615</v>
      </c>
      <c r="AG250" s="78">
        <v>354</v>
      </c>
      <c r="AH250" s="78" t="s">
        <v>1615</v>
      </c>
      <c r="AI250" s="78" t="s">
        <v>1615</v>
      </c>
      <c r="AJ250" s="78" t="s">
        <v>1615</v>
      </c>
      <c r="AK250" s="78" t="s">
        <v>1615</v>
      </c>
      <c r="AL250" s="78" t="s">
        <v>1615</v>
      </c>
      <c r="AM250" s="78" t="s">
        <v>1615</v>
      </c>
      <c r="AN250" s="78" t="s">
        <v>1615</v>
      </c>
      <c r="AO250" s="78" t="s">
        <v>1615</v>
      </c>
    </row>
    <row r="251" spans="1:41">
      <c r="A251" s="78" t="s">
        <v>2097</v>
      </c>
      <c r="B251" s="78" t="s">
        <v>1558</v>
      </c>
      <c r="C251" s="78" t="s">
        <v>366</v>
      </c>
      <c r="D251" s="78" t="s">
        <v>2086</v>
      </c>
      <c r="E251" s="78" t="s">
        <v>2098</v>
      </c>
      <c r="F251" s="78" t="s">
        <v>2069</v>
      </c>
      <c r="G251" s="78" t="s">
        <v>1614</v>
      </c>
      <c r="H251" s="78">
        <v>370</v>
      </c>
      <c r="I251" s="78">
        <v>10.5</v>
      </c>
      <c r="J251" s="78">
        <v>0.5</v>
      </c>
      <c r="K251" s="78">
        <v>6.8</v>
      </c>
      <c r="L251" s="78">
        <v>78.900000000000006</v>
      </c>
      <c r="M251" s="78" t="s">
        <v>1615</v>
      </c>
      <c r="N251" s="78">
        <v>2.8</v>
      </c>
      <c r="O251" s="78">
        <v>0.6</v>
      </c>
      <c r="P251" s="78">
        <v>0.11</v>
      </c>
      <c r="Q251" s="78">
        <v>0.2</v>
      </c>
      <c r="R251" s="78">
        <v>0.2</v>
      </c>
      <c r="S251" s="78" t="s">
        <v>1615</v>
      </c>
      <c r="T251" s="78">
        <v>0</v>
      </c>
      <c r="U251" s="78">
        <v>0</v>
      </c>
      <c r="V251" s="78">
        <v>0</v>
      </c>
      <c r="W251" s="78">
        <v>0</v>
      </c>
      <c r="X251" s="78" t="s">
        <v>1615</v>
      </c>
      <c r="Y251" s="78" t="s">
        <v>1615</v>
      </c>
      <c r="Z251" s="78">
        <v>0.2</v>
      </c>
      <c r="AA251" s="78">
        <v>0.1</v>
      </c>
      <c r="AB251" s="78">
        <v>2.1</v>
      </c>
      <c r="AC251" s="78">
        <v>0.1</v>
      </c>
      <c r="AD251" s="78">
        <v>0.8</v>
      </c>
      <c r="AE251" s="78">
        <v>0</v>
      </c>
      <c r="AF251" s="78">
        <v>7</v>
      </c>
      <c r="AG251" s="78">
        <v>7</v>
      </c>
      <c r="AH251" s="78">
        <v>77</v>
      </c>
      <c r="AI251" s="78">
        <v>11</v>
      </c>
      <c r="AJ251" s="78">
        <v>71</v>
      </c>
      <c r="AK251" s="78">
        <v>23</v>
      </c>
      <c r="AL251" s="78">
        <v>1.6</v>
      </c>
      <c r="AM251" s="78">
        <v>1.2</v>
      </c>
      <c r="AN251" s="78">
        <v>0.2</v>
      </c>
      <c r="AO251" s="78">
        <v>15.1</v>
      </c>
    </row>
    <row r="252" spans="1:41">
      <c r="A252" s="78" t="s">
        <v>2099</v>
      </c>
      <c r="B252" s="78" t="s">
        <v>1558</v>
      </c>
      <c r="C252" s="78" t="s">
        <v>366</v>
      </c>
      <c r="D252" s="78" t="s">
        <v>2088</v>
      </c>
      <c r="E252" s="78" t="s">
        <v>2100</v>
      </c>
      <c r="F252" s="78" t="s">
        <v>2069</v>
      </c>
      <c r="G252" s="78" t="s">
        <v>1614</v>
      </c>
      <c r="H252" s="78">
        <v>130</v>
      </c>
      <c r="I252" s="78">
        <v>68.400000000000006</v>
      </c>
      <c r="J252" s="78">
        <v>0.4</v>
      </c>
      <c r="K252" s="78">
        <v>2.7</v>
      </c>
      <c r="L252" s="78">
        <v>27.8</v>
      </c>
      <c r="M252" s="78">
        <v>0.1</v>
      </c>
      <c r="N252" s="78">
        <v>0.4</v>
      </c>
      <c r="O252" s="78">
        <v>0.3</v>
      </c>
      <c r="P252" s="78">
        <v>0.08</v>
      </c>
      <c r="Q252" s="78">
        <v>0.09</v>
      </c>
      <c r="R252" s="78">
        <v>0.08</v>
      </c>
      <c r="S252" s="78" t="s">
        <v>1615</v>
      </c>
      <c r="T252" s="78">
        <v>0</v>
      </c>
      <c r="U252" s="78">
        <v>0</v>
      </c>
      <c r="V252" s="78">
        <v>0</v>
      </c>
      <c r="W252" s="78">
        <v>0</v>
      </c>
      <c r="X252" s="78">
        <v>0</v>
      </c>
      <c r="Y252" s="78">
        <v>0</v>
      </c>
      <c r="Z252" s="78">
        <v>0</v>
      </c>
      <c r="AA252" s="78">
        <v>0</v>
      </c>
      <c r="AB252" s="78">
        <v>0.4</v>
      </c>
      <c r="AC252" s="78">
        <v>0.1</v>
      </c>
      <c r="AD252" s="78">
        <v>0.4</v>
      </c>
      <c r="AE252" s="78">
        <v>0</v>
      </c>
      <c r="AF252" s="78">
        <v>3</v>
      </c>
      <c r="AG252" s="78">
        <v>1</v>
      </c>
      <c r="AH252" s="78">
        <v>35</v>
      </c>
      <c r="AI252" s="78">
        <v>10</v>
      </c>
      <c r="AJ252" s="78">
        <v>43</v>
      </c>
      <c r="AK252" s="78">
        <v>12</v>
      </c>
      <c r="AL252" s="78">
        <v>0.2</v>
      </c>
      <c r="AM252" s="78">
        <v>0.5</v>
      </c>
      <c r="AN252" s="78">
        <v>0.1</v>
      </c>
      <c r="AO252" s="78">
        <v>7.5</v>
      </c>
    </row>
    <row r="253" spans="1:41">
      <c r="A253" s="78" t="s">
        <v>2101</v>
      </c>
      <c r="B253" s="78" t="s">
        <v>1558</v>
      </c>
      <c r="C253" s="78" t="s">
        <v>366</v>
      </c>
      <c r="D253" s="78" t="s">
        <v>2090</v>
      </c>
      <c r="E253" s="78" t="s">
        <v>2102</v>
      </c>
      <c r="F253" s="78" t="s">
        <v>2069</v>
      </c>
      <c r="G253" s="78" t="s">
        <v>1614</v>
      </c>
      <c r="H253" s="78">
        <v>367</v>
      </c>
      <c r="I253" s="78">
        <v>11.8</v>
      </c>
      <c r="J253" s="78">
        <v>1.2</v>
      </c>
      <c r="K253" s="78">
        <v>7.5</v>
      </c>
      <c r="L253" s="78">
        <v>72.7</v>
      </c>
      <c r="M253" s="78">
        <v>0.7</v>
      </c>
      <c r="N253" s="78">
        <v>3.6</v>
      </c>
      <c r="O253" s="78">
        <v>3.2</v>
      </c>
      <c r="P253" s="78">
        <v>0.59</v>
      </c>
      <c r="Q253" s="78">
        <v>1.05</v>
      </c>
      <c r="R253" s="78">
        <v>1</v>
      </c>
      <c r="S253" s="78" t="s">
        <v>1615</v>
      </c>
      <c r="T253" s="78">
        <v>0</v>
      </c>
      <c r="U253" s="78">
        <v>0</v>
      </c>
      <c r="V253" s="78">
        <v>0</v>
      </c>
      <c r="W253" s="78">
        <v>0</v>
      </c>
      <c r="X253" s="78">
        <v>0.6</v>
      </c>
      <c r="Y253" s="78">
        <v>0.6</v>
      </c>
      <c r="Z253" s="78">
        <v>0.5</v>
      </c>
      <c r="AA253" s="78">
        <v>0.1</v>
      </c>
      <c r="AB253" s="78">
        <v>6.5</v>
      </c>
      <c r="AC253" s="78">
        <v>0.5</v>
      </c>
      <c r="AD253" s="78">
        <v>1.1000000000000001</v>
      </c>
      <c r="AE253" s="78">
        <v>0</v>
      </c>
      <c r="AF253" s="78">
        <v>23</v>
      </c>
      <c r="AG253" s="78">
        <v>5</v>
      </c>
      <c r="AH253" s="78">
        <v>250</v>
      </c>
      <c r="AI253" s="78">
        <v>9</v>
      </c>
      <c r="AJ253" s="78">
        <v>311</v>
      </c>
      <c r="AK253" s="78">
        <v>116</v>
      </c>
      <c r="AL253" s="78">
        <v>1.3</v>
      </c>
      <c r="AM253" s="78">
        <v>2.1</v>
      </c>
      <c r="AN253" s="78">
        <v>0.3</v>
      </c>
      <c r="AO253" s="78">
        <v>17.100000000000001</v>
      </c>
    </row>
    <row r="254" spans="1:41">
      <c r="A254" s="78" t="s">
        <v>2103</v>
      </c>
      <c r="B254" s="78" t="s">
        <v>1558</v>
      </c>
      <c r="C254" s="78" t="s">
        <v>366</v>
      </c>
      <c r="D254" s="78" t="s">
        <v>2092</v>
      </c>
      <c r="E254" s="78" t="s">
        <v>2104</v>
      </c>
      <c r="F254" s="78" t="s">
        <v>2069</v>
      </c>
      <c r="G254" s="78" t="s">
        <v>1614</v>
      </c>
      <c r="H254" s="78">
        <v>112</v>
      </c>
      <c r="I254" s="78">
        <v>73</v>
      </c>
      <c r="J254" s="78">
        <v>0.4</v>
      </c>
      <c r="K254" s="78">
        <v>2.2999999999999998</v>
      </c>
      <c r="L254" s="78">
        <v>21.7</v>
      </c>
      <c r="M254" s="78" t="s">
        <v>1615</v>
      </c>
      <c r="N254" s="78">
        <v>1.8</v>
      </c>
      <c r="O254" s="78">
        <v>0.8</v>
      </c>
      <c r="P254" s="78">
        <v>0.17</v>
      </c>
      <c r="Q254" s="78">
        <v>0.3</v>
      </c>
      <c r="R254" s="78">
        <v>0.3</v>
      </c>
      <c r="S254" s="78" t="s">
        <v>1615</v>
      </c>
      <c r="T254" s="78">
        <v>0</v>
      </c>
      <c r="U254" s="78">
        <v>0</v>
      </c>
      <c r="V254" s="78">
        <v>0</v>
      </c>
      <c r="W254" s="78">
        <v>0</v>
      </c>
      <c r="X254" s="78" t="s">
        <v>1615</v>
      </c>
      <c r="Y254" s="78" t="s">
        <v>1615</v>
      </c>
      <c r="Z254" s="78">
        <v>0.1</v>
      </c>
      <c r="AA254" s="78">
        <v>0</v>
      </c>
      <c r="AB254" s="78">
        <v>1.3</v>
      </c>
      <c r="AC254" s="78">
        <v>0.1</v>
      </c>
      <c r="AD254" s="78">
        <v>0.4</v>
      </c>
      <c r="AE254" s="78">
        <v>0</v>
      </c>
      <c r="AF254" s="78">
        <v>4</v>
      </c>
      <c r="AG254" s="78">
        <v>1</v>
      </c>
      <c r="AH254" s="78">
        <v>79</v>
      </c>
      <c r="AI254" s="78">
        <v>10</v>
      </c>
      <c r="AJ254" s="78">
        <v>77</v>
      </c>
      <c r="AK254" s="78">
        <v>44</v>
      </c>
      <c r="AL254" s="78">
        <v>0.5</v>
      </c>
      <c r="AM254" s="78">
        <v>0.6</v>
      </c>
      <c r="AN254" s="78">
        <v>0.1</v>
      </c>
      <c r="AO254" s="78" t="s">
        <v>1615</v>
      </c>
    </row>
    <row r="255" spans="1:41">
      <c r="A255" s="78" t="s">
        <v>2105</v>
      </c>
      <c r="B255" s="78" t="s">
        <v>1558</v>
      </c>
      <c r="C255" s="78" t="s">
        <v>366</v>
      </c>
      <c r="D255" s="78" t="s">
        <v>2094</v>
      </c>
      <c r="E255" s="78" t="s">
        <v>2106</v>
      </c>
      <c r="F255" s="78" t="s">
        <v>2069</v>
      </c>
      <c r="G255" s="78" t="s">
        <v>1614</v>
      </c>
      <c r="H255" s="78">
        <v>387</v>
      </c>
      <c r="I255" s="78">
        <v>3.3</v>
      </c>
      <c r="J255" s="78">
        <v>1.4</v>
      </c>
      <c r="K255" s="78">
        <v>12.9</v>
      </c>
      <c r="L255" s="78">
        <v>63.3</v>
      </c>
      <c r="M255" s="78">
        <v>0.9</v>
      </c>
      <c r="N255" s="78">
        <v>14.5</v>
      </c>
      <c r="O255" s="78">
        <v>4.5</v>
      </c>
      <c r="P255" s="78">
        <v>0.64</v>
      </c>
      <c r="Q255" s="78">
        <v>0.95</v>
      </c>
      <c r="R255" s="78">
        <v>2.3199999999999998</v>
      </c>
      <c r="S255" s="78" t="s">
        <v>1615</v>
      </c>
      <c r="T255" s="78">
        <v>0</v>
      </c>
      <c r="U255" s="78">
        <v>10</v>
      </c>
      <c r="V255" s="78">
        <v>0</v>
      </c>
      <c r="W255" s="78">
        <v>0</v>
      </c>
      <c r="X255" s="78">
        <v>0.3</v>
      </c>
      <c r="Y255" s="78">
        <v>1.2</v>
      </c>
      <c r="Z255" s="78">
        <v>0.1</v>
      </c>
      <c r="AA255" s="78">
        <v>0.1</v>
      </c>
      <c r="AB255" s="78">
        <v>2.2999999999999998</v>
      </c>
      <c r="AC255" s="78">
        <v>0.2</v>
      </c>
      <c r="AD255" s="78">
        <v>0.5</v>
      </c>
      <c r="AE255" s="78">
        <v>0</v>
      </c>
      <c r="AF255" s="78">
        <v>31</v>
      </c>
      <c r="AG255" s="78">
        <v>8</v>
      </c>
      <c r="AH255" s="78">
        <v>329</v>
      </c>
      <c r="AI255" s="78">
        <v>7</v>
      </c>
      <c r="AJ255" s="78">
        <v>358</v>
      </c>
      <c r="AK255" s="78">
        <v>144</v>
      </c>
      <c r="AL255" s="78">
        <v>3.2</v>
      </c>
      <c r="AM255" s="78">
        <v>3.1</v>
      </c>
      <c r="AN255" s="78">
        <v>0.3</v>
      </c>
      <c r="AO255" s="78">
        <v>0</v>
      </c>
    </row>
    <row r="256" spans="1:41">
      <c r="A256" s="78" t="s">
        <v>2107</v>
      </c>
      <c r="B256" s="78" t="s">
        <v>1558</v>
      </c>
      <c r="C256" s="78" t="s">
        <v>366</v>
      </c>
      <c r="D256" s="78" t="s">
        <v>2095</v>
      </c>
      <c r="E256" s="78" t="s">
        <v>2108</v>
      </c>
      <c r="F256" s="78" t="s">
        <v>2069</v>
      </c>
      <c r="G256" s="78" t="s">
        <v>1614</v>
      </c>
      <c r="H256" s="78">
        <v>96</v>
      </c>
      <c r="I256" s="78">
        <v>73.400000000000006</v>
      </c>
      <c r="J256" s="78">
        <v>0.7</v>
      </c>
      <c r="K256" s="78">
        <v>3.4</v>
      </c>
      <c r="L256" s="78">
        <v>18.600000000000001</v>
      </c>
      <c r="M256" s="78">
        <v>4.5</v>
      </c>
      <c r="N256" s="78">
        <v>2.4</v>
      </c>
      <c r="O256" s="78">
        <v>1.5</v>
      </c>
      <c r="P256" s="78">
        <v>0.2</v>
      </c>
      <c r="Q256" s="78">
        <v>0.37</v>
      </c>
      <c r="R256" s="78">
        <v>0.6</v>
      </c>
      <c r="S256" s="78" t="s">
        <v>1615</v>
      </c>
      <c r="T256" s="78">
        <v>0</v>
      </c>
      <c r="U256" s="78">
        <v>13</v>
      </c>
      <c r="V256" s="78">
        <v>5.5</v>
      </c>
      <c r="W256" s="78">
        <v>0</v>
      </c>
      <c r="X256" s="78">
        <v>0.1</v>
      </c>
      <c r="Y256" s="78">
        <v>0.4</v>
      </c>
      <c r="Z256" s="78">
        <v>0.1</v>
      </c>
      <c r="AA256" s="78">
        <v>0.1</v>
      </c>
      <c r="AB256" s="78">
        <v>1.7</v>
      </c>
      <c r="AC256" s="78">
        <v>0.1</v>
      </c>
      <c r="AD256" s="78">
        <v>0.8</v>
      </c>
      <c r="AE256" s="78">
        <v>0</v>
      </c>
      <c r="AF256" s="78">
        <v>23</v>
      </c>
      <c r="AG256" s="78">
        <v>1</v>
      </c>
      <c r="AH256" s="78">
        <v>218</v>
      </c>
      <c r="AI256" s="78">
        <v>3</v>
      </c>
      <c r="AJ256" s="78">
        <v>77</v>
      </c>
      <c r="AK256" s="78">
        <v>26</v>
      </c>
      <c r="AL256" s="78">
        <v>0.5</v>
      </c>
      <c r="AM256" s="78">
        <v>0.6</v>
      </c>
      <c r="AN256" s="78">
        <v>0</v>
      </c>
      <c r="AO256" s="78">
        <v>0.2</v>
      </c>
    </row>
    <row r="257" spans="1:41">
      <c r="A257" s="78" t="s">
        <v>2109</v>
      </c>
      <c r="B257" s="78" t="s">
        <v>1558</v>
      </c>
      <c r="C257" s="78" t="s">
        <v>366</v>
      </c>
      <c r="D257" s="78" t="s">
        <v>2097</v>
      </c>
      <c r="E257" s="78" t="s">
        <v>2110</v>
      </c>
      <c r="F257" s="78" t="s">
        <v>2069</v>
      </c>
      <c r="G257" s="78" t="s">
        <v>1614</v>
      </c>
      <c r="H257" s="78">
        <v>81</v>
      </c>
      <c r="I257" s="78">
        <v>77</v>
      </c>
      <c r="J257" s="78">
        <v>0.4</v>
      </c>
      <c r="K257" s="78">
        <v>2.6</v>
      </c>
      <c r="L257" s="78">
        <v>16.899999999999999</v>
      </c>
      <c r="M257" s="78">
        <v>3.1</v>
      </c>
      <c r="N257" s="78">
        <v>2.4</v>
      </c>
      <c r="O257" s="78">
        <v>0.7</v>
      </c>
      <c r="P257" s="78">
        <v>0.1</v>
      </c>
      <c r="Q257" s="78">
        <v>0.2</v>
      </c>
      <c r="R257" s="78">
        <v>0.32</v>
      </c>
      <c r="S257" s="78" t="s">
        <v>1615</v>
      </c>
      <c r="T257" s="78">
        <v>0</v>
      </c>
      <c r="U257" s="78">
        <v>10</v>
      </c>
      <c r="V257" s="78">
        <v>3.5</v>
      </c>
      <c r="W257" s="78">
        <v>0</v>
      </c>
      <c r="X257" s="78">
        <v>0.1</v>
      </c>
      <c r="Y257" s="78">
        <v>0.3</v>
      </c>
      <c r="Z257" s="78">
        <v>0</v>
      </c>
      <c r="AA257" s="78">
        <v>0.1</v>
      </c>
      <c r="AB257" s="78">
        <v>1.3</v>
      </c>
      <c r="AC257" s="78">
        <v>0.1</v>
      </c>
      <c r="AD257" s="78">
        <v>0.2</v>
      </c>
      <c r="AE257" s="78">
        <v>0</v>
      </c>
      <c r="AF257" s="78">
        <v>35</v>
      </c>
      <c r="AG257" s="78">
        <v>1</v>
      </c>
      <c r="AH257" s="78">
        <v>233</v>
      </c>
      <c r="AI257" s="78">
        <v>3</v>
      </c>
      <c r="AJ257" s="78">
        <v>79</v>
      </c>
      <c r="AK257" s="78">
        <v>28</v>
      </c>
      <c r="AL257" s="78">
        <v>0.5</v>
      </c>
      <c r="AM257" s="78">
        <v>0.6</v>
      </c>
      <c r="AN257" s="78">
        <v>0</v>
      </c>
      <c r="AO257" s="78">
        <v>0.7</v>
      </c>
    </row>
    <row r="258" spans="1:41">
      <c r="A258" s="78" t="s">
        <v>2111</v>
      </c>
      <c r="B258" s="78" t="s">
        <v>1558</v>
      </c>
      <c r="C258" s="78" t="s">
        <v>366</v>
      </c>
      <c r="D258" s="78" t="s">
        <v>2099</v>
      </c>
      <c r="E258" s="78" t="s">
        <v>2112</v>
      </c>
      <c r="F258" s="78" t="s">
        <v>2069</v>
      </c>
      <c r="G258" s="78" t="s">
        <v>1614</v>
      </c>
      <c r="H258" s="78">
        <v>86</v>
      </c>
      <c r="I258" s="78">
        <v>76.099999999999994</v>
      </c>
      <c r="J258" s="78">
        <v>0.6</v>
      </c>
      <c r="K258" s="78">
        <v>3.3</v>
      </c>
      <c r="L258" s="78">
        <v>16.7</v>
      </c>
      <c r="M258" s="78">
        <v>6.3</v>
      </c>
      <c r="N258" s="78">
        <v>2</v>
      </c>
      <c r="O258" s="78">
        <v>1.4</v>
      </c>
      <c r="P258" s="78">
        <v>0.33</v>
      </c>
      <c r="Q258" s="78">
        <v>0.43</v>
      </c>
      <c r="R258" s="78">
        <v>0.49</v>
      </c>
      <c r="S258" s="78" t="s">
        <v>1615</v>
      </c>
      <c r="T258" s="78">
        <v>0</v>
      </c>
      <c r="U258" s="78">
        <v>9</v>
      </c>
      <c r="V258" s="78">
        <v>6.8</v>
      </c>
      <c r="W258" s="78">
        <v>0</v>
      </c>
      <c r="X258" s="78">
        <v>0.1</v>
      </c>
      <c r="Y258" s="78">
        <v>0.3</v>
      </c>
      <c r="Z258" s="78">
        <v>0.2</v>
      </c>
      <c r="AA258" s="78">
        <v>0.1</v>
      </c>
      <c r="AB258" s="78">
        <v>1.8</v>
      </c>
      <c r="AC258" s="78">
        <v>0.1</v>
      </c>
      <c r="AD258" s="78">
        <v>0.7</v>
      </c>
      <c r="AE258" s="78">
        <v>0</v>
      </c>
      <c r="AF258" s="78">
        <v>42</v>
      </c>
      <c r="AG258" s="78">
        <v>15</v>
      </c>
      <c r="AH258" s="78">
        <v>270</v>
      </c>
      <c r="AI258" s="78">
        <v>2</v>
      </c>
      <c r="AJ258" s="78">
        <v>89</v>
      </c>
      <c r="AK258" s="78">
        <v>37</v>
      </c>
      <c r="AL258" s="78">
        <v>0.5</v>
      </c>
      <c r="AM258" s="78">
        <v>0.5</v>
      </c>
      <c r="AN258" s="78">
        <v>0.1</v>
      </c>
      <c r="AO258" s="78">
        <v>0.6</v>
      </c>
    </row>
    <row r="259" spans="1:41">
      <c r="A259" s="78" t="s">
        <v>2113</v>
      </c>
      <c r="B259" s="78" t="s">
        <v>1558</v>
      </c>
      <c r="C259" s="78" t="s">
        <v>366</v>
      </c>
      <c r="D259" s="78" t="s">
        <v>2101</v>
      </c>
      <c r="E259" s="78" t="s">
        <v>2114</v>
      </c>
      <c r="F259" s="78" t="s">
        <v>2069</v>
      </c>
      <c r="G259" s="78" t="s">
        <v>1614</v>
      </c>
      <c r="H259" s="78">
        <v>131</v>
      </c>
      <c r="I259" s="78">
        <v>65</v>
      </c>
      <c r="J259" s="78" t="s">
        <v>1615</v>
      </c>
      <c r="K259" s="78">
        <v>3.5</v>
      </c>
      <c r="L259" s="78" t="s">
        <v>1615</v>
      </c>
      <c r="M259" s="78" t="s">
        <v>1615</v>
      </c>
      <c r="N259" s="78">
        <v>0</v>
      </c>
      <c r="O259" s="78">
        <v>0.4</v>
      </c>
      <c r="P259" s="78">
        <v>0.06</v>
      </c>
      <c r="Q259" s="78">
        <v>0.05</v>
      </c>
      <c r="R259" s="78">
        <v>0.16</v>
      </c>
      <c r="S259" s="78" t="s">
        <v>1615</v>
      </c>
      <c r="T259" s="78">
        <v>0</v>
      </c>
      <c r="U259" s="78">
        <v>17.600000000000001</v>
      </c>
      <c r="V259" s="78">
        <v>0</v>
      </c>
      <c r="W259" s="78" t="s">
        <v>1615</v>
      </c>
      <c r="X259" s="78">
        <v>0.1</v>
      </c>
      <c r="Y259" s="78" t="s">
        <v>1615</v>
      </c>
      <c r="Z259" s="78">
        <v>0.1</v>
      </c>
      <c r="AA259" s="78">
        <v>0.1</v>
      </c>
      <c r="AB259" s="78">
        <v>1.7</v>
      </c>
      <c r="AC259" s="78">
        <v>0.1</v>
      </c>
      <c r="AD259" s="78">
        <v>0.5</v>
      </c>
      <c r="AE259" s="78">
        <v>0</v>
      </c>
      <c r="AF259" s="78">
        <v>18.3</v>
      </c>
      <c r="AG259" s="78">
        <v>13.7</v>
      </c>
      <c r="AH259" s="78">
        <v>144</v>
      </c>
      <c r="AI259" s="78">
        <v>22.1</v>
      </c>
      <c r="AJ259" s="78">
        <v>127</v>
      </c>
      <c r="AK259" s="78">
        <v>66.400000000000006</v>
      </c>
      <c r="AL259" s="78">
        <v>0.8</v>
      </c>
      <c r="AM259" s="78">
        <v>1.1000000000000001</v>
      </c>
      <c r="AN259" s="78">
        <v>0.2</v>
      </c>
      <c r="AO259" s="78">
        <v>19.100000000000001</v>
      </c>
    </row>
    <row r="260" spans="1:41">
      <c r="A260" s="78" t="s">
        <v>2115</v>
      </c>
      <c r="B260" s="78" t="s">
        <v>1558</v>
      </c>
      <c r="C260" s="78" t="s">
        <v>366</v>
      </c>
      <c r="D260" s="78" t="s">
        <v>2103</v>
      </c>
      <c r="E260" s="78" t="s">
        <v>2116</v>
      </c>
      <c r="F260" s="78" t="s">
        <v>2069</v>
      </c>
      <c r="G260" s="78" t="s">
        <v>1614</v>
      </c>
      <c r="H260" s="78">
        <v>354</v>
      </c>
      <c r="I260" s="78" t="s">
        <v>1615</v>
      </c>
      <c r="J260" s="78" t="s">
        <v>1615</v>
      </c>
      <c r="K260" s="78">
        <v>10.5</v>
      </c>
      <c r="L260" s="78">
        <v>73.599999999999994</v>
      </c>
      <c r="M260" s="78">
        <v>1.8</v>
      </c>
      <c r="N260" s="78" t="s">
        <v>1615</v>
      </c>
      <c r="O260" s="78">
        <v>2</v>
      </c>
      <c r="P260" s="78" t="s">
        <v>1615</v>
      </c>
      <c r="Q260" s="78" t="s">
        <v>1615</v>
      </c>
      <c r="R260" s="78" t="s">
        <v>1615</v>
      </c>
      <c r="S260" s="78" t="s">
        <v>1615</v>
      </c>
      <c r="T260" s="78" t="s">
        <v>1615</v>
      </c>
      <c r="U260" s="78" t="s">
        <v>1615</v>
      </c>
      <c r="V260" s="78" t="s">
        <v>1615</v>
      </c>
      <c r="W260" s="78" t="s">
        <v>1615</v>
      </c>
      <c r="X260" s="78" t="s">
        <v>1615</v>
      </c>
      <c r="Y260" s="78" t="s">
        <v>1615</v>
      </c>
      <c r="Z260" s="78" t="s">
        <v>1615</v>
      </c>
      <c r="AA260" s="78" t="s">
        <v>1615</v>
      </c>
      <c r="AB260" s="78" t="s">
        <v>1615</v>
      </c>
      <c r="AC260" s="78" t="s">
        <v>1615</v>
      </c>
      <c r="AD260" s="78" t="s">
        <v>1615</v>
      </c>
      <c r="AE260" s="78" t="s">
        <v>1615</v>
      </c>
      <c r="AF260" s="78">
        <v>13.7</v>
      </c>
      <c r="AG260" s="78">
        <v>143</v>
      </c>
      <c r="AH260" s="78" t="s">
        <v>1615</v>
      </c>
      <c r="AI260" s="78" t="s">
        <v>1615</v>
      </c>
      <c r="AJ260" s="78" t="s">
        <v>1615</v>
      </c>
      <c r="AK260" s="78" t="s">
        <v>1615</v>
      </c>
      <c r="AL260" s="78" t="s">
        <v>1615</v>
      </c>
      <c r="AM260" s="78" t="s">
        <v>1615</v>
      </c>
      <c r="AN260" s="78" t="s">
        <v>1615</v>
      </c>
      <c r="AO260" s="78" t="s">
        <v>1615</v>
      </c>
    </row>
    <row r="261" spans="1:41">
      <c r="A261" s="78" t="s">
        <v>2117</v>
      </c>
      <c r="B261" s="78" t="s">
        <v>1558</v>
      </c>
      <c r="C261" s="78" t="s">
        <v>366</v>
      </c>
      <c r="D261" s="78" t="s">
        <v>2105</v>
      </c>
      <c r="E261" s="78" t="s">
        <v>2118</v>
      </c>
      <c r="F261" s="78" t="s">
        <v>2069</v>
      </c>
      <c r="G261" s="78" t="s">
        <v>1614</v>
      </c>
      <c r="H261" s="78">
        <v>368</v>
      </c>
      <c r="I261" s="78">
        <v>13.3</v>
      </c>
      <c r="J261" s="78">
        <v>2.4</v>
      </c>
      <c r="K261" s="78">
        <v>14.1</v>
      </c>
      <c r="L261" s="78">
        <v>57.2</v>
      </c>
      <c r="M261" s="78" t="s">
        <v>1615</v>
      </c>
      <c r="N261" s="78">
        <v>7</v>
      </c>
      <c r="O261" s="78">
        <v>6.1</v>
      </c>
      <c r="P261" s="78">
        <v>0.71</v>
      </c>
      <c r="Q261" s="78">
        <v>1.61</v>
      </c>
      <c r="R261" s="78">
        <v>3.29</v>
      </c>
      <c r="S261" s="78" t="s">
        <v>1615</v>
      </c>
      <c r="T261" s="78">
        <v>0</v>
      </c>
      <c r="U261" s="78">
        <v>1</v>
      </c>
      <c r="V261" s="78" t="s">
        <v>1615</v>
      </c>
      <c r="W261" s="78">
        <v>0</v>
      </c>
      <c r="X261" s="78">
        <v>2.4</v>
      </c>
      <c r="Y261" s="78">
        <v>0</v>
      </c>
      <c r="Z261" s="78">
        <v>0.4</v>
      </c>
      <c r="AA261" s="78">
        <v>0.3</v>
      </c>
      <c r="AB261" s="78">
        <v>1.5</v>
      </c>
      <c r="AC261" s="78">
        <v>0.5</v>
      </c>
      <c r="AD261" s="78">
        <v>0.8</v>
      </c>
      <c r="AE261" s="78">
        <v>0</v>
      </c>
      <c r="AF261" s="78">
        <v>184</v>
      </c>
      <c r="AG261" s="78">
        <v>5</v>
      </c>
      <c r="AH261" s="78">
        <v>563</v>
      </c>
      <c r="AI261" s="78">
        <v>47</v>
      </c>
      <c r="AJ261" s="78">
        <v>457</v>
      </c>
      <c r="AK261" s="78">
        <v>197</v>
      </c>
      <c r="AL261" s="78">
        <v>4.5999999999999996</v>
      </c>
      <c r="AM261" s="78">
        <v>3.1</v>
      </c>
      <c r="AN261" s="78">
        <v>0.6</v>
      </c>
      <c r="AO261" s="78">
        <v>8.5</v>
      </c>
    </row>
    <row r="262" spans="1:41">
      <c r="A262" s="78" t="s">
        <v>2119</v>
      </c>
      <c r="B262" s="78" t="s">
        <v>1558</v>
      </c>
      <c r="C262" s="78" t="s">
        <v>366</v>
      </c>
      <c r="D262" s="78" t="s">
        <v>2107</v>
      </c>
      <c r="E262" s="78" t="s">
        <v>2120</v>
      </c>
      <c r="F262" s="78" t="s">
        <v>2069</v>
      </c>
      <c r="G262" s="78" t="s">
        <v>1614</v>
      </c>
      <c r="H262" s="78">
        <v>351</v>
      </c>
      <c r="I262" s="78">
        <v>10.4</v>
      </c>
      <c r="J262" s="78">
        <v>1.5</v>
      </c>
      <c r="K262" s="78">
        <v>12.2</v>
      </c>
      <c r="L262" s="78">
        <v>65.599999999999994</v>
      </c>
      <c r="M262" s="78" t="s">
        <v>1615</v>
      </c>
      <c r="N262" s="78">
        <v>5.9</v>
      </c>
      <c r="O262" s="78">
        <v>4.4000000000000004</v>
      </c>
      <c r="P262" s="78">
        <v>0.41</v>
      </c>
      <c r="Q262" s="78">
        <v>0.69</v>
      </c>
      <c r="R262" s="78">
        <v>1.9</v>
      </c>
      <c r="S262" s="78">
        <v>0</v>
      </c>
      <c r="T262" s="78" t="s">
        <v>1615</v>
      </c>
      <c r="U262" s="78" t="s">
        <v>1615</v>
      </c>
      <c r="V262" s="78" t="s">
        <v>1615</v>
      </c>
      <c r="W262" s="78" t="s">
        <v>1615</v>
      </c>
      <c r="X262" s="78" t="s">
        <v>1615</v>
      </c>
      <c r="Y262" s="78" t="s">
        <v>1615</v>
      </c>
      <c r="Z262" s="78" t="s">
        <v>1615</v>
      </c>
      <c r="AA262" s="78" t="s">
        <v>1615</v>
      </c>
      <c r="AB262" s="78" t="s">
        <v>1615</v>
      </c>
      <c r="AC262" s="78" t="s">
        <v>1615</v>
      </c>
      <c r="AD262" s="78">
        <v>0</v>
      </c>
      <c r="AE262" s="78" t="s">
        <v>1615</v>
      </c>
      <c r="AF262" s="78" t="s">
        <v>1615</v>
      </c>
      <c r="AG262" s="78">
        <v>23</v>
      </c>
      <c r="AH262" s="78">
        <v>442</v>
      </c>
      <c r="AI262" s="78">
        <v>26</v>
      </c>
      <c r="AJ262" s="78" t="s">
        <v>1615</v>
      </c>
      <c r="AK262" s="78">
        <v>133</v>
      </c>
      <c r="AL262" s="78">
        <v>5.0999999999999996</v>
      </c>
      <c r="AM262" s="78">
        <v>6.1</v>
      </c>
      <c r="AN262" s="78" t="s">
        <v>1615</v>
      </c>
      <c r="AO262" s="78" t="s">
        <v>1615</v>
      </c>
    </row>
    <row r="263" spans="1:41">
      <c r="A263" s="78" t="s">
        <v>2121</v>
      </c>
      <c r="B263" s="78" t="s">
        <v>1558</v>
      </c>
      <c r="C263" s="78" t="s">
        <v>366</v>
      </c>
      <c r="D263" s="78" t="s">
        <v>2109</v>
      </c>
      <c r="E263" s="78" t="s">
        <v>2122</v>
      </c>
      <c r="F263" s="78" t="s">
        <v>2069</v>
      </c>
      <c r="G263" s="78" t="s">
        <v>1614</v>
      </c>
      <c r="H263" s="78">
        <v>120</v>
      </c>
      <c r="I263" s="78">
        <v>71.599999999999994</v>
      </c>
      <c r="J263" s="78">
        <v>0.8</v>
      </c>
      <c r="K263" s="78">
        <v>4.4000000000000004</v>
      </c>
      <c r="L263" s="78">
        <v>18.5</v>
      </c>
      <c r="M263" s="78">
        <v>0.9</v>
      </c>
      <c r="N263" s="78">
        <v>2.8</v>
      </c>
      <c r="O263" s="78">
        <v>1.9</v>
      </c>
      <c r="P263" s="78">
        <v>0.23</v>
      </c>
      <c r="Q263" s="78">
        <v>0.53</v>
      </c>
      <c r="R263" s="78">
        <v>1.08</v>
      </c>
      <c r="S263" s="78" t="s">
        <v>1615</v>
      </c>
      <c r="T263" s="78">
        <v>0</v>
      </c>
      <c r="U263" s="78">
        <v>0</v>
      </c>
      <c r="V263" s="78">
        <v>0</v>
      </c>
      <c r="W263" s="78">
        <v>0</v>
      </c>
      <c r="X263" s="78">
        <v>0.6</v>
      </c>
      <c r="Y263" s="78">
        <v>0</v>
      </c>
      <c r="Z263" s="78">
        <v>0.1</v>
      </c>
      <c r="AA263" s="78">
        <v>0.1</v>
      </c>
      <c r="AB263" s="78">
        <v>0.4</v>
      </c>
      <c r="AC263" s="78">
        <v>0.1</v>
      </c>
      <c r="AD263" s="78" t="s">
        <v>1615</v>
      </c>
      <c r="AE263" s="78">
        <v>0</v>
      </c>
      <c r="AF263" s="78">
        <v>42</v>
      </c>
      <c r="AG263" s="78">
        <v>7</v>
      </c>
      <c r="AH263" s="78">
        <v>172</v>
      </c>
      <c r="AI263" s="78">
        <v>17</v>
      </c>
      <c r="AJ263" s="78">
        <v>152</v>
      </c>
      <c r="AK263" s="78">
        <v>64</v>
      </c>
      <c r="AL263" s="78">
        <v>1.5</v>
      </c>
      <c r="AM263" s="78">
        <v>1.1000000000000001</v>
      </c>
      <c r="AN263" s="78">
        <v>0.2</v>
      </c>
      <c r="AO263" s="78">
        <v>2.8</v>
      </c>
    </row>
    <row r="264" spans="1:41">
      <c r="A264" s="78" t="s">
        <v>2123</v>
      </c>
      <c r="B264" s="78" t="s">
        <v>1558</v>
      </c>
      <c r="C264" s="78" t="s">
        <v>366</v>
      </c>
      <c r="D264" s="78" t="s">
        <v>2111</v>
      </c>
      <c r="E264" s="78" t="s">
        <v>2124</v>
      </c>
      <c r="F264" s="78" t="s">
        <v>2069</v>
      </c>
      <c r="G264" s="78" t="s">
        <v>1614</v>
      </c>
      <c r="H264" s="78">
        <v>246</v>
      </c>
      <c r="I264" s="78">
        <v>6.6</v>
      </c>
      <c r="J264" s="78">
        <v>2.9</v>
      </c>
      <c r="K264" s="78">
        <v>17.3</v>
      </c>
      <c r="L264" s="78">
        <v>50.8</v>
      </c>
      <c r="M264" s="78">
        <v>1.5</v>
      </c>
      <c r="N264" s="78">
        <v>15.4</v>
      </c>
      <c r="O264" s="78">
        <v>7</v>
      </c>
      <c r="P264" s="78">
        <v>1.33</v>
      </c>
      <c r="Q264" s="78">
        <v>2.38</v>
      </c>
      <c r="R264" s="78">
        <v>2.77</v>
      </c>
      <c r="S264" s="78" t="s">
        <v>1615</v>
      </c>
      <c r="T264" s="78">
        <v>0</v>
      </c>
      <c r="U264" s="78">
        <v>0</v>
      </c>
      <c r="V264" s="78">
        <v>0</v>
      </c>
      <c r="W264" s="78">
        <v>0</v>
      </c>
      <c r="X264" s="78">
        <v>1</v>
      </c>
      <c r="Y264" s="78">
        <v>3.2</v>
      </c>
      <c r="Z264" s="78">
        <v>1.2</v>
      </c>
      <c r="AA264" s="78">
        <v>0.2</v>
      </c>
      <c r="AB264" s="78">
        <v>0.9</v>
      </c>
      <c r="AC264" s="78">
        <v>0.2</v>
      </c>
      <c r="AD264" s="78">
        <v>1.5</v>
      </c>
      <c r="AE264" s="78">
        <v>0</v>
      </c>
      <c r="AF264" s="78">
        <v>52</v>
      </c>
      <c r="AG264" s="78">
        <v>4</v>
      </c>
      <c r="AH264" s="78">
        <v>566</v>
      </c>
      <c r="AI264" s="78">
        <v>58</v>
      </c>
      <c r="AJ264" s="78">
        <v>734</v>
      </c>
      <c r="AK264" s="78">
        <v>235</v>
      </c>
      <c r="AL264" s="78">
        <v>5.4</v>
      </c>
      <c r="AM264" s="78">
        <v>3.1</v>
      </c>
      <c r="AN264" s="78">
        <v>0.4</v>
      </c>
      <c r="AO264" s="78">
        <v>45.2</v>
      </c>
    </row>
    <row r="265" spans="1:41">
      <c r="A265" s="78" t="s">
        <v>2125</v>
      </c>
      <c r="B265" s="78" t="s">
        <v>1558</v>
      </c>
      <c r="C265" s="78" t="s">
        <v>366</v>
      </c>
      <c r="D265" s="78" t="s">
        <v>2113</v>
      </c>
      <c r="E265" s="78" t="s">
        <v>2126</v>
      </c>
      <c r="F265" s="78" t="s">
        <v>2069</v>
      </c>
      <c r="G265" s="78" t="s">
        <v>1614</v>
      </c>
      <c r="H265" s="78">
        <v>216</v>
      </c>
      <c r="I265" s="78">
        <v>9.9</v>
      </c>
      <c r="J265" s="78">
        <v>5.8</v>
      </c>
      <c r="K265" s="78">
        <v>15.6</v>
      </c>
      <c r="L265" s="78">
        <v>21.7</v>
      </c>
      <c r="M265" s="78">
        <v>0.4</v>
      </c>
      <c r="N265" s="78">
        <v>42.8</v>
      </c>
      <c r="O265" s="78">
        <v>4.3</v>
      </c>
      <c r="P265" s="78">
        <v>0.63</v>
      </c>
      <c r="Q265" s="78">
        <v>0.64</v>
      </c>
      <c r="R265" s="78">
        <v>2.21</v>
      </c>
      <c r="S265" s="78" t="s">
        <v>1615</v>
      </c>
      <c r="T265" s="78">
        <v>0</v>
      </c>
      <c r="U265" s="78">
        <v>0</v>
      </c>
      <c r="V265" s="78">
        <v>0</v>
      </c>
      <c r="W265" s="78">
        <v>0</v>
      </c>
      <c r="X265" s="78">
        <v>1.5</v>
      </c>
      <c r="Y265" s="78">
        <v>1.9</v>
      </c>
      <c r="Z265" s="78">
        <v>0.5</v>
      </c>
      <c r="AA265" s="78">
        <v>0.6</v>
      </c>
      <c r="AB265" s="78">
        <v>13.6</v>
      </c>
      <c r="AC265" s="78">
        <v>1.3</v>
      </c>
      <c r="AD265" s="78">
        <v>2.2000000000000002</v>
      </c>
      <c r="AE265" s="78">
        <v>0</v>
      </c>
      <c r="AF265" s="78">
        <v>79</v>
      </c>
      <c r="AG265" s="78">
        <v>2</v>
      </c>
      <c r="AH265" s="78">
        <v>1182</v>
      </c>
      <c r="AI265" s="78">
        <v>73</v>
      </c>
      <c r="AJ265" s="78">
        <v>1013</v>
      </c>
      <c r="AK265" s="78">
        <v>611</v>
      </c>
      <c r="AL265" s="78">
        <v>10.6</v>
      </c>
      <c r="AM265" s="78">
        <v>7.3</v>
      </c>
      <c r="AN265" s="78">
        <v>1</v>
      </c>
      <c r="AO265" s="78">
        <v>77.599999999999994</v>
      </c>
    </row>
    <row r="266" spans="1:41">
      <c r="A266" s="78" t="s">
        <v>2127</v>
      </c>
      <c r="B266" s="78" t="s">
        <v>1558</v>
      </c>
      <c r="C266" s="78" t="s">
        <v>366</v>
      </c>
      <c r="D266" s="78" t="s">
        <v>2115</v>
      </c>
      <c r="E266" s="78" t="s">
        <v>2128</v>
      </c>
      <c r="F266" s="78" t="s">
        <v>2069</v>
      </c>
      <c r="G266" s="78" t="s">
        <v>1614</v>
      </c>
      <c r="H266" s="78">
        <v>389</v>
      </c>
      <c r="I266" s="78">
        <v>8.1999999999999993</v>
      </c>
      <c r="J266" s="78">
        <v>1.7</v>
      </c>
      <c r="K266" s="78">
        <v>16.899999999999999</v>
      </c>
      <c r="L266" s="78">
        <v>55.7</v>
      </c>
      <c r="M266" s="78" t="s">
        <v>1615</v>
      </c>
      <c r="N266" s="78">
        <v>10.6</v>
      </c>
      <c r="O266" s="78">
        <v>6.9</v>
      </c>
      <c r="P266" s="78">
        <v>1.22</v>
      </c>
      <c r="Q266" s="78">
        <v>2.1800000000000002</v>
      </c>
      <c r="R266" s="78">
        <v>2.54</v>
      </c>
      <c r="S266" s="78" t="s">
        <v>1615</v>
      </c>
      <c r="T266" s="78">
        <v>0</v>
      </c>
      <c r="U266" s="78">
        <v>0</v>
      </c>
      <c r="V266" s="78">
        <v>0</v>
      </c>
      <c r="W266" s="78">
        <v>0</v>
      </c>
      <c r="X266" s="78" t="s">
        <v>1615</v>
      </c>
      <c r="Y266" s="78" t="s">
        <v>1615</v>
      </c>
      <c r="Z266" s="78">
        <v>0.8</v>
      </c>
      <c r="AA266" s="78">
        <v>0.1</v>
      </c>
      <c r="AB266" s="78">
        <v>1</v>
      </c>
      <c r="AC266" s="78">
        <v>0.1</v>
      </c>
      <c r="AD266" s="78">
        <v>1.3</v>
      </c>
      <c r="AE266" s="78">
        <v>0</v>
      </c>
      <c r="AF266" s="78">
        <v>56</v>
      </c>
      <c r="AG266" s="78">
        <v>2</v>
      </c>
      <c r="AH266" s="78">
        <v>429</v>
      </c>
      <c r="AI266" s="78">
        <v>54</v>
      </c>
      <c r="AJ266" s="78">
        <v>523</v>
      </c>
      <c r="AK266" s="78">
        <v>177</v>
      </c>
      <c r="AL266" s="78">
        <v>4.7</v>
      </c>
      <c r="AM266" s="78">
        <v>4</v>
      </c>
      <c r="AN266" s="78">
        <v>0.6</v>
      </c>
      <c r="AO266" s="78" t="s">
        <v>1615</v>
      </c>
    </row>
    <row r="267" spans="1:41">
      <c r="A267" s="78" t="s">
        <v>2129</v>
      </c>
      <c r="B267" s="78" t="s">
        <v>1558</v>
      </c>
      <c r="C267" s="78" t="s">
        <v>366</v>
      </c>
      <c r="D267" s="78" t="s">
        <v>2117</v>
      </c>
      <c r="E267" s="78" t="s">
        <v>2130</v>
      </c>
      <c r="F267" s="78" t="s">
        <v>2069</v>
      </c>
      <c r="G267" s="78" t="s">
        <v>1614</v>
      </c>
      <c r="H267" s="78">
        <v>358</v>
      </c>
      <c r="I267" s="78">
        <v>7.7</v>
      </c>
      <c r="J267" s="78">
        <v>0.4</v>
      </c>
      <c r="K267" s="78">
        <v>8.1</v>
      </c>
      <c r="L267" s="78">
        <v>79</v>
      </c>
      <c r="M267" s="78">
        <v>23.9</v>
      </c>
      <c r="N267" s="78">
        <v>3.7</v>
      </c>
      <c r="O267" s="78">
        <v>1.1000000000000001</v>
      </c>
      <c r="P267" s="78" t="s">
        <v>1615</v>
      </c>
      <c r="Q267" s="78" t="s">
        <v>1615</v>
      </c>
      <c r="R267" s="78" t="s">
        <v>1615</v>
      </c>
      <c r="S267" s="78" t="s">
        <v>1615</v>
      </c>
      <c r="T267" s="78" t="s">
        <v>1615</v>
      </c>
      <c r="U267" s="78" t="s">
        <v>1615</v>
      </c>
      <c r="V267" s="78" t="s">
        <v>1615</v>
      </c>
      <c r="W267" s="78" t="s">
        <v>1615</v>
      </c>
      <c r="X267" s="78" t="s">
        <v>1615</v>
      </c>
      <c r="Y267" s="78" t="s">
        <v>1615</v>
      </c>
      <c r="Z267" s="78" t="s">
        <v>1615</v>
      </c>
      <c r="AA267" s="78" t="s">
        <v>1615</v>
      </c>
      <c r="AB267" s="78" t="s">
        <v>1615</v>
      </c>
      <c r="AC267" s="78" t="s">
        <v>1615</v>
      </c>
      <c r="AD267" s="78" t="s">
        <v>1615</v>
      </c>
      <c r="AE267" s="78" t="s">
        <v>1615</v>
      </c>
      <c r="AF267" s="78" t="s">
        <v>1615</v>
      </c>
      <c r="AG267" s="78" t="s">
        <v>1615</v>
      </c>
      <c r="AH267" s="78" t="s">
        <v>1615</v>
      </c>
      <c r="AI267" s="78" t="s">
        <v>1615</v>
      </c>
      <c r="AJ267" s="78" t="s">
        <v>1615</v>
      </c>
      <c r="AK267" s="78" t="s">
        <v>1615</v>
      </c>
      <c r="AL267" s="78" t="s">
        <v>1615</v>
      </c>
      <c r="AM267" s="78" t="s">
        <v>1615</v>
      </c>
      <c r="AN267" s="78" t="s">
        <v>1615</v>
      </c>
      <c r="AO267" s="78" t="s">
        <v>1615</v>
      </c>
    </row>
    <row r="268" spans="1:41">
      <c r="A268" s="78" t="s">
        <v>2131</v>
      </c>
      <c r="B268" s="78" t="s">
        <v>1558</v>
      </c>
      <c r="C268" s="78" t="s">
        <v>366</v>
      </c>
      <c r="D268" s="78" t="s">
        <v>2119</v>
      </c>
      <c r="E268" s="78" t="s">
        <v>2132</v>
      </c>
      <c r="F268" s="78" t="s">
        <v>2069</v>
      </c>
      <c r="G268" s="78" t="s">
        <v>1614</v>
      </c>
      <c r="H268" s="78">
        <v>357</v>
      </c>
      <c r="I268" s="78">
        <v>3.8</v>
      </c>
      <c r="J268" s="78">
        <v>4</v>
      </c>
      <c r="K268" s="78">
        <v>7.5</v>
      </c>
      <c r="L268" s="78">
        <v>81</v>
      </c>
      <c r="M268" s="78">
        <v>9.5</v>
      </c>
      <c r="N268" s="78">
        <v>3.3</v>
      </c>
      <c r="O268" s="78">
        <v>0.4</v>
      </c>
      <c r="P268" s="78">
        <v>0.12</v>
      </c>
      <c r="Q268" s="78">
        <v>7.0000000000000007E-2</v>
      </c>
      <c r="R268" s="78">
        <v>0.2</v>
      </c>
      <c r="S268" s="78" t="s">
        <v>1615</v>
      </c>
      <c r="T268" s="78">
        <v>0</v>
      </c>
      <c r="U268" s="78">
        <v>490</v>
      </c>
      <c r="V268" s="78">
        <v>21</v>
      </c>
      <c r="W268" s="78">
        <v>3.6</v>
      </c>
      <c r="X268" s="78">
        <v>0.1</v>
      </c>
      <c r="Y268" s="78">
        <v>0</v>
      </c>
      <c r="Z268" s="78">
        <v>1.3</v>
      </c>
      <c r="AA268" s="78">
        <v>1.5</v>
      </c>
      <c r="AB268" s="78">
        <v>17.899999999999999</v>
      </c>
      <c r="AC268" s="78">
        <v>1.8</v>
      </c>
      <c r="AD268" s="78">
        <v>0.2</v>
      </c>
      <c r="AE268" s="78">
        <v>5</v>
      </c>
      <c r="AF268" s="78">
        <v>357</v>
      </c>
      <c r="AG268" s="78">
        <v>729</v>
      </c>
      <c r="AH268" s="78">
        <v>168</v>
      </c>
      <c r="AI268" s="78">
        <v>5</v>
      </c>
      <c r="AJ268" s="78">
        <v>102</v>
      </c>
      <c r="AK268" s="78">
        <v>39</v>
      </c>
      <c r="AL268" s="78">
        <v>28.9</v>
      </c>
      <c r="AM268" s="78">
        <v>1</v>
      </c>
      <c r="AN268" s="78">
        <v>0.2</v>
      </c>
      <c r="AO268" s="78">
        <v>8.3000000000000007</v>
      </c>
    </row>
    <row r="269" spans="1:41">
      <c r="A269" s="78" t="s">
        <v>2133</v>
      </c>
      <c r="B269" s="78" t="s">
        <v>1558</v>
      </c>
      <c r="C269" s="78" t="s">
        <v>366</v>
      </c>
      <c r="D269" s="78" t="s">
        <v>2121</v>
      </c>
      <c r="E269" s="78" t="s">
        <v>2134</v>
      </c>
      <c r="F269" s="78" t="s">
        <v>2069</v>
      </c>
      <c r="G269" s="78" t="s">
        <v>1614</v>
      </c>
      <c r="H269" s="78">
        <v>442</v>
      </c>
      <c r="I269" s="78">
        <v>3.2</v>
      </c>
      <c r="J269" s="78">
        <v>1.5</v>
      </c>
      <c r="K269" s="78">
        <v>11.4</v>
      </c>
      <c r="L269" s="78">
        <v>51.1</v>
      </c>
      <c r="M269" s="78">
        <v>20.2</v>
      </c>
      <c r="N269" s="78">
        <v>11.5</v>
      </c>
      <c r="O269" s="78">
        <v>21.4</v>
      </c>
      <c r="P269" s="78">
        <v>4.54</v>
      </c>
      <c r="Q269" s="78">
        <v>10.27</v>
      </c>
      <c r="R269" s="78">
        <v>2.98</v>
      </c>
      <c r="S269" s="78">
        <v>0.6</v>
      </c>
      <c r="T269" s="78">
        <v>3.5</v>
      </c>
      <c r="U269" s="78" t="s">
        <v>1615</v>
      </c>
      <c r="V269" s="78" t="s">
        <v>1615</v>
      </c>
      <c r="W269" s="78" t="s">
        <v>1615</v>
      </c>
      <c r="X269" s="78" t="s">
        <v>1615</v>
      </c>
      <c r="Y269" s="78" t="s">
        <v>1615</v>
      </c>
      <c r="Z269" s="78" t="s">
        <v>1615</v>
      </c>
      <c r="AA269" s="78" t="s">
        <v>1615</v>
      </c>
      <c r="AB269" s="78" t="s">
        <v>1615</v>
      </c>
      <c r="AC269" s="78" t="s">
        <v>1615</v>
      </c>
      <c r="AD269" s="78" t="s">
        <v>1615</v>
      </c>
      <c r="AE269" s="78" t="s">
        <v>1615</v>
      </c>
      <c r="AF269" s="78" t="s">
        <v>1615</v>
      </c>
      <c r="AG269" s="78">
        <v>44</v>
      </c>
      <c r="AH269" s="78" t="s">
        <v>1615</v>
      </c>
      <c r="AI269" s="78" t="s">
        <v>1615</v>
      </c>
      <c r="AJ269" s="78" t="s">
        <v>1615</v>
      </c>
      <c r="AK269" s="78" t="s">
        <v>1615</v>
      </c>
      <c r="AL269" s="78" t="s">
        <v>1615</v>
      </c>
      <c r="AM269" s="78" t="s">
        <v>1615</v>
      </c>
      <c r="AN269" s="78" t="s">
        <v>1615</v>
      </c>
      <c r="AO269" s="78" t="s">
        <v>1615</v>
      </c>
    </row>
    <row r="270" spans="1:41">
      <c r="A270" s="78" t="s">
        <v>2135</v>
      </c>
      <c r="B270" s="78" t="s">
        <v>1558</v>
      </c>
      <c r="C270" s="78" t="s">
        <v>366</v>
      </c>
      <c r="D270" s="78" t="s">
        <v>2123</v>
      </c>
      <c r="E270" s="78" t="s">
        <v>2136</v>
      </c>
      <c r="F270" s="78" t="s">
        <v>2069</v>
      </c>
      <c r="G270" s="78" t="s">
        <v>1614</v>
      </c>
      <c r="H270" s="78">
        <v>364</v>
      </c>
      <c r="I270" s="78">
        <v>9.3000000000000007</v>
      </c>
      <c r="J270" s="78">
        <v>1.2</v>
      </c>
      <c r="K270" s="78">
        <v>10.4</v>
      </c>
      <c r="L270" s="78">
        <v>78</v>
      </c>
      <c r="M270" s="78">
        <v>1.3</v>
      </c>
      <c r="N270" s="78" t="s">
        <v>1615</v>
      </c>
      <c r="O270" s="78">
        <v>1.1000000000000001</v>
      </c>
      <c r="P270" s="78" t="s">
        <v>1615</v>
      </c>
      <c r="Q270" s="78" t="s">
        <v>1615</v>
      </c>
      <c r="R270" s="78" t="s">
        <v>1615</v>
      </c>
      <c r="S270" s="78" t="s">
        <v>1615</v>
      </c>
      <c r="T270" s="78" t="s">
        <v>1615</v>
      </c>
      <c r="U270" s="78" t="s">
        <v>1615</v>
      </c>
      <c r="V270" s="78" t="s">
        <v>1615</v>
      </c>
      <c r="W270" s="78" t="s">
        <v>1615</v>
      </c>
      <c r="X270" s="78" t="s">
        <v>1615</v>
      </c>
      <c r="Y270" s="78" t="s">
        <v>1615</v>
      </c>
      <c r="Z270" s="78" t="s">
        <v>1615</v>
      </c>
      <c r="AA270" s="78" t="s">
        <v>1615</v>
      </c>
      <c r="AB270" s="78" t="s">
        <v>1615</v>
      </c>
      <c r="AC270" s="78" t="s">
        <v>1615</v>
      </c>
      <c r="AD270" s="78" t="s">
        <v>1615</v>
      </c>
      <c r="AE270" s="78" t="s">
        <v>1615</v>
      </c>
      <c r="AF270" s="78" t="s">
        <v>1615</v>
      </c>
      <c r="AG270" s="78">
        <v>25</v>
      </c>
      <c r="AH270" s="78" t="s">
        <v>1615</v>
      </c>
      <c r="AI270" s="78" t="s">
        <v>1615</v>
      </c>
      <c r="AJ270" s="78" t="s">
        <v>1615</v>
      </c>
      <c r="AK270" s="78" t="s">
        <v>1615</v>
      </c>
      <c r="AL270" s="78" t="s">
        <v>1615</v>
      </c>
      <c r="AM270" s="78" t="s">
        <v>1615</v>
      </c>
      <c r="AN270" s="78" t="s">
        <v>1615</v>
      </c>
      <c r="AO270" s="78" t="s">
        <v>1615</v>
      </c>
    </row>
    <row r="271" spans="1:41">
      <c r="A271" s="78" t="s">
        <v>2137</v>
      </c>
      <c r="B271" s="78" t="s">
        <v>1558</v>
      </c>
      <c r="C271" s="78" t="s">
        <v>366</v>
      </c>
      <c r="D271" s="78" t="s">
        <v>2125</v>
      </c>
      <c r="E271" s="78" t="s">
        <v>2138</v>
      </c>
      <c r="F271" s="78" t="s">
        <v>2069</v>
      </c>
      <c r="G271" s="78" t="s">
        <v>1614</v>
      </c>
      <c r="H271" s="78">
        <v>112</v>
      </c>
      <c r="I271" s="78">
        <v>72.599999999999994</v>
      </c>
      <c r="J271" s="78">
        <v>0.3</v>
      </c>
      <c r="K271" s="78">
        <v>3.8</v>
      </c>
      <c r="L271" s="78">
        <v>21.8</v>
      </c>
      <c r="M271" s="78">
        <v>0.1</v>
      </c>
      <c r="N271" s="78">
        <v>1.4</v>
      </c>
      <c r="O271" s="78">
        <v>0.2</v>
      </c>
      <c r="P271" s="78">
        <v>0.03</v>
      </c>
      <c r="Q271" s="78">
        <v>0.02</v>
      </c>
      <c r="R271" s="78">
        <v>0.06</v>
      </c>
      <c r="S271" s="78" t="s">
        <v>1615</v>
      </c>
      <c r="T271" s="78">
        <v>0</v>
      </c>
      <c r="U271" s="78">
        <v>0</v>
      </c>
      <c r="V271" s="78">
        <v>0</v>
      </c>
      <c r="W271" s="78">
        <v>0</v>
      </c>
      <c r="X271" s="78">
        <v>0.1</v>
      </c>
      <c r="Y271" s="78">
        <v>0.1</v>
      </c>
      <c r="Z271" s="78">
        <v>0.1</v>
      </c>
      <c r="AA271" s="78">
        <v>0</v>
      </c>
      <c r="AB271" s="78">
        <v>1</v>
      </c>
      <c r="AC271" s="78">
        <v>0.1</v>
      </c>
      <c r="AD271" s="78">
        <v>0.4</v>
      </c>
      <c r="AE271" s="78">
        <v>0</v>
      </c>
      <c r="AF271" s="78">
        <v>15</v>
      </c>
      <c r="AG271" s="78">
        <v>5</v>
      </c>
      <c r="AH271" s="78">
        <v>58</v>
      </c>
      <c r="AI271" s="78">
        <v>8</v>
      </c>
      <c r="AJ271" s="78">
        <v>22</v>
      </c>
      <c r="AK271" s="78">
        <v>8</v>
      </c>
      <c r="AL271" s="78">
        <v>0.4</v>
      </c>
      <c r="AM271" s="78">
        <v>0.3</v>
      </c>
      <c r="AN271" s="78">
        <v>0</v>
      </c>
      <c r="AO271" s="78">
        <v>27.5</v>
      </c>
    </row>
    <row r="272" spans="1:41">
      <c r="A272" s="78" t="s">
        <v>2139</v>
      </c>
      <c r="B272" s="78" t="s">
        <v>1558</v>
      </c>
      <c r="C272" s="78" t="s">
        <v>366</v>
      </c>
      <c r="D272" s="78" t="s">
        <v>2127</v>
      </c>
      <c r="E272" s="78" t="s">
        <v>2140</v>
      </c>
      <c r="F272" s="78" t="s">
        <v>2069</v>
      </c>
      <c r="G272" s="78" t="s">
        <v>1614</v>
      </c>
      <c r="H272" s="78">
        <v>376</v>
      </c>
      <c r="I272" s="78">
        <v>8.6</v>
      </c>
      <c r="J272" s="78">
        <v>0.6</v>
      </c>
      <c r="K272" s="78">
        <v>12.8</v>
      </c>
      <c r="L272" s="78">
        <v>72.400000000000006</v>
      </c>
      <c r="M272" s="78" t="s">
        <v>1615</v>
      </c>
      <c r="N272" s="78">
        <v>5</v>
      </c>
      <c r="O272" s="78">
        <v>0.6</v>
      </c>
      <c r="P272" s="78">
        <v>0.12</v>
      </c>
      <c r="Q272" s="78">
        <v>0.09</v>
      </c>
      <c r="R272" s="78">
        <v>0.25</v>
      </c>
      <c r="S272" s="78" t="s">
        <v>1615</v>
      </c>
      <c r="T272" s="78">
        <v>0</v>
      </c>
      <c r="U272" s="78">
        <v>0</v>
      </c>
      <c r="V272" s="78">
        <v>0</v>
      </c>
      <c r="W272" s="78">
        <v>0</v>
      </c>
      <c r="X272" s="78" t="s">
        <v>1615</v>
      </c>
      <c r="Y272" s="78" t="s">
        <v>1615</v>
      </c>
      <c r="Z272" s="78">
        <v>0.2</v>
      </c>
      <c r="AA272" s="78">
        <v>0.1</v>
      </c>
      <c r="AB272" s="78">
        <v>3.5</v>
      </c>
      <c r="AC272" s="78">
        <v>0.1</v>
      </c>
      <c r="AD272" s="78">
        <v>1.2</v>
      </c>
      <c r="AE272" s="78">
        <v>0</v>
      </c>
      <c r="AF272" s="78">
        <v>20</v>
      </c>
      <c r="AG272" s="78">
        <v>10</v>
      </c>
      <c r="AH272" s="78">
        <v>166</v>
      </c>
      <c r="AI272" s="78">
        <v>24</v>
      </c>
      <c r="AJ272" s="78">
        <v>170</v>
      </c>
      <c r="AK272" s="78">
        <v>44</v>
      </c>
      <c r="AL272" s="78">
        <v>1.1000000000000001</v>
      </c>
      <c r="AM272" s="78">
        <v>0.8</v>
      </c>
      <c r="AN272" s="78">
        <v>0.2</v>
      </c>
      <c r="AO272" s="78" t="s">
        <v>1615</v>
      </c>
    </row>
    <row r="273" spans="1:41">
      <c r="A273" s="78" t="s">
        <v>2141</v>
      </c>
      <c r="B273" s="78" t="s">
        <v>1558</v>
      </c>
      <c r="C273" s="78" t="s">
        <v>366</v>
      </c>
      <c r="D273" s="78" t="s">
        <v>2129</v>
      </c>
      <c r="E273" s="78" t="s">
        <v>2142</v>
      </c>
      <c r="F273" s="78" t="s">
        <v>2069</v>
      </c>
      <c r="G273" s="78" t="s">
        <v>1614</v>
      </c>
      <c r="H273" s="78">
        <v>352</v>
      </c>
      <c r="I273" s="78">
        <v>8.2100000000000009</v>
      </c>
      <c r="J273" s="78">
        <v>1.62</v>
      </c>
      <c r="K273" s="78">
        <v>13.9</v>
      </c>
      <c r="L273" s="78">
        <v>64.2</v>
      </c>
      <c r="M273" s="78">
        <v>2.7</v>
      </c>
      <c r="N273" s="78">
        <v>9.1999999999999993</v>
      </c>
      <c r="O273" s="78">
        <v>2.9</v>
      </c>
      <c r="P273" s="78">
        <v>0.43</v>
      </c>
      <c r="Q273" s="78">
        <v>0.36</v>
      </c>
      <c r="R273" s="78">
        <v>1.1399999999999999</v>
      </c>
      <c r="S273" s="78" t="s">
        <v>1615</v>
      </c>
      <c r="T273" s="78">
        <v>0</v>
      </c>
      <c r="U273" s="78" t="s">
        <v>1615</v>
      </c>
      <c r="V273" s="78" t="s">
        <v>1615</v>
      </c>
      <c r="W273" s="78">
        <v>0</v>
      </c>
      <c r="X273" s="78">
        <v>0.5</v>
      </c>
      <c r="Y273" s="78">
        <v>1.4</v>
      </c>
      <c r="Z273" s="78">
        <v>0.4</v>
      </c>
      <c r="AA273" s="78">
        <v>0.2</v>
      </c>
      <c r="AB273" s="78">
        <v>8.6999999999999993</v>
      </c>
      <c r="AC273" s="78">
        <v>0.3</v>
      </c>
      <c r="AD273" s="78">
        <v>0.9</v>
      </c>
      <c r="AE273" s="78">
        <v>0</v>
      </c>
      <c r="AF273" s="78">
        <v>69</v>
      </c>
      <c r="AG273" s="78">
        <v>6</v>
      </c>
      <c r="AH273" s="78">
        <v>434</v>
      </c>
      <c r="AI273" s="78">
        <v>29</v>
      </c>
      <c r="AJ273" s="78">
        <v>343</v>
      </c>
      <c r="AK273" s="78">
        <v>128</v>
      </c>
      <c r="AL273" s="78">
        <v>3.6</v>
      </c>
      <c r="AM273" s="78">
        <v>3</v>
      </c>
      <c r="AN273" s="78">
        <v>0.5</v>
      </c>
      <c r="AO273" s="78">
        <v>77.599999999999994</v>
      </c>
    </row>
    <row r="274" spans="1:41">
      <c r="A274" s="78" t="s">
        <v>2143</v>
      </c>
      <c r="B274" s="78" t="s">
        <v>1558</v>
      </c>
      <c r="C274" s="78" t="s">
        <v>366</v>
      </c>
      <c r="D274" s="78" t="s">
        <v>2131</v>
      </c>
      <c r="E274" s="78" t="s">
        <v>2144</v>
      </c>
      <c r="F274" s="78" t="s">
        <v>2069</v>
      </c>
      <c r="G274" s="78" t="s">
        <v>1614</v>
      </c>
      <c r="H274" s="78">
        <v>149</v>
      </c>
      <c r="I274" s="78">
        <v>61.8</v>
      </c>
      <c r="J274" s="78">
        <v>0.4</v>
      </c>
      <c r="K274" s="78">
        <v>6</v>
      </c>
      <c r="L274" s="78">
        <v>26.2</v>
      </c>
      <c r="M274" s="78">
        <v>0.8</v>
      </c>
      <c r="N274" s="78">
        <v>3.9</v>
      </c>
      <c r="O274" s="78">
        <v>1.7</v>
      </c>
      <c r="P274" s="78">
        <v>0.24</v>
      </c>
      <c r="Q274" s="78">
        <v>0.18</v>
      </c>
      <c r="R274" s="78">
        <v>0.56999999999999995</v>
      </c>
      <c r="S274" s="78" t="s">
        <v>1615</v>
      </c>
      <c r="T274" s="78">
        <v>0</v>
      </c>
      <c r="U274" s="78">
        <v>0</v>
      </c>
      <c r="V274" s="78">
        <v>0</v>
      </c>
      <c r="W274" s="78">
        <v>0</v>
      </c>
      <c r="X274" s="78">
        <v>0.2</v>
      </c>
      <c r="Y274" s="78">
        <v>0.6</v>
      </c>
      <c r="Z274" s="78">
        <v>0.2</v>
      </c>
      <c r="AA274" s="78">
        <v>0.1</v>
      </c>
      <c r="AB274" s="78">
        <v>3.1</v>
      </c>
      <c r="AC274" s="78">
        <v>0.1</v>
      </c>
      <c r="AD274" s="78">
        <v>0.3</v>
      </c>
      <c r="AE274" s="78">
        <v>0</v>
      </c>
      <c r="AF274" s="78">
        <v>21</v>
      </c>
      <c r="AG274" s="78">
        <v>4</v>
      </c>
      <c r="AH274" s="78">
        <v>96</v>
      </c>
      <c r="AI274" s="78">
        <v>13</v>
      </c>
      <c r="AJ274" s="78">
        <v>127</v>
      </c>
      <c r="AK274" s="78">
        <v>54</v>
      </c>
      <c r="AL274" s="78">
        <v>1.7</v>
      </c>
      <c r="AM274" s="78">
        <v>1.3</v>
      </c>
      <c r="AN274" s="78">
        <v>0.2</v>
      </c>
      <c r="AO274" s="78">
        <v>36.299999999999997</v>
      </c>
    </row>
    <row r="275" spans="1:41">
      <c r="A275" s="78" t="s">
        <v>2145</v>
      </c>
      <c r="B275" s="78" t="s">
        <v>1558</v>
      </c>
      <c r="C275" s="78" t="s">
        <v>366</v>
      </c>
      <c r="D275" s="78" t="s">
        <v>2133</v>
      </c>
      <c r="E275" s="78" t="s">
        <v>2146</v>
      </c>
      <c r="F275" s="78" t="s">
        <v>2069</v>
      </c>
      <c r="G275" s="78" t="s">
        <v>1614</v>
      </c>
      <c r="H275" s="78">
        <v>108</v>
      </c>
      <c r="I275" s="78">
        <v>73.8</v>
      </c>
      <c r="J275" s="78">
        <v>0.2</v>
      </c>
      <c r="K275" s="78">
        <v>1.8</v>
      </c>
      <c r="L275" s="78">
        <v>23</v>
      </c>
      <c r="M275" s="78">
        <v>0</v>
      </c>
      <c r="N275" s="78">
        <v>1</v>
      </c>
      <c r="O275" s="78">
        <v>0.2</v>
      </c>
      <c r="P275" s="78">
        <v>0.02</v>
      </c>
      <c r="Q275" s="78">
        <v>0.03</v>
      </c>
      <c r="R275" s="78">
        <v>0.02</v>
      </c>
      <c r="S275" s="78" t="s">
        <v>1615</v>
      </c>
      <c r="T275" s="78">
        <v>0</v>
      </c>
      <c r="U275" s="78">
        <v>0</v>
      </c>
      <c r="V275" s="78">
        <v>0</v>
      </c>
      <c r="W275" s="78">
        <v>0</v>
      </c>
      <c r="X275" s="78">
        <v>0</v>
      </c>
      <c r="Y275" s="78">
        <v>0</v>
      </c>
      <c r="Z275" s="78">
        <v>0</v>
      </c>
      <c r="AA275" s="78">
        <v>0</v>
      </c>
      <c r="AB275" s="78">
        <v>0.1</v>
      </c>
      <c r="AC275" s="78">
        <v>0</v>
      </c>
      <c r="AD275" s="78">
        <v>0</v>
      </c>
      <c r="AE275" s="78">
        <v>0</v>
      </c>
      <c r="AF275" s="78">
        <v>1</v>
      </c>
      <c r="AG275" s="78">
        <v>19</v>
      </c>
      <c r="AH275" s="78">
        <v>4</v>
      </c>
      <c r="AI275" s="78">
        <v>4</v>
      </c>
      <c r="AJ275" s="78">
        <v>20</v>
      </c>
      <c r="AK275" s="78">
        <v>3</v>
      </c>
      <c r="AL275" s="78">
        <v>0.1</v>
      </c>
      <c r="AM275" s="78">
        <v>0.3</v>
      </c>
      <c r="AN275" s="78">
        <v>0</v>
      </c>
      <c r="AO275" s="78">
        <v>4.5</v>
      </c>
    </row>
    <row r="276" spans="1:41">
      <c r="A276" s="78" t="s">
        <v>2147</v>
      </c>
      <c r="B276" s="78" t="s">
        <v>1558</v>
      </c>
      <c r="C276" s="78" t="s">
        <v>366</v>
      </c>
      <c r="D276" s="78" t="s">
        <v>2135</v>
      </c>
      <c r="E276" s="78" t="s">
        <v>2148</v>
      </c>
      <c r="F276" s="78" t="s">
        <v>2069</v>
      </c>
      <c r="G276" s="78" t="s">
        <v>1614</v>
      </c>
      <c r="H276" s="78">
        <v>409</v>
      </c>
      <c r="I276" s="78" t="s">
        <v>1615</v>
      </c>
      <c r="J276" s="78" t="s">
        <v>1615</v>
      </c>
      <c r="K276" s="78">
        <v>5.6</v>
      </c>
      <c r="L276" s="78">
        <v>81.7</v>
      </c>
      <c r="M276" s="78">
        <v>49</v>
      </c>
      <c r="N276" s="78" t="s">
        <v>1615</v>
      </c>
      <c r="O276" s="78">
        <v>6.6</v>
      </c>
      <c r="P276" s="78">
        <v>2.2000000000000002</v>
      </c>
      <c r="Q276" s="78">
        <v>2.7</v>
      </c>
      <c r="R276" s="78">
        <v>1.7</v>
      </c>
      <c r="S276" s="78">
        <v>0.1</v>
      </c>
      <c r="T276" s="78">
        <v>149</v>
      </c>
      <c r="U276" s="78" t="s">
        <v>1615</v>
      </c>
      <c r="V276" s="78" t="s">
        <v>1615</v>
      </c>
      <c r="W276" s="78" t="s">
        <v>1615</v>
      </c>
      <c r="X276" s="78" t="s">
        <v>1615</v>
      </c>
      <c r="Y276" s="78" t="s">
        <v>1615</v>
      </c>
      <c r="Z276" s="78" t="s">
        <v>1615</v>
      </c>
      <c r="AA276" s="78" t="s">
        <v>1615</v>
      </c>
      <c r="AB276" s="78" t="s">
        <v>1615</v>
      </c>
      <c r="AC276" s="78" t="s">
        <v>1615</v>
      </c>
      <c r="AD276" s="78" t="s">
        <v>1615</v>
      </c>
      <c r="AE276" s="78" t="s">
        <v>1615</v>
      </c>
      <c r="AF276" s="78" t="s">
        <v>1615</v>
      </c>
      <c r="AG276" s="78">
        <v>217</v>
      </c>
      <c r="AH276" s="78" t="s">
        <v>1615</v>
      </c>
      <c r="AI276" s="78" t="s">
        <v>1615</v>
      </c>
      <c r="AJ276" s="78" t="s">
        <v>1615</v>
      </c>
      <c r="AK276" s="78" t="s">
        <v>1615</v>
      </c>
      <c r="AL276" s="78" t="s">
        <v>1615</v>
      </c>
      <c r="AM276" s="78" t="s">
        <v>1615</v>
      </c>
      <c r="AN276" s="78" t="s">
        <v>1615</v>
      </c>
      <c r="AO276" s="78" t="s">
        <v>1615</v>
      </c>
    </row>
    <row r="277" spans="1:41">
      <c r="A277" s="78" t="s">
        <v>2149</v>
      </c>
      <c r="B277" s="78" t="s">
        <v>1558</v>
      </c>
      <c r="C277" s="78" t="s">
        <v>366</v>
      </c>
      <c r="D277" s="78" t="s">
        <v>2137</v>
      </c>
      <c r="E277" s="78" t="s">
        <v>2150</v>
      </c>
      <c r="F277" s="78" t="s">
        <v>2069</v>
      </c>
      <c r="G277" s="78" t="s">
        <v>1614</v>
      </c>
      <c r="H277" s="78">
        <v>428</v>
      </c>
      <c r="I277" s="78">
        <v>3.5</v>
      </c>
      <c r="J277" s="78">
        <v>1.4</v>
      </c>
      <c r="K277" s="78">
        <v>8.6</v>
      </c>
      <c r="L277" s="78">
        <v>56.1</v>
      </c>
      <c r="M277" s="78" t="s">
        <v>1615</v>
      </c>
      <c r="N277" s="78">
        <v>6.5</v>
      </c>
      <c r="O277" s="78">
        <v>17</v>
      </c>
      <c r="P277" s="78">
        <v>4.9400000000000004</v>
      </c>
      <c r="Q277" s="78">
        <v>8.0500000000000007</v>
      </c>
      <c r="R277" s="78">
        <v>2.89</v>
      </c>
      <c r="S277" s="78">
        <v>0</v>
      </c>
      <c r="T277" s="78">
        <v>0</v>
      </c>
      <c r="U277" s="78" t="s">
        <v>1615</v>
      </c>
      <c r="V277" s="78" t="s">
        <v>1615</v>
      </c>
      <c r="W277" s="78" t="s">
        <v>1615</v>
      </c>
      <c r="X277" s="78" t="s">
        <v>1615</v>
      </c>
      <c r="Y277" s="78" t="s">
        <v>1615</v>
      </c>
      <c r="Z277" s="78" t="s">
        <v>1615</v>
      </c>
      <c r="AA277" s="78" t="s">
        <v>1615</v>
      </c>
      <c r="AB277" s="78" t="s">
        <v>1615</v>
      </c>
      <c r="AC277" s="78" t="s">
        <v>1615</v>
      </c>
      <c r="AD277" s="78" t="s">
        <v>1615</v>
      </c>
      <c r="AE277" s="78" t="s">
        <v>1615</v>
      </c>
      <c r="AF277" s="78" t="s">
        <v>1615</v>
      </c>
      <c r="AG277" s="78">
        <v>214</v>
      </c>
      <c r="AH277" s="78" t="s">
        <v>1615</v>
      </c>
      <c r="AI277" s="78" t="s">
        <v>1615</v>
      </c>
      <c r="AJ277" s="78" t="s">
        <v>1615</v>
      </c>
      <c r="AK277" s="78" t="s">
        <v>1615</v>
      </c>
      <c r="AL277" s="78" t="s">
        <v>1615</v>
      </c>
      <c r="AM277" s="78" t="s">
        <v>1615</v>
      </c>
      <c r="AN277" s="78" t="s">
        <v>1615</v>
      </c>
      <c r="AO277" s="78" t="s">
        <v>1615</v>
      </c>
    </row>
    <row r="278" spans="1:41">
      <c r="A278" s="78" t="s">
        <v>2151</v>
      </c>
      <c r="B278" s="78" t="s">
        <v>1558</v>
      </c>
      <c r="C278" s="78" t="s">
        <v>366</v>
      </c>
      <c r="D278" s="78" t="s">
        <v>2139</v>
      </c>
      <c r="E278" s="78" t="s">
        <v>2152</v>
      </c>
      <c r="F278" s="78" t="s">
        <v>2069</v>
      </c>
      <c r="G278" s="78" t="s">
        <v>1614</v>
      </c>
      <c r="H278" s="78">
        <v>430</v>
      </c>
      <c r="I278" s="78">
        <v>3.7</v>
      </c>
      <c r="J278" s="78">
        <v>1.3</v>
      </c>
      <c r="K278" s="78">
        <v>8.5</v>
      </c>
      <c r="L278" s="78">
        <v>57.9</v>
      </c>
      <c r="M278" s="78" t="s">
        <v>1615</v>
      </c>
      <c r="N278" s="78">
        <v>5.0999999999999996</v>
      </c>
      <c r="O278" s="78">
        <v>16.399999999999999</v>
      </c>
      <c r="P278" s="78">
        <v>4.92</v>
      </c>
      <c r="Q278" s="78">
        <v>7.69</v>
      </c>
      <c r="R278" s="78">
        <v>2.79</v>
      </c>
      <c r="S278" s="78">
        <v>0</v>
      </c>
      <c r="T278" s="78">
        <v>0</v>
      </c>
      <c r="U278" s="78" t="s">
        <v>1615</v>
      </c>
      <c r="V278" s="78" t="s">
        <v>1615</v>
      </c>
      <c r="W278" s="78" t="s">
        <v>1615</v>
      </c>
      <c r="X278" s="78" t="s">
        <v>1615</v>
      </c>
      <c r="Y278" s="78" t="s">
        <v>1615</v>
      </c>
      <c r="Z278" s="78" t="s">
        <v>1615</v>
      </c>
      <c r="AA278" s="78" t="s">
        <v>1615</v>
      </c>
      <c r="AB278" s="78" t="s">
        <v>1615</v>
      </c>
      <c r="AC278" s="78" t="s">
        <v>1615</v>
      </c>
      <c r="AD278" s="78" t="s">
        <v>1615</v>
      </c>
      <c r="AE278" s="78" t="s">
        <v>1615</v>
      </c>
      <c r="AF278" s="78" t="s">
        <v>1615</v>
      </c>
      <c r="AG278" s="78">
        <v>184</v>
      </c>
      <c r="AH278" s="78" t="s">
        <v>1615</v>
      </c>
      <c r="AI278" s="78" t="s">
        <v>1615</v>
      </c>
      <c r="AJ278" s="78" t="s">
        <v>1615</v>
      </c>
      <c r="AK278" s="78" t="s">
        <v>1615</v>
      </c>
      <c r="AL278" s="78" t="s">
        <v>1615</v>
      </c>
      <c r="AM278" s="78" t="s">
        <v>1615</v>
      </c>
      <c r="AN278" s="78" t="s">
        <v>1615</v>
      </c>
      <c r="AO278" s="78" t="s">
        <v>1615</v>
      </c>
    </row>
    <row r="279" spans="1:41">
      <c r="A279" s="78" t="s">
        <v>2153</v>
      </c>
      <c r="B279" s="78" t="s">
        <v>1558</v>
      </c>
      <c r="C279" s="78" t="s">
        <v>366</v>
      </c>
      <c r="D279" s="78" t="s">
        <v>2141</v>
      </c>
      <c r="E279" s="78" t="s">
        <v>2154</v>
      </c>
      <c r="F279" s="78" t="s">
        <v>2069</v>
      </c>
      <c r="G279" s="78" t="s">
        <v>1614</v>
      </c>
      <c r="H279" s="78">
        <v>427</v>
      </c>
      <c r="I279" s="78">
        <v>2.8</v>
      </c>
      <c r="J279" s="78">
        <v>1.5</v>
      </c>
      <c r="K279" s="78">
        <v>8.3000000000000007</v>
      </c>
      <c r="L279" s="78">
        <v>54.2</v>
      </c>
      <c r="M279" s="78" t="s">
        <v>1615</v>
      </c>
      <c r="N279" s="78">
        <v>6.9</v>
      </c>
      <c r="O279" s="78">
        <v>17.3</v>
      </c>
      <c r="P279" s="78">
        <v>4.97</v>
      </c>
      <c r="Q279" s="78">
        <v>8.27</v>
      </c>
      <c r="R279" s="78">
        <v>3</v>
      </c>
      <c r="S279" s="78">
        <v>0</v>
      </c>
      <c r="T279" s="78">
        <v>0</v>
      </c>
      <c r="U279" s="78" t="s">
        <v>1615</v>
      </c>
      <c r="V279" s="78" t="s">
        <v>1615</v>
      </c>
      <c r="W279" s="78" t="s">
        <v>1615</v>
      </c>
      <c r="X279" s="78" t="s">
        <v>1615</v>
      </c>
      <c r="Y279" s="78" t="s">
        <v>1615</v>
      </c>
      <c r="Z279" s="78" t="s">
        <v>1615</v>
      </c>
      <c r="AA279" s="78" t="s">
        <v>1615</v>
      </c>
      <c r="AB279" s="78" t="s">
        <v>1615</v>
      </c>
      <c r="AC279" s="78" t="s">
        <v>1615</v>
      </c>
      <c r="AD279" s="78" t="s">
        <v>1615</v>
      </c>
      <c r="AE279" s="78" t="s">
        <v>1615</v>
      </c>
      <c r="AF279" s="78" t="s">
        <v>1615</v>
      </c>
      <c r="AG279" s="78">
        <v>198</v>
      </c>
      <c r="AH279" s="78" t="s">
        <v>1615</v>
      </c>
      <c r="AI279" s="78" t="s">
        <v>1615</v>
      </c>
      <c r="AJ279" s="78" t="s">
        <v>1615</v>
      </c>
      <c r="AK279" s="78" t="s">
        <v>1615</v>
      </c>
      <c r="AL279" s="78" t="s">
        <v>1615</v>
      </c>
      <c r="AM279" s="78" t="s">
        <v>1615</v>
      </c>
      <c r="AN279" s="78" t="s">
        <v>1615</v>
      </c>
      <c r="AO279" s="78" t="s">
        <v>1615</v>
      </c>
    </row>
    <row r="280" spans="1:41">
      <c r="A280" s="78" t="s">
        <v>2155</v>
      </c>
      <c r="B280" s="78" t="s">
        <v>1558</v>
      </c>
      <c r="C280" s="78" t="s">
        <v>366</v>
      </c>
      <c r="D280" s="78" t="s">
        <v>2143</v>
      </c>
      <c r="E280" s="78" t="s">
        <v>2156</v>
      </c>
      <c r="F280" s="78" t="s">
        <v>2069</v>
      </c>
      <c r="G280" s="78" t="s">
        <v>1614</v>
      </c>
      <c r="H280" s="78">
        <v>430</v>
      </c>
      <c r="I280" s="78">
        <v>4.4000000000000004</v>
      </c>
      <c r="J280" s="78">
        <v>1.6</v>
      </c>
      <c r="K280" s="78">
        <v>7.6</v>
      </c>
      <c r="L280" s="78">
        <v>61.8</v>
      </c>
      <c r="M280" s="78" t="s">
        <v>1615</v>
      </c>
      <c r="N280" s="78">
        <v>7.7</v>
      </c>
      <c r="O280" s="78">
        <v>16.899999999999999</v>
      </c>
      <c r="P280" s="78">
        <v>5.08</v>
      </c>
      <c r="Q280" s="78">
        <v>7.73</v>
      </c>
      <c r="R280" s="78">
        <v>3.1</v>
      </c>
      <c r="S280" s="78">
        <v>0</v>
      </c>
      <c r="T280" s="78">
        <v>0</v>
      </c>
      <c r="U280" s="78" t="s">
        <v>1615</v>
      </c>
      <c r="V280" s="78" t="s">
        <v>1615</v>
      </c>
      <c r="W280" s="78" t="s">
        <v>1615</v>
      </c>
      <c r="X280" s="78" t="s">
        <v>1615</v>
      </c>
      <c r="Y280" s="78" t="s">
        <v>1615</v>
      </c>
      <c r="Z280" s="78" t="s">
        <v>1615</v>
      </c>
      <c r="AA280" s="78" t="s">
        <v>1615</v>
      </c>
      <c r="AB280" s="78" t="s">
        <v>1615</v>
      </c>
      <c r="AC280" s="78" t="s">
        <v>1615</v>
      </c>
      <c r="AD280" s="78" t="s">
        <v>1615</v>
      </c>
      <c r="AE280" s="78" t="s">
        <v>1615</v>
      </c>
      <c r="AF280" s="78" t="s">
        <v>1615</v>
      </c>
      <c r="AG280" s="78">
        <v>209</v>
      </c>
      <c r="AH280" s="78" t="s">
        <v>1615</v>
      </c>
      <c r="AI280" s="78" t="s">
        <v>1615</v>
      </c>
      <c r="AJ280" s="78" t="s">
        <v>1615</v>
      </c>
      <c r="AK280" s="78" t="s">
        <v>1615</v>
      </c>
      <c r="AL280" s="78" t="s">
        <v>1615</v>
      </c>
      <c r="AM280" s="78" t="s">
        <v>1615</v>
      </c>
      <c r="AN280" s="78" t="s">
        <v>1615</v>
      </c>
      <c r="AO280" s="78" t="s">
        <v>1615</v>
      </c>
    </row>
    <row r="281" spans="1:41">
      <c r="A281" s="78" t="s">
        <v>2157</v>
      </c>
      <c r="B281" s="78" t="s">
        <v>1558</v>
      </c>
      <c r="C281" s="78" t="s">
        <v>366</v>
      </c>
      <c r="D281" s="78" t="s">
        <v>2145</v>
      </c>
      <c r="E281" s="78" t="s">
        <v>2158</v>
      </c>
      <c r="F281" s="78" t="s">
        <v>2069</v>
      </c>
      <c r="G281" s="78" t="s">
        <v>1614</v>
      </c>
      <c r="H281" s="78">
        <v>427</v>
      </c>
      <c r="I281" s="78">
        <v>3.7</v>
      </c>
      <c r="J281" s="78">
        <v>1.8</v>
      </c>
      <c r="K281" s="78">
        <v>8.9</v>
      </c>
      <c r="L281" s="78">
        <v>54.8</v>
      </c>
      <c r="M281" s="78" t="s">
        <v>1615</v>
      </c>
      <c r="N281" s="78">
        <v>11.7</v>
      </c>
      <c r="O281" s="78">
        <v>19</v>
      </c>
      <c r="P281" s="78">
        <v>5.12</v>
      </c>
      <c r="Q281" s="78">
        <v>9.3800000000000008</v>
      </c>
      <c r="R281" s="78">
        <v>3.4</v>
      </c>
      <c r="S281" s="78">
        <v>0</v>
      </c>
      <c r="T281" s="78">
        <v>0</v>
      </c>
      <c r="U281" s="78" t="s">
        <v>1615</v>
      </c>
      <c r="V281" s="78" t="s">
        <v>1615</v>
      </c>
      <c r="W281" s="78" t="s">
        <v>1615</v>
      </c>
      <c r="X281" s="78" t="s">
        <v>1615</v>
      </c>
      <c r="Y281" s="78" t="s">
        <v>1615</v>
      </c>
      <c r="Z281" s="78" t="s">
        <v>1615</v>
      </c>
      <c r="AA281" s="78" t="s">
        <v>1615</v>
      </c>
      <c r="AB281" s="78" t="s">
        <v>1615</v>
      </c>
      <c r="AC281" s="78" t="s">
        <v>1615</v>
      </c>
      <c r="AD281" s="78" t="s">
        <v>1615</v>
      </c>
      <c r="AE281" s="78" t="s">
        <v>1615</v>
      </c>
      <c r="AF281" s="78" t="s">
        <v>1615</v>
      </c>
      <c r="AG281" s="78">
        <v>220</v>
      </c>
      <c r="AH281" s="78" t="s">
        <v>1615</v>
      </c>
      <c r="AI281" s="78" t="s">
        <v>1615</v>
      </c>
      <c r="AJ281" s="78" t="s">
        <v>1615</v>
      </c>
      <c r="AK281" s="78" t="s">
        <v>1615</v>
      </c>
      <c r="AL281" s="78" t="s">
        <v>1615</v>
      </c>
      <c r="AM281" s="78" t="s">
        <v>1615</v>
      </c>
      <c r="AN281" s="78" t="s">
        <v>1615</v>
      </c>
      <c r="AO281" s="78" t="s">
        <v>1615</v>
      </c>
    </row>
    <row r="282" spans="1:41">
      <c r="A282" s="78" t="s">
        <v>2159</v>
      </c>
      <c r="B282" s="78" t="s">
        <v>1558</v>
      </c>
      <c r="C282" s="78" t="s">
        <v>366</v>
      </c>
      <c r="D282" s="78" t="s">
        <v>2147</v>
      </c>
      <c r="E282" s="78" t="s">
        <v>2160</v>
      </c>
      <c r="F282" s="78" t="s">
        <v>2069</v>
      </c>
      <c r="G282" s="78" t="s">
        <v>1614</v>
      </c>
      <c r="H282" s="78">
        <v>481</v>
      </c>
      <c r="I282" s="78">
        <v>4.0999999999999996</v>
      </c>
      <c r="J282" s="78">
        <v>1.1000000000000001</v>
      </c>
      <c r="K282" s="78">
        <v>5.4</v>
      </c>
      <c r="L282" s="78">
        <v>64.3</v>
      </c>
      <c r="M282" s="78" t="s">
        <v>1615</v>
      </c>
      <c r="N282" s="78">
        <v>2.5</v>
      </c>
      <c r="O282" s="78">
        <v>22.6</v>
      </c>
      <c r="P282" s="78">
        <v>7.48</v>
      </c>
      <c r="Q282" s="78">
        <v>11.67</v>
      </c>
      <c r="R282" s="78">
        <v>2.37</v>
      </c>
      <c r="S282" s="78" t="s">
        <v>1615</v>
      </c>
      <c r="T282" s="78">
        <v>0</v>
      </c>
      <c r="U282" s="78">
        <v>0</v>
      </c>
      <c r="V282" s="78">
        <v>0</v>
      </c>
      <c r="W282" s="78" t="s">
        <v>1615</v>
      </c>
      <c r="X282" s="78" t="s">
        <v>1615</v>
      </c>
      <c r="Y282" s="78" t="s">
        <v>1615</v>
      </c>
      <c r="Z282" s="78">
        <v>0.1</v>
      </c>
      <c r="AA282" s="78" t="s">
        <v>1615</v>
      </c>
      <c r="AB282" s="78">
        <v>0.5</v>
      </c>
      <c r="AC282" s="78">
        <v>0.1</v>
      </c>
      <c r="AD282" s="78">
        <v>0.2</v>
      </c>
      <c r="AE282" s="78">
        <v>0</v>
      </c>
      <c r="AF282" s="78" t="s">
        <v>1615</v>
      </c>
      <c r="AG282" s="78">
        <v>315</v>
      </c>
      <c r="AH282" s="78">
        <v>135</v>
      </c>
      <c r="AI282" s="78">
        <v>25</v>
      </c>
      <c r="AJ282" s="78">
        <v>108</v>
      </c>
      <c r="AK282" s="78">
        <v>31</v>
      </c>
      <c r="AL282" s="78">
        <v>1</v>
      </c>
      <c r="AM282" s="78">
        <v>0.6</v>
      </c>
      <c r="AN282" s="78">
        <v>0.2</v>
      </c>
      <c r="AO282" s="78" t="s">
        <v>1615</v>
      </c>
    </row>
    <row r="283" spans="1:41">
      <c r="A283" s="78" t="s">
        <v>2161</v>
      </c>
      <c r="B283" s="78" t="s">
        <v>1558</v>
      </c>
      <c r="C283" s="78" t="s">
        <v>366</v>
      </c>
      <c r="D283" s="78" t="s">
        <v>2149</v>
      </c>
      <c r="E283" s="78" t="s">
        <v>2162</v>
      </c>
      <c r="F283" s="78" t="s">
        <v>2069</v>
      </c>
      <c r="G283" s="78" t="s">
        <v>1614</v>
      </c>
      <c r="H283" s="78">
        <v>463</v>
      </c>
      <c r="I283" s="78">
        <v>3.6</v>
      </c>
      <c r="J283" s="78">
        <v>1.3</v>
      </c>
      <c r="K283" s="78">
        <v>7.1</v>
      </c>
      <c r="L283" s="78">
        <v>66</v>
      </c>
      <c r="M283" s="78" t="s">
        <v>1615</v>
      </c>
      <c r="N283" s="78">
        <v>3.1</v>
      </c>
      <c r="O283" s="78">
        <v>18.899999999999999</v>
      </c>
      <c r="P283" s="78">
        <v>4.97</v>
      </c>
      <c r="Q283" s="78">
        <v>10.19</v>
      </c>
      <c r="R283" s="78">
        <v>2.61</v>
      </c>
      <c r="S283" s="78">
        <v>0</v>
      </c>
      <c r="T283" s="78">
        <v>9.5</v>
      </c>
      <c r="U283" s="78" t="s">
        <v>1615</v>
      </c>
      <c r="V283" s="78" t="s">
        <v>1615</v>
      </c>
      <c r="W283" s="78" t="s">
        <v>1615</v>
      </c>
      <c r="X283" s="78" t="s">
        <v>1615</v>
      </c>
      <c r="Y283" s="78" t="s">
        <v>1615</v>
      </c>
      <c r="Z283" s="78" t="s">
        <v>1615</v>
      </c>
      <c r="AA283" s="78" t="s">
        <v>1615</v>
      </c>
      <c r="AB283" s="78" t="s">
        <v>1615</v>
      </c>
      <c r="AC283" s="78" t="s">
        <v>1615</v>
      </c>
      <c r="AD283" s="78" t="s">
        <v>1615</v>
      </c>
      <c r="AE283" s="78" t="s">
        <v>1615</v>
      </c>
      <c r="AF283" s="78" t="s">
        <v>1615</v>
      </c>
      <c r="AG283" s="78">
        <v>266</v>
      </c>
      <c r="AH283" s="78" t="s">
        <v>1615</v>
      </c>
      <c r="AI283" s="78" t="s">
        <v>1615</v>
      </c>
      <c r="AJ283" s="78" t="s">
        <v>1615</v>
      </c>
      <c r="AK283" s="78" t="s">
        <v>1615</v>
      </c>
      <c r="AL283" s="78" t="s">
        <v>1615</v>
      </c>
      <c r="AM283" s="78" t="s">
        <v>1615</v>
      </c>
      <c r="AN283" s="78" t="s">
        <v>1615</v>
      </c>
      <c r="AO283" s="78" t="s">
        <v>1615</v>
      </c>
    </row>
    <row r="284" spans="1:41">
      <c r="A284" s="78" t="s">
        <v>2163</v>
      </c>
      <c r="B284" s="78" t="s">
        <v>1558</v>
      </c>
      <c r="C284" s="78" t="s">
        <v>366</v>
      </c>
      <c r="D284" s="78" t="s">
        <v>2151</v>
      </c>
      <c r="E284" s="78" t="s">
        <v>2164</v>
      </c>
      <c r="F284" s="78" t="s">
        <v>2069</v>
      </c>
      <c r="G284" s="78" t="s">
        <v>1614</v>
      </c>
      <c r="H284" s="78">
        <v>363</v>
      </c>
      <c r="I284" s="78">
        <v>5.5</v>
      </c>
      <c r="J284" s="78">
        <v>0.4</v>
      </c>
      <c r="K284" s="78">
        <v>6.7</v>
      </c>
      <c r="L284" s="78">
        <v>83.4</v>
      </c>
      <c r="M284" s="78" t="s">
        <v>1615</v>
      </c>
      <c r="N284" s="78">
        <v>3.7</v>
      </c>
      <c r="O284" s="78">
        <v>0.3</v>
      </c>
      <c r="P284" s="78" t="s">
        <v>1615</v>
      </c>
      <c r="Q284" s="78" t="s">
        <v>1615</v>
      </c>
      <c r="R284" s="78" t="s">
        <v>1615</v>
      </c>
      <c r="S284" s="78" t="s">
        <v>1615</v>
      </c>
      <c r="T284" s="78" t="s">
        <v>1615</v>
      </c>
      <c r="U284" s="78" t="s">
        <v>1615</v>
      </c>
      <c r="V284" s="78" t="s">
        <v>1615</v>
      </c>
      <c r="W284" s="78" t="s">
        <v>1615</v>
      </c>
      <c r="X284" s="78" t="s">
        <v>1615</v>
      </c>
      <c r="Y284" s="78" t="s">
        <v>1615</v>
      </c>
      <c r="Z284" s="78" t="s">
        <v>1615</v>
      </c>
      <c r="AA284" s="78" t="s">
        <v>1615</v>
      </c>
      <c r="AB284" s="78" t="s">
        <v>1615</v>
      </c>
      <c r="AC284" s="78" t="s">
        <v>1615</v>
      </c>
      <c r="AD284" s="78" t="s">
        <v>1615</v>
      </c>
      <c r="AE284" s="78" t="s">
        <v>1615</v>
      </c>
      <c r="AF284" s="78" t="s">
        <v>1615</v>
      </c>
      <c r="AG284" s="78">
        <v>152</v>
      </c>
      <c r="AH284" s="78" t="s">
        <v>1615</v>
      </c>
      <c r="AI284" s="78" t="s">
        <v>1615</v>
      </c>
      <c r="AJ284" s="78" t="s">
        <v>1615</v>
      </c>
      <c r="AK284" s="78" t="s">
        <v>1615</v>
      </c>
      <c r="AL284" s="78" t="s">
        <v>1615</v>
      </c>
      <c r="AM284" s="78" t="s">
        <v>1615</v>
      </c>
      <c r="AN284" s="78" t="s">
        <v>1615</v>
      </c>
      <c r="AO284" s="78" t="s">
        <v>1615</v>
      </c>
    </row>
    <row r="285" spans="1:41">
      <c r="A285" s="78" t="s">
        <v>2165</v>
      </c>
      <c r="B285" s="78" t="s">
        <v>1558</v>
      </c>
      <c r="C285" s="78" t="s">
        <v>366</v>
      </c>
      <c r="D285" s="78" t="s">
        <v>2153</v>
      </c>
      <c r="E285" s="78" t="s">
        <v>2166</v>
      </c>
      <c r="F285" s="78" t="s">
        <v>2069</v>
      </c>
      <c r="G285" s="78" t="s">
        <v>1614</v>
      </c>
      <c r="H285" s="78">
        <v>373</v>
      </c>
      <c r="I285" s="78" t="s">
        <v>1615</v>
      </c>
      <c r="J285" s="78" t="s">
        <v>1615</v>
      </c>
      <c r="K285" s="78">
        <v>5.2</v>
      </c>
      <c r="L285" s="78">
        <v>82.7</v>
      </c>
      <c r="M285" s="78">
        <v>0.1</v>
      </c>
      <c r="N285" s="78">
        <v>3.2</v>
      </c>
      <c r="O285" s="78">
        <v>1.3</v>
      </c>
      <c r="P285" s="78">
        <v>0.5</v>
      </c>
      <c r="Q285" s="78" t="s">
        <v>1615</v>
      </c>
      <c r="R285" s="78" t="s">
        <v>1615</v>
      </c>
      <c r="S285" s="78">
        <v>0</v>
      </c>
      <c r="T285" s="78" t="s">
        <v>1615</v>
      </c>
      <c r="U285" s="78" t="s">
        <v>1615</v>
      </c>
      <c r="V285" s="78" t="s">
        <v>1615</v>
      </c>
      <c r="W285" s="78" t="s">
        <v>1615</v>
      </c>
      <c r="X285" s="78" t="s">
        <v>1615</v>
      </c>
      <c r="Y285" s="78" t="s">
        <v>1615</v>
      </c>
      <c r="Z285" s="78" t="s">
        <v>1615</v>
      </c>
      <c r="AA285" s="78" t="s">
        <v>1615</v>
      </c>
      <c r="AB285" s="78" t="s">
        <v>1615</v>
      </c>
      <c r="AC285" s="78" t="s">
        <v>1615</v>
      </c>
      <c r="AD285" s="78" t="s">
        <v>1615</v>
      </c>
      <c r="AE285" s="78" t="s">
        <v>1615</v>
      </c>
      <c r="AF285" s="78" t="s">
        <v>1615</v>
      </c>
      <c r="AG285" s="78">
        <v>120</v>
      </c>
      <c r="AH285" s="78" t="s">
        <v>1615</v>
      </c>
      <c r="AI285" s="78" t="s">
        <v>1615</v>
      </c>
      <c r="AJ285" s="78" t="s">
        <v>1615</v>
      </c>
      <c r="AK285" s="78" t="s">
        <v>1615</v>
      </c>
      <c r="AL285" s="78" t="s">
        <v>1615</v>
      </c>
      <c r="AM285" s="78" t="s">
        <v>1615</v>
      </c>
      <c r="AN285" s="78" t="s">
        <v>1615</v>
      </c>
      <c r="AO285" s="78" t="s">
        <v>1615</v>
      </c>
    </row>
    <row r="286" spans="1:41">
      <c r="A286" s="78" t="s">
        <v>2167</v>
      </c>
      <c r="B286" s="78" t="s">
        <v>1558</v>
      </c>
      <c r="C286" s="78" t="s">
        <v>366</v>
      </c>
      <c r="D286" s="78" t="s">
        <v>2155</v>
      </c>
      <c r="E286" s="78" t="s">
        <v>2168</v>
      </c>
      <c r="F286" s="78" t="s">
        <v>2069</v>
      </c>
      <c r="G286" s="78" t="s">
        <v>1614</v>
      </c>
      <c r="H286" s="78">
        <v>371</v>
      </c>
      <c r="I286" s="78">
        <v>4.9000000000000004</v>
      </c>
      <c r="J286" s="78">
        <v>2.8</v>
      </c>
      <c r="K286" s="78">
        <v>7.5</v>
      </c>
      <c r="L286" s="78">
        <v>74.2</v>
      </c>
      <c r="M286" s="78">
        <v>1.2</v>
      </c>
      <c r="N286" s="78">
        <v>5.7</v>
      </c>
      <c r="O286" s="78">
        <v>4.9000000000000004</v>
      </c>
      <c r="P286" s="78">
        <v>1.25</v>
      </c>
      <c r="Q286" s="78">
        <v>1.48</v>
      </c>
      <c r="R286" s="78">
        <v>1.43</v>
      </c>
      <c r="S286" s="78">
        <v>0</v>
      </c>
      <c r="T286" s="78">
        <v>0</v>
      </c>
      <c r="U286" s="78" t="s">
        <v>1615</v>
      </c>
      <c r="V286" s="78" t="s">
        <v>1615</v>
      </c>
      <c r="W286" s="78" t="s">
        <v>1615</v>
      </c>
      <c r="X286" s="78" t="s">
        <v>1615</v>
      </c>
      <c r="Y286" s="78" t="s">
        <v>1615</v>
      </c>
      <c r="Z286" s="78" t="s">
        <v>1615</v>
      </c>
      <c r="AA286" s="78" t="s">
        <v>1615</v>
      </c>
      <c r="AB286" s="78" t="s">
        <v>1615</v>
      </c>
      <c r="AC286" s="78" t="s">
        <v>1615</v>
      </c>
      <c r="AD286" s="78" t="s">
        <v>1615</v>
      </c>
      <c r="AE286" s="78" t="s">
        <v>1615</v>
      </c>
      <c r="AF286" s="78" t="s">
        <v>1615</v>
      </c>
      <c r="AG286" s="78">
        <v>665</v>
      </c>
      <c r="AH286" s="78" t="s">
        <v>1615</v>
      </c>
      <c r="AI286" s="78" t="s">
        <v>1615</v>
      </c>
      <c r="AJ286" s="78" t="s">
        <v>1615</v>
      </c>
      <c r="AK286" s="78" t="s">
        <v>1615</v>
      </c>
      <c r="AL286" s="78" t="s">
        <v>1615</v>
      </c>
      <c r="AM286" s="78" t="s">
        <v>1615</v>
      </c>
      <c r="AN286" s="78" t="s">
        <v>1615</v>
      </c>
      <c r="AO286" s="78" t="s">
        <v>1615</v>
      </c>
    </row>
    <row r="287" spans="1:41">
      <c r="A287" s="78" t="s">
        <v>2169</v>
      </c>
      <c r="B287" s="78" t="s">
        <v>1558</v>
      </c>
      <c r="C287" s="78" t="s">
        <v>366</v>
      </c>
      <c r="D287" s="78" t="s">
        <v>2157</v>
      </c>
      <c r="E287" s="78" t="s">
        <v>2170</v>
      </c>
      <c r="F287" s="78" t="s">
        <v>2069</v>
      </c>
      <c r="G287" s="78" t="s">
        <v>1614</v>
      </c>
      <c r="H287" s="78">
        <v>363</v>
      </c>
      <c r="I287" s="78">
        <v>5</v>
      </c>
      <c r="J287" s="78">
        <v>1.3</v>
      </c>
      <c r="K287" s="78">
        <v>7.7</v>
      </c>
      <c r="L287" s="78">
        <v>80.099999999999994</v>
      </c>
      <c r="M287" s="78">
        <v>1.2</v>
      </c>
      <c r="N287" s="78">
        <v>4.5999999999999996</v>
      </c>
      <c r="O287" s="78">
        <v>1.3</v>
      </c>
      <c r="P287" s="78">
        <v>0.24</v>
      </c>
      <c r="Q287" s="78">
        <v>0.45</v>
      </c>
      <c r="R287" s="78">
        <v>0.4</v>
      </c>
      <c r="S287" s="78">
        <v>0</v>
      </c>
      <c r="T287" s="78">
        <v>0</v>
      </c>
      <c r="U287" s="78" t="s">
        <v>1615</v>
      </c>
      <c r="V287" s="78" t="s">
        <v>1615</v>
      </c>
      <c r="W287" s="78" t="s">
        <v>1615</v>
      </c>
      <c r="X287" s="78" t="s">
        <v>1615</v>
      </c>
      <c r="Y287" s="78" t="s">
        <v>1615</v>
      </c>
      <c r="Z287" s="78" t="s">
        <v>1615</v>
      </c>
      <c r="AA287" s="78" t="s">
        <v>1615</v>
      </c>
      <c r="AB287" s="78" t="s">
        <v>1615</v>
      </c>
      <c r="AC287" s="78" t="s">
        <v>1615</v>
      </c>
      <c r="AD287" s="78" t="s">
        <v>1615</v>
      </c>
      <c r="AE287" s="78" t="s">
        <v>1615</v>
      </c>
      <c r="AF287" s="78" t="s">
        <v>1615</v>
      </c>
      <c r="AG287" s="78">
        <v>18</v>
      </c>
      <c r="AH287" s="78" t="s">
        <v>1615</v>
      </c>
      <c r="AI287" s="78" t="s">
        <v>1615</v>
      </c>
      <c r="AJ287" s="78" t="s">
        <v>1615</v>
      </c>
      <c r="AK287" s="78" t="s">
        <v>1615</v>
      </c>
      <c r="AL287" s="78" t="s">
        <v>1615</v>
      </c>
      <c r="AM287" s="78" t="s">
        <v>1615</v>
      </c>
      <c r="AN287" s="78" t="s">
        <v>1615</v>
      </c>
      <c r="AO287" s="78" t="s">
        <v>1615</v>
      </c>
    </row>
    <row r="288" spans="1:41">
      <c r="A288" s="78" t="s">
        <v>2171</v>
      </c>
      <c r="B288" s="78" t="s">
        <v>1558</v>
      </c>
      <c r="C288" s="78" t="s">
        <v>366</v>
      </c>
      <c r="D288" s="78" t="s">
        <v>2159</v>
      </c>
      <c r="E288" s="78" t="s">
        <v>2172</v>
      </c>
      <c r="F288" s="78" t="s">
        <v>2069</v>
      </c>
      <c r="G288" s="78" t="s">
        <v>1614</v>
      </c>
      <c r="H288" s="78">
        <v>356</v>
      </c>
      <c r="I288" s="78">
        <v>4.0999999999999996</v>
      </c>
      <c r="J288" s="78">
        <v>2.6</v>
      </c>
      <c r="K288" s="78">
        <v>11</v>
      </c>
      <c r="L288" s="78">
        <v>72.2</v>
      </c>
      <c r="M288" s="78">
        <v>2.6</v>
      </c>
      <c r="N288" s="78">
        <v>7.5</v>
      </c>
      <c r="O288" s="78">
        <v>2.6</v>
      </c>
      <c r="P288" s="78">
        <v>0.53</v>
      </c>
      <c r="Q288" s="78">
        <v>0.6</v>
      </c>
      <c r="R288" s="78">
        <v>1.08</v>
      </c>
      <c r="S288" s="78">
        <v>0</v>
      </c>
      <c r="T288" s="78">
        <v>0</v>
      </c>
      <c r="U288" s="78" t="s">
        <v>1615</v>
      </c>
      <c r="V288" s="78" t="s">
        <v>1615</v>
      </c>
      <c r="W288" s="78" t="s">
        <v>1615</v>
      </c>
      <c r="X288" s="78" t="s">
        <v>1615</v>
      </c>
      <c r="Y288" s="78" t="s">
        <v>1615</v>
      </c>
      <c r="Z288" s="78" t="s">
        <v>1615</v>
      </c>
      <c r="AA288" s="78" t="s">
        <v>1615</v>
      </c>
      <c r="AB288" s="78" t="s">
        <v>1615</v>
      </c>
      <c r="AC288" s="78" t="s">
        <v>1615</v>
      </c>
      <c r="AD288" s="78" t="s">
        <v>1615</v>
      </c>
      <c r="AE288" s="78" t="s">
        <v>1615</v>
      </c>
      <c r="AF288" s="78" t="s">
        <v>1615</v>
      </c>
      <c r="AG288" s="78">
        <v>525</v>
      </c>
      <c r="AH288" s="78" t="s">
        <v>1615</v>
      </c>
      <c r="AI288" s="78" t="s">
        <v>1615</v>
      </c>
      <c r="AJ288" s="78" t="s">
        <v>1615</v>
      </c>
      <c r="AK288" s="78" t="s">
        <v>1615</v>
      </c>
      <c r="AL288" s="78" t="s">
        <v>1615</v>
      </c>
      <c r="AM288" s="78" t="s">
        <v>1615</v>
      </c>
      <c r="AN288" s="78" t="s">
        <v>1615</v>
      </c>
      <c r="AO288" s="78" t="s">
        <v>1615</v>
      </c>
    </row>
    <row r="289" spans="1:41">
      <c r="A289" s="78" t="s">
        <v>2173</v>
      </c>
      <c r="B289" s="78" t="s">
        <v>1558</v>
      </c>
      <c r="C289" s="78" t="s">
        <v>366</v>
      </c>
      <c r="D289" s="78" t="s">
        <v>2161</v>
      </c>
      <c r="E289" s="78" t="s">
        <v>2174</v>
      </c>
      <c r="F289" s="78" t="s">
        <v>2069</v>
      </c>
      <c r="G289" s="78" t="s">
        <v>1614</v>
      </c>
      <c r="H289" s="78">
        <v>469</v>
      </c>
      <c r="I289" s="78">
        <v>2.6</v>
      </c>
      <c r="J289" s="78">
        <v>1</v>
      </c>
      <c r="K289" s="78">
        <v>5.8</v>
      </c>
      <c r="L289" s="78">
        <v>71</v>
      </c>
      <c r="M289" s="78" t="s">
        <v>1615</v>
      </c>
      <c r="N289" s="78">
        <v>1.6</v>
      </c>
      <c r="O289" s="78">
        <v>18</v>
      </c>
      <c r="P289" s="78">
        <v>5.27</v>
      </c>
      <c r="Q289" s="78">
        <v>9.19</v>
      </c>
      <c r="R289" s="78">
        <v>2.34</v>
      </c>
      <c r="S289" s="78">
        <v>0.1</v>
      </c>
      <c r="T289" s="78">
        <v>16.5</v>
      </c>
      <c r="U289" s="78" t="s">
        <v>1615</v>
      </c>
      <c r="V289" s="78" t="s">
        <v>1615</v>
      </c>
      <c r="W289" s="78" t="s">
        <v>1615</v>
      </c>
      <c r="X289" s="78" t="s">
        <v>1615</v>
      </c>
      <c r="Y289" s="78" t="s">
        <v>1615</v>
      </c>
      <c r="Z289" s="78" t="s">
        <v>1615</v>
      </c>
      <c r="AA289" s="78" t="s">
        <v>1615</v>
      </c>
      <c r="AB289" s="78" t="s">
        <v>1615</v>
      </c>
      <c r="AC289" s="78" t="s">
        <v>1615</v>
      </c>
      <c r="AD289" s="78" t="s">
        <v>1615</v>
      </c>
      <c r="AE289" s="78" t="s">
        <v>1615</v>
      </c>
      <c r="AF289" s="78" t="s">
        <v>1615</v>
      </c>
      <c r="AG289" s="78">
        <v>273</v>
      </c>
      <c r="AH289" s="78" t="s">
        <v>1615</v>
      </c>
      <c r="AI289" s="78" t="s">
        <v>1615</v>
      </c>
      <c r="AJ289" s="78" t="s">
        <v>1615</v>
      </c>
      <c r="AK289" s="78" t="s">
        <v>1615</v>
      </c>
      <c r="AL289" s="78" t="s">
        <v>1615</v>
      </c>
      <c r="AM289" s="78" t="s">
        <v>1615</v>
      </c>
      <c r="AN289" s="78" t="s">
        <v>1615</v>
      </c>
      <c r="AO289" s="78" t="s">
        <v>1615</v>
      </c>
    </row>
    <row r="290" spans="1:41">
      <c r="A290" s="78" t="s">
        <v>2175</v>
      </c>
      <c r="B290" s="78" t="s">
        <v>1558</v>
      </c>
      <c r="C290" s="78" t="s">
        <v>366</v>
      </c>
      <c r="D290" s="78" t="s">
        <v>2163</v>
      </c>
      <c r="E290" s="78" t="s">
        <v>2176</v>
      </c>
      <c r="F290" s="78" t="s">
        <v>2069</v>
      </c>
      <c r="G290" s="78" t="s">
        <v>1614</v>
      </c>
      <c r="H290" s="78">
        <v>483</v>
      </c>
      <c r="I290" s="78">
        <v>2.1</v>
      </c>
      <c r="J290" s="78">
        <v>0.8</v>
      </c>
      <c r="K290" s="78">
        <v>5.4</v>
      </c>
      <c r="L290" s="78">
        <v>65.5</v>
      </c>
      <c r="M290" s="78" t="s">
        <v>1615</v>
      </c>
      <c r="N290" s="78">
        <v>4</v>
      </c>
      <c r="O290" s="78">
        <v>22.2</v>
      </c>
      <c r="P290" s="78">
        <v>11.97</v>
      </c>
      <c r="Q290" s="78">
        <v>6.88</v>
      </c>
      <c r="R290" s="78">
        <v>2.0499999999999998</v>
      </c>
      <c r="S290" s="78">
        <v>0</v>
      </c>
      <c r="T290" s="78">
        <v>8.1999999999999993</v>
      </c>
      <c r="U290" s="78" t="s">
        <v>1615</v>
      </c>
      <c r="V290" s="78" t="s">
        <v>1615</v>
      </c>
      <c r="W290" s="78" t="s">
        <v>1615</v>
      </c>
      <c r="X290" s="78" t="s">
        <v>1615</v>
      </c>
      <c r="Y290" s="78" t="s">
        <v>1615</v>
      </c>
      <c r="Z290" s="78" t="s">
        <v>1615</v>
      </c>
      <c r="AA290" s="78" t="s">
        <v>1615</v>
      </c>
      <c r="AB290" s="78" t="s">
        <v>1615</v>
      </c>
      <c r="AC290" s="78" t="s">
        <v>1615</v>
      </c>
      <c r="AD290" s="78" t="s">
        <v>1615</v>
      </c>
      <c r="AE290" s="78" t="s">
        <v>1615</v>
      </c>
      <c r="AF290" s="78" t="s">
        <v>1615</v>
      </c>
      <c r="AG290" s="78">
        <v>162</v>
      </c>
      <c r="AH290" s="78" t="s">
        <v>1615</v>
      </c>
      <c r="AI290" s="78" t="s">
        <v>1615</v>
      </c>
      <c r="AJ290" s="78" t="s">
        <v>1615</v>
      </c>
      <c r="AK290" s="78" t="s">
        <v>1615</v>
      </c>
      <c r="AL290" s="78" t="s">
        <v>1615</v>
      </c>
      <c r="AM290" s="78" t="s">
        <v>1615</v>
      </c>
      <c r="AN290" s="78" t="s">
        <v>1615</v>
      </c>
      <c r="AO290" s="78" t="s">
        <v>1615</v>
      </c>
    </row>
    <row r="291" spans="1:41">
      <c r="A291" s="78" t="s">
        <v>2177</v>
      </c>
      <c r="B291" s="78" t="s">
        <v>1558</v>
      </c>
      <c r="C291" s="78" t="s">
        <v>366</v>
      </c>
      <c r="D291" s="78" t="s">
        <v>2165</v>
      </c>
      <c r="E291" s="78" t="s">
        <v>2178</v>
      </c>
      <c r="F291" s="78" t="s">
        <v>2069</v>
      </c>
      <c r="G291" s="78" t="s">
        <v>1614</v>
      </c>
      <c r="H291" s="78">
        <v>467</v>
      </c>
      <c r="I291" s="78">
        <v>2.9</v>
      </c>
      <c r="J291" s="78">
        <v>1.4</v>
      </c>
      <c r="K291" s="78">
        <v>7.3</v>
      </c>
      <c r="L291" s="78">
        <v>67.400000000000006</v>
      </c>
      <c r="M291" s="78" t="s">
        <v>1615</v>
      </c>
      <c r="N291" s="78">
        <v>2.2000000000000002</v>
      </c>
      <c r="O291" s="78">
        <v>18.7</v>
      </c>
      <c r="P291" s="78">
        <v>4.93</v>
      </c>
      <c r="Q291" s="78">
        <v>9.69</v>
      </c>
      <c r="R291" s="78">
        <v>2.91</v>
      </c>
      <c r="S291" s="78">
        <v>0</v>
      </c>
      <c r="T291" s="78">
        <v>0</v>
      </c>
      <c r="U291" s="78" t="s">
        <v>1615</v>
      </c>
      <c r="V291" s="78" t="s">
        <v>1615</v>
      </c>
      <c r="W291" s="78" t="s">
        <v>1615</v>
      </c>
      <c r="X291" s="78" t="s">
        <v>1615</v>
      </c>
      <c r="Y291" s="78" t="s">
        <v>1615</v>
      </c>
      <c r="Z291" s="78" t="s">
        <v>1615</v>
      </c>
      <c r="AA291" s="78" t="s">
        <v>1615</v>
      </c>
      <c r="AB291" s="78" t="s">
        <v>1615</v>
      </c>
      <c r="AC291" s="78" t="s">
        <v>1615</v>
      </c>
      <c r="AD291" s="78" t="s">
        <v>1615</v>
      </c>
      <c r="AE291" s="78" t="s">
        <v>1615</v>
      </c>
      <c r="AF291" s="78" t="s">
        <v>1615</v>
      </c>
      <c r="AG291" s="78">
        <v>322</v>
      </c>
      <c r="AH291" s="78" t="s">
        <v>1615</v>
      </c>
      <c r="AI291" s="78" t="s">
        <v>1615</v>
      </c>
      <c r="AJ291" s="78" t="s">
        <v>1615</v>
      </c>
      <c r="AK291" s="78" t="s">
        <v>1615</v>
      </c>
      <c r="AL291" s="78" t="s">
        <v>1615</v>
      </c>
      <c r="AM291" s="78" t="s">
        <v>1615</v>
      </c>
      <c r="AN291" s="78" t="s">
        <v>1615</v>
      </c>
      <c r="AO291" s="78" t="s">
        <v>1615</v>
      </c>
    </row>
    <row r="292" spans="1:41">
      <c r="A292" s="78" t="s">
        <v>2179</v>
      </c>
      <c r="B292" s="78" t="s">
        <v>1558</v>
      </c>
      <c r="C292" s="78" t="s">
        <v>366</v>
      </c>
      <c r="D292" s="78" t="s">
        <v>2167</v>
      </c>
      <c r="E292" s="78" t="s">
        <v>2180</v>
      </c>
      <c r="F292" s="78" t="s">
        <v>2069</v>
      </c>
      <c r="G292" s="78" t="s">
        <v>1614</v>
      </c>
      <c r="H292" s="78">
        <v>476</v>
      </c>
      <c r="I292" s="78">
        <v>2.8</v>
      </c>
      <c r="J292" s="78">
        <v>1.4</v>
      </c>
      <c r="K292" s="78">
        <v>6.5</v>
      </c>
      <c r="L292" s="78">
        <v>67.400000000000006</v>
      </c>
      <c r="M292" s="78" t="s">
        <v>1615</v>
      </c>
      <c r="N292" s="78">
        <v>1.9</v>
      </c>
      <c r="O292" s="78">
        <v>20</v>
      </c>
      <c r="P292" s="78">
        <v>4.6900000000000004</v>
      </c>
      <c r="Q292" s="78">
        <v>9.65</v>
      </c>
      <c r="R292" s="78">
        <v>2.5499999999999998</v>
      </c>
      <c r="S292" s="78">
        <v>0</v>
      </c>
      <c r="T292" s="78">
        <v>5.5</v>
      </c>
      <c r="U292" s="78" t="s">
        <v>1615</v>
      </c>
      <c r="V292" s="78" t="s">
        <v>1615</v>
      </c>
      <c r="W292" s="78" t="s">
        <v>1615</v>
      </c>
      <c r="X292" s="78" t="s">
        <v>1615</v>
      </c>
      <c r="Y292" s="78" t="s">
        <v>1615</v>
      </c>
      <c r="Z292" s="78" t="s">
        <v>1615</v>
      </c>
      <c r="AA292" s="78" t="s">
        <v>1615</v>
      </c>
      <c r="AB292" s="78" t="s">
        <v>1615</v>
      </c>
      <c r="AC292" s="78" t="s">
        <v>1615</v>
      </c>
      <c r="AD292" s="78" t="s">
        <v>1615</v>
      </c>
      <c r="AE292" s="78" t="s">
        <v>1615</v>
      </c>
      <c r="AF292" s="78" t="s">
        <v>1615</v>
      </c>
      <c r="AG292" s="78">
        <v>313</v>
      </c>
      <c r="AH292" s="78" t="s">
        <v>1615</v>
      </c>
      <c r="AI292" s="78" t="s">
        <v>1615</v>
      </c>
      <c r="AJ292" s="78" t="s">
        <v>1615</v>
      </c>
      <c r="AK292" s="78" t="s">
        <v>1615</v>
      </c>
      <c r="AL292" s="78" t="s">
        <v>1615</v>
      </c>
      <c r="AM292" s="78" t="s">
        <v>1615</v>
      </c>
      <c r="AN292" s="78" t="s">
        <v>1615</v>
      </c>
      <c r="AO292" s="78" t="s">
        <v>1615</v>
      </c>
    </row>
    <row r="293" spans="1:41">
      <c r="A293" s="78" t="s">
        <v>2181</v>
      </c>
      <c r="B293" s="78" t="s">
        <v>1558</v>
      </c>
      <c r="C293" s="78" t="s">
        <v>366</v>
      </c>
      <c r="D293" s="78" t="s">
        <v>2169</v>
      </c>
      <c r="E293" s="78" t="s">
        <v>2182</v>
      </c>
      <c r="F293" s="78" t="s">
        <v>2069</v>
      </c>
      <c r="G293" s="78" t="s">
        <v>1614</v>
      </c>
      <c r="H293" s="78">
        <v>409</v>
      </c>
      <c r="I293" s="78">
        <v>1.5</v>
      </c>
      <c r="J293" s="78">
        <v>1.1000000000000001</v>
      </c>
      <c r="K293" s="78">
        <v>9.6</v>
      </c>
      <c r="L293" s="78">
        <v>59.5</v>
      </c>
      <c r="M293" s="78" t="s">
        <v>1615</v>
      </c>
      <c r="N293" s="78">
        <v>13.6</v>
      </c>
      <c r="O293" s="78">
        <v>14.7</v>
      </c>
      <c r="P293" s="78">
        <v>5.31</v>
      </c>
      <c r="Q293" s="78">
        <v>6.39</v>
      </c>
      <c r="R293" s="78">
        <v>2.13</v>
      </c>
      <c r="S293" s="78">
        <v>0</v>
      </c>
      <c r="T293" s="78">
        <v>0</v>
      </c>
      <c r="U293" s="78" t="s">
        <v>1615</v>
      </c>
      <c r="V293" s="78" t="s">
        <v>1615</v>
      </c>
      <c r="W293" s="78" t="s">
        <v>1615</v>
      </c>
      <c r="X293" s="78" t="s">
        <v>1615</v>
      </c>
      <c r="Y293" s="78" t="s">
        <v>1615</v>
      </c>
      <c r="Z293" s="78" t="s">
        <v>1615</v>
      </c>
      <c r="AA293" s="78" t="s">
        <v>1615</v>
      </c>
      <c r="AB293" s="78" t="s">
        <v>1615</v>
      </c>
      <c r="AC293" s="78" t="s">
        <v>1615</v>
      </c>
      <c r="AD293" s="78" t="s">
        <v>1615</v>
      </c>
      <c r="AE293" s="78" t="s">
        <v>1615</v>
      </c>
      <c r="AF293" s="78" t="s">
        <v>1615</v>
      </c>
      <c r="AG293" s="78">
        <v>228</v>
      </c>
      <c r="AH293" s="78" t="s">
        <v>1615</v>
      </c>
      <c r="AI293" s="78" t="s">
        <v>1615</v>
      </c>
      <c r="AJ293" s="78" t="s">
        <v>1615</v>
      </c>
      <c r="AK293" s="78" t="s">
        <v>1615</v>
      </c>
      <c r="AL293" s="78" t="s">
        <v>1615</v>
      </c>
      <c r="AM293" s="78" t="s">
        <v>1615</v>
      </c>
      <c r="AN293" s="78" t="s">
        <v>1615</v>
      </c>
      <c r="AO293" s="78" t="s">
        <v>1615</v>
      </c>
    </row>
    <row r="294" spans="1:41">
      <c r="A294" s="78" t="s">
        <v>2183</v>
      </c>
      <c r="B294" s="78" t="s">
        <v>1558</v>
      </c>
      <c r="C294" s="78" t="s">
        <v>366</v>
      </c>
      <c r="D294" s="78" t="s">
        <v>2171</v>
      </c>
      <c r="E294" s="78" t="s">
        <v>2184</v>
      </c>
      <c r="F294" s="78" t="s">
        <v>2069</v>
      </c>
      <c r="G294" s="78" t="s">
        <v>1614</v>
      </c>
      <c r="H294" s="78">
        <v>428</v>
      </c>
      <c r="I294" s="78" t="s">
        <v>1615</v>
      </c>
      <c r="J294" s="78" t="s">
        <v>1615</v>
      </c>
      <c r="K294" s="78">
        <v>9</v>
      </c>
      <c r="L294" s="78">
        <v>73.400000000000006</v>
      </c>
      <c r="M294" s="78">
        <v>1.9</v>
      </c>
      <c r="N294" s="78" t="s">
        <v>1615</v>
      </c>
      <c r="O294" s="78">
        <v>10.4</v>
      </c>
      <c r="P294" s="78">
        <v>4.5999999999999996</v>
      </c>
      <c r="Q294" s="78">
        <v>3.4</v>
      </c>
      <c r="R294" s="78">
        <v>1.5</v>
      </c>
      <c r="S294" s="78">
        <v>0.1</v>
      </c>
      <c r="T294" s="78">
        <v>1</v>
      </c>
      <c r="U294" s="78" t="s">
        <v>1615</v>
      </c>
      <c r="V294" s="78" t="s">
        <v>1615</v>
      </c>
      <c r="W294" s="78" t="s">
        <v>1615</v>
      </c>
      <c r="X294" s="78" t="s">
        <v>1615</v>
      </c>
      <c r="Y294" s="78" t="s">
        <v>1615</v>
      </c>
      <c r="Z294" s="78" t="s">
        <v>1615</v>
      </c>
      <c r="AA294" s="78" t="s">
        <v>1615</v>
      </c>
      <c r="AB294" s="78" t="s">
        <v>1615</v>
      </c>
      <c r="AC294" s="78" t="s">
        <v>1615</v>
      </c>
      <c r="AD294" s="78" t="s">
        <v>1615</v>
      </c>
      <c r="AE294" s="78" t="s">
        <v>1615</v>
      </c>
      <c r="AF294" s="78" t="s">
        <v>1615</v>
      </c>
      <c r="AG294" s="78">
        <v>720</v>
      </c>
      <c r="AH294" s="78" t="s">
        <v>1615</v>
      </c>
      <c r="AI294" s="78" t="s">
        <v>1615</v>
      </c>
      <c r="AJ294" s="78" t="s">
        <v>1615</v>
      </c>
      <c r="AK294" s="78" t="s">
        <v>1615</v>
      </c>
      <c r="AL294" s="78" t="s">
        <v>1615</v>
      </c>
      <c r="AM294" s="78" t="s">
        <v>1615</v>
      </c>
      <c r="AN294" s="78" t="s">
        <v>1615</v>
      </c>
      <c r="AO294" s="78" t="s">
        <v>1615</v>
      </c>
    </row>
    <row r="295" spans="1:41">
      <c r="A295" s="78" t="s">
        <v>2185</v>
      </c>
      <c r="B295" s="78" t="s">
        <v>1558</v>
      </c>
      <c r="C295" s="78" t="s">
        <v>366</v>
      </c>
      <c r="D295" s="78" t="s">
        <v>2173</v>
      </c>
      <c r="E295" s="78" t="s">
        <v>2186</v>
      </c>
      <c r="F295" s="78" t="s">
        <v>2069</v>
      </c>
      <c r="G295" s="78" t="s">
        <v>1614</v>
      </c>
      <c r="H295" s="78">
        <v>453</v>
      </c>
      <c r="I295" s="78">
        <v>3.6</v>
      </c>
      <c r="J295" s="78">
        <v>0.7</v>
      </c>
      <c r="K295" s="78">
        <v>8</v>
      </c>
      <c r="L295" s="78">
        <v>69.7</v>
      </c>
      <c r="M295" s="78" t="s">
        <v>1615</v>
      </c>
      <c r="N295" s="78">
        <v>2.2000000000000002</v>
      </c>
      <c r="O295" s="78">
        <v>15.8</v>
      </c>
      <c r="P295" s="78">
        <v>6.13</v>
      </c>
      <c r="Q295" s="78">
        <v>4.3499999999999996</v>
      </c>
      <c r="R295" s="78">
        <v>1.25</v>
      </c>
      <c r="S295" s="78">
        <v>0</v>
      </c>
      <c r="T295" s="78" t="s">
        <v>1615</v>
      </c>
      <c r="U295" s="78" t="s">
        <v>1615</v>
      </c>
      <c r="V295" s="78" t="s">
        <v>1615</v>
      </c>
      <c r="W295" s="78" t="s">
        <v>1615</v>
      </c>
      <c r="X295" s="78" t="s">
        <v>1615</v>
      </c>
      <c r="Y295" s="78" t="s">
        <v>1615</v>
      </c>
      <c r="Z295" s="78" t="s">
        <v>1615</v>
      </c>
      <c r="AA295" s="78" t="s">
        <v>1615</v>
      </c>
      <c r="AB295" s="78" t="s">
        <v>1615</v>
      </c>
      <c r="AC295" s="78" t="s">
        <v>1615</v>
      </c>
      <c r="AD295" s="78" t="s">
        <v>1615</v>
      </c>
      <c r="AE295" s="78" t="s">
        <v>1615</v>
      </c>
      <c r="AF295" s="78" t="s">
        <v>1615</v>
      </c>
      <c r="AG295" s="78">
        <v>98</v>
      </c>
      <c r="AH295" s="78" t="s">
        <v>1615</v>
      </c>
      <c r="AI295" s="78" t="s">
        <v>1615</v>
      </c>
      <c r="AJ295" s="78" t="s">
        <v>1615</v>
      </c>
      <c r="AK295" s="78" t="s">
        <v>1615</v>
      </c>
      <c r="AL295" s="78" t="s">
        <v>1615</v>
      </c>
      <c r="AM295" s="78" t="s">
        <v>1615</v>
      </c>
      <c r="AN295" s="78" t="s">
        <v>1615</v>
      </c>
      <c r="AO295" s="78" t="s">
        <v>1615</v>
      </c>
    </row>
    <row r="296" spans="1:41">
      <c r="A296" s="78" t="s">
        <v>2187</v>
      </c>
      <c r="B296" s="78" t="s">
        <v>1558</v>
      </c>
      <c r="C296" s="78" t="s">
        <v>366</v>
      </c>
      <c r="D296" s="78" t="s">
        <v>2175</v>
      </c>
      <c r="E296" s="78" t="s">
        <v>2188</v>
      </c>
      <c r="F296" s="78" t="s">
        <v>2069</v>
      </c>
      <c r="G296" s="78" t="s">
        <v>1614</v>
      </c>
      <c r="H296" s="78">
        <v>405</v>
      </c>
      <c r="I296" s="78">
        <v>1.6</v>
      </c>
      <c r="J296" s="78">
        <v>1.2</v>
      </c>
      <c r="K296" s="78">
        <v>7.4</v>
      </c>
      <c r="L296" s="78">
        <v>60.3</v>
      </c>
      <c r="M296" s="78" t="s">
        <v>1615</v>
      </c>
      <c r="N296" s="78">
        <v>14.6</v>
      </c>
      <c r="O296" s="78">
        <v>14.9</v>
      </c>
      <c r="P296" s="78">
        <v>5.32</v>
      </c>
      <c r="Q296" s="78">
        <v>6.46</v>
      </c>
      <c r="R296" s="78">
        <v>2.2000000000000002</v>
      </c>
      <c r="S296" s="78">
        <v>0</v>
      </c>
      <c r="T296" s="78">
        <v>0</v>
      </c>
      <c r="U296" s="78" t="s">
        <v>1615</v>
      </c>
      <c r="V296" s="78" t="s">
        <v>1615</v>
      </c>
      <c r="W296" s="78" t="s">
        <v>1615</v>
      </c>
      <c r="X296" s="78" t="s">
        <v>1615</v>
      </c>
      <c r="Y296" s="78" t="s">
        <v>1615</v>
      </c>
      <c r="Z296" s="78" t="s">
        <v>1615</v>
      </c>
      <c r="AA296" s="78" t="s">
        <v>1615</v>
      </c>
      <c r="AB296" s="78" t="s">
        <v>1615</v>
      </c>
      <c r="AC296" s="78" t="s">
        <v>1615</v>
      </c>
      <c r="AD296" s="78" t="s">
        <v>1615</v>
      </c>
      <c r="AE296" s="78" t="s">
        <v>1615</v>
      </c>
      <c r="AF296" s="78" t="s">
        <v>1615</v>
      </c>
      <c r="AG296" s="78">
        <v>235</v>
      </c>
      <c r="AH296" s="78" t="s">
        <v>1615</v>
      </c>
      <c r="AI296" s="78" t="s">
        <v>1615</v>
      </c>
      <c r="AJ296" s="78" t="s">
        <v>1615</v>
      </c>
      <c r="AK296" s="78" t="s">
        <v>1615</v>
      </c>
      <c r="AL296" s="78" t="s">
        <v>1615</v>
      </c>
      <c r="AM296" s="78" t="s">
        <v>1615</v>
      </c>
      <c r="AN296" s="78" t="s">
        <v>1615</v>
      </c>
      <c r="AO296" s="78" t="s">
        <v>1615</v>
      </c>
    </row>
    <row r="297" spans="1:41">
      <c r="A297" s="78" t="s">
        <v>2189</v>
      </c>
      <c r="B297" s="78" t="s">
        <v>1558</v>
      </c>
      <c r="C297" s="78" t="s">
        <v>366</v>
      </c>
      <c r="D297" s="78" t="s">
        <v>2177</v>
      </c>
      <c r="E297" s="78" t="s">
        <v>2190</v>
      </c>
      <c r="F297" s="78" t="s">
        <v>2069</v>
      </c>
      <c r="G297" s="78" t="s">
        <v>1614</v>
      </c>
      <c r="H297" s="78">
        <v>386</v>
      </c>
      <c r="I297" s="78">
        <v>8</v>
      </c>
      <c r="J297" s="78">
        <v>2.6</v>
      </c>
      <c r="K297" s="78">
        <v>5.7</v>
      </c>
      <c r="L297" s="78">
        <v>72.3</v>
      </c>
      <c r="M297" s="78">
        <v>22.9</v>
      </c>
      <c r="N297" s="78">
        <v>5.7</v>
      </c>
      <c r="O297" s="78">
        <v>5.7</v>
      </c>
      <c r="P297" s="78">
        <v>0</v>
      </c>
      <c r="Q297" s="78">
        <v>1.72</v>
      </c>
      <c r="R297" s="78">
        <v>3.37</v>
      </c>
      <c r="S297" s="78" t="s">
        <v>1615</v>
      </c>
      <c r="T297" s="78">
        <v>0</v>
      </c>
      <c r="U297" s="78">
        <v>0</v>
      </c>
      <c r="V297" s="78">
        <v>0</v>
      </c>
      <c r="W297" s="78">
        <v>0</v>
      </c>
      <c r="X297" s="78">
        <v>0.9</v>
      </c>
      <c r="Y297" s="78" t="s">
        <v>1615</v>
      </c>
      <c r="Z297" s="78">
        <v>0.5</v>
      </c>
      <c r="AA297" s="78" t="s">
        <v>1615</v>
      </c>
      <c r="AB297" s="78">
        <v>3.8</v>
      </c>
      <c r="AC297" s="78">
        <v>0.2</v>
      </c>
      <c r="AD297" s="78" t="s">
        <v>1615</v>
      </c>
      <c r="AE297" s="78">
        <v>0</v>
      </c>
      <c r="AF297" s="78">
        <v>80</v>
      </c>
      <c r="AG297" s="78">
        <v>629</v>
      </c>
      <c r="AH297" s="78">
        <v>171</v>
      </c>
      <c r="AI297" s="78">
        <v>429</v>
      </c>
      <c r="AJ297" s="78">
        <v>163</v>
      </c>
      <c r="AK297" s="78">
        <v>56</v>
      </c>
      <c r="AL297" s="78">
        <v>3.1</v>
      </c>
      <c r="AM297" s="78">
        <v>1.2</v>
      </c>
      <c r="AN297" s="78">
        <v>0.2</v>
      </c>
      <c r="AO297" s="78">
        <v>33.700000000000003</v>
      </c>
    </row>
    <row r="298" spans="1:41">
      <c r="A298" s="78" t="s">
        <v>2191</v>
      </c>
      <c r="B298" s="78" t="s">
        <v>1558</v>
      </c>
      <c r="C298" s="78" t="s">
        <v>366</v>
      </c>
      <c r="D298" s="78" t="s">
        <v>2179</v>
      </c>
      <c r="E298" s="78" t="s">
        <v>2192</v>
      </c>
      <c r="F298" s="78" t="s">
        <v>2069</v>
      </c>
      <c r="G298" s="78" t="s">
        <v>1614</v>
      </c>
      <c r="H298" s="78">
        <v>384</v>
      </c>
      <c r="I298" s="78">
        <v>6.4</v>
      </c>
      <c r="J298" s="78" t="s">
        <v>1615</v>
      </c>
      <c r="K298" s="78">
        <v>8</v>
      </c>
      <c r="L298" s="78">
        <v>71.099999999999994</v>
      </c>
      <c r="M298" s="78" t="s">
        <v>1615</v>
      </c>
      <c r="N298" s="78">
        <v>2.5</v>
      </c>
      <c r="O298" s="78">
        <v>9.4</v>
      </c>
      <c r="P298" s="78">
        <v>2.27</v>
      </c>
      <c r="Q298" s="78">
        <v>4.29</v>
      </c>
      <c r="R298" s="78">
        <v>2.86</v>
      </c>
      <c r="S298" s="78" t="s">
        <v>1615</v>
      </c>
      <c r="T298" s="78">
        <v>0</v>
      </c>
      <c r="U298" s="78">
        <v>0</v>
      </c>
      <c r="V298" s="78">
        <v>0</v>
      </c>
      <c r="W298" s="78" t="s">
        <v>1615</v>
      </c>
      <c r="X298" s="78">
        <v>0</v>
      </c>
      <c r="Y298" s="78">
        <v>2.5</v>
      </c>
      <c r="Z298" s="78">
        <v>0.1</v>
      </c>
      <c r="AA298" s="78" t="s">
        <v>1615</v>
      </c>
      <c r="AB298" s="78">
        <v>3.5</v>
      </c>
      <c r="AC298" s="78">
        <v>0.1</v>
      </c>
      <c r="AD298" s="78">
        <v>0.5</v>
      </c>
      <c r="AE298" s="78">
        <v>0</v>
      </c>
      <c r="AF298" s="78">
        <v>12.9</v>
      </c>
      <c r="AG298" s="78">
        <v>670</v>
      </c>
      <c r="AH298" s="78">
        <v>384</v>
      </c>
      <c r="AI298" s="78">
        <v>40</v>
      </c>
      <c r="AJ298" s="78">
        <v>149</v>
      </c>
      <c r="AK298" s="78">
        <v>42.9</v>
      </c>
      <c r="AL298" s="78">
        <v>3.5</v>
      </c>
      <c r="AM298" s="78">
        <v>0.8</v>
      </c>
      <c r="AN298" s="78">
        <v>0.2</v>
      </c>
      <c r="AO298" s="78">
        <v>11</v>
      </c>
    </row>
    <row r="299" spans="1:41">
      <c r="A299" s="78" t="s">
        <v>2193</v>
      </c>
      <c r="B299" s="78" t="s">
        <v>1558</v>
      </c>
      <c r="C299" s="78" t="s">
        <v>366</v>
      </c>
      <c r="D299" s="78" t="s">
        <v>2181</v>
      </c>
      <c r="E299" s="78" t="s">
        <v>2194</v>
      </c>
      <c r="F299" s="78" t="s">
        <v>2069</v>
      </c>
      <c r="G299" s="78" t="s">
        <v>1614</v>
      </c>
      <c r="H299" s="78">
        <v>363</v>
      </c>
      <c r="I299" s="78" t="s">
        <v>1615</v>
      </c>
      <c r="J299" s="78" t="s">
        <v>1615</v>
      </c>
      <c r="K299" s="78">
        <v>8.4</v>
      </c>
      <c r="L299" s="78">
        <v>77</v>
      </c>
      <c r="M299" s="78">
        <v>0.5</v>
      </c>
      <c r="N299" s="78">
        <v>5.5</v>
      </c>
      <c r="O299" s="78">
        <v>2.4</v>
      </c>
      <c r="P299" s="78">
        <v>0.5</v>
      </c>
      <c r="Q299" s="78" t="s">
        <v>1615</v>
      </c>
      <c r="R299" s="78" t="s">
        <v>1615</v>
      </c>
      <c r="S299" s="78">
        <v>0</v>
      </c>
      <c r="T299" s="78">
        <v>0</v>
      </c>
      <c r="U299" s="78" t="s">
        <v>1615</v>
      </c>
      <c r="V299" s="78" t="s">
        <v>1615</v>
      </c>
      <c r="W299" s="78" t="s">
        <v>1615</v>
      </c>
      <c r="X299" s="78" t="s">
        <v>1615</v>
      </c>
      <c r="Y299" s="78" t="s">
        <v>1615</v>
      </c>
      <c r="Z299" s="78" t="s">
        <v>1615</v>
      </c>
      <c r="AA299" s="78" t="s">
        <v>1615</v>
      </c>
      <c r="AB299" s="78" t="s">
        <v>1615</v>
      </c>
      <c r="AC299" s="78" t="s">
        <v>1615</v>
      </c>
      <c r="AD299" s="78" t="s">
        <v>1615</v>
      </c>
      <c r="AE299" s="78" t="s">
        <v>1615</v>
      </c>
      <c r="AF299" s="78" t="s">
        <v>1615</v>
      </c>
      <c r="AG299" s="78">
        <v>228</v>
      </c>
      <c r="AH299" s="78" t="s">
        <v>1615</v>
      </c>
      <c r="AI299" s="78" t="s">
        <v>1615</v>
      </c>
      <c r="AJ299" s="78" t="s">
        <v>1615</v>
      </c>
      <c r="AK299" s="78" t="s">
        <v>1615</v>
      </c>
      <c r="AL299" s="78" t="s">
        <v>1615</v>
      </c>
      <c r="AM299" s="78" t="s">
        <v>1615</v>
      </c>
      <c r="AN299" s="78" t="s">
        <v>1615</v>
      </c>
      <c r="AO299" s="78" t="s">
        <v>1615</v>
      </c>
    </row>
    <row r="300" spans="1:41">
      <c r="A300" s="78" t="s">
        <v>2195</v>
      </c>
      <c r="B300" s="78" t="s">
        <v>1558</v>
      </c>
      <c r="C300" s="78" t="s">
        <v>366</v>
      </c>
      <c r="D300" s="78" t="s">
        <v>2183</v>
      </c>
      <c r="E300" s="78" t="s">
        <v>2196</v>
      </c>
      <c r="F300" s="78" t="s">
        <v>2069</v>
      </c>
      <c r="G300" s="78" t="s">
        <v>1614</v>
      </c>
      <c r="H300" s="78">
        <v>349</v>
      </c>
      <c r="I300" s="78">
        <v>11</v>
      </c>
      <c r="J300" s="78">
        <v>1.2</v>
      </c>
      <c r="K300" s="78">
        <v>10.9</v>
      </c>
      <c r="L300" s="78">
        <v>63.6</v>
      </c>
      <c r="M300" s="78">
        <v>1.1000000000000001</v>
      </c>
      <c r="N300" s="78">
        <v>11.8</v>
      </c>
      <c r="O300" s="78">
        <v>1.5</v>
      </c>
      <c r="P300" s="78">
        <v>0.18</v>
      </c>
      <c r="Q300" s="78">
        <v>0.19</v>
      </c>
      <c r="R300" s="78">
        <v>0.7</v>
      </c>
      <c r="S300" s="78" t="s">
        <v>1615</v>
      </c>
      <c r="T300" s="78">
        <v>0</v>
      </c>
      <c r="U300" s="78">
        <v>0</v>
      </c>
      <c r="V300" s="78">
        <v>0</v>
      </c>
      <c r="W300" s="78">
        <v>0</v>
      </c>
      <c r="X300" s="78">
        <v>1.4</v>
      </c>
      <c r="Y300" s="78">
        <v>5.9</v>
      </c>
      <c r="Z300" s="78">
        <v>0.3</v>
      </c>
      <c r="AA300" s="78">
        <v>0.1</v>
      </c>
      <c r="AB300" s="78">
        <v>1.7</v>
      </c>
      <c r="AC300" s="78">
        <v>0.3</v>
      </c>
      <c r="AD300" s="78">
        <v>0.5</v>
      </c>
      <c r="AE300" s="78">
        <v>0</v>
      </c>
      <c r="AF300" s="78">
        <v>34</v>
      </c>
      <c r="AG300" s="78">
        <v>2</v>
      </c>
      <c r="AH300" s="78">
        <v>374</v>
      </c>
      <c r="AI300" s="78">
        <v>24</v>
      </c>
      <c r="AJ300" s="78">
        <v>225</v>
      </c>
      <c r="AK300" s="78">
        <v>63</v>
      </c>
      <c r="AL300" s="78">
        <v>2.5</v>
      </c>
      <c r="AM300" s="78">
        <v>2.2000000000000002</v>
      </c>
      <c r="AN300" s="78">
        <v>0.3</v>
      </c>
      <c r="AO300" s="78">
        <v>14.4</v>
      </c>
    </row>
    <row r="301" spans="1:41">
      <c r="A301" s="78" t="s">
        <v>2197</v>
      </c>
      <c r="B301" s="78" t="s">
        <v>1558</v>
      </c>
      <c r="C301" s="78" t="s">
        <v>366</v>
      </c>
      <c r="D301" s="78" t="s">
        <v>2185</v>
      </c>
      <c r="E301" s="78" t="s">
        <v>2198</v>
      </c>
      <c r="F301" s="78" t="s">
        <v>2069</v>
      </c>
      <c r="G301" s="78" t="s">
        <v>1614</v>
      </c>
      <c r="H301" s="78">
        <v>364</v>
      </c>
      <c r="I301" s="78">
        <v>11.9</v>
      </c>
      <c r="J301" s="78">
        <v>0.5</v>
      </c>
      <c r="K301" s="78">
        <v>10.3</v>
      </c>
      <c r="L301" s="78">
        <v>73.599999999999994</v>
      </c>
      <c r="M301" s="78">
        <v>0.3</v>
      </c>
      <c r="N301" s="78">
        <v>2.7</v>
      </c>
      <c r="O301" s="78">
        <v>1</v>
      </c>
      <c r="P301" s="78">
        <v>0.16</v>
      </c>
      <c r="Q301" s="78">
        <v>0.09</v>
      </c>
      <c r="R301" s="78">
        <v>0.41</v>
      </c>
      <c r="S301" s="78" t="s">
        <v>1615</v>
      </c>
      <c r="T301" s="78">
        <v>0</v>
      </c>
      <c r="U301" s="78">
        <v>0</v>
      </c>
      <c r="V301" s="78">
        <v>0</v>
      </c>
      <c r="W301" s="78">
        <v>0</v>
      </c>
      <c r="X301" s="78">
        <v>0.1</v>
      </c>
      <c r="Y301" s="78">
        <v>0.3</v>
      </c>
      <c r="Z301" s="78">
        <v>0.1</v>
      </c>
      <c r="AA301" s="78">
        <v>0</v>
      </c>
      <c r="AB301" s="78">
        <v>1.3</v>
      </c>
      <c r="AC301" s="78">
        <v>0</v>
      </c>
      <c r="AD301" s="78">
        <v>0.4</v>
      </c>
      <c r="AE301" s="78">
        <v>0</v>
      </c>
      <c r="AF301" s="78">
        <v>26</v>
      </c>
      <c r="AG301" s="78">
        <v>2</v>
      </c>
      <c r="AH301" s="78">
        <v>107</v>
      </c>
      <c r="AI301" s="78">
        <v>15</v>
      </c>
      <c r="AJ301" s="78">
        <v>108</v>
      </c>
      <c r="AK301" s="78">
        <v>22</v>
      </c>
      <c r="AL301" s="78">
        <v>1.2</v>
      </c>
      <c r="AM301" s="78">
        <v>0.7</v>
      </c>
      <c r="AN301" s="78">
        <v>0.1</v>
      </c>
      <c r="AO301" s="78">
        <v>33.9</v>
      </c>
    </row>
    <row r="302" spans="1:41">
      <c r="A302" s="78" t="s">
        <v>2199</v>
      </c>
      <c r="B302" s="78" t="s">
        <v>1558</v>
      </c>
      <c r="C302" s="78" t="s">
        <v>366</v>
      </c>
      <c r="D302" s="78" t="s">
        <v>2187</v>
      </c>
      <c r="E302" s="78" t="s">
        <v>2200</v>
      </c>
      <c r="F302" s="78" t="s">
        <v>2069</v>
      </c>
      <c r="G302" s="78" t="s">
        <v>1614</v>
      </c>
      <c r="H302" s="78">
        <v>333</v>
      </c>
      <c r="I302" s="78">
        <v>8.8000000000000007</v>
      </c>
      <c r="J302" s="78">
        <v>0.1</v>
      </c>
      <c r="K302" s="78">
        <v>0.3</v>
      </c>
      <c r="L302" s="78">
        <v>82.7</v>
      </c>
      <c r="M302" s="78" t="s">
        <v>1615</v>
      </c>
      <c r="N302" s="78">
        <v>8</v>
      </c>
      <c r="O302" s="78">
        <v>0.1</v>
      </c>
      <c r="P302" s="78" t="s">
        <v>1615</v>
      </c>
      <c r="Q302" s="78" t="s">
        <v>1615</v>
      </c>
      <c r="R302" s="78" t="s">
        <v>1615</v>
      </c>
      <c r="S302" s="78" t="s">
        <v>1615</v>
      </c>
      <c r="T302" s="78" t="s">
        <v>1615</v>
      </c>
      <c r="U302" s="78" t="s">
        <v>1615</v>
      </c>
      <c r="V302" s="78" t="s">
        <v>1615</v>
      </c>
      <c r="W302" s="78" t="s">
        <v>1615</v>
      </c>
      <c r="X302" s="78" t="s">
        <v>1615</v>
      </c>
      <c r="Y302" s="78" t="s">
        <v>1615</v>
      </c>
      <c r="Z302" s="78" t="s">
        <v>1615</v>
      </c>
      <c r="AA302" s="78" t="s">
        <v>1615</v>
      </c>
      <c r="AB302" s="78" t="s">
        <v>1615</v>
      </c>
      <c r="AC302" s="78" t="s">
        <v>1615</v>
      </c>
      <c r="AD302" s="78" t="s">
        <v>1615</v>
      </c>
      <c r="AE302" s="78" t="s">
        <v>1615</v>
      </c>
      <c r="AF302" s="78" t="s">
        <v>1615</v>
      </c>
      <c r="AG302" s="78">
        <v>17</v>
      </c>
      <c r="AH302" s="78" t="s">
        <v>1615</v>
      </c>
      <c r="AI302" s="78" t="s">
        <v>1615</v>
      </c>
      <c r="AJ302" s="78" t="s">
        <v>1615</v>
      </c>
      <c r="AK302" s="78" t="s">
        <v>1615</v>
      </c>
      <c r="AL302" s="78" t="s">
        <v>1615</v>
      </c>
      <c r="AM302" s="78" t="s">
        <v>1615</v>
      </c>
      <c r="AN302" s="78" t="s">
        <v>1615</v>
      </c>
      <c r="AO302" s="78" t="s">
        <v>1615</v>
      </c>
    </row>
    <row r="303" spans="1:41">
      <c r="A303" s="78" t="s">
        <v>2201</v>
      </c>
      <c r="B303" s="78" t="s">
        <v>1558</v>
      </c>
      <c r="C303" s="78" t="s">
        <v>366</v>
      </c>
      <c r="D303" s="78" t="s">
        <v>2189</v>
      </c>
      <c r="E303" s="78" t="s">
        <v>2202</v>
      </c>
      <c r="F303" s="78" t="s">
        <v>2069</v>
      </c>
      <c r="G303" s="78" t="s">
        <v>1614</v>
      </c>
      <c r="H303" s="78">
        <v>380</v>
      </c>
      <c r="I303" s="78">
        <v>4.7</v>
      </c>
      <c r="J303" s="78">
        <v>1.7</v>
      </c>
      <c r="K303" s="78">
        <v>13.4</v>
      </c>
      <c r="L303" s="78">
        <v>77.400000000000006</v>
      </c>
      <c r="M303" s="78" t="s">
        <v>1615</v>
      </c>
      <c r="N303" s="78">
        <v>0.9</v>
      </c>
      <c r="O303" s="78">
        <v>1.9</v>
      </c>
      <c r="P303" s="78" t="s">
        <v>1615</v>
      </c>
      <c r="Q303" s="78" t="s">
        <v>1615</v>
      </c>
      <c r="R303" s="78" t="s">
        <v>1615</v>
      </c>
      <c r="S303" s="78" t="s">
        <v>1615</v>
      </c>
      <c r="T303" s="78" t="s">
        <v>1615</v>
      </c>
      <c r="U303" s="78" t="s">
        <v>1615</v>
      </c>
      <c r="V303" s="78" t="s">
        <v>1615</v>
      </c>
      <c r="W303" s="78" t="s">
        <v>1615</v>
      </c>
      <c r="X303" s="78" t="s">
        <v>1615</v>
      </c>
      <c r="Y303" s="78" t="s">
        <v>1615</v>
      </c>
      <c r="Z303" s="78">
        <v>0.3</v>
      </c>
      <c r="AA303" s="78">
        <v>0.3</v>
      </c>
      <c r="AB303" s="78">
        <v>9.1</v>
      </c>
      <c r="AC303" s="78" t="s">
        <v>1615</v>
      </c>
      <c r="AD303" s="78" t="s">
        <v>1615</v>
      </c>
      <c r="AE303" s="78" t="s">
        <v>1615</v>
      </c>
      <c r="AF303" s="78" t="s">
        <v>1615</v>
      </c>
      <c r="AG303" s="78" t="s">
        <v>1615</v>
      </c>
      <c r="AH303" s="78" t="s">
        <v>1615</v>
      </c>
      <c r="AI303" s="78">
        <v>62</v>
      </c>
      <c r="AJ303" s="78">
        <v>292</v>
      </c>
      <c r="AK303" s="78" t="s">
        <v>1615</v>
      </c>
      <c r="AL303" s="78">
        <v>3.2</v>
      </c>
      <c r="AM303" s="78" t="s">
        <v>1615</v>
      </c>
      <c r="AN303" s="78" t="s">
        <v>1615</v>
      </c>
      <c r="AO303" s="78" t="s">
        <v>1615</v>
      </c>
    </row>
    <row r="304" spans="1:41">
      <c r="A304" s="78" t="s">
        <v>2203</v>
      </c>
      <c r="B304" s="78" t="s">
        <v>1558</v>
      </c>
      <c r="C304" s="78" t="s">
        <v>366</v>
      </c>
      <c r="D304" s="78" t="s">
        <v>2191</v>
      </c>
      <c r="E304" s="78" t="s">
        <v>2204</v>
      </c>
      <c r="F304" s="78" t="s">
        <v>2069</v>
      </c>
      <c r="G304" s="78" t="s">
        <v>1614</v>
      </c>
      <c r="H304" s="78">
        <v>361</v>
      </c>
      <c r="I304" s="78">
        <v>10.9</v>
      </c>
      <c r="J304" s="78">
        <v>1.5</v>
      </c>
      <c r="K304" s="78">
        <v>6.9</v>
      </c>
      <c r="L304" s="78">
        <v>69.599999999999994</v>
      </c>
      <c r="M304" s="78">
        <v>0.6</v>
      </c>
      <c r="N304" s="78">
        <v>7.3</v>
      </c>
      <c r="O304" s="78">
        <v>3.9</v>
      </c>
      <c r="P304" s="78">
        <v>0.54</v>
      </c>
      <c r="Q304" s="78">
        <v>1.02</v>
      </c>
      <c r="R304" s="78">
        <v>1.76</v>
      </c>
      <c r="S304" s="78" t="s">
        <v>1615</v>
      </c>
      <c r="T304" s="78">
        <v>0</v>
      </c>
      <c r="U304" s="78">
        <v>11</v>
      </c>
      <c r="V304" s="78">
        <v>0</v>
      </c>
      <c r="W304" s="78">
        <v>0</v>
      </c>
      <c r="X304" s="78">
        <v>0.4</v>
      </c>
      <c r="Y304" s="78">
        <v>0.3</v>
      </c>
      <c r="Z304" s="78">
        <v>0.2</v>
      </c>
      <c r="AA304" s="78">
        <v>0.1</v>
      </c>
      <c r="AB304" s="78">
        <v>1.9</v>
      </c>
      <c r="AC304" s="78">
        <v>0.4</v>
      </c>
      <c r="AD304" s="78">
        <v>0.7</v>
      </c>
      <c r="AE304" s="78">
        <v>0</v>
      </c>
      <c r="AF304" s="78">
        <v>25</v>
      </c>
      <c r="AG304" s="78">
        <v>5</v>
      </c>
      <c r="AH304" s="78">
        <v>315</v>
      </c>
      <c r="AI304" s="78">
        <v>7</v>
      </c>
      <c r="AJ304" s="78">
        <v>272</v>
      </c>
      <c r="AK304" s="78">
        <v>93</v>
      </c>
      <c r="AL304" s="78">
        <v>2.4</v>
      </c>
      <c r="AM304" s="78">
        <v>1.7</v>
      </c>
      <c r="AN304" s="78">
        <v>0.2</v>
      </c>
      <c r="AO304" s="78">
        <v>15.4</v>
      </c>
    </row>
    <row r="305" spans="1:41">
      <c r="A305" s="78" t="s">
        <v>2205</v>
      </c>
      <c r="B305" s="78" t="s">
        <v>1558</v>
      </c>
      <c r="C305" s="78" t="s">
        <v>366</v>
      </c>
      <c r="D305" s="78" t="s">
        <v>2193</v>
      </c>
      <c r="E305" s="78" t="s">
        <v>2206</v>
      </c>
      <c r="F305" s="78" t="s">
        <v>2069</v>
      </c>
      <c r="G305" s="78" t="s">
        <v>1614</v>
      </c>
      <c r="H305" s="78">
        <v>351</v>
      </c>
      <c r="I305" s="78">
        <v>7.6</v>
      </c>
      <c r="J305" s="78">
        <v>3.7</v>
      </c>
      <c r="K305" s="78">
        <v>8</v>
      </c>
      <c r="L305" s="78">
        <v>78.900000000000006</v>
      </c>
      <c r="M305" s="78">
        <v>0.15</v>
      </c>
      <c r="N305" s="78">
        <v>1.1000000000000001</v>
      </c>
      <c r="O305" s="78">
        <v>0.8</v>
      </c>
      <c r="P305" s="78">
        <v>0.21</v>
      </c>
      <c r="Q305" s="78">
        <v>0.02</v>
      </c>
      <c r="R305" s="78">
        <v>0.35</v>
      </c>
      <c r="S305" s="78" t="s">
        <v>1615</v>
      </c>
      <c r="T305" s="78">
        <v>0</v>
      </c>
      <c r="U305" s="78">
        <v>0</v>
      </c>
      <c r="V305" s="78">
        <v>19</v>
      </c>
      <c r="W305" s="78" t="s">
        <v>1615</v>
      </c>
      <c r="X305" s="78">
        <v>0.2</v>
      </c>
      <c r="Y305" s="78" t="s">
        <v>1615</v>
      </c>
      <c r="Z305" s="78">
        <v>0.4</v>
      </c>
      <c r="AA305" s="78">
        <v>0.1</v>
      </c>
      <c r="AB305" s="78">
        <v>3.4</v>
      </c>
      <c r="AC305" s="78">
        <v>0</v>
      </c>
      <c r="AD305" s="78">
        <v>1.5</v>
      </c>
      <c r="AE305" s="78">
        <v>0</v>
      </c>
      <c r="AF305" s="78">
        <v>50.6</v>
      </c>
      <c r="AG305" s="78">
        <v>34</v>
      </c>
      <c r="AH305" s="78">
        <v>1588</v>
      </c>
      <c r="AI305" s="78">
        <v>33</v>
      </c>
      <c r="AJ305" s="78">
        <v>178</v>
      </c>
      <c r="AK305" s="78">
        <v>87.7</v>
      </c>
      <c r="AL305" s="78">
        <v>17.2</v>
      </c>
      <c r="AM305" s="78">
        <v>1.6</v>
      </c>
      <c r="AN305" s="78">
        <v>1.1000000000000001</v>
      </c>
      <c r="AO305" s="78">
        <v>2.8</v>
      </c>
    </row>
    <row r="306" spans="1:41">
      <c r="A306" s="78" t="s">
        <v>2207</v>
      </c>
      <c r="B306" s="78" t="s">
        <v>1558</v>
      </c>
      <c r="C306" s="78" t="s">
        <v>366</v>
      </c>
      <c r="D306" s="78" t="s">
        <v>2195</v>
      </c>
      <c r="E306" s="78" t="s">
        <v>2208</v>
      </c>
      <c r="F306" s="78" t="s">
        <v>2069</v>
      </c>
      <c r="G306" s="78" t="s">
        <v>1614</v>
      </c>
      <c r="H306" s="78">
        <v>381</v>
      </c>
      <c r="I306" s="78">
        <v>8.3000000000000007</v>
      </c>
      <c r="J306" s="78">
        <v>0.1</v>
      </c>
      <c r="K306" s="78">
        <v>0.3</v>
      </c>
      <c r="L306" s="78">
        <v>90.4</v>
      </c>
      <c r="M306" s="78">
        <v>0</v>
      </c>
      <c r="N306" s="78">
        <v>0.9</v>
      </c>
      <c r="O306" s="78">
        <v>0.1</v>
      </c>
      <c r="P306" s="78">
        <v>0.01</v>
      </c>
      <c r="Q306" s="78">
        <v>0.02</v>
      </c>
      <c r="R306" s="78">
        <v>0.03</v>
      </c>
      <c r="S306" s="78" t="s">
        <v>1615</v>
      </c>
      <c r="T306" s="78">
        <v>0</v>
      </c>
      <c r="U306" s="78">
        <v>0</v>
      </c>
      <c r="V306" s="78">
        <v>0</v>
      </c>
      <c r="W306" s="78">
        <v>0</v>
      </c>
      <c r="X306" s="78">
        <v>0</v>
      </c>
      <c r="Y306" s="78">
        <v>0</v>
      </c>
      <c r="Z306" s="78">
        <v>0</v>
      </c>
      <c r="AA306" s="78">
        <v>0</v>
      </c>
      <c r="AB306" s="78">
        <v>0</v>
      </c>
      <c r="AC306" s="78">
        <v>0</v>
      </c>
      <c r="AD306" s="78">
        <v>0</v>
      </c>
      <c r="AE306" s="78">
        <v>0</v>
      </c>
      <c r="AF306" s="78">
        <v>0</v>
      </c>
      <c r="AG306" s="78">
        <v>9</v>
      </c>
      <c r="AH306" s="78">
        <v>3</v>
      </c>
      <c r="AI306" s="78">
        <v>2</v>
      </c>
      <c r="AJ306" s="78">
        <v>13</v>
      </c>
      <c r="AK306" s="78">
        <v>3</v>
      </c>
      <c r="AL306" s="78">
        <v>0.5</v>
      </c>
      <c r="AM306" s="78">
        <v>0.1</v>
      </c>
      <c r="AN306" s="78">
        <v>0.1</v>
      </c>
      <c r="AO306" s="78">
        <v>2.8</v>
      </c>
    </row>
    <row r="307" spans="1:41">
      <c r="A307" s="78" t="s">
        <v>2209</v>
      </c>
      <c r="B307" s="78" t="s">
        <v>1558</v>
      </c>
      <c r="C307" s="78" t="s">
        <v>366</v>
      </c>
      <c r="D307" s="78" t="s">
        <v>2197</v>
      </c>
      <c r="E307" s="78" t="s">
        <v>2210</v>
      </c>
      <c r="F307" s="78" t="s">
        <v>2069</v>
      </c>
      <c r="G307" s="78" t="s">
        <v>1614</v>
      </c>
      <c r="H307" s="78">
        <v>360</v>
      </c>
      <c r="I307" s="78">
        <v>12.7</v>
      </c>
      <c r="J307" s="78">
        <v>0.8</v>
      </c>
      <c r="K307" s="78">
        <v>12.7</v>
      </c>
      <c r="L307" s="78">
        <v>68.900000000000006</v>
      </c>
      <c r="M307" s="78" t="s">
        <v>1615</v>
      </c>
      <c r="N307" s="78">
        <v>3.9</v>
      </c>
      <c r="O307" s="78">
        <v>1.1000000000000001</v>
      </c>
      <c r="P307" s="78">
        <v>0.15</v>
      </c>
      <c r="Q307" s="78">
        <v>0.12</v>
      </c>
      <c r="R307" s="78">
        <v>0.43</v>
      </c>
      <c r="S307" s="78" t="s">
        <v>1615</v>
      </c>
      <c r="T307" s="78">
        <v>0</v>
      </c>
      <c r="U307" s="78">
        <v>0</v>
      </c>
      <c r="V307" s="78">
        <v>0</v>
      </c>
      <c r="W307" s="78">
        <v>0</v>
      </c>
      <c r="X307" s="78" t="s">
        <v>1615</v>
      </c>
      <c r="Y307" s="78" t="s">
        <v>1615</v>
      </c>
      <c r="Z307" s="78">
        <v>0.3</v>
      </c>
      <c r="AA307" s="78">
        <v>0.1</v>
      </c>
      <c r="AB307" s="78">
        <v>3.3</v>
      </c>
      <c r="AC307" s="78">
        <v>0.1</v>
      </c>
      <c r="AD307" s="78">
        <v>0.6</v>
      </c>
      <c r="AE307" s="78">
        <v>0</v>
      </c>
      <c r="AF307" s="78">
        <v>72</v>
      </c>
      <c r="AG307" s="78">
        <v>1</v>
      </c>
      <c r="AH307" s="78">
        <v>186</v>
      </c>
      <c r="AI307" s="78">
        <v>17</v>
      </c>
      <c r="AJ307" s="78">
        <v>136</v>
      </c>
      <c r="AK307" s="78">
        <v>47</v>
      </c>
      <c r="AL307" s="78">
        <v>1.2</v>
      </c>
      <c r="AM307" s="78">
        <v>1.1000000000000001</v>
      </c>
      <c r="AN307" s="78">
        <v>0.2</v>
      </c>
      <c r="AO307" s="78" t="s">
        <v>1615</v>
      </c>
    </row>
    <row r="308" spans="1:41">
      <c r="A308" s="78" t="s">
        <v>2211</v>
      </c>
      <c r="B308" s="78" t="s">
        <v>1558</v>
      </c>
      <c r="C308" s="78" t="s">
        <v>366</v>
      </c>
      <c r="D308" s="78" t="s">
        <v>2199</v>
      </c>
      <c r="E308" s="78" t="s">
        <v>2212</v>
      </c>
      <c r="F308" s="78" t="s">
        <v>2069</v>
      </c>
      <c r="G308" s="78" t="s">
        <v>1614</v>
      </c>
      <c r="H308" s="78">
        <v>342</v>
      </c>
      <c r="I308" s="78" t="s">
        <v>1615</v>
      </c>
      <c r="J308" s="78" t="s">
        <v>1615</v>
      </c>
      <c r="K308" s="78">
        <v>12</v>
      </c>
      <c r="L308" s="78">
        <v>69</v>
      </c>
      <c r="M308" s="78">
        <v>4</v>
      </c>
      <c r="N308" s="78" t="s">
        <v>1615</v>
      </c>
      <c r="O308" s="78">
        <v>2</v>
      </c>
      <c r="P308" s="78">
        <v>0.3</v>
      </c>
      <c r="Q308" s="78" t="s">
        <v>1615</v>
      </c>
      <c r="R308" s="78" t="s">
        <v>1615</v>
      </c>
      <c r="S308" s="78" t="s">
        <v>1615</v>
      </c>
      <c r="T308" s="78">
        <v>0</v>
      </c>
      <c r="U308" s="78" t="s">
        <v>1615</v>
      </c>
      <c r="V308" s="78" t="s">
        <v>1615</v>
      </c>
      <c r="W308" s="78" t="s">
        <v>1615</v>
      </c>
      <c r="X308" s="78" t="s">
        <v>1615</v>
      </c>
      <c r="Y308" s="78" t="s">
        <v>1615</v>
      </c>
      <c r="Z308" s="78" t="s">
        <v>1615</v>
      </c>
      <c r="AA308" s="78" t="s">
        <v>1615</v>
      </c>
      <c r="AB308" s="78" t="s">
        <v>1615</v>
      </c>
      <c r="AC308" s="78" t="s">
        <v>1615</v>
      </c>
      <c r="AD308" s="78" t="s">
        <v>1615</v>
      </c>
      <c r="AE308" s="78" t="s">
        <v>1615</v>
      </c>
      <c r="AF308" s="78" t="s">
        <v>1615</v>
      </c>
      <c r="AG308" s="78">
        <v>5</v>
      </c>
      <c r="AH308" s="78" t="s">
        <v>1615</v>
      </c>
      <c r="AI308" s="78" t="s">
        <v>1615</v>
      </c>
      <c r="AJ308" s="78" t="s">
        <v>1615</v>
      </c>
      <c r="AK308" s="78" t="s">
        <v>1615</v>
      </c>
      <c r="AL308" s="78" t="s">
        <v>1615</v>
      </c>
      <c r="AM308" s="78" t="s">
        <v>1615</v>
      </c>
      <c r="AN308" s="78" t="s">
        <v>1615</v>
      </c>
      <c r="AO308" s="78" t="s">
        <v>1615</v>
      </c>
    </row>
    <row r="309" spans="1:41">
      <c r="A309" s="78" t="s">
        <v>2213</v>
      </c>
      <c r="B309" s="78" t="s">
        <v>1558</v>
      </c>
      <c r="C309" s="78" t="s">
        <v>366</v>
      </c>
      <c r="D309" s="78" t="s">
        <v>2201</v>
      </c>
      <c r="E309" s="78" t="s">
        <v>2214</v>
      </c>
      <c r="F309" s="78" t="s">
        <v>2069</v>
      </c>
      <c r="G309" s="78" t="s">
        <v>1614</v>
      </c>
      <c r="H309" s="78">
        <v>358</v>
      </c>
      <c r="I309" s="78">
        <v>11</v>
      </c>
      <c r="J309" s="78">
        <v>0.1</v>
      </c>
      <c r="K309" s="78">
        <v>0.2</v>
      </c>
      <c r="L309" s="78">
        <v>87.8</v>
      </c>
      <c r="M309" s="78">
        <v>3.4</v>
      </c>
      <c r="N309" s="78">
        <v>0.9</v>
      </c>
      <c r="O309" s="78">
        <v>0</v>
      </c>
      <c r="P309" s="78">
        <v>0.01</v>
      </c>
      <c r="Q309" s="78">
        <v>0.01</v>
      </c>
      <c r="R309" s="78">
        <v>0</v>
      </c>
      <c r="S309" s="78" t="s">
        <v>1615</v>
      </c>
      <c r="T309" s="78">
        <v>0</v>
      </c>
      <c r="U309" s="78">
        <v>0</v>
      </c>
      <c r="V309" s="78">
        <v>0</v>
      </c>
      <c r="W309" s="78">
        <v>0</v>
      </c>
      <c r="X309" s="78">
        <v>0</v>
      </c>
      <c r="Y309" s="78">
        <v>0</v>
      </c>
      <c r="Z309" s="78">
        <v>0</v>
      </c>
      <c r="AA309" s="78">
        <v>0</v>
      </c>
      <c r="AB309" s="78">
        <v>0</v>
      </c>
      <c r="AC309" s="78">
        <v>0</v>
      </c>
      <c r="AD309" s="78">
        <v>0.1</v>
      </c>
      <c r="AE309" s="78">
        <v>0</v>
      </c>
      <c r="AF309" s="78">
        <v>4</v>
      </c>
      <c r="AG309" s="78">
        <v>1</v>
      </c>
      <c r="AH309" s="78">
        <v>11</v>
      </c>
      <c r="AI309" s="78">
        <v>20</v>
      </c>
      <c r="AJ309" s="78">
        <v>7</v>
      </c>
      <c r="AK309" s="78">
        <v>1</v>
      </c>
      <c r="AL309" s="78">
        <v>1.6</v>
      </c>
      <c r="AM309" s="78">
        <v>0.1</v>
      </c>
      <c r="AN309" s="78">
        <v>0</v>
      </c>
      <c r="AO309" s="78">
        <v>0.8</v>
      </c>
    </row>
    <row r="310" spans="1:41">
      <c r="A310" s="78" t="s">
        <v>2215</v>
      </c>
      <c r="B310" s="78" t="s">
        <v>1558</v>
      </c>
      <c r="C310" s="78" t="s">
        <v>366</v>
      </c>
      <c r="D310" s="78" t="s">
        <v>2203</v>
      </c>
      <c r="E310" s="78" t="s">
        <v>2216</v>
      </c>
      <c r="F310" s="78" t="s">
        <v>524</v>
      </c>
      <c r="G310" s="78" t="s">
        <v>1614</v>
      </c>
      <c r="H310" s="78">
        <v>131</v>
      </c>
      <c r="I310" s="78">
        <v>66.099999999999994</v>
      </c>
      <c r="J310" s="78">
        <v>1</v>
      </c>
      <c r="K310" s="78">
        <v>1.6</v>
      </c>
      <c r="L310" s="78">
        <v>30.2</v>
      </c>
      <c r="M310" s="78" t="s">
        <v>1615</v>
      </c>
      <c r="N310" s="78" t="s">
        <v>1615</v>
      </c>
      <c r="O310" s="78">
        <v>0.4</v>
      </c>
      <c r="P310" s="78" t="s">
        <v>1615</v>
      </c>
      <c r="Q310" s="78" t="s">
        <v>1615</v>
      </c>
      <c r="R310" s="78" t="s">
        <v>1615</v>
      </c>
      <c r="S310" s="78" t="s">
        <v>1615</v>
      </c>
      <c r="T310" s="78">
        <v>0</v>
      </c>
      <c r="U310" s="78" t="s">
        <v>1615</v>
      </c>
      <c r="V310" s="78" t="s">
        <v>1615</v>
      </c>
      <c r="W310" s="78" t="s">
        <v>1615</v>
      </c>
      <c r="X310" s="78" t="s">
        <v>1615</v>
      </c>
      <c r="Y310" s="78" t="s">
        <v>1615</v>
      </c>
      <c r="Z310" s="78" t="s">
        <v>1615</v>
      </c>
      <c r="AA310" s="78" t="s">
        <v>1615</v>
      </c>
      <c r="AB310" s="78" t="s">
        <v>1615</v>
      </c>
      <c r="AC310" s="78" t="s">
        <v>1615</v>
      </c>
      <c r="AD310" s="78" t="s">
        <v>1615</v>
      </c>
      <c r="AE310" s="78" t="s">
        <v>1615</v>
      </c>
      <c r="AF310" s="78" t="s">
        <v>1615</v>
      </c>
      <c r="AG310" s="78" t="s">
        <v>1615</v>
      </c>
      <c r="AH310" s="78" t="s">
        <v>1615</v>
      </c>
      <c r="AI310" s="78">
        <v>41</v>
      </c>
      <c r="AJ310" s="78">
        <v>21</v>
      </c>
      <c r="AK310" s="78" t="s">
        <v>1615</v>
      </c>
      <c r="AL310" s="78">
        <v>8</v>
      </c>
      <c r="AM310" s="78" t="s">
        <v>1615</v>
      </c>
      <c r="AN310" s="78" t="s">
        <v>1615</v>
      </c>
      <c r="AO310" s="78" t="s">
        <v>1615</v>
      </c>
    </row>
    <row r="311" spans="1:41">
      <c r="A311" s="78" t="s">
        <v>2217</v>
      </c>
      <c r="B311" s="78" t="s">
        <v>1558</v>
      </c>
      <c r="C311" s="78" t="s">
        <v>366</v>
      </c>
      <c r="D311" s="78" t="s">
        <v>2205</v>
      </c>
      <c r="E311" s="78" t="s">
        <v>2218</v>
      </c>
      <c r="F311" s="78" t="s">
        <v>524</v>
      </c>
      <c r="G311" s="78" t="s">
        <v>1614</v>
      </c>
      <c r="H311" s="78">
        <v>89</v>
      </c>
      <c r="I311" s="78">
        <v>76.7</v>
      </c>
      <c r="J311" s="78">
        <v>1.3</v>
      </c>
      <c r="K311" s="78">
        <v>2.2999999999999998</v>
      </c>
      <c r="L311" s="78">
        <v>17.8</v>
      </c>
      <c r="M311" s="78">
        <v>1.4</v>
      </c>
      <c r="N311" s="78">
        <v>1.8</v>
      </c>
      <c r="O311" s="78">
        <v>0.2</v>
      </c>
      <c r="P311" s="78">
        <v>0.03</v>
      </c>
      <c r="Q311" s="78">
        <v>0</v>
      </c>
      <c r="R311" s="78">
        <v>0.04</v>
      </c>
      <c r="S311" s="78" t="s">
        <v>1615</v>
      </c>
      <c r="T311" s="78">
        <v>0</v>
      </c>
      <c r="U311" s="78">
        <v>1</v>
      </c>
      <c r="V311" s="78">
        <v>12.6</v>
      </c>
      <c r="W311" s="78">
        <v>0</v>
      </c>
      <c r="X311" s="78">
        <v>0.1</v>
      </c>
      <c r="Y311" s="78">
        <v>2.8</v>
      </c>
      <c r="Z311" s="78">
        <v>0.1</v>
      </c>
      <c r="AA311" s="78" t="s">
        <v>1615</v>
      </c>
      <c r="AB311" s="78">
        <v>1.6</v>
      </c>
      <c r="AC311" s="78">
        <v>0.2</v>
      </c>
      <c r="AD311" s="78">
        <v>0.3</v>
      </c>
      <c r="AE311" s="78">
        <v>0</v>
      </c>
      <c r="AF311" s="78">
        <v>27</v>
      </c>
      <c r="AG311" s="78">
        <v>12</v>
      </c>
      <c r="AH311" s="78">
        <v>545</v>
      </c>
      <c r="AI311" s="78">
        <v>9</v>
      </c>
      <c r="AJ311" s="78">
        <v>72</v>
      </c>
      <c r="AK311" s="78">
        <v>28</v>
      </c>
      <c r="AL311" s="78">
        <v>0.7</v>
      </c>
      <c r="AM311" s="78">
        <v>0.4</v>
      </c>
      <c r="AN311" s="78">
        <v>0.2</v>
      </c>
      <c r="AO311" s="78" t="s">
        <v>1615</v>
      </c>
    </row>
    <row r="312" spans="1:41">
      <c r="A312" s="78" t="s">
        <v>2219</v>
      </c>
      <c r="B312" s="78" t="s">
        <v>1558</v>
      </c>
      <c r="C312" s="78" t="s">
        <v>366</v>
      </c>
      <c r="D312" s="78" t="s">
        <v>2207</v>
      </c>
      <c r="E312" s="78" t="s">
        <v>2220</v>
      </c>
      <c r="F312" s="78" t="s">
        <v>524</v>
      </c>
      <c r="G312" s="78" t="s">
        <v>1614</v>
      </c>
      <c r="H312" s="78">
        <v>80</v>
      </c>
      <c r="I312" s="78">
        <v>78.7</v>
      </c>
      <c r="J312" s="78">
        <v>0.9</v>
      </c>
      <c r="K312" s="78">
        <v>3.1</v>
      </c>
      <c r="L312" s="78">
        <v>16.5</v>
      </c>
      <c r="M312" s="78" t="s">
        <v>1615</v>
      </c>
      <c r="N312" s="78" t="s">
        <v>1615</v>
      </c>
      <c r="O312" s="78">
        <v>0.2</v>
      </c>
      <c r="P312" s="78" t="s">
        <v>1615</v>
      </c>
      <c r="Q312" s="78" t="s">
        <v>1615</v>
      </c>
      <c r="R312" s="78" t="s">
        <v>1615</v>
      </c>
      <c r="S312" s="78" t="s">
        <v>1615</v>
      </c>
      <c r="T312" s="78" t="s">
        <v>1615</v>
      </c>
      <c r="U312" s="78" t="s">
        <v>1615</v>
      </c>
      <c r="V312" s="78">
        <v>27.8</v>
      </c>
      <c r="W312" s="78" t="s">
        <v>1615</v>
      </c>
      <c r="X312" s="78" t="s">
        <v>1615</v>
      </c>
      <c r="Y312" s="78" t="s">
        <v>1615</v>
      </c>
      <c r="Z312" s="78">
        <v>0.1</v>
      </c>
      <c r="AA312" s="78">
        <v>0</v>
      </c>
      <c r="AB312" s="78">
        <v>1.4</v>
      </c>
      <c r="AC312" s="78" t="s">
        <v>1615</v>
      </c>
      <c r="AD312" s="78" t="s">
        <v>1615</v>
      </c>
      <c r="AE312" s="78" t="s">
        <v>1615</v>
      </c>
      <c r="AF312" s="78" t="s">
        <v>1615</v>
      </c>
      <c r="AG312" s="78">
        <v>7</v>
      </c>
      <c r="AH312" s="78">
        <v>419</v>
      </c>
      <c r="AI312" s="78">
        <v>11</v>
      </c>
      <c r="AJ312" s="78">
        <v>51</v>
      </c>
      <c r="AK312" s="78" t="s">
        <v>1615</v>
      </c>
      <c r="AL312" s="78">
        <v>1.1000000000000001</v>
      </c>
      <c r="AM312" s="78" t="s">
        <v>1615</v>
      </c>
      <c r="AN312" s="78" t="s">
        <v>1615</v>
      </c>
      <c r="AO312" s="78" t="s">
        <v>1615</v>
      </c>
    </row>
    <row r="313" spans="1:41">
      <c r="A313" s="78" t="s">
        <v>2221</v>
      </c>
      <c r="B313" s="78" t="s">
        <v>1558</v>
      </c>
      <c r="C313" s="78" t="s">
        <v>366</v>
      </c>
      <c r="D313" s="78" t="s">
        <v>2209</v>
      </c>
      <c r="E313" s="78" t="s">
        <v>2222</v>
      </c>
      <c r="F313" s="78" t="s">
        <v>524</v>
      </c>
      <c r="G313" s="78" t="s">
        <v>1614</v>
      </c>
      <c r="H313" s="78">
        <v>79</v>
      </c>
      <c r="I313" s="78">
        <v>78.599999999999994</v>
      </c>
      <c r="J313" s="78">
        <v>1.1000000000000001</v>
      </c>
      <c r="K313" s="78">
        <v>2.1</v>
      </c>
      <c r="L313" s="78">
        <v>16.8</v>
      </c>
      <c r="M313" s="78">
        <v>0.6</v>
      </c>
      <c r="N313" s="78">
        <v>1.3</v>
      </c>
      <c r="O313" s="78">
        <v>0.1</v>
      </c>
      <c r="P313" s="78">
        <v>0.03</v>
      </c>
      <c r="Q313" s="78">
        <v>0</v>
      </c>
      <c r="R313" s="78">
        <v>0.04</v>
      </c>
      <c r="S313" s="78" t="s">
        <v>1615</v>
      </c>
      <c r="T313" s="78">
        <v>0</v>
      </c>
      <c r="U313" s="78">
        <v>0</v>
      </c>
      <c r="V313" s="78">
        <v>5.7</v>
      </c>
      <c r="W313" s="78">
        <v>0</v>
      </c>
      <c r="X313" s="78">
        <v>0</v>
      </c>
      <c r="Y313" s="78">
        <v>1.8</v>
      </c>
      <c r="Z313" s="78">
        <v>0.1</v>
      </c>
      <c r="AA313" s="78">
        <v>0</v>
      </c>
      <c r="AB313" s="78">
        <v>1</v>
      </c>
      <c r="AC313" s="78">
        <v>0.3</v>
      </c>
      <c r="AD313" s="78">
        <v>0.3</v>
      </c>
      <c r="AE313" s="78">
        <v>0</v>
      </c>
      <c r="AF313" s="78">
        <v>14</v>
      </c>
      <c r="AG313" s="78">
        <v>5</v>
      </c>
      <c r="AH313" s="78">
        <v>417</v>
      </c>
      <c r="AI313" s="78">
        <v>13</v>
      </c>
      <c r="AJ313" s="78">
        <v>55</v>
      </c>
      <c r="AK313" s="78">
        <v>23</v>
      </c>
      <c r="AL313" s="78">
        <v>0.9</v>
      </c>
      <c r="AM313" s="78">
        <v>0.3</v>
      </c>
      <c r="AN313" s="78">
        <v>0.1</v>
      </c>
      <c r="AO313" s="78">
        <v>0.4</v>
      </c>
    </row>
    <row r="314" spans="1:41">
      <c r="A314" s="78" t="s">
        <v>2223</v>
      </c>
      <c r="B314" s="78" t="s">
        <v>1558</v>
      </c>
      <c r="C314" s="78" t="s">
        <v>366</v>
      </c>
      <c r="D314" s="78" t="s">
        <v>2211</v>
      </c>
      <c r="E314" s="78" t="s">
        <v>2224</v>
      </c>
      <c r="F314" s="78" t="s">
        <v>2225</v>
      </c>
      <c r="G314" s="78" t="s">
        <v>1614</v>
      </c>
      <c r="H314" s="78">
        <v>884</v>
      </c>
      <c r="I314" s="78">
        <v>0</v>
      </c>
      <c r="J314" s="78">
        <v>0</v>
      </c>
      <c r="K314" s="78">
        <v>0</v>
      </c>
      <c r="L314" s="78">
        <v>0</v>
      </c>
      <c r="M314" s="78">
        <v>0</v>
      </c>
      <c r="N314" s="78">
        <v>0</v>
      </c>
      <c r="O314" s="78">
        <v>100</v>
      </c>
      <c r="P314" s="78">
        <v>7.76</v>
      </c>
      <c r="Q314" s="78">
        <v>61.15</v>
      </c>
      <c r="R314" s="78">
        <v>26.4</v>
      </c>
      <c r="S314" s="78" t="s">
        <v>1615</v>
      </c>
      <c r="T314" s="78">
        <v>0</v>
      </c>
      <c r="U314" s="78">
        <v>0</v>
      </c>
      <c r="V314" s="78">
        <v>0</v>
      </c>
      <c r="W314" s="78" t="s">
        <v>1615</v>
      </c>
      <c r="X314" s="78">
        <v>17.5</v>
      </c>
      <c r="Y314" s="78">
        <v>71.3</v>
      </c>
      <c r="Z314" s="78">
        <v>0</v>
      </c>
      <c r="AA314" s="78">
        <v>0</v>
      </c>
      <c r="AB314" s="78">
        <v>0</v>
      </c>
      <c r="AC314" s="78">
        <v>0</v>
      </c>
      <c r="AD314" s="78">
        <v>0</v>
      </c>
      <c r="AE314" s="78">
        <v>0</v>
      </c>
      <c r="AF314" s="78">
        <v>0</v>
      </c>
      <c r="AG314" s="78">
        <v>0</v>
      </c>
      <c r="AH314" s="78">
        <v>0</v>
      </c>
      <c r="AI314" s="78">
        <v>0</v>
      </c>
      <c r="AJ314" s="78">
        <v>0</v>
      </c>
      <c r="AK314" s="78">
        <v>0</v>
      </c>
      <c r="AL314" s="78">
        <v>0</v>
      </c>
      <c r="AM314" s="78">
        <v>0</v>
      </c>
      <c r="AN314" s="78">
        <v>0</v>
      </c>
      <c r="AO314" s="78">
        <v>0</v>
      </c>
    </row>
    <row r="315" spans="1:41">
      <c r="A315" s="78" t="s">
        <v>2226</v>
      </c>
      <c r="B315" s="78" t="s">
        <v>1558</v>
      </c>
      <c r="C315" s="78" t="s">
        <v>366</v>
      </c>
      <c r="D315" s="78" t="s">
        <v>2213</v>
      </c>
      <c r="E315" s="78" t="s">
        <v>2227</v>
      </c>
      <c r="F315" s="78" t="s">
        <v>2225</v>
      </c>
      <c r="G315" s="78" t="s">
        <v>1614</v>
      </c>
      <c r="H315" s="78">
        <v>892</v>
      </c>
      <c r="I315" s="78">
        <v>0</v>
      </c>
      <c r="J315" s="78">
        <v>0</v>
      </c>
      <c r="K315" s="78">
        <v>0</v>
      </c>
      <c r="L315" s="78">
        <v>0.9</v>
      </c>
      <c r="M315" s="78">
        <v>0</v>
      </c>
      <c r="N315" s="78">
        <v>0</v>
      </c>
      <c r="O315" s="78">
        <v>99.1</v>
      </c>
      <c r="P315" s="78">
        <v>82.48</v>
      </c>
      <c r="Q315" s="78">
        <v>6.33</v>
      </c>
      <c r="R315" s="78">
        <v>1.7</v>
      </c>
      <c r="S315" s="78" t="s">
        <v>1615</v>
      </c>
      <c r="T315" s="78">
        <v>0</v>
      </c>
      <c r="U315" s="78">
        <v>0</v>
      </c>
      <c r="V315" s="78">
        <v>0</v>
      </c>
      <c r="W315" s="78">
        <v>0</v>
      </c>
      <c r="X315" s="78">
        <v>0.1</v>
      </c>
      <c r="Y315" s="78">
        <v>0.6</v>
      </c>
      <c r="Z315" s="78">
        <v>0</v>
      </c>
      <c r="AA315" s="78">
        <v>0</v>
      </c>
      <c r="AB315" s="78">
        <v>0</v>
      </c>
      <c r="AC315" s="78">
        <v>0</v>
      </c>
      <c r="AD315" s="78">
        <v>0</v>
      </c>
      <c r="AE315" s="78">
        <v>0</v>
      </c>
      <c r="AF315" s="78">
        <v>0</v>
      </c>
      <c r="AG315" s="78">
        <v>0</v>
      </c>
      <c r="AH315" s="78">
        <v>0</v>
      </c>
      <c r="AI315" s="78">
        <v>1</v>
      </c>
      <c r="AJ315" s="78">
        <v>0</v>
      </c>
      <c r="AK315" s="78">
        <v>0</v>
      </c>
      <c r="AL315" s="78">
        <v>0.1</v>
      </c>
      <c r="AM315" s="78">
        <v>0</v>
      </c>
      <c r="AN315" s="78">
        <v>0</v>
      </c>
      <c r="AO315" s="78">
        <v>0</v>
      </c>
    </row>
    <row r="316" spans="1:41">
      <c r="A316" s="78" t="s">
        <v>2228</v>
      </c>
      <c r="B316" s="78" t="s">
        <v>1558</v>
      </c>
      <c r="C316" s="78" t="s">
        <v>366</v>
      </c>
      <c r="D316" s="78" t="s">
        <v>2215</v>
      </c>
      <c r="E316" s="78" t="s">
        <v>2229</v>
      </c>
      <c r="F316" s="78" t="s">
        <v>2225</v>
      </c>
      <c r="G316" s="78" t="s">
        <v>1614</v>
      </c>
      <c r="H316" s="78">
        <v>897</v>
      </c>
      <c r="I316" s="78">
        <v>0</v>
      </c>
      <c r="J316" s="78">
        <v>0</v>
      </c>
      <c r="K316" s="78">
        <v>0</v>
      </c>
      <c r="L316" s="78">
        <v>0.3</v>
      </c>
      <c r="M316" s="78" t="s">
        <v>1615</v>
      </c>
      <c r="N316" s="78">
        <v>0</v>
      </c>
      <c r="O316" s="78">
        <v>99.7</v>
      </c>
      <c r="P316" s="78">
        <v>13.6</v>
      </c>
      <c r="Q316" s="78">
        <v>26.1</v>
      </c>
      <c r="R316" s="78">
        <v>59.9</v>
      </c>
      <c r="S316" s="78" t="s">
        <v>1615</v>
      </c>
      <c r="T316" s="78">
        <v>0</v>
      </c>
      <c r="U316" s="78">
        <v>0</v>
      </c>
      <c r="V316" s="78">
        <v>0</v>
      </c>
      <c r="W316" s="78" t="s">
        <v>1615</v>
      </c>
      <c r="X316" s="78">
        <v>83</v>
      </c>
      <c r="Y316" s="78" t="s">
        <v>1615</v>
      </c>
      <c r="Z316" s="78">
        <v>0</v>
      </c>
      <c r="AA316" s="78">
        <v>0</v>
      </c>
      <c r="AB316" s="78">
        <v>0</v>
      </c>
      <c r="AC316" s="78">
        <v>0</v>
      </c>
      <c r="AD316" s="78">
        <v>0</v>
      </c>
      <c r="AE316" s="78">
        <v>0</v>
      </c>
      <c r="AF316" s="78">
        <v>0</v>
      </c>
      <c r="AG316" s="78">
        <v>0</v>
      </c>
      <c r="AH316" s="78">
        <v>1.8</v>
      </c>
      <c r="AI316" s="78">
        <v>0</v>
      </c>
      <c r="AJ316" s="78">
        <v>0.9</v>
      </c>
      <c r="AK316" s="78">
        <v>0</v>
      </c>
      <c r="AL316" s="78">
        <v>0</v>
      </c>
      <c r="AM316" s="78">
        <v>0</v>
      </c>
      <c r="AN316" s="78">
        <v>0</v>
      </c>
      <c r="AO316" s="78">
        <v>0</v>
      </c>
    </row>
    <row r="317" spans="1:41">
      <c r="A317" s="78" t="s">
        <v>2230</v>
      </c>
      <c r="B317" s="78" t="s">
        <v>1558</v>
      </c>
      <c r="C317" s="78" t="s">
        <v>366</v>
      </c>
      <c r="D317" s="78" t="s">
        <v>2217</v>
      </c>
      <c r="E317" s="78" t="s">
        <v>2231</v>
      </c>
      <c r="F317" s="78" t="s">
        <v>2225</v>
      </c>
      <c r="G317" s="78" t="s">
        <v>1614</v>
      </c>
      <c r="H317" s="78">
        <v>884</v>
      </c>
      <c r="I317" s="78">
        <v>0</v>
      </c>
      <c r="J317" s="78">
        <v>0</v>
      </c>
      <c r="K317" s="78">
        <v>0</v>
      </c>
      <c r="L317" s="78">
        <v>0</v>
      </c>
      <c r="M317" s="78">
        <v>0</v>
      </c>
      <c r="N317" s="78">
        <v>0</v>
      </c>
      <c r="O317" s="78">
        <v>100</v>
      </c>
      <c r="P317" s="78">
        <v>10.3</v>
      </c>
      <c r="Q317" s="78">
        <v>19.5</v>
      </c>
      <c r="R317" s="78">
        <v>65.7</v>
      </c>
      <c r="S317" s="78" t="s">
        <v>1615</v>
      </c>
      <c r="T317" s="78">
        <v>0</v>
      </c>
      <c r="U317" s="78">
        <v>0</v>
      </c>
      <c r="V317" s="78">
        <v>0</v>
      </c>
      <c r="W317" s="78">
        <v>0</v>
      </c>
      <c r="X317" s="78">
        <v>41.1</v>
      </c>
      <c r="Y317" s="78">
        <v>5.4</v>
      </c>
      <c r="Z317" s="78">
        <v>0</v>
      </c>
      <c r="AA317" s="78">
        <v>0</v>
      </c>
      <c r="AB317" s="78">
        <v>0</v>
      </c>
      <c r="AC317" s="78">
        <v>0</v>
      </c>
      <c r="AD317" s="78">
        <v>0</v>
      </c>
      <c r="AE317" s="78">
        <v>0</v>
      </c>
      <c r="AF317" s="78">
        <v>0</v>
      </c>
      <c r="AG317" s="78">
        <v>0</v>
      </c>
      <c r="AH317" s="78">
        <v>0</v>
      </c>
      <c r="AI317" s="78">
        <v>0</v>
      </c>
      <c r="AJ317" s="78">
        <v>0</v>
      </c>
      <c r="AK317" s="78">
        <v>0</v>
      </c>
      <c r="AL317" s="78">
        <v>0</v>
      </c>
      <c r="AM317" s="78">
        <v>0</v>
      </c>
      <c r="AN317" s="78">
        <v>0</v>
      </c>
      <c r="AO317" s="78">
        <v>0</v>
      </c>
    </row>
    <row r="318" spans="1:41">
      <c r="A318" s="78" t="s">
        <v>2232</v>
      </c>
      <c r="B318" s="78" t="s">
        <v>1558</v>
      </c>
      <c r="C318" s="78" t="s">
        <v>366</v>
      </c>
      <c r="D318" s="78" t="s">
        <v>2219</v>
      </c>
      <c r="E318" s="78" t="s">
        <v>2233</v>
      </c>
      <c r="F318" s="78" t="s">
        <v>2225</v>
      </c>
      <c r="G318" s="78" t="s">
        <v>1614</v>
      </c>
      <c r="H318" s="78">
        <v>898</v>
      </c>
      <c r="I318" s="78">
        <v>0</v>
      </c>
      <c r="J318" s="78">
        <v>0</v>
      </c>
      <c r="K318" s="78">
        <v>0</v>
      </c>
      <c r="L318" s="78">
        <v>0.2</v>
      </c>
      <c r="M318" s="78" t="s">
        <v>1615</v>
      </c>
      <c r="N318" s="78">
        <v>0</v>
      </c>
      <c r="O318" s="78">
        <v>99.8</v>
      </c>
      <c r="P318" s="78">
        <v>7.98</v>
      </c>
      <c r="Q318" s="78">
        <v>25.07</v>
      </c>
      <c r="R318" s="78">
        <v>43.5</v>
      </c>
      <c r="S318" s="78">
        <v>0</v>
      </c>
      <c r="T318" s="78" t="s">
        <v>1615</v>
      </c>
      <c r="U318" s="78" t="s">
        <v>1615</v>
      </c>
      <c r="V318" s="78" t="s">
        <v>1615</v>
      </c>
      <c r="W318" s="78" t="s">
        <v>1615</v>
      </c>
      <c r="X318" s="78" t="s">
        <v>1615</v>
      </c>
      <c r="Y318" s="78" t="s">
        <v>1615</v>
      </c>
      <c r="Z318" s="78" t="s">
        <v>1615</v>
      </c>
      <c r="AA318" s="78" t="s">
        <v>1615</v>
      </c>
      <c r="AB318" s="78" t="s">
        <v>1615</v>
      </c>
      <c r="AC318" s="78" t="s">
        <v>1615</v>
      </c>
      <c r="AD318" s="78" t="s">
        <v>1615</v>
      </c>
      <c r="AE318" s="78" t="s">
        <v>1615</v>
      </c>
      <c r="AF318" s="78" t="s">
        <v>1615</v>
      </c>
      <c r="AG318" s="78" t="s">
        <v>1615</v>
      </c>
      <c r="AH318" s="78" t="s">
        <v>1615</v>
      </c>
      <c r="AI318" s="78" t="s">
        <v>1615</v>
      </c>
      <c r="AJ318" s="78" t="s">
        <v>1615</v>
      </c>
      <c r="AK318" s="78" t="s">
        <v>1615</v>
      </c>
      <c r="AL318" s="78" t="s">
        <v>1615</v>
      </c>
      <c r="AM318" s="78" t="s">
        <v>1615</v>
      </c>
      <c r="AN318" s="78" t="s">
        <v>1615</v>
      </c>
      <c r="AO318" s="78" t="s">
        <v>1615</v>
      </c>
    </row>
    <row r="319" spans="1:41">
      <c r="A319" s="78" t="s">
        <v>2234</v>
      </c>
      <c r="B319" s="78" t="s">
        <v>1558</v>
      </c>
      <c r="C319" s="78" t="s">
        <v>366</v>
      </c>
      <c r="D319" s="78" t="s">
        <v>2221</v>
      </c>
      <c r="E319" s="78" t="s">
        <v>2235</v>
      </c>
      <c r="F319" s="78" t="s">
        <v>2225</v>
      </c>
      <c r="G319" s="78" t="s">
        <v>1614</v>
      </c>
      <c r="H319" s="78">
        <v>897</v>
      </c>
      <c r="I319" s="78">
        <v>0</v>
      </c>
      <c r="J319" s="78">
        <v>0</v>
      </c>
      <c r="K319" s="78">
        <v>0</v>
      </c>
      <c r="L319" s="78">
        <v>0.3</v>
      </c>
      <c r="M319" s="78" t="s">
        <v>1615</v>
      </c>
      <c r="N319" s="78">
        <v>0</v>
      </c>
      <c r="O319" s="78">
        <v>99.7</v>
      </c>
      <c r="P319" s="78">
        <v>11</v>
      </c>
      <c r="Q319" s="78">
        <v>19.7</v>
      </c>
      <c r="R319" s="78">
        <v>69.3</v>
      </c>
      <c r="S319" s="78" t="s">
        <v>1615</v>
      </c>
      <c r="T319" s="78">
        <v>0</v>
      </c>
      <c r="U319" s="78">
        <v>0</v>
      </c>
      <c r="V319" s="78">
        <v>0</v>
      </c>
      <c r="W319" s="78" t="s">
        <v>1615</v>
      </c>
      <c r="X319" s="78">
        <v>47.7</v>
      </c>
      <c r="Y319" s="78" t="s">
        <v>1615</v>
      </c>
      <c r="Z319" s="78">
        <v>0</v>
      </c>
      <c r="AA319" s="78">
        <v>0</v>
      </c>
      <c r="AB319" s="78">
        <v>0</v>
      </c>
      <c r="AC319" s="78">
        <v>0</v>
      </c>
      <c r="AD319" s="78">
        <v>0</v>
      </c>
      <c r="AE319" s="78">
        <v>0</v>
      </c>
      <c r="AF319" s="78">
        <v>0</v>
      </c>
      <c r="AG319" s="78">
        <v>0.1</v>
      </c>
      <c r="AH319" s="78">
        <v>0</v>
      </c>
      <c r="AI319" s="78">
        <v>0</v>
      </c>
      <c r="AJ319" s="78">
        <v>0</v>
      </c>
      <c r="AK319" s="78">
        <v>0.2</v>
      </c>
      <c r="AL319" s="78">
        <v>0</v>
      </c>
      <c r="AM319" s="78">
        <v>0</v>
      </c>
      <c r="AN319" s="78">
        <v>0</v>
      </c>
      <c r="AO319" s="78">
        <v>0.3</v>
      </c>
    </row>
    <row r="320" spans="1:41">
      <c r="A320" s="78" t="s">
        <v>2236</v>
      </c>
      <c r="B320" s="78" t="s">
        <v>1558</v>
      </c>
      <c r="C320" s="78" t="s">
        <v>366</v>
      </c>
      <c r="D320" s="78" t="s">
        <v>2223</v>
      </c>
      <c r="E320" s="78" t="s">
        <v>2237</v>
      </c>
      <c r="F320" s="78" t="s">
        <v>2225</v>
      </c>
      <c r="G320" s="78" t="s">
        <v>1614</v>
      </c>
      <c r="H320" s="78">
        <v>884</v>
      </c>
      <c r="I320" s="78">
        <v>0</v>
      </c>
      <c r="J320" s="78">
        <v>0</v>
      </c>
      <c r="K320" s="78">
        <v>0</v>
      </c>
      <c r="L320" s="78">
        <v>0</v>
      </c>
      <c r="M320" s="78">
        <v>0</v>
      </c>
      <c r="N320" s="78">
        <v>0</v>
      </c>
      <c r="O320" s="78">
        <v>100</v>
      </c>
      <c r="P320" s="78">
        <v>13.81</v>
      </c>
      <c r="Q320" s="78">
        <v>72.959999999999994</v>
      </c>
      <c r="R320" s="78">
        <v>10.52</v>
      </c>
      <c r="S320" s="78" t="s">
        <v>1615</v>
      </c>
      <c r="T320" s="78">
        <v>0</v>
      </c>
      <c r="U320" s="78">
        <v>0</v>
      </c>
      <c r="V320" s="78">
        <v>0</v>
      </c>
      <c r="W320" s="78">
        <v>0</v>
      </c>
      <c r="X320" s="78">
        <v>14.4</v>
      </c>
      <c r="Y320" s="78">
        <v>60.2</v>
      </c>
      <c r="Z320" s="78">
        <v>0</v>
      </c>
      <c r="AA320" s="78">
        <v>0</v>
      </c>
      <c r="AB320" s="78">
        <v>0</v>
      </c>
      <c r="AC320" s="78">
        <v>0</v>
      </c>
      <c r="AD320" s="78">
        <v>0</v>
      </c>
      <c r="AE320" s="78">
        <v>0</v>
      </c>
      <c r="AF320" s="78">
        <v>0</v>
      </c>
      <c r="AG320" s="78">
        <v>2</v>
      </c>
      <c r="AH320" s="78">
        <v>1</v>
      </c>
      <c r="AI320" s="78">
        <v>1</v>
      </c>
      <c r="AJ320" s="78">
        <v>0</v>
      </c>
      <c r="AK320" s="78">
        <v>0</v>
      </c>
      <c r="AL320" s="78">
        <v>0.6</v>
      </c>
      <c r="AM320" s="78">
        <v>0</v>
      </c>
      <c r="AN320" s="78">
        <v>0</v>
      </c>
      <c r="AO320" s="78">
        <v>0</v>
      </c>
    </row>
    <row r="321" spans="1:41">
      <c r="A321" s="78" t="s">
        <v>2238</v>
      </c>
      <c r="B321" s="78" t="s">
        <v>1558</v>
      </c>
      <c r="C321" s="78" t="s">
        <v>366</v>
      </c>
      <c r="D321" s="78" t="s">
        <v>2226</v>
      </c>
      <c r="E321" s="78" t="s">
        <v>2239</v>
      </c>
      <c r="F321" s="78" t="s">
        <v>2225</v>
      </c>
      <c r="G321" s="78" t="s">
        <v>1614</v>
      </c>
      <c r="H321" s="78">
        <v>887</v>
      </c>
      <c r="I321" s="78">
        <v>0.3</v>
      </c>
      <c r="J321" s="78">
        <v>0.2</v>
      </c>
      <c r="K321" s="78">
        <v>0.2</v>
      </c>
      <c r="L321" s="78">
        <v>0</v>
      </c>
      <c r="M321" s="78" t="s">
        <v>1615</v>
      </c>
      <c r="N321" s="78" t="s">
        <v>1615</v>
      </c>
      <c r="O321" s="78">
        <v>97.9</v>
      </c>
      <c r="P321" s="78">
        <v>12.13</v>
      </c>
      <c r="Q321" s="78">
        <v>73.5</v>
      </c>
      <c r="R321" s="78">
        <v>6.59</v>
      </c>
      <c r="S321" s="78">
        <v>0</v>
      </c>
      <c r="T321" s="78">
        <v>5.2</v>
      </c>
      <c r="U321" s="78" t="s">
        <v>1615</v>
      </c>
      <c r="V321" s="78" t="s">
        <v>1615</v>
      </c>
      <c r="W321" s="78" t="s">
        <v>1615</v>
      </c>
      <c r="X321" s="78" t="s">
        <v>1615</v>
      </c>
      <c r="Y321" s="78" t="s">
        <v>1615</v>
      </c>
      <c r="Z321" s="78" t="s">
        <v>1615</v>
      </c>
      <c r="AA321" s="78" t="s">
        <v>1615</v>
      </c>
      <c r="AB321" s="78" t="s">
        <v>1615</v>
      </c>
      <c r="AC321" s="78" t="s">
        <v>1615</v>
      </c>
      <c r="AD321" s="78" t="s">
        <v>1615</v>
      </c>
      <c r="AE321" s="78" t="s">
        <v>1615</v>
      </c>
      <c r="AF321" s="78" t="s">
        <v>1615</v>
      </c>
      <c r="AG321" s="78">
        <v>0.3</v>
      </c>
      <c r="AH321" s="78" t="s">
        <v>1615</v>
      </c>
      <c r="AI321" s="78" t="s">
        <v>1615</v>
      </c>
      <c r="AJ321" s="78" t="s">
        <v>1615</v>
      </c>
      <c r="AK321" s="78" t="s">
        <v>1615</v>
      </c>
      <c r="AL321" s="78" t="s">
        <v>1615</v>
      </c>
      <c r="AM321" s="78" t="s">
        <v>1615</v>
      </c>
      <c r="AN321" s="78" t="s">
        <v>1615</v>
      </c>
      <c r="AO321" s="78" t="s">
        <v>1615</v>
      </c>
    </row>
    <row r="322" spans="1:41">
      <c r="A322" s="78" t="s">
        <v>2240</v>
      </c>
      <c r="B322" s="78" t="s">
        <v>1558</v>
      </c>
      <c r="C322" s="78" t="s">
        <v>366</v>
      </c>
      <c r="D322" s="78" t="s">
        <v>2228</v>
      </c>
      <c r="E322" s="78" t="s">
        <v>2241</v>
      </c>
      <c r="F322" s="78" t="s">
        <v>2225</v>
      </c>
      <c r="G322" s="78" t="s">
        <v>1614</v>
      </c>
      <c r="H322" s="78">
        <v>884</v>
      </c>
      <c r="I322" s="78">
        <v>0</v>
      </c>
      <c r="J322" s="78">
        <v>0</v>
      </c>
      <c r="K322" s="78">
        <v>0</v>
      </c>
      <c r="L322" s="78">
        <v>0</v>
      </c>
      <c r="M322" s="78">
        <v>0</v>
      </c>
      <c r="N322" s="78">
        <v>0</v>
      </c>
      <c r="O322" s="78">
        <v>100</v>
      </c>
      <c r="P322" s="78">
        <v>49.3</v>
      </c>
      <c r="Q322" s="78">
        <v>37</v>
      </c>
      <c r="R322" s="78">
        <v>9.3000000000000007</v>
      </c>
      <c r="S322" s="78" t="s">
        <v>1615</v>
      </c>
      <c r="T322" s="78">
        <v>0</v>
      </c>
      <c r="U322" s="78">
        <v>0</v>
      </c>
      <c r="V322" s="78">
        <v>0</v>
      </c>
      <c r="W322" s="78" t="s">
        <v>1615</v>
      </c>
      <c r="X322" s="78">
        <v>15.9</v>
      </c>
      <c r="Y322" s="78">
        <v>8</v>
      </c>
      <c r="Z322" s="78">
        <v>0</v>
      </c>
      <c r="AA322" s="78">
        <v>0</v>
      </c>
      <c r="AB322" s="78">
        <v>0</v>
      </c>
      <c r="AC322" s="78">
        <v>0</v>
      </c>
      <c r="AD322" s="78">
        <v>0</v>
      </c>
      <c r="AE322" s="78">
        <v>0</v>
      </c>
      <c r="AF322" s="78">
        <v>0</v>
      </c>
      <c r="AG322" s="78">
        <v>0</v>
      </c>
      <c r="AH322" s="78">
        <v>0</v>
      </c>
      <c r="AI322" s="78">
        <v>0</v>
      </c>
      <c r="AJ322" s="78">
        <v>0</v>
      </c>
      <c r="AK322" s="78">
        <v>0</v>
      </c>
      <c r="AL322" s="78">
        <v>0</v>
      </c>
      <c r="AM322" s="78">
        <v>0</v>
      </c>
      <c r="AN322" s="78">
        <v>0</v>
      </c>
      <c r="AO322" s="78">
        <v>0</v>
      </c>
    </row>
    <row r="323" spans="1:41">
      <c r="A323" s="78" t="s">
        <v>2242</v>
      </c>
      <c r="B323" s="78" t="s">
        <v>1558</v>
      </c>
      <c r="C323" s="78" t="s">
        <v>366</v>
      </c>
      <c r="D323" s="78" t="s">
        <v>2230</v>
      </c>
      <c r="E323" s="78" t="s">
        <v>2243</v>
      </c>
      <c r="F323" s="78" t="s">
        <v>2225</v>
      </c>
      <c r="G323" s="78" t="s">
        <v>1614</v>
      </c>
      <c r="H323" s="78">
        <v>897</v>
      </c>
      <c r="I323" s="78">
        <v>0</v>
      </c>
      <c r="J323" s="78">
        <v>0</v>
      </c>
      <c r="K323" s="78">
        <v>0</v>
      </c>
      <c r="L323" s="78">
        <v>0.3</v>
      </c>
      <c r="M323" s="78" t="s">
        <v>1615</v>
      </c>
      <c r="N323" s="78">
        <v>0</v>
      </c>
      <c r="O323" s="78">
        <v>99.7</v>
      </c>
      <c r="P323" s="78">
        <v>14.7</v>
      </c>
      <c r="Q323" s="78">
        <v>19.7</v>
      </c>
      <c r="R323" s="78">
        <v>57.8</v>
      </c>
      <c r="S323" s="78" t="s">
        <v>1615</v>
      </c>
      <c r="T323" s="78">
        <v>0</v>
      </c>
      <c r="U323" s="78">
        <v>0</v>
      </c>
      <c r="V323" s="78">
        <v>0</v>
      </c>
      <c r="W323" s="78" t="s">
        <v>1615</v>
      </c>
      <c r="X323" s="78">
        <v>93.6</v>
      </c>
      <c r="Y323" s="78" t="s">
        <v>1615</v>
      </c>
      <c r="Z323" s="78">
        <v>0</v>
      </c>
      <c r="AA323" s="78">
        <v>0</v>
      </c>
      <c r="AB323" s="78">
        <v>0</v>
      </c>
      <c r="AC323" s="78">
        <v>0</v>
      </c>
      <c r="AD323" s="78">
        <v>0</v>
      </c>
      <c r="AE323" s="78">
        <v>0</v>
      </c>
      <c r="AF323" s="78">
        <v>0</v>
      </c>
      <c r="AG323" s="78">
        <v>0</v>
      </c>
      <c r="AH323" s="78">
        <v>0</v>
      </c>
      <c r="AI323" s="78">
        <v>0</v>
      </c>
      <c r="AJ323" s="78">
        <v>0.3</v>
      </c>
      <c r="AK323" s="78">
        <v>0</v>
      </c>
      <c r="AL323" s="78">
        <v>0</v>
      </c>
      <c r="AM323" s="78">
        <v>0.2</v>
      </c>
      <c r="AN323" s="78">
        <v>0.4</v>
      </c>
      <c r="AO323" s="78">
        <v>0</v>
      </c>
    </row>
    <row r="324" spans="1:41">
      <c r="A324" s="78" t="s">
        <v>2244</v>
      </c>
      <c r="B324" s="78" t="s">
        <v>1558</v>
      </c>
      <c r="C324" s="78" t="s">
        <v>366</v>
      </c>
      <c r="D324" s="78" t="s">
        <v>2232</v>
      </c>
      <c r="E324" s="78" t="s">
        <v>2245</v>
      </c>
      <c r="F324" s="78" t="s">
        <v>2225</v>
      </c>
      <c r="G324" s="78" t="s">
        <v>1614</v>
      </c>
      <c r="H324" s="78">
        <v>884</v>
      </c>
      <c r="I324" s="78">
        <v>0</v>
      </c>
      <c r="J324" s="78">
        <v>0</v>
      </c>
      <c r="K324" s="78">
        <v>0</v>
      </c>
      <c r="L324" s="78">
        <v>0</v>
      </c>
      <c r="M324" s="78">
        <v>0</v>
      </c>
      <c r="N324" s="78">
        <v>0</v>
      </c>
      <c r="O324" s="78">
        <v>100</v>
      </c>
      <c r="P324" s="78">
        <v>14.9</v>
      </c>
      <c r="Q324" s="78">
        <v>43</v>
      </c>
      <c r="R324" s="78">
        <v>37.6</v>
      </c>
      <c r="S324" s="78" t="s">
        <v>1615</v>
      </c>
      <c r="T324" s="78">
        <v>0</v>
      </c>
      <c r="U324" s="78">
        <v>0</v>
      </c>
      <c r="V324" s="78">
        <v>0</v>
      </c>
      <c r="W324" s="78">
        <v>0</v>
      </c>
      <c r="X324" s="78">
        <v>8.1</v>
      </c>
      <c r="Y324" s="78">
        <v>24.7</v>
      </c>
      <c r="Z324" s="78">
        <v>0</v>
      </c>
      <c r="AA324" s="78">
        <v>0</v>
      </c>
      <c r="AB324" s="78">
        <v>0</v>
      </c>
      <c r="AC324" s="78">
        <v>0</v>
      </c>
      <c r="AD324" s="78">
        <v>0</v>
      </c>
      <c r="AE324" s="78">
        <v>0</v>
      </c>
      <c r="AF324" s="78">
        <v>0</v>
      </c>
      <c r="AG324" s="78">
        <v>0</v>
      </c>
      <c r="AH324" s="78">
        <v>0</v>
      </c>
      <c r="AI324" s="78">
        <v>0</v>
      </c>
      <c r="AJ324" s="78">
        <v>0</v>
      </c>
      <c r="AK324" s="78">
        <v>0</v>
      </c>
      <c r="AL324" s="78">
        <v>0</v>
      </c>
      <c r="AM324" s="78">
        <v>0</v>
      </c>
      <c r="AN324" s="78">
        <v>0</v>
      </c>
      <c r="AO324" s="78">
        <v>0</v>
      </c>
    </row>
    <row r="325" spans="1:41">
      <c r="A325" s="78" t="s">
        <v>2246</v>
      </c>
      <c r="B325" s="78" t="s">
        <v>1558</v>
      </c>
      <c r="C325" s="78" t="s">
        <v>366</v>
      </c>
      <c r="D325" s="78" t="s">
        <v>2234</v>
      </c>
      <c r="E325" s="78" t="s">
        <v>2247</v>
      </c>
      <c r="F325" s="78" t="s">
        <v>2225</v>
      </c>
      <c r="G325" s="78" t="s">
        <v>1614</v>
      </c>
      <c r="H325" s="78">
        <v>897</v>
      </c>
      <c r="I325" s="78">
        <v>0.1</v>
      </c>
      <c r="J325" s="78">
        <v>0</v>
      </c>
      <c r="K325" s="78">
        <v>0.4</v>
      </c>
      <c r="L325" s="78">
        <v>0</v>
      </c>
      <c r="M325" s="78" t="s">
        <v>1615</v>
      </c>
      <c r="N325" s="78">
        <v>0</v>
      </c>
      <c r="O325" s="78">
        <v>99.4</v>
      </c>
      <c r="P325" s="78">
        <v>14.69</v>
      </c>
      <c r="Q325" s="78">
        <v>57.04</v>
      </c>
      <c r="R325" s="78">
        <v>11.1</v>
      </c>
      <c r="S325" s="78" t="s">
        <v>1615</v>
      </c>
      <c r="T325" s="78" t="s">
        <v>1615</v>
      </c>
      <c r="U325" s="78" t="s">
        <v>1615</v>
      </c>
      <c r="V325" s="78" t="s">
        <v>1615</v>
      </c>
      <c r="W325" s="78" t="s">
        <v>1615</v>
      </c>
      <c r="X325" s="78" t="s">
        <v>1615</v>
      </c>
      <c r="Y325" s="78" t="s">
        <v>1615</v>
      </c>
      <c r="Z325" s="78" t="s">
        <v>1615</v>
      </c>
      <c r="AA325" s="78" t="s">
        <v>1615</v>
      </c>
      <c r="AB325" s="78" t="s">
        <v>1615</v>
      </c>
      <c r="AC325" s="78" t="s">
        <v>1615</v>
      </c>
      <c r="AD325" s="78" t="s">
        <v>1615</v>
      </c>
      <c r="AE325" s="78" t="s">
        <v>1615</v>
      </c>
      <c r="AF325" s="78" t="s">
        <v>1615</v>
      </c>
      <c r="AG325" s="78" t="s">
        <v>1615</v>
      </c>
      <c r="AH325" s="78" t="s">
        <v>1615</v>
      </c>
      <c r="AI325" s="78" t="s">
        <v>1615</v>
      </c>
      <c r="AJ325" s="78" t="s">
        <v>1615</v>
      </c>
      <c r="AK325" s="78" t="s">
        <v>1615</v>
      </c>
      <c r="AL325" s="78" t="s">
        <v>1615</v>
      </c>
      <c r="AM325" s="78" t="s">
        <v>1615</v>
      </c>
      <c r="AN325" s="78" t="s">
        <v>1615</v>
      </c>
      <c r="AO325" s="78" t="s">
        <v>1615</v>
      </c>
    </row>
    <row r="326" spans="1:41">
      <c r="A326" s="78" t="s">
        <v>2248</v>
      </c>
      <c r="B326" s="78" t="s">
        <v>1558</v>
      </c>
      <c r="C326" s="78" t="s">
        <v>366</v>
      </c>
      <c r="D326" s="78" t="s">
        <v>2236</v>
      </c>
      <c r="E326" s="78" t="s">
        <v>2249</v>
      </c>
      <c r="F326" s="78" t="s">
        <v>2225</v>
      </c>
      <c r="G326" s="78" t="s">
        <v>1614</v>
      </c>
      <c r="H326" s="78">
        <v>181</v>
      </c>
      <c r="I326" s="78">
        <v>71</v>
      </c>
      <c r="J326" s="78">
        <v>0.9</v>
      </c>
      <c r="K326" s="78">
        <v>7</v>
      </c>
      <c r="L326" s="78">
        <v>7</v>
      </c>
      <c r="M326" s="78">
        <v>0.3</v>
      </c>
      <c r="N326" s="78">
        <v>0</v>
      </c>
      <c r="O326" s="78">
        <v>14.1</v>
      </c>
      <c r="P326" s="78">
        <v>8.6999999999999993</v>
      </c>
      <c r="Q326" s="78">
        <v>4.0999999999999996</v>
      </c>
      <c r="R326" s="78">
        <v>0.5</v>
      </c>
      <c r="S326" s="78" t="s">
        <v>1615</v>
      </c>
      <c r="T326" s="78">
        <v>35</v>
      </c>
      <c r="U326" s="78">
        <v>119</v>
      </c>
      <c r="V326" s="78">
        <v>0.9</v>
      </c>
      <c r="W326" s="78">
        <v>0.3</v>
      </c>
      <c r="X326" s="78">
        <v>0.4</v>
      </c>
      <c r="Y326" s="78">
        <v>0.7</v>
      </c>
      <c r="Z326" s="78">
        <v>0</v>
      </c>
      <c r="AA326" s="78">
        <v>0.2</v>
      </c>
      <c r="AB326" s="78">
        <v>0.1</v>
      </c>
      <c r="AC326" s="78">
        <v>0</v>
      </c>
      <c r="AD326" s="78" t="s">
        <v>1615</v>
      </c>
      <c r="AE326" s="78">
        <v>0.3</v>
      </c>
      <c r="AF326" s="78">
        <v>11</v>
      </c>
      <c r="AG326" s="78">
        <v>70</v>
      </c>
      <c r="AH326" s="78">
        <v>211</v>
      </c>
      <c r="AI326" s="78">
        <v>141</v>
      </c>
      <c r="AJ326" s="78">
        <v>85</v>
      </c>
      <c r="AK326" s="78">
        <v>11</v>
      </c>
      <c r="AL326" s="78">
        <v>0.1</v>
      </c>
      <c r="AM326" s="78">
        <v>0.3</v>
      </c>
      <c r="AN326" s="78">
        <v>0</v>
      </c>
      <c r="AO326" s="78">
        <v>4.0999999999999996</v>
      </c>
    </row>
    <row r="327" spans="1:41">
      <c r="A327" s="78" t="s">
        <v>2250</v>
      </c>
      <c r="B327" s="78" t="s">
        <v>1558</v>
      </c>
      <c r="C327" s="78" t="s">
        <v>366</v>
      </c>
      <c r="D327" s="78" t="s">
        <v>2238</v>
      </c>
      <c r="E327" s="78" t="s">
        <v>2251</v>
      </c>
      <c r="F327" s="78" t="s">
        <v>2225</v>
      </c>
      <c r="G327" s="78" t="s">
        <v>1614</v>
      </c>
      <c r="H327" s="78">
        <v>345</v>
      </c>
      <c r="I327" s="78">
        <v>0</v>
      </c>
      <c r="J327" s="78">
        <v>0.5</v>
      </c>
      <c r="K327" s="78">
        <v>2.1</v>
      </c>
      <c r="L327" s="78">
        <v>2.8</v>
      </c>
      <c r="M327" s="78" t="s">
        <v>1615</v>
      </c>
      <c r="N327" s="78">
        <v>0</v>
      </c>
      <c r="O327" s="78">
        <v>37</v>
      </c>
      <c r="P327" s="78">
        <v>23</v>
      </c>
      <c r="Q327" s="78">
        <v>10.7</v>
      </c>
      <c r="R327" s="78">
        <v>1.37</v>
      </c>
      <c r="S327" s="78" t="s">
        <v>1615</v>
      </c>
      <c r="T327" s="78">
        <v>137</v>
      </c>
      <c r="U327" s="78">
        <v>442</v>
      </c>
      <c r="V327" s="78">
        <v>0.6</v>
      </c>
      <c r="W327" s="78" t="s">
        <v>1615</v>
      </c>
      <c r="X327" s="78">
        <v>0.6</v>
      </c>
      <c r="Y327" s="78" t="s">
        <v>1615</v>
      </c>
      <c r="Z327" s="78">
        <v>0</v>
      </c>
      <c r="AA327" s="78">
        <v>0.1</v>
      </c>
      <c r="AB327" s="78">
        <v>0</v>
      </c>
      <c r="AC327" s="78">
        <v>0</v>
      </c>
      <c r="AD327" s="78">
        <v>0.3</v>
      </c>
      <c r="AE327" s="78">
        <v>0.2</v>
      </c>
      <c r="AF327" s="78">
        <v>3.8</v>
      </c>
      <c r="AG327" s="78">
        <v>37.4</v>
      </c>
      <c r="AH327" s="78">
        <v>75.2</v>
      </c>
      <c r="AI327" s="78">
        <v>64.7</v>
      </c>
      <c r="AJ327" s="78">
        <v>62.6</v>
      </c>
      <c r="AK327" s="78">
        <v>7.1</v>
      </c>
      <c r="AL327" s="78">
        <v>0</v>
      </c>
      <c r="AM327" s="78">
        <v>0</v>
      </c>
      <c r="AN327" s="78">
        <v>0</v>
      </c>
      <c r="AO327" s="78">
        <v>0</v>
      </c>
    </row>
    <row r="328" spans="1:41">
      <c r="A328" s="78" t="s">
        <v>2252</v>
      </c>
      <c r="B328" s="78" t="s">
        <v>1558</v>
      </c>
      <c r="C328" s="78" t="s">
        <v>366</v>
      </c>
      <c r="D328" s="78" t="s">
        <v>2240</v>
      </c>
      <c r="E328" s="78" t="s">
        <v>2253</v>
      </c>
      <c r="F328" s="78" t="s">
        <v>2225</v>
      </c>
      <c r="G328" s="78" t="s">
        <v>1614</v>
      </c>
      <c r="H328" s="78">
        <v>194</v>
      </c>
      <c r="I328" s="78">
        <v>73.7</v>
      </c>
      <c r="J328" s="78">
        <v>0.6</v>
      </c>
      <c r="K328" s="78">
        <v>2.7</v>
      </c>
      <c r="L328" s="78">
        <v>4.8</v>
      </c>
      <c r="M328" s="78" t="s">
        <v>1615</v>
      </c>
      <c r="N328" s="78">
        <v>0</v>
      </c>
      <c r="O328" s="78">
        <v>18.2</v>
      </c>
      <c r="P328" s="78">
        <v>11.65</v>
      </c>
      <c r="Q328" s="78">
        <v>5.48</v>
      </c>
      <c r="R328" s="78">
        <v>1.04</v>
      </c>
      <c r="S328" s="78" t="s">
        <v>1615</v>
      </c>
      <c r="T328" s="78">
        <v>32.5</v>
      </c>
      <c r="U328" s="78" t="s">
        <v>1615</v>
      </c>
      <c r="V328" s="78">
        <v>0</v>
      </c>
      <c r="W328" s="78" t="s">
        <v>1615</v>
      </c>
      <c r="X328" s="78">
        <v>0</v>
      </c>
      <c r="Y328" s="78" t="s">
        <v>1615</v>
      </c>
      <c r="Z328" s="78">
        <v>0</v>
      </c>
      <c r="AA328" s="78">
        <v>0</v>
      </c>
      <c r="AB328" s="78">
        <v>0</v>
      </c>
      <c r="AC328" s="78">
        <v>0</v>
      </c>
      <c r="AD328" s="78">
        <v>0</v>
      </c>
      <c r="AE328" s="78">
        <v>0</v>
      </c>
      <c r="AF328" s="78">
        <v>0</v>
      </c>
      <c r="AG328" s="78">
        <v>0</v>
      </c>
      <c r="AH328" s="78">
        <v>0</v>
      </c>
      <c r="AI328" s="78">
        <v>0</v>
      </c>
      <c r="AJ328" s="78">
        <v>0</v>
      </c>
      <c r="AK328" s="78">
        <v>0</v>
      </c>
      <c r="AL328" s="78">
        <v>0</v>
      </c>
      <c r="AM328" s="78">
        <v>3.3</v>
      </c>
      <c r="AN328" s="78">
        <v>0</v>
      </c>
      <c r="AO328" s="78">
        <v>22</v>
      </c>
    </row>
    <row r="329" spans="1:41">
      <c r="A329" s="78" t="s">
        <v>2254</v>
      </c>
      <c r="B329" s="78" t="s">
        <v>1558</v>
      </c>
      <c r="C329" s="78" t="s">
        <v>366</v>
      </c>
      <c r="D329" s="78" t="s">
        <v>2242</v>
      </c>
      <c r="E329" s="78" t="s">
        <v>2255</v>
      </c>
      <c r="F329" s="78" t="s">
        <v>2225</v>
      </c>
      <c r="G329" s="78" t="s">
        <v>1614</v>
      </c>
      <c r="H329" s="78">
        <v>897</v>
      </c>
      <c r="I329" s="78">
        <v>0</v>
      </c>
      <c r="J329" s="78">
        <v>0.5</v>
      </c>
      <c r="K329" s="78">
        <v>0</v>
      </c>
      <c r="L329" s="78">
        <v>0</v>
      </c>
      <c r="M329" s="78">
        <v>0</v>
      </c>
      <c r="N329" s="78">
        <v>0</v>
      </c>
      <c r="O329" s="78">
        <v>99.5</v>
      </c>
      <c r="P329" s="78">
        <v>39</v>
      </c>
      <c r="Q329" s="78">
        <v>44.87</v>
      </c>
      <c r="R329" s="78">
        <v>11.14</v>
      </c>
      <c r="S329" s="78" t="s">
        <v>1615</v>
      </c>
      <c r="T329" s="78">
        <v>95</v>
      </c>
      <c r="U329" s="78">
        <v>0</v>
      </c>
      <c r="V329" s="78">
        <v>0</v>
      </c>
      <c r="W329" s="78">
        <v>2.5</v>
      </c>
      <c r="X329" s="78">
        <v>0.6</v>
      </c>
      <c r="Y329" s="78">
        <v>0</v>
      </c>
      <c r="Z329" s="78">
        <v>0</v>
      </c>
      <c r="AA329" s="78">
        <v>0</v>
      </c>
      <c r="AB329" s="78">
        <v>0</v>
      </c>
      <c r="AC329" s="78">
        <v>0</v>
      </c>
      <c r="AD329" s="78">
        <v>0</v>
      </c>
      <c r="AE329" s="78">
        <v>0</v>
      </c>
      <c r="AF329" s="78">
        <v>0</v>
      </c>
      <c r="AG329" s="78">
        <v>150</v>
      </c>
      <c r="AH329" s="78">
        <v>0</v>
      </c>
      <c r="AI329" s="78">
        <v>0</v>
      </c>
      <c r="AJ329" s="78">
        <v>0</v>
      </c>
      <c r="AK329" s="78">
        <v>0</v>
      </c>
      <c r="AL329" s="78">
        <v>0</v>
      </c>
      <c r="AM329" s="78">
        <v>0.1</v>
      </c>
      <c r="AN329" s="78">
        <v>0</v>
      </c>
      <c r="AO329" s="78">
        <v>0</v>
      </c>
    </row>
    <row r="330" spans="1:41">
      <c r="A330" s="78" t="s">
        <v>2256</v>
      </c>
      <c r="B330" s="78" t="s">
        <v>1558</v>
      </c>
      <c r="C330" s="78" t="s">
        <v>366</v>
      </c>
      <c r="D330" s="78" t="s">
        <v>2244</v>
      </c>
      <c r="E330" s="78" t="s">
        <v>2257</v>
      </c>
      <c r="F330" s="78" t="s">
        <v>2225</v>
      </c>
      <c r="G330" s="78" t="s">
        <v>1614</v>
      </c>
      <c r="H330" s="78">
        <v>897</v>
      </c>
      <c r="I330" s="78">
        <v>0</v>
      </c>
      <c r="J330" s="78">
        <v>0</v>
      </c>
      <c r="K330" s="78">
        <v>0</v>
      </c>
      <c r="L330" s="78">
        <v>0.3</v>
      </c>
      <c r="M330" s="78" t="s">
        <v>1615</v>
      </c>
      <c r="N330" s="78">
        <v>0</v>
      </c>
      <c r="O330" s="78">
        <v>99.7</v>
      </c>
      <c r="P330" s="78">
        <v>22.43</v>
      </c>
      <c r="Q330" s="78">
        <v>56.63</v>
      </c>
      <c r="R330" s="78">
        <v>20.64</v>
      </c>
      <c r="S330" s="78" t="s">
        <v>1615</v>
      </c>
      <c r="T330" s="78">
        <v>0</v>
      </c>
      <c r="U330" s="78">
        <v>0</v>
      </c>
      <c r="V330" s="78">
        <v>0</v>
      </c>
      <c r="W330" s="78" t="s">
        <v>1615</v>
      </c>
      <c r="X330" s="78">
        <v>0</v>
      </c>
      <c r="Y330" s="78" t="s">
        <v>1615</v>
      </c>
      <c r="Z330" s="78">
        <v>0</v>
      </c>
      <c r="AA330" s="78">
        <v>0</v>
      </c>
      <c r="AB330" s="78">
        <v>0</v>
      </c>
      <c r="AC330" s="78">
        <v>0</v>
      </c>
      <c r="AD330" s="78">
        <v>0</v>
      </c>
      <c r="AE330" s="78">
        <v>0</v>
      </c>
      <c r="AF330" s="78">
        <v>0</v>
      </c>
      <c r="AG330" s="78">
        <v>0</v>
      </c>
      <c r="AH330" s="78">
        <v>0</v>
      </c>
      <c r="AI330" s="78">
        <v>0</v>
      </c>
      <c r="AJ330" s="78">
        <v>0</v>
      </c>
      <c r="AK330" s="78">
        <v>0</v>
      </c>
      <c r="AL330" s="78">
        <v>0</v>
      </c>
      <c r="AM330" s="78">
        <v>0</v>
      </c>
      <c r="AN330" s="78">
        <v>0</v>
      </c>
      <c r="AO330" s="78">
        <v>0</v>
      </c>
    </row>
    <row r="331" spans="1:41">
      <c r="A331" s="78" t="s">
        <v>2258</v>
      </c>
      <c r="B331" s="78" t="s">
        <v>1558</v>
      </c>
      <c r="C331" s="78" t="s">
        <v>366</v>
      </c>
      <c r="D331" s="78" t="s">
        <v>2246</v>
      </c>
      <c r="E331" s="78" t="s">
        <v>2259</v>
      </c>
      <c r="F331" s="78" t="s">
        <v>2225</v>
      </c>
      <c r="G331" s="78" t="s">
        <v>1614</v>
      </c>
      <c r="H331" s="78">
        <v>717</v>
      </c>
      <c r="I331" s="78">
        <v>15.9</v>
      </c>
      <c r="J331" s="78">
        <v>2.1</v>
      </c>
      <c r="K331" s="78">
        <v>0.9</v>
      </c>
      <c r="L331" s="78">
        <v>0.1</v>
      </c>
      <c r="M331" s="78">
        <v>0.1</v>
      </c>
      <c r="N331" s="78">
        <v>0</v>
      </c>
      <c r="O331" s="78">
        <v>81.099999999999994</v>
      </c>
      <c r="P331" s="78">
        <v>51.37</v>
      </c>
      <c r="Q331" s="78">
        <v>21.02</v>
      </c>
      <c r="R331" s="78">
        <v>3.04</v>
      </c>
      <c r="S331" s="78" t="s">
        <v>1615</v>
      </c>
      <c r="T331" s="78">
        <v>215</v>
      </c>
      <c r="U331" s="78">
        <v>684</v>
      </c>
      <c r="V331" s="78">
        <v>0</v>
      </c>
      <c r="W331" s="78">
        <v>0</v>
      </c>
      <c r="X331" s="78">
        <v>2.2999999999999998</v>
      </c>
      <c r="Y331" s="78">
        <v>7</v>
      </c>
      <c r="Z331" s="78">
        <v>0</v>
      </c>
      <c r="AA331" s="78">
        <v>0</v>
      </c>
      <c r="AB331" s="78">
        <v>0</v>
      </c>
      <c r="AC331" s="78">
        <v>0</v>
      </c>
      <c r="AD331" s="78">
        <v>0.1</v>
      </c>
      <c r="AE331" s="78">
        <v>0.2</v>
      </c>
      <c r="AF331" s="78">
        <v>3</v>
      </c>
      <c r="AG331" s="78">
        <v>643</v>
      </c>
      <c r="AH331" s="78">
        <v>24</v>
      </c>
      <c r="AI331" s="78">
        <v>24</v>
      </c>
      <c r="AJ331" s="78">
        <v>24</v>
      </c>
      <c r="AK331" s="78">
        <v>2</v>
      </c>
      <c r="AL331" s="78">
        <v>0</v>
      </c>
      <c r="AM331" s="78">
        <v>0.1</v>
      </c>
      <c r="AN331" s="78">
        <v>0</v>
      </c>
      <c r="AO331" s="78">
        <v>1</v>
      </c>
    </row>
    <row r="332" spans="1:41">
      <c r="A332" s="78" t="s">
        <v>2260</v>
      </c>
      <c r="B332" s="78" t="s">
        <v>1558</v>
      </c>
      <c r="C332" s="78" t="s">
        <v>366</v>
      </c>
      <c r="D332" s="78" t="s">
        <v>2248</v>
      </c>
      <c r="E332" s="78" t="s">
        <v>2261</v>
      </c>
      <c r="F332" s="78" t="s">
        <v>2225</v>
      </c>
      <c r="G332" s="78" t="s">
        <v>1614</v>
      </c>
      <c r="H332" s="78">
        <v>749</v>
      </c>
      <c r="I332" s="78">
        <v>15.3</v>
      </c>
      <c r="J332" s="78">
        <v>1.3</v>
      </c>
      <c r="K332" s="78">
        <v>0.3</v>
      </c>
      <c r="L332" s="78">
        <v>0</v>
      </c>
      <c r="M332" s="78" t="s">
        <v>1615</v>
      </c>
      <c r="N332" s="78" t="s">
        <v>1615</v>
      </c>
      <c r="O332" s="78">
        <v>83.1</v>
      </c>
      <c r="P332" s="78">
        <v>46.99</v>
      </c>
      <c r="Q332" s="78">
        <v>27.51</v>
      </c>
      <c r="R332" s="78">
        <v>1.1399999999999999</v>
      </c>
      <c r="S332" s="78">
        <v>2.6</v>
      </c>
      <c r="T332" s="78">
        <v>187.1</v>
      </c>
      <c r="U332" s="78" t="s">
        <v>1615</v>
      </c>
      <c r="V332" s="78" t="s">
        <v>1615</v>
      </c>
      <c r="W332" s="78" t="s">
        <v>1615</v>
      </c>
      <c r="X332" s="78" t="s">
        <v>1615</v>
      </c>
      <c r="Y332" s="78" t="s">
        <v>1615</v>
      </c>
      <c r="Z332" s="78" t="s">
        <v>1615</v>
      </c>
      <c r="AA332" s="78" t="s">
        <v>1615</v>
      </c>
      <c r="AB332" s="78" t="s">
        <v>1615</v>
      </c>
      <c r="AC332" s="78" t="s">
        <v>1615</v>
      </c>
      <c r="AD332" s="78" t="s">
        <v>1615</v>
      </c>
      <c r="AE332" s="78" t="s">
        <v>1615</v>
      </c>
      <c r="AF332" s="78" t="s">
        <v>1615</v>
      </c>
      <c r="AG332" s="78">
        <v>563</v>
      </c>
      <c r="AH332" s="78" t="s">
        <v>1615</v>
      </c>
      <c r="AI332" s="78">
        <v>9.1999999999999993</v>
      </c>
      <c r="AJ332" s="78" t="s">
        <v>1615</v>
      </c>
      <c r="AK332" s="78" t="s">
        <v>1615</v>
      </c>
      <c r="AL332" s="78" t="s">
        <v>1615</v>
      </c>
      <c r="AM332" s="78" t="s">
        <v>1615</v>
      </c>
      <c r="AN332" s="78" t="s">
        <v>1615</v>
      </c>
      <c r="AO332" s="78" t="s">
        <v>1615</v>
      </c>
    </row>
    <row r="333" spans="1:41">
      <c r="A333" s="78" t="s">
        <v>2262</v>
      </c>
      <c r="B333" s="78" t="s">
        <v>1558</v>
      </c>
      <c r="C333" s="78" t="s">
        <v>366</v>
      </c>
      <c r="D333" s="78" t="s">
        <v>2250</v>
      </c>
      <c r="E333" s="78" t="s">
        <v>2263</v>
      </c>
      <c r="F333" s="78" t="s">
        <v>2225</v>
      </c>
      <c r="G333" s="78" t="s">
        <v>1614</v>
      </c>
      <c r="H333" s="78">
        <v>717</v>
      </c>
      <c r="I333" s="78">
        <v>16.5</v>
      </c>
      <c r="J333" s="78">
        <v>1.9</v>
      </c>
      <c r="K333" s="78">
        <v>0.2</v>
      </c>
      <c r="L333" s="78">
        <v>0.7</v>
      </c>
      <c r="M333" s="78">
        <v>0</v>
      </c>
      <c r="N333" s="78">
        <v>0</v>
      </c>
      <c r="O333" s="78">
        <v>80.7</v>
      </c>
      <c r="P333" s="78">
        <v>15.19</v>
      </c>
      <c r="Q333" s="78">
        <v>38.880000000000003</v>
      </c>
      <c r="R333" s="78">
        <v>24.3</v>
      </c>
      <c r="S333" s="78" t="s">
        <v>1615</v>
      </c>
      <c r="T333" s="78">
        <v>0</v>
      </c>
      <c r="U333" s="78">
        <v>819</v>
      </c>
      <c r="V333" s="78">
        <v>0.2</v>
      </c>
      <c r="W333" s="78">
        <v>0</v>
      </c>
      <c r="X333" s="78">
        <v>9</v>
      </c>
      <c r="Y333" s="78">
        <v>93</v>
      </c>
      <c r="Z333" s="78">
        <v>0</v>
      </c>
      <c r="AA333" s="78">
        <v>0</v>
      </c>
      <c r="AB333" s="78">
        <v>0</v>
      </c>
      <c r="AC333" s="78">
        <v>0</v>
      </c>
      <c r="AD333" s="78">
        <v>0</v>
      </c>
      <c r="AE333" s="78">
        <v>0.1</v>
      </c>
      <c r="AF333" s="78">
        <v>1</v>
      </c>
      <c r="AG333" s="78">
        <v>751</v>
      </c>
      <c r="AH333" s="78">
        <v>18</v>
      </c>
      <c r="AI333" s="78">
        <v>3</v>
      </c>
      <c r="AJ333" s="78">
        <v>5</v>
      </c>
      <c r="AK333" s="78">
        <v>3</v>
      </c>
      <c r="AL333" s="78">
        <v>0.1</v>
      </c>
      <c r="AM333" s="78">
        <v>0</v>
      </c>
      <c r="AN333" s="78">
        <v>0</v>
      </c>
      <c r="AO333" s="78">
        <v>0</v>
      </c>
    </row>
    <row r="334" spans="1:41">
      <c r="A334" s="78" t="s">
        <v>2264</v>
      </c>
      <c r="B334" s="78" t="s">
        <v>1558</v>
      </c>
      <c r="C334" s="78" t="s">
        <v>366</v>
      </c>
      <c r="D334" s="78" t="s">
        <v>2252</v>
      </c>
      <c r="E334" s="78" t="s">
        <v>2265</v>
      </c>
      <c r="F334" s="78" t="s">
        <v>2225</v>
      </c>
      <c r="G334" s="78" t="s">
        <v>1614</v>
      </c>
      <c r="H334" s="78">
        <v>700</v>
      </c>
      <c r="I334" s="78">
        <v>19.899999999999999</v>
      </c>
      <c r="J334" s="78">
        <v>1.9</v>
      </c>
      <c r="K334" s="78">
        <v>0.6</v>
      </c>
      <c r="L334" s="78">
        <v>0.2</v>
      </c>
      <c r="M334" s="78" t="s">
        <v>1615</v>
      </c>
      <c r="N334" s="78" t="s">
        <v>1615</v>
      </c>
      <c r="O334" s="78">
        <v>77.400000000000006</v>
      </c>
      <c r="P334" s="78">
        <v>25.39</v>
      </c>
      <c r="Q334" s="78">
        <v>25.1</v>
      </c>
      <c r="R334" s="78">
        <v>7.14</v>
      </c>
      <c r="S334" s="78">
        <v>0.4</v>
      </c>
      <c r="T334" s="78">
        <v>85</v>
      </c>
      <c r="U334" s="78" t="s">
        <v>1615</v>
      </c>
      <c r="V334" s="78" t="s">
        <v>1615</v>
      </c>
      <c r="W334" s="78" t="s">
        <v>1615</v>
      </c>
      <c r="X334" s="78" t="s">
        <v>1615</v>
      </c>
      <c r="Y334" s="78" t="s">
        <v>1615</v>
      </c>
      <c r="Z334" s="78" t="s">
        <v>1615</v>
      </c>
      <c r="AA334" s="78" t="s">
        <v>1615</v>
      </c>
      <c r="AB334" s="78" t="s">
        <v>1615</v>
      </c>
      <c r="AC334" s="78" t="s">
        <v>1615</v>
      </c>
      <c r="AD334" s="78" t="s">
        <v>1615</v>
      </c>
      <c r="AE334" s="78" t="s">
        <v>1615</v>
      </c>
      <c r="AF334" s="78" t="s">
        <v>1615</v>
      </c>
      <c r="AG334" s="78">
        <v>686</v>
      </c>
      <c r="AH334" s="78" t="s">
        <v>1615</v>
      </c>
      <c r="AI334" s="78" t="s">
        <v>1615</v>
      </c>
      <c r="AJ334" s="78" t="s">
        <v>1615</v>
      </c>
      <c r="AK334" s="78" t="s">
        <v>1615</v>
      </c>
      <c r="AL334" s="78" t="s">
        <v>1615</v>
      </c>
      <c r="AM334" s="78" t="s">
        <v>1615</v>
      </c>
      <c r="AN334" s="78" t="s">
        <v>1615</v>
      </c>
      <c r="AO334" s="78" t="s">
        <v>1615</v>
      </c>
    </row>
    <row r="335" spans="1:41">
      <c r="A335" s="78" t="s">
        <v>2266</v>
      </c>
      <c r="B335" s="78" t="s">
        <v>1558</v>
      </c>
      <c r="C335" s="78" t="s">
        <v>366</v>
      </c>
      <c r="D335" s="78" t="s">
        <v>2254</v>
      </c>
      <c r="E335" s="78" t="s">
        <v>2267</v>
      </c>
      <c r="F335" s="78" t="s">
        <v>2225</v>
      </c>
      <c r="G335" s="78" t="s">
        <v>1614</v>
      </c>
      <c r="H335" s="78">
        <v>424</v>
      </c>
      <c r="I335" s="78">
        <v>49.7</v>
      </c>
      <c r="J335" s="78">
        <v>1.8</v>
      </c>
      <c r="K335" s="78">
        <v>0.2</v>
      </c>
      <c r="L335" s="78">
        <v>0.9</v>
      </c>
      <c r="M335" s="78" t="s">
        <v>1615</v>
      </c>
      <c r="N335" s="78">
        <v>0</v>
      </c>
      <c r="O335" s="78">
        <v>47.5</v>
      </c>
      <c r="P335" s="78">
        <v>8.7899999999999991</v>
      </c>
      <c r="Q335" s="78">
        <v>16.420000000000002</v>
      </c>
      <c r="R335" s="78">
        <v>20.239999999999998</v>
      </c>
      <c r="S335" s="78" t="s">
        <v>1615</v>
      </c>
      <c r="T335" s="78">
        <v>1</v>
      </c>
      <c r="U335" s="78" t="s">
        <v>1615</v>
      </c>
      <c r="V335" s="78">
        <v>0</v>
      </c>
      <c r="W335" s="78" t="s">
        <v>1615</v>
      </c>
      <c r="X335" s="78">
        <v>3.9</v>
      </c>
      <c r="Y335" s="78">
        <v>101.3</v>
      </c>
      <c r="Z335" s="78">
        <v>0</v>
      </c>
      <c r="AA335" s="78">
        <v>0</v>
      </c>
      <c r="AB335" s="78">
        <v>0</v>
      </c>
      <c r="AC335" s="78">
        <v>0</v>
      </c>
      <c r="AD335" s="78">
        <v>0</v>
      </c>
      <c r="AE335" s="78" t="s">
        <v>1615</v>
      </c>
      <c r="AF335" s="78">
        <v>2</v>
      </c>
      <c r="AG335" s="78">
        <v>646</v>
      </c>
      <c r="AH335" s="78">
        <v>36</v>
      </c>
      <c r="AI335" s="78">
        <v>4</v>
      </c>
      <c r="AJ335" s="78">
        <v>4</v>
      </c>
      <c r="AK335" s="78">
        <v>1</v>
      </c>
      <c r="AL335" s="78">
        <v>0.2</v>
      </c>
      <c r="AM335" s="78">
        <v>0.1</v>
      </c>
      <c r="AN335" s="78">
        <v>0</v>
      </c>
      <c r="AO335" s="78">
        <v>0</v>
      </c>
    </row>
    <row r="336" spans="1:41">
      <c r="A336" s="78" t="s">
        <v>2268</v>
      </c>
      <c r="B336" s="78" t="s">
        <v>1558</v>
      </c>
      <c r="C336" s="78" t="s">
        <v>366</v>
      </c>
      <c r="D336" s="78" t="s">
        <v>2256</v>
      </c>
      <c r="E336" s="78" t="s">
        <v>2269</v>
      </c>
      <c r="F336" s="78" t="s">
        <v>2225</v>
      </c>
      <c r="G336" s="78" t="s">
        <v>1614</v>
      </c>
      <c r="H336" s="78">
        <v>192</v>
      </c>
      <c r="I336" s="78" t="s">
        <v>1615</v>
      </c>
      <c r="J336" s="78" t="s">
        <v>1615</v>
      </c>
      <c r="K336" s="78">
        <v>0</v>
      </c>
      <c r="L336" s="78">
        <v>0</v>
      </c>
      <c r="M336" s="78">
        <v>0</v>
      </c>
      <c r="N336" s="78">
        <v>0</v>
      </c>
      <c r="O336" s="78">
        <v>21.3</v>
      </c>
      <c r="P336" s="78">
        <v>5.8</v>
      </c>
      <c r="Q336" s="78">
        <v>4.5</v>
      </c>
      <c r="R336" s="78">
        <v>11</v>
      </c>
      <c r="S336" s="78">
        <v>0.2</v>
      </c>
      <c r="T336" s="78">
        <v>0</v>
      </c>
      <c r="U336" s="78">
        <v>1200</v>
      </c>
      <c r="V336" s="78" t="s">
        <v>1615</v>
      </c>
      <c r="W336" s="78">
        <v>7.2</v>
      </c>
      <c r="X336" s="78">
        <v>29</v>
      </c>
      <c r="Y336" s="78" t="s">
        <v>1615</v>
      </c>
      <c r="Z336" s="78" t="s">
        <v>1615</v>
      </c>
      <c r="AA336" s="78" t="s">
        <v>1615</v>
      </c>
      <c r="AB336" s="78" t="s">
        <v>1615</v>
      </c>
      <c r="AC336" s="78" t="s">
        <v>1615</v>
      </c>
      <c r="AD336" s="78" t="s">
        <v>1615</v>
      </c>
      <c r="AE336" s="78" t="s">
        <v>1615</v>
      </c>
      <c r="AF336" s="78" t="s">
        <v>1615</v>
      </c>
      <c r="AG336" s="78">
        <v>605</v>
      </c>
      <c r="AH336" s="78" t="s">
        <v>1615</v>
      </c>
      <c r="AI336" s="78" t="s">
        <v>1615</v>
      </c>
      <c r="AJ336" s="78" t="s">
        <v>1615</v>
      </c>
      <c r="AK336" s="78" t="s">
        <v>1615</v>
      </c>
      <c r="AL336" s="78" t="s">
        <v>1615</v>
      </c>
      <c r="AM336" s="78" t="s">
        <v>1615</v>
      </c>
      <c r="AN336" s="78" t="s">
        <v>1615</v>
      </c>
      <c r="AO336" s="78" t="s">
        <v>1615</v>
      </c>
    </row>
    <row r="337" spans="1:41">
      <c r="A337" s="78" t="s">
        <v>2270</v>
      </c>
      <c r="B337" s="78" t="s">
        <v>1558</v>
      </c>
      <c r="C337" s="78" t="s">
        <v>366</v>
      </c>
      <c r="D337" s="78" t="s">
        <v>2258</v>
      </c>
      <c r="E337" s="78" t="s">
        <v>2271</v>
      </c>
      <c r="F337" s="78" t="s">
        <v>2225</v>
      </c>
      <c r="G337" s="78" t="s">
        <v>1614</v>
      </c>
      <c r="H337" s="78">
        <v>717</v>
      </c>
      <c r="I337" s="78">
        <v>15.3</v>
      </c>
      <c r="J337" s="78">
        <v>0</v>
      </c>
      <c r="K337" s="78">
        <v>1.1000000000000001</v>
      </c>
      <c r="L337" s="78">
        <v>2.75</v>
      </c>
      <c r="M337" s="78" t="s">
        <v>1615</v>
      </c>
      <c r="N337" s="78">
        <v>0</v>
      </c>
      <c r="O337" s="78">
        <v>79.7</v>
      </c>
      <c r="P337" s="78">
        <v>11.8</v>
      </c>
      <c r="Q337" s="78">
        <v>22.7</v>
      </c>
      <c r="R337" s="78">
        <v>41.3</v>
      </c>
      <c r="S337" s="78" t="s">
        <v>1615</v>
      </c>
      <c r="T337" s="78">
        <v>59</v>
      </c>
      <c r="U337" s="78">
        <v>84.1</v>
      </c>
      <c r="V337" s="78">
        <v>0</v>
      </c>
      <c r="W337" s="78" t="s">
        <v>1615</v>
      </c>
      <c r="X337" s="78">
        <v>58</v>
      </c>
      <c r="Y337" s="78" t="s">
        <v>1615</v>
      </c>
      <c r="Z337" s="78">
        <v>0</v>
      </c>
      <c r="AA337" s="78">
        <v>0</v>
      </c>
      <c r="AB337" s="78">
        <v>0</v>
      </c>
      <c r="AC337" s="78">
        <v>0.6</v>
      </c>
      <c r="AD337" s="78">
        <v>0.2</v>
      </c>
      <c r="AE337" s="78">
        <v>0.3</v>
      </c>
      <c r="AF337" s="78">
        <v>7.7</v>
      </c>
      <c r="AG337" s="78">
        <v>568</v>
      </c>
      <c r="AH337" s="78">
        <v>34</v>
      </c>
      <c r="AI337" s="78">
        <v>18</v>
      </c>
      <c r="AJ337" s="78">
        <v>28</v>
      </c>
      <c r="AK337" s="78">
        <v>1</v>
      </c>
      <c r="AL337" s="78">
        <v>0.5</v>
      </c>
      <c r="AM337" s="78">
        <v>0.2</v>
      </c>
      <c r="AN337" s="78">
        <v>0.3</v>
      </c>
      <c r="AO337" s="78">
        <v>6</v>
      </c>
    </row>
    <row r="338" spans="1:41">
      <c r="A338" s="78" t="s">
        <v>2272</v>
      </c>
      <c r="B338" s="78" t="s">
        <v>1558</v>
      </c>
      <c r="C338" s="78" t="s">
        <v>366</v>
      </c>
      <c r="D338" s="78" t="s">
        <v>2260</v>
      </c>
      <c r="E338" s="78" t="s">
        <v>2273</v>
      </c>
      <c r="F338" s="78" t="s">
        <v>2225</v>
      </c>
      <c r="G338" s="78" t="s">
        <v>1614</v>
      </c>
      <c r="H338" s="78">
        <v>671</v>
      </c>
      <c r="I338" s="78">
        <v>18.2</v>
      </c>
      <c r="J338" s="78">
        <v>2.2000000000000002</v>
      </c>
      <c r="K338" s="78">
        <v>7.2</v>
      </c>
      <c r="L338" s="78">
        <v>1.8</v>
      </c>
      <c r="M338" s="78">
        <v>0.2</v>
      </c>
      <c r="N338" s="78" t="s">
        <v>1615</v>
      </c>
      <c r="O338" s="78">
        <v>70.599999999999994</v>
      </c>
      <c r="P338" s="78">
        <v>8.08</v>
      </c>
      <c r="Q338" s="78">
        <v>20.98</v>
      </c>
      <c r="R338" s="78">
        <v>37.409999999999997</v>
      </c>
      <c r="S338" s="78">
        <v>0</v>
      </c>
      <c r="T338" s="78">
        <v>221</v>
      </c>
      <c r="U338" s="78" t="s">
        <v>1615</v>
      </c>
      <c r="V338" s="78" t="s">
        <v>1615</v>
      </c>
      <c r="W338" s="78" t="s">
        <v>1615</v>
      </c>
      <c r="X338" s="78" t="s">
        <v>1615</v>
      </c>
      <c r="Y338" s="78" t="s">
        <v>1615</v>
      </c>
      <c r="Z338" s="78" t="s">
        <v>1615</v>
      </c>
      <c r="AA338" s="78" t="s">
        <v>1615</v>
      </c>
      <c r="AB338" s="78" t="s">
        <v>1615</v>
      </c>
      <c r="AC338" s="78" t="s">
        <v>1615</v>
      </c>
      <c r="AD338" s="78" t="s">
        <v>1615</v>
      </c>
      <c r="AE338" s="78" t="s">
        <v>1615</v>
      </c>
      <c r="AF338" s="78" t="s">
        <v>1615</v>
      </c>
      <c r="AG338" s="78">
        <v>827</v>
      </c>
      <c r="AH338" s="78" t="s">
        <v>1615</v>
      </c>
      <c r="AI338" s="78" t="s">
        <v>1615</v>
      </c>
      <c r="AJ338" s="78" t="s">
        <v>1615</v>
      </c>
      <c r="AK338" s="78" t="s">
        <v>1615</v>
      </c>
      <c r="AL338" s="78" t="s">
        <v>1615</v>
      </c>
      <c r="AM338" s="78" t="s">
        <v>1615</v>
      </c>
      <c r="AN338" s="78" t="s">
        <v>1615</v>
      </c>
      <c r="AO338" s="78" t="s">
        <v>1615</v>
      </c>
    </row>
    <row r="339" spans="1:41">
      <c r="A339" s="78" t="s">
        <v>2274</v>
      </c>
      <c r="B339" s="78" t="s">
        <v>1558</v>
      </c>
      <c r="C339" s="78" t="s">
        <v>366</v>
      </c>
      <c r="D339" s="78" t="s">
        <v>2262</v>
      </c>
      <c r="E339" s="78" t="s">
        <v>2275</v>
      </c>
      <c r="F339" s="78" t="s">
        <v>2276</v>
      </c>
      <c r="G339" s="78" t="s">
        <v>1614</v>
      </c>
      <c r="H339" s="78">
        <v>22</v>
      </c>
      <c r="I339" s="78">
        <v>92.6</v>
      </c>
      <c r="J339" s="78">
        <v>0.6</v>
      </c>
      <c r="K339" s="78">
        <v>2.4</v>
      </c>
      <c r="L339" s="78">
        <v>2.1</v>
      </c>
      <c r="M339" s="78">
        <v>1.3</v>
      </c>
      <c r="N339" s="78">
        <v>2</v>
      </c>
      <c r="O339" s="78">
        <v>0.2</v>
      </c>
      <c r="P339" s="78">
        <v>0.05</v>
      </c>
      <c r="Q339" s="78">
        <v>0</v>
      </c>
      <c r="R339" s="78">
        <v>0.11</v>
      </c>
      <c r="S339" s="78" t="s">
        <v>1615</v>
      </c>
      <c r="T339" s="78">
        <v>0</v>
      </c>
      <c r="U339" s="78">
        <v>50</v>
      </c>
      <c r="V339" s="78">
        <v>7.7</v>
      </c>
      <c r="W339" s="78">
        <v>0</v>
      </c>
      <c r="X339" s="78">
        <v>1.5</v>
      </c>
      <c r="Y339" s="78">
        <v>50.6</v>
      </c>
      <c r="Z339" s="78">
        <v>0.2</v>
      </c>
      <c r="AA339" s="78">
        <v>0.1</v>
      </c>
      <c r="AB339" s="78">
        <v>1.1000000000000001</v>
      </c>
      <c r="AC339" s="78">
        <v>0.1</v>
      </c>
      <c r="AD339" s="78">
        <v>0.2</v>
      </c>
      <c r="AE339" s="78">
        <v>0</v>
      </c>
      <c r="AF339" s="78">
        <v>149</v>
      </c>
      <c r="AG339" s="78">
        <v>14</v>
      </c>
      <c r="AH339" s="78">
        <v>224</v>
      </c>
      <c r="AI339" s="78">
        <v>23</v>
      </c>
      <c r="AJ339" s="78">
        <v>54</v>
      </c>
      <c r="AK339" s="78">
        <v>14</v>
      </c>
      <c r="AL339" s="78">
        <v>0.9</v>
      </c>
      <c r="AM339" s="78">
        <v>0.6</v>
      </c>
      <c r="AN339" s="78">
        <v>0.2</v>
      </c>
      <c r="AO339" s="78">
        <v>6.1</v>
      </c>
    </row>
    <row r="340" spans="1:41">
      <c r="A340" s="78" t="s">
        <v>2277</v>
      </c>
      <c r="B340" s="78" t="s">
        <v>1558</v>
      </c>
      <c r="C340" s="78" t="s">
        <v>366</v>
      </c>
      <c r="D340" s="78" t="s">
        <v>2264</v>
      </c>
      <c r="E340" s="78" t="s">
        <v>356</v>
      </c>
      <c r="F340" s="78" t="s">
        <v>2276</v>
      </c>
      <c r="G340" s="78" t="s">
        <v>1614</v>
      </c>
      <c r="H340" s="78">
        <v>23</v>
      </c>
      <c r="I340" s="78">
        <v>91.2</v>
      </c>
      <c r="J340" s="78">
        <v>1.8</v>
      </c>
      <c r="K340" s="78">
        <v>3</v>
      </c>
      <c r="L340" s="78">
        <v>1.3</v>
      </c>
      <c r="M340" s="78">
        <v>0.4</v>
      </c>
      <c r="N340" s="78">
        <v>2.4</v>
      </c>
      <c r="O340" s="78">
        <v>0.3</v>
      </c>
      <c r="P340" s="78">
        <v>0.04</v>
      </c>
      <c r="Q340" s="78">
        <v>0.01</v>
      </c>
      <c r="R340" s="78">
        <v>0.11</v>
      </c>
      <c r="S340" s="78" t="s">
        <v>1615</v>
      </c>
      <c r="T340" s="78">
        <v>0</v>
      </c>
      <c r="U340" s="78">
        <v>524</v>
      </c>
      <c r="V340" s="78">
        <v>9.8000000000000007</v>
      </c>
      <c r="W340" s="78">
        <v>0</v>
      </c>
      <c r="X340" s="78">
        <v>2.1</v>
      </c>
      <c r="Y340" s="78">
        <v>493.6</v>
      </c>
      <c r="Z340" s="78">
        <v>0.1</v>
      </c>
      <c r="AA340" s="78">
        <v>0.2</v>
      </c>
      <c r="AB340" s="78">
        <v>0.5</v>
      </c>
      <c r="AC340" s="78">
        <v>0.2</v>
      </c>
      <c r="AD340" s="78">
        <v>0.1</v>
      </c>
      <c r="AE340" s="78">
        <v>0</v>
      </c>
      <c r="AF340" s="78">
        <v>146</v>
      </c>
      <c r="AG340" s="78">
        <v>70</v>
      </c>
      <c r="AH340" s="78">
        <v>466</v>
      </c>
      <c r="AI340" s="78">
        <v>136</v>
      </c>
      <c r="AJ340" s="78">
        <v>56</v>
      </c>
      <c r="AK340" s="78">
        <v>87</v>
      </c>
      <c r="AL340" s="78">
        <v>3.6</v>
      </c>
      <c r="AM340" s="78">
        <v>0.8</v>
      </c>
      <c r="AN340" s="78">
        <v>0.2</v>
      </c>
      <c r="AO340" s="78">
        <v>1.5</v>
      </c>
    </row>
    <row r="341" spans="1:41">
      <c r="A341" s="78" t="s">
        <v>2278</v>
      </c>
      <c r="B341" s="78" t="s">
        <v>1558</v>
      </c>
      <c r="C341" s="78" t="s">
        <v>366</v>
      </c>
      <c r="D341" s="78" t="s">
        <v>2266</v>
      </c>
      <c r="E341" s="78" t="s">
        <v>2279</v>
      </c>
      <c r="F341" s="78" t="s">
        <v>2276</v>
      </c>
      <c r="G341" s="78" t="s">
        <v>1614</v>
      </c>
      <c r="H341" s="78">
        <v>31</v>
      </c>
      <c r="I341" s="78">
        <v>91.4</v>
      </c>
      <c r="J341" s="78">
        <v>1.7</v>
      </c>
      <c r="K341" s="78">
        <v>2.9</v>
      </c>
      <c r="L341" s="78">
        <v>4.2</v>
      </c>
      <c r="M341" s="78">
        <v>0.4</v>
      </c>
      <c r="N341" s="78">
        <v>2.2000000000000002</v>
      </c>
      <c r="O341" s="78">
        <v>0.4</v>
      </c>
      <c r="P341" s="78">
        <v>0.06</v>
      </c>
      <c r="Q341" s="78">
        <v>7.0000000000000007E-2</v>
      </c>
      <c r="R341" s="78">
        <v>0.17</v>
      </c>
      <c r="S341" s="78" t="s">
        <v>1615</v>
      </c>
      <c r="T341" s="78">
        <v>0</v>
      </c>
      <c r="U341" s="78">
        <v>469</v>
      </c>
      <c r="V341" s="78">
        <v>28.1</v>
      </c>
      <c r="W341" s="78">
        <v>0</v>
      </c>
      <c r="X341" s="78">
        <v>0.6</v>
      </c>
      <c r="Y341" s="78">
        <v>482.9</v>
      </c>
      <c r="Z341" s="78">
        <v>0</v>
      </c>
      <c r="AA341" s="78">
        <v>0.2</v>
      </c>
      <c r="AB341" s="78">
        <v>0.7</v>
      </c>
      <c r="AC341" s="78">
        <v>0.2</v>
      </c>
      <c r="AD341" s="78">
        <v>0.1</v>
      </c>
      <c r="AE341" s="78">
        <v>0</v>
      </c>
      <c r="AF341" s="78">
        <v>194</v>
      </c>
      <c r="AG341" s="78">
        <v>79</v>
      </c>
      <c r="AH341" s="78">
        <v>414</v>
      </c>
      <c r="AI341" s="78">
        <v>49</v>
      </c>
      <c r="AJ341" s="78">
        <v>49</v>
      </c>
      <c r="AK341" s="78">
        <v>79</v>
      </c>
      <c r="AL341" s="78">
        <v>2.7</v>
      </c>
      <c r="AM341" s="78">
        <v>0.5</v>
      </c>
      <c r="AN341" s="78">
        <v>0.1</v>
      </c>
      <c r="AO341" s="78">
        <v>1</v>
      </c>
    </row>
    <row r="342" spans="1:41">
      <c r="A342" s="78" t="s">
        <v>2280</v>
      </c>
      <c r="B342" s="78" t="s">
        <v>1558</v>
      </c>
      <c r="C342" s="78" t="s">
        <v>366</v>
      </c>
      <c r="D342" s="78" t="s">
        <v>2268</v>
      </c>
      <c r="E342" s="78" t="s">
        <v>2281</v>
      </c>
      <c r="F342" s="78" t="s">
        <v>2276</v>
      </c>
      <c r="G342" s="78" t="s">
        <v>1614</v>
      </c>
      <c r="H342" s="78">
        <v>23</v>
      </c>
      <c r="I342" s="78">
        <v>90.2</v>
      </c>
      <c r="J342" s="78">
        <v>1.1000000000000001</v>
      </c>
      <c r="K342" s="78">
        <v>1.2</v>
      </c>
      <c r="L342" s="78">
        <v>1.4</v>
      </c>
      <c r="M342" s="78">
        <v>3.9</v>
      </c>
      <c r="N342" s="78">
        <v>3.1</v>
      </c>
      <c r="O342" s="78">
        <v>0.2</v>
      </c>
      <c r="P342" s="78">
        <v>0.09</v>
      </c>
      <c r="Q342" s="78">
        <v>0.01</v>
      </c>
      <c r="R342" s="78">
        <v>0.17</v>
      </c>
      <c r="S342" s="78" t="s">
        <v>1615</v>
      </c>
      <c r="T342" s="78">
        <v>0</v>
      </c>
      <c r="U342" s="78">
        <v>48</v>
      </c>
      <c r="V342" s="78">
        <v>12</v>
      </c>
      <c r="W342" s="78">
        <v>0</v>
      </c>
      <c r="X342" s="78">
        <v>2</v>
      </c>
      <c r="Y342" s="78">
        <v>62.8</v>
      </c>
      <c r="Z342" s="78">
        <v>0.1</v>
      </c>
      <c r="AA342" s="78">
        <v>0</v>
      </c>
      <c r="AB342" s="78">
        <v>0.6</v>
      </c>
      <c r="AC342" s="78">
        <v>0</v>
      </c>
      <c r="AD342" s="78">
        <v>0.2</v>
      </c>
      <c r="AE342" s="78">
        <v>0</v>
      </c>
      <c r="AF342" s="78">
        <v>27</v>
      </c>
      <c r="AG342" s="78">
        <v>52</v>
      </c>
      <c r="AH342" s="78">
        <v>558</v>
      </c>
      <c r="AI342" s="78">
        <v>99</v>
      </c>
      <c r="AJ342" s="78">
        <v>50</v>
      </c>
      <c r="AK342" s="78">
        <v>17</v>
      </c>
      <c r="AL342" s="78">
        <v>0.7</v>
      </c>
      <c r="AM342" s="78">
        <v>0.2</v>
      </c>
      <c r="AN342" s="78">
        <v>0.1</v>
      </c>
      <c r="AO342" s="78">
        <v>0.7</v>
      </c>
    </row>
    <row r="343" spans="1:41">
      <c r="A343" s="78" t="s">
        <v>2282</v>
      </c>
      <c r="B343" s="78" t="s">
        <v>1558</v>
      </c>
      <c r="C343" s="78" t="s">
        <v>366</v>
      </c>
      <c r="D343" s="78" t="s">
        <v>2270</v>
      </c>
      <c r="E343" s="78" t="s">
        <v>2283</v>
      </c>
      <c r="F343" s="78" t="s">
        <v>2276</v>
      </c>
      <c r="G343" s="78" t="s">
        <v>1614</v>
      </c>
      <c r="H343" s="78">
        <v>13</v>
      </c>
      <c r="I343" s="78">
        <v>95.6</v>
      </c>
      <c r="J343" s="78">
        <v>0.6</v>
      </c>
      <c r="K343" s="78">
        <v>1.4</v>
      </c>
      <c r="L343" s="78">
        <v>1.1000000000000001</v>
      </c>
      <c r="M343" s="78">
        <v>0.9</v>
      </c>
      <c r="N343" s="78">
        <v>1.1000000000000001</v>
      </c>
      <c r="O343" s="78">
        <v>0.2</v>
      </c>
      <c r="P343" s="78">
        <v>0.03</v>
      </c>
      <c r="Q343" s="78">
        <v>0.01</v>
      </c>
      <c r="R343" s="78">
        <v>0.12</v>
      </c>
      <c r="S343" s="78" t="s">
        <v>1615</v>
      </c>
      <c r="T343" s="78">
        <v>0</v>
      </c>
      <c r="U343" s="78">
        <v>166</v>
      </c>
      <c r="V343" s="78">
        <v>3.7</v>
      </c>
      <c r="W343" s="78">
        <v>0</v>
      </c>
      <c r="X343" s="78">
        <v>0.2</v>
      </c>
      <c r="Y343" s="78">
        <v>102.3</v>
      </c>
      <c r="Z343" s="78">
        <v>0.1</v>
      </c>
      <c r="AA343" s="78">
        <v>0.1</v>
      </c>
      <c r="AB343" s="78">
        <v>0.4</v>
      </c>
      <c r="AC343" s="78">
        <v>0.1</v>
      </c>
      <c r="AD343" s="78">
        <v>0.1</v>
      </c>
      <c r="AE343" s="78">
        <v>0</v>
      </c>
      <c r="AF343" s="78">
        <v>73</v>
      </c>
      <c r="AG343" s="78">
        <v>5</v>
      </c>
      <c r="AH343" s="78">
        <v>238</v>
      </c>
      <c r="AI343" s="78">
        <v>35</v>
      </c>
      <c r="AJ343" s="78">
        <v>33</v>
      </c>
      <c r="AK343" s="78">
        <v>13</v>
      </c>
      <c r="AL343" s="78">
        <v>1.2</v>
      </c>
      <c r="AM343" s="78">
        <v>0.2</v>
      </c>
      <c r="AN343" s="78">
        <v>0</v>
      </c>
      <c r="AO343" s="78">
        <v>0.6</v>
      </c>
    </row>
    <row r="344" spans="1:41">
      <c r="A344" s="78" t="s">
        <v>2284</v>
      </c>
      <c r="B344" s="78" t="s">
        <v>1558</v>
      </c>
      <c r="C344" s="78" t="s">
        <v>366</v>
      </c>
      <c r="D344" s="78" t="s">
        <v>2272</v>
      </c>
      <c r="E344" s="78" t="s">
        <v>2285</v>
      </c>
      <c r="F344" s="78" t="s">
        <v>2276</v>
      </c>
      <c r="G344" s="78" t="s">
        <v>1614</v>
      </c>
      <c r="H344" s="78">
        <v>14</v>
      </c>
      <c r="I344" s="78">
        <v>97.1</v>
      </c>
      <c r="J344" s="78">
        <v>0.2</v>
      </c>
      <c r="K344" s="78">
        <v>0.7</v>
      </c>
      <c r="L344" s="78">
        <v>1.3</v>
      </c>
      <c r="M344" s="78" t="s">
        <v>1615</v>
      </c>
      <c r="N344" s="78" t="s">
        <v>1615</v>
      </c>
      <c r="O344" s="78">
        <v>0.7</v>
      </c>
      <c r="P344" s="78" t="s">
        <v>1615</v>
      </c>
      <c r="Q344" s="78" t="s">
        <v>1615</v>
      </c>
      <c r="R344" s="78" t="s">
        <v>1615</v>
      </c>
      <c r="S344" s="78" t="s">
        <v>1615</v>
      </c>
      <c r="T344" s="78" t="s">
        <v>1615</v>
      </c>
      <c r="U344" s="78" t="s">
        <v>1615</v>
      </c>
      <c r="V344" s="78" t="s">
        <v>1615</v>
      </c>
      <c r="W344" s="78" t="s">
        <v>1615</v>
      </c>
      <c r="X344" s="78" t="s">
        <v>1615</v>
      </c>
      <c r="Y344" s="78" t="s">
        <v>1615</v>
      </c>
      <c r="Z344" s="78" t="s">
        <v>1615</v>
      </c>
      <c r="AA344" s="78" t="s">
        <v>1615</v>
      </c>
      <c r="AB344" s="78" t="s">
        <v>1615</v>
      </c>
      <c r="AC344" s="78" t="s">
        <v>1615</v>
      </c>
      <c r="AD344" s="78" t="s">
        <v>1615</v>
      </c>
      <c r="AE344" s="78" t="s">
        <v>1615</v>
      </c>
      <c r="AF344" s="78" t="s">
        <v>1615</v>
      </c>
      <c r="AG344" s="78">
        <v>22</v>
      </c>
      <c r="AH344" s="78" t="s">
        <v>1615</v>
      </c>
      <c r="AI344" s="78" t="s">
        <v>1615</v>
      </c>
      <c r="AJ344" s="78" t="s">
        <v>1615</v>
      </c>
      <c r="AK344" s="78" t="s">
        <v>1615</v>
      </c>
      <c r="AL344" s="78" t="s">
        <v>1615</v>
      </c>
      <c r="AM344" s="78" t="s">
        <v>1615</v>
      </c>
      <c r="AN344" s="78" t="s">
        <v>1615</v>
      </c>
      <c r="AO344" s="78" t="s">
        <v>1615</v>
      </c>
    </row>
    <row r="345" spans="1:41">
      <c r="A345" s="78" t="s">
        <v>2286</v>
      </c>
      <c r="B345" s="78" t="s">
        <v>1558</v>
      </c>
      <c r="C345" s="78" t="s">
        <v>366</v>
      </c>
      <c r="D345" s="78" t="s">
        <v>2274</v>
      </c>
      <c r="E345" s="78" t="s">
        <v>2287</v>
      </c>
      <c r="F345" s="78" t="s">
        <v>2276</v>
      </c>
      <c r="G345" s="78" t="s">
        <v>1614</v>
      </c>
      <c r="H345" s="78">
        <v>16</v>
      </c>
      <c r="I345" s="78">
        <v>95.6</v>
      </c>
      <c r="J345" s="78">
        <v>0.6</v>
      </c>
      <c r="K345" s="78">
        <v>1.3</v>
      </c>
      <c r="L345" s="78">
        <v>1.4</v>
      </c>
      <c r="M345" s="78">
        <v>0.5</v>
      </c>
      <c r="N345" s="78">
        <v>0.9</v>
      </c>
      <c r="O345" s="78">
        <v>0.2</v>
      </c>
      <c r="P345" s="78">
        <v>0.02</v>
      </c>
      <c r="Q345" s="78">
        <v>0.01</v>
      </c>
      <c r="R345" s="78">
        <v>7.0000000000000007E-2</v>
      </c>
      <c r="S345" s="78" t="s">
        <v>1615</v>
      </c>
      <c r="T345" s="78">
        <v>0</v>
      </c>
      <c r="U345" s="78">
        <v>375</v>
      </c>
      <c r="V345" s="78">
        <v>3.7</v>
      </c>
      <c r="W345" s="78">
        <v>0</v>
      </c>
      <c r="X345" s="78">
        <v>0.2</v>
      </c>
      <c r="Y345" s="78">
        <v>140.30000000000001</v>
      </c>
      <c r="Z345" s="78">
        <v>0.1</v>
      </c>
      <c r="AA345" s="78">
        <v>0.1</v>
      </c>
      <c r="AB345" s="78">
        <v>0.3</v>
      </c>
      <c r="AC345" s="78">
        <v>0.1</v>
      </c>
      <c r="AD345" s="78">
        <v>0.1</v>
      </c>
      <c r="AE345" s="78">
        <v>0</v>
      </c>
      <c r="AF345" s="78">
        <v>36</v>
      </c>
      <c r="AG345" s="78">
        <v>25</v>
      </c>
      <c r="AH345" s="78">
        <v>187</v>
      </c>
      <c r="AI345" s="78">
        <v>33</v>
      </c>
      <c r="AJ345" s="78">
        <v>28</v>
      </c>
      <c r="AK345" s="78">
        <v>12</v>
      </c>
      <c r="AL345" s="78">
        <v>1.2</v>
      </c>
      <c r="AM345" s="78">
        <v>0.2</v>
      </c>
      <c r="AN345" s="78">
        <v>0</v>
      </c>
      <c r="AO345" s="78">
        <v>1.5</v>
      </c>
    </row>
    <row r="346" spans="1:41">
      <c r="A346" s="78" t="s">
        <v>2288</v>
      </c>
      <c r="B346" s="78" t="s">
        <v>1558</v>
      </c>
      <c r="C346" s="78" t="s">
        <v>366</v>
      </c>
      <c r="D346" s="78" t="s">
        <v>2277</v>
      </c>
      <c r="E346" s="78" t="s">
        <v>2289</v>
      </c>
      <c r="F346" s="78" t="s">
        <v>2276</v>
      </c>
      <c r="G346" s="78" t="s">
        <v>1614</v>
      </c>
      <c r="H346" s="78">
        <v>37</v>
      </c>
      <c r="I346" s="78">
        <v>86</v>
      </c>
      <c r="J346" s="78">
        <v>3.4</v>
      </c>
      <c r="K346" s="78">
        <v>3.3</v>
      </c>
      <c r="L346" s="78">
        <v>0</v>
      </c>
      <c r="M346" s="78">
        <v>0</v>
      </c>
      <c r="N346" s="78">
        <v>8.8000000000000007</v>
      </c>
      <c r="O346" s="78">
        <v>0.7</v>
      </c>
      <c r="P346" s="78" t="s">
        <v>1615</v>
      </c>
      <c r="Q346" s="78" t="s">
        <v>1615</v>
      </c>
      <c r="R346" s="78" t="s">
        <v>1615</v>
      </c>
      <c r="S346" s="78" t="s">
        <v>1615</v>
      </c>
      <c r="T346" s="78" t="s">
        <v>1615</v>
      </c>
      <c r="U346" s="78" t="s">
        <v>1615</v>
      </c>
      <c r="V346" s="78" t="s">
        <v>1615</v>
      </c>
      <c r="W346" s="78" t="s">
        <v>1615</v>
      </c>
      <c r="X346" s="78" t="s">
        <v>1615</v>
      </c>
      <c r="Y346" s="78" t="s">
        <v>1615</v>
      </c>
      <c r="Z346" s="78" t="s">
        <v>1615</v>
      </c>
      <c r="AA346" s="78" t="s">
        <v>1615</v>
      </c>
      <c r="AB346" s="78" t="s">
        <v>1615</v>
      </c>
      <c r="AC346" s="78" t="s">
        <v>1615</v>
      </c>
      <c r="AD346" s="78" t="s">
        <v>1615</v>
      </c>
      <c r="AE346" s="78" t="s">
        <v>1615</v>
      </c>
      <c r="AF346" s="78" t="s">
        <v>1615</v>
      </c>
      <c r="AG346" s="78" t="s">
        <v>1615</v>
      </c>
      <c r="AH346" s="78" t="s">
        <v>1615</v>
      </c>
      <c r="AI346" s="78" t="s">
        <v>1615</v>
      </c>
      <c r="AJ346" s="78" t="s">
        <v>1615</v>
      </c>
      <c r="AK346" s="78" t="s">
        <v>1615</v>
      </c>
      <c r="AL346" s="78" t="s">
        <v>1615</v>
      </c>
      <c r="AM346" s="78" t="s">
        <v>1615</v>
      </c>
      <c r="AN346" s="78" t="s">
        <v>1615</v>
      </c>
      <c r="AO346" s="78" t="s">
        <v>1615</v>
      </c>
    </row>
    <row r="347" spans="1:41">
      <c r="A347" s="78" t="s">
        <v>2290</v>
      </c>
      <c r="B347" s="78" t="s">
        <v>1558</v>
      </c>
      <c r="C347" s="78" t="s">
        <v>366</v>
      </c>
      <c r="D347" s="78" t="s">
        <v>2278</v>
      </c>
      <c r="E347" s="78" t="s">
        <v>2291</v>
      </c>
      <c r="F347" s="78" t="s">
        <v>2276</v>
      </c>
      <c r="G347" s="78" t="s">
        <v>1614</v>
      </c>
      <c r="H347" s="78">
        <v>157</v>
      </c>
      <c r="I347" s="78">
        <v>11.1</v>
      </c>
      <c r="J347" s="78">
        <v>8.1999999999999993</v>
      </c>
      <c r="K347" s="78">
        <v>23.9</v>
      </c>
      <c r="L347" s="78">
        <v>15.1</v>
      </c>
      <c r="M347" s="78">
        <v>0.1</v>
      </c>
      <c r="N347" s="78">
        <v>41.6</v>
      </c>
      <c r="O347" s="78">
        <v>0.1</v>
      </c>
      <c r="P347" s="78" t="s">
        <v>1615</v>
      </c>
      <c r="Q347" s="78" t="s">
        <v>1615</v>
      </c>
      <c r="R347" s="78" t="s">
        <v>1615</v>
      </c>
      <c r="S347" s="78" t="s">
        <v>1615</v>
      </c>
      <c r="T347" s="78" t="s">
        <v>1615</v>
      </c>
      <c r="U347" s="78" t="s">
        <v>1615</v>
      </c>
      <c r="V347" s="78" t="s">
        <v>1615</v>
      </c>
      <c r="W347" s="78" t="s">
        <v>1615</v>
      </c>
      <c r="X347" s="78" t="s">
        <v>1615</v>
      </c>
      <c r="Y347" s="78" t="s">
        <v>1615</v>
      </c>
      <c r="Z347" s="78" t="s">
        <v>1615</v>
      </c>
      <c r="AA347" s="78" t="s">
        <v>1615</v>
      </c>
      <c r="AB347" s="78" t="s">
        <v>1615</v>
      </c>
      <c r="AC347" s="78" t="s">
        <v>1615</v>
      </c>
      <c r="AD347" s="78" t="s">
        <v>1615</v>
      </c>
      <c r="AE347" s="78" t="s">
        <v>1615</v>
      </c>
      <c r="AF347" s="78" t="s">
        <v>1615</v>
      </c>
      <c r="AG347" s="78">
        <v>357</v>
      </c>
      <c r="AH347" s="78" t="s">
        <v>1615</v>
      </c>
      <c r="AI347" s="78">
        <v>154</v>
      </c>
      <c r="AJ347" s="78">
        <v>295</v>
      </c>
      <c r="AK347" s="78">
        <v>372</v>
      </c>
      <c r="AL347" s="78">
        <v>36</v>
      </c>
      <c r="AM347" s="78">
        <v>1.5</v>
      </c>
      <c r="AN347" s="78" t="s">
        <v>1615</v>
      </c>
      <c r="AO347" s="78" t="s">
        <v>1615</v>
      </c>
    </row>
    <row r="348" spans="1:41">
      <c r="A348" s="78" t="s">
        <v>2292</v>
      </c>
      <c r="B348" s="78" t="s">
        <v>1558</v>
      </c>
      <c r="C348" s="78" t="s">
        <v>366</v>
      </c>
      <c r="D348" s="78" t="s">
        <v>2280</v>
      </c>
      <c r="E348" s="78" t="s">
        <v>2293</v>
      </c>
      <c r="F348" s="78" t="s">
        <v>2276</v>
      </c>
      <c r="G348" s="78" t="s">
        <v>1614</v>
      </c>
      <c r="H348" s="78">
        <v>28</v>
      </c>
      <c r="I348" s="78">
        <v>91.9</v>
      </c>
      <c r="J348" s="78">
        <v>0.7</v>
      </c>
      <c r="K348" s="78">
        <v>0.9</v>
      </c>
      <c r="L348" s="78">
        <v>4.5999999999999996</v>
      </c>
      <c r="M348" s="78">
        <v>3.8</v>
      </c>
      <c r="N348" s="78">
        <v>1.8</v>
      </c>
      <c r="O348" s="78">
        <v>0.1</v>
      </c>
      <c r="P348" s="78">
        <v>0.01</v>
      </c>
      <c r="Q348" s="78">
        <v>0.01</v>
      </c>
      <c r="R348" s="78">
        <v>0.05</v>
      </c>
      <c r="S348" s="78" t="s">
        <v>1615</v>
      </c>
      <c r="T348" s="78">
        <v>0</v>
      </c>
      <c r="U348" s="78">
        <v>0</v>
      </c>
      <c r="V348" s="78">
        <v>21</v>
      </c>
      <c r="W348" s="78">
        <v>0</v>
      </c>
      <c r="X348" s="78">
        <v>0</v>
      </c>
      <c r="Y348" s="78">
        <v>0.1</v>
      </c>
      <c r="Z348" s="78">
        <v>0</v>
      </c>
      <c r="AA348" s="78">
        <v>0</v>
      </c>
      <c r="AB348" s="78">
        <v>0.4</v>
      </c>
      <c r="AC348" s="78">
        <v>0.1</v>
      </c>
      <c r="AD348" s="78">
        <v>0.2</v>
      </c>
      <c r="AE348" s="78">
        <v>0</v>
      </c>
      <c r="AF348" s="78">
        <v>15</v>
      </c>
      <c r="AG348" s="78">
        <v>67</v>
      </c>
      <c r="AH348" s="78">
        <v>191</v>
      </c>
      <c r="AI348" s="78">
        <v>30</v>
      </c>
      <c r="AJ348" s="78">
        <v>27</v>
      </c>
      <c r="AK348" s="78">
        <v>11</v>
      </c>
      <c r="AL348" s="78">
        <v>0.3</v>
      </c>
      <c r="AM348" s="78">
        <v>0.3</v>
      </c>
      <c r="AN348" s="78">
        <v>0.1</v>
      </c>
      <c r="AO348" s="78">
        <v>0.7</v>
      </c>
    </row>
    <row r="349" spans="1:41">
      <c r="A349" s="78" t="s">
        <v>2294</v>
      </c>
      <c r="B349" s="78" t="s">
        <v>1558</v>
      </c>
      <c r="C349" s="78" t="s">
        <v>366</v>
      </c>
      <c r="D349" s="78" t="s">
        <v>2282</v>
      </c>
      <c r="E349" s="78" t="s">
        <v>2295</v>
      </c>
      <c r="F349" s="78" t="s">
        <v>2276</v>
      </c>
      <c r="G349" s="78" t="s">
        <v>1614</v>
      </c>
      <c r="H349" s="78">
        <v>21</v>
      </c>
      <c r="I349" s="78">
        <v>92.1</v>
      </c>
      <c r="J349" s="78">
        <v>1.4</v>
      </c>
      <c r="K349" s="78">
        <v>0.4</v>
      </c>
      <c r="L349" s="78">
        <v>4.4000000000000004</v>
      </c>
      <c r="M349" s="78" t="s">
        <v>1615</v>
      </c>
      <c r="N349" s="78" t="s">
        <v>1615</v>
      </c>
      <c r="O349" s="78">
        <v>0.2</v>
      </c>
      <c r="P349" s="78" t="s">
        <v>1615</v>
      </c>
      <c r="Q349" s="78" t="s">
        <v>1615</v>
      </c>
      <c r="R349" s="78" t="s">
        <v>1615</v>
      </c>
      <c r="S349" s="78" t="s">
        <v>1615</v>
      </c>
      <c r="T349" s="78" t="s">
        <v>1615</v>
      </c>
      <c r="U349" s="78" t="s">
        <v>1615</v>
      </c>
      <c r="V349" s="78">
        <v>0</v>
      </c>
      <c r="W349" s="78" t="s">
        <v>1615</v>
      </c>
      <c r="X349" s="78" t="s">
        <v>1615</v>
      </c>
      <c r="Y349" s="78" t="s">
        <v>1615</v>
      </c>
      <c r="Z349" s="78">
        <v>0</v>
      </c>
      <c r="AA349" s="78">
        <v>0</v>
      </c>
      <c r="AB349" s="78">
        <v>0.2</v>
      </c>
      <c r="AC349" s="78" t="s">
        <v>1615</v>
      </c>
      <c r="AD349" s="78" t="s">
        <v>1615</v>
      </c>
      <c r="AE349" s="78" t="s">
        <v>1615</v>
      </c>
      <c r="AF349" s="78" t="s">
        <v>1615</v>
      </c>
      <c r="AG349" s="78" t="s">
        <v>1615</v>
      </c>
      <c r="AH349" s="78" t="s">
        <v>1615</v>
      </c>
      <c r="AI349" s="78">
        <v>180</v>
      </c>
      <c r="AJ349" s="78">
        <v>10</v>
      </c>
      <c r="AK349" s="78" t="s">
        <v>1615</v>
      </c>
      <c r="AL349" s="78">
        <v>2.1</v>
      </c>
      <c r="AM349" s="78" t="s">
        <v>1615</v>
      </c>
      <c r="AN349" s="78" t="s">
        <v>1615</v>
      </c>
      <c r="AO349" s="78" t="s">
        <v>1615</v>
      </c>
    </row>
    <row r="350" spans="1:41">
      <c r="A350" s="78" t="s">
        <v>2296</v>
      </c>
      <c r="B350" s="78" t="s">
        <v>1558</v>
      </c>
      <c r="C350" s="78" t="s">
        <v>366</v>
      </c>
      <c r="D350" s="78" t="s">
        <v>2284</v>
      </c>
      <c r="E350" s="78" t="s">
        <v>2297</v>
      </c>
      <c r="F350" s="78" t="s">
        <v>2276</v>
      </c>
      <c r="G350" s="78" t="s">
        <v>1614</v>
      </c>
      <c r="H350" s="78">
        <v>12</v>
      </c>
      <c r="I350" s="78">
        <v>96.7</v>
      </c>
      <c r="J350" s="78">
        <v>0.4</v>
      </c>
      <c r="K350" s="78">
        <v>0.6</v>
      </c>
      <c r="L350" s="78">
        <v>1.5</v>
      </c>
      <c r="M350" s="78">
        <v>1.4</v>
      </c>
      <c r="N350" s="78">
        <v>0.7</v>
      </c>
      <c r="O350" s="78">
        <v>0.2</v>
      </c>
      <c r="P350" s="78">
        <v>0.01</v>
      </c>
      <c r="Q350" s="78">
        <v>0</v>
      </c>
      <c r="R350" s="78">
        <v>0</v>
      </c>
      <c r="S350" s="78" t="s">
        <v>1615</v>
      </c>
      <c r="T350" s="78">
        <v>0</v>
      </c>
      <c r="U350" s="78">
        <v>4</v>
      </c>
      <c r="V350" s="78">
        <v>3.2</v>
      </c>
      <c r="W350" s="78">
        <v>0</v>
      </c>
      <c r="X350" s="78">
        <v>0</v>
      </c>
      <c r="Y350" s="78">
        <v>7.2</v>
      </c>
      <c r="Z350" s="78">
        <v>0</v>
      </c>
      <c r="AA350" s="78">
        <v>0</v>
      </c>
      <c r="AB350" s="78">
        <v>0</v>
      </c>
      <c r="AC350" s="78">
        <v>0.1</v>
      </c>
      <c r="AD350" s="78">
        <v>0.2</v>
      </c>
      <c r="AE350" s="78">
        <v>0</v>
      </c>
      <c r="AF350" s="78">
        <v>14</v>
      </c>
      <c r="AG350" s="78">
        <v>2</v>
      </c>
      <c r="AH350" s="78">
        <v>136</v>
      </c>
      <c r="AI350" s="78">
        <v>14</v>
      </c>
      <c r="AJ350" s="78">
        <v>21</v>
      </c>
      <c r="AK350" s="78">
        <v>12</v>
      </c>
      <c r="AL350" s="78">
        <v>0.2</v>
      </c>
      <c r="AM350" s="78">
        <v>0.2</v>
      </c>
      <c r="AN350" s="78">
        <v>0.1</v>
      </c>
      <c r="AO350" s="78">
        <v>0.1</v>
      </c>
    </row>
    <row r="351" spans="1:41">
      <c r="A351" s="78" t="s">
        <v>2298</v>
      </c>
      <c r="B351" s="78" t="s">
        <v>1558</v>
      </c>
      <c r="C351" s="78" t="s">
        <v>366</v>
      </c>
      <c r="D351" s="78" t="s">
        <v>2286</v>
      </c>
      <c r="E351" s="78" t="s">
        <v>2299</v>
      </c>
      <c r="F351" s="78" t="s">
        <v>2276</v>
      </c>
      <c r="G351" s="78" t="s">
        <v>1614</v>
      </c>
      <c r="H351" s="78">
        <v>12</v>
      </c>
      <c r="I351" s="78">
        <v>94.3</v>
      </c>
      <c r="J351" s="78">
        <v>2.5</v>
      </c>
      <c r="K351" s="78">
        <v>0.5</v>
      </c>
      <c r="L351" s="78">
        <v>1.4</v>
      </c>
      <c r="M351" s="78">
        <v>1.1000000000000001</v>
      </c>
      <c r="N351" s="78">
        <v>1</v>
      </c>
      <c r="O351" s="78">
        <v>0.3</v>
      </c>
      <c r="P351" s="78">
        <v>0.08</v>
      </c>
      <c r="Q351" s="78">
        <v>0.01</v>
      </c>
      <c r="R351" s="78">
        <v>0.12</v>
      </c>
      <c r="S351" s="78" t="s">
        <v>1615</v>
      </c>
      <c r="T351" s="78">
        <v>0</v>
      </c>
      <c r="U351" s="78">
        <v>6</v>
      </c>
      <c r="V351" s="78">
        <v>2.2999999999999998</v>
      </c>
      <c r="W351" s="78">
        <v>0</v>
      </c>
      <c r="X351" s="78">
        <v>0</v>
      </c>
      <c r="Y351" s="78">
        <v>17.3</v>
      </c>
      <c r="Z351" s="78">
        <v>0</v>
      </c>
      <c r="AA351" s="78">
        <v>0.1</v>
      </c>
      <c r="AB351" s="78">
        <v>0.1</v>
      </c>
      <c r="AC351" s="78">
        <v>0</v>
      </c>
      <c r="AD351" s="78">
        <v>0.2</v>
      </c>
      <c r="AE351" s="78">
        <v>0</v>
      </c>
      <c r="AF351" s="78">
        <v>8</v>
      </c>
      <c r="AG351" s="78">
        <v>809</v>
      </c>
      <c r="AH351" s="78">
        <v>117</v>
      </c>
      <c r="AI351" s="78">
        <v>57</v>
      </c>
      <c r="AJ351" s="78">
        <v>16</v>
      </c>
      <c r="AK351" s="78">
        <v>7</v>
      </c>
      <c r="AL351" s="78">
        <v>0.3</v>
      </c>
      <c r="AM351" s="78">
        <v>0.1</v>
      </c>
      <c r="AN351" s="78">
        <v>0</v>
      </c>
      <c r="AO351" s="78">
        <v>0</v>
      </c>
    </row>
    <row r="352" spans="1:41">
      <c r="A352" s="78" t="s">
        <v>2300</v>
      </c>
      <c r="B352" s="78" t="s">
        <v>1558</v>
      </c>
      <c r="C352" s="78" t="s">
        <v>366</v>
      </c>
      <c r="D352" s="78" t="s">
        <v>2288</v>
      </c>
      <c r="E352" s="78" t="s">
        <v>2301</v>
      </c>
      <c r="F352" s="78" t="s">
        <v>2276</v>
      </c>
      <c r="G352" s="78" t="s">
        <v>1614</v>
      </c>
      <c r="H352" s="78">
        <v>67</v>
      </c>
      <c r="I352" s="78">
        <v>79</v>
      </c>
      <c r="J352" s="78" t="s">
        <v>1615</v>
      </c>
      <c r="K352" s="78">
        <v>0.9</v>
      </c>
      <c r="L352" s="78">
        <v>16.3</v>
      </c>
      <c r="M352" s="78" t="s">
        <v>1615</v>
      </c>
      <c r="N352" s="78">
        <v>1.3</v>
      </c>
      <c r="O352" s="78">
        <v>0.2</v>
      </c>
      <c r="P352" s="78">
        <v>0.04</v>
      </c>
      <c r="Q352" s="78">
        <v>0</v>
      </c>
      <c r="R352" s="78">
        <v>7.0000000000000007E-2</v>
      </c>
      <c r="S352" s="78" t="s">
        <v>1615</v>
      </c>
      <c r="T352" s="78">
        <v>0</v>
      </c>
      <c r="U352" s="78">
        <v>14</v>
      </c>
      <c r="V352" s="78">
        <v>6.7</v>
      </c>
      <c r="W352" s="78" t="s">
        <v>1615</v>
      </c>
      <c r="X352" s="78">
        <v>0</v>
      </c>
      <c r="Y352" s="78" t="s">
        <v>1615</v>
      </c>
      <c r="Z352" s="78">
        <v>0</v>
      </c>
      <c r="AA352" s="78">
        <v>0</v>
      </c>
      <c r="AB352" s="78">
        <v>0</v>
      </c>
      <c r="AC352" s="78">
        <v>0</v>
      </c>
      <c r="AD352" s="78">
        <v>0.1</v>
      </c>
      <c r="AE352" s="78">
        <v>0</v>
      </c>
      <c r="AF352" s="78">
        <v>0</v>
      </c>
      <c r="AG352" s="78">
        <v>670</v>
      </c>
      <c r="AH352" s="78">
        <v>66.7</v>
      </c>
      <c r="AI352" s="78">
        <v>10</v>
      </c>
      <c r="AJ352" s="78">
        <v>20</v>
      </c>
      <c r="AK352" s="78">
        <v>6</v>
      </c>
      <c r="AL352" s="78">
        <v>0.7</v>
      </c>
      <c r="AM352" s="78">
        <v>0</v>
      </c>
      <c r="AN352" s="78">
        <v>0.1</v>
      </c>
      <c r="AO352" s="78">
        <v>1.1000000000000001</v>
      </c>
    </row>
    <row r="353" spans="1:41">
      <c r="A353" s="78" t="s">
        <v>2302</v>
      </c>
      <c r="B353" s="78" t="s">
        <v>1558</v>
      </c>
      <c r="C353" s="78" t="s">
        <v>366</v>
      </c>
      <c r="D353" s="78" t="s">
        <v>2290</v>
      </c>
      <c r="E353" s="78" t="s">
        <v>2303</v>
      </c>
      <c r="F353" s="78" t="s">
        <v>2276</v>
      </c>
      <c r="G353" s="78" t="s">
        <v>1614</v>
      </c>
      <c r="H353" s="78">
        <v>31</v>
      </c>
      <c r="I353" s="78">
        <v>92.2</v>
      </c>
      <c r="J353" s="78">
        <v>0.5</v>
      </c>
      <c r="K353" s="78">
        <v>1</v>
      </c>
      <c r="L353" s="78">
        <v>3.9</v>
      </c>
      <c r="M353" s="78">
        <v>4.2</v>
      </c>
      <c r="N353" s="78">
        <v>2.1</v>
      </c>
      <c r="O353" s="78">
        <v>0.3</v>
      </c>
      <c r="P353" s="78">
        <v>0.03</v>
      </c>
      <c r="Q353" s="78">
        <v>0</v>
      </c>
      <c r="R353" s="78">
        <v>7.0000000000000007E-2</v>
      </c>
      <c r="S353" s="78" t="s">
        <v>1615</v>
      </c>
      <c r="T353" s="78">
        <v>0</v>
      </c>
      <c r="U353" s="78">
        <v>157</v>
      </c>
      <c r="V353" s="78">
        <v>127.7</v>
      </c>
      <c r="W353" s="78">
        <v>0</v>
      </c>
      <c r="X353" s="78">
        <v>1.6</v>
      </c>
      <c r="Y353" s="78">
        <v>4.9000000000000004</v>
      </c>
      <c r="Z353" s="78">
        <v>0.1</v>
      </c>
      <c r="AA353" s="78">
        <v>0.1</v>
      </c>
      <c r="AB353" s="78">
        <v>1</v>
      </c>
      <c r="AC353" s="78">
        <v>0.3</v>
      </c>
      <c r="AD353" s="78">
        <v>0.3</v>
      </c>
      <c r="AE353" s="78">
        <v>0</v>
      </c>
      <c r="AF353" s="78">
        <v>46</v>
      </c>
      <c r="AG353" s="78">
        <v>4</v>
      </c>
      <c r="AH353" s="78">
        <v>211</v>
      </c>
      <c r="AI353" s="78">
        <v>7</v>
      </c>
      <c r="AJ353" s="78">
        <v>26</v>
      </c>
      <c r="AK353" s="78">
        <v>12</v>
      </c>
      <c r="AL353" s="78">
        <v>0.4</v>
      </c>
      <c r="AM353" s="78">
        <v>0.3</v>
      </c>
      <c r="AN353" s="78">
        <v>0</v>
      </c>
      <c r="AO353" s="78">
        <v>0.1</v>
      </c>
    </row>
    <row r="354" spans="1:41">
      <c r="A354" s="78" t="s">
        <v>2304</v>
      </c>
      <c r="B354" s="78" t="s">
        <v>1558</v>
      </c>
      <c r="C354" s="78" t="s">
        <v>366</v>
      </c>
      <c r="D354" s="78" t="s">
        <v>2292</v>
      </c>
      <c r="E354" s="78" t="s">
        <v>2305</v>
      </c>
      <c r="F354" s="78" t="s">
        <v>2276</v>
      </c>
      <c r="G354" s="78" t="s">
        <v>1614</v>
      </c>
      <c r="H354" s="78">
        <v>20</v>
      </c>
      <c r="I354" s="78">
        <v>93.9</v>
      </c>
      <c r="J354" s="78">
        <v>0.4</v>
      </c>
      <c r="K354" s="78">
        <v>0.9</v>
      </c>
      <c r="L354" s="78">
        <v>2.9</v>
      </c>
      <c r="M354" s="78">
        <v>2.4</v>
      </c>
      <c r="N354" s="78">
        <v>1.7</v>
      </c>
      <c r="O354" s="78">
        <v>0.2</v>
      </c>
      <c r="P354" s="78">
        <v>0.06</v>
      </c>
      <c r="Q354" s="78">
        <v>0.01</v>
      </c>
      <c r="R354" s="78">
        <v>0.06</v>
      </c>
      <c r="S354" s="78" t="s">
        <v>1615</v>
      </c>
      <c r="T354" s="78">
        <v>0</v>
      </c>
      <c r="U354" s="78">
        <v>18</v>
      </c>
      <c r="V354" s="78">
        <v>80.400000000000006</v>
      </c>
      <c r="W354" s="78">
        <v>0</v>
      </c>
      <c r="X354" s="78">
        <v>0.4</v>
      </c>
      <c r="Y354" s="78">
        <v>7.4</v>
      </c>
      <c r="Z354" s="78">
        <v>0.1</v>
      </c>
      <c r="AA354" s="78">
        <v>0</v>
      </c>
      <c r="AB354" s="78">
        <v>0.5</v>
      </c>
      <c r="AC354" s="78">
        <v>0.2</v>
      </c>
      <c r="AD354" s="78">
        <v>0.1</v>
      </c>
      <c r="AE354" s="78">
        <v>0</v>
      </c>
      <c r="AF354" s="78">
        <v>10</v>
      </c>
      <c r="AG354" s="78">
        <v>3</v>
      </c>
      <c r="AH354" s="78">
        <v>175</v>
      </c>
      <c r="AI354" s="78">
        <v>10</v>
      </c>
      <c r="AJ354" s="78">
        <v>20</v>
      </c>
      <c r="AK354" s="78">
        <v>10</v>
      </c>
      <c r="AL354" s="78">
        <v>0.3</v>
      </c>
      <c r="AM354" s="78">
        <v>0.1</v>
      </c>
      <c r="AN354" s="78">
        <v>0.1</v>
      </c>
      <c r="AO354" s="78">
        <v>0</v>
      </c>
    </row>
    <row r="355" spans="1:41">
      <c r="A355" s="78" t="s">
        <v>2306</v>
      </c>
      <c r="B355" s="78" t="s">
        <v>1558</v>
      </c>
      <c r="C355" s="78" t="s">
        <v>366</v>
      </c>
      <c r="D355" s="78" t="s">
        <v>2294</v>
      </c>
      <c r="E355" s="78" t="s">
        <v>2307</v>
      </c>
      <c r="F355" s="78" t="s">
        <v>2276</v>
      </c>
      <c r="G355" s="78" t="s">
        <v>1614</v>
      </c>
      <c r="H355" s="78">
        <v>21</v>
      </c>
      <c r="I355" s="78">
        <v>93.5</v>
      </c>
      <c r="J355" s="78">
        <v>0.8</v>
      </c>
      <c r="K355" s="78">
        <v>1.1000000000000001</v>
      </c>
      <c r="L355" s="78">
        <v>2.2999999999999998</v>
      </c>
      <c r="M355" s="78">
        <v>1.4</v>
      </c>
      <c r="N355" s="78">
        <v>1.9</v>
      </c>
      <c r="O355" s="78">
        <v>0.4</v>
      </c>
      <c r="P355" s="78">
        <v>0.09</v>
      </c>
      <c r="Q355" s="78">
        <v>0.02</v>
      </c>
      <c r="R355" s="78">
        <v>0.21</v>
      </c>
      <c r="S355" s="78" t="s">
        <v>1615</v>
      </c>
      <c r="T355" s="78">
        <v>0</v>
      </c>
      <c r="U355" s="78">
        <v>18</v>
      </c>
      <c r="V355" s="78">
        <v>2.8</v>
      </c>
      <c r="W355" s="78">
        <v>0</v>
      </c>
      <c r="X355" s="78">
        <v>0</v>
      </c>
      <c r="Y355" s="78">
        <v>38.9</v>
      </c>
      <c r="Z355" s="78">
        <v>0</v>
      </c>
      <c r="AA355" s="78">
        <v>0</v>
      </c>
      <c r="AB355" s="78">
        <v>0.2</v>
      </c>
      <c r="AC355" s="78">
        <v>0</v>
      </c>
      <c r="AD355" s="78">
        <v>0.2</v>
      </c>
      <c r="AE355" s="78">
        <v>0</v>
      </c>
      <c r="AF355" s="78">
        <v>24</v>
      </c>
      <c r="AG355" s="78">
        <v>268</v>
      </c>
      <c r="AH355" s="78">
        <v>96</v>
      </c>
      <c r="AI355" s="78">
        <v>37</v>
      </c>
      <c r="AJ355" s="78">
        <v>22</v>
      </c>
      <c r="AK355" s="78">
        <v>13</v>
      </c>
      <c r="AL355" s="78">
        <v>0.9</v>
      </c>
      <c r="AM355" s="78">
        <v>0.2</v>
      </c>
      <c r="AN355" s="78">
        <v>0</v>
      </c>
      <c r="AO355" s="78">
        <v>0.4</v>
      </c>
    </row>
    <row r="356" spans="1:41">
      <c r="A356" s="78" t="s">
        <v>2308</v>
      </c>
      <c r="B356" s="78" t="s">
        <v>1558</v>
      </c>
      <c r="C356" s="78" t="s">
        <v>366</v>
      </c>
      <c r="D356" s="78" t="s">
        <v>2296</v>
      </c>
      <c r="E356" s="78" t="s">
        <v>2309</v>
      </c>
      <c r="F356" s="78" t="s">
        <v>2276</v>
      </c>
      <c r="G356" s="78" t="s">
        <v>1614</v>
      </c>
      <c r="H356" s="78">
        <v>35</v>
      </c>
      <c r="I356" s="78">
        <v>89.2</v>
      </c>
      <c r="J356" s="78">
        <v>0.7</v>
      </c>
      <c r="K356" s="78">
        <v>1.9</v>
      </c>
      <c r="L356" s="78">
        <v>4.7</v>
      </c>
      <c r="M356" s="78">
        <v>3.6</v>
      </c>
      <c r="N356" s="78">
        <v>3.2</v>
      </c>
      <c r="O356" s="78">
        <v>0.3</v>
      </c>
      <c r="P356" s="78">
        <v>0.06</v>
      </c>
      <c r="Q356" s="78">
        <v>0.01</v>
      </c>
      <c r="R356" s="78">
        <v>0.15</v>
      </c>
      <c r="S356" s="78" t="s">
        <v>1615</v>
      </c>
      <c r="T356" s="78">
        <v>0</v>
      </c>
      <c r="U356" s="78">
        <v>32</v>
      </c>
      <c r="V356" s="78">
        <v>9.6999999999999993</v>
      </c>
      <c r="W356" s="78">
        <v>0</v>
      </c>
      <c r="X356" s="78">
        <v>0.5</v>
      </c>
      <c r="Y356" s="78">
        <v>47.9</v>
      </c>
      <c r="Z356" s="78">
        <v>0.1</v>
      </c>
      <c r="AA356" s="78">
        <v>0.1</v>
      </c>
      <c r="AB356" s="78">
        <v>0.6</v>
      </c>
      <c r="AC356" s="78">
        <v>0.1</v>
      </c>
      <c r="AD356" s="78">
        <v>0.1</v>
      </c>
      <c r="AE356" s="78">
        <v>0</v>
      </c>
      <c r="AF356" s="78">
        <v>33</v>
      </c>
      <c r="AG356" s="78">
        <v>1</v>
      </c>
      <c r="AH356" s="78">
        <v>146</v>
      </c>
      <c r="AI356" s="78">
        <v>44</v>
      </c>
      <c r="AJ356" s="78">
        <v>29</v>
      </c>
      <c r="AK356" s="78">
        <v>18</v>
      </c>
      <c r="AL356" s="78">
        <v>0.7</v>
      </c>
      <c r="AM356" s="78">
        <v>0.3</v>
      </c>
      <c r="AN356" s="78">
        <v>0.1</v>
      </c>
      <c r="AO356" s="78">
        <v>0.2</v>
      </c>
    </row>
    <row r="357" spans="1:41">
      <c r="A357" s="78" t="s">
        <v>2310</v>
      </c>
      <c r="B357" s="78" t="s">
        <v>1558</v>
      </c>
      <c r="C357" s="78" t="s">
        <v>366</v>
      </c>
      <c r="D357" s="78" t="s">
        <v>2298</v>
      </c>
      <c r="E357" s="78" t="s">
        <v>2311</v>
      </c>
      <c r="F357" s="78" t="s">
        <v>2276</v>
      </c>
      <c r="G357" s="78" t="s">
        <v>1614</v>
      </c>
      <c r="H357" s="78">
        <v>61</v>
      </c>
      <c r="I357" s="78">
        <v>83</v>
      </c>
      <c r="J357" s="78">
        <v>1.9</v>
      </c>
      <c r="K357" s="78">
        <v>1.5</v>
      </c>
      <c r="L357" s="78">
        <v>12.4</v>
      </c>
      <c r="M357" s="78">
        <v>3.9</v>
      </c>
      <c r="N357" s="78">
        <v>1.8</v>
      </c>
      <c r="O357" s="78">
        <v>0.3</v>
      </c>
      <c r="P357" s="78">
        <v>0.04</v>
      </c>
      <c r="Q357" s="78">
        <v>0</v>
      </c>
      <c r="R357" s="78">
        <v>0.17</v>
      </c>
      <c r="S357" s="78" t="s">
        <v>1615</v>
      </c>
      <c r="T357" s="78">
        <v>0</v>
      </c>
      <c r="U357" s="78">
        <v>83</v>
      </c>
      <c r="V357" s="78">
        <v>12</v>
      </c>
      <c r="W357" s="78">
        <v>0</v>
      </c>
      <c r="X357" s="78">
        <v>0.9</v>
      </c>
      <c r="Y357" s="78">
        <v>47</v>
      </c>
      <c r="Z357" s="78">
        <v>0.1</v>
      </c>
      <c r="AA357" s="78">
        <v>0</v>
      </c>
      <c r="AB357" s="78">
        <v>0.4</v>
      </c>
      <c r="AC357" s="78">
        <v>0.2</v>
      </c>
      <c r="AD357" s="78">
        <v>0.1</v>
      </c>
      <c r="AE357" s="78">
        <v>0</v>
      </c>
      <c r="AF357" s="78">
        <v>64</v>
      </c>
      <c r="AG357" s="78">
        <v>20</v>
      </c>
      <c r="AH357" s="78">
        <v>180</v>
      </c>
      <c r="AI357" s="78">
        <v>59</v>
      </c>
      <c r="AJ357" s="78">
        <v>35</v>
      </c>
      <c r="AK357" s="78">
        <v>28</v>
      </c>
      <c r="AL357" s="78">
        <v>2.1</v>
      </c>
      <c r="AM357" s="78">
        <v>0.1</v>
      </c>
      <c r="AN357" s="78">
        <v>0.1</v>
      </c>
      <c r="AO357" s="78">
        <v>11</v>
      </c>
    </row>
    <row r="358" spans="1:41">
      <c r="A358" s="78" t="s">
        <v>2312</v>
      </c>
      <c r="B358" s="78" t="s">
        <v>1558</v>
      </c>
      <c r="C358" s="78" t="s">
        <v>366</v>
      </c>
      <c r="D358" s="78" t="s">
        <v>2300</v>
      </c>
      <c r="E358" s="78" t="s">
        <v>2313</v>
      </c>
      <c r="F358" s="78" t="s">
        <v>2276</v>
      </c>
      <c r="G358" s="78" t="s">
        <v>1614</v>
      </c>
      <c r="H358" s="78">
        <v>36</v>
      </c>
      <c r="I358" s="78">
        <v>95.3</v>
      </c>
      <c r="J358" s="78">
        <v>1.1000000000000001</v>
      </c>
      <c r="K358" s="78">
        <v>0.7</v>
      </c>
      <c r="L358" s="78">
        <v>4.5</v>
      </c>
      <c r="M358" s="78">
        <v>1.9</v>
      </c>
      <c r="N358" s="78">
        <v>1.6</v>
      </c>
      <c r="O358" s="78">
        <v>0.5</v>
      </c>
      <c r="P358" s="78">
        <v>0.03</v>
      </c>
      <c r="Q358" s="78">
        <v>0.04</v>
      </c>
      <c r="R358" s="78">
        <v>0.26</v>
      </c>
      <c r="S358" s="78" t="s">
        <v>1615</v>
      </c>
      <c r="T358" s="78">
        <v>0</v>
      </c>
      <c r="U358" s="78">
        <v>39</v>
      </c>
      <c r="V358" s="78">
        <v>62</v>
      </c>
      <c r="W358" s="78">
        <v>0</v>
      </c>
      <c r="X358" s="78">
        <v>0</v>
      </c>
      <c r="Y358" s="78">
        <v>1.3</v>
      </c>
      <c r="Z358" s="78">
        <v>0</v>
      </c>
      <c r="AA358" s="78">
        <v>0.1</v>
      </c>
      <c r="AB358" s="78">
        <v>0.6</v>
      </c>
      <c r="AC358" s="78">
        <v>0.2</v>
      </c>
      <c r="AD358" s="78">
        <v>0.3</v>
      </c>
      <c r="AE358" s="78">
        <v>0</v>
      </c>
      <c r="AF358" s="78">
        <v>25</v>
      </c>
      <c r="AG358" s="78">
        <v>39</v>
      </c>
      <c r="AH358" s="78">
        <v>233</v>
      </c>
      <c r="AI358" s="78">
        <v>25</v>
      </c>
      <c r="AJ358" s="78">
        <v>20</v>
      </c>
      <c r="AK358" s="78">
        <v>10</v>
      </c>
      <c r="AL358" s="78">
        <v>0.3</v>
      </c>
      <c r="AM358" s="78">
        <v>0.3</v>
      </c>
      <c r="AN358" s="78">
        <v>0.1</v>
      </c>
      <c r="AO358" s="78">
        <v>1.5</v>
      </c>
    </row>
    <row r="359" spans="1:41">
      <c r="A359" s="78" t="s">
        <v>2314</v>
      </c>
      <c r="B359" s="78" t="s">
        <v>1558</v>
      </c>
      <c r="C359" s="78" t="s">
        <v>366</v>
      </c>
      <c r="D359" s="78" t="s">
        <v>2302</v>
      </c>
      <c r="E359" s="78" t="s">
        <v>2315</v>
      </c>
      <c r="F359" s="78" t="s">
        <v>2276</v>
      </c>
      <c r="G359" s="78" t="s">
        <v>1614</v>
      </c>
      <c r="H359" s="78">
        <v>16</v>
      </c>
      <c r="I359" s="78">
        <v>88.9</v>
      </c>
      <c r="J359" s="78">
        <v>1.5</v>
      </c>
      <c r="K359" s="78">
        <v>2.6</v>
      </c>
      <c r="L359" s="78">
        <v>1.8</v>
      </c>
      <c r="M359" s="78">
        <v>1.7</v>
      </c>
      <c r="N359" s="78">
        <v>2.6</v>
      </c>
      <c r="O359" s="78">
        <v>0.1</v>
      </c>
      <c r="P359" s="78">
        <v>0.1</v>
      </c>
      <c r="Q359" s="78">
        <v>0.02</v>
      </c>
      <c r="R359" s="78">
        <v>0.05</v>
      </c>
      <c r="S359" s="78" t="s">
        <v>1615</v>
      </c>
      <c r="T359" s="78">
        <v>0</v>
      </c>
      <c r="U359" s="78">
        <v>0</v>
      </c>
      <c r="V359" s="78">
        <v>14.8</v>
      </c>
      <c r="W359" s="78">
        <v>0</v>
      </c>
      <c r="X359" s="78">
        <v>0.4</v>
      </c>
      <c r="Y359" s="78">
        <v>140.30000000000001</v>
      </c>
      <c r="Z359" s="78">
        <v>0.1</v>
      </c>
      <c r="AA359" s="78">
        <v>0</v>
      </c>
      <c r="AB359" s="78">
        <v>0.3</v>
      </c>
      <c r="AC359" s="78">
        <v>0.1</v>
      </c>
      <c r="AD359" s="78">
        <v>0.2</v>
      </c>
      <c r="AE359" s="78">
        <v>0</v>
      </c>
      <c r="AF359" s="78">
        <v>60</v>
      </c>
      <c r="AG359" s="78">
        <v>21</v>
      </c>
      <c r="AH359" s="78">
        <v>317</v>
      </c>
      <c r="AI359" s="78">
        <v>36</v>
      </c>
      <c r="AJ359" s="78">
        <v>56</v>
      </c>
      <c r="AK359" s="78">
        <v>20</v>
      </c>
      <c r="AL359" s="78">
        <v>1.2</v>
      </c>
      <c r="AM359" s="78">
        <v>0.3</v>
      </c>
      <c r="AN359" s="78">
        <v>0.1</v>
      </c>
      <c r="AO359" s="78">
        <v>0.6</v>
      </c>
    </row>
    <row r="360" spans="1:41">
      <c r="A360" s="78" t="s">
        <v>2316</v>
      </c>
      <c r="B360" s="78" t="s">
        <v>1558</v>
      </c>
      <c r="C360" s="78" t="s">
        <v>366</v>
      </c>
      <c r="D360" s="78" t="s">
        <v>2304</v>
      </c>
      <c r="E360" s="78" t="s">
        <v>2317</v>
      </c>
      <c r="F360" s="78" t="s">
        <v>2276</v>
      </c>
      <c r="G360" s="78" t="s">
        <v>1614</v>
      </c>
      <c r="H360" s="78">
        <v>42</v>
      </c>
      <c r="I360" s="78">
        <v>86.7</v>
      </c>
      <c r="J360" s="78">
        <v>0.9</v>
      </c>
      <c r="K360" s="78">
        <v>3.6</v>
      </c>
      <c r="L360" s="78">
        <v>4.2</v>
      </c>
      <c r="M360" s="78">
        <v>2.1</v>
      </c>
      <c r="N360" s="78">
        <v>4.0999999999999996</v>
      </c>
      <c r="O360" s="78">
        <v>0.4</v>
      </c>
      <c r="P360" s="78">
        <v>0.08</v>
      </c>
      <c r="Q360" s="78">
        <v>0.03</v>
      </c>
      <c r="R360" s="78">
        <v>0.2</v>
      </c>
      <c r="S360" s="78" t="s">
        <v>1615</v>
      </c>
      <c r="T360" s="78">
        <v>0</v>
      </c>
      <c r="U360" s="78">
        <v>46</v>
      </c>
      <c r="V360" s="78">
        <v>45.7</v>
      </c>
      <c r="W360" s="78">
        <v>0</v>
      </c>
      <c r="X360" s="78">
        <v>0.5</v>
      </c>
      <c r="Y360" s="78">
        <v>193.5</v>
      </c>
      <c r="Z360" s="78">
        <v>0.1</v>
      </c>
      <c r="AA360" s="78">
        <v>0.1</v>
      </c>
      <c r="AB360" s="78">
        <v>0.5</v>
      </c>
      <c r="AC360" s="78">
        <v>0.3</v>
      </c>
      <c r="AD360" s="78">
        <v>0.3</v>
      </c>
      <c r="AE360" s="78">
        <v>0</v>
      </c>
      <c r="AF360" s="78">
        <v>101</v>
      </c>
      <c r="AG360" s="78">
        <v>259</v>
      </c>
      <c r="AH360" s="78">
        <v>290</v>
      </c>
      <c r="AI360" s="78">
        <v>26</v>
      </c>
      <c r="AJ360" s="78">
        <v>56</v>
      </c>
      <c r="AK360" s="78">
        <v>18</v>
      </c>
      <c r="AL360" s="78">
        <v>0.5</v>
      </c>
      <c r="AM360" s="78">
        <v>0.2</v>
      </c>
      <c r="AN360" s="78">
        <v>0</v>
      </c>
      <c r="AO360" s="78">
        <v>0.6</v>
      </c>
    </row>
    <row r="361" spans="1:41">
      <c r="A361" s="78" t="s">
        <v>2318</v>
      </c>
      <c r="B361" s="78" t="s">
        <v>1558</v>
      </c>
      <c r="C361" s="78" t="s">
        <v>366</v>
      </c>
      <c r="D361" s="78" t="s">
        <v>2306</v>
      </c>
      <c r="E361" s="78" t="s">
        <v>2319</v>
      </c>
      <c r="F361" s="78" t="s">
        <v>2276</v>
      </c>
      <c r="G361" s="78" t="s">
        <v>1614</v>
      </c>
      <c r="H361" s="78">
        <v>25</v>
      </c>
      <c r="I361" s="78">
        <v>92.2</v>
      </c>
      <c r="J361" s="78">
        <v>0.6</v>
      </c>
      <c r="K361" s="78">
        <v>1.3</v>
      </c>
      <c r="L361" s="78">
        <v>3.3</v>
      </c>
      <c r="M361" s="78">
        <v>3.2</v>
      </c>
      <c r="N361" s="78">
        <v>2.5</v>
      </c>
      <c r="O361" s="78">
        <v>0.1</v>
      </c>
      <c r="P361" s="78">
        <v>0.03</v>
      </c>
      <c r="Q361" s="78">
        <v>0.02</v>
      </c>
      <c r="R361" s="78">
        <v>0.02</v>
      </c>
      <c r="S361" s="78" t="s">
        <v>1615</v>
      </c>
      <c r="T361" s="78">
        <v>0</v>
      </c>
      <c r="U361" s="78">
        <v>5</v>
      </c>
      <c r="V361" s="78">
        <v>36.6</v>
      </c>
      <c r="W361" s="78">
        <v>0</v>
      </c>
      <c r="X361" s="78">
        <v>0.2</v>
      </c>
      <c r="Y361" s="78">
        <v>76</v>
      </c>
      <c r="Z361" s="78">
        <v>0.1</v>
      </c>
      <c r="AA361" s="78">
        <v>0</v>
      </c>
      <c r="AB361" s="78">
        <v>0.2</v>
      </c>
      <c r="AC361" s="78">
        <v>0.1</v>
      </c>
      <c r="AD361" s="78">
        <v>0.2</v>
      </c>
      <c r="AE361" s="78">
        <v>0</v>
      </c>
      <c r="AF361" s="78">
        <v>43</v>
      </c>
      <c r="AG361" s="78">
        <v>18</v>
      </c>
      <c r="AH361" s="78">
        <v>170</v>
      </c>
      <c r="AI361" s="78">
        <v>40</v>
      </c>
      <c r="AJ361" s="78">
        <v>26</v>
      </c>
      <c r="AK361" s="78">
        <v>12</v>
      </c>
      <c r="AL361" s="78">
        <v>0.5</v>
      </c>
      <c r="AM361" s="78">
        <v>0.2</v>
      </c>
      <c r="AN361" s="78">
        <v>0</v>
      </c>
      <c r="AO361" s="78">
        <v>0.3</v>
      </c>
    </row>
    <row r="362" spans="1:41">
      <c r="A362" s="78" t="s">
        <v>2320</v>
      </c>
      <c r="B362" s="78" t="s">
        <v>1558</v>
      </c>
      <c r="C362" s="78" t="s">
        <v>366</v>
      </c>
      <c r="D362" s="78" t="s">
        <v>2308</v>
      </c>
      <c r="E362" s="78" t="s">
        <v>2321</v>
      </c>
      <c r="F362" s="78" t="s">
        <v>2276</v>
      </c>
      <c r="G362" s="78" t="s">
        <v>1614</v>
      </c>
      <c r="H362" s="78">
        <v>31</v>
      </c>
      <c r="I362" s="78">
        <v>90.4</v>
      </c>
      <c r="J362" s="78">
        <v>0.6</v>
      </c>
      <c r="K362" s="78">
        <v>1.4</v>
      </c>
      <c r="L362" s="78">
        <v>5.3</v>
      </c>
      <c r="M362" s="78">
        <v>3.8</v>
      </c>
      <c r="N362" s="78">
        <v>2.1</v>
      </c>
      <c r="O362" s="78">
        <v>0.2</v>
      </c>
      <c r="P362" s="78">
        <v>0.02</v>
      </c>
      <c r="Q362" s="78">
        <v>0.01</v>
      </c>
      <c r="R362" s="78">
        <v>0.08</v>
      </c>
      <c r="S362" s="78" t="s">
        <v>1615</v>
      </c>
      <c r="T362" s="78">
        <v>0</v>
      </c>
      <c r="U362" s="78">
        <v>56</v>
      </c>
      <c r="V362" s="78">
        <v>57</v>
      </c>
      <c r="W362" s="78">
        <v>0</v>
      </c>
      <c r="X362" s="78">
        <v>0.1</v>
      </c>
      <c r="Y362" s="78">
        <v>38.200000000000003</v>
      </c>
      <c r="Z362" s="78">
        <v>0.1</v>
      </c>
      <c r="AA362" s="78">
        <v>0.1</v>
      </c>
      <c r="AB362" s="78">
        <v>0.4</v>
      </c>
      <c r="AC362" s="78">
        <v>0.2</v>
      </c>
      <c r="AD362" s="78">
        <v>0.1</v>
      </c>
      <c r="AE362" s="78">
        <v>0</v>
      </c>
      <c r="AF362" s="78">
        <v>18</v>
      </c>
      <c r="AG362" s="78">
        <v>27</v>
      </c>
      <c r="AH362" s="78">
        <v>243</v>
      </c>
      <c r="AI362" s="78">
        <v>45</v>
      </c>
      <c r="AJ362" s="78">
        <v>30</v>
      </c>
      <c r="AK362" s="78">
        <v>16</v>
      </c>
      <c r="AL362" s="78">
        <v>0.8</v>
      </c>
      <c r="AM362" s="78">
        <v>0.2</v>
      </c>
      <c r="AN362" s="78">
        <v>0</v>
      </c>
      <c r="AO362" s="78">
        <v>0.6</v>
      </c>
    </row>
    <row r="363" spans="1:41">
      <c r="A363" s="78" t="s">
        <v>2322</v>
      </c>
      <c r="B363" s="78" t="s">
        <v>1558</v>
      </c>
      <c r="C363" s="78" t="s">
        <v>366</v>
      </c>
      <c r="D363" s="78" t="s">
        <v>2310</v>
      </c>
      <c r="E363" s="78" t="s">
        <v>2323</v>
      </c>
      <c r="F363" s="78" t="s">
        <v>2276</v>
      </c>
      <c r="G363" s="78" t="s">
        <v>1614</v>
      </c>
      <c r="H363" s="78">
        <v>18</v>
      </c>
      <c r="I363" s="78">
        <v>94.5</v>
      </c>
      <c r="J363" s="78">
        <v>0.5</v>
      </c>
      <c r="K363" s="78">
        <v>0.9</v>
      </c>
      <c r="L363" s="78">
        <v>2.7</v>
      </c>
      <c r="M363" s="78">
        <v>2.6</v>
      </c>
      <c r="N363" s="78">
        <v>1.2</v>
      </c>
      <c r="O363" s="78">
        <v>0.2</v>
      </c>
      <c r="P363" s="78">
        <v>0.03</v>
      </c>
      <c r="Q363" s="78">
        <v>0.03</v>
      </c>
      <c r="R363" s="78">
        <v>0.08</v>
      </c>
      <c r="S363" s="78" t="s">
        <v>1615</v>
      </c>
      <c r="T363" s="78">
        <v>0</v>
      </c>
      <c r="U363" s="78">
        <v>42</v>
      </c>
      <c r="V363" s="78">
        <v>13.7</v>
      </c>
      <c r="W363" s="78">
        <v>0</v>
      </c>
      <c r="X363" s="78">
        <v>0.5</v>
      </c>
      <c r="Y363" s="78">
        <v>7.9</v>
      </c>
      <c r="Z363" s="78">
        <v>0</v>
      </c>
      <c r="AA363" s="78">
        <v>0</v>
      </c>
      <c r="AB363" s="78">
        <v>0.6</v>
      </c>
      <c r="AC363" s="78">
        <v>0.1</v>
      </c>
      <c r="AD363" s="78">
        <v>0.1</v>
      </c>
      <c r="AE363" s="78">
        <v>0</v>
      </c>
      <c r="AF363" s="78">
        <v>15</v>
      </c>
      <c r="AG363" s="78">
        <v>5</v>
      </c>
      <c r="AH363" s="78">
        <v>237</v>
      </c>
      <c r="AI363" s="78">
        <v>10</v>
      </c>
      <c r="AJ363" s="78">
        <v>24</v>
      </c>
      <c r="AK363" s="78">
        <v>11</v>
      </c>
      <c r="AL363" s="78">
        <v>0.3</v>
      </c>
      <c r="AM363" s="78">
        <v>0.2</v>
      </c>
      <c r="AN363" s="78">
        <v>0.1</v>
      </c>
      <c r="AO363" s="78">
        <v>0</v>
      </c>
    </row>
    <row r="364" spans="1:41">
      <c r="A364" s="78" t="s">
        <v>2324</v>
      </c>
      <c r="B364" s="78" t="s">
        <v>1558</v>
      </c>
      <c r="C364" s="78" t="s">
        <v>366</v>
      </c>
      <c r="D364" s="78" t="s">
        <v>2312</v>
      </c>
      <c r="E364" s="78" t="s">
        <v>2325</v>
      </c>
      <c r="F364" s="78" t="s">
        <v>2276</v>
      </c>
      <c r="G364" s="78" t="s">
        <v>1614</v>
      </c>
      <c r="H364" s="78">
        <v>29</v>
      </c>
      <c r="I364" s="78">
        <v>82.7</v>
      </c>
      <c r="J364" s="78">
        <v>4.3</v>
      </c>
      <c r="K364" s="78">
        <v>1.5</v>
      </c>
      <c r="L364" s="78">
        <v>4.7</v>
      </c>
      <c r="M364" s="78" t="s">
        <v>1615</v>
      </c>
      <c r="N364" s="78">
        <v>6.4</v>
      </c>
      <c r="O364" s="78">
        <v>0.4</v>
      </c>
      <c r="P364" s="78" t="s">
        <v>1615</v>
      </c>
      <c r="Q364" s="78" t="s">
        <v>1615</v>
      </c>
      <c r="R364" s="78" t="s">
        <v>1615</v>
      </c>
      <c r="S364" s="78" t="s">
        <v>1615</v>
      </c>
      <c r="T364" s="78" t="s">
        <v>1615</v>
      </c>
      <c r="U364" s="78" t="s">
        <v>1615</v>
      </c>
      <c r="V364" s="78" t="s">
        <v>1615</v>
      </c>
      <c r="W364" s="78" t="s">
        <v>1615</v>
      </c>
      <c r="X364" s="78" t="s">
        <v>1615</v>
      </c>
      <c r="Y364" s="78" t="s">
        <v>1615</v>
      </c>
      <c r="Z364" s="78" t="s">
        <v>1615</v>
      </c>
      <c r="AA364" s="78" t="s">
        <v>1615</v>
      </c>
      <c r="AB364" s="78" t="s">
        <v>1615</v>
      </c>
      <c r="AC364" s="78" t="s">
        <v>1615</v>
      </c>
      <c r="AD364" s="78" t="s">
        <v>1615</v>
      </c>
      <c r="AE364" s="78" t="s">
        <v>1615</v>
      </c>
      <c r="AF364" s="78" t="s">
        <v>1615</v>
      </c>
      <c r="AG364" s="78" t="s">
        <v>1615</v>
      </c>
      <c r="AH364" s="78" t="s">
        <v>1615</v>
      </c>
      <c r="AI364" s="78" t="s">
        <v>1615</v>
      </c>
      <c r="AJ364" s="78" t="s">
        <v>1615</v>
      </c>
      <c r="AK364" s="78" t="s">
        <v>1615</v>
      </c>
      <c r="AL364" s="78" t="s">
        <v>1615</v>
      </c>
      <c r="AM364" s="78" t="s">
        <v>1615</v>
      </c>
      <c r="AN364" s="78" t="s">
        <v>1615</v>
      </c>
      <c r="AO364" s="78" t="s">
        <v>1615</v>
      </c>
    </row>
    <row r="365" spans="1:41">
      <c r="A365" s="78" t="s">
        <v>2326</v>
      </c>
      <c r="B365" s="78" t="s">
        <v>1558</v>
      </c>
      <c r="C365" s="78" t="s">
        <v>366</v>
      </c>
      <c r="D365" s="78" t="s">
        <v>2314</v>
      </c>
      <c r="E365" s="78" t="s">
        <v>2327</v>
      </c>
      <c r="F365" s="78" t="s">
        <v>2276</v>
      </c>
      <c r="G365" s="78" t="s">
        <v>1614</v>
      </c>
      <c r="H365" s="78">
        <v>35</v>
      </c>
      <c r="I365" s="78">
        <v>90.2</v>
      </c>
      <c r="J365" s="78">
        <v>0.7</v>
      </c>
      <c r="K365" s="78">
        <v>0.8</v>
      </c>
      <c r="L365" s="78">
        <v>5.2</v>
      </c>
      <c r="M365" s="78">
        <v>3.5</v>
      </c>
      <c r="N365" s="78">
        <v>3</v>
      </c>
      <c r="O365" s="78">
        <v>0.2</v>
      </c>
      <c r="P365" s="78">
        <v>0.03</v>
      </c>
      <c r="Q365" s="78">
        <v>0.01</v>
      </c>
      <c r="R365" s="78">
        <v>0.09</v>
      </c>
      <c r="S365" s="78" t="s">
        <v>1615</v>
      </c>
      <c r="T365" s="78">
        <v>0</v>
      </c>
      <c r="U365" s="78">
        <v>852</v>
      </c>
      <c r="V365" s="78">
        <v>3.6</v>
      </c>
      <c r="W365" s="78">
        <v>0</v>
      </c>
      <c r="X365" s="78">
        <v>1</v>
      </c>
      <c r="Y365" s="78">
        <v>13.7</v>
      </c>
      <c r="Z365" s="78">
        <v>0.1</v>
      </c>
      <c r="AA365" s="78">
        <v>0</v>
      </c>
      <c r="AB365" s="78">
        <v>0.6</v>
      </c>
      <c r="AC365" s="78">
        <v>0.2</v>
      </c>
      <c r="AD365" s="78">
        <v>0.2</v>
      </c>
      <c r="AE365" s="78">
        <v>0</v>
      </c>
      <c r="AF365" s="78">
        <v>14</v>
      </c>
      <c r="AG365" s="78">
        <v>58</v>
      </c>
      <c r="AH365" s="78">
        <v>235</v>
      </c>
      <c r="AI365" s="78">
        <v>30</v>
      </c>
      <c r="AJ365" s="78">
        <v>30</v>
      </c>
      <c r="AK365" s="78">
        <v>10</v>
      </c>
      <c r="AL365" s="78">
        <v>0.3</v>
      </c>
      <c r="AM365" s="78">
        <v>0.2</v>
      </c>
      <c r="AN365" s="78">
        <v>0</v>
      </c>
      <c r="AO365" s="78">
        <v>0.7</v>
      </c>
    </row>
    <row r="366" spans="1:41">
      <c r="A366" s="78" t="s">
        <v>2328</v>
      </c>
      <c r="B366" s="78" t="s">
        <v>1558</v>
      </c>
      <c r="C366" s="78" t="s">
        <v>366</v>
      </c>
      <c r="D366" s="78" t="s">
        <v>2316</v>
      </c>
      <c r="E366" s="78" t="s">
        <v>2329</v>
      </c>
      <c r="F366" s="78" t="s">
        <v>2276</v>
      </c>
      <c r="G366" s="78" t="s">
        <v>1614</v>
      </c>
      <c r="H366" s="78">
        <v>41</v>
      </c>
      <c r="I366" s="78">
        <v>88.3</v>
      </c>
      <c r="J366" s="78">
        <v>1</v>
      </c>
      <c r="K366" s="78">
        <v>0.9</v>
      </c>
      <c r="L366" s="78">
        <v>6.8</v>
      </c>
      <c r="M366" s="78">
        <v>4.7</v>
      </c>
      <c r="N366" s="78">
        <v>2.8</v>
      </c>
      <c r="O366" s="78">
        <v>0.2</v>
      </c>
      <c r="P366" s="78">
        <v>0.04</v>
      </c>
      <c r="Q366" s="78">
        <v>0.01</v>
      </c>
      <c r="R366" s="78">
        <v>0.12</v>
      </c>
      <c r="S366" s="78" t="s">
        <v>1615</v>
      </c>
      <c r="T366" s="78">
        <v>0</v>
      </c>
      <c r="U366" s="78">
        <v>835</v>
      </c>
      <c r="V366" s="78">
        <v>5.9</v>
      </c>
      <c r="W366" s="78">
        <v>0</v>
      </c>
      <c r="X366" s="78">
        <v>0.7</v>
      </c>
      <c r="Y366" s="78">
        <v>13.2</v>
      </c>
      <c r="Z366" s="78">
        <v>0.1</v>
      </c>
      <c r="AA366" s="78">
        <v>0.1</v>
      </c>
      <c r="AB366" s="78">
        <v>1</v>
      </c>
      <c r="AC366" s="78">
        <v>0.1</v>
      </c>
      <c r="AD366" s="78">
        <v>0.3</v>
      </c>
      <c r="AE366" s="78">
        <v>0</v>
      </c>
      <c r="AF366" s="78">
        <v>19</v>
      </c>
      <c r="AG366" s="78">
        <v>69</v>
      </c>
      <c r="AH366" s="78">
        <v>320</v>
      </c>
      <c r="AI366" s="78">
        <v>33</v>
      </c>
      <c r="AJ366" s="78">
        <v>35</v>
      </c>
      <c r="AK366" s="78">
        <v>12</v>
      </c>
      <c r="AL366" s="78">
        <v>0.3</v>
      </c>
      <c r="AM366" s="78">
        <v>0.2</v>
      </c>
      <c r="AN366" s="78">
        <v>0</v>
      </c>
      <c r="AO366" s="78">
        <v>0.1</v>
      </c>
    </row>
    <row r="367" spans="1:41">
      <c r="A367" s="78" t="s">
        <v>2330</v>
      </c>
      <c r="B367" s="78" t="s">
        <v>1558</v>
      </c>
      <c r="C367" s="78" t="s">
        <v>366</v>
      </c>
      <c r="D367" s="78" t="s">
        <v>2318</v>
      </c>
      <c r="E367" s="78" t="s">
        <v>2331</v>
      </c>
      <c r="F367" s="78" t="s">
        <v>2276</v>
      </c>
      <c r="G367" s="78" t="s">
        <v>1614</v>
      </c>
      <c r="H367" s="78">
        <v>15</v>
      </c>
      <c r="I367" s="78">
        <v>94.8</v>
      </c>
      <c r="J367" s="78">
        <v>0.6</v>
      </c>
      <c r="K367" s="78">
        <v>1.2</v>
      </c>
      <c r="L367" s="78">
        <v>2.1</v>
      </c>
      <c r="M367" s="78">
        <v>2.5</v>
      </c>
      <c r="N367" s="78">
        <v>1</v>
      </c>
      <c r="O367" s="78">
        <v>0.3</v>
      </c>
      <c r="P367" s="78">
        <v>0.08</v>
      </c>
      <c r="Q367" s="78">
        <v>0.01</v>
      </c>
      <c r="R367" s="78">
        <v>0.09</v>
      </c>
      <c r="S367" s="78" t="s">
        <v>1615</v>
      </c>
      <c r="T367" s="78">
        <v>0</v>
      </c>
      <c r="U367" s="78">
        <v>10</v>
      </c>
      <c r="V367" s="78">
        <v>17.899999999999999</v>
      </c>
      <c r="W367" s="78">
        <v>0</v>
      </c>
      <c r="X367" s="78">
        <v>0.1</v>
      </c>
      <c r="Y367" s="78">
        <v>4.3</v>
      </c>
      <c r="Z367" s="78">
        <v>0</v>
      </c>
      <c r="AA367" s="78">
        <v>0.1</v>
      </c>
      <c r="AB367" s="78">
        <v>0.5</v>
      </c>
      <c r="AC367" s="78">
        <v>0.2</v>
      </c>
      <c r="AD367" s="78">
        <v>0.2</v>
      </c>
      <c r="AE367" s="78">
        <v>0</v>
      </c>
      <c r="AF367" s="78">
        <v>24</v>
      </c>
      <c r="AG367" s="78">
        <v>8</v>
      </c>
      <c r="AH367" s="78">
        <v>261</v>
      </c>
      <c r="AI367" s="78">
        <v>16</v>
      </c>
      <c r="AJ367" s="78">
        <v>38</v>
      </c>
      <c r="AK367" s="78">
        <v>18</v>
      </c>
      <c r="AL367" s="78">
        <v>0.4</v>
      </c>
      <c r="AM367" s="78">
        <v>0.3</v>
      </c>
      <c r="AN367" s="78">
        <v>0.1</v>
      </c>
      <c r="AO367" s="78">
        <v>0.2</v>
      </c>
    </row>
    <row r="368" spans="1:41">
      <c r="A368" s="78" t="s">
        <v>2332</v>
      </c>
      <c r="B368" s="78" t="s">
        <v>1558</v>
      </c>
      <c r="C368" s="78" t="s">
        <v>366</v>
      </c>
      <c r="D368" s="78" t="s">
        <v>2320</v>
      </c>
      <c r="E368" s="78" t="s">
        <v>2333</v>
      </c>
      <c r="F368" s="78" t="s">
        <v>2276</v>
      </c>
      <c r="G368" s="78" t="s">
        <v>1614</v>
      </c>
      <c r="H368" s="78">
        <v>17</v>
      </c>
      <c r="I368" s="78">
        <v>95.2</v>
      </c>
      <c r="J368" s="78">
        <v>0.6</v>
      </c>
      <c r="K368" s="78">
        <v>1.1000000000000001</v>
      </c>
      <c r="L368" s="78">
        <v>1.7</v>
      </c>
      <c r="M368" s="78">
        <v>1.7</v>
      </c>
      <c r="N368" s="78">
        <v>1</v>
      </c>
      <c r="O368" s="78">
        <v>0.4</v>
      </c>
      <c r="P368" s="78">
        <v>7.0000000000000007E-2</v>
      </c>
      <c r="Q368" s="78">
        <v>0.03</v>
      </c>
      <c r="R368" s="78">
        <v>0.15</v>
      </c>
      <c r="S368" s="78" t="s">
        <v>1615</v>
      </c>
      <c r="T368" s="78">
        <v>0</v>
      </c>
      <c r="U368" s="78">
        <v>10</v>
      </c>
      <c r="V368" s="78">
        <v>12.9</v>
      </c>
      <c r="W368" s="78">
        <v>0</v>
      </c>
      <c r="X368" s="78">
        <v>0.1</v>
      </c>
      <c r="Y368" s="78">
        <v>4.2</v>
      </c>
      <c r="Z368" s="78">
        <v>0</v>
      </c>
      <c r="AA368" s="78">
        <v>0</v>
      </c>
      <c r="AB368" s="78">
        <v>0.5</v>
      </c>
      <c r="AC368" s="78">
        <v>0.1</v>
      </c>
      <c r="AD368" s="78">
        <v>0.3</v>
      </c>
      <c r="AE368" s="78">
        <v>0</v>
      </c>
      <c r="AF368" s="78">
        <v>28</v>
      </c>
      <c r="AG368" s="78">
        <v>239</v>
      </c>
      <c r="AH368" s="78">
        <v>264</v>
      </c>
      <c r="AI368" s="78">
        <v>18</v>
      </c>
      <c r="AJ368" s="78">
        <v>37</v>
      </c>
      <c r="AK368" s="78">
        <v>19</v>
      </c>
      <c r="AL368" s="78">
        <v>0.4</v>
      </c>
      <c r="AM368" s="78">
        <v>0.3</v>
      </c>
      <c r="AN368" s="78">
        <v>0.1</v>
      </c>
      <c r="AO368" s="78">
        <v>0.2</v>
      </c>
    </row>
    <row r="369" spans="1:41">
      <c r="A369" s="78" t="s">
        <v>2334</v>
      </c>
      <c r="B369" s="78" t="s">
        <v>1558</v>
      </c>
      <c r="C369" s="78" t="s">
        <v>366</v>
      </c>
      <c r="D369" s="78" t="s">
        <v>2322</v>
      </c>
      <c r="E369" s="78" t="s">
        <v>2335</v>
      </c>
      <c r="F369" s="78" t="s">
        <v>2276</v>
      </c>
      <c r="G369" s="78" t="s">
        <v>1614</v>
      </c>
      <c r="H369" s="78">
        <v>20</v>
      </c>
      <c r="I369" s="78">
        <v>93.7</v>
      </c>
      <c r="J369" s="78">
        <v>0.6</v>
      </c>
      <c r="K369" s="78">
        <v>0.7</v>
      </c>
      <c r="L369" s="78">
        <v>3.8</v>
      </c>
      <c r="M369" s="78">
        <v>2.1</v>
      </c>
      <c r="N369" s="78">
        <v>1.1000000000000001</v>
      </c>
      <c r="O369" s="78">
        <v>0.1</v>
      </c>
      <c r="P369" s="78">
        <v>0.04</v>
      </c>
      <c r="Q369" s="78">
        <v>0.01</v>
      </c>
      <c r="R369" s="78">
        <v>0</v>
      </c>
      <c r="S369" s="78" t="s">
        <v>1615</v>
      </c>
      <c r="T369" s="78">
        <v>0</v>
      </c>
      <c r="U369" s="78">
        <v>288</v>
      </c>
      <c r="V369" s="78">
        <v>4.7</v>
      </c>
      <c r="W369" s="78">
        <v>0</v>
      </c>
      <c r="X369" s="78">
        <v>0.8</v>
      </c>
      <c r="Y369" s="78">
        <v>0.8</v>
      </c>
      <c r="Z369" s="78">
        <v>0</v>
      </c>
      <c r="AA369" s="78">
        <v>0.1</v>
      </c>
      <c r="AB369" s="78">
        <v>0.4</v>
      </c>
      <c r="AC369" s="78">
        <v>0</v>
      </c>
      <c r="AD369" s="78">
        <v>0.2</v>
      </c>
      <c r="AE369" s="78">
        <v>0</v>
      </c>
      <c r="AF369" s="78">
        <v>9</v>
      </c>
      <c r="AG369" s="78">
        <v>1</v>
      </c>
      <c r="AH369" s="78">
        <v>230</v>
      </c>
      <c r="AI369" s="78">
        <v>15</v>
      </c>
      <c r="AJ369" s="78">
        <v>30</v>
      </c>
      <c r="AK369" s="78">
        <v>9</v>
      </c>
      <c r="AL369" s="78">
        <v>0.6</v>
      </c>
      <c r="AM369" s="78">
        <v>0.2</v>
      </c>
      <c r="AN369" s="78">
        <v>0.1</v>
      </c>
      <c r="AO369" s="78">
        <v>0.2</v>
      </c>
    </row>
    <row r="370" spans="1:41">
      <c r="A370" s="78" t="s">
        <v>2336</v>
      </c>
      <c r="B370" s="78" t="s">
        <v>1558</v>
      </c>
      <c r="C370" s="78" t="s">
        <v>366</v>
      </c>
      <c r="D370" s="78" t="s">
        <v>2324</v>
      </c>
      <c r="E370" s="78" t="s">
        <v>2337</v>
      </c>
      <c r="F370" s="78" t="s">
        <v>2338</v>
      </c>
      <c r="G370" s="78" t="s">
        <v>1614</v>
      </c>
      <c r="H370" s="78">
        <v>232</v>
      </c>
      <c r="I370" s="78" t="s">
        <v>1615</v>
      </c>
      <c r="J370" s="78" t="s">
        <v>1615</v>
      </c>
      <c r="K370" s="78">
        <v>1.1000000000000001</v>
      </c>
      <c r="L370" s="78">
        <v>4.2</v>
      </c>
      <c r="M370" s="78">
        <v>1.4</v>
      </c>
      <c r="N370" s="78" t="s">
        <v>1615</v>
      </c>
      <c r="O370" s="78">
        <v>24.4</v>
      </c>
      <c r="P370" s="78">
        <v>2.69</v>
      </c>
      <c r="Q370" s="78">
        <v>17.68</v>
      </c>
      <c r="R370" s="78">
        <v>1.54</v>
      </c>
      <c r="S370" s="78" t="s">
        <v>1615</v>
      </c>
      <c r="T370" s="78">
        <v>0</v>
      </c>
      <c r="U370" s="78" t="s">
        <v>1615</v>
      </c>
      <c r="V370" s="78" t="s">
        <v>1615</v>
      </c>
      <c r="W370" s="78" t="s">
        <v>1615</v>
      </c>
      <c r="X370" s="78" t="s">
        <v>1615</v>
      </c>
      <c r="Y370" s="78" t="s">
        <v>1615</v>
      </c>
      <c r="Z370" s="78" t="s">
        <v>1615</v>
      </c>
      <c r="AA370" s="78" t="s">
        <v>1615</v>
      </c>
      <c r="AB370" s="78" t="s">
        <v>1615</v>
      </c>
      <c r="AC370" s="78" t="s">
        <v>1615</v>
      </c>
      <c r="AD370" s="78" t="s">
        <v>1615</v>
      </c>
      <c r="AE370" s="78" t="s">
        <v>1615</v>
      </c>
      <c r="AF370" s="78" t="s">
        <v>1615</v>
      </c>
      <c r="AG370" s="78">
        <v>1588</v>
      </c>
      <c r="AH370" s="78" t="s">
        <v>1615</v>
      </c>
      <c r="AI370" s="78" t="s">
        <v>1615</v>
      </c>
      <c r="AJ370" s="78" t="s">
        <v>1615</v>
      </c>
      <c r="AK370" s="78" t="s">
        <v>1615</v>
      </c>
      <c r="AL370" s="78" t="s">
        <v>1615</v>
      </c>
      <c r="AM370" s="78" t="s">
        <v>1615</v>
      </c>
      <c r="AN370" s="78" t="s">
        <v>1615</v>
      </c>
      <c r="AO370" s="78" t="s">
        <v>1615</v>
      </c>
    </row>
    <row r="371" spans="1:41">
      <c r="A371" s="78" t="s">
        <v>2339</v>
      </c>
      <c r="B371" s="78" t="s">
        <v>1558</v>
      </c>
      <c r="C371" s="78" t="s">
        <v>366</v>
      </c>
      <c r="D371" s="78" t="s">
        <v>2326</v>
      </c>
      <c r="E371" s="78" t="s">
        <v>2340</v>
      </c>
      <c r="F371" s="78" t="s">
        <v>2338</v>
      </c>
      <c r="G371" s="78" t="s">
        <v>1614</v>
      </c>
      <c r="H371" s="78">
        <v>263</v>
      </c>
      <c r="I371" s="78" t="s">
        <v>1615</v>
      </c>
      <c r="J371" s="78" t="s">
        <v>1615</v>
      </c>
      <c r="K371" s="78">
        <v>1.2</v>
      </c>
      <c r="L371" s="78">
        <v>2.1</v>
      </c>
      <c r="M371" s="78">
        <v>1.4</v>
      </c>
      <c r="N371" s="78" t="s">
        <v>1615</v>
      </c>
      <c r="O371" s="78">
        <v>27.3</v>
      </c>
      <c r="P371" s="78">
        <v>3.61</v>
      </c>
      <c r="Q371" s="78">
        <v>20.100000000000001</v>
      </c>
      <c r="R371" s="78">
        <v>2</v>
      </c>
      <c r="S371" s="78" t="s">
        <v>1615</v>
      </c>
      <c r="T371" s="78">
        <v>0</v>
      </c>
      <c r="U371" s="78" t="s">
        <v>1615</v>
      </c>
      <c r="V371" s="78" t="s">
        <v>1615</v>
      </c>
      <c r="W371" s="78" t="s">
        <v>1615</v>
      </c>
      <c r="X371" s="78" t="s">
        <v>1615</v>
      </c>
      <c r="Y371" s="78" t="s">
        <v>1615</v>
      </c>
      <c r="Z371" s="78" t="s">
        <v>1615</v>
      </c>
      <c r="AA371" s="78" t="s">
        <v>1615</v>
      </c>
      <c r="AB371" s="78" t="s">
        <v>1615</v>
      </c>
      <c r="AC371" s="78" t="s">
        <v>1615</v>
      </c>
      <c r="AD371" s="78" t="s">
        <v>1615</v>
      </c>
      <c r="AE371" s="78" t="s">
        <v>1615</v>
      </c>
      <c r="AF371" s="78" t="s">
        <v>1615</v>
      </c>
      <c r="AG371" s="78">
        <v>1508</v>
      </c>
      <c r="AH371" s="78" t="s">
        <v>1615</v>
      </c>
      <c r="AI371" s="78" t="s">
        <v>1615</v>
      </c>
      <c r="AJ371" s="78" t="s">
        <v>1615</v>
      </c>
      <c r="AK371" s="78" t="s">
        <v>1615</v>
      </c>
      <c r="AL371" s="78" t="s">
        <v>1615</v>
      </c>
      <c r="AM371" s="78" t="s">
        <v>1615</v>
      </c>
      <c r="AN371" s="78" t="s">
        <v>1615</v>
      </c>
      <c r="AO371" s="78" t="s">
        <v>1615</v>
      </c>
    </row>
    <row r="372" spans="1:41">
      <c r="A372" s="78" t="s">
        <v>2341</v>
      </c>
      <c r="B372" s="78" t="s">
        <v>1558</v>
      </c>
      <c r="C372" s="78" t="s">
        <v>366</v>
      </c>
      <c r="D372" s="78" t="s">
        <v>2328</v>
      </c>
      <c r="E372" s="78" t="s">
        <v>2342</v>
      </c>
      <c r="F372" s="78" t="s">
        <v>2338</v>
      </c>
      <c r="G372" s="78" t="s">
        <v>1614</v>
      </c>
      <c r="H372" s="78">
        <v>57</v>
      </c>
      <c r="I372" s="78">
        <v>84.2</v>
      </c>
      <c r="J372" s="78">
        <v>0.2</v>
      </c>
      <c r="K372" s="78">
        <v>0.7</v>
      </c>
      <c r="L372" s="78">
        <v>12.1</v>
      </c>
      <c r="M372" s="78">
        <v>10</v>
      </c>
      <c r="N372" s="78">
        <v>2.4</v>
      </c>
      <c r="O372" s="78">
        <v>0.3</v>
      </c>
      <c r="P372" s="78">
        <v>0.03</v>
      </c>
      <c r="Q372" s="78">
        <v>0.05</v>
      </c>
      <c r="R372" s="78">
        <v>0.15</v>
      </c>
      <c r="S372" s="78" t="s">
        <v>1615</v>
      </c>
      <c r="T372" s="78">
        <v>0</v>
      </c>
      <c r="U372" s="78">
        <v>3</v>
      </c>
      <c r="V372" s="78">
        <v>14</v>
      </c>
      <c r="W372" s="78">
        <v>0</v>
      </c>
      <c r="X372" s="78">
        <v>0.6</v>
      </c>
      <c r="Y372" s="78">
        <v>19.3</v>
      </c>
      <c r="Z372" s="78">
        <v>0</v>
      </c>
      <c r="AA372" s="78">
        <v>0</v>
      </c>
      <c r="AB372" s="78">
        <v>0.4</v>
      </c>
      <c r="AC372" s="78">
        <v>0.1</v>
      </c>
      <c r="AD372" s="78">
        <v>0.1</v>
      </c>
      <c r="AE372" s="78">
        <v>0</v>
      </c>
      <c r="AF372" s="78">
        <v>6</v>
      </c>
      <c r="AG372" s="78">
        <v>1</v>
      </c>
      <c r="AH372" s="78">
        <v>77</v>
      </c>
      <c r="AI372" s="78">
        <v>6</v>
      </c>
      <c r="AJ372" s="78">
        <v>12</v>
      </c>
      <c r="AK372" s="78">
        <v>6</v>
      </c>
      <c r="AL372" s="78">
        <v>0.3</v>
      </c>
      <c r="AM372" s="78">
        <v>0.2</v>
      </c>
      <c r="AN372" s="78">
        <v>0.1</v>
      </c>
      <c r="AO372" s="78">
        <v>0.1</v>
      </c>
    </row>
    <row r="373" spans="1:41">
      <c r="A373" s="78" t="s">
        <v>2343</v>
      </c>
      <c r="B373" s="78" t="s">
        <v>1558</v>
      </c>
      <c r="C373" s="78" t="s">
        <v>366</v>
      </c>
      <c r="D373" s="78" t="s">
        <v>2330</v>
      </c>
      <c r="E373" s="78" t="s">
        <v>2344</v>
      </c>
      <c r="F373" s="78" t="s">
        <v>2338</v>
      </c>
      <c r="G373" s="78" t="s">
        <v>1614</v>
      </c>
      <c r="H373" s="78">
        <v>46</v>
      </c>
      <c r="I373" s="78">
        <v>87.3</v>
      </c>
      <c r="J373" s="78">
        <v>0.1</v>
      </c>
      <c r="K373" s="78">
        <v>0.5</v>
      </c>
      <c r="L373" s="78">
        <v>3.4</v>
      </c>
      <c r="M373" s="78">
        <v>4.3</v>
      </c>
      <c r="N373" s="78">
        <v>3.6</v>
      </c>
      <c r="O373" s="78">
        <v>0.1</v>
      </c>
      <c r="P373" s="78">
        <v>0.01</v>
      </c>
      <c r="Q373" s="78">
        <v>0.02</v>
      </c>
      <c r="R373" s="78">
        <v>0.06</v>
      </c>
      <c r="S373" s="78" t="s">
        <v>1615</v>
      </c>
      <c r="T373" s="78">
        <v>0</v>
      </c>
      <c r="U373" s="78">
        <v>3</v>
      </c>
      <c r="V373" s="78">
        <v>7.5</v>
      </c>
      <c r="W373" s="78">
        <v>0</v>
      </c>
      <c r="X373" s="78">
        <v>1.3</v>
      </c>
      <c r="Y373" s="78">
        <v>5</v>
      </c>
      <c r="Z373" s="78">
        <v>0</v>
      </c>
      <c r="AA373" s="78">
        <v>0</v>
      </c>
      <c r="AB373" s="78">
        <v>0.1</v>
      </c>
      <c r="AC373" s="78">
        <v>0.1</v>
      </c>
      <c r="AD373" s="78">
        <v>0.3</v>
      </c>
      <c r="AE373" s="78">
        <v>0</v>
      </c>
      <c r="AF373" s="78">
        <v>1</v>
      </c>
      <c r="AG373" s="78">
        <v>2</v>
      </c>
      <c r="AH373" s="78">
        <v>80</v>
      </c>
      <c r="AI373" s="78">
        <v>8</v>
      </c>
      <c r="AJ373" s="78">
        <v>11</v>
      </c>
      <c r="AK373" s="78">
        <v>6</v>
      </c>
      <c r="AL373" s="78">
        <v>0.2</v>
      </c>
      <c r="AM373" s="78">
        <v>0.1</v>
      </c>
      <c r="AN373" s="78">
        <v>0.1</v>
      </c>
      <c r="AO373" s="78">
        <v>0.1</v>
      </c>
    </row>
    <row r="374" spans="1:41">
      <c r="A374" s="78" t="s">
        <v>2345</v>
      </c>
      <c r="B374" s="78" t="s">
        <v>1558</v>
      </c>
      <c r="C374" s="78" t="s">
        <v>366</v>
      </c>
      <c r="D374" s="78" t="s">
        <v>2332</v>
      </c>
      <c r="E374" s="78" t="s">
        <v>2346</v>
      </c>
      <c r="F374" s="78" t="s">
        <v>2338</v>
      </c>
      <c r="G374" s="78" t="s">
        <v>1614</v>
      </c>
      <c r="H374" s="78">
        <v>70</v>
      </c>
      <c r="I374" s="78">
        <v>80.3</v>
      </c>
      <c r="J374" s="78">
        <v>0.3</v>
      </c>
      <c r="K374" s="78">
        <v>0.6</v>
      </c>
      <c r="L374" s="78">
        <v>16.8</v>
      </c>
      <c r="M374" s="78" t="s">
        <v>1615</v>
      </c>
      <c r="N374" s="78">
        <v>1.8</v>
      </c>
      <c r="O374" s="78">
        <v>0.2</v>
      </c>
      <c r="P374" s="78">
        <v>0.01</v>
      </c>
      <c r="Q374" s="78">
        <v>0.02</v>
      </c>
      <c r="R374" s="78">
        <v>0.1</v>
      </c>
      <c r="S374" s="78" t="s">
        <v>1615</v>
      </c>
      <c r="T374" s="78">
        <v>0</v>
      </c>
      <c r="U374" s="78">
        <v>81</v>
      </c>
      <c r="V374" s="78">
        <v>11.2</v>
      </c>
      <c r="W374" s="78" t="s">
        <v>1615</v>
      </c>
      <c r="X374" s="78" t="s">
        <v>1615</v>
      </c>
      <c r="Y374" s="78" t="s">
        <v>1615</v>
      </c>
      <c r="Z374" s="78">
        <v>0</v>
      </c>
      <c r="AA374" s="78">
        <v>0</v>
      </c>
      <c r="AB374" s="78">
        <v>0.1</v>
      </c>
      <c r="AC374" s="78" t="s">
        <v>1615</v>
      </c>
      <c r="AD374" s="78" t="s">
        <v>1615</v>
      </c>
      <c r="AE374" s="78">
        <v>0</v>
      </c>
      <c r="AF374" s="78">
        <v>8</v>
      </c>
      <c r="AG374" s="78">
        <v>1</v>
      </c>
      <c r="AH374" s="78">
        <v>161</v>
      </c>
      <c r="AI374" s="78">
        <v>8</v>
      </c>
      <c r="AJ374" s="78">
        <v>17</v>
      </c>
      <c r="AK374" s="78">
        <v>9</v>
      </c>
      <c r="AL374" s="78">
        <v>0.2</v>
      </c>
      <c r="AM374" s="78">
        <v>0.1</v>
      </c>
      <c r="AN374" s="78">
        <v>0.1</v>
      </c>
      <c r="AO374" s="78" t="s">
        <v>1615</v>
      </c>
    </row>
    <row r="375" spans="1:41">
      <c r="A375" s="78" t="s">
        <v>2347</v>
      </c>
      <c r="B375" s="78" t="s">
        <v>1558</v>
      </c>
      <c r="C375" s="78" t="s">
        <v>366</v>
      </c>
      <c r="D375" s="78" t="s">
        <v>2334</v>
      </c>
      <c r="E375" s="78" t="s">
        <v>2348</v>
      </c>
      <c r="F375" s="78" t="s">
        <v>2338</v>
      </c>
      <c r="G375" s="78" t="s">
        <v>1614</v>
      </c>
      <c r="H375" s="78">
        <v>63</v>
      </c>
      <c r="I375" s="78">
        <v>86.1</v>
      </c>
      <c r="J375" s="78">
        <v>0.4</v>
      </c>
      <c r="K375" s="78">
        <v>1.1000000000000001</v>
      </c>
      <c r="L375" s="78">
        <v>10.6</v>
      </c>
      <c r="M375" s="78">
        <v>8.5</v>
      </c>
      <c r="N375" s="78">
        <v>1.6</v>
      </c>
      <c r="O375" s="78">
        <v>0.3</v>
      </c>
      <c r="P375" s="78">
        <v>7.0000000000000007E-2</v>
      </c>
      <c r="Q375" s="78">
        <v>0.08</v>
      </c>
      <c r="R375" s="78">
        <v>0.09</v>
      </c>
      <c r="S375" s="78" t="s">
        <v>1615</v>
      </c>
      <c r="T375" s="78">
        <v>0</v>
      </c>
      <c r="U375" s="78">
        <v>64</v>
      </c>
      <c r="V375" s="78">
        <v>10</v>
      </c>
      <c r="W375" s="78">
        <v>0</v>
      </c>
      <c r="X375" s="78">
        <v>0.1</v>
      </c>
      <c r="Y375" s="78">
        <v>2.1</v>
      </c>
      <c r="Z375" s="78">
        <v>0</v>
      </c>
      <c r="AA375" s="78">
        <v>0</v>
      </c>
      <c r="AB375" s="78">
        <v>0.4</v>
      </c>
      <c r="AC375" s="78">
        <v>0</v>
      </c>
      <c r="AD375" s="78">
        <v>0.1</v>
      </c>
      <c r="AE375" s="78">
        <v>0</v>
      </c>
      <c r="AF375" s="78">
        <v>8</v>
      </c>
      <c r="AG375" s="78">
        <v>3</v>
      </c>
      <c r="AH375" s="78">
        <v>173</v>
      </c>
      <c r="AI375" s="78">
        <v>16</v>
      </c>
      <c r="AJ375" s="78">
        <v>15</v>
      </c>
      <c r="AK375" s="78">
        <v>9</v>
      </c>
      <c r="AL375" s="78">
        <v>0.3</v>
      </c>
      <c r="AM375" s="78">
        <v>0.1</v>
      </c>
      <c r="AN375" s="78">
        <v>0.1</v>
      </c>
      <c r="AO375" s="78">
        <v>0</v>
      </c>
    </row>
    <row r="376" spans="1:41">
      <c r="A376" s="78" t="s">
        <v>2349</v>
      </c>
      <c r="B376" s="78" t="s">
        <v>1558</v>
      </c>
      <c r="C376" s="78" t="s">
        <v>366</v>
      </c>
      <c r="D376" s="78" t="s">
        <v>2336</v>
      </c>
      <c r="E376" s="78" t="s">
        <v>2350</v>
      </c>
      <c r="F376" s="78" t="s">
        <v>2338</v>
      </c>
      <c r="G376" s="78" t="s">
        <v>1614</v>
      </c>
      <c r="H376" s="78">
        <v>75</v>
      </c>
      <c r="I376" s="78">
        <v>79.400000000000006</v>
      </c>
      <c r="J376" s="78">
        <v>0.7</v>
      </c>
      <c r="K376" s="78">
        <v>1.6</v>
      </c>
      <c r="L376" s="78">
        <v>14.7</v>
      </c>
      <c r="M376" s="78">
        <v>12.9</v>
      </c>
      <c r="N376" s="78">
        <v>3</v>
      </c>
      <c r="O376" s="78">
        <v>0.7</v>
      </c>
      <c r="P376" s="78">
        <v>0.23</v>
      </c>
      <c r="Q376" s="78">
        <v>0.06</v>
      </c>
      <c r="R376" s="78">
        <v>0.19</v>
      </c>
      <c r="S376" s="78" t="s">
        <v>1615</v>
      </c>
      <c r="T376" s="78">
        <v>0</v>
      </c>
      <c r="U376" s="78">
        <v>0</v>
      </c>
      <c r="V376" s="78">
        <v>12.6</v>
      </c>
      <c r="W376" s="78" t="s">
        <v>1615</v>
      </c>
      <c r="X376" s="78">
        <v>0.3</v>
      </c>
      <c r="Y376" s="78" t="s">
        <v>1615</v>
      </c>
      <c r="Z376" s="78">
        <v>0.1</v>
      </c>
      <c r="AA376" s="78">
        <v>0.1</v>
      </c>
      <c r="AB376" s="78">
        <v>0.6</v>
      </c>
      <c r="AC376" s="78">
        <v>0.3</v>
      </c>
      <c r="AD376" s="78">
        <v>0.3</v>
      </c>
      <c r="AE376" s="78">
        <v>0</v>
      </c>
      <c r="AF376" s="78">
        <v>23</v>
      </c>
      <c r="AG376" s="78">
        <v>7</v>
      </c>
      <c r="AH376" s="78">
        <v>287</v>
      </c>
      <c r="AI376" s="78">
        <v>10</v>
      </c>
      <c r="AJ376" s="78">
        <v>26</v>
      </c>
      <c r="AK376" s="78">
        <v>17</v>
      </c>
      <c r="AL376" s="78">
        <v>0.3</v>
      </c>
      <c r="AM376" s="78">
        <v>0.2</v>
      </c>
      <c r="AN376" s="78">
        <v>0.1</v>
      </c>
      <c r="AO376" s="78" t="s">
        <v>1615</v>
      </c>
    </row>
    <row r="377" spans="1:41">
      <c r="A377" s="78" t="s">
        <v>2351</v>
      </c>
      <c r="B377" s="78" t="s">
        <v>1558</v>
      </c>
      <c r="C377" s="78" t="s">
        <v>366</v>
      </c>
      <c r="D377" s="78" t="s">
        <v>2339</v>
      </c>
      <c r="E377" s="78" t="s">
        <v>2352</v>
      </c>
      <c r="F377" s="78" t="s">
        <v>2338</v>
      </c>
      <c r="G377" s="78" t="s">
        <v>1614</v>
      </c>
      <c r="H377" s="78">
        <v>46</v>
      </c>
      <c r="I377" s="78">
        <v>87.2</v>
      </c>
      <c r="J377" s="78">
        <v>0.4</v>
      </c>
      <c r="K377" s="78">
        <v>0.7</v>
      </c>
      <c r="L377" s="78">
        <v>10</v>
      </c>
      <c r="M377" s="78">
        <v>9.9</v>
      </c>
      <c r="N377" s="78">
        <v>1.4</v>
      </c>
      <c r="O377" s="78">
        <v>0.3</v>
      </c>
      <c r="P377" s="78">
        <v>0.02</v>
      </c>
      <c r="Q377" s="78">
        <v>0.13</v>
      </c>
      <c r="R377" s="78">
        <v>0.04</v>
      </c>
      <c r="S377" s="78" t="s">
        <v>1615</v>
      </c>
      <c r="T377" s="78">
        <v>0</v>
      </c>
      <c r="U377" s="78">
        <v>17</v>
      </c>
      <c r="V377" s="78">
        <v>9.5</v>
      </c>
      <c r="W377" s="78">
        <v>0</v>
      </c>
      <c r="X377" s="78">
        <v>0.3</v>
      </c>
      <c r="Y377" s="78">
        <v>6.4</v>
      </c>
      <c r="Z377" s="78">
        <v>0</v>
      </c>
      <c r="AA377" s="78">
        <v>0</v>
      </c>
      <c r="AB377" s="78">
        <v>0.4</v>
      </c>
      <c r="AC377" s="78">
        <v>0</v>
      </c>
      <c r="AD377" s="78">
        <v>0.1</v>
      </c>
      <c r="AE377" s="78">
        <v>0</v>
      </c>
      <c r="AF377" s="78">
        <v>5</v>
      </c>
      <c r="AG377" s="78">
        <v>0</v>
      </c>
      <c r="AH377" s="78">
        <v>157</v>
      </c>
      <c r="AI377" s="78">
        <v>6</v>
      </c>
      <c r="AJ377" s="78">
        <v>16</v>
      </c>
      <c r="AK377" s="78">
        <v>7</v>
      </c>
      <c r="AL377" s="78">
        <v>0.2</v>
      </c>
      <c r="AM377" s="78">
        <v>0.1</v>
      </c>
      <c r="AN377" s="78">
        <v>0.1</v>
      </c>
      <c r="AO377" s="78">
        <v>0</v>
      </c>
    </row>
    <row r="378" spans="1:41">
      <c r="A378" s="78" t="s">
        <v>2353</v>
      </c>
      <c r="B378" s="78" t="s">
        <v>1558</v>
      </c>
      <c r="C378" s="78" t="s">
        <v>366</v>
      </c>
      <c r="D378" s="78" t="s">
        <v>2341</v>
      </c>
      <c r="E378" s="78" t="s">
        <v>2354</v>
      </c>
      <c r="F378" s="78" t="s">
        <v>2338</v>
      </c>
      <c r="G378" s="78" t="s">
        <v>1614</v>
      </c>
      <c r="H378" s="78">
        <v>240</v>
      </c>
      <c r="I378" s="78">
        <v>30.9</v>
      </c>
      <c r="J378" s="78">
        <v>2.6</v>
      </c>
      <c r="K378" s="78">
        <v>2.2000000000000002</v>
      </c>
      <c r="L378" s="78">
        <v>56.8</v>
      </c>
      <c r="M378" s="78">
        <v>38.1</v>
      </c>
      <c r="N378" s="78">
        <v>7.1</v>
      </c>
      <c r="O378" s="78">
        <v>0.4</v>
      </c>
      <c r="P378" s="78">
        <v>0.09</v>
      </c>
      <c r="Q378" s="78">
        <v>0.05</v>
      </c>
      <c r="R378" s="78">
        <v>0.06</v>
      </c>
      <c r="S378" s="78" t="s">
        <v>1615</v>
      </c>
      <c r="T378" s="78">
        <v>0</v>
      </c>
      <c r="U378" s="78">
        <v>39</v>
      </c>
      <c r="V378" s="78">
        <v>0.6</v>
      </c>
      <c r="W378" s="78">
        <v>0</v>
      </c>
      <c r="X378" s="78">
        <v>0.4</v>
      </c>
      <c r="Y378" s="78">
        <v>59.5</v>
      </c>
      <c r="Z378" s="78">
        <v>0.1</v>
      </c>
      <c r="AA378" s="78">
        <v>0.2</v>
      </c>
      <c r="AB378" s="78">
        <v>1</v>
      </c>
      <c r="AC378" s="78">
        <v>0.2</v>
      </c>
      <c r="AD378" s="78">
        <v>0.4</v>
      </c>
      <c r="AE378" s="78">
        <v>0</v>
      </c>
      <c r="AF378" s="78">
        <v>4</v>
      </c>
      <c r="AG378" s="78">
        <v>2</v>
      </c>
      <c r="AH378" s="78">
        <v>732</v>
      </c>
      <c r="AI378" s="78">
        <v>43</v>
      </c>
      <c r="AJ378" s="78">
        <v>69</v>
      </c>
      <c r="AK378" s="78">
        <v>41</v>
      </c>
      <c r="AL378" s="78">
        <v>0.9</v>
      </c>
      <c r="AM378" s="78">
        <v>0.4</v>
      </c>
      <c r="AN378" s="78">
        <v>0.3</v>
      </c>
      <c r="AO378" s="78">
        <v>0.3</v>
      </c>
    </row>
    <row r="379" spans="1:41">
      <c r="A379" s="78" t="s">
        <v>2355</v>
      </c>
      <c r="B379" s="78" t="s">
        <v>1558</v>
      </c>
      <c r="C379" s="78" t="s">
        <v>366</v>
      </c>
      <c r="D379" s="78" t="s">
        <v>2343</v>
      </c>
      <c r="E379" s="78" t="s">
        <v>2356</v>
      </c>
      <c r="F379" s="78" t="s">
        <v>2338</v>
      </c>
      <c r="G379" s="78" t="s">
        <v>1614</v>
      </c>
      <c r="H379" s="78">
        <v>47</v>
      </c>
      <c r="I379" s="78">
        <v>86.6</v>
      </c>
      <c r="J379" s="78">
        <v>0.4</v>
      </c>
      <c r="K379" s="78">
        <v>0.9</v>
      </c>
      <c r="L379" s="78">
        <v>10.3</v>
      </c>
      <c r="M379" s="78">
        <v>9.1999999999999993</v>
      </c>
      <c r="N379" s="78">
        <v>1.7</v>
      </c>
      <c r="O379" s="78">
        <v>0.2</v>
      </c>
      <c r="P379" s="78" t="s">
        <v>1615</v>
      </c>
      <c r="Q379" s="78" t="s">
        <v>1615</v>
      </c>
      <c r="R379" s="78" t="s">
        <v>1615</v>
      </c>
      <c r="S379" s="78" t="s">
        <v>1615</v>
      </c>
      <c r="T379" s="78" t="s">
        <v>1615</v>
      </c>
      <c r="U379" s="78" t="s">
        <v>1615</v>
      </c>
      <c r="V379" s="78">
        <v>48.8</v>
      </c>
      <c r="W379" s="78">
        <v>0</v>
      </c>
      <c r="X379" s="78">
        <v>0.2</v>
      </c>
      <c r="Y379" s="78">
        <v>0</v>
      </c>
      <c r="Z379" s="78">
        <v>0.1</v>
      </c>
      <c r="AA379" s="78">
        <v>0</v>
      </c>
      <c r="AB379" s="78">
        <v>0.6</v>
      </c>
      <c r="AC379" s="78">
        <v>0.1</v>
      </c>
      <c r="AD379" s="78">
        <v>0.2</v>
      </c>
      <c r="AE379" s="78" t="s">
        <v>1615</v>
      </c>
      <c r="AF379" s="78">
        <v>24</v>
      </c>
      <c r="AG379" s="78">
        <v>1</v>
      </c>
      <c r="AH379" s="78">
        <v>177</v>
      </c>
      <c r="AI379" s="78">
        <v>30</v>
      </c>
      <c r="AJ379" s="78">
        <v>21</v>
      </c>
      <c r="AK379" s="78">
        <v>10</v>
      </c>
      <c r="AL379" s="78">
        <v>0.1</v>
      </c>
      <c r="AM379" s="78">
        <v>0.1</v>
      </c>
      <c r="AN379" s="78">
        <v>0</v>
      </c>
      <c r="AO379" s="78">
        <v>0.1</v>
      </c>
    </row>
    <row r="380" spans="1:41">
      <c r="A380" s="78" t="s">
        <v>2357</v>
      </c>
      <c r="B380" s="78" t="s">
        <v>1558</v>
      </c>
      <c r="C380" s="78" t="s">
        <v>366</v>
      </c>
      <c r="D380" s="78" t="s">
        <v>2345</v>
      </c>
      <c r="E380" s="78" t="s">
        <v>2358</v>
      </c>
      <c r="F380" s="78" t="s">
        <v>2338</v>
      </c>
      <c r="G380" s="78" t="s">
        <v>1614</v>
      </c>
      <c r="H380" s="78">
        <v>48</v>
      </c>
      <c r="I380" s="78">
        <v>86.4</v>
      </c>
      <c r="J380" s="78">
        <v>0.8</v>
      </c>
      <c r="K380" s="78">
        <v>1.4</v>
      </c>
      <c r="L380" s="78">
        <v>9.1</v>
      </c>
      <c r="M380" s="78">
        <v>9.1999999999999993</v>
      </c>
      <c r="N380" s="78">
        <v>2</v>
      </c>
      <c r="O380" s="78">
        <v>0.4</v>
      </c>
      <c r="P380" s="78">
        <v>0.03</v>
      </c>
      <c r="Q380" s="78">
        <v>0.17</v>
      </c>
      <c r="R380" s="78">
        <v>0.08</v>
      </c>
      <c r="S380" s="78" t="s">
        <v>1615</v>
      </c>
      <c r="T380" s="78">
        <v>0</v>
      </c>
      <c r="U380" s="78">
        <v>96</v>
      </c>
      <c r="V380" s="78">
        <v>10</v>
      </c>
      <c r="W380" s="78">
        <v>0</v>
      </c>
      <c r="X380" s="78">
        <v>0.9</v>
      </c>
      <c r="Y380" s="78">
        <v>3.3</v>
      </c>
      <c r="Z380" s="78">
        <v>0</v>
      </c>
      <c r="AA380" s="78">
        <v>0</v>
      </c>
      <c r="AB380" s="78">
        <v>0.6</v>
      </c>
      <c r="AC380" s="78">
        <v>0.1</v>
      </c>
      <c r="AD380" s="78">
        <v>0.2</v>
      </c>
      <c r="AE380" s="78">
        <v>0</v>
      </c>
      <c r="AF380" s="78">
        <v>9</v>
      </c>
      <c r="AG380" s="78">
        <v>1</v>
      </c>
      <c r="AH380" s="78">
        <v>259</v>
      </c>
      <c r="AI380" s="78">
        <v>13</v>
      </c>
      <c r="AJ380" s="78">
        <v>23</v>
      </c>
      <c r="AK380" s="78">
        <v>10</v>
      </c>
      <c r="AL380" s="78">
        <v>0.4</v>
      </c>
      <c r="AM380" s="78">
        <v>0.2</v>
      </c>
      <c r="AN380" s="78">
        <v>0.1</v>
      </c>
      <c r="AO380" s="78">
        <v>0.1</v>
      </c>
    </row>
    <row r="381" spans="1:41">
      <c r="A381" s="78" t="s">
        <v>2359</v>
      </c>
      <c r="B381" s="78" t="s">
        <v>1558</v>
      </c>
      <c r="C381" s="78" t="s">
        <v>366</v>
      </c>
      <c r="D381" s="78" t="s">
        <v>2347</v>
      </c>
      <c r="E381" s="78" t="s">
        <v>2360</v>
      </c>
      <c r="F381" s="78" t="s">
        <v>2338</v>
      </c>
      <c r="G381" s="78" t="s">
        <v>1614</v>
      </c>
      <c r="H381" s="78">
        <v>244</v>
      </c>
      <c r="I381" s="78">
        <v>24.2</v>
      </c>
      <c r="J381" s="78">
        <v>5.9</v>
      </c>
      <c r="K381" s="78">
        <v>4.5999999999999996</v>
      </c>
      <c r="L381" s="78">
        <v>56.1</v>
      </c>
      <c r="M381" s="78">
        <v>12.8</v>
      </c>
      <c r="N381" s="78">
        <v>9.1</v>
      </c>
      <c r="O381" s="78">
        <v>0.4</v>
      </c>
      <c r="P381" s="78" t="s">
        <v>1615</v>
      </c>
      <c r="Q381" s="78" t="s">
        <v>1615</v>
      </c>
      <c r="R381" s="78" t="s">
        <v>1615</v>
      </c>
      <c r="S381" s="78" t="s">
        <v>1615</v>
      </c>
      <c r="T381" s="78">
        <v>0</v>
      </c>
      <c r="U381" s="78" t="s">
        <v>1615</v>
      </c>
      <c r="V381" s="78" t="s">
        <v>1615</v>
      </c>
      <c r="W381" s="78" t="s">
        <v>1615</v>
      </c>
      <c r="X381" s="78" t="s">
        <v>1615</v>
      </c>
      <c r="Y381" s="78" t="s">
        <v>1615</v>
      </c>
      <c r="Z381" s="78" t="s">
        <v>1615</v>
      </c>
      <c r="AA381" s="78" t="s">
        <v>1615</v>
      </c>
      <c r="AB381" s="78" t="s">
        <v>1615</v>
      </c>
      <c r="AC381" s="78" t="s">
        <v>1615</v>
      </c>
      <c r="AD381" s="78" t="s">
        <v>1615</v>
      </c>
      <c r="AE381" s="78" t="s">
        <v>1615</v>
      </c>
      <c r="AF381" s="78">
        <v>0</v>
      </c>
      <c r="AG381" s="78">
        <v>347</v>
      </c>
      <c r="AH381" s="78" t="s">
        <v>1615</v>
      </c>
      <c r="AI381" s="78" t="s">
        <v>1615</v>
      </c>
      <c r="AJ381" s="78" t="s">
        <v>1615</v>
      </c>
      <c r="AK381" s="78">
        <v>63</v>
      </c>
      <c r="AL381" s="78" t="s">
        <v>1615</v>
      </c>
      <c r="AM381" s="78" t="s">
        <v>1615</v>
      </c>
      <c r="AN381" s="78" t="s">
        <v>1615</v>
      </c>
      <c r="AO381" s="78" t="s">
        <v>1615</v>
      </c>
    </row>
    <row r="382" spans="1:41">
      <c r="A382" s="78" t="s">
        <v>2361</v>
      </c>
      <c r="B382" s="78" t="s">
        <v>1558</v>
      </c>
      <c r="C382" s="78" t="s">
        <v>366</v>
      </c>
      <c r="D382" s="78" t="s">
        <v>2349</v>
      </c>
      <c r="E382" s="78" t="s">
        <v>2362</v>
      </c>
      <c r="F382" s="78" t="s">
        <v>2338</v>
      </c>
      <c r="G382" s="78" t="s">
        <v>1614</v>
      </c>
      <c r="H382" s="78">
        <v>39</v>
      </c>
      <c r="I382" s="78">
        <v>88.9</v>
      </c>
      <c r="J382" s="78">
        <v>0.4</v>
      </c>
      <c r="K382" s="78">
        <v>0.9</v>
      </c>
      <c r="L382" s="78">
        <v>8</v>
      </c>
      <c r="M382" s="78">
        <v>8.4</v>
      </c>
      <c r="N382" s="78">
        <v>1.5</v>
      </c>
      <c r="O382" s="78">
        <v>0.3</v>
      </c>
      <c r="P382" s="78">
        <v>0.02</v>
      </c>
      <c r="Q382" s="78">
        <v>7.0000000000000007E-2</v>
      </c>
      <c r="R382" s="78">
        <v>0.09</v>
      </c>
      <c r="S382" s="78" t="s">
        <v>1615</v>
      </c>
      <c r="T382" s="78">
        <v>0</v>
      </c>
      <c r="U382" s="78">
        <v>16</v>
      </c>
      <c r="V382" s="78">
        <v>6.6</v>
      </c>
      <c r="W382" s="78">
        <v>0</v>
      </c>
      <c r="X382" s="78">
        <v>0.7</v>
      </c>
      <c r="Y382" s="78">
        <v>2.6</v>
      </c>
      <c r="Z382" s="78">
        <v>0</v>
      </c>
      <c r="AA382" s="78">
        <v>0</v>
      </c>
      <c r="AB382" s="78">
        <v>0.8</v>
      </c>
      <c r="AC382" s="78">
        <v>0</v>
      </c>
      <c r="AD382" s="78">
        <v>0.2</v>
      </c>
      <c r="AE382" s="78">
        <v>0</v>
      </c>
      <c r="AF382" s="78">
        <v>4</v>
      </c>
      <c r="AG382" s="78">
        <v>0</v>
      </c>
      <c r="AH382" s="78">
        <v>190</v>
      </c>
      <c r="AI382" s="78">
        <v>6</v>
      </c>
      <c r="AJ382" s="78">
        <v>20</v>
      </c>
      <c r="AK382" s="78">
        <v>9</v>
      </c>
      <c r="AL382" s="78">
        <v>0.3</v>
      </c>
      <c r="AM382" s="78">
        <v>0.2</v>
      </c>
      <c r="AN382" s="78">
        <v>0.1</v>
      </c>
      <c r="AO382" s="78">
        <v>0.1</v>
      </c>
    </row>
    <row r="383" spans="1:41">
      <c r="A383" s="78" t="s">
        <v>2363</v>
      </c>
      <c r="B383" s="78" t="s">
        <v>1558</v>
      </c>
      <c r="C383" s="78" t="s">
        <v>366</v>
      </c>
      <c r="D383" s="78" t="s">
        <v>2351</v>
      </c>
      <c r="E383" s="78" t="s">
        <v>2364</v>
      </c>
      <c r="F383" s="78" t="s">
        <v>2338</v>
      </c>
      <c r="G383" s="78" t="s">
        <v>1614</v>
      </c>
      <c r="H383" s="78">
        <v>50</v>
      </c>
      <c r="I383" s="78" t="s">
        <v>1615</v>
      </c>
      <c r="J383" s="78" t="s">
        <v>1615</v>
      </c>
      <c r="K383" s="78">
        <v>0.6</v>
      </c>
      <c r="L383" s="78">
        <v>10</v>
      </c>
      <c r="M383" s="78">
        <v>10</v>
      </c>
      <c r="N383" s="78" t="s">
        <v>1615</v>
      </c>
      <c r="O383" s="78">
        <v>0.3</v>
      </c>
      <c r="P383" s="78" t="s">
        <v>1615</v>
      </c>
      <c r="Q383" s="78" t="s">
        <v>1615</v>
      </c>
      <c r="R383" s="78" t="s">
        <v>1615</v>
      </c>
      <c r="S383" s="78" t="s">
        <v>1615</v>
      </c>
      <c r="T383" s="78" t="s">
        <v>1615</v>
      </c>
      <c r="U383" s="78" t="s">
        <v>1615</v>
      </c>
      <c r="V383" s="78" t="s">
        <v>1615</v>
      </c>
      <c r="W383" s="78" t="s">
        <v>1615</v>
      </c>
      <c r="X383" s="78" t="s">
        <v>1615</v>
      </c>
      <c r="Y383" s="78" t="s">
        <v>1615</v>
      </c>
      <c r="Z383" s="78" t="s">
        <v>1615</v>
      </c>
      <c r="AA383" s="78" t="s">
        <v>1615</v>
      </c>
      <c r="AB383" s="78" t="s">
        <v>1615</v>
      </c>
      <c r="AC383" s="78" t="s">
        <v>1615</v>
      </c>
      <c r="AD383" s="78" t="s">
        <v>1615</v>
      </c>
      <c r="AE383" s="78" t="s">
        <v>1615</v>
      </c>
      <c r="AF383" s="78" t="s">
        <v>1615</v>
      </c>
      <c r="AG383" s="78">
        <v>10</v>
      </c>
      <c r="AH383" s="78" t="s">
        <v>1615</v>
      </c>
      <c r="AI383" s="78" t="s">
        <v>1615</v>
      </c>
      <c r="AJ383" s="78" t="s">
        <v>1615</v>
      </c>
      <c r="AK383" s="78" t="s">
        <v>1615</v>
      </c>
      <c r="AL383" s="78" t="s">
        <v>1615</v>
      </c>
      <c r="AM383" s="78" t="s">
        <v>1615</v>
      </c>
      <c r="AN383" s="78" t="s">
        <v>1615</v>
      </c>
      <c r="AO383" s="78" t="s">
        <v>1615</v>
      </c>
    </row>
    <row r="384" spans="1:41">
      <c r="A384" s="78" t="s">
        <v>2365</v>
      </c>
      <c r="B384" s="78" t="s">
        <v>1558</v>
      </c>
      <c r="C384" s="78" t="s">
        <v>366</v>
      </c>
      <c r="D384" s="78" t="s">
        <v>2353</v>
      </c>
      <c r="E384" s="78" t="s">
        <v>2366</v>
      </c>
      <c r="F384" s="78" t="s">
        <v>2338</v>
      </c>
      <c r="G384" s="78" t="s">
        <v>1614</v>
      </c>
      <c r="H384" s="78">
        <v>52</v>
      </c>
      <c r="I384" s="78">
        <v>85.8</v>
      </c>
      <c r="J384" s="78">
        <v>0.5</v>
      </c>
      <c r="K384" s="78">
        <v>1.2</v>
      </c>
      <c r="L384" s="78">
        <v>5.4</v>
      </c>
      <c r="M384" s="78">
        <v>4.4000000000000004</v>
      </c>
      <c r="N384" s="78">
        <v>6.5</v>
      </c>
      <c r="O384" s="78">
        <v>0.7</v>
      </c>
      <c r="P384" s="78">
        <v>0.02</v>
      </c>
      <c r="Q384" s="78">
        <v>0.06</v>
      </c>
      <c r="R384" s="78">
        <v>0.38</v>
      </c>
      <c r="S384" s="78" t="s">
        <v>1615</v>
      </c>
      <c r="T384" s="78">
        <v>0</v>
      </c>
      <c r="U384" s="78">
        <v>2</v>
      </c>
      <c r="V384" s="78">
        <v>26.2</v>
      </c>
      <c r="W384" s="78">
        <v>0</v>
      </c>
      <c r="X384" s="78">
        <v>0.9</v>
      </c>
      <c r="Y384" s="78">
        <v>7.8</v>
      </c>
      <c r="Z384" s="78">
        <v>0</v>
      </c>
      <c r="AA384" s="78">
        <v>0</v>
      </c>
      <c r="AB384" s="78">
        <v>0.6</v>
      </c>
      <c r="AC384" s="78">
        <v>0.1</v>
      </c>
      <c r="AD384" s="78">
        <v>0.3</v>
      </c>
      <c r="AE384" s="78">
        <v>0</v>
      </c>
      <c r="AF384" s="78">
        <v>21</v>
      </c>
      <c r="AG384" s="78">
        <v>1</v>
      </c>
      <c r="AH384" s="78">
        <v>151</v>
      </c>
      <c r="AI384" s="78">
        <v>25</v>
      </c>
      <c r="AJ384" s="78">
        <v>29</v>
      </c>
      <c r="AK384" s="78">
        <v>22</v>
      </c>
      <c r="AL384" s="78">
        <v>0.2</v>
      </c>
      <c r="AM384" s="78">
        <v>0.4</v>
      </c>
      <c r="AN384" s="78">
        <v>0.1</v>
      </c>
      <c r="AO384" s="78">
        <v>0.2</v>
      </c>
    </row>
    <row r="385" spans="1:41">
      <c r="A385" s="78" t="s">
        <v>2367</v>
      </c>
      <c r="B385" s="78" t="s">
        <v>1558</v>
      </c>
      <c r="C385" s="78" t="s">
        <v>366</v>
      </c>
      <c r="D385" s="78" t="s">
        <v>2355</v>
      </c>
      <c r="E385" s="78" t="s">
        <v>2368</v>
      </c>
      <c r="F385" s="78" t="s">
        <v>2338</v>
      </c>
      <c r="G385" s="78" t="s">
        <v>1614</v>
      </c>
      <c r="H385" s="78">
        <v>32</v>
      </c>
      <c r="I385" s="78">
        <v>91</v>
      </c>
      <c r="J385" s="78">
        <v>0.4</v>
      </c>
      <c r="K385" s="78">
        <v>0.7</v>
      </c>
      <c r="L385" s="78">
        <v>5.7</v>
      </c>
      <c r="M385" s="78">
        <v>4.9000000000000004</v>
      </c>
      <c r="N385" s="78">
        <v>2</v>
      </c>
      <c r="O385" s="78">
        <v>0.3</v>
      </c>
      <c r="P385" s="78">
        <v>0.02</v>
      </c>
      <c r="Q385" s="78">
        <v>0.04</v>
      </c>
      <c r="R385" s="78">
        <v>0.16</v>
      </c>
      <c r="S385" s="78" t="s">
        <v>1615</v>
      </c>
      <c r="T385" s="78">
        <v>0</v>
      </c>
      <c r="U385" s="78">
        <v>1</v>
      </c>
      <c r="V385" s="78">
        <v>58.8</v>
      </c>
      <c r="W385" s="78">
        <v>0</v>
      </c>
      <c r="X385" s="78">
        <v>0.3</v>
      </c>
      <c r="Y385" s="78">
        <v>2.2000000000000002</v>
      </c>
      <c r="Z385" s="78">
        <v>0</v>
      </c>
      <c r="AA385" s="78">
        <v>0</v>
      </c>
      <c r="AB385" s="78">
        <v>0.4</v>
      </c>
      <c r="AC385" s="78">
        <v>0</v>
      </c>
      <c r="AD385" s="78">
        <v>0.1</v>
      </c>
      <c r="AE385" s="78">
        <v>0</v>
      </c>
      <c r="AF385" s="78">
        <v>24</v>
      </c>
      <c r="AG385" s="78">
        <v>1</v>
      </c>
      <c r="AH385" s="78">
        <v>153</v>
      </c>
      <c r="AI385" s="78">
        <v>16</v>
      </c>
      <c r="AJ385" s="78">
        <v>24</v>
      </c>
      <c r="AK385" s="78">
        <v>13</v>
      </c>
      <c r="AL385" s="78">
        <v>0.4</v>
      </c>
      <c r="AM385" s="78">
        <v>0.1</v>
      </c>
      <c r="AN385" s="78">
        <v>0</v>
      </c>
      <c r="AO385" s="78">
        <v>0.4</v>
      </c>
    </row>
    <row r="386" spans="1:41">
      <c r="A386" s="78" t="s">
        <v>2369</v>
      </c>
      <c r="B386" s="78" t="s">
        <v>1558</v>
      </c>
      <c r="C386" s="78" t="s">
        <v>366</v>
      </c>
      <c r="D386" s="78" t="s">
        <v>2357</v>
      </c>
      <c r="E386" s="78" t="s">
        <v>2370</v>
      </c>
      <c r="F386" s="78" t="s">
        <v>2338</v>
      </c>
      <c r="G386" s="78" t="s">
        <v>1614</v>
      </c>
      <c r="H386" s="78">
        <v>83</v>
      </c>
      <c r="I386" s="78">
        <v>77.900000000000006</v>
      </c>
      <c r="J386" s="78">
        <v>0.5</v>
      </c>
      <c r="K386" s="78">
        <v>1.2</v>
      </c>
      <c r="L386" s="78">
        <v>14.7</v>
      </c>
      <c r="M386" s="78">
        <v>13.7</v>
      </c>
      <c r="N386" s="78">
        <v>4</v>
      </c>
      <c r="O386" s="78">
        <v>1.2</v>
      </c>
      <c r="P386" s="78">
        <v>0.12</v>
      </c>
      <c r="Q386" s="78">
        <v>0.09</v>
      </c>
      <c r="R386" s="78">
        <v>0.08</v>
      </c>
      <c r="S386" s="78" t="s">
        <v>1615</v>
      </c>
      <c r="T386" s="78">
        <v>0</v>
      </c>
      <c r="U386" s="78">
        <v>0</v>
      </c>
      <c r="V386" s="78">
        <v>10.199999999999999</v>
      </c>
      <c r="W386" s="78">
        <v>0</v>
      </c>
      <c r="X386" s="78">
        <v>0.6</v>
      </c>
      <c r="Y386" s="78">
        <v>16.399999999999999</v>
      </c>
      <c r="Z386" s="78">
        <v>0.1</v>
      </c>
      <c r="AA386" s="78">
        <v>0.1</v>
      </c>
      <c r="AB386" s="78">
        <v>0.3</v>
      </c>
      <c r="AC386" s="78">
        <v>0.1</v>
      </c>
      <c r="AD386" s="78">
        <v>0.4</v>
      </c>
      <c r="AE386" s="78">
        <v>0</v>
      </c>
      <c r="AF386" s="78">
        <v>38</v>
      </c>
      <c r="AG386" s="78">
        <v>3</v>
      </c>
      <c r="AH386" s="78">
        <v>236</v>
      </c>
      <c r="AI386" s="78">
        <v>10</v>
      </c>
      <c r="AJ386" s="78">
        <v>36</v>
      </c>
      <c r="AK386" s="78">
        <v>12</v>
      </c>
      <c r="AL386" s="78">
        <v>0.3</v>
      </c>
      <c r="AM386" s="78">
        <v>0.4</v>
      </c>
      <c r="AN386" s="78">
        <v>0.2</v>
      </c>
      <c r="AO386" s="78">
        <v>0.5</v>
      </c>
    </row>
    <row r="387" spans="1:41">
      <c r="A387" s="78" t="s">
        <v>2371</v>
      </c>
      <c r="B387" s="78" t="s">
        <v>1558</v>
      </c>
      <c r="C387" s="78" t="s">
        <v>366</v>
      </c>
      <c r="D387" s="78" t="s">
        <v>2359</v>
      </c>
      <c r="E387" s="78" t="s">
        <v>2372</v>
      </c>
      <c r="F387" s="78" t="s">
        <v>2338</v>
      </c>
      <c r="G387" s="78" t="s">
        <v>1614</v>
      </c>
      <c r="H387" s="78">
        <v>56</v>
      </c>
      <c r="I387" s="78">
        <v>84</v>
      </c>
      <c r="J387" s="78">
        <v>0.7</v>
      </c>
      <c r="K387" s="78">
        <v>1.4</v>
      </c>
      <c r="L387" s="78">
        <v>9.5</v>
      </c>
      <c r="M387" s="78">
        <v>7.4</v>
      </c>
      <c r="N387" s="78">
        <v>4.3</v>
      </c>
      <c r="O387" s="78">
        <v>0.2</v>
      </c>
      <c r="P387" s="78">
        <v>0.02</v>
      </c>
      <c r="Q387" s="78">
        <v>0.03</v>
      </c>
      <c r="R387" s="78">
        <v>0.09</v>
      </c>
      <c r="S387" s="78" t="s">
        <v>1615</v>
      </c>
      <c r="T387" s="78">
        <v>0</v>
      </c>
      <c r="U387" s="78">
        <v>2</v>
      </c>
      <c r="V387" s="78">
        <v>41</v>
      </c>
      <c r="W387" s="78">
        <v>0</v>
      </c>
      <c r="X387" s="78">
        <v>0.1</v>
      </c>
      <c r="Y387" s="78">
        <v>34</v>
      </c>
      <c r="Z387" s="78">
        <v>0</v>
      </c>
      <c r="AA387" s="78">
        <v>0.1</v>
      </c>
      <c r="AB387" s="78">
        <v>0.1</v>
      </c>
      <c r="AC387" s="78">
        <v>0.1</v>
      </c>
      <c r="AD387" s="78">
        <v>0.1</v>
      </c>
      <c r="AE387" s="78">
        <v>0</v>
      </c>
      <c r="AF387" s="78">
        <v>8</v>
      </c>
      <c r="AG387" s="78">
        <v>1</v>
      </c>
      <c r="AH387" s="78">
        <v>275</v>
      </c>
      <c r="AI387" s="78">
        <v>33</v>
      </c>
      <c r="AJ387" s="78">
        <v>44</v>
      </c>
      <c r="AK387" s="78">
        <v>13</v>
      </c>
      <c r="AL387" s="78">
        <v>1</v>
      </c>
      <c r="AM387" s="78">
        <v>0.2</v>
      </c>
      <c r="AN387" s="78">
        <v>0.1</v>
      </c>
      <c r="AO387" s="78">
        <v>0.6</v>
      </c>
    </row>
    <row r="388" spans="1:41">
      <c r="A388" s="78" t="s">
        <v>2373</v>
      </c>
      <c r="B388" s="78" t="s">
        <v>1558</v>
      </c>
      <c r="C388" s="78" t="s">
        <v>366</v>
      </c>
      <c r="D388" s="78" t="s">
        <v>2361</v>
      </c>
      <c r="E388" s="78" t="s">
        <v>2374</v>
      </c>
      <c r="F388" s="78" t="s">
        <v>2338</v>
      </c>
      <c r="G388" s="78" t="s">
        <v>1614</v>
      </c>
      <c r="H388" s="78">
        <v>68</v>
      </c>
      <c r="I388" s="78">
        <v>80.8</v>
      </c>
      <c r="J388" s="78">
        <v>1.4</v>
      </c>
      <c r="K388" s="78">
        <v>2.6</v>
      </c>
      <c r="L388" s="78">
        <v>8.9</v>
      </c>
      <c r="M388" s="78">
        <v>8.9</v>
      </c>
      <c r="N388" s="78">
        <v>5.4</v>
      </c>
      <c r="O388" s="78">
        <v>1</v>
      </c>
      <c r="P388" s="78">
        <v>0.27</v>
      </c>
      <c r="Q388" s="78">
        <v>0.09</v>
      </c>
      <c r="R388" s="78">
        <v>0.4</v>
      </c>
      <c r="S388" s="78" t="s">
        <v>1615</v>
      </c>
      <c r="T388" s="78">
        <v>0</v>
      </c>
      <c r="U388" s="78">
        <v>31</v>
      </c>
      <c r="V388" s="78">
        <v>228.3</v>
      </c>
      <c r="W388" s="78">
        <v>0</v>
      </c>
      <c r="X388" s="78">
        <v>0.7</v>
      </c>
      <c r="Y388" s="78">
        <v>2.6</v>
      </c>
      <c r="Z388" s="78">
        <v>0.1</v>
      </c>
      <c r="AA388" s="78">
        <v>0</v>
      </c>
      <c r="AB388" s="78">
        <v>1.1000000000000001</v>
      </c>
      <c r="AC388" s="78">
        <v>0.1</v>
      </c>
      <c r="AD388" s="78">
        <v>0.5</v>
      </c>
      <c r="AE388" s="78">
        <v>0</v>
      </c>
      <c r="AF388" s="78">
        <v>49</v>
      </c>
      <c r="AG388" s="78">
        <v>2</v>
      </c>
      <c r="AH388" s="78">
        <v>417</v>
      </c>
      <c r="AI388" s="78">
        <v>18</v>
      </c>
      <c r="AJ388" s="78">
        <v>40</v>
      </c>
      <c r="AK388" s="78">
        <v>22</v>
      </c>
      <c r="AL388" s="78">
        <v>0.3</v>
      </c>
      <c r="AM388" s="78">
        <v>0.2</v>
      </c>
      <c r="AN388" s="78">
        <v>0.2</v>
      </c>
      <c r="AO388" s="78">
        <v>0.6</v>
      </c>
    </row>
    <row r="389" spans="1:41">
      <c r="A389" s="78" t="s">
        <v>2375</v>
      </c>
      <c r="B389" s="78" t="s">
        <v>1558</v>
      </c>
      <c r="C389" s="78" t="s">
        <v>366</v>
      </c>
      <c r="D389" s="78" t="s">
        <v>2363</v>
      </c>
      <c r="E389" s="78" t="s">
        <v>2376</v>
      </c>
      <c r="F389" s="78" t="s">
        <v>2338</v>
      </c>
      <c r="G389" s="78" t="s">
        <v>1614</v>
      </c>
      <c r="H389" s="78">
        <v>63</v>
      </c>
      <c r="I389" s="78">
        <v>82.3</v>
      </c>
      <c r="J389" s="78">
        <v>0.5</v>
      </c>
      <c r="K389" s="78">
        <v>1.1000000000000001</v>
      </c>
      <c r="L389" s="78">
        <v>13.9</v>
      </c>
      <c r="M389" s="78">
        <v>12.8</v>
      </c>
      <c r="N389" s="78">
        <v>2.1</v>
      </c>
      <c r="O389" s="78">
        <v>0.2</v>
      </c>
      <c r="P389" s="78">
        <v>0.04</v>
      </c>
      <c r="Q389" s="78">
        <v>0.05</v>
      </c>
      <c r="R389" s="78">
        <v>0.08</v>
      </c>
      <c r="S389" s="78" t="s">
        <v>1615</v>
      </c>
      <c r="T389" s="78">
        <v>0</v>
      </c>
      <c r="U389" s="78">
        <v>3</v>
      </c>
      <c r="V389" s="78">
        <v>2</v>
      </c>
      <c r="W389" s="78">
        <v>0</v>
      </c>
      <c r="X389" s="78">
        <v>0.1</v>
      </c>
      <c r="Y389" s="78">
        <v>2.1</v>
      </c>
      <c r="Z389" s="78">
        <v>0</v>
      </c>
      <c r="AA389" s="78">
        <v>0</v>
      </c>
      <c r="AB389" s="78">
        <v>0.2</v>
      </c>
      <c r="AC389" s="78">
        <v>0</v>
      </c>
      <c r="AD389" s="78">
        <v>0.2</v>
      </c>
      <c r="AE389" s="78">
        <v>0</v>
      </c>
      <c r="AF389" s="78">
        <v>0</v>
      </c>
      <c r="AG389" s="78">
        <v>0</v>
      </c>
      <c r="AH389" s="78">
        <v>222</v>
      </c>
      <c r="AI389" s="78">
        <v>13</v>
      </c>
      <c r="AJ389" s="78">
        <v>21</v>
      </c>
      <c r="AK389" s="78">
        <v>11</v>
      </c>
      <c r="AL389" s="78">
        <v>0.4</v>
      </c>
      <c r="AM389" s="78">
        <v>0.1</v>
      </c>
      <c r="AN389" s="78">
        <v>0.1</v>
      </c>
      <c r="AO389" s="78">
        <v>0</v>
      </c>
    </row>
    <row r="390" spans="1:41">
      <c r="A390" s="78" t="s">
        <v>2377</v>
      </c>
      <c r="B390" s="78" t="s">
        <v>1558</v>
      </c>
      <c r="C390" s="78" t="s">
        <v>366</v>
      </c>
      <c r="D390" s="78" t="s">
        <v>2365</v>
      </c>
      <c r="E390" s="78" t="s">
        <v>2378</v>
      </c>
      <c r="F390" s="78" t="s">
        <v>2338</v>
      </c>
      <c r="G390" s="78" t="s">
        <v>1614</v>
      </c>
      <c r="H390" s="78">
        <v>50</v>
      </c>
      <c r="I390" s="78">
        <v>86.1</v>
      </c>
      <c r="J390" s="78">
        <v>0.4</v>
      </c>
      <c r="K390" s="78">
        <v>1</v>
      </c>
      <c r="L390" s="78">
        <v>10.6</v>
      </c>
      <c r="M390" s="78">
        <v>8.5</v>
      </c>
      <c r="N390" s="78">
        <v>1.6</v>
      </c>
      <c r="O390" s="78">
        <v>0.3</v>
      </c>
      <c r="P390" s="78">
        <v>7.0000000000000007E-2</v>
      </c>
      <c r="Q390" s="78">
        <v>0.08</v>
      </c>
      <c r="R390" s="78">
        <v>0.09</v>
      </c>
      <c r="S390" s="78" t="s">
        <v>1615</v>
      </c>
      <c r="T390" s="78">
        <v>0</v>
      </c>
      <c r="U390" s="78">
        <v>64</v>
      </c>
      <c r="V390" s="78">
        <v>10</v>
      </c>
      <c r="W390" s="78">
        <v>0</v>
      </c>
      <c r="X390" s="78">
        <v>0.1</v>
      </c>
      <c r="Y390" s="78">
        <v>2.1</v>
      </c>
      <c r="Z390" s="78">
        <v>0</v>
      </c>
      <c r="AA390" s="78">
        <v>0</v>
      </c>
      <c r="AB390" s="78">
        <v>0.4</v>
      </c>
      <c r="AC390" s="78">
        <v>0</v>
      </c>
      <c r="AD390" s="78">
        <v>0.1</v>
      </c>
      <c r="AE390" s="78">
        <v>0</v>
      </c>
      <c r="AF390" s="78">
        <v>8</v>
      </c>
      <c r="AG390" s="78">
        <v>3</v>
      </c>
      <c r="AH390" s="78">
        <v>173</v>
      </c>
      <c r="AI390" s="78">
        <v>16</v>
      </c>
      <c r="AJ390" s="78">
        <v>15</v>
      </c>
      <c r="AK390" s="78">
        <v>9</v>
      </c>
      <c r="AL390" s="78">
        <v>0.3</v>
      </c>
      <c r="AM390" s="78">
        <v>0.1</v>
      </c>
      <c r="AN390" s="78">
        <v>0.1</v>
      </c>
      <c r="AO390" s="78">
        <v>0</v>
      </c>
    </row>
    <row r="391" spans="1:41">
      <c r="A391" s="78" t="s">
        <v>2379</v>
      </c>
      <c r="B391" s="78" t="s">
        <v>1558</v>
      </c>
      <c r="C391" s="78" t="s">
        <v>366</v>
      </c>
      <c r="D391" s="78" t="s">
        <v>2367</v>
      </c>
      <c r="E391" s="78" t="s">
        <v>2380</v>
      </c>
      <c r="F391" s="78" t="s">
        <v>2338</v>
      </c>
      <c r="G391" s="78" t="s">
        <v>1614</v>
      </c>
      <c r="H391" s="78">
        <v>74</v>
      </c>
      <c r="I391" s="78">
        <v>79.099999999999994</v>
      </c>
      <c r="J391" s="78">
        <v>0.7</v>
      </c>
      <c r="K391" s="78">
        <v>0.8</v>
      </c>
      <c r="L391" s="78">
        <v>16.3</v>
      </c>
      <c r="M391" s="78">
        <v>16.3</v>
      </c>
      <c r="N391" s="78">
        <v>2.9</v>
      </c>
      <c r="O391" s="78">
        <v>0.3</v>
      </c>
      <c r="P391" s="78">
        <v>0.06</v>
      </c>
      <c r="Q391" s="78">
        <v>7.0000000000000007E-2</v>
      </c>
      <c r="R391" s="78">
        <v>0.14000000000000001</v>
      </c>
      <c r="S391" s="78" t="s">
        <v>1615</v>
      </c>
      <c r="T391" s="78">
        <v>0</v>
      </c>
      <c r="U391" s="78">
        <v>7</v>
      </c>
      <c r="V391" s="78">
        <v>2</v>
      </c>
      <c r="W391" s="78">
        <v>0</v>
      </c>
      <c r="X391" s="78">
        <v>0.1</v>
      </c>
      <c r="Y391" s="78">
        <v>4.7</v>
      </c>
      <c r="Z391" s="78">
        <v>0.1</v>
      </c>
      <c r="AA391" s="78">
        <v>0.1</v>
      </c>
      <c r="AB391" s="78">
        <v>0.4</v>
      </c>
      <c r="AC391" s="78">
        <v>0.1</v>
      </c>
      <c r="AD391" s="78">
        <v>0.3</v>
      </c>
      <c r="AE391" s="78">
        <v>0</v>
      </c>
      <c r="AF391" s="78">
        <v>6</v>
      </c>
      <c r="AG391" s="78">
        <v>1</v>
      </c>
      <c r="AH391" s="78">
        <v>232</v>
      </c>
      <c r="AI391" s="78">
        <v>35</v>
      </c>
      <c r="AJ391" s="78">
        <v>14</v>
      </c>
      <c r="AK391" s="78">
        <v>17</v>
      </c>
      <c r="AL391" s="78">
        <v>0.4</v>
      </c>
      <c r="AM391" s="78">
        <v>0.2</v>
      </c>
      <c r="AN391" s="78">
        <v>0.1</v>
      </c>
      <c r="AO391" s="78">
        <v>0.2</v>
      </c>
    </row>
    <row r="392" spans="1:41">
      <c r="A392" s="78" t="s">
        <v>2381</v>
      </c>
      <c r="B392" s="78" t="s">
        <v>1558</v>
      </c>
      <c r="C392" s="78" t="s">
        <v>366</v>
      </c>
      <c r="D392" s="78" t="s">
        <v>2369</v>
      </c>
      <c r="E392" s="78" t="s">
        <v>2382</v>
      </c>
      <c r="F392" s="78" t="s">
        <v>2338</v>
      </c>
      <c r="G392" s="78" t="s">
        <v>1614</v>
      </c>
      <c r="H392" s="78">
        <v>249</v>
      </c>
      <c r="I392" s="78">
        <v>30.1</v>
      </c>
      <c r="J392" s="78">
        <v>1.9</v>
      </c>
      <c r="K392" s="78">
        <v>3.3</v>
      </c>
      <c r="L392" s="78">
        <v>54.1</v>
      </c>
      <c r="M392" s="78">
        <v>47.9</v>
      </c>
      <c r="N392" s="78">
        <v>9.8000000000000007</v>
      </c>
      <c r="O392" s="78">
        <v>0.9</v>
      </c>
      <c r="P392" s="78">
        <v>0.14000000000000001</v>
      </c>
      <c r="Q392" s="78">
        <v>0.16</v>
      </c>
      <c r="R392" s="78">
        <v>0.35</v>
      </c>
      <c r="S392" s="78" t="s">
        <v>1615</v>
      </c>
      <c r="T392" s="78">
        <v>0</v>
      </c>
      <c r="U392" s="78">
        <v>0</v>
      </c>
      <c r="V392" s="78">
        <v>1.2</v>
      </c>
      <c r="W392" s="78">
        <v>0</v>
      </c>
      <c r="X392" s="78">
        <v>0.4</v>
      </c>
      <c r="Y392" s="78">
        <v>15.6</v>
      </c>
      <c r="Z392" s="78">
        <v>0.1</v>
      </c>
      <c r="AA392" s="78">
        <v>0.1</v>
      </c>
      <c r="AB392" s="78">
        <v>0.6</v>
      </c>
      <c r="AC392" s="78">
        <v>0.1</v>
      </c>
      <c r="AD392" s="78">
        <v>0.4</v>
      </c>
      <c r="AE392" s="78">
        <v>0</v>
      </c>
      <c r="AF392" s="78">
        <v>9</v>
      </c>
      <c r="AG392" s="78">
        <v>10</v>
      </c>
      <c r="AH392" s="78">
        <v>680</v>
      </c>
      <c r="AI392" s="78">
        <v>162</v>
      </c>
      <c r="AJ392" s="78">
        <v>67</v>
      </c>
      <c r="AK392" s="78">
        <v>68</v>
      </c>
      <c r="AL392" s="78">
        <v>2</v>
      </c>
      <c r="AM392" s="78">
        <v>0.6</v>
      </c>
      <c r="AN392" s="78">
        <v>0.3</v>
      </c>
      <c r="AO392" s="78">
        <v>0.6</v>
      </c>
    </row>
    <row r="393" spans="1:41">
      <c r="A393" s="78" t="s">
        <v>2383</v>
      </c>
      <c r="B393" s="78" t="s">
        <v>1558</v>
      </c>
      <c r="C393" s="78" t="s">
        <v>366</v>
      </c>
      <c r="D393" s="78" t="s">
        <v>2371</v>
      </c>
      <c r="E393" s="78" t="s">
        <v>2384</v>
      </c>
      <c r="F393" s="78" t="s">
        <v>2338</v>
      </c>
      <c r="G393" s="78" t="s">
        <v>1614</v>
      </c>
      <c r="H393" s="78">
        <v>239</v>
      </c>
      <c r="I393" s="78">
        <v>31.8</v>
      </c>
      <c r="J393" s="78">
        <v>2.5</v>
      </c>
      <c r="K393" s="78">
        <v>3.6</v>
      </c>
      <c r="L393" s="78">
        <v>53.1</v>
      </c>
      <c r="M393" s="78">
        <v>41.7</v>
      </c>
      <c r="N393" s="78">
        <v>8.1999999999999993</v>
      </c>
      <c r="O393" s="78">
        <v>0.8</v>
      </c>
      <c r="P393" s="78">
        <v>0.08</v>
      </c>
      <c r="Q393" s="78">
        <v>0.28000000000000003</v>
      </c>
      <c r="R393" s="78">
        <v>0.37</v>
      </c>
      <c r="S393" s="78" t="s">
        <v>1615</v>
      </c>
      <c r="T393" s="78">
        <v>0</v>
      </c>
      <c r="U393" s="78">
        <v>108</v>
      </c>
      <c r="V393" s="78">
        <v>4.8</v>
      </c>
      <c r="W393" s="78">
        <v>0</v>
      </c>
      <c r="X393" s="78">
        <v>0.2</v>
      </c>
      <c r="Y393" s="78">
        <v>15.7</v>
      </c>
      <c r="Z393" s="78">
        <v>0</v>
      </c>
      <c r="AA393" s="78">
        <v>0.2</v>
      </c>
      <c r="AB393" s="78">
        <v>4.4000000000000004</v>
      </c>
      <c r="AC393" s="78">
        <v>0.1</v>
      </c>
      <c r="AD393" s="78">
        <v>0.6</v>
      </c>
      <c r="AE393" s="78">
        <v>0</v>
      </c>
      <c r="AF393" s="78">
        <v>0</v>
      </c>
      <c r="AG393" s="78">
        <v>7</v>
      </c>
      <c r="AH393" s="78">
        <v>996</v>
      </c>
      <c r="AI393" s="78">
        <v>28</v>
      </c>
      <c r="AJ393" s="78">
        <v>119</v>
      </c>
      <c r="AK393" s="78">
        <v>4</v>
      </c>
      <c r="AL393" s="78">
        <v>4.0999999999999996</v>
      </c>
      <c r="AM393" s="78">
        <v>0.6</v>
      </c>
      <c r="AN393" s="78">
        <v>0.4</v>
      </c>
      <c r="AO393" s="78">
        <v>0.5</v>
      </c>
    </row>
    <row r="394" spans="1:41">
      <c r="A394" s="78" t="s">
        <v>2385</v>
      </c>
      <c r="B394" s="78" t="s">
        <v>1558</v>
      </c>
      <c r="C394" s="78" t="s">
        <v>366</v>
      </c>
      <c r="D394" s="78" t="s">
        <v>2373</v>
      </c>
      <c r="E394" s="78" t="s">
        <v>2386</v>
      </c>
      <c r="F394" s="78" t="s">
        <v>2338</v>
      </c>
      <c r="G394" s="78" t="s">
        <v>1614</v>
      </c>
      <c r="H394" s="78">
        <v>61</v>
      </c>
      <c r="I394" s="78">
        <v>83.1</v>
      </c>
      <c r="J394" s="78">
        <v>0.6</v>
      </c>
      <c r="K394" s="78">
        <v>1.1000000000000001</v>
      </c>
      <c r="L394" s="78">
        <v>11.7</v>
      </c>
      <c r="M394" s="78">
        <v>9</v>
      </c>
      <c r="N394" s="78">
        <v>3</v>
      </c>
      <c r="O394" s="78">
        <v>0.5</v>
      </c>
      <c r="P394" s="78">
        <v>0.03</v>
      </c>
      <c r="Q394" s="78">
        <v>0.05</v>
      </c>
      <c r="R394" s="78">
        <v>0.28999999999999998</v>
      </c>
      <c r="S394" s="78" t="s">
        <v>1615</v>
      </c>
      <c r="T394" s="78">
        <v>0</v>
      </c>
      <c r="U394" s="78">
        <v>4</v>
      </c>
      <c r="V394" s="78">
        <v>92.7</v>
      </c>
      <c r="W394" s="78">
        <v>0</v>
      </c>
      <c r="X394" s="78">
        <v>1.5</v>
      </c>
      <c r="Y394" s="78">
        <v>40.299999999999997</v>
      </c>
      <c r="Z394" s="78">
        <v>0</v>
      </c>
      <c r="AA394" s="78">
        <v>0</v>
      </c>
      <c r="AB394" s="78">
        <v>0.3</v>
      </c>
      <c r="AC394" s="78">
        <v>0.1</v>
      </c>
      <c r="AD394" s="78">
        <v>0.2</v>
      </c>
      <c r="AE394" s="78">
        <v>0</v>
      </c>
      <c r="AF394" s="78">
        <v>25</v>
      </c>
      <c r="AG394" s="78">
        <v>3</v>
      </c>
      <c r="AH394" s="78">
        <v>312</v>
      </c>
      <c r="AI394" s="78">
        <v>34</v>
      </c>
      <c r="AJ394" s="78">
        <v>34</v>
      </c>
      <c r="AK394" s="78">
        <v>17</v>
      </c>
      <c r="AL394" s="78">
        <v>0.3</v>
      </c>
      <c r="AM394" s="78">
        <v>0.1</v>
      </c>
      <c r="AN394" s="78">
        <v>0.1</v>
      </c>
      <c r="AO394" s="78">
        <v>0.2</v>
      </c>
    </row>
    <row r="395" spans="1:41">
      <c r="A395" s="78" t="s">
        <v>2387</v>
      </c>
      <c r="B395" s="78" t="s">
        <v>1558</v>
      </c>
      <c r="C395" s="78" t="s">
        <v>366</v>
      </c>
      <c r="D395" s="78" t="s">
        <v>2375</v>
      </c>
      <c r="E395" s="78" t="s">
        <v>2388</v>
      </c>
      <c r="F395" s="78" t="s">
        <v>2338</v>
      </c>
      <c r="G395" s="78" t="s">
        <v>1614</v>
      </c>
      <c r="H395" s="78">
        <v>29</v>
      </c>
      <c r="I395" s="78">
        <v>89</v>
      </c>
      <c r="J395" s="78">
        <v>0.3</v>
      </c>
      <c r="K395" s="78">
        <v>1.1000000000000001</v>
      </c>
      <c r="L395" s="78">
        <v>6.5</v>
      </c>
      <c r="M395" s="78">
        <v>2.5</v>
      </c>
      <c r="N395" s="78">
        <v>2.8</v>
      </c>
      <c r="O395" s="78">
        <v>0.3</v>
      </c>
      <c r="P395" s="78">
        <v>0.04</v>
      </c>
      <c r="Q395" s="78">
        <v>0.01</v>
      </c>
      <c r="R395" s="78">
        <v>0.09</v>
      </c>
      <c r="S395" s="78" t="s">
        <v>1615</v>
      </c>
      <c r="T395" s="78">
        <v>0</v>
      </c>
      <c r="U395" s="78">
        <v>1</v>
      </c>
      <c r="V395" s="78">
        <v>53</v>
      </c>
      <c r="W395" s="78">
        <v>0</v>
      </c>
      <c r="X395" s="78">
        <v>0.2</v>
      </c>
      <c r="Y395" s="78" t="s">
        <v>1615</v>
      </c>
      <c r="Z395" s="78" t="s">
        <v>1615</v>
      </c>
      <c r="AA395" s="78">
        <v>0</v>
      </c>
      <c r="AB395" s="78">
        <v>0.1</v>
      </c>
      <c r="AC395" s="78">
        <v>0.1</v>
      </c>
      <c r="AD395" s="78">
        <v>0.2</v>
      </c>
      <c r="AE395" s="78">
        <v>0</v>
      </c>
      <c r="AF395" s="78">
        <v>11</v>
      </c>
      <c r="AG395" s="78">
        <v>2</v>
      </c>
      <c r="AH395" s="78">
        <v>138</v>
      </c>
      <c r="AI395" s="78">
        <v>26</v>
      </c>
      <c r="AJ395" s="78">
        <v>16</v>
      </c>
      <c r="AK395" s="78">
        <v>8</v>
      </c>
      <c r="AL395" s="78">
        <v>0.6</v>
      </c>
      <c r="AM395" s="78">
        <v>0.1</v>
      </c>
      <c r="AN395" s="78">
        <v>0</v>
      </c>
      <c r="AO395" s="78">
        <v>0.4</v>
      </c>
    </row>
    <row r="396" spans="1:41">
      <c r="A396" s="78" t="s">
        <v>2389</v>
      </c>
      <c r="B396" s="78" t="s">
        <v>1558</v>
      </c>
      <c r="C396" s="78" t="s">
        <v>366</v>
      </c>
      <c r="D396" s="78" t="s">
        <v>2377</v>
      </c>
      <c r="E396" s="78" t="s">
        <v>2390</v>
      </c>
      <c r="F396" s="78" t="s">
        <v>2338</v>
      </c>
      <c r="G396" s="78" t="s">
        <v>1614</v>
      </c>
      <c r="H396" s="78">
        <v>53</v>
      </c>
      <c r="I396" s="78">
        <v>85.2</v>
      </c>
      <c r="J396" s="78">
        <v>0.4</v>
      </c>
      <c r="K396" s="78">
        <v>0.8</v>
      </c>
      <c r="L396" s="78">
        <v>4.8</v>
      </c>
      <c r="M396" s="78" t="s">
        <v>1615</v>
      </c>
      <c r="N396" s="78">
        <v>1.8</v>
      </c>
      <c r="O396" s="78">
        <v>0.3</v>
      </c>
      <c r="P396" s="78">
        <v>0.04</v>
      </c>
      <c r="Q396" s="78">
        <v>0.06</v>
      </c>
      <c r="R396" s="78">
        <v>7.0000000000000007E-2</v>
      </c>
      <c r="S396" s="78" t="s">
        <v>1615</v>
      </c>
      <c r="T396" s="78">
        <v>0</v>
      </c>
      <c r="U396" s="78">
        <v>34</v>
      </c>
      <c r="V396" s="78">
        <v>26.7</v>
      </c>
      <c r="W396" s="78">
        <v>0</v>
      </c>
      <c r="X396" s="78">
        <v>0.2</v>
      </c>
      <c r="Y396" s="78">
        <v>0</v>
      </c>
      <c r="Z396" s="78">
        <v>0</v>
      </c>
      <c r="AA396" s="78">
        <v>0</v>
      </c>
      <c r="AB396" s="78">
        <v>0.4</v>
      </c>
      <c r="AC396" s="78">
        <v>0.1</v>
      </c>
      <c r="AD396" s="78">
        <v>0.2</v>
      </c>
      <c r="AE396" s="78">
        <v>0</v>
      </c>
      <c r="AF396" s="78">
        <v>16</v>
      </c>
      <c r="AG396" s="78">
        <v>2</v>
      </c>
      <c r="AH396" s="78">
        <v>166</v>
      </c>
      <c r="AI396" s="78">
        <v>37</v>
      </c>
      <c r="AJ396" s="78">
        <v>20</v>
      </c>
      <c r="AK396" s="78">
        <v>12</v>
      </c>
      <c r="AL396" s="78">
        <v>0.2</v>
      </c>
      <c r="AM396" s="78">
        <v>0.1</v>
      </c>
      <c r="AN396" s="78">
        <v>0</v>
      </c>
      <c r="AO396" s="78">
        <v>0.1</v>
      </c>
    </row>
    <row r="397" spans="1:41">
      <c r="A397" s="78" t="s">
        <v>2391</v>
      </c>
      <c r="B397" s="78" t="s">
        <v>1558</v>
      </c>
      <c r="C397" s="78" t="s">
        <v>366</v>
      </c>
      <c r="D397" s="78" t="s">
        <v>2379</v>
      </c>
      <c r="E397" s="78" t="s">
        <v>352</v>
      </c>
      <c r="F397" s="78" t="s">
        <v>2338</v>
      </c>
      <c r="G397" s="78" t="s">
        <v>1614</v>
      </c>
      <c r="H397" s="78">
        <v>60</v>
      </c>
      <c r="I397" s="78">
        <v>83.5</v>
      </c>
      <c r="J397" s="78">
        <v>0.4</v>
      </c>
      <c r="K397" s="78">
        <v>0.8</v>
      </c>
      <c r="L397" s="78">
        <v>13.4</v>
      </c>
      <c r="M397" s="78">
        <v>13.7</v>
      </c>
      <c r="N397" s="78">
        <v>1.6</v>
      </c>
      <c r="O397" s="78">
        <v>0.4</v>
      </c>
      <c r="P397" s="78">
        <v>0.09</v>
      </c>
      <c r="Q397" s="78">
        <v>0.14000000000000001</v>
      </c>
      <c r="R397" s="78">
        <v>7.0000000000000007E-2</v>
      </c>
      <c r="S397" s="78" t="s">
        <v>1615</v>
      </c>
      <c r="T397" s="78">
        <v>0</v>
      </c>
      <c r="U397" s="78">
        <v>54</v>
      </c>
      <c r="V397" s="78">
        <v>36.4</v>
      </c>
      <c r="W397" s="78">
        <v>0</v>
      </c>
      <c r="X397" s="78">
        <v>0.9</v>
      </c>
      <c r="Y397" s="78">
        <v>4.2</v>
      </c>
      <c r="Z397" s="78">
        <v>0.1</v>
      </c>
      <c r="AA397" s="78">
        <v>0</v>
      </c>
      <c r="AB397" s="78">
        <v>0.7</v>
      </c>
      <c r="AC397" s="78">
        <v>0.1</v>
      </c>
      <c r="AD397" s="78">
        <v>0.2</v>
      </c>
      <c r="AE397" s="78">
        <v>0</v>
      </c>
      <c r="AF397" s="78">
        <v>43</v>
      </c>
      <c r="AG397" s="78">
        <v>1</v>
      </c>
      <c r="AH397" s="78">
        <v>168</v>
      </c>
      <c r="AI397" s="78">
        <v>11</v>
      </c>
      <c r="AJ397" s="78">
        <v>14</v>
      </c>
      <c r="AK397" s="78">
        <v>10</v>
      </c>
      <c r="AL397" s="78">
        <v>0.2</v>
      </c>
      <c r="AM397" s="78">
        <v>0.1</v>
      </c>
      <c r="AN397" s="78">
        <v>0.1</v>
      </c>
      <c r="AO397" s="78">
        <v>0.6</v>
      </c>
    </row>
    <row r="398" spans="1:41">
      <c r="A398" s="78" t="s">
        <v>2392</v>
      </c>
      <c r="B398" s="78" t="s">
        <v>1558</v>
      </c>
      <c r="C398" s="78" t="s">
        <v>366</v>
      </c>
      <c r="D398" s="78" t="s">
        <v>2381</v>
      </c>
      <c r="E398" s="78" t="s">
        <v>2393</v>
      </c>
      <c r="F398" s="78" t="s">
        <v>2338</v>
      </c>
      <c r="G398" s="78" t="s">
        <v>1614</v>
      </c>
      <c r="H398" s="78">
        <v>52</v>
      </c>
      <c r="I398" s="78">
        <v>85.6</v>
      </c>
      <c r="J398" s="78">
        <v>0.2</v>
      </c>
      <c r="K398" s="78">
        <v>0.3</v>
      </c>
      <c r="L398" s="78">
        <v>11.4</v>
      </c>
      <c r="M398" s="78">
        <v>10.4</v>
      </c>
      <c r="N398" s="78">
        <v>2.4</v>
      </c>
      <c r="O398" s="78">
        <v>0.2</v>
      </c>
      <c r="P398" s="78">
        <v>0.03</v>
      </c>
      <c r="Q398" s="78">
        <v>0.01</v>
      </c>
      <c r="R398" s="78">
        <v>0.05</v>
      </c>
      <c r="S398" s="78" t="s">
        <v>1615</v>
      </c>
      <c r="T398" s="78">
        <v>0</v>
      </c>
      <c r="U398" s="78">
        <v>3</v>
      </c>
      <c r="V398" s="78">
        <v>4.5999999999999996</v>
      </c>
      <c r="W398" s="78">
        <v>0</v>
      </c>
      <c r="X398" s="78">
        <v>0.2</v>
      </c>
      <c r="Y398" s="78">
        <v>2.2000000000000002</v>
      </c>
      <c r="Z398" s="78">
        <v>0</v>
      </c>
      <c r="AA398" s="78">
        <v>0</v>
      </c>
      <c r="AB398" s="78">
        <v>0.1</v>
      </c>
      <c r="AC398" s="78">
        <v>0</v>
      </c>
      <c r="AD398" s="78">
        <v>0.1</v>
      </c>
      <c r="AE398" s="78">
        <v>0</v>
      </c>
      <c r="AF398" s="78">
        <v>3</v>
      </c>
      <c r="AG398" s="78">
        <v>1</v>
      </c>
      <c r="AH398" s="78">
        <v>107</v>
      </c>
      <c r="AI398" s="78">
        <v>6</v>
      </c>
      <c r="AJ398" s="78">
        <v>11</v>
      </c>
      <c r="AK398" s="78">
        <v>5</v>
      </c>
      <c r="AL398" s="78">
        <v>0.1</v>
      </c>
      <c r="AM398" s="78">
        <v>0</v>
      </c>
      <c r="AN398" s="78" t="s">
        <v>1615</v>
      </c>
      <c r="AO398" s="78">
        <v>0</v>
      </c>
    </row>
    <row r="399" spans="1:41">
      <c r="A399" s="78" t="s">
        <v>2394</v>
      </c>
      <c r="B399" s="78" t="s">
        <v>1558</v>
      </c>
      <c r="C399" s="78" t="s">
        <v>366</v>
      </c>
      <c r="D399" s="78" t="s">
        <v>2383</v>
      </c>
      <c r="E399" s="78" t="s">
        <v>2395</v>
      </c>
      <c r="F399" s="78" t="s">
        <v>2338</v>
      </c>
      <c r="G399" s="78" t="s">
        <v>1614</v>
      </c>
      <c r="H399" s="78">
        <v>63</v>
      </c>
      <c r="I399" s="78">
        <v>84.2</v>
      </c>
      <c r="J399" s="78" t="s">
        <v>1615</v>
      </c>
      <c r="K399" s="78">
        <v>0.2</v>
      </c>
      <c r="L399" s="78">
        <v>13.1</v>
      </c>
      <c r="M399" s="78">
        <v>11.7</v>
      </c>
      <c r="N399" s="78">
        <v>2.1</v>
      </c>
      <c r="O399" s="78">
        <v>0.2</v>
      </c>
      <c r="P399" s="78" t="s">
        <v>1615</v>
      </c>
      <c r="Q399" s="78" t="s">
        <v>1615</v>
      </c>
      <c r="R399" s="78" t="s">
        <v>1615</v>
      </c>
      <c r="S399" s="78" t="s">
        <v>1615</v>
      </c>
      <c r="T399" s="78">
        <v>0</v>
      </c>
      <c r="U399" s="78">
        <v>2</v>
      </c>
      <c r="V399" s="78" t="s">
        <v>1615</v>
      </c>
      <c r="W399" s="78" t="s">
        <v>1615</v>
      </c>
      <c r="X399" s="78">
        <v>0.2</v>
      </c>
      <c r="Y399" s="78">
        <v>1</v>
      </c>
      <c r="Z399" s="78">
        <v>0</v>
      </c>
      <c r="AA399" s="78">
        <v>0</v>
      </c>
      <c r="AB399" s="78" t="s">
        <v>1615</v>
      </c>
      <c r="AC399" s="78" t="s">
        <v>1615</v>
      </c>
      <c r="AD399" s="78">
        <v>0.1</v>
      </c>
      <c r="AE399" s="78" t="s">
        <v>1615</v>
      </c>
      <c r="AF399" s="78">
        <v>3</v>
      </c>
      <c r="AG399" s="78">
        <v>1</v>
      </c>
      <c r="AH399" s="78">
        <v>109</v>
      </c>
      <c r="AI399" s="78">
        <v>6</v>
      </c>
      <c r="AJ399" s="78">
        <v>11</v>
      </c>
      <c r="AK399" s="78">
        <v>5</v>
      </c>
      <c r="AL399" s="78">
        <v>0.1</v>
      </c>
      <c r="AM399" s="78">
        <v>0</v>
      </c>
      <c r="AN399" s="78">
        <v>0</v>
      </c>
      <c r="AO399" s="78" t="s">
        <v>1615</v>
      </c>
    </row>
    <row r="400" spans="1:41">
      <c r="A400" s="78" t="s">
        <v>2396</v>
      </c>
      <c r="B400" s="78" t="s">
        <v>1558</v>
      </c>
      <c r="C400" s="78" t="s">
        <v>366</v>
      </c>
      <c r="D400" s="78" t="s">
        <v>2385</v>
      </c>
      <c r="E400" s="78" t="s">
        <v>2397</v>
      </c>
      <c r="F400" s="78" t="s">
        <v>2338</v>
      </c>
      <c r="G400" s="78" t="s">
        <v>1614</v>
      </c>
      <c r="H400" s="78">
        <v>57</v>
      </c>
      <c r="I400" s="78">
        <v>85.8</v>
      </c>
      <c r="J400" s="78">
        <v>0.2</v>
      </c>
      <c r="K400" s="78">
        <v>0.3</v>
      </c>
      <c r="L400" s="78">
        <v>11.2</v>
      </c>
      <c r="M400" s="78">
        <v>10</v>
      </c>
      <c r="N400" s="78">
        <v>2.4</v>
      </c>
      <c r="O400" s="78">
        <v>0.2</v>
      </c>
      <c r="P400" s="78" t="s">
        <v>1615</v>
      </c>
      <c r="Q400" s="78" t="s">
        <v>1615</v>
      </c>
      <c r="R400" s="78" t="s">
        <v>1615</v>
      </c>
      <c r="S400" s="78" t="s">
        <v>1615</v>
      </c>
      <c r="T400" s="78">
        <v>0</v>
      </c>
      <c r="U400" s="78">
        <v>3</v>
      </c>
      <c r="V400" s="78" t="s">
        <v>1615</v>
      </c>
      <c r="W400" s="78" t="s">
        <v>1615</v>
      </c>
      <c r="X400" s="78">
        <v>0.2</v>
      </c>
      <c r="Y400" s="78">
        <v>1.8</v>
      </c>
      <c r="Z400" s="78">
        <v>0</v>
      </c>
      <c r="AA400" s="78">
        <v>0</v>
      </c>
      <c r="AB400" s="78">
        <v>0.1</v>
      </c>
      <c r="AC400" s="78" t="s">
        <v>1615</v>
      </c>
      <c r="AD400" s="78">
        <v>0.1</v>
      </c>
      <c r="AE400" s="78" t="s">
        <v>1615</v>
      </c>
      <c r="AF400" s="78">
        <v>3</v>
      </c>
      <c r="AG400" s="78">
        <v>1</v>
      </c>
      <c r="AH400" s="78">
        <v>100</v>
      </c>
      <c r="AI400" s="78">
        <v>6</v>
      </c>
      <c r="AJ400" s="78">
        <v>10</v>
      </c>
      <c r="AK400" s="78">
        <v>5</v>
      </c>
      <c r="AL400" s="78">
        <v>0.1</v>
      </c>
      <c r="AM400" s="78">
        <v>0</v>
      </c>
      <c r="AN400" s="78">
        <v>0</v>
      </c>
      <c r="AO400" s="78">
        <v>0</v>
      </c>
    </row>
    <row r="401" spans="1:41">
      <c r="A401" s="78" t="s">
        <v>2398</v>
      </c>
      <c r="B401" s="78" t="s">
        <v>1558</v>
      </c>
      <c r="C401" s="78" t="s">
        <v>366</v>
      </c>
      <c r="D401" s="78" t="s">
        <v>2387</v>
      </c>
      <c r="E401" s="78" t="s">
        <v>2399</v>
      </c>
      <c r="F401" s="78" t="s">
        <v>2338</v>
      </c>
      <c r="G401" s="78" t="s">
        <v>1614</v>
      </c>
      <c r="H401" s="78">
        <v>59</v>
      </c>
      <c r="I401" s="78">
        <v>85.3</v>
      </c>
      <c r="J401" s="78">
        <v>0.2</v>
      </c>
      <c r="K401" s="78">
        <v>0.3</v>
      </c>
      <c r="L401" s="78">
        <v>11.8</v>
      </c>
      <c r="M401" s="78">
        <v>10.5</v>
      </c>
      <c r="N401" s="78">
        <v>2.2999999999999998</v>
      </c>
      <c r="O401" s="78">
        <v>0.2</v>
      </c>
      <c r="P401" s="78" t="s">
        <v>1615</v>
      </c>
      <c r="Q401" s="78" t="s">
        <v>1615</v>
      </c>
      <c r="R401" s="78" t="s">
        <v>1615</v>
      </c>
      <c r="S401" s="78" t="s">
        <v>1615</v>
      </c>
      <c r="T401" s="78">
        <v>0</v>
      </c>
      <c r="U401" s="78">
        <v>3</v>
      </c>
      <c r="V401" s="78">
        <v>4.5999999999999996</v>
      </c>
      <c r="W401" s="78">
        <v>0</v>
      </c>
      <c r="X401" s="78">
        <v>0.2</v>
      </c>
      <c r="Y401" s="78">
        <v>2.6</v>
      </c>
      <c r="Z401" s="78">
        <v>0</v>
      </c>
      <c r="AA401" s="78">
        <v>0</v>
      </c>
      <c r="AB401" s="78">
        <v>0.1</v>
      </c>
      <c r="AC401" s="78" t="s">
        <v>1615</v>
      </c>
      <c r="AD401" s="78">
        <v>0.1</v>
      </c>
      <c r="AE401" s="78" t="s">
        <v>1615</v>
      </c>
      <c r="AF401" s="78">
        <v>3</v>
      </c>
      <c r="AG401" s="78">
        <v>1</v>
      </c>
      <c r="AH401" s="78">
        <v>104</v>
      </c>
      <c r="AI401" s="78">
        <v>6</v>
      </c>
      <c r="AJ401" s="78">
        <v>12</v>
      </c>
      <c r="AK401" s="78">
        <v>5</v>
      </c>
      <c r="AL401" s="78">
        <v>0.1</v>
      </c>
      <c r="AM401" s="78">
        <v>0</v>
      </c>
      <c r="AN401" s="78">
        <v>0</v>
      </c>
      <c r="AO401" s="78">
        <v>0</v>
      </c>
    </row>
    <row r="402" spans="1:41">
      <c r="A402" s="78" t="s">
        <v>2400</v>
      </c>
      <c r="B402" s="78" t="s">
        <v>1558</v>
      </c>
      <c r="C402" s="78" t="s">
        <v>366</v>
      </c>
      <c r="D402" s="78" t="s">
        <v>2389</v>
      </c>
      <c r="E402" s="78" t="s">
        <v>2401</v>
      </c>
      <c r="F402" s="78" t="s">
        <v>2338</v>
      </c>
      <c r="G402" s="78" t="s">
        <v>1614</v>
      </c>
      <c r="H402" s="78">
        <v>52</v>
      </c>
      <c r="I402" s="78">
        <v>86.7</v>
      </c>
      <c r="J402" s="78">
        <v>0.1</v>
      </c>
      <c r="K402" s="78">
        <v>0.3</v>
      </c>
      <c r="L402" s="78">
        <v>11.5</v>
      </c>
      <c r="M402" s="78">
        <v>10.1</v>
      </c>
      <c r="N402" s="78">
        <v>1.3</v>
      </c>
      <c r="O402" s="78">
        <v>0.2</v>
      </c>
      <c r="P402" s="78">
        <v>0.02</v>
      </c>
      <c r="Q402" s="78">
        <v>0.01</v>
      </c>
      <c r="R402" s="78">
        <v>0.04</v>
      </c>
      <c r="S402" s="78" t="s">
        <v>1615</v>
      </c>
      <c r="T402" s="78">
        <v>0</v>
      </c>
      <c r="U402" s="78">
        <v>2</v>
      </c>
      <c r="V402" s="78" t="s">
        <v>1615</v>
      </c>
      <c r="W402" s="78" t="s">
        <v>1615</v>
      </c>
      <c r="X402" s="78">
        <v>0.1</v>
      </c>
      <c r="Y402" s="78">
        <v>0.6</v>
      </c>
      <c r="Z402" s="78">
        <v>0</v>
      </c>
      <c r="AA402" s="78">
        <v>0</v>
      </c>
      <c r="AB402" s="78">
        <v>0.1</v>
      </c>
      <c r="AC402" s="78">
        <v>0</v>
      </c>
      <c r="AD402" s="78">
        <v>0.1</v>
      </c>
      <c r="AE402" s="78">
        <v>0</v>
      </c>
      <c r="AF402" s="78">
        <v>0</v>
      </c>
      <c r="AG402" s="78">
        <v>1</v>
      </c>
      <c r="AH402" s="78">
        <v>90</v>
      </c>
      <c r="AI402" s="78">
        <v>4</v>
      </c>
      <c r="AJ402" s="78">
        <v>11</v>
      </c>
      <c r="AK402" s="78">
        <v>4</v>
      </c>
      <c r="AL402" s="78">
        <v>0.1</v>
      </c>
      <c r="AM402" s="78">
        <v>0.1</v>
      </c>
      <c r="AN402" s="78">
        <v>0</v>
      </c>
      <c r="AO402" s="78">
        <v>0</v>
      </c>
    </row>
    <row r="403" spans="1:41">
      <c r="A403" s="78" t="s">
        <v>2402</v>
      </c>
      <c r="B403" s="78" t="s">
        <v>1558</v>
      </c>
      <c r="C403" s="78" t="s">
        <v>366</v>
      </c>
      <c r="D403" s="78" t="s">
        <v>2391</v>
      </c>
      <c r="E403" s="78" t="s">
        <v>2403</v>
      </c>
      <c r="F403" s="78" t="s">
        <v>2338</v>
      </c>
      <c r="G403" s="78" t="s">
        <v>1614</v>
      </c>
      <c r="H403" s="78">
        <v>58</v>
      </c>
      <c r="I403" s="78">
        <v>85.5</v>
      </c>
      <c r="J403" s="78">
        <v>0.2</v>
      </c>
      <c r="K403" s="78">
        <v>0.4</v>
      </c>
      <c r="L403" s="78">
        <v>10.8</v>
      </c>
      <c r="M403" s="78">
        <v>9.6</v>
      </c>
      <c r="N403" s="78">
        <v>2.8</v>
      </c>
      <c r="O403" s="78">
        <v>0.2</v>
      </c>
      <c r="P403" s="78" t="s">
        <v>1615</v>
      </c>
      <c r="Q403" s="78" t="s">
        <v>1615</v>
      </c>
      <c r="R403" s="78" t="s">
        <v>1615</v>
      </c>
      <c r="S403" s="78" t="s">
        <v>1615</v>
      </c>
      <c r="T403" s="78">
        <v>0</v>
      </c>
      <c r="U403" s="78">
        <v>3</v>
      </c>
      <c r="V403" s="78" t="s">
        <v>1615</v>
      </c>
      <c r="W403" s="78" t="s">
        <v>1615</v>
      </c>
      <c r="X403" s="78">
        <v>0.2</v>
      </c>
      <c r="Y403" s="78">
        <v>3.2</v>
      </c>
      <c r="Z403" s="78">
        <v>0</v>
      </c>
      <c r="AA403" s="78">
        <v>0</v>
      </c>
      <c r="AB403" s="78">
        <v>0.1</v>
      </c>
      <c r="AC403" s="78">
        <v>0</v>
      </c>
      <c r="AD403" s="78">
        <v>0.1</v>
      </c>
      <c r="AE403" s="78" t="s">
        <v>1615</v>
      </c>
      <c r="AF403" s="78">
        <v>3</v>
      </c>
      <c r="AG403" s="78">
        <v>1</v>
      </c>
      <c r="AH403" s="78">
        <v>120</v>
      </c>
      <c r="AI403" s="78">
        <v>5</v>
      </c>
      <c r="AJ403" s="78">
        <v>12</v>
      </c>
      <c r="AK403" s="78">
        <v>5</v>
      </c>
      <c r="AL403" s="78">
        <v>0.2</v>
      </c>
      <c r="AM403" s="78">
        <v>0</v>
      </c>
      <c r="AN403" s="78">
        <v>0</v>
      </c>
      <c r="AO403" s="78">
        <v>0.1</v>
      </c>
    </row>
    <row r="404" spans="1:41">
      <c r="A404" s="78" t="s">
        <v>2404</v>
      </c>
      <c r="B404" s="78" t="s">
        <v>1558</v>
      </c>
      <c r="C404" s="78" t="s">
        <v>366</v>
      </c>
      <c r="D404" s="78" t="s">
        <v>2392</v>
      </c>
      <c r="E404" s="78" t="s">
        <v>2405</v>
      </c>
      <c r="F404" s="78" t="s">
        <v>2338</v>
      </c>
      <c r="G404" s="78" t="s">
        <v>1614</v>
      </c>
      <c r="H404" s="78">
        <v>34</v>
      </c>
      <c r="I404" s="78">
        <v>90.2</v>
      </c>
      <c r="J404" s="78">
        <v>0.7</v>
      </c>
      <c r="K404" s="78">
        <v>0.8</v>
      </c>
      <c r="L404" s="78">
        <v>7.3</v>
      </c>
      <c r="M404" s="78">
        <v>7.9</v>
      </c>
      <c r="N404" s="78">
        <v>0.9</v>
      </c>
      <c r="O404" s="78">
        <v>0.2</v>
      </c>
      <c r="P404" s="78">
        <v>0.05</v>
      </c>
      <c r="Q404" s="78">
        <v>0</v>
      </c>
      <c r="R404" s="78">
        <v>0.08</v>
      </c>
      <c r="S404" s="78" t="s">
        <v>1615</v>
      </c>
      <c r="T404" s="78">
        <v>0</v>
      </c>
      <c r="U404" s="78">
        <v>169</v>
      </c>
      <c r="V404" s="78">
        <v>36.700000000000003</v>
      </c>
      <c r="W404" s="78">
        <v>0</v>
      </c>
      <c r="X404" s="78">
        <v>0.1</v>
      </c>
      <c r="Y404" s="78">
        <v>2.5</v>
      </c>
      <c r="Z404" s="78">
        <v>0</v>
      </c>
      <c r="AA404" s="78">
        <v>0</v>
      </c>
      <c r="AB404" s="78">
        <v>0.7</v>
      </c>
      <c r="AC404" s="78">
        <v>0.1</v>
      </c>
      <c r="AD404" s="78">
        <v>0.1</v>
      </c>
      <c r="AE404" s="78">
        <v>0</v>
      </c>
      <c r="AF404" s="78">
        <v>21</v>
      </c>
      <c r="AG404" s="78">
        <v>16</v>
      </c>
      <c r="AH404" s="78">
        <v>267</v>
      </c>
      <c r="AI404" s="78">
        <v>9</v>
      </c>
      <c r="AJ404" s="78">
        <v>15</v>
      </c>
      <c r="AK404" s="78">
        <v>12</v>
      </c>
      <c r="AL404" s="78">
        <v>0.2</v>
      </c>
      <c r="AM404" s="78">
        <v>0.2</v>
      </c>
      <c r="AN404" s="78">
        <v>0</v>
      </c>
      <c r="AO404" s="78">
        <v>0.4</v>
      </c>
    </row>
    <row r="405" spans="1:41">
      <c r="A405" s="78" t="s">
        <v>2406</v>
      </c>
      <c r="B405" s="78" t="s">
        <v>1558</v>
      </c>
      <c r="C405" s="78" t="s">
        <v>366</v>
      </c>
      <c r="D405" s="78" t="s">
        <v>2394</v>
      </c>
      <c r="E405" s="78" t="s">
        <v>2407</v>
      </c>
      <c r="F405" s="78" t="s">
        <v>2338</v>
      </c>
      <c r="G405" s="78" t="s">
        <v>1614</v>
      </c>
      <c r="H405" s="78">
        <v>57</v>
      </c>
      <c r="I405" s="78">
        <v>83.8</v>
      </c>
      <c r="J405" s="78">
        <v>0.4</v>
      </c>
      <c r="K405" s="78">
        <v>0.4</v>
      </c>
      <c r="L405" s="78">
        <v>13.4</v>
      </c>
      <c r="M405" s="78" t="s">
        <v>1615</v>
      </c>
      <c r="N405" s="78">
        <v>1.9</v>
      </c>
      <c r="O405" s="78">
        <v>0.1</v>
      </c>
      <c r="P405" s="78">
        <v>0.01</v>
      </c>
      <c r="Q405" s="78">
        <v>0.04</v>
      </c>
      <c r="R405" s="78">
        <v>0.05</v>
      </c>
      <c r="S405" s="78" t="s">
        <v>1615</v>
      </c>
      <c r="T405" s="78">
        <v>0</v>
      </c>
      <c r="U405" s="78">
        <v>2</v>
      </c>
      <c r="V405" s="78">
        <v>15</v>
      </c>
      <c r="W405" s="78" t="s">
        <v>1615</v>
      </c>
      <c r="X405" s="78">
        <v>0.6</v>
      </c>
      <c r="Y405" s="78" t="s">
        <v>1615</v>
      </c>
      <c r="Z405" s="78">
        <v>0</v>
      </c>
      <c r="AA405" s="78">
        <v>0</v>
      </c>
      <c r="AB405" s="78">
        <v>0.2</v>
      </c>
      <c r="AC405" s="78">
        <v>0</v>
      </c>
      <c r="AD405" s="78">
        <v>0.1</v>
      </c>
      <c r="AE405" s="78">
        <v>0</v>
      </c>
      <c r="AF405" s="78">
        <v>3</v>
      </c>
      <c r="AG405" s="78">
        <v>4</v>
      </c>
      <c r="AH405" s="78">
        <v>197</v>
      </c>
      <c r="AI405" s="78">
        <v>11</v>
      </c>
      <c r="AJ405" s="78">
        <v>17</v>
      </c>
      <c r="AK405" s="78">
        <v>8</v>
      </c>
      <c r="AL405" s="78">
        <v>0.7</v>
      </c>
      <c r="AM405" s="78" t="s">
        <v>1615</v>
      </c>
      <c r="AN405" s="78">
        <v>0.1</v>
      </c>
      <c r="AO405" s="78">
        <v>0.6</v>
      </c>
    </row>
    <row r="406" spans="1:41">
      <c r="A406" s="78" t="s">
        <v>2408</v>
      </c>
      <c r="B406" s="78" t="s">
        <v>1558</v>
      </c>
      <c r="C406" s="78" t="s">
        <v>366</v>
      </c>
      <c r="D406" s="78" t="s">
        <v>2396</v>
      </c>
      <c r="E406" s="78" t="s">
        <v>2409</v>
      </c>
      <c r="F406" s="78" t="s">
        <v>2338</v>
      </c>
      <c r="G406" s="78" t="s">
        <v>1614</v>
      </c>
      <c r="H406" s="78">
        <v>43</v>
      </c>
      <c r="I406" s="78">
        <v>88.2</v>
      </c>
      <c r="J406" s="78">
        <v>0.4</v>
      </c>
      <c r="K406" s="78">
        <v>1.4</v>
      </c>
      <c r="L406" s="78">
        <v>4.3</v>
      </c>
      <c r="M406" s="78">
        <v>4.9000000000000004</v>
      </c>
      <c r="N406" s="78">
        <v>5.3</v>
      </c>
      <c r="O406" s="78">
        <v>0.5</v>
      </c>
      <c r="P406" s="78">
        <v>0.01</v>
      </c>
      <c r="Q406" s="78">
        <v>0.05</v>
      </c>
      <c r="R406" s="78">
        <v>0.28000000000000003</v>
      </c>
      <c r="S406" s="78" t="s">
        <v>1615</v>
      </c>
      <c r="T406" s="78">
        <v>0</v>
      </c>
      <c r="U406" s="78">
        <v>1</v>
      </c>
      <c r="V406" s="78">
        <v>21</v>
      </c>
      <c r="W406" s="78">
        <v>0</v>
      </c>
      <c r="X406" s="78" t="s">
        <v>1615</v>
      </c>
      <c r="Y406" s="78">
        <v>19.8</v>
      </c>
      <c r="Z406" s="78">
        <v>0</v>
      </c>
      <c r="AA406" s="78">
        <v>0</v>
      </c>
      <c r="AB406" s="78" t="s">
        <v>1615</v>
      </c>
      <c r="AC406" s="78">
        <v>0</v>
      </c>
      <c r="AD406" s="78">
        <v>0.3</v>
      </c>
      <c r="AE406" s="78">
        <v>0</v>
      </c>
      <c r="AF406" s="78">
        <v>25</v>
      </c>
      <c r="AG406" s="78">
        <v>1</v>
      </c>
      <c r="AH406" s="78">
        <v>162</v>
      </c>
      <c r="AI406" s="78">
        <v>29</v>
      </c>
      <c r="AJ406" s="78">
        <v>22</v>
      </c>
      <c r="AK406" s="78">
        <v>20</v>
      </c>
      <c r="AL406" s="78">
        <v>0.6</v>
      </c>
      <c r="AM406" s="78">
        <v>0.5</v>
      </c>
      <c r="AN406" s="78">
        <v>0.2</v>
      </c>
      <c r="AO406" s="78">
        <v>0.4</v>
      </c>
    </row>
    <row r="407" spans="1:41">
      <c r="A407" s="78" t="s">
        <v>2410</v>
      </c>
      <c r="B407" s="78" t="s">
        <v>1558</v>
      </c>
      <c r="C407" s="78" t="s">
        <v>366</v>
      </c>
      <c r="D407" s="78" t="s">
        <v>2398</v>
      </c>
      <c r="E407" s="78" t="s">
        <v>2411</v>
      </c>
      <c r="F407" s="78" t="s">
        <v>2338</v>
      </c>
      <c r="G407" s="78" t="s">
        <v>1614</v>
      </c>
      <c r="H407" s="78">
        <v>47</v>
      </c>
      <c r="I407" s="78">
        <v>86.8</v>
      </c>
      <c r="J407" s="78">
        <v>0.4</v>
      </c>
      <c r="K407" s="78">
        <v>0.9</v>
      </c>
      <c r="L407" s="78">
        <v>9.3000000000000007</v>
      </c>
      <c r="M407" s="78">
        <v>9.4</v>
      </c>
      <c r="N407" s="78">
        <v>2.4</v>
      </c>
      <c r="O407" s="78">
        <v>0.1</v>
      </c>
      <c r="P407" s="78">
        <v>0.02</v>
      </c>
      <c r="Q407" s="78">
        <v>0.02</v>
      </c>
      <c r="R407" s="78">
        <v>0.03</v>
      </c>
      <c r="S407" s="78" t="s">
        <v>1615</v>
      </c>
      <c r="T407" s="78">
        <v>0</v>
      </c>
      <c r="U407" s="78">
        <v>11</v>
      </c>
      <c r="V407" s="78">
        <v>53.2</v>
      </c>
      <c r="W407" s="78">
        <v>0</v>
      </c>
      <c r="X407" s="78">
        <v>0.2</v>
      </c>
      <c r="Y407" s="78">
        <v>0</v>
      </c>
      <c r="Z407" s="78">
        <v>0.1</v>
      </c>
      <c r="AA407" s="78">
        <v>0</v>
      </c>
      <c r="AB407" s="78">
        <v>0.3</v>
      </c>
      <c r="AC407" s="78">
        <v>0.1</v>
      </c>
      <c r="AD407" s="78">
        <v>0.3</v>
      </c>
      <c r="AE407" s="78">
        <v>0</v>
      </c>
      <c r="AF407" s="78">
        <v>30</v>
      </c>
      <c r="AG407" s="78">
        <v>0</v>
      </c>
      <c r="AH407" s="78">
        <v>181</v>
      </c>
      <c r="AI407" s="78">
        <v>40</v>
      </c>
      <c r="AJ407" s="78">
        <v>14</v>
      </c>
      <c r="AK407" s="78">
        <v>10</v>
      </c>
      <c r="AL407" s="78">
        <v>0.1</v>
      </c>
      <c r="AM407" s="78">
        <v>0.1</v>
      </c>
      <c r="AN407" s="78">
        <v>0</v>
      </c>
      <c r="AO407" s="78">
        <v>0.5</v>
      </c>
    </row>
    <row r="408" spans="1:41">
      <c r="A408" s="78" t="s">
        <v>2412</v>
      </c>
      <c r="B408" s="78" t="s">
        <v>1558</v>
      </c>
      <c r="C408" s="78" t="s">
        <v>366</v>
      </c>
      <c r="D408" s="78" t="s">
        <v>2400</v>
      </c>
      <c r="E408" s="78" t="s">
        <v>2413</v>
      </c>
      <c r="F408" s="78" t="s">
        <v>2338</v>
      </c>
      <c r="G408" s="78" t="s">
        <v>1614</v>
      </c>
      <c r="H408" s="78">
        <v>47</v>
      </c>
      <c r="I408" s="78">
        <v>86.7</v>
      </c>
      <c r="J408" s="78">
        <v>0.5</v>
      </c>
      <c r="K408" s="78">
        <v>0.4</v>
      </c>
      <c r="L408" s="78">
        <v>8.9</v>
      </c>
      <c r="M408" s="78" t="s">
        <v>1615</v>
      </c>
      <c r="N408" s="78">
        <v>1.7</v>
      </c>
      <c r="O408" s="78">
        <v>0.2</v>
      </c>
      <c r="P408" s="78">
        <v>0.04</v>
      </c>
      <c r="Q408" s="78">
        <v>0.01</v>
      </c>
      <c r="R408" s="78">
        <v>0.09</v>
      </c>
      <c r="S408" s="78" t="s">
        <v>1615</v>
      </c>
      <c r="T408" s="78">
        <v>0</v>
      </c>
      <c r="U408" s="78">
        <v>153</v>
      </c>
      <c r="V408" s="78">
        <v>1</v>
      </c>
      <c r="W408" s="78" t="s">
        <v>1615</v>
      </c>
      <c r="X408" s="78">
        <v>0</v>
      </c>
      <c r="Y408" s="78" t="s">
        <v>1615</v>
      </c>
      <c r="Z408" s="78">
        <v>0</v>
      </c>
      <c r="AA408" s="78">
        <v>0</v>
      </c>
      <c r="AB408" s="78">
        <v>0.2</v>
      </c>
      <c r="AC408" s="78" t="s">
        <v>1615</v>
      </c>
      <c r="AD408" s="78">
        <v>0</v>
      </c>
      <c r="AE408" s="78">
        <v>0</v>
      </c>
      <c r="AF408" s="78">
        <v>0</v>
      </c>
      <c r="AG408" s="78">
        <v>1</v>
      </c>
      <c r="AH408" s="78">
        <v>266</v>
      </c>
      <c r="AI408" s="78">
        <v>16</v>
      </c>
      <c r="AJ408" s="78">
        <v>27</v>
      </c>
      <c r="AK408" s="78">
        <v>13</v>
      </c>
      <c r="AL408" s="78">
        <v>0.3</v>
      </c>
      <c r="AM408" s="78">
        <v>0.1</v>
      </c>
      <c r="AN408" s="78">
        <v>0</v>
      </c>
      <c r="AO408" s="78">
        <v>0.5</v>
      </c>
    </row>
    <row r="409" spans="1:41">
      <c r="A409" s="78" t="s">
        <v>2414</v>
      </c>
      <c r="B409" s="78" t="s">
        <v>1558</v>
      </c>
      <c r="C409" s="78" t="s">
        <v>366</v>
      </c>
      <c r="D409" s="78" t="s">
        <v>2402</v>
      </c>
      <c r="E409" s="78" t="s">
        <v>2415</v>
      </c>
      <c r="F409" s="78" t="s">
        <v>2338</v>
      </c>
      <c r="G409" s="78" t="s">
        <v>1614</v>
      </c>
      <c r="H409" s="78">
        <v>160</v>
      </c>
      <c r="I409" s="78">
        <v>73.2</v>
      </c>
      <c r="J409" s="78">
        <v>1.6</v>
      </c>
      <c r="K409" s="78">
        <v>2</v>
      </c>
      <c r="L409" s="78">
        <v>1.8</v>
      </c>
      <c r="M409" s="78">
        <v>0.7</v>
      </c>
      <c r="N409" s="78">
        <v>6.7</v>
      </c>
      <c r="O409" s="78">
        <v>14.7</v>
      </c>
      <c r="P409" s="78">
        <v>2.13</v>
      </c>
      <c r="Q409" s="78">
        <v>9.8000000000000007</v>
      </c>
      <c r="R409" s="78">
        <v>1.82</v>
      </c>
      <c r="S409" s="78" t="s">
        <v>1615</v>
      </c>
      <c r="T409" s="78">
        <v>0</v>
      </c>
      <c r="U409" s="78">
        <v>7</v>
      </c>
      <c r="V409" s="78">
        <v>10</v>
      </c>
      <c r="W409" s="78">
        <v>0</v>
      </c>
      <c r="X409" s="78">
        <v>2.1</v>
      </c>
      <c r="Y409" s="78">
        <v>21</v>
      </c>
      <c r="Z409" s="78">
        <v>0.1</v>
      </c>
      <c r="AA409" s="78">
        <v>0.1</v>
      </c>
      <c r="AB409" s="78">
        <v>1.7</v>
      </c>
      <c r="AC409" s="78">
        <v>0.3</v>
      </c>
      <c r="AD409" s="78">
        <v>1.4</v>
      </c>
      <c r="AE409" s="78">
        <v>0</v>
      </c>
      <c r="AF409" s="78">
        <v>81</v>
      </c>
      <c r="AG409" s="78">
        <v>7</v>
      </c>
      <c r="AH409" s="78">
        <v>485</v>
      </c>
      <c r="AI409" s="78">
        <v>12</v>
      </c>
      <c r="AJ409" s="78">
        <v>52</v>
      </c>
      <c r="AK409" s="78">
        <v>29</v>
      </c>
      <c r="AL409" s="78">
        <v>0.6</v>
      </c>
      <c r="AM409" s="78">
        <v>0.6</v>
      </c>
      <c r="AN409" s="78">
        <v>0.2</v>
      </c>
      <c r="AO409" s="78">
        <v>0.4</v>
      </c>
    </row>
    <row r="410" spans="1:41">
      <c r="A410" s="78" t="s">
        <v>2416</v>
      </c>
      <c r="B410" s="78" t="s">
        <v>1558</v>
      </c>
      <c r="C410" s="78" t="s">
        <v>366</v>
      </c>
      <c r="D410" s="78" t="s">
        <v>2404</v>
      </c>
      <c r="E410" s="78" t="s">
        <v>2417</v>
      </c>
      <c r="F410" s="78" t="s">
        <v>2338</v>
      </c>
      <c r="G410" s="78" t="s">
        <v>1614</v>
      </c>
      <c r="H410" s="78">
        <v>160</v>
      </c>
      <c r="I410" s="78" t="s">
        <v>1615</v>
      </c>
      <c r="J410" s="78" t="s">
        <v>1615</v>
      </c>
      <c r="K410" s="78">
        <v>1.7</v>
      </c>
      <c r="L410" s="78" t="s">
        <v>1615</v>
      </c>
      <c r="M410" s="78">
        <v>0.3</v>
      </c>
      <c r="N410" s="78" t="s">
        <v>1615</v>
      </c>
      <c r="O410" s="78">
        <v>15.4</v>
      </c>
      <c r="P410" s="78">
        <v>2.64</v>
      </c>
      <c r="Q410" s="78">
        <v>10.7</v>
      </c>
      <c r="R410" s="78">
        <v>2.04</v>
      </c>
      <c r="S410" s="78">
        <v>0</v>
      </c>
      <c r="T410" s="78">
        <v>0</v>
      </c>
      <c r="U410" s="78" t="s">
        <v>1615</v>
      </c>
      <c r="V410" s="78" t="s">
        <v>1615</v>
      </c>
      <c r="W410" s="78" t="s">
        <v>1615</v>
      </c>
      <c r="X410" s="78" t="s">
        <v>1615</v>
      </c>
      <c r="Y410" s="78" t="s">
        <v>1615</v>
      </c>
      <c r="Z410" s="78" t="s">
        <v>1615</v>
      </c>
      <c r="AA410" s="78" t="s">
        <v>1615</v>
      </c>
      <c r="AB410" s="78" t="s">
        <v>1615</v>
      </c>
      <c r="AC410" s="78" t="s">
        <v>1615</v>
      </c>
      <c r="AD410" s="78" t="s">
        <v>1615</v>
      </c>
      <c r="AE410" s="78" t="s">
        <v>1615</v>
      </c>
      <c r="AF410" s="78" t="s">
        <v>1615</v>
      </c>
      <c r="AG410" s="78">
        <v>4</v>
      </c>
      <c r="AH410" s="78" t="s">
        <v>1615</v>
      </c>
      <c r="AI410" s="78" t="s">
        <v>1615</v>
      </c>
      <c r="AJ410" s="78" t="s">
        <v>1615</v>
      </c>
      <c r="AK410" s="78" t="s">
        <v>1615</v>
      </c>
      <c r="AL410" s="78" t="s">
        <v>1615</v>
      </c>
      <c r="AM410" s="78" t="s">
        <v>1615</v>
      </c>
      <c r="AN410" s="78" t="s">
        <v>1615</v>
      </c>
      <c r="AO410" s="78" t="s">
        <v>1615</v>
      </c>
    </row>
    <row r="411" spans="1:41">
      <c r="A411" s="78" t="s">
        <v>2418</v>
      </c>
      <c r="B411" s="78" t="s">
        <v>1558</v>
      </c>
      <c r="C411" s="78" t="s">
        <v>366</v>
      </c>
      <c r="D411" s="78" t="s">
        <v>2406</v>
      </c>
      <c r="E411" s="78" t="s">
        <v>2419</v>
      </c>
      <c r="F411" s="78" t="s">
        <v>2338</v>
      </c>
      <c r="G411" s="78" t="s">
        <v>1614</v>
      </c>
      <c r="H411" s="78">
        <v>43</v>
      </c>
      <c r="I411" s="78">
        <v>88.1</v>
      </c>
      <c r="J411" s="78">
        <v>0.4</v>
      </c>
      <c r="K411" s="78">
        <v>0.5</v>
      </c>
      <c r="L411" s="78">
        <v>9.1</v>
      </c>
      <c r="M411" s="78">
        <v>7.8</v>
      </c>
      <c r="N411" s="78">
        <v>1.7</v>
      </c>
      <c r="O411" s="78">
        <v>0.3</v>
      </c>
      <c r="P411" s="78">
        <v>0.08</v>
      </c>
      <c r="Q411" s="78">
        <v>7.0000000000000007E-2</v>
      </c>
      <c r="R411" s="78">
        <v>0.06</v>
      </c>
      <c r="S411" s="78" t="s">
        <v>1615</v>
      </c>
      <c r="T411" s="78">
        <v>0</v>
      </c>
      <c r="U411" s="78">
        <v>47</v>
      </c>
      <c r="V411" s="78">
        <v>60.9</v>
      </c>
      <c r="W411" s="78">
        <v>0</v>
      </c>
      <c r="X411" s="78">
        <v>0.3</v>
      </c>
      <c r="Y411" s="78">
        <v>2.6</v>
      </c>
      <c r="Z411" s="78">
        <v>0</v>
      </c>
      <c r="AA411" s="78">
        <v>0</v>
      </c>
      <c r="AB411" s="78">
        <v>0.4</v>
      </c>
      <c r="AC411" s="78">
        <v>0</v>
      </c>
      <c r="AD411" s="78">
        <v>0.2</v>
      </c>
      <c r="AE411" s="78">
        <v>0</v>
      </c>
      <c r="AF411" s="78">
        <v>38</v>
      </c>
      <c r="AG411" s="78">
        <v>8</v>
      </c>
      <c r="AH411" s="78">
        <v>182</v>
      </c>
      <c r="AI411" s="78">
        <v>20</v>
      </c>
      <c r="AJ411" s="78">
        <v>10</v>
      </c>
      <c r="AK411" s="78">
        <v>21</v>
      </c>
      <c r="AL411" s="78">
        <v>0.3</v>
      </c>
      <c r="AM411" s="78">
        <v>0.1</v>
      </c>
      <c r="AN411" s="78">
        <v>0</v>
      </c>
      <c r="AO411" s="78">
        <v>0.6</v>
      </c>
    </row>
    <row r="412" spans="1:41">
      <c r="A412" s="78" t="s">
        <v>2420</v>
      </c>
      <c r="B412" s="78" t="s">
        <v>1558</v>
      </c>
      <c r="C412" s="78" t="s">
        <v>366</v>
      </c>
      <c r="D412" s="78" t="s">
        <v>2408</v>
      </c>
      <c r="E412" s="78" t="s">
        <v>2421</v>
      </c>
      <c r="F412" s="78" t="s">
        <v>2338</v>
      </c>
      <c r="G412" s="78" t="s">
        <v>1614</v>
      </c>
      <c r="H412" s="78">
        <v>299</v>
      </c>
      <c r="I412" s="78">
        <v>15.4</v>
      </c>
      <c r="J412" s="78">
        <v>1.9</v>
      </c>
      <c r="K412" s="78">
        <v>3.1</v>
      </c>
      <c r="L412" s="78">
        <v>75.5</v>
      </c>
      <c r="M412" s="78">
        <v>59.2</v>
      </c>
      <c r="N412" s="78">
        <v>3.7</v>
      </c>
      <c r="O412" s="78">
        <v>0.5</v>
      </c>
      <c r="P412" s="78">
        <v>0.06</v>
      </c>
      <c r="Q412" s="78">
        <v>0.05</v>
      </c>
      <c r="R412" s="78">
        <v>0.04</v>
      </c>
      <c r="S412" s="78" t="s">
        <v>1615</v>
      </c>
      <c r="T412" s="78">
        <v>0</v>
      </c>
      <c r="U412" s="78">
        <v>0</v>
      </c>
      <c r="V412" s="78">
        <v>2.2999999999999998</v>
      </c>
      <c r="W412" s="78">
        <v>0</v>
      </c>
      <c r="X412" s="78">
        <v>0.1</v>
      </c>
      <c r="Y412" s="78">
        <v>3</v>
      </c>
      <c r="Z412" s="78">
        <v>0.1</v>
      </c>
      <c r="AA412" s="78">
        <v>0.1</v>
      </c>
      <c r="AB412" s="78">
        <v>0.8</v>
      </c>
      <c r="AC412" s="78">
        <v>0.2</v>
      </c>
      <c r="AD412" s="78">
        <v>0.1</v>
      </c>
      <c r="AE412" s="78">
        <v>0</v>
      </c>
      <c r="AF412" s="78">
        <v>5</v>
      </c>
      <c r="AG412" s="78">
        <v>11</v>
      </c>
      <c r="AH412" s="78">
        <v>749</v>
      </c>
      <c r="AI412" s="78">
        <v>50</v>
      </c>
      <c r="AJ412" s="78">
        <v>101</v>
      </c>
      <c r="AK412" s="78">
        <v>32</v>
      </c>
      <c r="AL412" s="78">
        <v>1.9</v>
      </c>
      <c r="AM412" s="78">
        <v>0.2</v>
      </c>
      <c r="AN412" s="78">
        <v>0.3</v>
      </c>
      <c r="AO412" s="78">
        <v>0.6</v>
      </c>
    </row>
    <row r="413" spans="1:41">
      <c r="A413" s="78" t="s">
        <v>2422</v>
      </c>
      <c r="B413" s="78" t="s">
        <v>1558</v>
      </c>
      <c r="C413" s="78" t="s">
        <v>366</v>
      </c>
      <c r="D413" s="78" t="s">
        <v>2410</v>
      </c>
      <c r="E413" s="78" t="s">
        <v>2423</v>
      </c>
      <c r="F413" s="78" t="s">
        <v>2338</v>
      </c>
      <c r="G413" s="78" t="s">
        <v>1614</v>
      </c>
      <c r="H413" s="78">
        <v>255</v>
      </c>
      <c r="I413" s="78">
        <v>92.4</v>
      </c>
      <c r="J413" s="78">
        <v>0.3</v>
      </c>
      <c r="K413" s="78">
        <v>0.4</v>
      </c>
      <c r="L413" s="78">
        <v>6.3</v>
      </c>
      <c r="M413" s="78" t="s">
        <v>1615</v>
      </c>
      <c r="N413" s="78">
        <v>0.5</v>
      </c>
      <c r="O413" s="78">
        <v>0.1</v>
      </c>
      <c r="P413" s="78" t="s">
        <v>1615</v>
      </c>
      <c r="Q413" s="78" t="s">
        <v>1615</v>
      </c>
      <c r="R413" s="78" t="s">
        <v>1615</v>
      </c>
      <c r="S413" s="78" t="s">
        <v>1615</v>
      </c>
      <c r="T413" s="78">
        <v>0</v>
      </c>
      <c r="U413" s="78" t="s">
        <v>1615</v>
      </c>
      <c r="V413" s="78">
        <v>26</v>
      </c>
      <c r="W413" s="78" t="s">
        <v>1615</v>
      </c>
      <c r="X413" s="78" t="s">
        <v>1615</v>
      </c>
      <c r="Y413" s="78" t="s">
        <v>1615</v>
      </c>
      <c r="Z413" s="78">
        <v>0.1</v>
      </c>
      <c r="AA413" s="78">
        <v>0</v>
      </c>
      <c r="AB413" s="78">
        <v>0.6</v>
      </c>
      <c r="AC413" s="78" t="s">
        <v>1615</v>
      </c>
      <c r="AD413" s="78" t="s">
        <v>1615</v>
      </c>
      <c r="AE413" s="78" t="s">
        <v>1615</v>
      </c>
      <c r="AF413" s="78" t="s">
        <v>1615</v>
      </c>
      <c r="AG413" s="78">
        <v>3</v>
      </c>
      <c r="AH413" s="78">
        <v>17</v>
      </c>
      <c r="AI413" s="78">
        <v>21</v>
      </c>
      <c r="AJ413" s="78" t="s">
        <v>1615</v>
      </c>
      <c r="AK413" s="78" t="s">
        <v>1615</v>
      </c>
      <c r="AL413" s="78">
        <v>1</v>
      </c>
      <c r="AM413" s="78" t="s">
        <v>1615</v>
      </c>
      <c r="AN413" s="78" t="s">
        <v>1615</v>
      </c>
      <c r="AO413" s="78" t="s">
        <v>1615</v>
      </c>
    </row>
    <row r="414" spans="1:41">
      <c r="A414" s="78" t="s">
        <v>2424</v>
      </c>
      <c r="B414" s="78" t="s">
        <v>1558</v>
      </c>
      <c r="C414" s="78" t="s">
        <v>366</v>
      </c>
      <c r="D414" s="78" t="s">
        <v>2412</v>
      </c>
      <c r="E414" s="78" t="s">
        <v>2425</v>
      </c>
      <c r="F414" s="78" t="s">
        <v>2426</v>
      </c>
      <c r="G414" s="78" t="s">
        <v>1614</v>
      </c>
      <c r="H414" s="78">
        <v>387</v>
      </c>
      <c r="I414" s="78">
        <v>0</v>
      </c>
      <c r="J414" s="78">
        <v>0</v>
      </c>
      <c r="K414" s="78">
        <v>0</v>
      </c>
      <c r="L414" s="78">
        <v>100</v>
      </c>
      <c r="M414" s="78">
        <v>98</v>
      </c>
      <c r="N414" s="78">
        <v>0</v>
      </c>
      <c r="O414" s="78">
        <v>0</v>
      </c>
      <c r="P414" s="78">
        <v>0</v>
      </c>
      <c r="Q414" s="78">
        <v>0</v>
      </c>
      <c r="R414" s="78">
        <v>0</v>
      </c>
      <c r="S414" s="78" t="s">
        <v>1615</v>
      </c>
      <c r="T414" s="78">
        <v>0</v>
      </c>
      <c r="U414" s="78">
        <v>0</v>
      </c>
      <c r="V414" s="78">
        <v>0</v>
      </c>
      <c r="W414" s="78">
        <v>0</v>
      </c>
      <c r="X414" s="78">
        <v>0</v>
      </c>
      <c r="Y414" s="78">
        <v>0</v>
      </c>
      <c r="Z414" s="78">
        <v>0</v>
      </c>
      <c r="AA414" s="78">
        <v>0</v>
      </c>
      <c r="AB414" s="78">
        <v>0</v>
      </c>
      <c r="AC414" s="78">
        <v>0</v>
      </c>
      <c r="AD414" s="78">
        <v>0</v>
      </c>
      <c r="AE414" s="78">
        <v>0</v>
      </c>
      <c r="AF414" s="78">
        <v>0</v>
      </c>
      <c r="AG414" s="78">
        <v>1</v>
      </c>
      <c r="AH414" s="78">
        <v>2</v>
      </c>
      <c r="AI414" s="78">
        <v>1</v>
      </c>
      <c r="AJ414" s="78">
        <v>0</v>
      </c>
      <c r="AK414" s="78">
        <v>0</v>
      </c>
      <c r="AL414" s="78">
        <v>0</v>
      </c>
      <c r="AM414" s="78">
        <v>0</v>
      </c>
      <c r="AN414" s="78">
        <v>0</v>
      </c>
      <c r="AO414" s="78">
        <v>0.6</v>
      </c>
    </row>
    <row r="415" spans="1:41">
      <c r="A415" s="78" t="s">
        <v>2427</v>
      </c>
      <c r="B415" s="78" t="s">
        <v>1558</v>
      </c>
      <c r="C415" s="78" t="s">
        <v>366</v>
      </c>
      <c r="D415" s="78" t="s">
        <v>2414</v>
      </c>
      <c r="E415" s="78" t="s">
        <v>2428</v>
      </c>
      <c r="F415" s="78" t="s">
        <v>2426</v>
      </c>
      <c r="G415" s="78" t="s">
        <v>1614</v>
      </c>
      <c r="H415" s="78">
        <v>399</v>
      </c>
      <c r="I415" s="78">
        <v>0.1</v>
      </c>
      <c r="J415" s="78">
        <v>0.1</v>
      </c>
      <c r="K415" s="78">
        <v>0.1</v>
      </c>
      <c r="L415" s="78">
        <v>99.6</v>
      </c>
      <c r="M415" s="78" t="s">
        <v>1615</v>
      </c>
      <c r="N415" s="78">
        <v>0.1</v>
      </c>
      <c r="O415" s="78" t="s">
        <v>1615</v>
      </c>
      <c r="P415" s="78" t="s">
        <v>1615</v>
      </c>
      <c r="Q415" s="78" t="s">
        <v>1615</v>
      </c>
      <c r="R415" s="78" t="s">
        <v>1615</v>
      </c>
      <c r="S415" s="78" t="s">
        <v>1615</v>
      </c>
      <c r="T415" s="78">
        <v>0</v>
      </c>
      <c r="U415" s="78" t="s">
        <v>1615</v>
      </c>
      <c r="V415" s="78" t="s">
        <v>1615</v>
      </c>
      <c r="W415" s="78" t="s">
        <v>1615</v>
      </c>
      <c r="X415" s="78" t="s">
        <v>1615</v>
      </c>
      <c r="Y415" s="78" t="s">
        <v>1615</v>
      </c>
      <c r="Z415" s="78" t="s">
        <v>1615</v>
      </c>
      <c r="AA415" s="78" t="s">
        <v>1615</v>
      </c>
      <c r="AB415" s="78" t="s">
        <v>1615</v>
      </c>
      <c r="AC415" s="78" t="s">
        <v>1615</v>
      </c>
      <c r="AD415" s="78" t="s">
        <v>1615</v>
      </c>
      <c r="AE415" s="78" t="s">
        <v>1615</v>
      </c>
      <c r="AF415" s="78" t="s">
        <v>1615</v>
      </c>
      <c r="AG415" s="78" t="s">
        <v>1615</v>
      </c>
      <c r="AH415" s="78" t="s">
        <v>1615</v>
      </c>
      <c r="AI415" s="78" t="s">
        <v>1615</v>
      </c>
      <c r="AJ415" s="78" t="s">
        <v>1615</v>
      </c>
      <c r="AK415" s="78" t="s">
        <v>1615</v>
      </c>
      <c r="AL415" s="78" t="s">
        <v>1615</v>
      </c>
      <c r="AM415" s="78" t="s">
        <v>1615</v>
      </c>
      <c r="AN415" s="78" t="s">
        <v>1615</v>
      </c>
      <c r="AO415" s="78" t="s">
        <v>1615</v>
      </c>
    </row>
    <row r="416" spans="1:41">
      <c r="A416" s="78" t="s">
        <v>2429</v>
      </c>
      <c r="B416" s="78" t="s">
        <v>1558</v>
      </c>
      <c r="C416" s="78" t="s">
        <v>366</v>
      </c>
      <c r="D416" s="78" t="s">
        <v>2416</v>
      </c>
      <c r="E416" s="78" t="s">
        <v>2430</v>
      </c>
      <c r="F416" s="78" t="s">
        <v>2426</v>
      </c>
      <c r="G416" s="78" t="s">
        <v>1614</v>
      </c>
      <c r="H416" s="78">
        <v>389</v>
      </c>
      <c r="I416" s="78">
        <v>0.2</v>
      </c>
      <c r="J416" s="78">
        <v>0</v>
      </c>
      <c r="K416" s="78">
        <v>0</v>
      </c>
      <c r="L416" s="78">
        <v>98</v>
      </c>
      <c r="M416" s="78">
        <v>97.8</v>
      </c>
      <c r="N416" s="78">
        <v>0</v>
      </c>
      <c r="O416" s="78">
        <v>0</v>
      </c>
      <c r="P416" s="78">
        <v>0</v>
      </c>
      <c r="Q416" s="78">
        <v>0</v>
      </c>
      <c r="R416" s="78">
        <v>0</v>
      </c>
      <c r="S416" s="78" t="s">
        <v>1615</v>
      </c>
      <c r="T416" s="78" t="s">
        <v>1615</v>
      </c>
      <c r="U416" s="78">
        <v>0</v>
      </c>
      <c r="V416" s="78">
        <v>0</v>
      </c>
      <c r="W416" s="78">
        <v>0</v>
      </c>
      <c r="X416" s="78" t="s">
        <v>1615</v>
      </c>
      <c r="Y416" s="78">
        <v>0</v>
      </c>
      <c r="Z416" s="78">
        <v>0</v>
      </c>
      <c r="AA416" s="78">
        <v>0</v>
      </c>
      <c r="AB416" s="78">
        <v>0</v>
      </c>
      <c r="AC416" s="78">
        <v>0</v>
      </c>
      <c r="AD416" s="78">
        <v>0</v>
      </c>
      <c r="AE416" s="78">
        <v>0</v>
      </c>
      <c r="AF416" s="78">
        <v>0</v>
      </c>
      <c r="AG416" s="78">
        <v>2</v>
      </c>
      <c r="AH416" s="78">
        <v>2</v>
      </c>
      <c r="AI416" s="78">
        <v>1</v>
      </c>
      <c r="AJ416" s="78">
        <v>0</v>
      </c>
      <c r="AK416" s="78">
        <v>0</v>
      </c>
      <c r="AL416" s="78">
        <v>0</v>
      </c>
      <c r="AM416" s="78">
        <v>0</v>
      </c>
      <c r="AN416" s="78">
        <v>0</v>
      </c>
      <c r="AO416" s="78" t="s">
        <v>1615</v>
      </c>
    </row>
    <row r="417" spans="1:41">
      <c r="A417" s="78" t="s">
        <v>2431</v>
      </c>
      <c r="B417" s="78" t="s">
        <v>1558</v>
      </c>
      <c r="C417" s="78" t="s">
        <v>366</v>
      </c>
      <c r="D417" s="78" t="s">
        <v>2418</v>
      </c>
      <c r="E417" s="78" t="s">
        <v>2432</v>
      </c>
      <c r="F417" s="78" t="s">
        <v>2426</v>
      </c>
      <c r="G417" s="78" t="s">
        <v>1614</v>
      </c>
      <c r="H417" s="78">
        <v>400</v>
      </c>
      <c r="I417" s="78">
        <v>0.1</v>
      </c>
      <c r="J417" s="78">
        <v>0</v>
      </c>
      <c r="K417" s="78">
        <v>0</v>
      </c>
      <c r="L417" s="78">
        <v>99.9</v>
      </c>
      <c r="M417" s="78" t="s">
        <v>1615</v>
      </c>
      <c r="N417" s="78">
        <v>0</v>
      </c>
      <c r="O417" s="78">
        <v>0</v>
      </c>
      <c r="P417" s="78" t="s">
        <v>1615</v>
      </c>
      <c r="Q417" s="78" t="s">
        <v>1615</v>
      </c>
      <c r="R417" s="78" t="s">
        <v>1615</v>
      </c>
      <c r="S417" s="78" t="s">
        <v>1615</v>
      </c>
      <c r="T417" s="78" t="s">
        <v>1615</v>
      </c>
      <c r="U417" s="78" t="s">
        <v>1615</v>
      </c>
      <c r="V417" s="78" t="s">
        <v>1615</v>
      </c>
      <c r="W417" s="78" t="s">
        <v>1615</v>
      </c>
      <c r="X417" s="78" t="s">
        <v>1615</v>
      </c>
      <c r="Y417" s="78" t="s">
        <v>1615</v>
      </c>
      <c r="Z417" s="78" t="s">
        <v>1615</v>
      </c>
      <c r="AA417" s="78" t="s">
        <v>1615</v>
      </c>
      <c r="AB417" s="78" t="s">
        <v>1615</v>
      </c>
      <c r="AC417" s="78" t="s">
        <v>1615</v>
      </c>
      <c r="AD417" s="78" t="s">
        <v>1615</v>
      </c>
      <c r="AE417" s="78" t="s">
        <v>1615</v>
      </c>
      <c r="AF417" s="78" t="s">
        <v>1615</v>
      </c>
      <c r="AG417" s="78" t="s">
        <v>1615</v>
      </c>
      <c r="AH417" s="78" t="s">
        <v>1615</v>
      </c>
      <c r="AI417" s="78" t="s">
        <v>1615</v>
      </c>
      <c r="AJ417" s="78" t="s">
        <v>1615</v>
      </c>
      <c r="AK417" s="78" t="s">
        <v>1615</v>
      </c>
      <c r="AL417" s="78" t="s">
        <v>1615</v>
      </c>
      <c r="AM417" s="78" t="s">
        <v>1615</v>
      </c>
      <c r="AN417" s="78" t="s">
        <v>1615</v>
      </c>
      <c r="AO417" s="78" t="s">
        <v>1615</v>
      </c>
    </row>
    <row r="418" spans="1:41">
      <c r="A418" s="78" t="s">
        <v>2433</v>
      </c>
      <c r="B418" s="78" t="s">
        <v>1558</v>
      </c>
      <c r="C418" s="78" t="s">
        <v>366</v>
      </c>
      <c r="D418" s="78" t="s">
        <v>2420</v>
      </c>
      <c r="E418" s="78" t="s">
        <v>2434</v>
      </c>
      <c r="F418" s="78" t="s">
        <v>2426</v>
      </c>
      <c r="G418" s="78" t="s">
        <v>1614</v>
      </c>
      <c r="H418" s="78">
        <v>400</v>
      </c>
      <c r="I418" s="78">
        <v>0.1</v>
      </c>
      <c r="J418" s="78">
        <v>0</v>
      </c>
      <c r="K418" s="78">
        <v>0</v>
      </c>
      <c r="L418" s="78">
        <v>99</v>
      </c>
      <c r="M418" s="78" t="s">
        <v>1615</v>
      </c>
      <c r="N418" s="78" t="s">
        <v>1615</v>
      </c>
      <c r="O418" s="78">
        <v>0</v>
      </c>
      <c r="P418" s="78" t="s">
        <v>1615</v>
      </c>
      <c r="Q418" s="78" t="s">
        <v>1615</v>
      </c>
      <c r="R418" s="78" t="s">
        <v>1615</v>
      </c>
      <c r="S418" s="78" t="s">
        <v>1615</v>
      </c>
      <c r="T418" s="78" t="s">
        <v>1615</v>
      </c>
      <c r="U418" s="78" t="s">
        <v>1615</v>
      </c>
      <c r="V418" s="78" t="s">
        <v>1615</v>
      </c>
      <c r="W418" s="78" t="s">
        <v>1615</v>
      </c>
      <c r="X418" s="78" t="s">
        <v>1615</v>
      </c>
      <c r="Y418" s="78" t="s">
        <v>1615</v>
      </c>
      <c r="Z418" s="78" t="s">
        <v>1615</v>
      </c>
      <c r="AA418" s="78" t="s">
        <v>1615</v>
      </c>
      <c r="AB418" s="78" t="s">
        <v>1615</v>
      </c>
      <c r="AC418" s="78" t="s">
        <v>1615</v>
      </c>
      <c r="AD418" s="78" t="s">
        <v>1615</v>
      </c>
      <c r="AE418" s="78" t="s">
        <v>1615</v>
      </c>
      <c r="AF418" s="78" t="s">
        <v>1615</v>
      </c>
      <c r="AG418" s="78" t="s">
        <v>1615</v>
      </c>
      <c r="AH418" s="78" t="s">
        <v>1615</v>
      </c>
      <c r="AI418" s="78" t="s">
        <v>1615</v>
      </c>
      <c r="AJ418" s="78" t="s">
        <v>1615</v>
      </c>
      <c r="AK418" s="78" t="s">
        <v>1615</v>
      </c>
      <c r="AL418" s="78" t="s">
        <v>1615</v>
      </c>
      <c r="AM418" s="78" t="s">
        <v>1615</v>
      </c>
      <c r="AN418" s="78" t="s">
        <v>1615</v>
      </c>
      <c r="AO418" s="78" t="s">
        <v>1615</v>
      </c>
    </row>
    <row r="419" spans="1:41">
      <c r="A419" s="78" t="s">
        <v>2435</v>
      </c>
      <c r="B419" s="78" t="s">
        <v>1558</v>
      </c>
      <c r="C419" s="78" t="s">
        <v>366</v>
      </c>
      <c r="D419" s="78" t="s">
        <v>2422</v>
      </c>
      <c r="E419" s="78" t="s">
        <v>2436</v>
      </c>
      <c r="F419" s="78" t="s">
        <v>2426</v>
      </c>
      <c r="G419" s="78" t="s">
        <v>1614</v>
      </c>
      <c r="H419" s="78">
        <v>334</v>
      </c>
      <c r="I419" s="78">
        <v>16.5</v>
      </c>
      <c r="J419" s="78">
        <v>0.3</v>
      </c>
      <c r="K419" s="78">
        <v>0.6</v>
      </c>
      <c r="L419" s="78">
        <v>82.7</v>
      </c>
      <c r="M419" s="78">
        <v>82.7</v>
      </c>
      <c r="N419" s="78">
        <v>0</v>
      </c>
      <c r="O419" s="78">
        <v>0.1</v>
      </c>
      <c r="P419" s="78">
        <v>0</v>
      </c>
      <c r="Q419" s="78">
        <v>0</v>
      </c>
      <c r="R419" s="78">
        <v>0</v>
      </c>
      <c r="S419" s="78">
        <v>0</v>
      </c>
      <c r="T419" s="78">
        <v>0</v>
      </c>
      <c r="U419" s="78">
        <v>0</v>
      </c>
      <c r="V419" s="78">
        <v>0.7</v>
      </c>
      <c r="W419" s="78">
        <v>0</v>
      </c>
      <c r="X419" s="78">
        <v>0</v>
      </c>
      <c r="Y419" s="78">
        <v>0</v>
      </c>
      <c r="Z419" s="78">
        <v>0</v>
      </c>
      <c r="AA419" s="78">
        <v>0</v>
      </c>
      <c r="AB419" s="78">
        <v>0.1</v>
      </c>
      <c r="AC419" s="78">
        <v>0</v>
      </c>
      <c r="AD419" s="78">
        <v>0.1</v>
      </c>
      <c r="AE419" s="78">
        <v>0</v>
      </c>
      <c r="AF419" s="78">
        <v>2</v>
      </c>
      <c r="AG419" s="78">
        <v>7</v>
      </c>
      <c r="AH419" s="78">
        <v>52</v>
      </c>
      <c r="AI419" s="78">
        <v>8</v>
      </c>
      <c r="AJ419" s="78">
        <v>5</v>
      </c>
      <c r="AK419" s="78">
        <v>1</v>
      </c>
      <c r="AL419" s="78">
        <v>0.3</v>
      </c>
      <c r="AM419" s="78">
        <v>0.2</v>
      </c>
      <c r="AN419" s="78">
        <v>0</v>
      </c>
      <c r="AO419" s="78">
        <v>0.8</v>
      </c>
    </row>
    <row r="420" spans="1:41">
      <c r="A420" s="78" t="s">
        <v>2437</v>
      </c>
      <c r="B420" s="78" t="s">
        <v>1558</v>
      </c>
      <c r="C420" s="78" t="s">
        <v>366</v>
      </c>
      <c r="D420" s="78" t="s">
        <v>2424</v>
      </c>
      <c r="E420" s="78" t="s">
        <v>2438</v>
      </c>
      <c r="F420" s="78" t="s">
        <v>2426</v>
      </c>
      <c r="G420" s="78" t="s">
        <v>1614</v>
      </c>
      <c r="H420" s="78">
        <v>318</v>
      </c>
      <c r="I420" s="78">
        <v>20.6</v>
      </c>
      <c r="J420" s="78">
        <v>0.5</v>
      </c>
      <c r="K420" s="78">
        <v>0.3</v>
      </c>
      <c r="L420" s="78">
        <v>78.8</v>
      </c>
      <c r="M420" s="78">
        <v>78.8</v>
      </c>
      <c r="N420" s="78">
        <v>0</v>
      </c>
      <c r="O420" s="78">
        <v>0</v>
      </c>
      <c r="P420" s="78">
        <v>0</v>
      </c>
      <c r="Q420" s="78">
        <v>0</v>
      </c>
      <c r="R420" s="78">
        <v>0</v>
      </c>
      <c r="S420" s="78" t="s">
        <v>1615</v>
      </c>
      <c r="T420" s="78">
        <v>0</v>
      </c>
      <c r="U420" s="78">
        <v>0</v>
      </c>
      <c r="V420" s="78">
        <v>3.3</v>
      </c>
      <c r="W420" s="78" t="s">
        <v>1615</v>
      </c>
      <c r="X420" s="78">
        <v>0</v>
      </c>
      <c r="Y420" s="78" t="s">
        <v>1615</v>
      </c>
      <c r="Z420" s="78">
        <v>0</v>
      </c>
      <c r="AA420" s="78">
        <v>0</v>
      </c>
      <c r="AB420" s="78">
        <v>0</v>
      </c>
      <c r="AC420" s="78">
        <v>0</v>
      </c>
      <c r="AD420" s="78">
        <v>0.2</v>
      </c>
      <c r="AE420" s="78">
        <v>0</v>
      </c>
      <c r="AF420" s="78" t="s">
        <v>1615</v>
      </c>
      <c r="AG420" s="78">
        <v>8</v>
      </c>
      <c r="AH420" s="78">
        <v>50.7</v>
      </c>
      <c r="AI420" s="78">
        <v>9</v>
      </c>
      <c r="AJ420" s="78">
        <v>19</v>
      </c>
      <c r="AK420" s="78">
        <v>2</v>
      </c>
      <c r="AL420" s="78">
        <v>0.9</v>
      </c>
      <c r="AM420" s="78">
        <v>0.1</v>
      </c>
      <c r="AN420" s="78">
        <v>0</v>
      </c>
      <c r="AO420" s="78">
        <v>0</v>
      </c>
    </row>
    <row r="421" spans="1:41">
      <c r="A421" s="78" t="s">
        <v>2439</v>
      </c>
      <c r="B421" s="78" t="s">
        <v>1558</v>
      </c>
      <c r="C421" s="78" t="s">
        <v>366</v>
      </c>
      <c r="D421" s="78" t="s">
        <v>2427</v>
      </c>
      <c r="E421" s="78" t="s">
        <v>2440</v>
      </c>
      <c r="F421" s="78" t="s">
        <v>2426</v>
      </c>
      <c r="G421" s="78" t="s">
        <v>1614</v>
      </c>
      <c r="H421" s="78">
        <v>254</v>
      </c>
      <c r="I421" s="78">
        <v>35.9</v>
      </c>
      <c r="J421" s="78" t="s">
        <v>1615</v>
      </c>
      <c r="K421" s="78">
        <v>0</v>
      </c>
      <c r="L421" s="78">
        <v>63.6</v>
      </c>
      <c r="M421" s="78">
        <v>63.6</v>
      </c>
      <c r="N421" s="78">
        <v>0</v>
      </c>
      <c r="O421" s="78">
        <v>0</v>
      </c>
      <c r="P421" s="78">
        <v>0</v>
      </c>
      <c r="Q421" s="78">
        <v>0</v>
      </c>
      <c r="R421" s="78">
        <v>0</v>
      </c>
      <c r="S421" s="78" t="s">
        <v>1615</v>
      </c>
      <c r="T421" s="78">
        <v>0</v>
      </c>
      <c r="U421" s="78">
        <v>0</v>
      </c>
      <c r="V421" s="78">
        <v>0</v>
      </c>
      <c r="W421" s="78" t="s">
        <v>1615</v>
      </c>
      <c r="X421" s="78" t="s">
        <v>1615</v>
      </c>
      <c r="Y421" s="78" t="s">
        <v>1615</v>
      </c>
      <c r="Z421" s="78">
        <v>0</v>
      </c>
      <c r="AA421" s="78">
        <v>0</v>
      </c>
      <c r="AB421" s="78" t="s">
        <v>1615</v>
      </c>
      <c r="AC421" s="78" t="s">
        <v>1615</v>
      </c>
      <c r="AD421" s="78" t="s">
        <v>1615</v>
      </c>
      <c r="AE421" s="78" t="s">
        <v>1615</v>
      </c>
      <c r="AF421" s="78" t="s">
        <v>1615</v>
      </c>
      <c r="AG421" s="78">
        <v>0</v>
      </c>
      <c r="AH421" s="78">
        <v>0</v>
      </c>
      <c r="AI421" s="78">
        <v>0</v>
      </c>
      <c r="AJ421" s="78" t="s">
        <v>1615</v>
      </c>
      <c r="AK421" s="78">
        <v>0</v>
      </c>
      <c r="AL421" s="78">
        <v>0</v>
      </c>
      <c r="AM421" s="78">
        <v>0</v>
      </c>
      <c r="AN421" s="78" t="s">
        <v>1615</v>
      </c>
      <c r="AO421" s="78" t="s">
        <v>1615</v>
      </c>
    </row>
    <row r="422" spans="1:41">
      <c r="A422" s="78" t="s">
        <v>2441</v>
      </c>
      <c r="B422" s="78" t="s">
        <v>1558</v>
      </c>
      <c r="C422" s="78" t="s">
        <v>366</v>
      </c>
      <c r="D422" s="78" t="s">
        <v>2429</v>
      </c>
      <c r="E422" s="78" t="s">
        <v>2442</v>
      </c>
      <c r="F422" s="78" t="s">
        <v>2443</v>
      </c>
      <c r="G422" s="78" t="s">
        <v>1614</v>
      </c>
      <c r="H422" s="78">
        <v>410</v>
      </c>
      <c r="I422" s="78">
        <v>11.8</v>
      </c>
      <c r="J422" s="78">
        <v>1</v>
      </c>
      <c r="K422" s="78">
        <v>2.2999999999999998</v>
      </c>
      <c r="L422" s="78">
        <v>69</v>
      </c>
      <c r="M422" s="78" t="s">
        <v>1615</v>
      </c>
      <c r="N422" s="78">
        <v>1.8</v>
      </c>
      <c r="O422" s="78">
        <v>14</v>
      </c>
      <c r="P422" s="78">
        <v>9.48</v>
      </c>
      <c r="Q422" s="78">
        <v>2.74</v>
      </c>
      <c r="R422" s="78">
        <v>0.76</v>
      </c>
      <c r="S422" s="78">
        <v>0</v>
      </c>
      <c r="T422" s="78">
        <v>2</v>
      </c>
      <c r="U422" s="78" t="s">
        <v>1615</v>
      </c>
      <c r="V422" s="78" t="s">
        <v>1615</v>
      </c>
      <c r="W422" s="78" t="s">
        <v>1615</v>
      </c>
      <c r="X422" s="78" t="s">
        <v>1615</v>
      </c>
      <c r="Y422" s="78" t="s">
        <v>1615</v>
      </c>
      <c r="Z422" s="78" t="s">
        <v>1615</v>
      </c>
      <c r="AA422" s="78" t="s">
        <v>1615</v>
      </c>
      <c r="AB422" s="78" t="s">
        <v>1615</v>
      </c>
      <c r="AC422" s="78" t="s">
        <v>1615</v>
      </c>
      <c r="AD422" s="78" t="s">
        <v>1615</v>
      </c>
      <c r="AE422" s="78" t="s">
        <v>1615</v>
      </c>
      <c r="AF422" s="78" t="s">
        <v>1615</v>
      </c>
      <c r="AG422" s="78">
        <v>152</v>
      </c>
      <c r="AH422" s="78" t="s">
        <v>1615</v>
      </c>
      <c r="AI422" s="78" t="s">
        <v>1615</v>
      </c>
      <c r="AJ422" s="78" t="s">
        <v>1615</v>
      </c>
      <c r="AK422" s="78" t="s">
        <v>1615</v>
      </c>
      <c r="AL422" s="78" t="s">
        <v>1615</v>
      </c>
      <c r="AM422" s="78" t="s">
        <v>1615</v>
      </c>
      <c r="AN422" s="78" t="s">
        <v>1615</v>
      </c>
      <c r="AO422" s="78" t="s">
        <v>1615</v>
      </c>
    </row>
    <row r="423" spans="1:41">
      <c r="A423" s="78" t="s">
        <v>2444</v>
      </c>
      <c r="B423" s="78" t="s">
        <v>1558</v>
      </c>
      <c r="C423" s="78" t="s">
        <v>366</v>
      </c>
      <c r="D423" s="78" t="s">
        <v>2431</v>
      </c>
      <c r="E423" s="78" t="s">
        <v>2445</v>
      </c>
      <c r="F423" s="78" t="s">
        <v>2443</v>
      </c>
      <c r="G423" s="78" t="s">
        <v>1614</v>
      </c>
      <c r="H423" s="78">
        <v>405</v>
      </c>
      <c r="I423" s="78">
        <v>10.6</v>
      </c>
      <c r="J423" s="78">
        <v>1.1000000000000001</v>
      </c>
      <c r="K423" s="78">
        <v>11.6</v>
      </c>
      <c r="L423" s="78">
        <v>66.400000000000006</v>
      </c>
      <c r="M423" s="78" t="s">
        <v>1615</v>
      </c>
      <c r="N423" s="78">
        <v>11</v>
      </c>
      <c r="O423" s="78">
        <v>8.1999999999999993</v>
      </c>
      <c r="P423" s="78" t="s">
        <v>1615</v>
      </c>
      <c r="Q423" s="78" t="s">
        <v>1615</v>
      </c>
      <c r="R423" s="78" t="s">
        <v>1615</v>
      </c>
      <c r="S423" s="78" t="s">
        <v>1615</v>
      </c>
      <c r="T423" s="78" t="s">
        <v>1615</v>
      </c>
      <c r="U423" s="78" t="s">
        <v>1615</v>
      </c>
      <c r="V423" s="78" t="s">
        <v>1615</v>
      </c>
      <c r="W423" s="78" t="s">
        <v>1615</v>
      </c>
      <c r="X423" s="78" t="s">
        <v>1615</v>
      </c>
      <c r="Y423" s="78" t="s">
        <v>1615</v>
      </c>
      <c r="Z423" s="78" t="s">
        <v>1615</v>
      </c>
      <c r="AA423" s="78" t="s">
        <v>1615</v>
      </c>
      <c r="AB423" s="78" t="s">
        <v>1615</v>
      </c>
      <c r="AC423" s="78" t="s">
        <v>1615</v>
      </c>
      <c r="AD423" s="78" t="s">
        <v>1615</v>
      </c>
      <c r="AE423" s="78" t="s">
        <v>1615</v>
      </c>
      <c r="AF423" s="78" t="s">
        <v>1615</v>
      </c>
      <c r="AG423" s="78">
        <v>365</v>
      </c>
      <c r="AH423" s="78">
        <v>365</v>
      </c>
      <c r="AI423" s="78">
        <v>68</v>
      </c>
      <c r="AJ423" s="78">
        <v>261</v>
      </c>
      <c r="AK423" s="78">
        <v>106</v>
      </c>
      <c r="AL423" s="78" t="s">
        <v>1615</v>
      </c>
      <c r="AM423" s="78" t="s">
        <v>1615</v>
      </c>
      <c r="AN423" s="78" t="s">
        <v>1615</v>
      </c>
      <c r="AO423" s="78" t="s">
        <v>1615</v>
      </c>
    </row>
    <row r="424" spans="1:41">
      <c r="A424" s="78" t="s">
        <v>2446</v>
      </c>
      <c r="B424" s="78" t="s">
        <v>1558</v>
      </c>
      <c r="C424" s="78" t="s">
        <v>366</v>
      </c>
      <c r="D424" s="78" t="s">
        <v>2433</v>
      </c>
      <c r="E424" s="78" t="s">
        <v>2447</v>
      </c>
      <c r="F424" s="78" t="s">
        <v>2443</v>
      </c>
      <c r="G424" s="78" t="s">
        <v>1614</v>
      </c>
      <c r="H424" s="78">
        <v>385</v>
      </c>
      <c r="I424" s="78" t="s">
        <v>1615</v>
      </c>
      <c r="J424" s="78" t="s">
        <v>1615</v>
      </c>
      <c r="K424" s="78">
        <v>3</v>
      </c>
      <c r="L424" s="78">
        <v>82</v>
      </c>
      <c r="M424" s="78">
        <v>66</v>
      </c>
      <c r="N424" s="78" t="s">
        <v>1615</v>
      </c>
      <c r="O424" s="78">
        <v>7.5</v>
      </c>
      <c r="P424" s="78">
        <v>15.4</v>
      </c>
      <c r="Q424" s="78">
        <v>4.5</v>
      </c>
      <c r="R424" s="78">
        <v>0.66</v>
      </c>
      <c r="S424" s="78">
        <v>0.3</v>
      </c>
      <c r="T424" s="78" t="s">
        <v>1615</v>
      </c>
      <c r="U424" s="78" t="s">
        <v>1615</v>
      </c>
      <c r="V424" s="78" t="s">
        <v>1615</v>
      </c>
      <c r="W424" s="78" t="s">
        <v>1615</v>
      </c>
      <c r="X424" s="78" t="s">
        <v>1615</v>
      </c>
      <c r="Y424" s="78" t="s">
        <v>1615</v>
      </c>
      <c r="Z424" s="78" t="s">
        <v>1615</v>
      </c>
      <c r="AA424" s="78" t="s">
        <v>1615</v>
      </c>
      <c r="AB424" s="78" t="s">
        <v>1615</v>
      </c>
      <c r="AC424" s="78" t="s">
        <v>1615</v>
      </c>
      <c r="AD424" s="78" t="s">
        <v>1615</v>
      </c>
      <c r="AE424" s="78" t="s">
        <v>1615</v>
      </c>
      <c r="AF424" s="78" t="s">
        <v>1615</v>
      </c>
      <c r="AG424" s="78" t="s">
        <v>1615</v>
      </c>
      <c r="AH424" s="78">
        <v>104</v>
      </c>
      <c r="AI424" s="78">
        <v>36</v>
      </c>
      <c r="AJ424" s="78" t="s">
        <v>1615</v>
      </c>
      <c r="AK424" s="78" t="s">
        <v>1615</v>
      </c>
      <c r="AL424" s="78">
        <v>1.4</v>
      </c>
      <c r="AM424" s="78" t="s">
        <v>1615</v>
      </c>
      <c r="AN424" s="78" t="s">
        <v>1615</v>
      </c>
      <c r="AO424" s="78" t="s">
        <v>1615</v>
      </c>
    </row>
    <row r="425" spans="1:41">
      <c r="A425" s="78" t="s">
        <v>2448</v>
      </c>
      <c r="B425" s="78" t="s">
        <v>1558</v>
      </c>
      <c r="C425" s="78" t="s">
        <v>366</v>
      </c>
      <c r="D425" s="78" t="s">
        <v>2435</v>
      </c>
      <c r="E425" s="78" t="s">
        <v>2449</v>
      </c>
      <c r="F425" s="78" t="s">
        <v>2443</v>
      </c>
      <c r="G425" s="78" t="s">
        <v>1614</v>
      </c>
      <c r="H425" s="78">
        <v>307</v>
      </c>
      <c r="I425" s="78">
        <v>35.6</v>
      </c>
      <c r="J425" s="78">
        <v>1</v>
      </c>
      <c r="K425" s="78">
        <v>6.2</v>
      </c>
      <c r="L425" s="78">
        <v>74.400000000000006</v>
      </c>
      <c r="M425" s="78" t="s">
        <v>1615</v>
      </c>
      <c r="N425" s="78">
        <v>0</v>
      </c>
      <c r="O425" s="78">
        <v>10.3</v>
      </c>
      <c r="P425" s="78" t="s">
        <v>1615</v>
      </c>
      <c r="Q425" s="78" t="s">
        <v>1615</v>
      </c>
      <c r="R425" s="78" t="s">
        <v>1615</v>
      </c>
      <c r="S425" s="78" t="s">
        <v>1615</v>
      </c>
      <c r="T425" s="78" t="s">
        <v>1615</v>
      </c>
      <c r="U425" s="78" t="s">
        <v>1615</v>
      </c>
      <c r="V425" s="78" t="s">
        <v>1615</v>
      </c>
      <c r="W425" s="78" t="s">
        <v>1615</v>
      </c>
      <c r="X425" s="78" t="s">
        <v>1615</v>
      </c>
      <c r="Y425" s="78" t="s">
        <v>1615</v>
      </c>
      <c r="Z425" s="78">
        <v>0.1</v>
      </c>
      <c r="AA425" s="78">
        <v>0.1</v>
      </c>
      <c r="AB425" s="78" t="s">
        <v>1615</v>
      </c>
      <c r="AC425" s="78" t="s">
        <v>1615</v>
      </c>
      <c r="AD425" s="78" t="s">
        <v>1615</v>
      </c>
      <c r="AE425" s="78" t="s">
        <v>1615</v>
      </c>
      <c r="AF425" s="78" t="s">
        <v>1615</v>
      </c>
      <c r="AG425" s="78">
        <v>38</v>
      </c>
      <c r="AH425" s="78" t="s">
        <v>1615</v>
      </c>
      <c r="AI425" s="78" t="s">
        <v>1615</v>
      </c>
      <c r="AJ425" s="78" t="s">
        <v>1615</v>
      </c>
      <c r="AK425" s="78" t="s">
        <v>1615</v>
      </c>
      <c r="AL425" s="78" t="s">
        <v>1615</v>
      </c>
      <c r="AM425" s="78" t="s">
        <v>1615</v>
      </c>
      <c r="AN425" s="78" t="s">
        <v>1615</v>
      </c>
      <c r="AO425" s="78" t="s">
        <v>1615</v>
      </c>
    </row>
    <row r="426" spans="1:41">
      <c r="A426" s="78" t="s">
        <v>2450</v>
      </c>
      <c r="B426" s="78" t="s">
        <v>1558</v>
      </c>
      <c r="C426" s="78" t="s">
        <v>366</v>
      </c>
      <c r="D426" s="78" t="s">
        <v>2437</v>
      </c>
      <c r="E426" s="78" t="s">
        <v>2451</v>
      </c>
      <c r="F426" s="78" t="s">
        <v>2443</v>
      </c>
      <c r="G426" s="78" t="s">
        <v>1614</v>
      </c>
      <c r="H426" s="78">
        <v>381</v>
      </c>
      <c r="I426" s="78">
        <v>25.2</v>
      </c>
      <c r="J426" s="78">
        <v>1.5</v>
      </c>
      <c r="K426" s="78">
        <v>4.2</v>
      </c>
      <c r="L426" s="78">
        <v>51.7</v>
      </c>
      <c r="M426" s="78" t="s">
        <v>1615</v>
      </c>
      <c r="N426" s="78">
        <v>0.1</v>
      </c>
      <c r="O426" s="78">
        <v>17.399999999999999</v>
      </c>
      <c r="P426" s="78" t="s">
        <v>1615</v>
      </c>
      <c r="Q426" s="78" t="s">
        <v>1615</v>
      </c>
      <c r="R426" s="78" t="s">
        <v>1615</v>
      </c>
      <c r="S426" s="78" t="s">
        <v>1615</v>
      </c>
      <c r="T426" s="78">
        <v>124</v>
      </c>
      <c r="U426" s="78" t="s">
        <v>1615</v>
      </c>
      <c r="V426" s="78" t="s">
        <v>1615</v>
      </c>
      <c r="W426" s="78" t="s">
        <v>1615</v>
      </c>
      <c r="X426" s="78" t="s">
        <v>1615</v>
      </c>
      <c r="Y426" s="78" t="s">
        <v>1615</v>
      </c>
      <c r="Z426" s="78" t="s">
        <v>1615</v>
      </c>
      <c r="AA426" s="78" t="s">
        <v>1615</v>
      </c>
      <c r="AB426" s="78" t="s">
        <v>1615</v>
      </c>
      <c r="AC426" s="78" t="s">
        <v>1615</v>
      </c>
      <c r="AD426" s="78" t="s">
        <v>1615</v>
      </c>
      <c r="AE426" s="78" t="s">
        <v>1615</v>
      </c>
      <c r="AF426" s="78" t="s">
        <v>1615</v>
      </c>
      <c r="AG426" s="78">
        <v>203</v>
      </c>
      <c r="AH426" s="78" t="s">
        <v>1615</v>
      </c>
      <c r="AI426" s="78">
        <v>67</v>
      </c>
      <c r="AJ426" s="78">
        <v>193</v>
      </c>
      <c r="AK426" s="78" t="s">
        <v>1615</v>
      </c>
      <c r="AL426" s="78">
        <v>1.2</v>
      </c>
      <c r="AM426" s="78" t="s">
        <v>1615</v>
      </c>
      <c r="AN426" s="78" t="s">
        <v>1615</v>
      </c>
      <c r="AO426" s="78" t="s">
        <v>1615</v>
      </c>
    </row>
    <row r="427" spans="1:41">
      <c r="A427" s="78" t="s">
        <v>2452</v>
      </c>
      <c r="B427" s="78" t="s">
        <v>1558</v>
      </c>
      <c r="C427" s="78" t="s">
        <v>366</v>
      </c>
      <c r="D427" s="78" t="s">
        <v>2439</v>
      </c>
      <c r="E427" s="78" t="s">
        <v>2453</v>
      </c>
      <c r="F427" s="78" t="s">
        <v>2443</v>
      </c>
      <c r="G427" s="78" t="s">
        <v>1614</v>
      </c>
      <c r="H427" s="78">
        <v>228</v>
      </c>
      <c r="I427" s="78">
        <v>30</v>
      </c>
      <c r="J427" s="78">
        <v>5.8</v>
      </c>
      <c r="K427" s="78">
        <v>19.600000000000001</v>
      </c>
      <c r="L427" s="78">
        <v>20.9</v>
      </c>
      <c r="M427" s="78">
        <v>1.3</v>
      </c>
      <c r="N427" s="78">
        <v>37</v>
      </c>
      <c r="O427" s="78">
        <v>13.7</v>
      </c>
      <c r="P427" s="78">
        <v>8.07</v>
      </c>
      <c r="Q427" s="78">
        <v>4.57</v>
      </c>
      <c r="R427" s="78">
        <v>0.44</v>
      </c>
      <c r="S427" s="78" t="s">
        <v>1615</v>
      </c>
      <c r="T427" s="78">
        <v>0</v>
      </c>
      <c r="U427" s="78">
        <v>0</v>
      </c>
      <c r="V427" s="78">
        <v>0</v>
      </c>
      <c r="W427" s="78">
        <v>0</v>
      </c>
      <c r="X427" s="78">
        <v>0.1</v>
      </c>
      <c r="Y427" s="78">
        <v>2.5</v>
      </c>
      <c r="Z427" s="78">
        <v>0</v>
      </c>
      <c r="AA427" s="78">
        <v>0.2</v>
      </c>
      <c r="AB427" s="78">
        <v>2.2000000000000002</v>
      </c>
      <c r="AC427" s="78">
        <v>0.1</v>
      </c>
      <c r="AD427" s="78">
        <v>0.3</v>
      </c>
      <c r="AE427" s="78">
        <v>0</v>
      </c>
      <c r="AF427" s="78">
        <v>38</v>
      </c>
      <c r="AG427" s="78">
        <v>21</v>
      </c>
      <c r="AH427" s="78">
        <v>1524</v>
      </c>
      <c r="AI427" s="78">
        <v>128</v>
      </c>
      <c r="AJ427" s="78">
        <v>734</v>
      </c>
      <c r="AK427" s="78">
        <v>499</v>
      </c>
      <c r="AL427" s="78">
        <v>13.9</v>
      </c>
      <c r="AM427" s="78">
        <v>6.8</v>
      </c>
      <c r="AN427" s="78">
        <v>3.8</v>
      </c>
      <c r="AO427" s="78">
        <v>14.3</v>
      </c>
    </row>
    <row r="428" spans="1:41">
      <c r="A428" s="78" t="s">
        <v>2454</v>
      </c>
      <c r="B428" s="78" t="s">
        <v>1558</v>
      </c>
      <c r="C428" s="78" t="s">
        <v>366</v>
      </c>
      <c r="D428" s="78" t="s">
        <v>2441</v>
      </c>
      <c r="E428" s="78" t="s">
        <v>2455</v>
      </c>
      <c r="F428" s="78" t="s">
        <v>2443</v>
      </c>
      <c r="G428" s="78" t="s">
        <v>1614</v>
      </c>
      <c r="H428" s="78">
        <v>367</v>
      </c>
      <c r="I428" s="78">
        <v>7.3</v>
      </c>
      <c r="J428" s="78">
        <v>0.9</v>
      </c>
      <c r="K428" s="78">
        <v>0.8</v>
      </c>
      <c r="L428" s="78">
        <v>91</v>
      </c>
      <c r="M428" s="78">
        <v>91</v>
      </c>
      <c r="N428" s="78" t="s">
        <v>1615</v>
      </c>
      <c r="O428" s="78">
        <v>0</v>
      </c>
      <c r="P428" s="78" t="s">
        <v>1615</v>
      </c>
      <c r="Q428" s="78" t="s">
        <v>1615</v>
      </c>
      <c r="R428" s="78" t="s">
        <v>1615</v>
      </c>
      <c r="S428" s="78" t="s">
        <v>1615</v>
      </c>
      <c r="T428" s="78">
        <v>0</v>
      </c>
      <c r="U428" s="78" t="s">
        <v>1615</v>
      </c>
      <c r="V428" s="78" t="s">
        <v>1615</v>
      </c>
      <c r="W428" s="78" t="s">
        <v>1615</v>
      </c>
      <c r="X428" s="78" t="s">
        <v>1615</v>
      </c>
      <c r="Y428" s="78" t="s">
        <v>1615</v>
      </c>
      <c r="Z428" s="78">
        <v>0.1</v>
      </c>
      <c r="AA428" s="78" t="s">
        <v>1615</v>
      </c>
      <c r="AB428" s="78" t="s">
        <v>1615</v>
      </c>
      <c r="AC428" s="78" t="s">
        <v>1615</v>
      </c>
      <c r="AD428" s="78" t="s">
        <v>1615</v>
      </c>
      <c r="AE428" s="78" t="s">
        <v>1615</v>
      </c>
      <c r="AF428" s="78" t="s">
        <v>1615</v>
      </c>
      <c r="AG428" s="78">
        <v>108</v>
      </c>
      <c r="AH428" s="78" t="s">
        <v>1615</v>
      </c>
      <c r="AI428" s="78" t="s">
        <v>1615</v>
      </c>
      <c r="AJ428" s="78" t="s">
        <v>1615</v>
      </c>
      <c r="AK428" s="78" t="s">
        <v>1615</v>
      </c>
      <c r="AL428" s="78" t="s">
        <v>1615</v>
      </c>
      <c r="AM428" s="78" t="s">
        <v>1615</v>
      </c>
      <c r="AN428" s="78" t="s">
        <v>1615</v>
      </c>
      <c r="AO428" s="78" t="s">
        <v>1615</v>
      </c>
    </row>
    <row r="429" spans="1:41">
      <c r="A429" s="78" t="s">
        <v>2456</v>
      </c>
      <c r="B429" s="78" t="s">
        <v>1558</v>
      </c>
      <c r="C429" s="78" t="s">
        <v>366</v>
      </c>
      <c r="D429" s="78" t="s">
        <v>2444</v>
      </c>
      <c r="E429" s="78" t="s">
        <v>2457</v>
      </c>
      <c r="F429" s="78" t="s">
        <v>2443</v>
      </c>
      <c r="G429" s="78" t="s">
        <v>1614</v>
      </c>
      <c r="H429" s="78">
        <v>559</v>
      </c>
      <c r="I429" s="78" t="s">
        <v>1615</v>
      </c>
      <c r="J429" s="78" t="s">
        <v>1615</v>
      </c>
      <c r="K429" s="78">
        <v>11.3</v>
      </c>
      <c r="L429" s="78">
        <v>46.9</v>
      </c>
      <c r="M429" s="78">
        <v>44</v>
      </c>
      <c r="N429" s="78" t="s">
        <v>1615</v>
      </c>
      <c r="O429" s="78">
        <v>36.200000000000003</v>
      </c>
      <c r="P429" s="78">
        <v>15.6</v>
      </c>
      <c r="Q429" s="78">
        <v>16</v>
      </c>
      <c r="R429" s="78">
        <v>2.6</v>
      </c>
      <c r="S429" s="78">
        <v>0.5</v>
      </c>
      <c r="T429" s="78">
        <v>23</v>
      </c>
      <c r="U429" s="78" t="s">
        <v>1615</v>
      </c>
      <c r="V429" s="78" t="s">
        <v>1615</v>
      </c>
      <c r="W429" s="78" t="s">
        <v>1615</v>
      </c>
      <c r="X429" s="78" t="s">
        <v>1615</v>
      </c>
      <c r="Y429" s="78" t="s">
        <v>1615</v>
      </c>
      <c r="Z429" s="78" t="s">
        <v>1615</v>
      </c>
      <c r="AA429" s="78" t="s">
        <v>1615</v>
      </c>
      <c r="AB429" s="78" t="s">
        <v>1615</v>
      </c>
      <c r="AC429" s="78" t="s">
        <v>1615</v>
      </c>
      <c r="AD429" s="78" t="s">
        <v>1615</v>
      </c>
      <c r="AE429" s="78" t="s">
        <v>1615</v>
      </c>
      <c r="AF429" s="78" t="s">
        <v>1615</v>
      </c>
      <c r="AG429" s="78">
        <v>84</v>
      </c>
      <c r="AH429" s="78" t="s">
        <v>1615</v>
      </c>
      <c r="AI429" s="78" t="s">
        <v>1615</v>
      </c>
      <c r="AJ429" s="78" t="s">
        <v>1615</v>
      </c>
      <c r="AK429" s="78" t="s">
        <v>1615</v>
      </c>
      <c r="AL429" s="78" t="s">
        <v>1615</v>
      </c>
      <c r="AM429" s="78" t="s">
        <v>1615</v>
      </c>
      <c r="AN429" s="78" t="s">
        <v>1615</v>
      </c>
      <c r="AO429" s="78" t="s">
        <v>1615</v>
      </c>
    </row>
    <row r="430" spans="1:41">
      <c r="A430" s="78" t="s">
        <v>2458</v>
      </c>
      <c r="B430" s="78" t="s">
        <v>1558</v>
      </c>
      <c r="C430" s="78" t="s">
        <v>366</v>
      </c>
      <c r="D430" s="78" t="s">
        <v>2446</v>
      </c>
      <c r="E430" s="78" t="s">
        <v>2459</v>
      </c>
      <c r="F430" s="78" t="s">
        <v>2443</v>
      </c>
      <c r="G430" s="78" t="s">
        <v>1614</v>
      </c>
      <c r="H430" s="78">
        <v>579</v>
      </c>
      <c r="I430" s="78">
        <v>1.3</v>
      </c>
      <c r="J430" s="78">
        <v>1</v>
      </c>
      <c r="K430" s="78">
        <v>6.1</v>
      </c>
      <c r="L430" s="78">
        <v>44.4</v>
      </c>
      <c r="M430" s="78">
        <v>36.700000000000003</v>
      </c>
      <c r="N430" s="78">
        <v>8</v>
      </c>
      <c r="O430" s="78">
        <v>38.299999999999997</v>
      </c>
      <c r="P430" s="78">
        <v>22.03</v>
      </c>
      <c r="Q430" s="78">
        <v>11.52</v>
      </c>
      <c r="R430" s="78">
        <v>1.22</v>
      </c>
      <c r="S430" s="78" t="s">
        <v>1615</v>
      </c>
      <c r="T430" s="78">
        <v>0</v>
      </c>
      <c r="U430" s="78">
        <v>3</v>
      </c>
      <c r="V430" s="78" t="s">
        <v>1615</v>
      </c>
      <c r="W430" s="78" t="s">
        <v>1615</v>
      </c>
      <c r="X430" s="78" t="s">
        <v>1615</v>
      </c>
      <c r="Y430" s="78">
        <v>7.2</v>
      </c>
      <c r="Z430" s="78">
        <v>0</v>
      </c>
      <c r="AA430" s="78">
        <v>0</v>
      </c>
      <c r="AB430" s="78">
        <v>0.8</v>
      </c>
      <c r="AC430" s="78">
        <v>0</v>
      </c>
      <c r="AD430" s="78">
        <v>0.3</v>
      </c>
      <c r="AE430" s="78">
        <v>0.2</v>
      </c>
      <c r="AF430" s="78">
        <v>5</v>
      </c>
      <c r="AG430" s="78">
        <v>10</v>
      </c>
      <c r="AH430" s="78">
        <v>567</v>
      </c>
      <c r="AI430" s="78">
        <v>62</v>
      </c>
      <c r="AJ430" s="78">
        <v>260</v>
      </c>
      <c r="AK430" s="78">
        <v>176</v>
      </c>
      <c r="AL430" s="78">
        <v>6.3</v>
      </c>
      <c r="AM430" s="78">
        <v>2.7</v>
      </c>
      <c r="AN430" s="78">
        <v>1.2</v>
      </c>
      <c r="AO430" s="78">
        <v>8.4</v>
      </c>
    </row>
    <row r="431" spans="1:41">
      <c r="A431" s="78" t="s">
        <v>2460</v>
      </c>
      <c r="B431" s="78" t="s">
        <v>1558</v>
      </c>
      <c r="C431" s="78" t="s">
        <v>366</v>
      </c>
      <c r="D431" s="78" t="s">
        <v>2448</v>
      </c>
      <c r="E431" s="78" t="s">
        <v>2461</v>
      </c>
      <c r="F431" s="78" t="s">
        <v>2443</v>
      </c>
      <c r="G431" s="78" t="s">
        <v>1614</v>
      </c>
      <c r="H431" s="78">
        <v>598</v>
      </c>
      <c r="I431" s="78">
        <v>1.4</v>
      </c>
      <c r="J431" s="78">
        <v>1.1000000000000001</v>
      </c>
      <c r="K431" s="78">
        <v>7.8</v>
      </c>
      <c r="L431" s="78">
        <v>35</v>
      </c>
      <c r="M431" s="78">
        <v>24</v>
      </c>
      <c r="N431" s="78">
        <v>10.9</v>
      </c>
      <c r="O431" s="78">
        <v>42.6</v>
      </c>
      <c r="P431" s="78">
        <v>24.5</v>
      </c>
      <c r="Q431" s="78">
        <v>12.8</v>
      </c>
      <c r="R431" s="78">
        <v>1.3</v>
      </c>
      <c r="S431" s="78" t="s">
        <v>1615</v>
      </c>
      <c r="T431" s="78">
        <v>0</v>
      </c>
      <c r="U431" s="78">
        <v>2</v>
      </c>
      <c r="V431" s="78" t="s">
        <v>1615</v>
      </c>
      <c r="W431" s="78" t="s">
        <v>1615</v>
      </c>
      <c r="X431" s="78" t="s">
        <v>1615</v>
      </c>
      <c r="Y431" s="78">
        <v>7.3</v>
      </c>
      <c r="Z431" s="78">
        <v>0</v>
      </c>
      <c r="AA431" s="78">
        <v>0.1</v>
      </c>
      <c r="AB431" s="78">
        <v>1.1000000000000001</v>
      </c>
      <c r="AC431" s="78">
        <v>0</v>
      </c>
      <c r="AD431" s="78">
        <v>0.4</v>
      </c>
      <c r="AE431" s="78">
        <v>0.3</v>
      </c>
      <c r="AF431" s="78">
        <v>6</v>
      </c>
      <c r="AG431" s="78">
        <v>20</v>
      </c>
      <c r="AH431" s="78">
        <v>715</v>
      </c>
      <c r="AI431" s="78">
        <v>73</v>
      </c>
      <c r="AJ431" s="78">
        <v>308</v>
      </c>
      <c r="AK431" s="78">
        <v>228</v>
      </c>
      <c r="AL431" s="78">
        <v>11.9</v>
      </c>
      <c r="AM431" s="78">
        <v>3.3</v>
      </c>
      <c r="AN431" s="78">
        <v>1.8</v>
      </c>
      <c r="AO431" s="78">
        <v>6.3</v>
      </c>
    </row>
    <row r="432" spans="1:41">
      <c r="A432" s="78" t="s">
        <v>2462</v>
      </c>
      <c r="B432" s="78" t="s">
        <v>1558</v>
      </c>
      <c r="C432" s="78" t="s">
        <v>366</v>
      </c>
      <c r="D432" s="78" t="s">
        <v>2450</v>
      </c>
      <c r="E432" s="78" t="s">
        <v>2463</v>
      </c>
      <c r="F432" s="78" t="s">
        <v>2443</v>
      </c>
      <c r="G432" s="78" t="s">
        <v>1614</v>
      </c>
      <c r="H432" s="78">
        <v>548</v>
      </c>
      <c r="I432" s="78" t="s">
        <v>1615</v>
      </c>
      <c r="J432" s="78">
        <v>2.2999999999999998</v>
      </c>
      <c r="K432" s="78">
        <v>8.3000000000000007</v>
      </c>
      <c r="L432" s="78">
        <v>60</v>
      </c>
      <c r="M432" s="78">
        <v>52.3</v>
      </c>
      <c r="N432" s="78" t="s">
        <v>1615</v>
      </c>
      <c r="O432" s="78">
        <v>30.5</v>
      </c>
      <c r="P432" s="78">
        <v>19</v>
      </c>
      <c r="Q432" s="78">
        <v>9.6</v>
      </c>
      <c r="R432" s="78">
        <v>1.1000000000000001</v>
      </c>
      <c r="S432" s="78">
        <v>0.6</v>
      </c>
      <c r="T432" s="78">
        <v>3</v>
      </c>
      <c r="U432" s="78" t="s">
        <v>1615</v>
      </c>
      <c r="V432" s="78" t="s">
        <v>1615</v>
      </c>
      <c r="W432" s="78" t="s">
        <v>1615</v>
      </c>
      <c r="X432" s="78">
        <v>0.6</v>
      </c>
      <c r="Y432" s="78" t="s">
        <v>1615</v>
      </c>
      <c r="Z432" s="78" t="s">
        <v>1615</v>
      </c>
      <c r="AA432" s="78" t="s">
        <v>1615</v>
      </c>
      <c r="AB432" s="78" t="s">
        <v>1615</v>
      </c>
      <c r="AC432" s="78" t="s">
        <v>1615</v>
      </c>
      <c r="AD432" s="78" t="s">
        <v>1615</v>
      </c>
      <c r="AE432" s="78" t="s">
        <v>1615</v>
      </c>
      <c r="AF432" s="78" t="s">
        <v>1615</v>
      </c>
      <c r="AG432" s="78">
        <v>108</v>
      </c>
      <c r="AH432" s="78" t="s">
        <v>1615</v>
      </c>
      <c r="AI432" s="78" t="s">
        <v>1615</v>
      </c>
      <c r="AJ432" s="78" t="s">
        <v>1615</v>
      </c>
      <c r="AK432" s="78" t="s">
        <v>1615</v>
      </c>
      <c r="AL432" s="78" t="s">
        <v>1615</v>
      </c>
      <c r="AM432" s="78" t="s">
        <v>1615</v>
      </c>
      <c r="AN432" s="78" t="s">
        <v>1615</v>
      </c>
      <c r="AO432" s="78" t="s">
        <v>1615</v>
      </c>
    </row>
    <row r="433" spans="1:41">
      <c r="A433" s="78" t="s">
        <v>2464</v>
      </c>
      <c r="B433" s="78" t="s">
        <v>1558</v>
      </c>
      <c r="C433" s="78" t="s">
        <v>366</v>
      </c>
      <c r="D433" s="78" t="s">
        <v>2452</v>
      </c>
      <c r="E433" s="78" t="s">
        <v>2465</v>
      </c>
      <c r="F433" s="78" t="s">
        <v>2443</v>
      </c>
      <c r="G433" s="78" t="s">
        <v>1614</v>
      </c>
      <c r="H433" s="78">
        <v>393</v>
      </c>
      <c r="I433" s="78">
        <v>1.7</v>
      </c>
      <c r="J433" s="78" t="s">
        <v>1615</v>
      </c>
      <c r="K433" s="78">
        <v>8</v>
      </c>
      <c r="L433" s="78">
        <v>80.5</v>
      </c>
      <c r="M433" s="78" t="s">
        <v>1615</v>
      </c>
      <c r="N433" s="78">
        <v>2.2999999999999998</v>
      </c>
      <c r="O433" s="78">
        <v>4</v>
      </c>
      <c r="P433" s="78" t="s">
        <v>1615</v>
      </c>
      <c r="Q433" s="78" t="s">
        <v>1615</v>
      </c>
      <c r="R433" s="78" t="s">
        <v>1615</v>
      </c>
      <c r="S433" s="78" t="s">
        <v>1615</v>
      </c>
      <c r="T433" s="78" t="s">
        <v>1615</v>
      </c>
      <c r="U433" s="78" t="s">
        <v>1615</v>
      </c>
      <c r="V433" s="78" t="s">
        <v>1615</v>
      </c>
      <c r="W433" s="78" t="s">
        <v>1615</v>
      </c>
      <c r="X433" s="78" t="s">
        <v>1615</v>
      </c>
      <c r="Y433" s="78" t="s">
        <v>1615</v>
      </c>
      <c r="Z433" s="78" t="s">
        <v>1615</v>
      </c>
      <c r="AA433" s="78" t="s">
        <v>1615</v>
      </c>
      <c r="AB433" s="78" t="s">
        <v>1615</v>
      </c>
      <c r="AC433" s="78" t="s">
        <v>1615</v>
      </c>
      <c r="AD433" s="78" t="s">
        <v>1615</v>
      </c>
      <c r="AE433" s="78" t="s">
        <v>1615</v>
      </c>
      <c r="AF433" s="78" t="s">
        <v>1615</v>
      </c>
      <c r="AG433" s="78" t="s">
        <v>1615</v>
      </c>
      <c r="AH433" s="78" t="s">
        <v>1615</v>
      </c>
      <c r="AI433" s="78" t="s">
        <v>1615</v>
      </c>
      <c r="AJ433" s="78" t="s">
        <v>1615</v>
      </c>
      <c r="AK433" s="78" t="s">
        <v>1615</v>
      </c>
      <c r="AL433" s="78" t="s">
        <v>1615</v>
      </c>
      <c r="AM433" s="78" t="s">
        <v>1615</v>
      </c>
      <c r="AN433" s="78" t="s">
        <v>1615</v>
      </c>
      <c r="AO433" s="78" t="s">
        <v>1615</v>
      </c>
    </row>
    <row r="434" spans="1:41">
      <c r="A434" s="78" t="s">
        <v>2466</v>
      </c>
      <c r="B434" s="78" t="s">
        <v>1558</v>
      </c>
      <c r="C434" s="78" t="s">
        <v>366</v>
      </c>
      <c r="D434" s="78" t="s">
        <v>2454</v>
      </c>
      <c r="E434" s="78" t="s">
        <v>2467</v>
      </c>
      <c r="F434" s="78" t="s">
        <v>2443</v>
      </c>
      <c r="G434" s="78" t="s">
        <v>1614</v>
      </c>
      <c r="H434" s="78">
        <v>322</v>
      </c>
      <c r="I434" s="78">
        <v>20</v>
      </c>
      <c r="J434" s="78" t="s">
        <v>1615</v>
      </c>
      <c r="K434" s="78" t="s">
        <v>1615</v>
      </c>
      <c r="L434" s="78">
        <v>81.3</v>
      </c>
      <c r="M434" s="78">
        <v>80.7</v>
      </c>
      <c r="N434" s="78" t="s">
        <v>1615</v>
      </c>
      <c r="O434" s="78" t="s">
        <v>1615</v>
      </c>
      <c r="P434" s="78" t="s">
        <v>1615</v>
      </c>
      <c r="Q434" s="78" t="s">
        <v>1615</v>
      </c>
      <c r="R434" s="78" t="s">
        <v>1615</v>
      </c>
      <c r="S434" s="78" t="s">
        <v>1615</v>
      </c>
      <c r="T434" s="78" t="s">
        <v>1615</v>
      </c>
      <c r="U434" s="78" t="s">
        <v>1615</v>
      </c>
      <c r="V434" s="78" t="s">
        <v>1615</v>
      </c>
      <c r="W434" s="78" t="s">
        <v>1615</v>
      </c>
      <c r="X434" s="78" t="s">
        <v>1615</v>
      </c>
      <c r="Y434" s="78" t="s">
        <v>1615</v>
      </c>
      <c r="Z434" s="78" t="s">
        <v>1615</v>
      </c>
      <c r="AA434" s="78" t="s">
        <v>1615</v>
      </c>
      <c r="AB434" s="78" t="s">
        <v>1615</v>
      </c>
      <c r="AC434" s="78" t="s">
        <v>1615</v>
      </c>
      <c r="AD434" s="78" t="s">
        <v>1615</v>
      </c>
      <c r="AE434" s="78" t="s">
        <v>1615</v>
      </c>
      <c r="AF434" s="78" t="s">
        <v>1615</v>
      </c>
      <c r="AG434" s="78" t="s">
        <v>1615</v>
      </c>
      <c r="AH434" s="78" t="s">
        <v>1615</v>
      </c>
      <c r="AI434" s="78" t="s">
        <v>1615</v>
      </c>
      <c r="AJ434" s="78" t="s">
        <v>1615</v>
      </c>
      <c r="AK434" s="78" t="s">
        <v>1615</v>
      </c>
      <c r="AL434" s="78" t="s">
        <v>1615</v>
      </c>
      <c r="AM434" s="78" t="s">
        <v>1615</v>
      </c>
      <c r="AN434" s="78" t="s">
        <v>1615</v>
      </c>
      <c r="AO434" s="78" t="s">
        <v>1615</v>
      </c>
    </row>
    <row r="435" spans="1:41">
      <c r="A435" s="78" t="s">
        <v>2468</v>
      </c>
      <c r="B435" s="78" t="s">
        <v>1558</v>
      </c>
      <c r="C435" s="78" t="s">
        <v>366</v>
      </c>
      <c r="D435" s="78" t="s">
        <v>2456</v>
      </c>
      <c r="E435" s="78" t="s">
        <v>2469</v>
      </c>
      <c r="F435" s="78" t="s">
        <v>2443</v>
      </c>
      <c r="G435" s="78" t="s">
        <v>1614</v>
      </c>
      <c r="H435" s="78">
        <v>381</v>
      </c>
      <c r="I435" s="78">
        <v>1.6</v>
      </c>
      <c r="J435" s="78">
        <v>0.2</v>
      </c>
      <c r="K435" s="78">
        <v>7.8</v>
      </c>
      <c r="L435" s="78">
        <v>87.5</v>
      </c>
      <c r="M435" s="78">
        <v>86</v>
      </c>
      <c r="N435" s="78">
        <v>0</v>
      </c>
      <c r="O435" s="78">
        <v>0</v>
      </c>
      <c r="P435" s="78">
        <v>0</v>
      </c>
      <c r="Q435" s="78">
        <v>0</v>
      </c>
      <c r="R435" s="78">
        <v>0</v>
      </c>
      <c r="S435" s="78" t="s">
        <v>1615</v>
      </c>
      <c r="T435" s="78">
        <v>0</v>
      </c>
      <c r="U435" s="78">
        <v>0</v>
      </c>
      <c r="V435" s="78">
        <v>0</v>
      </c>
      <c r="W435" s="78">
        <v>0</v>
      </c>
      <c r="X435" s="78">
        <v>0</v>
      </c>
      <c r="Y435" s="78">
        <v>0</v>
      </c>
      <c r="Z435" s="78" t="s">
        <v>1615</v>
      </c>
      <c r="AA435" s="78" t="s">
        <v>1615</v>
      </c>
      <c r="AB435" s="78" t="s">
        <v>1615</v>
      </c>
      <c r="AC435" s="78" t="s">
        <v>1615</v>
      </c>
      <c r="AD435" s="78" t="s">
        <v>1615</v>
      </c>
      <c r="AE435" s="78" t="s">
        <v>1615</v>
      </c>
      <c r="AF435" s="78" t="s">
        <v>1615</v>
      </c>
      <c r="AG435" s="78">
        <v>98</v>
      </c>
      <c r="AH435" s="78">
        <v>15</v>
      </c>
      <c r="AI435" s="78">
        <v>3</v>
      </c>
      <c r="AJ435" s="78">
        <v>5</v>
      </c>
      <c r="AK435" s="78">
        <v>14</v>
      </c>
      <c r="AL435" s="78">
        <v>0.2</v>
      </c>
      <c r="AM435" s="78">
        <v>0.1</v>
      </c>
      <c r="AN435" s="78">
        <v>0</v>
      </c>
      <c r="AO435" s="78">
        <v>2.8</v>
      </c>
    </row>
    <row r="436" spans="1:41">
      <c r="A436" s="78" t="s">
        <v>2470</v>
      </c>
      <c r="B436" s="78" t="s">
        <v>1558</v>
      </c>
      <c r="C436" s="78" t="s">
        <v>366</v>
      </c>
      <c r="D436" s="78" t="s">
        <v>2458</v>
      </c>
      <c r="E436" s="78" t="s">
        <v>2471</v>
      </c>
      <c r="F436" s="78" t="s">
        <v>2443</v>
      </c>
      <c r="G436" s="78" t="s">
        <v>1614</v>
      </c>
      <c r="H436" s="78">
        <v>62</v>
      </c>
      <c r="I436" s="78">
        <v>84.4</v>
      </c>
      <c r="J436" s="78" t="s">
        <v>1615</v>
      </c>
      <c r="K436" s="78">
        <v>1.2</v>
      </c>
      <c r="L436" s="78">
        <v>14.2</v>
      </c>
      <c r="M436" s="78">
        <v>15.1</v>
      </c>
      <c r="N436" s="78">
        <v>0</v>
      </c>
      <c r="O436" s="78">
        <v>0</v>
      </c>
      <c r="P436" s="78">
        <v>0</v>
      </c>
      <c r="Q436" s="78">
        <v>0</v>
      </c>
      <c r="R436" s="78">
        <v>0</v>
      </c>
      <c r="S436" s="78" t="s">
        <v>1615</v>
      </c>
      <c r="T436" s="78">
        <v>0</v>
      </c>
      <c r="U436" s="78">
        <v>0</v>
      </c>
      <c r="V436" s="78">
        <v>0</v>
      </c>
      <c r="W436" s="78">
        <v>0</v>
      </c>
      <c r="X436" s="78">
        <v>0</v>
      </c>
      <c r="Y436" s="78">
        <v>0</v>
      </c>
      <c r="Z436" s="78" t="s">
        <v>1615</v>
      </c>
      <c r="AA436" s="78" t="s">
        <v>1615</v>
      </c>
      <c r="AB436" s="78" t="s">
        <v>1615</v>
      </c>
      <c r="AC436" s="78" t="s">
        <v>1615</v>
      </c>
      <c r="AD436" s="78" t="s">
        <v>1615</v>
      </c>
      <c r="AE436" s="78" t="s">
        <v>1615</v>
      </c>
      <c r="AF436" s="78" t="s">
        <v>1615</v>
      </c>
      <c r="AG436" s="78">
        <v>466</v>
      </c>
      <c r="AH436" s="78">
        <v>7</v>
      </c>
      <c r="AI436" s="78">
        <v>2</v>
      </c>
      <c r="AJ436" s="78">
        <v>14</v>
      </c>
      <c r="AK436" s="78">
        <v>10</v>
      </c>
      <c r="AL436" s="78">
        <v>0.1</v>
      </c>
      <c r="AM436" s="78">
        <v>0</v>
      </c>
      <c r="AN436" s="78">
        <v>0.1</v>
      </c>
      <c r="AO436" s="78" t="s">
        <v>1615</v>
      </c>
    </row>
    <row r="437" spans="1:41">
      <c r="A437" s="78" t="s">
        <v>2472</v>
      </c>
      <c r="B437" s="78" t="s">
        <v>1558</v>
      </c>
      <c r="C437" s="78" t="s">
        <v>366</v>
      </c>
      <c r="D437" s="78" t="s">
        <v>2460</v>
      </c>
      <c r="E437" s="78" t="s">
        <v>2473</v>
      </c>
      <c r="F437" s="78" t="s">
        <v>2443</v>
      </c>
      <c r="G437" s="78" t="s">
        <v>1614</v>
      </c>
      <c r="H437" s="78">
        <v>8</v>
      </c>
      <c r="I437" s="78">
        <v>97.7</v>
      </c>
      <c r="J437" s="78" t="s">
        <v>1615</v>
      </c>
      <c r="K437" s="78">
        <v>0.2</v>
      </c>
      <c r="L437" s="78">
        <v>1.4</v>
      </c>
      <c r="M437" s="78">
        <v>0</v>
      </c>
      <c r="N437" s="78">
        <v>0</v>
      </c>
      <c r="O437" s="78">
        <v>0</v>
      </c>
      <c r="P437" s="78">
        <v>0</v>
      </c>
      <c r="Q437" s="78">
        <v>0</v>
      </c>
      <c r="R437" s="78">
        <v>0</v>
      </c>
      <c r="S437" s="78" t="s">
        <v>1615</v>
      </c>
      <c r="T437" s="78">
        <v>0</v>
      </c>
      <c r="U437" s="78">
        <v>0</v>
      </c>
      <c r="V437" s="78">
        <v>0</v>
      </c>
      <c r="W437" s="78">
        <v>0</v>
      </c>
      <c r="X437" s="78">
        <v>0</v>
      </c>
      <c r="Y437" s="78">
        <v>0</v>
      </c>
      <c r="Z437" s="78" t="s">
        <v>1615</v>
      </c>
      <c r="AA437" s="78" t="s">
        <v>1615</v>
      </c>
      <c r="AB437" s="78" t="s">
        <v>1615</v>
      </c>
      <c r="AC437" s="78" t="s">
        <v>1615</v>
      </c>
      <c r="AD437" s="78" t="s">
        <v>1615</v>
      </c>
      <c r="AE437" s="78" t="s">
        <v>1615</v>
      </c>
      <c r="AF437" s="78" t="s">
        <v>1615</v>
      </c>
      <c r="AG437" s="78">
        <v>72</v>
      </c>
      <c r="AH437" s="78">
        <v>1</v>
      </c>
      <c r="AI437" s="78">
        <v>0</v>
      </c>
      <c r="AJ437" s="78">
        <v>2</v>
      </c>
      <c r="AK437" s="78">
        <v>1</v>
      </c>
      <c r="AL437" s="78">
        <v>0</v>
      </c>
      <c r="AM437" s="78">
        <v>0</v>
      </c>
      <c r="AN437" s="78">
        <v>0</v>
      </c>
      <c r="AO437" s="78" t="s">
        <v>1615</v>
      </c>
    </row>
    <row r="438" spans="1:41">
      <c r="A438" s="78" t="s">
        <v>2474</v>
      </c>
      <c r="B438" s="78" t="s">
        <v>1558</v>
      </c>
      <c r="C438" s="78" t="s">
        <v>366</v>
      </c>
      <c r="D438" s="78" t="s">
        <v>2462</v>
      </c>
      <c r="E438" s="78" t="s">
        <v>2475</v>
      </c>
      <c r="F438" s="78" t="s">
        <v>2443</v>
      </c>
      <c r="G438" s="78" t="s">
        <v>1614</v>
      </c>
      <c r="H438" s="78">
        <v>318</v>
      </c>
      <c r="I438" s="78" t="s">
        <v>1615</v>
      </c>
      <c r="J438" s="78" t="s">
        <v>1615</v>
      </c>
      <c r="K438" s="78">
        <v>62</v>
      </c>
      <c r="L438" s="78">
        <v>13</v>
      </c>
      <c r="M438" s="78" t="s">
        <v>1615</v>
      </c>
      <c r="N438" s="78" t="s">
        <v>1615</v>
      </c>
      <c r="O438" s="78">
        <v>0</v>
      </c>
      <c r="P438" s="78" t="s">
        <v>1615</v>
      </c>
      <c r="Q438" s="78" t="s">
        <v>1615</v>
      </c>
      <c r="R438" s="78" t="s">
        <v>1615</v>
      </c>
      <c r="S438" s="78" t="s">
        <v>1615</v>
      </c>
      <c r="T438" s="78" t="s">
        <v>1615</v>
      </c>
      <c r="U438" s="78" t="s">
        <v>1615</v>
      </c>
      <c r="V438" s="78" t="s">
        <v>1615</v>
      </c>
      <c r="W438" s="78" t="s">
        <v>1615</v>
      </c>
      <c r="X438" s="78" t="s">
        <v>1615</v>
      </c>
      <c r="Y438" s="78" t="s">
        <v>1615</v>
      </c>
      <c r="Z438" s="78" t="s">
        <v>1615</v>
      </c>
      <c r="AA438" s="78" t="s">
        <v>1615</v>
      </c>
      <c r="AB438" s="78" t="s">
        <v>1615</v>
      </c>
      <c r="AC438" s="78" t="s">
        <v>1615</v>
      </c>
      <c r="AD438" s="78" t="s">
        <v>1615</v>
      </c>
      <c r="AE438" s="78" t="s">
        <v>1615</v>
      </c>
      <c r="AF438" s="78" t="s">
        <v>1615</v>
      </c>
      <c r="AG438" s="78" t="s">
        <v>1615</v>
      </c>
      <c r="AH438" s="78" t="s">
        <v>1615</v>
      </c>
      <c r="AI438" s="78" t="s">
        <v>1615</v>
      </c>
      <c r="AJ438" s="78" t="s">
        <v>1615</v>
      </c>
      <c r="AK438" s="78" t="s">
        <v>1615</v>
      </c>
      <c r="AL438" s="78" t="s">
        <v>1615</v>
      </c>
      <c r="AM438" s="78" t="s">
        <v>1615</v>
      </c>
      <c r="AN438" s="78" t="s">
        <v>1615</v>
      </c>
      <c r="AO438" s="78" t="s">
        <v>1615</v>
      </c>
    </row>
    <row r="439" spans="1:41">
      <c r="A439" s="78" t="s">
        <v>2476</v>
      </c>
      <c r="B439" s="78" t="s">
        <v>1558</v>
      </c>
      <c r="C439" s="78" t="s">
        <v>366</v>
      </c>
      <c r="D439" s="78" t="s">
        <v>2464</v>
      </c>
      <c r="E439" s="78" t="s">
        <v>2477</v>
      </c>
      <c r="F439" s="78" t="s">
        <v>2443</v>
      </c>
      <c r="G439" s="78" t="s">
        <v>1614</v>
      </c>
      <c r="H439" s="78">
        <v>290</v>
      </c>
      <c r="I439" s="78">
        <v>36.5</v>
      </c>
      <c r="J439" s="78">
        <v>1.5</v>
      </c>
      <c r="K439" s="78">
        <v>6.5</v>
      </c>
      <c r="L439" s="78">
        <v>54.8</v>
      </c>
      <c r="M439" s="78">
        <v>38.799999999999997</v>
      </c>
      <c r="N439" s="78" t="s">
        <v>1615</v>
      </c>
      <c r="O439" s="78">
        <v>8.4</v>
      </c>
      <c r="P439" s="78">
        <v>2.0499999999999998</v>
      </c>
      <c r="Q439" s="78">
        <v>2.2999999999999998</v>
      </c>
      <c r="R439" s="78">
        <v>0.17</v>
      </c>
      <c r="S439" s="78">
        <v>0.3</v>
      </c>
      <c r="T439" s="78">
        <v>2</v>
      </c>
      <c r="U439" s="78">
        <v>32</v>
      </c>
      <c r="V439" s="78">
        <v>2</v>
      </c>
      <c r="W439" s="78" t="s">
        <v>1615</v>
      </c>
      <c r="X439" s="78">
        <v>0.2</v>
      </c>
      <c r="Y439" s="78" t="s">
        <v>1615</v>
      </c>
      <c r="Z439" s="78">
        <v>0</v>
      </c>
      <c r="AA439" s="78">
        <v>0.3</v>
      </c>
      <c r="AB439" s="78">
        <v>0.2</v>
      </c>
      <c r="AC439" s="78">
        <v>0</v>
      </c>
      <c r="AD439" s="78">
        <v>0.4</v>
      </c>
      <c r="AE439" s="78">
        <v>0.2</v>
      </c>
      <c r="AF439" s="78">
        <v>4</v>
      </c>
      <c r="AG439" s="78">
        <v>130</v>
      </c>
      <c r="AH439" s="78">
        <v>366</v>
      </c>
      <c r="AI439" s="78">
        <v>282</v>
      </c>
      <c r="AJ439" s="78">
        <v>195</v>
      </c>
      <c r="AK439" s="78">
        <v>26</v>
      </c>
      <c r="AL439" s="78">
        <v>0.2</v>
      </c>
      <c r="AM439" s="78">
        <v>1</v>
      </c>
      <c r="AN439" s="78">
        <v>0.1</v>
      </c>
      <c r="AO439" s="78">
        <v>1.7</v>
      </c>
    </row>
    <row r="440" spans="1:41">
      <c r="A440" s="78" t="s">
        <v>2478</v>
      </c>
      <c r="B440" s="78" t="s">
        <v>1558</v>
      </c>
      <c r="C440" s="78" t="s">
        <v>366</v>
      </c>
      <c r="D440" s="78" t="s">
        <v>2466</v>
      </c>
      <c r="E440" s="78" t="s">
        <v>2479</v>
      </c>
      <c r="F440" s="78" t="s">
        <v>2443</v>
      </c>
      <c r="G440" s="78" t="s">
        <v>1614</v>
      </c>
      <c r="H440" s="78">
        <v>232</v>
      </c>
      <c r="I440" s="78">
        <v>39.6</v>
      </c>
      <c r="J440" s="78">
        <v>0.3</v>
      </c>
      <c r="K440" s="78">
        <v>0.4</v>
      </c>
      <c r="L440" s="78">
        <v>57.6</v>
      </c>
      <c r="M440" s="78">
        <v>48.2</v>
      </c>
      <c r="N440" s="78">
        <v>2</v>
      </c>
      <c r="O440" s="78">
        <v>0</v>
      </c>
      <c r="P440" s="78" t="s">
        <v>1615</v>
      </c>
      <c r="Q440" s="78" t="s">
        <v>1615</v>
      </c>
      <c r="R440" s="78" t="s">
        <v>1615</v>
      </c>
      <c r="S440" s="78" t="s">
        <v>1615</v>
      </c>
      <c r="T440" s="78" t="s">
        <v>1615</v>
      </c>
      <c r="U440" s="78" t="s">
        <v>1615</v>
      </c>
      <c r="V440" s="78" t="s">
        <v>1615</v>
      </c>
      <c r="W440" s="78" t="s">
        <v>1615</v>
      </c>
      <c r="X440" s="78" t="s">
        <v>1615</v>
      </c>
      <c r="Y440" s="78" t="s">
        <v>1615</v>
      </c>
      <c r="Z440" s="78" t="s">
        <v>1615</v>
      </c>
      <c r="AA440" s="78" t="s">
        <v>1615</v>
      </c>
      <c r="AB440" s="78" t="s">
        <v>1615</v>
      </c>
      <c r="AC440" s="78" t="s">
        <v>1615</v>
      </c>
      <c r="AD440" s="78" t="s">
        <v>1615</v>
      </c>
      <c r="AE440" s="78" t="s">
        <v>1615</v>
      </c>
      <c r="AF440" s="78" t="s">
        <v>1615</v>
      </c>
      <c r="AG440" s="78">
        <v>34</v>
      </c>
      <c r="AH440" s="78" t="s">
        <v>1615</v>
      </c>
      <c r="AI440" s="78" t="s">
        <v>1615</v>
      </c>
      <c r="AJ440" s="78" t="s">
        <v>1615</v>
      </c>
      <c r="AK440" s="78" t="s">
        <v>1615</v>
      </c>
      <c r="AL440" s="78" t="s">
        <v>1615</v>
      </c>
      <c r="AM440" s="78" t="s">
        <v>1615</v>
      </c>
      <c r="AN440" s="78" t="s">
        <v>1615</v>
      </c>
      <c r="AO440" s="78" t="s">
        <v>1615</v>
      </c>
    </row>
    <row r="441" spans="1:41">
      <c r="A441" s="78" t="s">
        <v>2480</v>
      </c>
      <c r="B441" s="78" t="s">
        <v>1558</v>
      </c>
      <c r="C441" s="78" t="s">
        <v>366</v>
      </c>
      <c r="D441" s="78" t="s">
        <v>2468</v>
      </c>
      <c r="E441" s="78" t="s">
        <v>2481</v>
      </c>
      <c r="F441" s="78" t="s">
        <v>2443</v>
      </c>
      <c r="G441" s="78" t="s">
        <v>1614</v>
      </c>
      <c r="H441" s="78">
        <v>199</v>
      </c>
      <c r="I441" s="78">
        <v>48.4</v>
      </c>
      <c r="J441" s="78">
        <v>0</v>
      </c>
      <c r="K441" s="78">
        <v>0.2</v>
      </c>
      <c r="L441" s="78">
        <v>49.6</v>
      </c>
      <c r="M441" s="78">
        <v>41.8</v>
      </c>
      <c r="N441" s="78">
        <v>1.8</v>
      </c>
      <c r="O441" s="78">
        <v>0</v>
      </c>
      <c r="P441" s="78" t="s">
        <v>1615</v>
      </c>
      <c r="Q441" s="78" t="s">
        <v>1615</v>
      </c>
      <c r="R441" s="78" t="s">
        <v>1615</v>
      </c>
      <c r="S441" s="78" t="s">
        <v>1615</v>
      </c>
      <c r="T441" s="78" t="s">
        <v>1615</v>
      </c>
      <c r="U441" s="78" t="s">
        <v>1615</v>
      </c>
      <c r="V441" s="78" t="s">
        <v>1615</v>
      </c>
      <c r="W441" s="78" t="s">
        <v>1615</v>
      </c>
      <c r="X441" s="78" t="s">
        <v>1615</v>
      </c>
      <c r="Y441" s="78" t="s">
        <v>1615</v>
      </c>
      <c r="Z441" s="78" t="s">
        <v>1615</v>
      </c>
      <c r="AA441" s="78" t="s">
        <v>1615</v>
      </c>
      <c r="AB441" s="78" t="s">
        <v>1615</v>
      </c>
      <c r="AC441" s="78" t="s">
        <v>1615</v>
      </c>
      <c r="AD441" s="78" t="s">
        <v>1615</v>
      </c>
      <c r="AE441" s="78" t="s">
        <v>1615</v>
      </c>
      <c r="AF441" s="78" t="s">
        <v>1615</v>
      </c>
      <c r="AG441" s="78">
        <v>12</v>
      </c>
      <c r="AH441" s="78" t="s">
        <v>1615</v>
      </c>
      <c r="AI441" s="78" t="s">
        <v>1615</v>
      </c>
      <c r="AJ441" s="78" t="s">
        <v>1615</v>
      </c>
      <c r="AK441" s="78" t="s">
        <v>1615</v>
      </c>
      <c r="AL441" s="78" t="s">
        <v>1615</v>
      </c>
      <c r="AM441" s="78" t="s">
        <v>1615</v>
      </c>
      <c r="AN441" s="78" t="s">
        <v>1615</v>
      </c>
      <c r="AO441" s="78" t="s">
        <v>1615</v>
      </c>
    </row>
    <row r="442" spans="1:41">
      <c r="A442" s="78" t="s">
        <v>2482</v>
      </c>
      <c r="B442" s="78" t="s">
        <v>1558</v>
      </c>
      <c r="C442" s="78" t="s">
        <v>366</v>
      </c>
      <c r="D442" s="78" t="s">
        <v>2470</v>
      </c>
      <c r="E442" s="78" t="s">
        <v>2483</v>
      </c>
      <c r="F442" s="78" t="s">
        <v>2443</v>
      </c>
      <c r="G442" s="78" t="s">
        <v>1614</v>
      </c>
      <c r="H442" s="78">
        <v>56</v>
      </c>
      <c r="I442" s="78" t="s">
        <v>1615</v>
      </c>
      <c r="J442" s="78" t="s">
        <v>1615</v>
      </c>
      <c r="K442" s="78">
        <v>0.7</v>
      </c>
      <c r="L442" s="78" t="s">
        <v>1615</v>
      </c>
      <c r="M442" s="78">
        <v>8.8000000000000007</v>
      </c>
      <c r="N442" s="78">
        <v>7</v>
      </c>
      <c r="O442" s="78">
        <v>0.2</v>
      </c>
      <c r="P442" s="78" t="s">
        <v>1615</v>
      </c>
      <c r="Q442" s="78" t="s">
        <v>1615</v>
      </c>
      <c r="R442" s="78" t="s">
        <v>1615</v>
      </c>
      <c r="S442" s="78" t="s">
        <v>1615</v>
      </c>
      <c r="T442" s="78" t="s">
        <v>1615</v>
      </c>
      <c r="U442" s="78" t="s">
        <v>1615</v>
      </c>
      <c r="V442" s="78" t="s">
        <v>1615</v>
      </c>
      <c r="W442" s="78" t="s">
        <v>1615</v>
      </c>
      <c r="X442" s="78" t="s">
        <v>1615</v>
      </c>
      <c r="Y442" s="78" t="s">
        <v>1615</v>
      </c>
      <c r="Z442" s="78" t="s">
        <v>1615</v>
      </c>
      <c r="AA442" s="78" t="s">
        <v>1615</v>
      </c>
      <c r="AB442" s="78" t="s">
        <v>1615</v>
      </c>
      <c r="AC442" s="78" t="s">
        <v>1615</v>
      </c>
      <c r="AD442" s="78" t="s">
        <v>1615</v>
      </c>
      <c r="AE442" s="78" t="s">
        <v>1615</v>
      </c>
      <c r="AF442" s="78" t="s">
        <v>1615</v>
      </c>
      <c r="AG442" s="78">
        <v>19</v>
      </c>
      <c r="AH442" s="78" t="s">
        <v>1615</v>
      </c>
      <c r="AI442" s="78" t="s">
        <v>1615</v>
      </c>
      <c r="AJ442" s="78" t="s">
        <v>1615</v>
      </c>
      <c r="AK442" s="78" t="s">
        <v>1615</v>
      </c>
      <c r="AL442" s="78" t="s">
        <v>1615</v>
      </c>
      <c r="AM442" s="78" t="s">
        <v>1615</v>
      </c>
      <c r="AN442" s="78" t="s">
        <v>1615</v>
      </c>
      <c r="AO442" s="78" t="s">
        <v>1615</v>
      </c>
    </row>
    <row r="443" spans="1:41">
      <c r="A443" s="78" t="s">
        <v>2484</v>
      </c>
      <c r="B443" s="78" t="s">
        <v>1558</v>
      </c>
      <c r="C443" s="78" t="s">
        <v>366</v>
      </c>
      <c r="D443" s="78" t="s">
        <v>2472</v>
      </c>
      <c r="E443" s="78" t="s">
        <v>2485</v>
      </c>
      <c r="F443" s="78" t="s">
        <v>2443</v>
      </c>
      <c r="G443" s="78" t="s">
        <v>1614</v>
      </c>
      <c r="H443" s="78">
        <v>237</v>
      </c>
      <c r="I443" s="78">
        <v>38</v>
      </c>
      <c r="J443" s="78">
        <v>2.1</v>
      </c>
      <c r="K443" s="78">
        <v>0.2</v>
      </c>
      <c r="L443" s="78" t="s">
        <v>1615</v>
      </c>
      <c r="M443" s="78">
        <v>58.7</v>
      </c>
      <c r="N443" s="78">
        <v>0.9</v>
      </c>
      <c r="O443" s="78">
        <v>0</v>
      </c>
      <c r="P443" s="78" t="s">
        <v>1615</v>
      </c>
      <c r="Q443" s="78" t="s">
        <v>1615</v>
      </c>
      <c r="R443" s="78" t="s">
        <v>1615</v>
      </c>
      <c r="S443" s="78" t="s">
        <v>1615</v>
      </c>
      <c r="T443" s="78" t="s">
        <v>1615</v>
      </c>
      <c r="U443" s="78" t="s">
        <v>1615</v>
      </c>
      <c r="V443" s="78" t="s">
        <v>1615</v>
      </c>
      <c r="W443" s="78" t="s">
        <v>1615</v>
      </c>
      <c r="X443" s="78" t="s">
        <v>1615</v>
      </c>
      <c r="Y443" s="78" t="s">
        <v>1615</v>
      </c>
      <c r="Z443" s="78" t="s">
        <v>1615</v>
      </c>
      <c r="AA443" s="78" t="s">
        <v>1615</v>
      </c>
      <c r="AB443" s="78" t="s">
        <v>1615</v>
      </c>
      <c r="AC443" s="78" t="s">
        <v>1615</v>
      </c>
      <c r="AD443" s="78" t="s">
        <v>1615</v>
      </c>
      <c r="AE443" s="78" t="s">
        <v>1615</v>
      </c>
      <c r="AF443" s="78" t="s">
        <v>1615</v>
      </c>
      <c r="AG443" s="78">
        <v>0</v>
      </c>
      <c r="AH443" s="78" t="s">
        <v>1615</v>
      </c>
      <c r="AI443" s="78" t="s">
        <v>1615</v>
      </c>
      <c r="AJ443" s="78" t="s">
        <v>1615</v>
      </c>
      <c r="AK443" s="78" t="s">
        <v>1615</v>
      </c>
      <c r="AL443" s="78" t="s">
        <v>1615</v>
      </c>
      <c r="AM443" s="78" t="s">
        <v>1615</v>
      </c>
      <c r="AN443" s="78" t="s">
        <v>1615</v>
      </c>
      <c r="AO443" s="78" t="s">
        <v>1615</v>
      </c>
    </row>
    <row r="444" spans="1:41">
      <c r="A444" s="78" t="s">
        <v>2486</v>
      </c>
      <c r="B444" s="78" t="s">
        <v>1558</v>
      </c>
      <c r="C444" s="78" t="s">
        <v>366</v>
      </c>
      <c r="D444" s="78" t="s">
        <v>2474</v>
      </c>
      <c r="E444" s="78" t="s">
        <v>2487</v>
      </c>
      <c r="F444" s="78" t="s">
        <v>2443</v>
      </c>
      <c r="G444" s="78" t="s">
        <v>1614</v>
      </c>
      <c r="H444" s="78">
        <v>149</v>
      </c>
      <c r="I444" s="78">
        <v>68.8</v>
      </c>
      <c r="J444" s="78">
        <v>1.1000000000000001</v>
      </c>
      <c r="K444" s="78">
        <v>6.2</v>
      </c>
      <c r="L444" s="78">
        <v>13.2</v>
      </c>
      <c r="M444" s="78">
        <v>18.2</v>
      </c>
      <c r="N444" s="78">
        <v>0</v>
      </c>
      <c r="O444" s="78">
        <v>7.1</v>
      </c>
      <c r="P444" s="78" t="s">
        <v>1615</v>
      </c>
      <c r="Q444" s="78" t="s">
        <v>1615</v>
      </c>
      <c r="R444" s="78" t="s">
        <v>1615</v>
      </c>
      <c r="S444" s="78" t="s">
        <v>1615</v>
      </c>
      <c r="T444" s="78">
        <v>16</v>
      </c>
      <c r="U444" s="78" t="s">
        <v>1615</v>
      </c>
      <c r="V444" s="78" t="s">
        <v>1615</v>
      </c>
      <c r="W444" s="78" t="s">
        <v>1615</v>
      </c>
      <c r="X444" s="78" t="s">
        <v>1615</v>
      </c>
      <c r="Y444" s="78" t="s">
        <v>1615</v>
      </c>
      <c r="Z444" s="78">
        <v>0</v>
      </c>
      <c r="AA444" s="78">
        <v>0.2</v>
      </c>
      <c r="AB444" s="78">
        <v>0.5</v>
      </c>
      <c r="AC444" s="78" t="s">
        <v>1615</v>
      </c>
      <c r="AD444" s="78" t="s">
        <v>1615</v>
      </c>
      <c r="AE444" s="78" t="s">
        <v>1615</v>
      </c>
      <c r="AF444" s="78" t="s">
        <v>1615</v>
      </c>
      <c r="AG444" s="78">
        <v>44</v>
      </c>
      <c r="AH444" s="78" t="s">
        <v>1615</v>
      </c>
      <c r="AI444" s="78">
        <v>170</v>
      </c>
      <c r="AJ444" s="78">
        <v>131</v>
      </c>
      <c r="AK444" s="78" t="s">
        <v>1615</v>
      </c>
      <c r="AL444" s="78" t="s">
        <v>1615</v>
      </c>
      <c r="AM444" s="78" t="s">
        <v>1615</v>
      </c>
      <c r="AN444" s="78" t="s">
        <v>1615</v>
      </c>
      <c r="AO444" s="78" t="s">
        <v>1615</v>
      </c>
    </row>
    <row r="445" spans="1:41">
      <c r="A445" s="78" t="s">
        <v>2488</v>
      </c>
      <c r="B445" s="78" t="s">
        <v>1558</v>
      </c>
      <c r="C445" s="78" t="s">
        <v>366</v>
      </c>
      <c r="D445" s="78" t="s">
        <v>2476</v>
      </c>
      <c r="E445" s="78" t="s">
        <v>2489</v>
      </c>
      <c r="F445" s="78" t="s">
        <v>2443</v>
      </c>
      <c r="G445" s="78" t="s">
        <v>1614</v>
      </c>
      <c r="H445" s="78">
        <v>333</v>
      </c>
      <c r="I445" s="78">
        <v>26.4</v>
      </c>
      <c r="J445" s="78">
        <v>1.9</v>
      </c>
      <c r="K445" s="78">
        <v>4.9000000000000004</v>
      </c>
      <c r="L445" s="78">
        <v>54.8</v>
      </c>
      <c r="M445" s="78">
        <v>13</v>
      </c>
      <c r="N445" s="78">
        <v>1.9</v>
      </c>
      <c r="O445" s="78">
        <v>10.1</v>
      </c>
      <c r="P445" s="78">
        <v>1.55</v>
      </c>
      <c r="Q445" s="78">
        <v>2.37</v>
      </c>
      <c r="R445" s="78">
        <v>5.48</v>
      </c>
      <c r="S445" s="78" t="s">
        <v>1615</v>
      </c>
      <c r="T445" s="78">
        <v>21</v>
      </c>
      <c r="U445" s="78">
        <v>10</v>
      </c>
      <c r="V445" s="78">
        <v>0</v>
      </c>
      <c r="W445" s="78">
        <v>0</v>
      </c>
      <c r="X445" s="78">
        <v>1</v>
      </c>
      <c r="Y445" s="78">
        <v>20.8</v>
      </c>
      <c r="Z445" s="78">
        <v>0.2</v>
      </c>
      <c r="AA445" s="78">
        <v>0.3</v>
      </c>
      <c r="AB445" s="78">
        <v>1.9</v>
      </c>
      <c r="AC445" s="78">
        <v>0</v>
      </c>
      <c r="AD445" s="78">
        <v>0.2</v>
      </c>
      <c r="AE445" s="78">
        <v>0</v>
      </c>
      <c r="AF445" s="78">
        <v>59</v>
      </c>
      <c r="AG445" s="78">
        <v>150</v>
      </c>
      <c r="AH445" s="78">
        <v>88</v>
      </c>
      <c r="AI445" s="78">
        <v>14</v>
      </c>
      <c r="AJ445" s="78">
        <v>192</v>
      </c>
      <c r="AK445" s="78">
        <v>15</v>
      </c>
      <c r="AL445" s="78">
        <v>0.5</v>
      </c>
      <c r="AM445" s="78">
        <v>0.5</v>
      </c>
      <c r="AN445" s="78">
        <v>0.1</v>
      </c>
      <c r="AO445" s="78">
        <v>18.7</v>
      </c>
    </row>
    <row r="446" spans="1:41">
      <c r="A446" s="78" t="s">
        <v>2490</v>
      </c>
      <c r="B446" s="78" t="s">
        <v>1558</v>
      </c>
      <c r="C446" s="78" t="s">
        <v>366</v>
      </c>
      <c r="D446" s="78" t="s">
        <v>2478</v>
      </c>
      <c r="E446" s="78" t="s">
        <v>2491</v>
      </c>
      <c r="F446" s="78" t="s">
        <v>2443</v>
      </c>
      <c r="G446" s="78" t="s">
        <v>1614</v>
      </c>
      <c r="H446" s="78">
        <v>503</v>
      </c>
      <c r="I446" s="78" t="s">
        <v>1615</v>
      </c>
      <c r="J446" s="78" t="s">
        <v>1615</v>
      </c>
      <c r="K446" s="78">
        <v>4</v>
      </c>
      <c r="L446" s="78">
        <v>68</v>
      </c>
      <c r="M446" s="78">
        <v>60</v>
      </c>
      <c r="N446" s="78" t="s">
        <v>1615</v>
      </c>
      <c r="O446" s="78">
        <v>23.9</v>
      </c>
      <c r="P446" s="78">
        <v>18</v>
      </c>
      <c r="Q446" s="78">
        <v>4</v>
      </c>
      <c r="R446" s="78">
        <v>1.4</v>
      </c>
      <c r="S446" s="78">
        <v>0.3</v>
      </c>
      <c r="T446" s="78">
        <v>0</v>
      </c>
      <c r="U446" s="78" t="s">
        <v>1615</v>
      </c>
      <c r="V446" s="78" t="s">
        <v>1615</v>
      </c>
      <c r="W446" s="78" t="s">
        <v>1615</v>
      </c>
      <c r="X446" s="78" t="s">
        <v>1615</v>
      </c>
      <c r="Y446" s="78" t="s">
        <v>1615</v>
      </c>
      <c r="Z446" s="78" t="s">
        <v>1615</v>
      </c>
      <c r="AA446" s="78" t="s">
        <v>1615</v>
      </c>
      <c r="AB446" s="78" t="s">
        <v>1615</v>
      </c>
      <c r="AC446" s="78" t="s">
        <v>1615</v>
      </c>
      <c r="AD446" s="78" t="s">
        <v>1615</v>
      </c>
      <c r="AE446" s="78" t="s">
        <v>1615</v>
      </c>
      <c r="AF446" s="78" t="s">
        <v>1615</v>
      </c>
      <c r="AG446" s="78">
        <v>298</v>
      </c>
      <c r="AH446" s="78" t="s">
        <v>1615</v>
      </c>
      <c r="AI446" s="78" t="s">
        <v>1615</v>
      </c>
      <c r="AJ446" s="78" t="s">
        <v>1615</v>
      </c>
      <c r="AK446" s="78" t="s">
        <v>1615</v>
      </c>
      <c r="AL446" s="78" t="s">
        <v>1615</v>
      </c>
      <c r="AM446" s="78" t="s">
        <v>1615</v>
      </c>
      <c r="AN446" s="78" t="s">
        <v>1615</v>
      </c>
      <c r="AO446" s="78" t="s">
        <v>1615</v>
      </c>
    </row>
    <row r="447" spans="1:41">
      <c r="A447" s="78" t="s">
        <v>2492</v>
      </c>
      <c r="B447" s="78" t="s">
        <v>1558</v>
      </c>
      <c r="C447" s="78" t="s">
        <v>366</v>
      </c>
      <c r="D447" s="78" t="s">
        <v>2480</v>
      </c>
      <c r="E447" s="78" t="s">
        <v>2493</v>
      </c>
      <c r="F447" s="78" t="s">
        <v>2443</v>
      </c>
      <c r="G447" s="78" t="s">
        <v>1614</v>
      </c>
      <c r="H447" s="78">
        <v>402</v>
      </c>
      <c r="I447" s="78">
        <v>3</v>
      </c>
      <c r="J447" s="78">
        <v>0.8</v>
      </c>
      <c r="K447" s="78">
        <v>7.9</v>
      </c>
      <c r="L447" s="78">
        <v>82.5</v>
      </c>
      <c r="M447" s="78">
        <v>25.7</v>
      </c>
      <c r="N447" s="78">
        <v>1.7</v>
      </c>
      <c r="O447" s="78">
        <v>3.8</v>
      </c>
      <c r="P447" s="78">
        <v>0.56999999999999995</v>
      </c>
      <c r="Q447" s="78">
        <v>1.47</v>
      </c>
      <c r="R447" s="78">
        <v>1.45</v>
      </c>
      <c r="S447" s="78" t="s">
        <v>1615</v>
      </c>
      <c r="T447" s="78">
        <v>0</v>
      </c>
      <c r="U447" s="78">
        <v>0</v>
      </c>
      <c r="V447" s="78">
        <v>0</v>
      </c>
      <c r="W447" s="78">
        <v>0</v>
      </c>
      <c r="X447" s="78">
        <v>0.1</v>
      </c>
      <c r="Y447" s="78">
        <v>1.5</v>
      </c>
      <c r="Z447" s="78">
        <v>0.5</v>
      </c>
      <c r="AA447" s="78">
        <v>0.4</v>
      </c>
      <c r="AB447" s="78">
        <v>5.0999999999999996</v>
      </c>
      <c r="AC447" s="78">
        <v>0.1</v>
      </c>
      <c r="AD447" s="78">
        <v>0.4</v>
      </c>
      <c r="AE447" s="78">
        <v>0</v>
      </c>
      <c r="AF447" s="78">
        <v>40</v>
      </c>
      <c r="AG447" s="78">
        <v>35</v>
      </c>
      <c r="AH447" s="78">
        <v>145</v>
      </c>
      <c r="AI447" s="78">
        <v>44</v>
      </c>
      <c r="AJ447" s="78">
        <v>103</v>
      </c>
      <c r="AK447" s="78">
        <v>31</v>
      </c>
      <c r="AL447" s="78">
        <v>4.4000000000000004</v>
      </c>
      <c r="AM447" s="78">
        <v>0.8</v>
      </c>
      <c r="AN447" s="78">
        <v>0.3</v>
      </c>
      <c r="AO447" s="78">
        <v>43.8</v>
      </c>
    </row>
    <row r="448" spans="1:41">
      <c r="A448" s="78" t="s">
        <v>2494</v>
      </c>
      <c r="B448" s="78" t="s">
        <v>1558</v>
      </c>
      <c r="C448" s="78" t="s">
        <v>366</v>
      </c>
      <c r="D448" s="78" t="s">
        <v>2482</v>
      </c>
      <c r="E448" s="78" t="s">
        <v>2495</v>
      </c>
      <c r="F448" s="78" t="s">
        <v>2443</v>
      </c>
      <c r="G448" s="78" t="s">
        <v>1614</v>
      </c>
      <c r="H448" s="78">
        <v>268</v>
      </c>
      <c r="I448" s="78">
        <v>47.1</v>
      </c>
      <c r="J448" s="78">
        <v>0.9</v>
      </c>
      <c r="K448" s="78">
        <v>3.5</v>
      </c>
      <c r="L448" s="78">
        <v>46</v>
      </c>
      <c r="M448" s="78">
        <v>23.9</v>
      </c>
      <c r="N448" s="78">
        <v>1.2</v>
      </c>
      <c r="O448" s="78">
        <v>8.6999999999999993</v>
      </c>
      <c r="P448" s="78">
        <v>1.77</v>
      </c>
      <c r="Q448" s="78">
        <v>2.69</v>
      </c>
      <c r="R448" s="78">
        <v>3.65</v>
      </c>
      <c r="S448" s="78" t="s">
        <v>1615</v>
      </c>
      <c r="T448" s="78">
        <v>45</v>
      </c>
      <c r="U448" s="78">
        <v>51</v>
      </c>
      <c r="V448" s="78" t="s">
        <v>1615</v>
      </c>
      <c r="W448" s="78" t="s">
        <v>1615</v>
      </c>
      <c r="X448" s="78" t="s">
        <v>1615</v>
      </c>
      <c r="Y448" s="78" t="s">
        <v>1615</v>
      </c>
      <c r="Z448" s="78">
        <v>0.1</v>
      </c>
      <c r="AA448" s="78">
        <v>0.2</v>
      </c>
      <c r="AB448" s="78">
        <v>0.6</v>
      </c>
      <c r="AC448" s="78" t="s">
        <v>1615</v>
      </c>
      <c r="AD448" s="78">
        <v>0.8</v>
      </c>
      <c r="AE448" s="78" t="s">
        <v>1615</v>
      </c>
      <c r="AF448" s="78">
        <v>24</v>
      </c>
      <c r="AG448" s="78">
        <v>172</v>
      </c>
      <c r="AH448" s="78">
        <v>89</v>
      </c>
      <c r="AI448" s="78">
        <v>56</v>
      </c>
      <c r="AJ448" s="78">
        <v>105</v>
      </c>
      <c r="AK448" s="78">
        <v>15</v>
      </c>
      <c r="AL448" s="78">
        <v>0.6</v>
      </c>
      <c r="AM448" s="78" t="s">
        <v>1615</v>
      </c>
      <c r="AN448" s="78" t="s">
        <v>1615</v>
      </c>
      <c r="AO448" s="78">
        <v>3</v>
      </c>
    </row>
    <row r="449" spans="1:41">
      <c r="A449" s="78" t="s">
        <v>2496</v>
      </c>
      <c r="B449" s="78" t="s">
        <v>1558</v>
      </c>
      <c r="C449" s="78" t="s">
        <v>366</v>
      </c>
      <c r="D449" s="78" t="s">
        <v>2484</v>
      </c>
      <c r="E449" s="78" t="s">
        <v>2497</v>
      </c>
      <c r="F449" s="78" t="s">
        <v>2443</v>
      </c>
      <c r="G449" s="78" t="s">
        <v>1614</v>
      </c>
      <c r="H449" s="78">
        <v>274</v>
      </c>
      <c r="I449" s="78">
        <v>43.5</v>
      </c>
      <c r="J449" s="78">
        <v>0.8</v>
      </c>
      <c r="K449" s="78">
        <v>3.3</v>
      </c>
      <c r="L449" s="78">
        <v>32</v>
      </c>
      <c r="M449" s="78">
        <v>25.8</v>
      </c>
      <c r="N449" s="78">
        <v>2.2000000000000002</v>
      </c>
      <c r="O449" s="78">
        <v>11.2</v>
      </c>
      <c r="P449" s="78">
        <v>2.04</v>
      </c>
      <c r="Q449" s="78">
        <v>3.27</v>
      </c>
      <c r="R449" s="78">
        <v>5.32</v>
      </c>
      <c r="S449" s="78" t="s">
        <v>1615</v>
      </c>
      <c r="T449" s="78">
        <v>60</v>
      </c>
      <c r="U449" s="78">
        <v>6</v>
      </c>
      <c r="V449" s="78">
        <v>1.1000000000000001</v>
      </c>
      <c r="W449" s="78">
        <v>0</v>
      </c>
      <c r="X449" s="78" t="s">
        <v>1615</v>
      </c>
      <c r="Y449" s="78">
        <v>2.9</v>
      </c>
      <c r="Z449" s="78">
        <v>0</v>
      </c>
      <c r="AA449" s="78">
        <v>0</v>
      </c>
      <c r="AB449" s="78">
        <v>0.3</v>
      </c>
      <c r="AC449" s="78">
        <v>0</v>
      </c>
      <c r="AD449" s="78">
        <v>0.3</v>
      </c>
      <c r="AE449" s="78">
        <v>0.2</v>
      </c>
      <c r="AF449" s="78">
        <v>28</v>
      </c>
      <c r="AG449" s="78">
        <v>135</v>
      </c>
      <c r="AH449" s="78">
        <v>119</v>
      </c>
      <c r="AI449" s="78">
        <v>15</v>
      </c>
      <c r="AJ449" s="78">
        <v>33</v>
      </c>
      <c r="AK449" s="78">
        <v>9</v>
      </c>
      <c r="AL449" s="78">
        <v>0.4</v>
      </c>
      <c r="AM449" s="78">
        <v>0.5</v>
      </c>
      <c r="AN449" s="78">
        <v>0</v>
      </c>
      <c r="AO449" s="78">
        <v>6.1</v>
      </c>
    </row>
    <row r="450" spans="1:41">
      <c r="A450" s="78" t="s">
        <v>2498</v>
      </c>
      <c r="B450" s="78" t="s">
        <v>1558</v>
      </c>
      <c r="C450" s="78" t="s">
        <v>366</v>
      </c>
      <c r="D450" s="78" t="s">
        <v>2486</v>
      </c>
      <c r="E450" s="78" t="s">
        <v>2499</v>
      </c>
      <c r="F450" s="78" t="s">
        <v>2443</v>
      </c>
      <c r="G450" s="78" t="s">
        <v>1614</v>
      </c>
      <c r="H450" s="78">
        <v>338</v>
      </c>
      <c r="I450" s="78">
        <v>15.4</v>
      </c>
      <c r="J450" s="78">
        <v>0.1</v>
      </c>
      <c r="K450" s="78">
        <v>4.3</v>
      </c>
      <c r="L450" s="78">
        <v>80.2</v>
      </c>
      <c r="M450" s="78">
        <v>80.2</v>
      </c>
      <c r="N450" s="78" t="s">
        <v>1615</v>
      </c>
      <c r="O450" s="78" t="s">
        <v>1615</v>
      </c>
      <c r="P450" s="78" t="s">
        <v>1615</v>
      </c>
      <c r="Q450" s="78" t="s">
        <v>1615</v>
      </c>
      <c r="R450" s="78" t="s">
        <v>1615</v>
      </c>
      <c r="S450" s="78" t="s">
        <v>1615</v>
      </c>
      <c r="T450" s="78" t="s">
        <v>1615</v>
      </c>
      <c r="U450" s="78" t="s">
        <v>1615</v>
      </c>
      <c r="V450" s="78" t="s">
        <v>1615</v>
      </c>
      <c r="W450" s="78" t="s">
        <v>1615</v>
      </c>
      <c r="X450" s="78" t="s">
        <v>1615</v>
      </c>
      <c r="Y450" s="78" t="s">
        <v>1615</v>
      </c>
      <c r="Z450" s="78" t="s">
        <v>1615</v>
      </c>
      <c r="AA450" s="78" t="s">
        <v>1615</v>
      </c>
      <c r="AB450" s="78" t="s">
        <v>1615</v>
      </c>
      <c r="AC450" s="78" t="s">
        <v>1615</v>
      </c>
      <c r="AD450" s="78" t="s">
        <v>1615</v>
      </c>
      <c r="AE450" s="78" t="s">
        <v>1615</v>
      </c>
      <c r="AF450" s="78" t="s">
        <v>1615</v>
      </c>
      <c r="AG450" s="78">
        <v>32</v>
      </c>
      <c r="AH450" s="78" t="s">
        <v>1615</v>
      </c>
      <c r="AI450" s="78" t="s">
        <v>1615</v>
      </c>
      <c r="AJ450" s="78" t="s">
        <v>1615</v>
      </c>
      <c r="AK450" s="78" t="s">
        <v>1615</v>
      </c>
      <c r="AL450" s="78" t="s">
        <v>1615</v>
      </c>
      <c r="AM450" s="78" t="s">
        <v>1615</v>
      </c>
      <c r="AN450" s="78" t="s">
        <v>1615</v>
      </c>
      <c r="AO450" s="78" t="s">
        <v>1615</v>
      </c>
    </row>
    <row r="451" spans="1:41">
      <c r="A451" s="78" t="s">
        <v>2500</v>
      </c>
      <c r="B451" s="78" t="s">
        <v>1558</v>
      </c>
      <c r="C451" s="78" t="s">
        <v>366</v>
      </c>
      <c r="D451" s="78" t="s">
        <v>2488</v>
      </c>
      <c r="E451" s="78" t="s">
        <v>2501</v>
      </c>
      <c r="F451" s="78" t="s">
        <v>2443</v>
      </c>
      <c r="G451" s="78" t="s">
        <v>1614</v>
      </c>
      <c r="H451" s="78">
        <v>349</v>
      </c>
      <c r="I451" s="78">
        <v>13.1</v>
      </c>
      <c r="J451" s="78">
        <v>0.2</v>
      </c>
      <c r="K451" s="78">
        <v>2.1</v>
      </c>
      <c r="L451" s="78">
        <v>84.1</v>
      </c>
      <c r="M451" s="78">
        <v>84.1</v>
      </c>
      <c r="N451" s="78">
        <v>0</v>
      </c>
      <c r="O451" s="78">
        <v>0.5</v>
      </c>
      <c r="P451" s="78">
        <v>0</v>
      </c>
      <c r="Q451" s="78">
        <v>0</v>
      </c>
      <c r="R451" s="78">
        <v>0</v>
      </c>
      <c r="S451" s="78" t="s">
        <v>1615</v>
      </c>
      <c r="T451" s="78">
        <v>0</v>
      </c>
      <c r="U451" s="78">
        <v>0</v>
      </c>
      <c r="V451" s="78">
        <v>0</v>
      </c>
      <c r="W451" s="78">
        <v>0</v>
      </c>
      <c r="X451" s="78">
        <v>0</v>
      </c>
      <c r="Y451" s="78" t="s">
        <v>1615</v>
      </c>
      <c r="Z451" s="78">
        <v>0</v>
      </c>
      <c r="AA451" s="78">
        <v>0</v>
      </c>
      <c r="AB451" s="78">
        <v>0</v>
      </c>
      <c r="AC451" s="78">
        <v>0</v>
      </c>
      <c r="AD451" s="78">
        <v>0</v>
      </c>
      <c r="AE451" s="78">
        <v>0</v>
      </c>
      <c r="AF451" s="78">
        <v>0</v>
      </c>
      <c r="AG451" s="78">
        <v>40</v>
      </c>
      <c r="AH451" s="78">
        <v>9</v>
      </c>
      <c r="AI451" s="78">
        <v>24</v>
      </c>
      <c r="AJ451" s="78">
        <v>11</v>
      </c>
      <c r="AK451" s="78">
        <v>0</v>
      </c>
      <c r="AL451" s="78">
        <v>0.9</v>
      </c>
      <c r="AM451" s="78" t="s">
        <v>1615</v>
      </c>
      <c r="AN451" s="78">
        <v>0</v>
      </c>
      <c r="AO451" s="78" t="s">
        <v>1615</v>
      </c>
    </row>
    <row r="452" spans="1:41">
      <c r="A452" s="78" t="s">
        <v>2502</v>
      </c>
      <c r="B452" s="78" t="s">
        <v>1558</v>
      </c>
      <c r="C452" s="78" t="s">
        <v>366</v>
      </c>
      <c r="D452" s="78" t="s">
        <v>2490</v>
      </c>
      <c r="E452" s="78" t="s">
        <v>2503</v>
      </c>
      <c r="F452" s="78" t="s">
        <v>2443</v>
      </c>
      <c r="G452" s="78" t="s">
        <v>1614</v>
      </c>
      <c r="H452" s="78">
        <v>464</v>
      </c>
      <c r="I452" s="78">
        <v>6.1</v>
      </c>
      <c r="J452" s="78">
        <v>1.2</v>
      </c>
      <c r="K452" s="78">
        <v>4.4000000000000004</v>
      </c>
      <c r="L452" s="78">
        <v>69.900000000000006</v>
      </c>
      <c r="M452" s="78">
        <v>69.900000000000006</v>
      </c>
      <c r="N452" s="78">
        <v>0</v>
      </c>
      <c r="O452" s="78">
        <v>18.399999999999999</v>
      </c>
      <c r="P452" s="78">
        <v>0</v>
      </c>
      <c r="Q452" s="78">
        <v>0</v>
      </c>
      <c r="R452" s="78">
        <v>0</v>
      </c>
      <c r="S452" s="78" t="s">
        <v>1615</v>
      </c>
      <c r="T452" s="78">
        <v>0</v>
      </c>
      <c r="U452" s="78">
        <v>0</v>
      </c>
      <c r="V452" s="78">
        <v>0</v>
      </c>
      <c r="W452" s="78">
        <v>0</v>
      </c>
      <c r="X452" s="78">
        <v>0</v>
      </c>
      <c r="Y452" s="78" t="s">
        <v>1615</v>
      </c>
      <c r="Z452" s="78">
        <v>0</v>
      </c>
      <c r="AA452" s="78">
        <v>0</v>
      </c>
      <c r="AB452" s="78">
        <v>0</v>
      </c>
      <c r="AC452" s="78">
        <v>0</v>
      </c>
      <c r="AD452" s="78">
        <v>0</v>
      </c>
      <c r="AE452" s="78">
        <v>0</v>
      </c>
      <c r="AF452" s="78">
        <v>0</v>
      </c>
      <c r="AG452" s="78">
        <v>162</v>
      </c>
      <c r="AH452" s="78">
        <v>186</v>
      </c>
      <c r="AI452" s="78">
        <v>90</v>
      </c>
      <c r="AJ452" s="78">
        <v>139</v>
      </c>
      <c r="AK452" s="78">
        <v>0</v>
      </c>
      <c r="AL452" s="78">
        <v>1.8</v>
      </c>
      <c r="AM452" s="78" t="s">
        <v>1615</v>
      </c>
      <c r="AN452" s="78">
        <v>0</v>
      </c>
      <c r="AO452" s="78" t="s">
        <v>1615</v>
      </c>
    </row>
    <row r="453" spans="1:41">
      <c r="A453" s="78" t="s">
        <v>2504</v>
      </c>
      <c r="B453" s="78" t="s">
        <v>1558</v>
      </c>
      <c r="C453" s="78" t="s">
        <v>366</v>
      </c>
      <c r="D453" s="78" t="s">
        <v>2492</v>
      </c>
      <c r="E453" s="78" t="s">
        <v>2505</v>
      </c>
      <c r="F453" s="78" t="s">
        <v>2506</v>
      </c>
      <c r="G453" s="78" t="s">
        <v>1614</v>
      </c>
      <c r="H453" s="78">
        <v>85</v>
      </c>
      <c r="I453" s="78">
        <v>77.5</v>
      </c>
      <c r="J453" s="78">
        <v>0.5</v>
      </c>
      <c r="K453" s="78">
        <v>3</v>
      </c>
      <c r="L453" s="78">
        <v>14.5</v>
      </c>
      <c r="M453" s="78">
        <v>4.3</v>
      </c>
      <c r="N453" s="78" t="s">
        <v>1615</v>
      </c>
      <c r="O453" s="78">
        <v>1.4</v>
      </c>
      <c r="P453" s="78" t="s">
        <v>1615</v>
      </c>
      <c r="Q453" s="78" t="s">
        <v>1615</v>
      </c>
      <c r="R453" s="78" t="s">
        <v>1615</v>
      </c>
      <c r="S453" s="78" t="s">
        <v>1615</v>
      </c>
      <c r="T453" s="78">
        <v>4</v>
      </c>
      <c r="U453" s="78" t="s">
        <v>1615</v>
      </c>
      <c r="V453" s="78" t="s">
        <v>1615</v>
      </c>
      <c r="W453" s="78" t="s">
        <v>1615</v>
      </c>
      <c r="X453" s="78" t="s">
        <v>1615</v>
      </c>
      <c r="Y453" s="78" t="s">
        <v>1615</v>
      </c>
      <c r="Z453" s="78" t="s">
        <v>1615</v>
      </c>
      <c r="AA453" s="78" t="s">
        <v>1615</v>
      </c>
      <c r="AB453" s="78" t="s">
        <v>1615</v>
      </c>
      <c r="AC453" s="78" t="s">
        <v>1615</v>
      </c>
      <c r="AD453" s="78" t="s">
        <v>1615</v>
      </c>
      <c r="AE453" s="78" t="s">
        <v>1615</v>
      </c>
      <c r="AF453" s="78" t="s">
        <v>1615</v>
      </c>
      <c r="AG453" s="78">
        <v>44</v>
      </c>
      <c r="AH453" s="78" t="s">
        <v>1615</v>
      </c>
      <c r="AI453" s="78" t="s">
        <v>1615</v>
      </c>
      <c r="AJ453" s="78" t="s">
        <v>1615</v>
      </c>
      <c r="AK453" s="78" t="s">
        <v>1615</v>
      </c>
      <c r="AL453" s="78" t="s">
        <v>1615</v>
      </c>
      <c r="AM453" s="78" t="s">
        <v>1615</v>
      </c>
      <c r="AN453" s="78" t="s">
        <v>1615</v>
      </c>
      <c r="AO453" s="78" t="s">
        <v>1615</v>
      </c>
    </row>
    <row r="454" spans="1:41">
      <c r="A454" s="78" t="s">
        <v>2507</v>
      </c>
      <c r="B454" s="78" t="s">
        <v>1558</v>
      </c>
      <c r="C454" s="78" t="s">
        <v>366</v>
      </c>
      <c r="D454" s="78" t="s">
        <v>2494</v>
      </c>
      <c r="E454" s="78" t="s">
        <v>2508</v>
      </c>
      <c r="F454" s="78" t="s">
        <v>2506</v>
      </c>
      <c r="G454" s="78" t="s">
        <v>1614</v>
      </c>
      <c r="H454" s="78">
        <v>95</v>
      </c>
      <c r="I454" s="78" t="s">
        <v>1615</v>
      </c>
      <c r="J454" s="78" t="s">
        <v>1615</v>
      </c>
      <c r="K454" s="78">
        <v>2.8</v>
      </c>
      <c r="L454" s="78">
        <v>24</v>
      </c>
      <c r="M454" s="78">
        <v>13.3</v>
      </c>
      <c r="N454" s="78" t="s">
        <v>1615</v>
      </c>
      <c r="O454" s="78">
        <v>1.4</v>
      </c>
      <c r="P454" s="78" t="s">
        <v>1615</v>
      </c>
      <c r="Q454" s="78" t="s">
        <v>1615</v>
      </c>
      <c r="R454" s="78" t="s">
        <v>1615</v>
      </c>
      <c r="S454" s="78" t="s">
        <v>1615</v>
      </c>
      <c r="T454" s="78">
        <v>4</v>
      </c>
      <c r="U454" s="78" t="s">
        <v>1615</v>
      </c>
      <c r="V454" s="78" t="s">
        <v>1615</v>
      </c>
      <c r="W454" s="78" t="s">
        <v>1615</v>
      </c>
      <c r="X454" s="78" t="s">
        <v>1615</v>
      </c>
      <c r="Y454" s="78" t="s">
        <v>1615</v>
      </c>
      <c r="Z454" s="78" t="s">
        <v>1615</v>
      </c>
      <c r="AA454" s="78" t="s">
        <v>1615</v>
      </c>
      <c r="AB454" s="78" t="s">
        <v>1615</v>
      </c>
      <c r="AC454" s="78" t="s">
        <v>1615</v>
      </c>
      <c r="AD454" s="78" t="s">
        <v>1615</v>
      </c>
      <c r="AE454" s="78" t="s">
        <v>1615</v>
      </c>
      <c r="AF454" s="78" t="s">
        <v>1615</v>
      </c>
      <c r="AG454" s="78">
        <v>130</v>
      </c>
      <c r="AH454" s="78" t="s">
        <v>1615</v>
      </c>
      <c r="AI454" s="78" t="s">
        <v>1615</v>
      </c>
      <c r="AJ454" s="78" t="s">
        <v>1615</v>
      </c>
      <c r="AK454" s="78" t="s">
        <v>1615</v>
      </c>
      <c r="AL454" s="78" t="s">
        <v>1615</v>
      </c>
      <c r="AM454" s="78" t="s">
        <v>1615</v>
      </c>
      <c r="AN454" s="78" t="s">
        <v>1615</v>
      </c>
      <c r="AO454" s="78" t="s">
        <v>1615</v>
      </c>
    </row>
    <row r="455" spans="1:41">
      <c r="A455" s="78" t="s">
        <v>2509</v>
      </c>
      <c r="B455" s="78" t="s">
        <v>1558</v>
      </c>
      <c r="C455" s="78" t="s">
        <v>366</v>
      </c>
      <c r="D455" s="78" t="s">
        <v>2496</v>
      </c>
      <c r="E455" s="78" t="s">
        <v>2510</v>
      </c>
      <c r="F455" s="78" t="s">
        <v>2506</v>
      </c>
      <c r="G455" s="78" t="s">
        <v>1614</v>
      </c>
      <c r="H455" s="78">
        <v>81</v>
      </c>
      <c r="I455" s="78">
        <v>83.8</v>
      </c>
      <c r="J455" s="78">
        <v>0.6</v>
      </c>
      <c r="K455" s="78">
        <v>3.4</v>
      </c>
      <c r="L455" s="78">
        <v>8.4</v>
      </c>
      <c r="M455" s="78" t="s">
        <v>1615</v>
      </c>
      <c r="N455" s="78" t="s">
        <v>1615</v>
      </c>
      <c r="O455" s="78">
        <v>0.9</v>
      </c>
      <c r="P455" s="78">
        <v>0.6</v>
      </c>
      <c r="Q455" s="78">
        <v>0.12</v>
      </c>
      <c r="R455" s="78">
        <v>0.01</v>
      </c>
      <c r="S455" s="78" t="s">
        <v>1615</v>
      </c>
      <c r="T455" s="78">
        <v>2</v>
      </c>
      <c r="U455" s="78" t="s">
        <v>1615</v>
      </c>
      <c r="V455" s="78" t="s">
        <v>1615</v>
      </c>
      <c r="W455" s="78" t="s">
        <v>1615</v>
      </c>
      <c r="X455" s="78" t="s">
        <v>1615</v>
      </c>
      <c r="Y455" s="78" t="s">
        <v>1615</v>
      </c>
      <c r="Z455" s="78" t="s">
        <v>1615</v>
      </c>
      <c r="AA455" s="78" t="s">
        <v>1615</v>
      </c>
      <c r="AB455" s="78" t="s">
        <v>1615</v>
      </c>
      <c r="AC455" s="78" t="s">
        <v>1615</v>
      </c>
      <c r="AD455" s="78" t="s">
        <v>1615</v>
      </c>
      <c r="AE455" s="78" t="s">
        <v>1615</v>
      </c>
      <c r="AF455" s="78" t="s">
        <v>1615</v>
      </c>
      <c r="AG455" s="78">
        <v>71</v>
      </c>
      <c r="AH455" s="78" t="s">
        <v>1615</v>
      </c>
      <c r="AI455" s="78" t="s">
        <v>1615</v>
      </c>
      <c r="AJ455" s="78" t="s">
        <v>1615</v>
      </c>
      <c r="AK455" s="78" t="s">
        <v>1615</v>
      </c>
      <c r="AL455" s="78" t="s">
        <v>1615</v>
      </c>
      <c r="AM455" s="78" t="s">
        <v>1615</v>
      </c>
      <c r="AN455" s="78" t="s">
        <v>1615</v>
      </c>
      <c r="AO455" s="78" t="s">
        <v>1615</v>
      </c>
    </row>
    <row r="456" spans="1:41">
      <c r="A456" s="78" t="s">
        <v>2511</v>
      </c>
      <c r="B456" s="78" t="s">
        <v>1558</v>
      </c>
      <c r="C456" s="78" t="s">
        <v>366</v>
      </c>
      <c r="D456" s="78" t="s">
        <v>2498</v>
      </c>
      <c r="E456" s="78" t="s">
        <v>2512</v>
      </c>
      <c r="F456" s="78" t="s">
        <v>2506</v>
      </c>
      <c r="G456" s="78" t="s">
        <v>1614</v>
      </c>
      <c r="H456" s="78">
        <v>390</v>
      </c>
      <c r="I456" s="78" t="s">
        <v>1615</v>
      </c>
      <c r="J456" s="78">
        <v>2</v>
      </c>
      <c r="K456" s="78">
        <v>0</v>
      </c>
      <c r="L456" s="78">
        <v>97.4</v>
      </c>
      <c r="M456" s="78">
        <v>94.1</v>
      </c>
      <c r="N456" s="78">
        <v>0</v>
      </c>
      <c r="O456" s="78">
        <v>3.8</v>
      </c>
      <c r="P456" s="78" t="s">
        <v>1615</v>
      </c>
      <c r="Q456" s="78" t="s">
        <v>1615</v>
      </c>
      <c r="R456" s="78" t="s">
        <v>1615</v>
      </c>
      <c r="S456" s="78" t="s">
        <v>1615</v>
      </c>
      <c r="T456" s="78">
        <v>0</v>
      </c>
      <c r="U456" s="78" t="s">
        <v>1615</v>
      </c>
      <c r="V456" s="78" t="s">
        <v>1615</v>
      </c>
      <c r="W456" s="78" t="s">
        <v>1615</v>
      </c>
      <c r="X456" s="78" t="s">
        <v>1615</v>
      </c>
      <c r="Y456" s="78" t="s">
        <v>1615</v>
      </c>
      <c r="Z456" s="78" t="s">
        <v>1615</v>
      </c>
      <c r="AA456" s="78" t="s">
        <v>1615</v>
      </c>
      <c r="AB456" s="78" t="s">
        <v>1615</v>
      </c>
      <c r="AC456" s="78" t="s">
        <v>1615</v>
      </c>
      <c r="AD456" s="78" t="s">
        <v>1615</v>
      </c>
      <c r="AE456" s="78" t="s">
        <v>1615</v>
      </c>
      <c r="AF456" s="78" t="s">
        <v>1615</v>
      </c>
      <c r="AG456" s="78">
        <v>958</v>
      </c>
      <c r="AH456" s="78" t="s">
        <v>1615</v>
      </c>
      <c r="AI456" s="78" t="s">
        <v>1615</v>
      </c>
      <c r="AJ456" s="78" t="s">
        <v>1615</v>
      </c>
      <c r="AK456" s="78" t="s">
        <v>1615</v>
      </c>
      <c r="AL456" s="78" t="s">
        <v>1615</v>
      </c>
      <c r="AM456" s="78" t="s">
        <v>1615</v>
      </c>
      <c r="AN456" s="78" t="s">
        <v>1615</v>
      </c>
      <c r="AO456" s="78" t="s">
        <v>1615</v>
      </c>
    </row>
    <row r="457" spans="1:41">
      <c r="A457" s="78" t="s">
        <v>2513</v>
      </c>
      <c r="B457" s="78" t="s">
        <v>1558</v>
      </c>
      <c r="C457" s="78" t="s">
        <v>366</v>
      </c>
      <c r="D457" s="78" t="s">
        <v>2500</v>
      </c>
      <c r="E457" s="78" t="s">
        <v>2514</v>
      </c>
      <c r="F457" s="78" t="s">
        <v>2506</v>
      </c>
      <c r="G457" s="78" t="s">
        <v>1614</v>
      </c>
      <c r="H457" s="78">
        <v>144</v>
      </c>
      <c r="I457" s="78">
        <v>64.8</v>
      </c>
      <c r="J457" s="78">
        <v>0.8</v>
      </c>
      <c r="K457" s="78">
        <v>3.6</v>
      </c>
      <c r="L457" s="78">
        <v>24.4</v>
      </c>
      <c r="M457" s="78">
        <v>22.2</v>
      </c>
      <c r="N457" s="78" t="s">
        <v>1615</v>
      </c>
      <c r="O457" s="78">
        <v>3.6</v>
      </c>
      <c r="P457" s="78">
        <v>1.5</v>
      </c>
      <c r="Q457" s="78">
        <v>0.97</v>
      </c>
      <c r="R457" s="78">
        <v>7.0000000000000007E-2</v>
      </c>
      <c r="S457" s="78" t="s">
        <v>1615</v>
      </c>
      <c r="T457" s="78" t="s">
        <v>1615</v>
      </c>
      <c r="U457" s="78" t="s">
        <v>1615</v>
      </c>
      <c r="V457" s="78" t="s">
        <v>1615</v>
      </c>
      <c r="W457" s="78" t="s">
        <v>1615</v>
      </c>
      <c r="X457" s="78" t="s">
        <v>1615</v>
      </c>
      <c r="Y457" s="78" t="s">
        <v>1615</v>
      </c>
      <c r="Z457" s="78" t="s">
        <v>1615</v>
      </c>
      <c r="AA457" s="78" t="s">
        <v>1615</v>
      </c>
      <c r="AB457" s="78" t="s">
        <v>1615</v>
      </c>
      <c r="AC457" s="78" t="s">
        <v>1615</v>
      </c>
      <c r="AD457" s="78" t="s">
        <v>1615</v>
      </c>
      <c r="AE457" s="78" t="s">
        <v>1615</v>
      </c>
      <c r="AF457" s="78" t="s">
        <v>1615</v>
      </c>
      <c r="AG457" s="78">
        <v>95</v>
      </c>
      <c r="AH457" s="78" t="s">
        <v>1615</v>
      </c>
      <c r="AI457" s="78" t="s">
        <v>1615</v>
      </c>
      <c r="AJ457" s="78" t="s">
        <v>1615</v>
      </c>
      <c r="AK457" s="78" t="s">
        <v>1615</v>
      </c>
      <c r="AL457" s="78" t="s">
        <v>1615</v>
      </c>
      <c r="AM457" s="78" t="s">
        <v>1615</v>
      </c>
      <c r="AN457" s="78" t="s">
        <v>1615</v>
      </c>
      <c r="AO457" s="78" t="s">
        <v>1615</v>
      </c>
    </row>
    <row r="458" spans="1:41">
      <c r="A458" s="78" t="s">
        <v>2515</v>
      </c>
      <c r="B458" s="78" t="s">
        <v>1558</v>
      </c>
      <c r="C458" s="78" t="s">
        <v>366</v>
      </c>
      <c r="D458" s="78" t="s">
        <v>2502</v>
      </c>
      <c r="E458" s="78" t="s">
        <v>2516</v>
      </c>
      <c r="F458" s="78" t="s">
        <v>2506</v>
      </c>
      <c r="G458" s="78" t="s">
        <v>1614</v>
      </c>
      <c r="H458" s="78">
        <v>142</v>
      </c>
      <c r="I458" s="78" t="s">
        <v>1615</v>
      </c>
      <c r="J458" s="78" t="s">
        <v>1615</v>
      </c>
      <c r="K458" s="78" t="s">
        <v>1615</v>
      </c>
      <c r="L458" s="78">
        <v>28.6</v>
      </c>
      <c r="M458" s="78">
        <v>22.2</v>
      </c>
      <c r="N458" s="78" t="s">
        <v>1615</v>
      </c>
      <c r="O458" s="78">
        <v>2.2000000000000002</v>
      </c>
      <c r="P458" s="78" t="s">
        <v>1615</v>
      </c>
      <c r="Q458" s="78" t="s">
        <v>1615</v>
      </c>
      <c r="R458" s="78" t="s">
        <v>1615</v>
      </c>
      <c r="S458" s="78" t="s">
        <v>1615</v>
      </c>
      <c r="T458" s="78" t="s">
        <v>1615</v>
      </c>
      <c r="U458" s="78" t="s">
        <v>1615</v>
      </c>
      <c r="V458" s="78" t="s">
        <v>1615</v>
      </c>
      <c r="W458" s="78" t="s">
        <v>1615</v>
      </c>
      <c r="X458" s="78" t="s">
        <v>1615</v>
      </c>
      <c r="Y458" s="78" t="s">
        <v>1615</v>
      </c>
      <c r="Z458" s="78" t="s">
        <v>1615</v>
      </c>
      <c r="AA458" s="78" t="s">
        <v>1615</v>
      </c>
      <c r="AB458" s="78" t="s">
        <v>1615</v>
      </c>
      <c r="AC458" s="78" t="s">
        <v>1615</v>
      </c>
      <c r="AD458" s="78" t="s">
        <v>1615</v>
      </c>
      <c r="AE458" s="78" t="s">
        <v>1615</v>
      </c>
      <c r="AF458" s="78" t="s">
        <v>1615</v>
      </c>
      <c r="AG458" s="78">
        <v>77</v>
      </c>
      <c r="AH458" s="78" t="s">
        <v>1615</v>
      </c>
      <c r="AI458" s="78" t="s">
        <v>1615</v>
      </c>
      <c r="AJ458" s="78" t="s">
        <v>1615</v>
      </c>
      <c r="AK458" s="78" t="s">
        <v>1615</v>
      </c>
      <c r="AL458" s="78" t="s">
        <v>1615</v>
      </c>
      <c r="AM458" s="78" t="s">
        <v>1615</v>
      </c>
      <c r="AN458" s="78" t="s">
        <v>1615</v>
      </c>
      <c r="AO458" s="78" t="s">
        <v>1615</v>
      </c>
    </row>
    <row r="459" spans="1:41">
      <c r="A459" s="78" t="s">
        <v>2517</v>
      </c>
      <c r="B459" s="78" t="s">
        <v>1558</v>
      </c>
      <c r="C459" s="78" t="s">
        <v>366</v>
      </c>
      <c r="D459" s="78" t="s">
        <v>2504</v>
      </c>
      <c r="E459" s="78" t="s">
        <v>2518</v>
      </c>
      <c r="F459" s="78" t="s">
        <v>2519</v>
      </c>
      <c r="G459" s="78" t="s">
        <v>1614</v>
      </c>
      <c r="H459" s="78">
        <v>66</v>
      </c>
      <c r="I459" s="78" t="s">
        <v>1615</v>
      </c>
      <c r="J459" s="78" t="s">
        <v>1615</v>
      </c>
      <c r="K459" s="78">
        <v>1.2</v>
      </c>
      <c r="L459" s="78">
        <v>14</v>
      </c>
      <c r="M459" s="78">
        <v>12</v>
      </c>
      <c r="N459" s="78">
        <v>0.8</v>
      </c>
      <c r="O459" s="78">
        <v>0.6</v>
      </c>
      <c r="P459" s="78">
        <v>0</v>
      </c>
      <c r="Q459" s="78">
        <v>0.2</v>
      </c>
      <c r="R459" s="78">
        <v>0.4</v>
      </c>
      <c r="S459" s="78">
        <v>0</v>
      </c>
      <c r="T459" s="78">
        <v>0</v>
      </c>
      <c r="U459" s="78">
        <v>0</v>
      </c>
      <c r="V459" s="78">
        <v>0</v>
      </c>
      <c r="W459" s="78">
        <v>0.8</v>
      </c>
      <c r="X459" s="78">
        <v>2</v>
      </c>
      <c r="Y459" s="78" t="s">
        <v>1615</v>
      </c>
      <c r="Z459" s="78">
        <v>0.2</v>
      </c>
      <c r="AA459" s="78">
        <v>0.3</v>
      </c>
      <c r="AB459" s="78">
        <v>3.2</v>
      </c>
      <c r="AC459" s="78">
        <v>0.3</v>
      </c>
      <c r="AD459" s="78" t="s">
        <v>1615</v>
      </c>
      <c r="AE459" s="78">
        <v>0</v>
      </c>
      <c r="AF459" s="78">
        <v>48</v>
      </c>
      <c r="AG459" s="78">
        <v>34</v>
      </c>
      <c r="AH459" s="78" t="s">
        <v>1615</v>
      </c>
      <c r="AI459" s="78" t="s">
        <v>1615</v>
      </c>
      <c r="AJ459" s="78" t="s">
        <v>1615</v>
      </c>
      <c r="AK459" s="78" t="s">
        <v>1615</v>
      </c>
      <c r="AL459" s="78" t="s">
        <v>1615</v>
      </c>
      <c r="AM459" s="78">
        <v>1.5</v>
      </c>
      <c r="AN459" s="78" t="s">
        <v>1615</v>
      </c>
      <c r="AO459" s="78" t="s">
        <v>1615</v>
      </c>
    </row>
    <row r="460" spans="1:41">
      <c r="A460" s="78" t="s">
        <v>2520</v>
      </c>
      <c r="B460" s="78" t="s">
        <v>1558</v>
      </c>
      <c r="C460" s="78" t="s">
        <v>366</v>
      </c>
      <c r="D460" s="78" t="s">
        <v>2507</v>
      </c>
      <c r="E460" s="78" t="s">
        <v>2521</v>
      </c>
      <c r="F460" s="78" t="s">
        <v>2519</v>
      </c>
      <c r="G460" s="78" t="s">
        <v>1614</v>
      </c>
      <c r="H460" s="78">
        <v>22</v>
      </c>
      <c r="I460" s="78">
        <v>92.3</v>
      </c>
      <c r="J460" s="78">
        <v>0.2</v>
      </c>
      <c r="K460" s="78">
        <v>0.4</v>
      </c>
      <c r="L460" s="78">
        <v>6.6</v>
      </c>
      <c r="M460" s="78">
        <v>2</v>
      </c>
      <c r="N460" s="78">
        <v>0.3</v>
      </c>
      <c r="O460" s="78">
        <v>0.2</v>
      </c>
      <c r="P460" s="78">
        <v>0.04</v>
      </c>
      <c r="Q460" s="78">
        <v>0.01</v>
      </c>
      <c r="R460" s="78">
        <v>0.02</v>
      </c>
      <c r="S460" s="78" t="s">
        <v>1615</v>
      </c>
      <c r="T460" s="78">
        <v>0</v>
      </c>
      <c r="U460" s="78">
        <v>0</v>
      </c>
      <c r="V460" s="78">
        <v>38.700000000000003</v>
      </c>
      <c r="W460" s="78">
        <v>0</v>
      </c>
      <c r="X460" s="78">
        <v>0.2</v>
      </c>
      <c r="Y460" s="78">
        <v>0</v>
      </c>
      <c r="Z460" s="78">
        <v>0</v>
      </c>
      <c r="AA460" s="78">
        <v>0</v>
      </c>
      <c r="AB460" s="78">
        <v>0.1</v>
      </c>
      <c r="AC460" s="78">
        <v>0</v>
      </c>
      <c r="AD460" s="78">
        <v>0.1</v>
      </c>
      <c r="AE460" s="78">
        <v>0</v>
      </c>
      <c r="AF460" s="78">
        <v>20</v>
      </c>
      <c r="AG460" s="78">
        <v>1</v>
      </c>
      <c r="AH460" s="78">
        <v>103</v>
      </c>
      <c r="AI460" s="78">
        <v>6</v>
      </c>
      <c r="AJ460" s="78">
        <v>8</v>
      </c>
      <c r="AK460" s="78">
        <v>6</v>
      </c>
      <c r="AL460" s="78">
        <v>0.1</v>
      </c>
      <c r="AM460" s="78">
        <v>0.1</v>
      </c>
      <c r="AN460" s="78">
        <v>0</v>
      </c>
      <c r="AO460" s="78">
        <v>0.1</v>
      </c>
    </row>
    <row r="461" spans="1:41">
      <c r="A461" s="78" t="s">
        <v>2522</v>
      </c>
      <c r="B461" s="78" t="s">
        <v>1558</v>
      </c>
      <c r="C461" s="78" t="s">
        <v>366</v>
      </c>
      <c r="D461" s="78" t="s">
        <v>2509</v>
      </c>
      <c r="E461" s="78" t="s">
        <v>2523</v>
      </c>
      <c r="F461" s="78" t="s">
        <v>2519</v>
      </c>
      <c r="G461" s="78" t="s">
        <v>1614</v>
      </c>
      <c r="H461" s="78">
        <v>43</v>
      </c>
      <c r="I461" s="78">
        <v>88.9</v>
      </c>
      <c r="J461" s="78">
        <v>0.3</v>
      </c>
      <c r="K461" s="78">
        <v>0.5</v>
      </c>
      <c r="L461" s="78">
        <v>9.9</v>
      </c>
      <c r="M461" s="78">
        <v>9.9</v>
      </c>
      <c r="N461" s="78">
        <v>0.2</v>
      </c>
      <c r="O461" s="78">
        <v>0.2</v>
      </c>
      <c r="P461" s="78">
        <v>0.02</v>
      </c>
      <c r="Q461" s="78">
        <v>0.04</v>
      </c>
      <c r="R461" s="78">
        <v>0.04</v>
      </c>
      <c r="S461" s="78" t="s">
        <v>1615</v>
      </c>
      <c r="T461" s="78">
        <v>0</v>
      </c>
      <c r="U461" s="78">
        <v>8</v>
      </c>
      <c r="V461" s="78">
        <v>31</v>
      </c>
      <c r="W461" s="78">
        <v>0</v>
      </c>
      <c r="X461" s="78">
        <v>0.1</v>
      </c>
      <c r="Y461" s="78">
        <v>0</v>
      </c>
      <c r="Z461" s="78">
        <v>0.1</v>
      </c>
      <c r="AA461" s="78">
        <v>0</v>
      </c>
      <c r="AB461" s="78">
        <v>0.1</v>
      </c>
      <c r="AC461" s="78">
        <v>0</v>
      </c>
      <c r="AD461" s="78">
        <v>0.1</v>
      </c>
      <c r="AE461" s="78">
        <v>0</v>
      </c>
      <c r="AF461" s="78">
        <v>5</v>
      </c>
      <c r="AG461" s="78">
        <v>1</v>
      </c>
      <c r="AH461" s="78">
        <v>178</v>
      </c>
      <c r="AI461" s="78">
        <v>18</v>
      </c>
      <c r="AJ461" s="78">
        <v>14</v>
      </c>
      <c r="AK461" s="78">
        <v>8</v>
      </c>
      <c r="AL461" s="78">
        <v>0.2</v>
      </c>
      <c r="AM461" s="78">
        <v>0</v>
      </c>
      <c r="AN461" s="78">
        <v>0</v>
      </c>
      <c r="AO461" s="78">
        <v>0.1</v>
      </c>
    </row>
    <row r="462" spans="1:41">
      <c r="A462" s="78" t="s">
        <v>2524</v>
      </c>
      <c r="B462" s="78" t="s">
        <v>1558</v>
      </c>
      <c r="C462" s="78" t="s">
        <v>366</v>
      </c>
      <c r="D462" s="78" t="s">
        <v>2511</v>
      </c>
      <c r="E462" s="78" t="s">
        <v>2525</v>
      </c>
      <c r="F462" s="78" t="s">
        <v>2519</v>
      </c>
      <c r="G462" s="78" t="s">
        <v>1614</v>
      </c>
      <c r="H462" s="78">
        <v>45</v>
      </c>
      <c r="I462" s="78">
        <v>92.7</v>
      </c>
      <c r="J462" s="78">
        <v>0</v>
      </c>
      <c r="K462" s="78">
        <v>0</v>
      </c>
      <c r="L462" s="78">
        <v>11.2</v>
      </c>
      <c r="M462" s="78">
        <v>4.8</v>
      </c>
      <c r="N462" s="78" t="s">
        <v>1615</v>
      </c>
      <c r="O462" s="78">
        <v>0</v>
      </c>
      <c r="P462" s="78" t="s">
        <v>1615</v>
      </c>
      <c r="Q462" s="78" t="s">
        <v>1615</v>
      </c>
      <c r="R462" s="78" t="s">
        <v>1615</v>
      </c>
      <c r="S462" s="78" t="s">
        <v>1615</v>
      </c>
      <c r="T462" s="78" t="s">
        <v>1615</v>
      </c>
      <c r="U462" s="78" t="s">
        <v>1615</v>
      </c>
      <c r="V462" s="78" t="s">
        <v>1615</v>
      </c>
      <c r="W462" s="78" t="s">
        <v>1615</v>
      </c>
      <c r="X462" s="78" t="s">
        <v>1615</v>
      </c>
      <c r="Y462" s="78" t="s">
        <v>1615</v>
      </c>
      <c r="Z462" s="78" t="s">
        <v>1615</v>
      </c>
      <c r="AA462" s="78" t="s">
        <v>1615</v>
      </c>
      <c r="AB462" s="78" t="s">
        <v>1615</v>
      </c>
      <c r="AC462" s="78" t="s">
        <v>1615</v>
      </c>
      <c r="AD462" s="78" t="s">
        <v>1615</v>
      </c>
      <c r="AE462" s="78" t="s">
        <v>1615</v>
      </c>
      <c r="AF462" s="78" t="s">
        <v>1615</v>
      </c>
      <c r="AG462" s="78">
        <v>14</v>
      </c>
      <c r="AH462" s="78" t="s">
        <v>1615</v>
      </c>
      <c r="AI462" s="78" t="s">
        <v>1615</v>
      </c>
      <c r="AJ462" s="78" t="s">
        <v>1615</v>
      </c>
      <c r="AK462" s="78" t="s">
        <v>1615</v>
      </c>
      <c r="AL462" s="78" t="s">
        <v>1615</v>
      </c>
      <c r="AM462" s="78" t="s">
        <v>1615</v>
      </c>
      <c r="AN462" s="78" t="s">
        <v>1615</v>
      </c>
      <c r="AO462" s="78" t="s">
        <v>1615</v>
      </c>
    </row>
    <row r="463" spans="1:41">
      <c r="A463" s="78" t="s">
        <v>2526</v>
      </c>
      <c r="B463" s="78" t="s">
        <v>1558</v>
      </c>
      <c r="C463" s="78" t="s">
        <v>366</v>
      </c>
      <c r="D463" s="78" t="s">
        <v>2513</v>
      </c>
      <c r="E463" s="78" t="s">
        <v>2527</v>
      </c>
      <c r="F463" s="78" t="s">
        <v>2519</v>
      </c>
      <c r="G463" s="78" t="s">
        <v>1614</v>
      </c>
      <c r="H463" s="78">
        <v>45</v>
      </c>
      <c r="I463" s="78">
        <v>89.3</v>
      </c>
      <c r="J463" s="78">
        <v>0.4</v>
      </c>
      <c r="K463" s="78">
        <v>0.7</v>
      </c>
      <c r="L463" s="78">
        <v>10.199999999999999</v>
      </c>
      <c r="M463" s="78">
        <v>8.4</v>
      </c>
      <c r="N463" s="78">
        <v>0.2</v>
      </c>
      <c r="O463" s="78">
        <v>0.2</v>
      </c>
      <c r="P463" s="78">
        <v>0.02</v>
      </c>
      <c r="Q463" s="78">
        <v>0.04</v>
      </c>
      <c r="R463" s="78">
        <v>0.04</v>
      </c>
      <c r="S463" s="78" t="s">
        <v>1615</v>
      </c>
      <c r="T463" s="78">
        <v>0</v>
      </c>
      <c r="U463" s="78">
        <v>10</v>
      </c>
      <c r="V463" s="78">
        <v>50</v>
      </c>
      <c r="W463" s="78">
        <v>0</v>
      </c>
      <c r="X463" s="78">
        <v>0.2</v>
      </c>
      <c r="Y463" s="78">
        <v>0.1</v>
      </c>
      <c r="Z463" s="78">
        <v>0.1</v>
      </c>
      <c r="AA463" s="78">
        <v>0</v>
      </c>
      <c r="AB463" s="78">
        <v>0.4</v>
      </c>
      <c r="AC463" s="78">
        <v>0</v>
      </c>
      <c r="AD463" s="78">
        <v>0.2</v>
      </c>
      <c r="AE463" s="78">
        <v>0</v>
      </c>
      <c r="AF463" s="78">
        <v>30</v>
      </c>
      <c r="AG463" s="78">
        <v>1</v>
      </c>
      <c r="AH463" s="78">
        <v>200</v>
      </c>
      <c r="AI463" s="78">
        <v>11</v>
      </c>
      <c r="AJ463" s="78">
        <v>17</v>
      </c>
      <c r="AK463" s="78">
        <v>11</v>
      </c>
      <c r="AL463" s="78">
        <v>0.2</v>
      </c>
      <c r="AM463" s="78">
        <v>0.1</v>
      </c>
      <c r="AN463" s="78">
        <v>0</v>
      </c>
      <c r="AO463" s="78">
        <v>0.1</v>
      </c>
    </row>
    <row r="464" spans="1:41">
      <c r="A464" s="78" t="s">
        <v>2528</v>
      </c>
      <c r="B464" s="78" t="s">
        <v>1558</v>
      </c>
      <c r="C464" s="78" t="s">
        <v>366</v>
      </c>
      <c r="D464" s="78" t="s">
        <v>2515</v>
      </c>
      <c r="E464" s="78" t="s">
        <v>2529</v>
      </c>
      <c r="F464" s="78" t="s">
        <v>2519</v>
      </c>
      <c r="G464" s="78" t="s">
        <v>1614</v>
      </c>
      <c r="H464" s="78">
        <v>39</v>
      </c>
      <c r="I464" s="78">
        <v>90</v>
      </c>
      <c r="J464" s="78">
        <v>0.2</v>
      </c>
      <c r="K464" s="78">
        <v>0.5</v>
      </c>
      <c r="L464" s="78">
        <v>9.1</v>
      </c>
      <c r="M464" s="78">
        <v>9.1</v>
      </c>
      <c r="N464" s="78">
        <v>0.1</v>
      </c>
      <c r="O464" s="78">
        <v>0.1</v>
      </c>
      <c r="P464" s="78">
        <v>0.01</v>
      </c>
      <c r="Q464" s="78">
        <v>0.01</v>
      </c>
      <c r="R464" s="78">
        <v>0.02</v>
      </c>
      <c r="S464" s="78" t="s">
        <v>1615</v>
      </c>
      <c r="T464" s="78">
        <v>0</v>
      </c>
      <c r="U464" s="78">
        <v>1</v>
      </c>
      <c r="V464" s="78">
        <v>38</v>
      </c>
      <c r="W464" s="78">
        <v>0</v>
      </c>
      <c r="X464" s="78">
        <v>0.2</v>
      </c>
      <c r="Y464" s="78">
        <v>0</v>
      </c>
      <c r="Z464" s="78">
        <v>0</v>
      </c>
      <c r="AA464" s="78">
        <v>0</v>
      </c>
      <c r="AB464" s="78">
        <v>0.2</v>
      </c>
      <c r="AC464" s="78">
        <v>0</v>
      </c>
      <c r="AD464" s="78">
        <v>0.2</v>
      </c>
      <c r="AE464" s="78">
        <v>0</v>
      </c>
      <c r="AF464" s="78">
        <v>10</v>
      </c>
      <c r="AG464" s="78">
        <v>1</v>
      </c>
      <c r="AH464" s="78">
        <v>162</v>
      </c>
      <c r="AI464" s="78">
        <v>10</v>
      </c>
      <c r="AJ464" s="78">
        <v>8</v>
      </c>
      <c r="AK464" s="78">
        <v>12</v>
      </c>
      <c r="AL464" s="78">
        <v>0.2</v>
      </c>
      <c r="AM464" s="78">
        <v>0.1</v>
      </c>
      <c r="AN464" s="78">
        <v>0</v>
      </c>
      <c r="AO464" s="78">
        <v>0.1</v>
      </c>
    </row>
    <row r="465" spans="1:41">
      <c r="A465" s="78" t="s">
        <v>2530</v>
      </c>
      <c r="B465" s="78" t="s">
        <v>1558</v>
      </c>
      <c r="C465" s="78" t="s">
        <v>366</v>
      </c>
      <c r="D465" s="78" t="s">
        <v>2517</v>
      </c>
      <c r="E465" s="78" t="s">
        <v>2531</v>
      </c>
      <c r="F465" s="78" t="s">
        <v>2519</v>
      </c>
      <c r="G465" s="78" t="s">
        <v>1614</v>
      </c>
      <c r="H465" s="78">
        <v>0</v>
      </c>
      <c r="I465" s="78">
        <v>90</v>
      </c>
      <c r="J465" s="78">
        <v>0</v>
      </c>
      <c r="K465" s="78">
        <v>0.2</v>
      </c>
      <c r="L465" s="78">
        <v>10.3</v>
      </c>
      <c r="M465" s="78" t="s">
        <v>1615</v>
      </c>
      <c r="N465" s="78" t="s">
        <v>1615</v>
      </c>
      <c r="O465" s="78">
        <v>0</v>
      </c>
      <c r="P465" s="78" t="s">
        <v>1615</v>
      </c>
      <c r="Q465" s="78" t="s">
        <v>1615</v>
      </c>
      <c r="R465" s="78" t="s">
        <v>1615</v>
      </c>
      <c r="S465" s="78" t="s">
        <v>1615</v>
      </c>
      <c r="T465" s="78" t="s">
        <v>1615</v>
      </c>
      <c r="U465" s="78" t="s">
        <v>1615</v>
      </c>
      <c r="V465" s="78" t="s">
        <v>1615</v>
      </c>
      <c r="W465" s="78" t="s">
        <v>1615</v>
      </c>
      <c r="X465" s="78" t="s">
        <v>1615</v>
      </c>
      <c r="Y465" s="78" t="s">
        <v>1615</v>
      </c>
      <c r="Z465" s="78" t="s">
        <v>1615</v>
      </c>
      <c r="AA465" s="78" t="s">
        <v>1615</v>
      </c>
      <c r="AB465" s="78" t="s">
        <v>1615</v>
      </c>
      <c r="AC465" s="78" t="s">
        <v>1615</v>
      </c>
      <c r="AD465" s="78" t="s">
        <v>1615</v>
      </c>
      <c r="AE465" s="78" t="s">
        <v>1615</v>
      </c>
      <c r="AF465" s="78" t="s">
        <v>1615</v>
      </c>
      <c r="AG465" s="78">
        <v>6</v>
      </c>
      <c r="AH465" s="78" t="s">
        <v>1615</v>
      </c>
      <c r="AI465" s="78" t="s">
        <v>1615</v>
      </c>
      <c r="AJ465" s="78" t="s">
        <v>1615</v>
      </c>
      <c r="AK465" s="78" t="s">
        <v>1615</v>
      </c>
      <c r="AL465" s="78" t="s">
        <v>1615</v>
      </c>
      <c r="AM465" s="78" t="s">
        <v>1615</v>
      </c>
      <c r="AN465" s="78" t="s">
        <v>1615</v>
      </c>
      <c r="AO465" s="78" t="s">
        <v>1615</v>
      </c>
    </row>
    <row r="466" spans="1:41">
      <c r="A466" s="78" t="s">
        <v>2532</v>
      </c>
      <c r="B466" s="78" t="s">
        <v>1558</v>
      </c>
      <c r="C466" s="78" t="s">
        <v>366</v>
      </c>
      <c r="D466" s="78" t="s">
        <v>2520</v>
      </c>
      <c r="E466" s="78" t="s">
        <v>2533</v>
      </c>
      <c r="F466" s="78" t="s">
        <v>2519</v>
      </c>
      <c r="G466" s="78" t="s">
        <v>1614</v>
      </c>
      <c r="H466" s="78">
        <v>54</v>
      </c>
      <c r="I466" s="78" t="s">
        <v>1615</v>
      </c>
      <c r="J466" s="78" t="s">
        <v>1615</v>
      </c>
      <c r="K466" s="78">
        <v>0.1</v>
      </c>
      <c r="L466" s="78">
        <v>1.9</v>
      </c>
      <c r="M466" s="78">
        <v>1.9</v>
      </c>
      <c r="N466" s="78" t="s">
        <v>1615</v>
      </c>
      <c r="O466" s="78">
        <v>0</v>
      </c>
      <c r="P466" s="78" t="s">
        <v>1615</v>
      </c>
      <c r="Q466" s="78" t="s">
        <v>1615</v>
      </c>
      <c r="R466" s="78" t="s">
        <v>1615</v>
      </c>
      <c r="S466" s="78" t="s">
        <v>1615</v>
      </c>
      <c r="T466" s="78" t="s">
        <v>1615</v>
      </c>
      <c r="U466" s="78" t="s">
        <v>1615</v>
      </c>
      <c r="V466" s="78" t="s">
        <v>1615</v>
      </c>
      <c r="W466" s="78" t="s">
        <v>1615</v>
      </c>
      <c r="X466" s="78" t="s">
        <v>1615</v>
      </c>
      <c r="Y466" s="78" t="s">
        <v>1615</v>
      </c>
      <c r="Z466" s="78" t="s">
        <v>1615</v>
      </c>
      <c r="AA466" s="78" t="s">
        <v>1615</v>
      </c>
      <c r="AB466" s="78" t="s">
        <v>1615</v>
      </c>
      <c r="AC466" s="78" t="s">
        <v>1615</v>
      </c>
      <c r="AD466" s="78" t="s">
        <v>1615</v>
      </c>
      <c r="AE466" s="78" t="s">
        <v>1615</v>
      </c>
      <c r="AF466" s="78" t="s">
        <v>1615</v>
      </c>
      <c r="AG466" s="78">
        <v>8</v>
      </c>
      <c r="AH466" s="78" t="s">
        <v>1615</v>
      </c>
      <c r="AI466" s="78" t="s">
        <v>1615</v>
      </c>
      <c r="AJ466" s="78" t="s">
        <v>1615</v>
      </c>
      <c r="AK466" s="78" t="s">
        <v>1615</v>
      </c>
      <c r="AL466" s="78" t="s">
        <v>1615</v>
      </c>
      <c r="AM466" s="78" t="s">
        <v>1615</v>
      </c>
      <c r="AN466" s="78" t="s">
        <v>1615</v>
      </c>
      <c r="AO466" s="78" t="s">
        <v>1615</v>
      </c>
    </row>
    <row r="467" spans="1:41">
      <c r="A467" s="78" t="s">
        <v>2534</v>
      </c>
      <c r="B467" s="78" t="s">
        <v>1558</v>
      </c>
      <c r="C467" s="78" t="s">
        <v>366</v>
      </c>
      <c r="D467" s="78" t="s">
        <v>2522</v>
      </c>
      <c r="E467" s="78" t="s">
        <v>2535</v>
      </c>
      <c r="F467" s="78" t="s">
        <v>2519</v>
      </c>
      <c r="G467" s="78" t="s">
        <v>1614</v>
      </c>
      <c r="H467" s="78">
        <v>24</v>
      </c>
      <c r="I467" s="78">
        <v>93.1</v>
      </c>
      <c r="J467" s="78">
        <v>0</v>
      </c>
      <c r="K467" s="78">
        <v>0.3</v>
      </c>
      <c r="L467" s="78">
        <v>10.4</v>
      </c>
      <c r="M467" s="78">
        <v>8.8000000000000007</v>
      </c>
      <c r="N467" s="78" t="s">
        <v>1615</v>
      </c>
      <c r="O467" s="78">
        <v>0</v>
      </c>
      <c r="P467" s="78" t="s">
        <v>1615</v>
      </c>
      <c r="Q467" s="78" t="s">
        <v>1615</v>
      </c>
      <c r="R467" s="78" t="s">
        <v>1615</v>
      </c>
      <c r="S467" s="78" t="s">
        <v>1615</v>
      </c>
      <c r="T467" s="78" t="s">
        <v>1615</v>
      </c>
      <c r="U467" s="78" t="s">
        <v>1615</v>
      </c>
      <c r="V467" s="78" t="s">
        <v>1615</v>
      </c>
      <c r="W467" s="78" t="s">
        <v>1615</v>
      </c>
      <c r="X467" s="78" t="s">
        <v>1615</v>
      </c>
      <c r="Y467" s="78" t="s">
        <v>1615</v>
      </c>
      <c r="Z467" s="78" t="s">
        <v>1615</v>
      </c>
      <c r="AA467" s="78" t="s">
        <v>1615</v>
      </c>
      <c r="AB467" s="78" t="s">
        <v>1615</v>
      </c>
      <c r="AC467" s="78" t="s">
        <v>1615</v>
      </c>
      <c r="AD467" s="78" t="s">
        <v>1615</v>
      </c>
      <c r="AE467" s="78" t="s">
        <v>1615</v>
      </c>
      <c r="AF467" s="78" t="s">
        <v>1615</v>
      </c>
      <c r="AG467" s="78">
        <v>20</v>
      </c>
      <c r="AH467" s="78" t="s">
        <v>1615</v>
      </c>
      <c r="AI467" s="78" t="s">
        <v>1615</v>
      </c>
      <c r="AJ467" s="78" t="s">
        <v>1615</v>
      </c>
      <c r="AK467" s="78" t="s">
        <v>1615</v>
      </c>
      <c r="AL467" s="78" t="s">
        <v>1615</v>
      </c>
      <c r="AM467" s="78" t="s">
        <v>1615</v>
      </c>
      <c r="AN467" s="78" t="s">
        <v>1615</v>
      </c>
      <c r="AO467" s="78" t="s">
        <v>1615</v>
      </c>
    </row>
    <row r="468" spans="1:41">
      <c r="A468" s="78" t="s">
        <v>2536</v>
      </c>
      <c r="B468" s="78" t="s">
        <v>1558</v>
      </c>
      <c r="C468" s="78" t="s">
        <v>366</v>
      </c>
      <c r="D468" s="78" t="s">
        <v>2524</v>
      </c>
      <c r="E468" s="78" t="s">
        <v>2537</v>
      </c>
      <c r="F468" s="78" t="s">
        <v>2519</v>
      </c>
      <c r="G468" s="78" t="s">
        <v>1614</v>
      </c>
      <c r="H468" s="78">
        <v>57</v>
      </c>
      <c r="I468" s="78">
        <v>97.6</v>
      </c>
      <c r="J468" s="78">
        <v>0</v>
      </c>
      <c r="K468" s="78">
        <v>0.1</v>
      </c>
      <c r="L468" s="78">
        <v>3.3</v>
      </c>
      <c r="M468" s="78" t="s">
        <v>1615</v>
      </c>
      <c r="N468" s="78" t="s">
        <v>1615</v>
      </c>
      <c r="O468" s="78">
        <v>0</v>
      </c>
      <c r="P468" s="78" t="s">
        <v>1615</v>
      </c>
      <c r="Q468" s="78" t="s">
        <v>1615</v>
      </c>
      <c r="R468" s="78" t="s">
        <v>1615</v>
      </c>
      <c r="S468" s="78" t="s">
        <v>1615</v>
      </c>
      <c r="T468" s="78" t="s">
        <v>1615</v>
      </c>
      <c r="U468" s="78" t="s">
        <v>1615</v>
      </c>
      <c r="V468" s="78" t="s">
        <v>1615</v>
      </c>
      <c r="W468" s="78" t="s">
        <v>1615</v>
      </c>
      <c r="X468" s="78" t="s">
        <v>1615</v>
      </c>
      <c r="Y468" s="78" t="s">
        <v>1615</v>
      </c>
      <c r="Z468" s="78" t="s">
        <v>1615</v>
      </c>
      <c r="AA468" s="78" t="s">
        <v>1615</v>
      </c>
      <c r="AB468" s="78" t="s">
        <v>1615</v>
      </c>
      <c r="AC468" s="78" t="s">
        <v>1615</v>
      </c>
      <c r="AD468" s="78" t="s">
        <v>1615</v>
      </c>
      <c r="AE468" s="78" t="s">
        <v>1615</v>
      </c>
      <c r="AF468" s="78" t="s">
        <v>1615</v>
      </c>
      <c r="AG468" s="78">
        <v>8</v>
      </c>
      <c r="AH468" s="78" t="s">
        <v>1615</v>
      </c>
      <c r="AI468" s="78" t="s">
        <v>1615</v>
      </c>
      <c r="AJ468" s="78" t="s">
        <v>1615</v>
      </c>
      <c r="AK468" s="78" t="s">
        <v>1615</v>
      </c>
      <c r="AL468" s="78" t="s">
        <v>1615</v>
      </c>
      <c r="AM468" s="78" t="s">
        <v>1615</v>
      </c>
      <c r="AN468" s="78" t="s">
        <v>1615</v>
      </c>
      <c r="AO468" s="78" t="s">
        <v>1615</v>
      </c>
    </row>
    <row r="469" spans="1:41">
      <c r="A469" s="78" t="s">
        <v>2538</v>
      </c>
      <c r="B469" s="78" t="s">
        <v>1558</v>
      </c>
      <c r="C469" s="78" t="s">
        <v>366</v>
      </c>
      <c r="D469" s="78" t="s">
        <v>2526</v>
      </c>
      <c r="E469" s="78" t="s">
        <v>2539</v>
      </c>
      <c r="F469" s="78" t="s">
        <v>2519</v>
      </c>
      <c r="G469" s="78" t="s">
        <v>1614</v>
      </c>
      <c r="H469" s="78">
        <v>43</v>
      </c>
      <c r="I469" s="78">
        <v>89.2</v>
      </c>
      <c r="J469" s="78">
        <v>0</v>
      </c>
      <c r="K469" s="78">
        <v>0.1</v>
      </c>
      <c r="L469" s="78">
        <v>11.2</v>
      </c>
      <c r="M469" s="78">
        <v>10.3</v>
      </c>
      <c r="N469" s="78" t="s">
        <v>1615</v>
      </c>
      <c r="O469" s="78">
        <v>0</v>
      </c>
      <c r="P469" s="78" t="s">
        <v>1615</v>
      </c>
      <c r="Q469" s="78" t="s">
        <v>1615</v>
      </c>
      <c r="R469" s="78" t="s">
        <v>1615</v>
      </c>
      <c r="S469" s="78" t="s">
        <v>1615</v>
      </c>
      <c r="T469" s="78" t="s">
        <v>1615</v>
      </c>
      <c r="U469" s="78" t="s">
        <v>1615</v>
      </c>
      <c r="V469" s="78" t="s">
        <v>1615</v>
      </c>
      <c r="W469" s="78" t="s">
        <v>1615</v>
      </c>
      <c r="X469" s="78" t="s">
        <v>1615</v>
      </c>
      <c r="Y469" s="78" t="s">
        <v>1615</v>
      </c>
      <c r="Z469" s="78" t="s">
        <v>1615</v>
      </c>
      <c r="AA469" s="78" t="s">
        <v>1615</v>
      </c>
      <c r="AB469" s="78" t="s">
        <v>1615</v>
      </c>
      <c r="AC469" s="78" t="s">
        <v>1615</v>
      </c>
      <c r="AD469" s="78" t="s">
        <v>1615</v>
      </c>
      <c r="AE469" s="78" t="s">
        <v>1615</v>
      </c>
      <c r="AF469" s="78" t="s">
        <v>1615</v>
      </c>
      <c r="AG469" s="78">
        <v>10</v>
      </c>
      <c r="AH469" s="78" t="s">
        <v>1615</v>
      </c>
      <c r="AI469" s="78" t="s">
        <v>1615</v>
      </c>
      <c r="AJ469" s="78" t="s">
        <v>1615</v>
      </c>
      <c r="AK469" s="78" t="s">
        <v>1615</v>
      </c>
      <c r="AL469" s="78" t="s">
        <v>1615</v>
      </c>
      <c r="AM469" s="78" t="s">
        <v>1615</v>
      </c>
      <c r="AN469" s="78" t="s">
        <v>1615</v>
      </c>
      <c r="AO469" s="78" t="s">
        <v>1615</v>
      </c>
    </row>
    <row r="470" spans="1:41">
      <c r="A470" s="78" t="s">
        <v>2540</v>
      </c>
      <c r="B470" s="78" t="s">
        <v>1558</v>
      </c>
      <c r="C470" s="78" t="s">
        <v>366</v>
      </c>
      <c r="D470" s="78" t="s">
        <v>2528</v>
      </c>
      <c r="E470" s="78" t="s">
        <v>2541</v>
      </c>
      <c r="F470" s="78" t="s">
        <v>2519</v>
      </c>
      <c r="G470" s="78" t="s">
        <v>1614</v>
      </c>
      <c r="H470" s="78">
        <v>45</v>
      </c>
      <c r="I470" s="78">
        <v>89.6</v>
      </c>
      <c r="J470" s="78">
        <v>0</v>
      </c>
      <c r="K470" s="78">
        <v>0.2</v>
      </c>
      <c r="L470" s="78">
        <v>11.5</v>
      </c>
      <c r="M470" s="78">
        <v>10.3</v>
      </c>
      <c r="N470" s="78" t="s">
        <v>1615</v>
      </c>
      <c r="O470" s="78">
        <v>0</v>
      </c>
      <c r="P470" s="78" t="s">
        <v>1615</v>
      </c>
      <c r="Q470" s="78" t="s">
        <v>1615</v>
      </c>
      <c r="R470" s="78" t="s">
        <v>1615</v>
      </c>
      <c r="S470" s="78" t="s">
        <v>1615</v>
      </c>
      <c r="T470" s="78" t="s">
        <v>1615</v>
      </c>
      <c r="U470" s="78" t="s">
        <v>1615</v>
      </c>
      <c r="V470" s="78" t="s">
        <v>1615</v>
      </c>
      <c r="W470" s="78" t="s">
        <v>1615</v>
      </c>
      <c r="X470" s="78" t="s">
        <v>1615</v>
      </c>
      <c r="Y470" s="78" t="s">
        <v>1615</v>
      </c>
      <c r="Z470" s="78" t="s">
        <v>1615</v>
      </c>
      <c r="AA470" s="78" t="s">
        <v>1615</v>
      </c>
      <c r="AB470" s="78" t="s">
        <v>1615</v>
      </c>
      <c r="AC470" s="78" t="s">
        <v>1615</v>
      </c>
      <c r="AD470" s="78" t="s">
        <v>1615</v>
      </c>
      <c r="AE470" s="78" t="s">
        <v>1615</v>
      </c>
      <c r="AF470" s="78" t="s">
        <v>1615</v>
      </c>
      <c r="AG470" s="78">
        <v>1</v>
      </c>
      <c r="AH470" s="78" t="s">
        <v>1615</v>
      </c>
      <c r="AI470" s="78" t="s">
        <v>1615</v>
      </c>
      <c r="AJ470" s="78" t="s">
        <v>1615</v>
      </c>
      <c r="AK470" s="78" t="s">
        <v>1615</v>
      </c>
      <c r="AL470" s="78" t="s">
        <v>1615</v>
      </c>
      <c r="AM470" s="78" t="s">
        <v>1615</v>
      </c>
      <c r="AN470" s="78" t="s">
        <v>1615</v>
      </c>
      <c r="AO470" s="78" t="s">
        <v>1615</v>
      </c>
    </row>
    <row r="471" spans="1:41">
      <c r="A471" s="78" t="s">
        <v>2542</v>
      </c>
      <c r="B471" s="78" t="s">
        <v>1558</v>
      </c>
      <c r="C471" s="78" t="s">
        <v>366</v>
      </c>
      <c r="D471" s="78" t="s">
        <v>2530</v>
      </c>
      <c r="E471" s="78" t="s">
        <v>2543</v>
      </c>
      <c r="F471" s="78" t="s">
        <v>2519</v>
      </c>
      <c r="G471" s="78" t="s">
        <v>1614</v>
      </c>
      <c r="H471" s="78">
        <v>9</v>
      </c>
      <c r="I471" s="78" t="s">
        <v>1615</v>
      </c>
      <c r="J471" s="78">
        <v>0</v>
      </c>
      <c r="K471" s="78" t="s">
        <v>1615</v>
      </c>
      <c r="L471" s="78">
        <v>2.2000000000000002</v>
      </c>
      <c r="M471" s="78" t="s">
        <v>1615</v>
      </c>
      <c r="N471" s="78" t="s">
        <v>1615</v>
      </c>
      <c r="O471" s="78">
        <v>0</v>
      </c>
      <c r="P471" s="78" t="s">
        <v>1615</v>
      </c>
      <c r="Q471" s="78" t="s">
        <v>1615</v>
      </c>
      <c r="R471" s="78" t="s">
        <v>1615</v>
      </c>
      <c r="S471" s="78" t="s">
        <v>1615</v>
      </c>
      <c r="T471" s="78" t="s">
        <v>1615</v>
      </c>
      <c r="U471" s="78" t="s">
        <v>1615</v>
      </c>
      <c r="V471" s="78" t="s">
        <v>1615</v>
      </c>
      <c r="W471" s="78" t="s">
        <v>1615</v>
      </c>
      <c r="X471" s="78" t="s">
        <v>1615</v>
      </c>
      <c r="Y471" s="78" t="s">
        <v>1615</v>
      </c>
      <c r="Z471" s="78" t="s">
        <v>1615</v>
      </c>
      <c r="AA471" s="78" t="s">
        <v>1615</v>
      </c>
      <c r="AB471" s="78" t="s">
        <v>1615</v>
      </c>
      <c r="AC471" s="78" t="s">
        <v>1615</v>
      </c>
      <c r="AD471" s="78" t="s">
        <v>1615</v>
      </c>
      <c r="AE471" s="78" t="s">
        <v>1615</v>
      </c>
      <c r="AF471" s="78" t="s">
        <v>1615</v>
      </c>
      <c r="AG471" s="78">
        <v>12</v>
      </c>
      <c r="AH471" s="78" t="s">
        <v>1615</v>
      </c>
      <c r="AI471" s="78" t="s">
        <v>1615</v>
      </c>
      <c r="AJ471" s="78" t="s">
        <v>1615</v>
      </c>
      <c r="AK471" s="78" t="s">
        <v>1615</v>
      </c>
      <c r="AL471" s="78" t="s">
        <v>1615</v>
      </c>
      <c r="AM471" s="78" t="s">
        <v>1615</v>
      </c>
      <c r="AN471" s="78" t="s">
        <v>1615</v>
      </c>
      <c r="AO471" s="78" t="s">
        <v>1615</v>
      </c>
    </row>
    <row r="472" spans="1:41">
      <c r="A472" s="78" t="s">
        <v>2544</v>
      </c>
      <c r="B472" s="78" t="s">
        <v>1558</v>
      </c>
      <c r="C472" s="78" t="s">
        <v>366</v>
      </c>
      <c r="D472" s="78" t="s">
        <v>2532</v>
      </c>
      <c r="E472" s="78" t="s">
        <v>2545</v>
      </c>
      <c r="F472" s="78" t="s">
        <v>2519</v>
      </c>
      <c r="G472" s="78" t="s">
        <v>1614</v>
      </c>
      <c r="H472" s="78">
        <v>53</v>
      </c>
      <c r="I472" s="78">
        <v>86.6</v>
      </c>
      <c r="J472" s="78">
        <v>0</v>
      </c>
      <c r="K472" s="78">
        <v>0.4</v>
      </c>
      <c r="L472" s="78">
        <v>13</v>
      </c>
      <c r="M472" s="78" t="s">
        <v>1615</v>
      </c>
      <c r="N472" s="78" t="s">
        <v>1615</v>
      </c>
      <c r="O472" s="78">
        <v>0</v>
      </c>
      <c r="P472" s="78" t="s">
        <v>1615</v>
      </c>
      <c r="Q472" s="78" t="s">
        <v>1615</v>
      </c>
      <c r="R472" s="78" t="s">
        <v>1615</v>
      </c>
      <c r="S472" s="78" t="s">
        <v>1615</v>
      </c>
      <c r="T472" s="78" t="s">
        <v>1615</v>
      </c>
      <c r="U472" s="78" t="s">
        <v>1615</v>
      </c>
      <c r="V472" s="78" t="s">
        <v>1615</v>
      </c>
      <c r="W472" s="78" t="s">
        <v>1615</v>
      </c>
      <c r="X472" s="78" t="s">
        <v>1615</v>
      </c>
      <c r="Y472" s="78" t="s">
        <v>1615</v>
      </c>
      <c r="Z472" s="78" t="s">
        <v>1615</v>
      </c>
      <c r="AA472" s="78" t="s">
        <v>1615</v>
      </c>
      <c r="AB472" s="78" t="s">
        <v>1615</v>
      </c>
      <c r="AC472" s="78" t="s">
        <v>1615</v>
      </c>
      <c r="AD472" s="78" t="s">
        <v>1615</v>
      </c>
      <c r="AE472" s="78" t="s">
        <v>1615</v>
      </c>
      <c r="AF472" s="78" t="s">
        <v>1615</v>
      </c>
      <c r="AG472" s="78">
        <v>35</v>
      </c>
      <c r="AH472" s="78" t="s">
        <v>1615</v>
      </c>
      <c r="AI472" s="78" t="s">
        <v>1615</v>
      </c>
      <c r="AJ472" s="78" t="s">
        <v>1615</v>
      </c>
      <c r="AK472" s="78" t="s">
        <v>1615</v>
      </c>
      <c r="AL472" s="78" t="s">
        <v>1615</v>
      </c>
      <c r="AM472" s="78" t="s">
        <v>1615</v>
      </c>
      <c r="AN472" s="78" t="s">
        <v>1615</v>
      </c>
      <c r="AO472" s="78" t="s">
        <v>1615</v>
      </c>
    </row>
    <row r="473" spans="1:41">
      <c r="A473" s="78" t="s">
        <v>2546</v>
      </c>
      <c r="B473" s="78" t="s">
        <v>1558</v>
      </c>
      <c r="C473" s="78" t="s">
        <v>366</v>
      </c>
      <c r="D473" s="78" t="s">
        <v>2534</v>
      </c>
      <c r="E473" s="78" t="s">
        <v>2547</v>
      </c>
      <c r="F473" s="78" t="s">
        <v>2548</v>
      </c>
      <c r="G473" s="78" t="s">
        <v>1614</v>
      </c>
      <c r="H473" s="78">
        <v>366</v>
      </c>
      <c r="I473" s="78">
        <v>3.9</v>
      </c>
      <c r="J473" s="78">
        <v>4.2</v>
      </c>
      <c r="K473" s="78">
        <v>0</v>
      </c>
      <c r="L473" s="78">
        <v>81</v>
      </c>
      <c r="M473" s="78">
        <v>80</v>
      </c>
      <c r="N473" s="78" t="s">
        <v>1615</v>
      </c>
      <c r="O473" s="78">
        <v>0</v>
      </c>
      <c r="P473" s="78" t="s">
        <v>1615</v>
      </c>
      <c r="Q473" s="78" t="s">
        <v>1615</v>
      </c>
      <c r="R473" s="78" t="s">
        <v>1615</v>
      </c>
      <c r="S473" s="78" t="s">
        <v>1615</v>
      </c>
      <c r="T473" s="78" t="s">
        <v>1615</v>
      </c>
      <c r="U473" s="78" t="s">
        <v>1615</v>
      </c>
      <c r="V473" s="78">
        <v>658</v>
      </c>
      <c r="W473" s="78" t="s">
        <v>1615</v>
      </c>
      <c r="X473" s="78" t="s">
        <v>1615</v>
      </c>
      <c r="Y473" s="78" t="s">
        <v>1615</v>
      </c>
      <c r="Z473" s="78" t="s">
        <v>1615</v>
      </c>
      <c r="AA473" s="78" t="s">
        <v>1615</v>
      </c>
      <c r="AB473" s="78" t="s">
        <v>1615</v>
      </c>
      <c r="AC473" s="78" t="s">
        <v>1615</v>
      </c>
      <c r="AD473" s="78" t="s">
        <v>1615</v>
      </c>
      <c r="AE473" s="78" t="s">
        <v>1615</v>
      </c>
      <c r="AF473" s="78" t="s">
        <v>1615</v>
      </c>
      <c r="AG473" s="78">
        <v>1500</v>
      </c>
      <c r="AH473" s="78" t="s">
        <v>1615</v>
      </c>
      <c r="AI473" s="78" t="s">
        <v>1615</v>
      </c>
      <c r="AJ473" s="78" t="s">
        <v>1615</v>
      </c>
      <c r="AK473" s="78" t="s">
        <v>1615</v>
      </c>
      <c r="AL473" s="78" t="s">
        <v>1615</v>
      </c>
      <c r="AM473" s="78" t="s">
        <v>1615</v>
      </c>
      <c r="AN473" s="78" t="s">
        <v>1615</v>
      </c>
      <c r="AO473" s="78" t="s">
        <v>1615</v>
      </c>
    </row>
    <row r="474" spans="1:41">
      <c r="A474" s="78" t="s">
        <v>2549</v>
      </c>
      <c r="B474" s="78" t="s">
        <v>1558</v>
      </c>
      <c r="C474" s="78" t="s">
        <v>366</v>
      </c>
      <c r="D474" s="78" t="s">
        <v>2536</v>
      </c>
      <c r="E474" s="78" t="s">
        <v>2550</v>
      </c>
      <c r="F474" s="78" t="s">
        <v>2548</v>
      </c>
      <c r="G474" s="78" t="s">
        <v>1614</v>
      </c>
      <c r="H474" s="78">
        <v>12</v>
      </c>
      <c r="I474" s="78">
        <v>2</v>
      </c>
      <c r="J474" s="78" t="s">
        <v>1615</v>
      </c>
      <c r="K474" s="78">
        <v>0.3</v>
      </c>
      <c r="L474" s="78">
        <v>3.5</v>
      </c>
      <c r="M474" s="78" t="s">
        <v>1615</v>
      </c>
      <c r="N474" s="78">
        <v>3.2</v>
      </c>
      <c r="O474" s="78">
        <v>0</v>
      </c>
      <c r="P474" s="78" t="s">
        <v>1615</v>
      </c>
      <c r="Q474" s="78" t="s">
        <v>1615</v>
      </c>
      <c r="R474" s="78" t="s">
        <v>1615</v>
      </c>
      <c r="S474" s="78" t="s">
        <v>1615</v>
      </c>
      <c r="T474" s="78" t="s">
        <v>1615</v>
      </c>
      <c r="U474" s="78" t="s">
        <v>1615</v>
      </c>
      <c r="V474" s="78" t="s">
        <v>1615</v>
      </c>
      <c r="W474" s="78" t="s">
        <v>1615</v>
      </c>
      <c r="X474" s="78" t="s">
        <v>1615</v>
      </c>
      <c r="Y474" s="78" t="s">
        <v>1615</v>
      </c>
      <c r="Z474" s="78" t="s">
        <v>1615</v>
      </c>
      <c r="AA474" s="78" t="s">
        <v>1615</v>
      </c>
      <c r="AB474" s="78" t="s">
        <v>1615</v>
      </c>
      <c r="AC474" s="78" t="s">
        <v>1615</v>
      </c>
      <c r="AD474" s="78" t="s">
        <v>1615</v>
      </c>
      <c r="AE474" s="78" t="s">
        <v>1615</v>
      </c>
      <c r="AF474" s="78" t="s">
        <v>1615</v>
      </c>
      <c r="AG474" s="78" t="s">
        <v>1615</v>
      </c>
      <c r="AH474" s="78" t="s">
        <v>1615</v>
      </c>
      <c r="AI474" s="78" t="s">
        <v>1615</v>
      </c>
      <c r="AJ474" s="78" t="s">
        <v>1615</v>
      </c>
      <c r="AK474" s="78" t="s">
        <v>1615</v>
      </c>
      <c r="AL474" s="78" t="s">
        <v>1615</v>
      </c>
      <c r="AM474" s="78" t="s">
        <v>1615</v>
      </c>
      <c r="AN474" s="78" t="s">
        <v>1615</v>
      </c>
      <c r="AO474" s="78" t="s">
        <v>1615</v>
      </c>
    </row>
    <row r="475" spans="1:41">
      <c r="A475" s="78" t="s">
        <v>2551</v>
      </c>
      <c r="B475" s="78" t="s">
        <v>1558</v>
      </c>
      <c r="C475" s="78" t="s">
        <v>366</v>
      </c>
      <c r="D475" s="78" t="s">
        <v>2538</v>
      </c>
      <c r="E475" s="78" t="s">
        <v>2552</v>
      </c>
      <c r="F475" s="78" t="s">
        <v>2548</v>
      </c>
      <c r="G475" s="78" t="s">
        <v>1614</v>
      </c>
      <c r="H475" s="78">
        <v>125</v>
      </c>
      <c r="I475" s="78">
        <v>3.6</v>
      </c>
      <c r="J475" s="78" t="s">
        <v>1615</v>
      </c>
      <c r="K475" s="78">
        <v>0</v>
      </c>
      <c r="L475" s="78">
        <v>34.799999999999997</v>
      </c>
      <c r="M475" s="78" t="s">
        <v>1615</v>
      </c>
      <c r="N475" s="78">
        <v>35.299999999999997</v>
      </c>
      <c r="O475" s="78">
        <v>0</v>
      </c>
      <c r="P475" s="78" t="s">
        <v>1615</v>
      </c>
      <c r="Q475" s="78" t="s">
        <v>1615</v>
      </c>
      <c r="R475" s="78" t="s">
        <v>1615</v>
      </c>
      <c r="S475" s="78" t="s">
        <v>1615</v>
      </c>
      <c r="T475" s="78" t="s">
        <v>1615</v>
      </c>
      <c r="U475" s="78" t="s">
        <v>1615</v>
      </c>
      <c r="V475" s="78" t="s">
        <v>1615</v>
      </c>
      <c r="W475" s="78" t="s">
        <v>1615</v>
      </c>
      <c r="X475" s="78" t="s">
        <v>1615</v>
      </c>
      <c r="Y475" s="78" t="s">
        <v>1615</v>
      </c>
      <c r="Z475" s="78" t="s">
        <v>1615</v>
      </c>
      <c r="AA475" s="78" t="s">
        <v>1615</v>
      </c>
      <c r="AB475" s="78" t="s">
        <v>1615</v>
      </c>
      <c r="AC475" s="78" t="s">
        <v>1615</v>
      </c>
      <c r="AD475" s="78" t="s">
        <v>1615</v>
      </c>
      <c r="AE475" s="78" t="s">
        <v>1615</v>
      </c>
      <c r="AF475" s="78" t="s">
        <v>1615</v>
      </c>
      <c r="AG475" s="78" t="s">
        <v>1615</v>
      </c>
      <c r="AH475" s="78" t="s">
        <v>1615</v>
      </c>
      <c r="AI475" s="78" t="s">
        <v>1615</v>
      </c>
      <c r="AJ475" s="78" t="s">
        <v>1615</v>
      </c>
      <c r="AK475" s="78" t="s">
        <v>1615</v>
      </c>
      <c r="AL475" s="78" t="s">
        <v>1615</v>
      </c>
      <c r="AM475" s="78" t="s">
        <v>1615</v>
      </c>
      <c r="AN475" s="78" t="s">
        <v>1615</v>
      </c>
      <c r="AO475" s="78" t="s">
        <v>1615</v>
      </c>
    </row>
    <row r="476" spans="1:41">
      <c r="A476" s="78" t="s">
        <v>2553</v>
      </c>
      <c r="B476" s="78" t="s">
        <v>1558</v>
      </c>
      <c r="C476" s="78" t="s">
        <v>366</v>
      </c>
      <c r="D476" s="78" t="s">
        <v>2540</v>
      </c>
      <c r="E476" s="78" t="s">
        <v>2554</v>
      </c>
      <c r="F476" s="78" t="s">
        <v>2548</v>
      </c>
      <c r="G476" s="78" t="s">
        <v>1614</v>
      </c>
      <c r="H476" s="78">
        <v>12</v>
      </c>
      <c r="I476" s="78">
        <v>1</v>
      </c>
      <c r="J476" s="78" t="s">
        <v>1615</v>
      </c>
      <c r="K476" s="78">
        <v>0</v>
      </c>
      <c r="L476" s="78">
        <v>2.9</v>
      </c>
      <c r="M476" s="78" t="s">
        <v>1615</v>
      </c>
      <c r="N476" s="78">
        <v>5.7</v>
      </c>
      <c r="O476" s="78">
        <v>0</v>
      </c>
      <c r="P476" s="78" t="s">
        <v>1615</v>
      </c>
      <c r="Q476" s="78" t="s">
        <v>1615</v>
      </c>
      <c r="R476" s="78" t="s">
        <v>1615</v>
      </c>
      <c r="S476" s="78" t="s">
        <v>1615</v>
      </c>
      <c r="T476" s="78" t="s">
        <v>1615</v>
      </c>
      <c r="U476" s="78" t="s">
        <v>1615</v>
      </c>
      <c r="V476" s="78" t="s">
        <v>1615</v>
      </c>
      <c r="W476" s="78" t="s">
        <v>1615</v>
      </c>
      <c r="X476" s="78" t="s">
        <v>1615</v>
      </c>
      <c r="Y476" s="78" t="s">
        <v>1615</v>
      </c>
      <c r="Z476" s="78" t="s">
        <v>1615</v>
      </c>
      <c r="AA476" s="78" t="s">
        <v>1615</v>
      </c>
      <c r="AB476" s="78" t="s">
        <v>1615</v>
      </c>
      <c r="AC476" s="78" t="s">
        <v>1615</v>
      </c>
      <c r="AD476" s="78" t="s">
        <v>1615</v>
      </c>
      <c r="AE476" s="78" t="s">
        <v>1615</v>
      </c>
      <c r="AF476" s="78" t="s">
        <v>1615</v>
      </c>
      <c r="AG476" s="78" t="s">
        <v>1615</v>
      </c>
      <c r="AH476" s="78" t="s">
        <v>1615</v>
      </c>
      <c r="AI476" s="78" t="s">
        <v>1615</v>
      </c>
      <c r="AJ476" s="78" t="s">
        <v>1615</v>
      </c>
      <c r="AK476" s="78" t="s">
        <v>1615</v>
      </c>
      <c r="AL476" s="78" t="s">
        <v>1615</v>
      </c>
      <c r="AM476" s="78" t="s">
        <v>1615</v>
      </c>
      <c r="AN476" s="78" t="s">
        <v>1615</v>
      </c>
      <c r="AO476" s="78" t="s">
        <v>1615</v>
      </c>
    </row>
    <row r="477" spans="1:41">
      <c r="A477" s="78" t="s">
        <v>2555</v>
      </c>
      <c r="B477" s="78" t="s">
        <v>1558</v>
      </c>
      <c r="C477" s="78" t="s">
        <v>366</v>
      </c>
      <c r="D477" s="78" t="s">
        <v>2542</v>
      </c>
      <c r="E477" s="78" t="s">
        <v>2556</v>
      </c>
      <c r="F477" s="78" t="s">
        <v>2557</v>
      </c>
      <c r="G477" s="78" t="s">
        <v>1614</v>
      </c>
      <c r="H477" s="78">
        <v>0</v>
      </c>
      <c r="I477" s="78">
        <v>99.9</v>
      </c>
      <c r="J477" s="78">
        <v>0</v>
      </c>
      <c r="K477" s="78">
        <v>0</v>
      </c>
      <c r="L477" s="78">
        <v>0</v>
      </c>
      <c r="M477" s="78">
        <v>0</v>
      </c>
      <c r="N477" s="78">
        <v>0</v>
      </c>
      <c r="O477" s="78">
        <v>0</v>
      </c>
      <c r="P477" s="78">
        <v>0</v>
      </c>
      <c r="Q477" s="78">
        <v>0</v>
      </c>
      <c r="R477" s="78">
        <v>0</v>
      </c>
      <c r="S477" s="78">
        <v>0</v>
      </c>
      <c r="T477" s="78">
        <v>0</v>
      </c>
      <c r="U477" s="78">
        <v>0</v>
      </c>
      <c r="V477" s="78">
        <v>0</v>
      </c>
      <c r="W477" s="78">
        <v>0</v>
      </c>
      <c r="X477" s="78">
        <v>0</v>
      </c>
      <c r="Y477" s="78">
        <v>0</v>
      </c>
      <c r="Z477" s="78">
        <v>0</v>
      </c>
      <c r="AA477" s="78">
        <v>0</v>
      </c>
      <c r="AB477" s="78">
        <v>0</v>
      </c>
      <c r="AC477" s="78">
        <v>0</v>
      </c>
      <c r="AD477" s="78">
        <v>0</v>
      </c>
      <c r="AE477" s="78">
        <v>0</v>
      </c>
      <c r="AF477" s="78">
        <v>0</v>
      </c>
      <c r="AG477" s="78">
        <v>0</v>
      </c>
      <c r="AH477" s="78">
        <v>0</v>
      </c>
      <c r="AI477" s="78">
        <v>1</v>
      </c>
      <c r="AJ477" s="78">
        <v>0</v>
      </c>
      <c r="AK477" s="78">
        <v>0</v>
      </c>
      <c r="AL477" s="78">
        <v>0</v>
      </c>
      <c r="AM477" s="78">
        <v>0</v>
      </c>
      <c r="AN477" s="78">
        <v>0</v>
      </c>
      <c r="AO477" s="78">
        <v>0</v>
      </c>
    </row>
    <row r="478" spans="1:41">
      <c r="A478" s="78" t="s">
        <v>2558</v>
      </c>
      <c r="B478" s="78" t="s">
        <v>1558</v>
      </c>
      <c r="C478" s="78" t="s">
        <v>366</v>
      </c>
      <c r="D478" s="78" t="s">
        <v>2544</v>
      </c>
      <c r="E478" s="78" t="s">
        <v>2559</v>
      </c>
      <c r="F478" s="78" t="s">
        <v>2557</v>
      </c>
      <c r="G478" s="78" t="s">
        <v>1614</v>
      </c>
      <c r="H478" s="78">
        <v>0</v>
      </c>
      <c r="I478" s="78">
        <v>99.9</v>
      </c>
      <c r="J478" s="78">
        <v>0</v>
      </c>
      <c r="K478" s="78">
        <v>0</v>
      </c>
      <c r="L478" s="78">
        <v>0</v>
      </c>
      <c r="M478" s="78">
        <v>0</v>
      </c>
      <c r="N478" s="78">
        <v>0</v>
      </c>
      <c r="O478" s="78">
        <v>0</v>
      </c>
      <c r="P478" s="78">
        <v>0</v>
      </c>
      <c r="Q478" s="78">
        <v>0</v>
      </c>
      <c r="R478" s="78">
        <v>0</v>
      </c>
      <c r="S478" s="78">
        <v>0</v>
      </c>
      <c r="T478" s="78">
        <v>0</v>
      </c>
      <c r="U478" s="78">
        <v>0</v>
      </c>
      <c r="V478" s="78">
        <v>0</v>
      </c>
      <c r="W478" s="78">
        <v>0</v>
      </c>
      <c r="X478" s="78">
        <v>0</v>
      </c>
      <c r="Y478" s="78">
        <v>0</v>
      </c>
      <c r="Z478" s="78">
        <v>0</v>
      </c>
      <c r="AA478" s="78">
        <v>0</v>
      </c>
      <c r="AB478" s="78">
        <v>0</v>
      </c>
      <c r="AC478" s="78">
        <v>0</v>
      </c>
      <c r="AD478" s="78">
        <v>0</v>
      </c>
      <c r="AE478" s="78">
        <v>0</v>
      </c>
      <c r="AF478" s="78">
        <v>0</v>
      </c>
      <c r="AG478" s="78">
        <v>11</v>
      </c>
      <c r="AH478" s="78">
        <v>0</v>
      </c>
      <c r="AI478" s="78">
        <v>1</v>
      </c>
      <c r="AJ478" s="78">
        <v>0</v>
      </c>
      <c r="AK478" s="78">
        <v>0</v>
      </c>
      <c r="AL478" s="78">
        <v>0</v>
      </c>
      <c r="AM478" s="78">
        <v>0</v>
      </c>
      <c r="AN478" s="78">
        <v>0</v>
      </c>
      <c r="AO478" s="78">
        <v>0</v>
      </c>
    </row>
    <row r="479" spans="1:41">
      <c r="A479" s="78" t="s">
        <v>2560</v>
      </c>
      <c r="B479" s="78" t="s">
        <v>1558</v>
      </c>
      <c r="C479" s="78" t="s">
        <v>366</v>
      </c>
      <c r="D479" s="78" t="s">
        <v>2546</v>
      </c>
      <c r="E479" s="78" t="s">
        <v>2561</v>
      </c>
      <c r="F479" s="78" t="s">
        <v>2557</v>
      </c>
      <c r="G479" s="78" t="s">
        <v>1614</v>
      </c>
      <c r="H479" s="78">
        <v>42</v>
      </c>
      <c r="I479" s="78">
        <v>89.4</v>
      </c>
      <c r="J479" s="78">
        <v>0.1</v>
      </c>
      <c r="K479" s="78">
        <v>0.5</v>
      </c>
      <c r="L479" s="78">
        <v>10.4</v>
      </c>
      <c r="M479" s="78">
        <v>9.9</v>
      </c>
      <c r="N479" s="78" t="s">
        <v>1615</v>
      </c>
      <c r="O479" s="78">
        <v>0</v>
      </c>
      <c r="P479" s="78" t="s">
        <v>1615</v>
      </c>
      <c r="Q479" s="78" t="s">
        <v>1615</v>
      </c>
      <c r="R479" s="78" t="s">
        <v>1615</v>
      </c>
      <c r="S479" s="78" t="s">
        <v>1615</v>
      </c>
      <c r="T479" s="78" t="s">
        <v>1615</v>
      </c>
      <c r="U479" s="78" t="s">
        <v>1615</v>
      </c>
      <c r="V479" s="78">
        <v>12</v>
      </c>
      <c r="W479" s="78" t="s">
        <v>1615</v>
      </c>
      <c r="X479" s="78" t="s">
        <v>1615</v>
      </c>
      <c r="Y479" s="78" t="s">
        <v>1615</v>
      </c>
      <c r="Z479" s="78" t="s">
        <v>1615</v>
      </c>
      <c r="AA479" s="78">
        <v>0.4</v>
      </c>
      <c r="AB479" s="78" t="s">
        <v>1615</v>
      </c>
      <c r="AC479" s="78" t="s">
        <v>1615</v>
      </c>
      <c r="AD479" s="78" t="s">
        <v>1615</v>
      </c>
      <c r="AE479" s="78" t="s">
        <v>1615</v>
      </c>
      <c r="AF479" s="78" t="s">
        <v>1615</v>
      </c>
      <c r="AG479" s="78">
        <v>6</v>
      </c>
      <c r="AH479" s="78" t="s">
        <v>1615</v>
      </c>
      <c r="AI479" s="78">
        <v>0</v>
      </c>
      <c r="AJ479" s="78" t="s">
        <v>1615</v>
      </c>
      <c r="AK479" s="78">
        <v>3</v>
      </c>
      <c r="AL479" s="78">
        <v>0</v>
      </c>
      <c r="AM479" s="78" t="s">
        <v>1615</v>
      </c>
      <c r="AN479" s="78" t="s">
        <v>1615</v>
      </c>
      <c r="AO479" s="78" t="s">
        <v>1615</v>
      </c>
    </row>
    <row r="480" spans="1:41">
      <c r="A480" s="78" t="s">
        <v>2562</v>
      </c>
      <c r="B480" s="78" t="s">
        <v>1558</v>
      </c>
      <c r="C480" s="78" t="s">
        <v>366</v>
      </c>
      <c r="D480" s="78" t="s">
        <v>2549</v>
      </c>
      <c r="E480" s="78" t="s">
        <v>2563</v>
      </c>
      <c r="F480" s="78" t="s">
        <v>2557</v>
      </c>
      <c r="G480" s="78" t="s">
        <v>1614</v>
      </c>
      <c r="H480" s="78">
        <v>0</v>
      </c>
      <c r="I480" s="78">
        <v>89.2</v>
      </c>
      <c r="J480" s="78">
        <v>0</v>
      </c>
      <c r="K480" s="78">
        <v>0</v>
      </c>
      <c r="L480" s="78">
        <v>10.199999999999999</v>
      </c>
      <c r="M480" s="78">
        <v>0</v>
      </c>
      <c r="N480" s="78">
        <v>0</v>
      </c>
      <c r="O480" s="78">
        <v>0</v>
      </c>
      <c r="P480" s="78">
        <v>0</v>
      </c>
      <c r="Q480" s="78">
        <v>0</v>
      </c>
      <c r="R480" s="78">
        <v>0</v>
      </c>
      <c r="S480" s="78" t="s">
        <v>1615</v>
      </c>
      <c r="T480" s="78">
        <v>0</v>
      </c>
      <c r="U480" s="78">
        <v>0</v>
      </c>
      <c r="V480" s="78">
        <v>0</v>
      </c>
      <c r="W480" s="78">
        <v>0</v>
      </c>
      <c r="X480" s="78">
        <v>0</v>
      </c>
      <c r="Y480" s="78">
        <v>0</v>
      </c>
      <c r="Z480" s="78">
        <v>0</v>
      </c>
      <c r="AA480" s="78">
        <v>0</v>
      </c>
      <c r="AB480" s="78">
        <v>0</v>
      </c>
      <c r="AC480" s="78">
        <v>0</v>
      </c>
      <c r="AD480" s="78">
        <v>0</v>
      </c>
      <c r="AE480" s="78">
        <v>0</v>
      </c>
      <c r="AF480" s="78">
        <v>0</v>
      </c>
      <c r="AG480" s="78">
        <v>11</v>
      </c>
      <c r="AH480" s="78">
        <v>0</v>
      </c>
      <c r="AI480" s="78">
        <v>6</v>
      </c>
      <c r="AJ480" s="78">
        <v>0</v>
      </c>
      <c r="AK480" s="78">
        <v>2</v>
      </c>
      <c r="AL480" s="78">
        <v>0.1</v>
      </c>
      <c r="AM480" s="78">
        <v>0.1</v>
      </c>
      <c r="AN480" s="78">
        <v>0</v>
      </c>
      <c r="AO480" s="78">
        <v>0</v>
      </c>
    </row>
    <row r="481" spans="1:41">
      <c r="A481" s="78" t="s">
        <v>2564</v>
      </c>
      <c r="B481" s="78" t="s">
        <v>1558</v>
      </c>
      <c r="C481" s="78" t="s">
        <v>366</v>
      </c>
      <c r="D481" s="78" t="s">
        <v>2551</v>
      </c>
      <c r="E481" s="78" t="s">
        <v>2565</v>
      </c>
      <c r="F481" s="78" t="s">
        <v>2557</v>
      </c>
      <c r="G481" s="78" t="s">
        <v>1614</v>
      </c>
      <c r="H481" s="78">
        <v>46</v>
      </c>
      <c r="I481" s="78">
        <v>89.5</v>
      </c>
      <c r="J481" s="78">
        <v>0</v>
      </c>
      <c r="K481" s="78">
        <v>0</v>
      </c>
      <c r="L481" s="78">
        <v>10.4</v>
      </c>
      <c r="M481" s="78">
        <v>10.4</v>
      </c>
      <c r="N481" s="78">
        <v>0</v>
      </c>
      <c r="O481" s="78">
        <v>0</v>
      </c>
      <c r="P481" s="78">
        <v>0</v>
      </c>
      <c r="Q481" s="78">
        <v>0</v>
      </c>
      <c r="R481" s="78">
        <v>0</v>
      </c>
      <c r="S481" s="78" t="s">
        <v>1615</v>
      </c>
      <c r="T481" s="78">
        <v>0</v>
      </c>
      <c r="U481" s="78">
        <v>0</v>
      </c>
      <c r="V481" s="78">
        <v>0</v>
      </c>
      <c r="W481" s="78">
        <v>0</v>
      </c>
      <c r="X481" s="78">
        <v>0</v>
      </c>
      <c r="Y481" s="78">
        <v>0</v>
      </c>
      <c r="Z481" s="78">
        <v>0</v>
      </c>
      <c r="AA481" s="78">
        <v>0</v>
      </c>
      <c r="AB481" s="78">
        <v>0</v>
      </c>
      <c r="AC481" s="78">
        <v>0</v>
      </c>
      <c r="AD481" s="78">
        <v>0</v>
      </c>
      <c r="AE481" s="78">
        <v>0</v>
      </c>
      <c r="AF481" s="78">
        <v>0</v>
      </c>
      <c r="AG481" s="78">
        <v>2</v>
      </c>
      <c r="AH481" s="78">
        <v>0</v>
      </c>
      <c r="AI481" s="78">
        <v>2</v>
      </c>
      <c r="AJ481" s="78">
        <v>0</v>
      </c>
      <c r="AK481" s="78">
        <v>1</v>
      </c>
      <c r="AL481" s="78">
        <v>0</v>
      </c>
      <c r="AM481" s="78">
        <v>0</v>
      </c>
      <c r="AN481" s="78">
        <v>0</v>
      </c>
      <c r="AO481" s="78">
        <v>0</v>
      </c>
    </row>
    <row r="482" spans="1:41">
      <c r="A482" s="78" t="s">
        <v>2566</v>
      </c>
      <c r="B482" s="78" t="s">
        <v>1558</v>
      </c>
      <c r="C482" s="78" t="s">
        <v>366</v>
      </c>
      <c r="D482" s="78" t="s">
        <v>2553</v>
      </c>
      <c r="E482" s="78" t="s">
        <v>2567</v>
      </c>
      <c r="F482" s="78" t="s">
        <v>2557</v>
      </c>
      <c r="G482" s="78" t="s">
        <v>1614</v>
      </c>
      <c r="H482" s="78">
        <v>48</v>
      </c>
      <c r="I482" s="78">
        <v>87.6</v>
      </c>
      <c r="J482" s="78">
        <v>0.1</v>
      </c>
      <c r="K482" s="78">
        <v>0</v>
      </c>
      <c r="L482" s="78">
        <v>12.3</v>
      </c>
      <c r="M482" s="78" t="s">
        <v>1615</v>
      </c>
      <c r="N482" s="78">
        <v>0</v>
      </c>
      <c r="O482" s="78">
        <v>0</v>
      </c>
      <c r="P482" s="78">
        <v>0</v>
      </c>
      <c r="Q482" s="78">
        <v>0</v>
      </c>
      <c r="R482" s="78">
        <v>0</v>
      </c>
      <c r="S482" s="78" t="s">
        <v>1615</v>
      </c>
      <c r="T482" s="78">
        <v>0</v>
      </c>
      <c r="U482" s="78">
        <v>0</v>
      </c>
      <c r="V482" s="78">
        <v>0</v>
      </c>
      <c r="W482" s="78">
        <v>0</v>
      </c>
      <c r="X482" s="78">
        <v>0</v>
      </c>
      <c r="Y482" s="78">
        <v>0</v>
      </c>
      <c r="Z482" s="78">
        <v>0</v>
      </c>
      <c r="AA482" s="78">
        <v>0</v>
      </c>
      <c r="AB482" s="78">
        <v>0</v>
      </c>
      <c r="AC482" s="78">
        <v>0</v>
      </c>
      <c r="AD482" s="78">
        <v>0</v>
      </c>
      <c r="AE482" s="78">
        <v>0</v>
      </c>
      <c r="AF482" s="78">
        <v>0</v>
      </c>
      <c r="AG482" s="78">
        <v>12</v>
      </c>
      <c r="AH482" s="78">
        <v>0</v>
      </c>
      <c r="AI482" s="78">
        <v>0</v>
      </c>
      <c r="AJ482" s="78">
        <v>2</v>
      </c>
      <c r="AK482" s="78">
        <v>1</v>
      </c>
      <c r="AL482" s="78">
        <v>0</v>
      </c>
      <c r="AM482" s="78">
        <v>0.1</v>
      </c>
      <c r="AN482" s="78">
        <v>0</v>
      </c>
      <c r="AO482" s="78">
        <v>0</v>
      </c>
    </row>
    <row r="483" spans="1:41">
      <c r="A483" s="78" t="s">
        <v>2568</v>
      </c>
      <c r="B483" s="78" t="s">
        <v>1558</v>
      </c>
      <c r="C483" s="78" t="s">
        <v>366</v>
      </c>
      <c r="D483" s="78" t="s">
        <v>2555</v>
      </c>
      <c r="E483" s="78" t="s">
        <v>2569</v>
      </c>
      <c r="F483" s="78" t="s">
        <v>2557</v>
      </c>
      <c r="G483" s="78" t="s">
        <v>1614</v>
      </c>
      <c r="H483" s="78">
        <v>40</v>
      </c>
      <c r="I483" s="78">
        <v>89.8</v>
      </c>
      <c r="J483" s="78">
        <v>0</v>
      </c>
      <c r="K483" s="78">
        <v>0.1</v>
      </c>
      <c r="L483" s="78">
        <v>10.1</v>
      </c>
      <c r="M483" s="78">
        <v>9</v>
      </c>
      <c r="N483" s="78">
        <v>0</v>
      </c>
      <c r="O483" s="78">
        <v>0</v>
      </c>
      <c r="P483" s="78">
        <v>0</v>
      </c>
      <c r="Q483" s="78">
        <v>0</v>
      </c>
      <c r="R483" s="78">
        <v>0</v>
      </c>
      <c r="S483" s="78" t="s">
        <v>1615</v>
      </c>
      <c r="T483" s="78">
        <v>0</v>
      </c>
      <c r="U483" s="78">
        <v>0</v>
      </c>
      <c r="V483" s="78">
        <v>0</v>
      </c>
      <c r="W483" s="78">
        <v>0</v>
      </c>
      <c r="X483" s="78">
        <v>0</v>
      </c>
      <c r="Y483" s="78">
        <v>0</v>
      </c>
      <c r="Z483" s="78">
        <v>0</v>
      </c>
      <c r="AA483" s="78">
        <v>0</v>
      </c>
      <c r="AB483" s="78">
        <v>0</v>
      </c>
      <c r="AC483" s="78">
        <v>0</v>
      </c>
      <c r="AD483" s="78">
        <v>0</v>
      </c>
      <c r="AE483" s="78">
        <v>0</v>
      </c>
      <c r="AF483" s="78">
        <v>0</v>
      </c>
      <c r="AG483" s="78">
        <v>9</v>
      </c>
      <c r="AH483" s="78">
        <v>2</v>
      </c>
      <c r="AI483" s="78">
        <v>5</v>
      </c>
      <c r="AJ483" s="78">
        <v>1</v>
      </c>
      <c r="AK483" s="78">
        <v>1</v>
      </c>
      <c r="AL483" s="78">
        <v>0</v>
      </c>
      <c r="AM483" s="78">
        <v>0</v>
      </c>
      <c r="AN483" s="78">
        <v>0</v>
      </c>
      <c r="AO483" s="78">
        <v>0</v>
      </c>
    </row>
    <row r="484" spans="1:41">
      <c r="A484" s="78" t="s">
        <v>2570</v>
      </c>
      <c r="B484" s="78" t="s">
        <v>1558</v>
      </c>
      <c r="C484" s="78" t="s">
        <v>366</v>
      </c>
      <c r="D484" s="78" t="s">
        <v>2558</v>
      </c>
      <c r="E484" s="78" t="s">
        <v>2571</v>
      </c>
      <c r="F484" s="78" t="s">
        <v>2557</v>
      </c>
      <c r="G484" s="78" t="s">
        <v>1614</v>
      </c>
      <c r="H484" s="78">
        <v>1</v>
      </c>
      <c r="I484" s="78">
        <v>99.8</v>
      </c>
      <c r="J484" s="78">
        <v>0</v>
      </c>
      <c r="K484" s="78">
        <v>0.1</v>
      </c>
      <c r="L484" s="78">
        <v>0.2</v>
      </c>
      <c r="M484" s="78">
        <v>0</v>
      </c>
      <c r="N484" s="78" t="s">
        <v>1615</v>
      </c>
      <c r="O484" s="78">
        <v>0</v>
      </c>
      <c r="P484" s="78" t="s">
        <v>1615</v>
      </c>
      <c r="Q484" s="78" t="s">
        <v>1615</v>
      </c>
      <c r="R484" s="78" t="s">
        <v>1615</v>
      </c>
      <c r="S484" s="78" t="s">
        <v>1615</v>
      </c>
      <c r="T484" s="78" t="s">
        <v>1615</v>
      </c>
      <c r="U484" s="78" t="s">
        <v>1615</v>
      </c>
      <c r="V484" s="78" t="s">
        <v>1615</v>
      </c>
      <c r="W484" s="78" t="s">
        <v>1615</v>
      </c>
      <c r="X484" s="78" t="s">
        <v>1615</v>
      </c>
      <c r="Y484" s="78" t="s">
        <v>1615</v>
      </c>
      <c r="Z484" s="78" t="s">
        <v>1615</v>
      </c>
      <c r="AA484" s="78" t="s">
        <v>1615</v>
      </c>
      <c r="AB484" s="78" t="s">
        <v>1615</v>
      </c>
      <c r="AC484" s="78" t="s">
        <v>1615</v>
      </c>
      <c r="AD484" s="78" t="s">
        <v>1615</v>
      </c>
      <c r="AE484" s="78" t="s">
        <v>1615</v>
      </c>
      <c r="AF484" s="78" t="s">
        <v>1615</v>
      </c>
      <c r="AG484" s="78">
        <v>8</v>
      </c>
      <c r="AH484" s="78">
        <v>1</v>
      </c>
      <c r="AI484" s="78">
        <v>2</v>
      </c>
      <c r="AJ484" s="78">
        <v>0</v>
      </c>
      <c r="AK484" s="78" t="s">
        <v>1615</v>
      </c>
      <c r="AL484" s="78" t="s">
        <v>1615</v>
      </c>
      <c r="AM484" s="78" t="s">
        <v>1615</v>
      </c>
      <c r="AN484" s="78" t="s">
        <v>1615</v>
      </c>
      <c r="AO484" s="78" t="s">
        <v>1615</v>
      </c>
    </row>
    <row r="485" spans="1:41">
      <c r="A485" s="78" t="s">
        <v>2572</v>
      </c>
      <c r="B485" s="78" t="s">
        <v>1558</v>
      </c>
      <c r="C485" s="78" t="s">
        <v>366</v>
      </c>
      <c r="D485" s="78" t="s">
        <v>2560</v>
      </c>
      <c r="E485" s="78" t="s">
        <v>2573</v>
      </c>
      <c r="F485" s="78" t="s">
        <v>2557</v>
      </c>
      <c r="G485" s="78" t="s">
        <v>1614</v>
      </c>
      <c r="H485" s="78">
        <v>32</v>
      </c>
      <c r="I485" s="78">
        <v>91.9</v>
      </c>
      <c r="J485" s="78">
        <v>0.2</v>
      </c>
      <c r="K485" s="78">
        <v>0</v>
      </c>
      <c r="L485" s="78">
        <v>7.8</v>
      </c>
      <c r="M485" s="78">
        <v>6.1</v>
      </c>
      <c r="N485" s="78">
        <v>0</v>
      </c>
      <c r="O485" s="78">
        <v>0.1</v>
      </c>
      <c r="P485" s="78">
        <v>0.01</v>
      </c>
      <c r="Q485" s="78">
        <v>0.01</v>
      </c>
      <c r="R485" s="78">
        <v>0.03</v>
      </c>
      <c r="S485" s="78" t="s">
        <v>1615</v>
      </c>
      <c r="T485" s="78">
        <v>0</v>
      </c>
      <c r="U485" s="78">
        <v>0</v>
      </c>
      <c r="V485" s="78">
        <v>0</v>
      </c>
      <c r="W485" s="78">
        <v>0</v>
      </c>
      <c r="X485" s="78">
        <v>0</v>
      </c>
      <c r="Y485" s="78">
        <v>0</v>
      </c>
      <c r="Z485" s="78">
        <v>0</v>
      </c>
      <c r="AA485" s="78">
        <v>0</v>
      </c>
      <c r="AB485" s="78">
        <v>0</v>
      </c>
      <c r="AC485" s="78">
        <v>0.2</v>
      </c>
      <c r="AD485" s="78">
        <v>0</v>
      </c>
      <c r="AE485" s="78">
        <v>0</v>
      </c>
      <c r="AF485" s="78">
        <v>0</v>
      </c>
      <c r="AG485" s="78">
        <v>32</v>
      </c>
      <c r="AH485" s="78" t="s">
        <v>1615</v>
      </c>
      <c r="AI485" s="78">
        <v>5</v>
      </c>
      <c r="AJ485" s="78" t="s">
        <v>1615</v>
      </c>
      <c r="AK485" s="78">
        <v>0</v>
      </c>
      <c r="AL485" s="78">
        <v>0</v>
      </c>
      <c r="AM485" s="78">
        <v>0</v>
      </c>
      <c r="AN485" s="78">
        <v>0</v>
      </c>
      <c r="AO485" s="78">
        <v>0</v>
      </c>
    </row>
    <row r="486" spans="1:41">
      <c r="A486" s="78" t="s">
        <v>2574</v>
      </c>
      <c r="B486" s="78" t="s">
        <v>1558</v>
      </c>
      <c r="C486" s="78" t="s">
        <v>366</v>
      </c>
      <c r="D486" s="78" t="s">
        <v>2562</v>
      </c>
      <c r="E486" s="78" t="s">
        <v>2575</v>
      </c>
      <c r="F486" s="78" t="s">
        <v>2557</v>
      </c>
      <c r="G486" s="78" t="s">
        <v>1614</v>
      </c>
      <c r="H486" s="78">
        <v>24</v>
      </c>
      <c r="I486" s="78">
        <v>93.1</v>
      </c>
      <c r="J486" s="78" t="s">
        <v>1615</v>
      </c>
      <c r="K486" s="78">
        <v>0</v>
      </c>
      <c r="L486" s="78">
        <v>8</v>
      </c>
      <c r="M486" s="78">
        <v>6</v>
      </c>
      <c r="N486" s="78" t="s">
        <v>1615</v>
      </c>
      <c r="O486" s="78">
        <v>0</v>
      </c>
      <c r="P486" s="78">
        <v>0</v>
      </c>
      <c r="Q486" s="78">
        <v>0</v>
      </c>
      <c r="R486" s="78">
        <v>0</v>
      </c>
      <c r="S486" s="78">
        <v>0</v>
      </c>
      <c r="T486" s="78" t="s">
        <v>1615</v>
      </c>
      <c r="U486" s="78" t="s">
        <v>1615</v>
      </c>
      <c r="V486" s="78" t="s">
        <v>1615</v>
      </c>
      <c r="W486" s="78" t="s">
        <v>1615</v>
      </c>
      <c r="X486" s="78" t="s">
        <v>1615</v>
      </c>
      <c r="Y486" s="78" t="s">
        <v>1615</v>
      </c>
      <c r="Z486" s="78" t="s">
        <v>1615</v>
      </c>
      <c r="AA486" s="78" t="s">
        <v>1615</v>
      </c>
      <c r="AB486" s="78" t="s">
        <v>1615</v>
      </c>
      <c r="AC486" s="78" t="s">
        <v>1615</v>
      </c>
      <c r="AD486" s="78" t="s">
        <v>1615</v>
      </c>
      <c r="AE486" s="78" t="s">
        <v>1615</v>
      </c>
      <c r="AF486" s="78" t="s">
        <v>1615</v>
      </c>
      <c r="AG486" s="78">
        <v>49</v>
      </c>
      <c r="AH486" s="78">
        <v>18</v>
      </c>
      <c r="AI486" s="78">
        <v>1</v>
      </c>
      <c r="AJ486" s="78" t="s">
        <v>1615</v>
      </c>
      <c r="AK486" s="78" t="s">
        <v>1615</v>
      </c>
      <c r="AL486" s="78" t="s">
        <v>1615</v>
      </c>
      <c r="AM486" s="78" t="s">
        <v>1615</v>
      </c>
      <c r="AN486" s="78" t="s">
        <v>1615</v>
      </c>
      <c r="AO486" s="78" t="s">
        <v>1615</v>
      </c>
    </row>
    <row r="487" spans="1:41">
      <c r="A487" s="78" t="s">
        <v>2576</v>
      </c>
      <c r="B487" s="78" t="s">
        <v>1558</v>
      </c>
      <c r="C487" s="78" t="s">
        <v>366</v>
      </c>
      <c r="D487" s="78" t="s">
        <v>2564</v>
      </c>
      <c r="E487" s="78" t="s">
        <v>2577</v>
      </c>
      <c r="F487" s="78" t="s">
        <v>2578</v>
      </c>
      <c r="G487" s="78" t="s">
        <v>1614</v>
      </c>
      <c r="H487" s="78">
        <v>43</v>
      </c>
      <c r="I487" s="78" t="s">
        <v>1615</v>
      </c>
      <c r="J487" s="78" t="s">
        <v>1615</v>
      </c>
      <c r="K487" s="78">
        <v>0.5</v>
      </c>
      <c r="L487" s="78">
        <v>3.6</v>
      </c>
      <c r="M487" s="78">
        <v>0</v>
      </c>
      <c r="N487" s="78">
        <v>0</v>
      </c>
      <c r="O487" s="78">
        <v>0</v>
      </c>
      <c r="P487" s="78">
        <v>0</v>
      </c>
      <c r="Q487" s="78">
        <v>0</v>
      </c>
      <c r="R487" s="78">
        <v>0</v>
      </c>
      <c r="S487" s="78" t="s">
        <v>1615</v>
      </c>
      <c r="T487" s="78">
        <v>0</v>
      </c>
      <c r="U487" s="78">
        <v>3.9</v>
      </c>
      <c r="V487" s="78">
        <v>0</v>
      </c>
      <c r="W487" s="78">
        <v>0</v>
      </c>
      <c r="X487" s="78">
        <v>0</v>
      </c>
      <c r="Y487" s="78">
        <v>0</v>
      </c>
      <c r="Z487" s="78">
        <v>0</v>
      </c>
      <c r="AA487" s="78">
        <v>0</v>
      </c>
      <c r="AB487" s="78">
        <v>0</v>
      </c>
      <c r="AC487" s="78">
        <v>0.5</v>
      </c>
      <c r="AD487" s="78">
        <v>0</v>
      </c>
      <c r="AE487" s="78">
        <v>0</v>
      </c>
      <c r="AF487" s="78">
        <v>0</v>
      </c>
      <c r="AG487" s="78">
        <v>6</v>
      </c>
      <c r="AH487" s="78">
        <v>4</v>
      </c>
      <c r="AI487" s="78">
        <v>27</v>
      </c>
      <c r="AJ487" s="78">
        <v>4</v>
      </c>
      <c r="AK487" s="78">
        <v>14</v>
      </c>
      <c r="AL487" s="78">
        <v>6</v>
      </c>
      <c r="AM487" s="78">
        <v>0</v>
      </c>
      <c r="AN487" s="78">
        <v>0</v>
      </c>
      <c r="AO487" s="78">
        <v>0</v>
      </c>
    </row>
    <row r="488" spans="1:41">
      <c r="A488" s="78" t="s">
        <v>2579</v>
      </c>
      <c r="B488" s="78" t="s">
        <v>1558</v>
      </c>
      <c r="C488" s="78" t="s">
        <v>366</v>
      </c>
      <c r="D488" s="78" t="s">
        <v>2566</v>
      </c>
      <c r="E488" s="78" t="s">
        <v>2580</v>
      </c>
      <c r="F488" s="78" t="s">
        <v>2578</v>
      </c>
      <c r="G488" s="78" t="s">
        <v>1614</v>
      </c>
      <c r="H488" s="78" t="s">
        <v>1615</v>
      </c>
      <c r="I488" s="78" t="s">
        <v>1615</v>
      </c>
      <c r="J488" s="78" t="s">
        <v>1615</v>
      </c>
      <c r="K488" s="78" t="s">
        <v>1615</v>
      </c>
      <c r="L488" s="78" t="s">
        <v>1615</v>
      </c>
      <c r="M488" s="78" t="s">
        <v>1615</v>
      </c>
      <c r="N488" s="78" t="s">
        <v>1615</v>
      </c>
      <c r="O488" s="78" t="s">
        <v>1615</v>
      </c>
      <c r="P488" s="78" t="s">
        <v>1615</v>
      </c>
      <c r="Q488" s="78" t="s">
        <v>1615</v>
      </c>
      <c r="R488" s="78" t="s">
        <v>1615</v>
      </c>
      <c r="S488" s="78" t="s">
        <v>1615</v>
      </c>
      <c r="T488" s="78" t="s">
        <v>1615</v>
      </c>
      <c r="U488" s="78">
        <v>10</v>
      </c>
      <c r="V488" s="78" t="s">
        <v>1615</v>
      </c>
      <c r="W488" s="78" t="s">
        <v>1615</v>
      </c>
      <c r="X488" s="78" t="s">
        <v>1615</v>
      </c>
      <c r="Y488" s="78" t="s">
        <v>1615</v>
      </c>
      <c r="Z488" s="78" t="s">
        <v>1615</v>
      </c>
      <c r="AA488" s="78" t="s">
        <v>1615</v>
      </c>
      <c r="AB488" s="78" t="s">
        <v>1615</v>
      </c>
      <c r="AC488" s="78" t="s">
        <v>1615</v>
      </c>
      <c r="AD488" s="78" t="s">
        <v>1615</v>
      </c>
      <c r="AE488" s="78" t="s">
        <v>1615</v>
      </c>
      <c r="AF488" s="78" t="s">
        <v>1615</v>
      </c>
      <c r="AG488" s="78" t="s">
        <v>1615</v>
      </c>
      <c r="AH488" s="78">
        <v>6</v>
      </c>
      <c r="AI488" s="78" t="s">
        <v>1615</v>
      </c>
      <c r="AJ488" s="78" t="s">
        <v>1615</v>
      </c>
      <c r="AK488" s="78" t="s">
        <v>1615</v>
      </c>
      <c r="AL488" s="78">
        <v>8</v>
      </c>
      <c r="AM488" s="78">
        <v>0.3</v>
      </c>
      <c r="AN488" s="78">
        <v>0.1</v>
      </c>
      <c r="AO488" s="78" t="s">
        <v>1615</v>
      </c>
    </row>
    <row r="489" spans="1:41">
      <c r="A489" s="78" t="s">
        <v>2581</v>
      </c>
      <c r="B489" s="78" t="s">
        <v>1558</v>
      </c>
      <c r="C489" s="78" t="s">
        <v>366</v>
      </c>
      <c r="D489" s="78" t="s">
        <v>2568</v>
      </c>
      <c r="E489" s="78" t="s">
        <v>2582</v>
      </c>
      <c r="F489" s="78" t="s">
        <v>2578</v>
      </c>
      <c r="G489" s="78" t="s">
        <v>1614</v>
      </c>
      <c r="H489" s="78" t="s">
        <v>1615</v>
      </c>
      <c r="I489" s="78" t="s">
        <v>1615</v>
      </c>
      <c r="J489" s="78" t="s">
        <v>1615</v>
      </c>
      <c r="K489" s="78">
        <v>0.1</v>
      </c>
      <c r="L489" s="78">
        <v>52.5</v>
      </c>
      <c r="M489" s="78">
        <v>38.299999999999997</v>
      </c>
      <c r="N489" s="78">
        <v>0</v>
      </c>
      <c r="O489" s="78">
        <v>0.3</v>
      </c>
      <c r="P489" s="78">
        <v>0.11</v>
      </c>
      <c r="Q489" s="78">
        <v>0.02</v>
      </c>
      <c r="R489" s="78">
        <v>0.12</v>
      </c>
      <c r="S489" s="78" t="s">
        <v>1615</v>
      </c>
      <c r="T489" s="78">
        <v>0</v>
      </c>
      <c r="U489" s="78">
        <v>16</v>
      </c>
      <c r="V489" s="78">
        <v>0</v>
      </c>
      <c r="W489" s="78">
        <v>0</v>
      </c>
      <c r="X489" s="78">
        <v>0</v>
      </c>
      <c r="Y489" s="78">
        <v>0</v>
      </c>
      <c r="Z489" s="78">
        <v>0</v>
      </c>
      <c r="AA489" s="78">
        <v>0</v>
      </c>
      <c r="AB489" s="78">
        <v>0</v>
      </c>
      <c r="AC489" s="78">
        <v>0.1</v>
      </c>
      <c r="AD489" s="78">
        <v>0</v>
      </c>
      <c r="AE489" s="78">
        <v>0</v>
      </c>
      <c r="AF489" s="78">
        <v>0</v>
      </c>
      <c r="AG489" s="78">
        <v>0</v>
      </c>
      <c r="AH489" s="78">
        <v>8</v>
      </c>
      <c r="AI489" s="78">
        <v>30</v>
      </c>
      <c r="AJ489" s="78">
        <v>1</v>
      </c>
      <c r="AK489" s="78">
        <v>6</v>
      </c>
      <c r="AL489" s="78">
        <v>3</v>
      </c>
      <c r="AM489" s="78" t="s">
        <v>1615</v>
      </c>
      <c r="AN489" s="78">
        <v>0</v>
      </c>
      <c r="AO489" s="78">
        <v>0</v>
      </c>
    </row>
    <row r="490" spans="1:41">
      <c r="A490" s="78" t="s">
        <v>2583</v>
      </c>
      <c r="B490" s="78" t="s">
        <v>1558</v>
      </c>
      <c r="C490" s="78" t="s">
        <v>366</v>
      </c>
      <c r="D490" s="78" t="s">
        <v>2570</v>
      </c>
      <c r="E490" s="78" t="s">
        <v>2584</v>
      </c>
      <c r="F490" s="78" t="s">
        <v>2578</v>
      </c>
      <c r="G490" s="78" t="s">
        <v>1614</v>
      </c>
      <c r="H490" s="78" t="s">
        <v>1615</v>
      </c>
      <c r="I490" s="78" t="s">
        <v>1615</v>
      </c>
      <c r="J490" s="78" t="s">
        <v>1615</v>
      </c>
      <c r="K490" s="78">
        <v>0</v>
      </c>
      <c r="L490" s="78">
        <v>71.400000000000006</v>
      </c>
      <c r="M490" s="78">
        <v>41.6</v>
      </c>
      <c r="N490" s="78">
        <v>0</v>
      </c>
      <c r="O490" s="78">
        <v>0.3</v>
      </c>
      <c r="P490" s="78">
        <v>0.01</v>
      </c>
      <c r="Q490" s="78">
        <v>0.02</v>
      </c>
      <c r="R490" s="78">
        <v>0.17</v>
      </c>
      <c r="S490" s="78" t="s">
        <v>1615</v>
      </c>
      <c r="T490" s="78">
        <v>0</v>
      </c>
      <c r="U490" s="78">
        <v>20.8</v>
      </c>
      <c r="V490" s="78">
        <v>0</v>
      </c>
      <c r="W490" s="78">
        <v>0</v>
      </c>
      <c r="X490" s="78">
        <v>0</v>
      </c>
      <c r="Y490" s="78">
        <v>0</v>
      </c>
      <c r="Z490" s="78">
        <v>0</v>
      </c>
      <c r="AA490" s="78">
        <v>0</v>
      </c>
      <c r="AB490" s="78">
        <v>0</v>
      </c>
      <c r="AC490" s="78">
        <v>0</v>
      </c>
      <c r="AD490" s="78">
        <v>0</v>
      </c>
      <c r="AE490" s="78">
        <v>0</v>
      </c>
      <c r="AF490" s="78">
        <v>0</v>
      </c>
      <c r="AG490" s="78">
        <v>0</v>
      </c>
      <c r="AH490" s="78">
        <v>5</v>
      </c>
      <c r="AI490" s="78">
        <v>0</v>
      </c>
      <c r="AJ490" s="78">
        <v>0</v>
      </c>
      <c r="AK490" s="78">
        <v>0</v>
      </c>
      <c r="AL490" s="78">
        <v>0</v>
      </c>
      <c r="AM490" s="78">
        <v>0.1</v>
      </c>
      <c r="AN490" s="78">
        <v>0</v>
      </c>
      <c r="AO490" s="78">
        <v>0</v>
      </c>
    </row>
    <row r="491" spans="1:41">
      <c r="A491" s="78" t="s">
        <v>2585</v>
      </c>
      <c r="B491" s="78" t="s">
        <v>1558</v>
      </c>
      <c r="C491" s="78" t="s">
        <v>366</v>
      </c>
      <c r="D491" s="78" t="s">
        <v>2572</v>
      </c>
      <c r="E491" s="78" t="s">
        <v>2586</v>
      </c>
      <c r="F491" s="78" t="s">
        <v>2578</v>
      </c>
      <c r="G491" s="78" t="s">
        <v>1614</v>
      </c>
      <c r="H491" s="78" t="s">
        <v>1615</v>
      </c>
      <c r="I491" s="78" t="s">
        <v>1615</v>
      </c>
      <c r="J491" s="78" t="s">
        <v>1615</v>
      </c>
      <c r="K491" s="78">
        <v>0</v>
      </c>
      <c r="L491" s="78" t="s">
        <v>1615</v>
      </c>
      <c r="M491" s="78" t="s">
        <v>1615</v>
      </c>
      <c r="N491" s="78" t="s">
        <v>1615</v>
      </c>
      <c r="O491" s="78" t="s">
        <v>1615</v>
      </c>
      <c r="P491" s="78" t="s">
        <v>1615</v>
      </c>
      <c r="Q491" s="78" t="s">
        <v>1615</v>
      </c>
      <c r="R491" s="78" t="s">
        <v>1615</v>
      </c>
      <c r="S491" s="78" t="s">
        <v>1615</v>
      </c>
      <c r="T491" s="78" t="s">
        <v>1615</v>
      </c>
      <c r="U491" s="78">
        <v>12</v>
      </c>
      <c r="V491" s="78" t="s">
        <v>1615</v>
      </c>
      <c r="W491" s="78" t="s">
        <v>1615</v>
      </c>
      <c r="X491" s="78" t="s">
        <v>1615</v>
      </c>
      <c r="Y491" s="78" t="s">
        <v>1615</v>
      </c>
      <c r="Z491" s="78" t="s">
        <v>1615</v>
      </c>
      <c r="AA491" s="78" t="s">
        <v>1615</v>
      </c>
      <c r="AB491" s="78" t="s">
        <v>1615</v>
      </c>
      <c r="AC491" s="78" t="s">
        <v>1615</v>
      </c>
      <c r="AD491" s="78" t="s">
        <v>1615</v>
      </c>
      <c r="AE491" s="78" t="s">
        <v>1615</v>
      </c>
      <c r="AF491" s="78" t="s">
        <v>1615</v>
      </c>
      <c r="AG491" s="78" t="s">
        <v>1615</v>
      </c>
      <c r="AH491" s="78">
        <v>11</v>
      </c>
      <c r="AI491" s="78" t="s">
        <v>1615</v>
      </c>
      <c r="AJ491" s="78" t="s">
        <v>1615</v>
      </c>
      <c r="AK491" s="78" t="s">
        <v>1615</v>
      </c>
      <c r="AL491" s="78">
        <v>2</v>
      </c>
      <c r="AM491" s="78" t="s">
        <v>1615</v>
      </c>
      <c r="AN491" s="78" t="s">
        <v>1615</v>
      </c>
      <c r="AO491" s="78" t="s">
        <v>1615</v>
      </c>
    </row>
    <row r="492" spans="1:41">
      <c r="A492" s="78" t="s">
        <v>2587</v>
      </c>
      <c r="B492" s="78" t="s">
        <v>1558</v>
      </c>
      <c r="C492" s="78" t="s">
        <v>366</v>
      </c>
      <c r="D492" s="78" t="s">
        <v>2574</v>
      </c>
      <c r="E492" s="78" t="s">
        <v>2588</v>
      </c>
      <c r="F492" s="78" t="s">
        <v>2578</v>
      </c>
      <c r="G492" s="78" t="s">
        <v>1614</v>
      </c>
      <c r="H492" s="78" t="s">
        <v>1615</v>
      </c>
      <c r="I492" s="78" t="s">
        <v>1615</v>
      </c>
      <c r="J492" s="78" t="s">
        <v>1615</v>
      </c>
      <c r="K492" s="78">
        <v>0</v>
      </c>
      <c r="L492" s="78">
        <v>2.1</v>
      </c>
      <c r="M492" s="78" t="s">
        <v>1615</v>
      </c>
      <c r="N492" s="78" t="s">
        <v>1615</v>
      </c>
      <c r="O492" s="78">
        <v>0</v>
      </c>
      <c r="P492" s="78">
        <v>0</v>
      </c>
      <c r="Q492" s="78" t="s">
        <v>1615</v>
      </c>
      <c r="R492" s="78" t="s">
        <v>1615</v>
      </c>
      <c r="S492" s="78" t="s">
        <v>1615</v>
      </c>
      <c r="T492" s="78">
        <v>0</v>
      </c>
      <c r="U492" s="78">
        <v>28</v>
      </c>
      <c r="V492" s="78" t="s">
        <v>1615</v>
      </c>
      <c r="W492" s="78" t="s">
        <v>1615</v>
      </c>
      <c r="X492" s="78" t="s">
        <v>1615</v>
      </c>
      <c r="Y492" s="78" t="s">
        <v>1615</v>
      </c>
      <c r="Z492" s="78" t="s">
        <v>1615</v>
      </c>
      <c r="AA492" s="78" t="s">
        <v>1615</v>
      </c>
      <c r="AB492" s="78" t="s">
        <v>1615</v>
      </c>
      <c r="AC492" s="78" t="s">
        <v>1615</v>
      </c>
      <c r="AD492" s="78" t="s">
        <v>1615</v>
      </c>
      <c r="AE492" s="78" t="s">
        <v>1615</v>
      </c>
      <c r="AF492" s="78" t="s">
        <v>1615</v>
      </c>
      <c r="AG492" s="78" t="s">
        <v>1615</v>
      </c>
      <c r="AH492" s="78" t="s">
        <v>1615</v>
      </c>
      <c r="AI492" s="78" t="s">
        <v>1615</v>
      </c>
      <c r="AJ492" s="78">
        <v>1</v>
      </c>
      <c r="AK492" s="78" t="s">
        <v>1615</v>
      </c>
      <c r="AL492" s="78" t="s">
        <v>1615</v>
      </c>
      <c r="AM492" s="78" t="s">
        <v>1615</v>
      </c>
      <c r="AN492" s="78" t="s">
        <v>1615</v>
      </c>
      <c r="AO492" s="78" t="s">
        <v>1615</v>
      </c>
    </row>
    <row r="493" spans="1:41">
      <c r="A493" s="78" t="s">
        <v>2589</v>
      </c>
      <c r="B493" s="78" t="s">
        <v>1558</v>
      </c>
      <c r="C493" s="78" t="s">
        <v>366</v>
      </c>
      <c r="D493" s="78" t="s">
        <v>2576</v>
      </c>
      <c r="E493" s="78" t="s">
        <v>2590</v>
      </c>
      <c r="F493" s="78" t="s">
        <v>2578</v>
      </c>
      <c r="G493" s="78" t="s">
        <v>1614</v>
      </c>
      <c r="H493" s="78" t="s">
        <v>1615</v>
      </c>
      <c r="I493" s="78" t="s">
        <v>1615</v>
      </c>
      <c r="J493" s="78" t="s">
        <v>1615</v>
      </c>
      <c r="K493" s="78">
        <v>0</v>
      </c>
      <c r="L493" s="78" t="s">
        <v>1615</v>
      </c>
      <c r="M493" s="78">
        <v>8.4</v>
      </c>
      <c r="N493" s="78" t="s">
        <v>1615</v>
      </c>
      <c r="O493" s="78" t="s">
        <v>1615</v>
      </c>
      <c r="P493" s="78" t="s">
        <v>1615</v>
      </c>
      <c r="Q493" s="78" t="s">
        <v>1615</v>
      </c>
      <c r="R493" s="78" t="s">
        <v>1615</v>
      </c>
      <c r="S493" s="78" t="s">
        <v>1615</v>
      </c>
      <c r="T493" s="78" t="s">
        <v>1615</v>
      </c>
      <c r="U493" s="78">
        <v>16</v>
      </c>
      <c r="V493" s="78" t="s">
        <v>1615</v>
      </c>
      <c r="W493" s="78" t="s">
        <v>1615</v>
      </c>
      <c r="X493" s="78" t="s">
        <v>1615</v>
      </c>
      <c r="Y493" s="78" t="s">
        <v>1615</v>
      </c>
      <c r="Z493" s="78" t="s">
        <v>1615</v>
      </c>
      <c r="AA493" s="78" t="s">
        <v>1615</v>
      </c>
      <c r="AB493" s="78" t="s">
        <v>1615</v>
      </c>
      <c r="AC493" s="78" t="s">
        <v>1615</v>
      </c>
      <c r="AD493" s="78" t="s">
        <v>1615</v>
      </c>
      <c r="AE493" s="78" t="s">
        <v>1615</v>
      </c>
      <c r="AF493" s="78" t="s">
        <v>1615</v>
      </c>
      <c r="AG493" s="78" t="s">
        <v>1615</v>
      </c>
      <c r="AH493" s="78" t="s">
        <v>1615</v>
      </c>
      <c r="AI493" s="78" t="s">
        <v>1615</v>
      </c>
      <c r="AJ493" s="78">
        <v>4</v>
      </c>
      <c r="AK493" s="78">
        <v>3</v>
      </c>
      <c r="AL493" s="78" t="s">
        <v>1615</v>
      </c>
      <c r="AM493" s="78" t="s">
        <v>1615</v>
      </c>
      <c r="AN493" s="78" t="s">
        <v>1615</v>
      </c>
      <c r="AO493" s="78" t="s">
        <v>1615</v>
      </c>
    </row>
    <row r="494" spans="1:41">
      <c r="A494" s="78" t="s">
        <v>2591</v>
      </c>
      <c r="B494" s="78" t="s">
        <v>1558</v>
      </c>
      <c r="C494" s="78" t="s">
        <v>366</v>
      </c>
      <c r="D494" s="78" t="s">
        <v>2579</v>
      </c>
      <c r="E494" s="78" t="s">
        <v>2592</v>
      </c>
      <c r="F494" s="78" t="s">
        <v>2578</v>
      </c>
      <c r="G494" s="78" t="s">
        <v>1614</v>
      </c>
      <c r="H494" s="78" t="s">
        <v>1615</v>
      </c>
      <c r="I494" s="78" t="s">
        <v>1615</v>
      </c>
      <c r="J494" s="78" t="s">
        <v>1615</v>
      </c>
      <c r="K494" s="78">
        <v>0</v>
      </c>
      <c r="L494" s="78">
        <v>0</v>
      </c>
      <c r="M494" s="78">
        <v>0</v>
      </c>
      <c r="N494" s="78">
        <v>0</v>
      </c>
      <c r="O494" s="78">
        <v>0</v>
      </c>
      <c r="P494" s="78">
        <v>0</v>
      </c>
      <c r="Q494" s="78">
        <v>0</v>
      </c>
      <c r="R494" s="78">
        <v>0</v>
      </c>
      <c r="S494" s="78" t="s">
        <v>1615</v>
      </c>
      <c r="T494" s="78">
        <v>0</v>
      </c>
      <c r="U494" s="78">
        <v>32</v>
      </c>
      <c r="V494" s="78">
        <v>0</v>
      </c>
      <c r="W494" s="78">
        <v>0</v>
      </c>
      <c r="X494" s="78">
        <v>0</v>
      </c>
      <c r="Y494" s="78">
        <v>0</v>
      </c>
      <c r="Z494" s="78">
        <v>0</v>
      </c>
      <c r="AA494" s="78">
        <v>0</v>
      </c>
      <c r="AB494" s="78">
        <v>0</v>
      </c>
      <c r="AC494" s="78">
        <v>0</v>
      </c>
      <c r="AD494" s="78">
        <v>0</v>
      </c>
      <c r="AE494" s="78">
        <v>0</v>
      </c>
      <c r="AF494" s="78">
        <v>0</v>
      </c>
      <c r="AG494" s="78">
        <v>0</v>
      </c>
      <c r="AH494" s="78">
        <v>0</v>
      </c>
      <c r="AI494" s="78">
        <v>1</v>
      </c>
      <c r="AJ494" s="78">
        <v>0</v>
      </c>
      <c r="AK494" s="78">
        <v>4</v>
      </c>
      <c r="AL494" s="78">
        <v>0</v>
      </c>
      <c r="AM494" s="78">
        <v>0</v>
      </c>
      <c r="AN494" s="78">
        <v>0</v>
      </c>
      <c r="AO494" s="78">
        <v>0</v>
      </c>
    </row>
    <row r="495" spans="1:41">
      <c r="A495" s="78" t="s">
        <v>2593</v>
      </c>
      <c r="B495" s="78" t="s">
        <v>1558</v>
      </c>
      <c r="C495" s="78" t="s">
        <v>366</v>
      </c>
      <c r="D495" s="78" t="s">
        <v>2581</v>
      </c>
      <c r="E495" s="78" t="s">
        <v>2594</v>
      </c>
      <c r="F495" s="78" t="s">
        <v>2578</v>
      </c>
      <c r="G495" s="78" t="s">
        <v>1614</v>
      </c>
      <c r="H495" s="78" t="s">
        <v>1615</v>
      </c>
      <c r="I495" s="78" t="s">
        <v>1615</v>
      </c>
      <c r="J495" s="78" t="s">
        <v>1615</v>
      </c>
      <c r="K495" s="78">
        <v>0</v>
      </c>
      <c r="L495" s="78">
        <v>0</v>
      </c>
      <c r="M495" s="78">
        <v>0</v>
      </c>
      <c r="N495" s="78">
        <v>0</v>
      </c>
      <c r="O495" s="78">
        <v>0</v>
      </c>
      <c r="P495" s="78">
        <v>0</v>
      </c>
      <c r="Q495" s="78">
        <v>0</v>
      </c>
      <c r="R495" s="78">
        <v>0</v>
      </c>
      <c r="S495" s="78" t="s">
        <v>1615</v>
      </c>
      <c r="T495" s="78">
        <v>0</v>
      </c>
      <c r="U495" s="78">
        <v>32</v>
      </c>
      <c r="V495" s="78">
        <v>0</v>
      </c>
      <c r="W495" s="78">
        <v>0</v>
      </c>
      <c r="X495" s="78">
        <v>0</v>
      </c>
      <c r="Y495" s="78">
        <v>0</v>
      </c>
      <c r="Z495" s="78">
        <v>0</v>
      </c>
      <c r="AA495" s="78">
        <v>0</v>
      </c>
      <c r="AB495" s="78">
        <v>0</v>
      </c>
      <c r="AC495" s="78">
        <v>0</v>
      </c>
      <c r="AD495" s="78">
        <v>0</v>
      </c>
      <c r="AE495" s="78">
        <v>0</v>
      </c>
      <c r="AF495" s="78">
        <v>0</v>
      </c>
      <c r="AG495" s="78">
        <v>0</v>
      </c>
      <c r="AH495" s="78">
        <v>1</v>
      </c>
      <c r="AI495" s="78">
        <v>1</v>
      </c>
      <c r="AJ495" s="78">
        <v>0</v>
      </c>
      <c r="AK495" s="78">
        <v>4</v>
      </c>
      <c r="AL495" s="78">
        <v>0</v>
      </c>
      <c r="AM495" s="78">
        <v>0</v>
      </c>
      <c r="AN495" s="78">
        <v>0</v>
      </c>
      <c r="AO495" s="78">
        <v>0</v>
      </c>
    </row>
    <row r="496" spans="1:41">
      <c r="A496" s="78" t="s">
        <v>2595</v>
      </c>
      <c r="B496" s="78" t="s">
        <v>1558</v>
      </c>
      <c r="C496" s="78" t="s">
        <v>366</v>
      </c>
      <c r="D496" s="78" t="s">
        <v>2583</v>
      </c>
      <c r="E496" s="78" t="s">
        <v>2596</v>
      </c>
      <c r="F496" s="78" t="s">
        <v>2578</v>
      </c>
      <c r="G496" s="78" t="s">
        <v>1614</v>
      </c>
      <c r="H496" s="78" t="s">
        <v>1615</v>
      </c>
      <c r="I496" s="78" t="s">
        <v>1615</v>
      </c>
      <c r="J496" s="78" t="s">
        <v>1615</v>
      </c>
      <c r="K496" s="78">
        <v>0</v>
      </c>
      <c r="L496" s="78">
        <v>0</v>
      </c>
      <c r="M496" s="78">
        <v>0</v>
      </c>
      <c r="N496" s="78">
        <v>0</v>
      </c>
      <c r="O496" s="78">
        <v>0</v>
      </c>
      <c r="P496" s="78">
        <v>0</v>
      </c>
      <c r="Q496" s="78">
        <v>0</v>
      </c>
      <c r="R496" s="78">
        <v>0</v>
      </c>
      <c r="S496" s="78" t="s">
        <v>1615</v>
      </c>
      <c r="T496" s="78">
        <v>0</v>
      </c>
      <c r="U496" s="78">
        <v>32</v>
      </c>
      <c r="V496" s="78">
        <v>0</v>
      </c>
      <c r="W496" s="78">
        <v>0</v>
      </c>
      <c r="X496" s="78">
        <v>0</v>
      </c>
      <c r="Y496" s="78">
        <v>0</v>
      </c>
      <c r="Z496" s="78">
        <v>0</v>
      </c>
      <c r="AA496" s="78">
        <v>0</v>
      </c>
      <c r="AB496" s="78">
        <v>0</v>
      </c>
      <c r="AC496" s="78">
        <v>0</v>
      </c>
      <c r="AD496" s="78">
        <v>0</v>
      </c>
      <c r="AE496" s="78">
        <v>0</v>
      </c>
      <c r="AF496" s="78">
        <v>0</v>
      </c>
      <c r="AG496" s="78">
        <v>0</v>
      </c>
      <c r="AH496" s="78">
        <v>1</v>
      </c>
      <c r="AI496" s="78">
        <v>1</v>
      </c>
      <c r="AJ496" s="78">
        <v>0</v>
      </c>
      <c r="AK496" s="78">
        <v>4</v>
      </c>
      <c r="AL496" s="78">
        <v>0</v>
      </c>
      <c r="AM496" s="78">
        <v>0</v>
      </c>
      <c r="AN496" s="78">
        <v>0</v>
      </c>
      <c r="AO496" s="78">
        <v>0</v>
      </c>
    </row>
    <row r="497" spans="1:41">
      <c r="A497" s="78" t="s">
        <v>2597</v>
      </c>
      <c r="B497" s="78" t="s">
        <v>1558</v>
      </c>
      <c r="C497" s="78" t="s">
        <v>366</v>
      </c>
      <c r="D497" s="78" t="s">
        <v>2585</v>
      </c>
      <c r="E497" s="78" t="s">
        <v>2598</v>
      </c>
      <c r="F497" s="78" t="s">
        <v>2578</v>
      </c>
      <c r="G497" s="78" t="s">
        <v>1614</v>
      </c>
      <c r="H497" s="78" t="s">
        <v>1615</v>
      </c>
      <c r="I497" s="78" t="s">
        <v>1615</v>
      </c>
      <c r="J497" s="78" t="s">
        <v>1615</v>
      </c>
      <c r="K497" s="78">
        <v>0.1</v>
      </c>
      <c r="L497" s="78">
        <v>3.3</v>
      </c>
      <c r="M497" s="78">
        <v>1</v>
      </c>
      <c r="N497" s="78">
        <v>0</v>
      </c>
      <c r="O497" s="78">
        <v>0</v>
      </c>
      <c r="P497" s="78">
        <v>0</v>
      </c>
      <c r="Q497" s="78">
        <v>0</v>
      </c>
      <c r="R497" s="78">
        <v>0</v>
      </c>
      <c r="S497" s="78" t="s">
        <v>1615</v>
      </c>
      <c r="T497" s="78">
        <v>0</v>
      </c>
      <c r="U497" s="78">
        <v>9.6</v>
      </c>
      <c r="V497" s="78">
        <v>0</v>
      </c>
      <c r="W497" s="78">
        <v>0</v>
      </c>
      <c r="X497" s="78">
        <v>0</v>
      </c>
      <c r="Y497" s="78">
        <v>0</v>
      </c>
      <c r="Z497" s="78">
        <v>0.4</v>
      </c>
      <c r="AA497" s="78">
        <v>0</v>
      </c>
      <c r="AB497" s="78">
        <v>0</v>
      </c>
      <c r="AC497" s="78">
        <v>0.1</v>
      </c>
      <c r="AD497" s="78">
        <v>0.1</v>
      </c>
      <c r="AE497" s="78">
        <v>0</v>
      </c>
      <c r="AF497" s="78">
        <v>0</v>
      </c>
      <c r="AG497" s="78">
        <v>0</v>
      </c>
      <c r="AH497" s="78">
        <v>5</v>
      </c>
      <c r="AI497" s="78">
        <v>71</v>
      </c>
      <c r="AJ497" s="78">
        <v>9</v>
      </c>
      <c r="AK497" s="78">
        <v>18</v>
      </c>
      <c r="AL497" s="78">
        <v>10</v>
      </c>
      <c r="AM497" s="78">
        <v>0.3</v>
      </c>
      <c r="AN497" s="78">
        <v>0.1</v>
      </c>
      <c r="AO497" s="78">
        <v>0</v>
      </c>
    </row>
    <row r="498" spans="1:41">
      <c r="A498" s="78" t="s">
        <v>2599</v>
      </c>
      <c r="B498" s="78" t="s">
        <v>1558</v>
      </c>
      <c r="C498" s="78" t="s">
        <v>366</v>
      </c>
      <c r="D498" s="78" t="s">
        <v>2587</v>
      </c>
      <c r="E498" s="78" t="s">
        <v>2600</v>
      </c>
      <c r="F498" s="78" t="s">
        <v>2578</v>
      </c>
      <c r="G498" s="78" t="s">
        <v>1614</v>
      </c>
      <c r="H498" s="78" t="s">
        <v>1615</v>
      </c>
      <c r="I498" s="78" t="s">
        <v>1615</v>
      </c>
      <c r="J498" s="78" t="s">
        <v>1615</v>
      </c>
      <c r="K498" s="78">
        <v>0.1</v>
      </c>
      <c r="L498" s="78">
        <v>3.6</v>
      </c>
      <c r="M498" s="78">
        <v>0.6</v>
      </c>
      <c r="N498" s="78">
        <v>0</v>
      </c>
      <c r="O498" s="78">
        <v>0</v>
      </c>
      <c r="P498" s="78">
        <v>0</v>
      </c>
      <c r="Q498" s="78">
        <v>0</v>
      </c>
      <c r="R498" s="78">
        <v>0</v>
      </c>
      <c r="S498" s="78" t="s">
        <v>1615</v>
      </c>
      <c r="T498" s="78">
        <v>0</v>
      </c>
      <c r="U498" s="78">
        <v>9.6</v>
      </c>
      <c r="V498" s="78">
        <v>0</v>
      </c>
      <c r="W498" s="78">
        <v>0</v>
      </c>
      <c r="X498" s="78">
        <v>0</v>
      </c>
      <c r="Y498" s="78">
        <v>0</v>
      </c>
      <c r="Z498" s="78">
        <v>0.4</v>
      </c>
      <c r="AA498" s="78">
        <v>0</v>
      </c>
      <c r="AB498" s="78">
        <v>0</v>
      </c>
      <c r="AC498" s="78">
        <v>0.2</v>
      </c>
      <c r="AD498" s="78">
        <v>0.1</v>
      </c>
      <c r="AE498" s="78">
        <v>0</v>
      </c>
      <c r="AF498" s="78">
        <v>0</v>
      </c>
      <c r="AG498" s="78">
        <v>0</v>
      </c>
      <c r="AH498" s="78">
        <v>4</v>
      </c>
      <c r="AI498" s="78">
        <v>127</v>
      </c>
      <c r="AJ498" s="78">
        <v>8</v>
      </c>
      <c r="AK498" s="78">
        <v>23</v>
      </c>
      <c r="AL498" s="78">
        <v>12</v>
      </c>
      <c r="AM498" s="78">
        <v>0.5</v>
      </c>
      <c r="AN498" s="78">
        <v>0.1</v>
      </c>
      <c r="AO498" s="78">
        <v>0</v>
      </c>
    </row>
    <row r="499" spans="1:41">
      <c r="A499" s="78" t="s">
        <v>2601</v>
      </c>
      <c r="B499" s="78" t="s">
        <v>1558</v>
      </c>
      <c r="C499" s="78" t="s">
        <v>366</v>
      </c>
      <c r="D499" s="78" t="s">
        <v>2589</v>
      </c>
      <c r="E499" s="78" t="s">
        <v>2602</v>
      </c>
      <c r="F499" s="78" t="s">
        <v>2578</v>
      </c>
      <c r="G499" s="78" t="s">
        <v>1614</v>
      </c>
      <c r="H499" s="78" t="s">
        <v>1615</v>
      </c>
      <c r="I499" s="78" t="s">
        <v>1615</v>
      </c>
      <c r="J499" s="78" t="s">
        <v>1615</v>
      </c>
      <c r="K499" s="78">
        <v>0.1</v>
      </c>
      <c r="L499" s="78">
        <v>1.8</v>
      </c>
      <c r="M499" s="78" t="s">
        <v>1615</v>
      </c>
      <c r="N499" s="78" t="s">
        <v>1615</v>
      </c>
      <c r="O499" s="78">
        <v>0</v>
      </c>
      <c r="P499" s="78" t="s">
        <v>1615</v>
      </c>
      <c r="Q499" s="78" t="s">
        <v>1615</v>
      </c>
      <c r="R499" s="78" t="s">
        <v>1615</v>
      </c>
      <c r="S499" s="78" t="s">
        <v>1615</v>
      </c>
      <c r="T499" s="78" t="s">
        <v>1615</v>
      </c>
      <c r="U499" s="78">
        <v>9.6</v>
      </c>
      <c r="V499" s="78" t="s">
        <v>1615</v>
      </c>
      <c r="W499" s="78" t="s">
        <v>1615</v>
      </c>
      <c r="X499" s="78" t="s">
        <v>1615</v>
      </c>
      <c r="Y499" s="78" t="s">
        <v>1615</v>
      </c>
      <c r="Z499" s="78" t="s">
        <v>1615</v>
      </c>
      <c r="AA499" s="78" t="s">
        <v>1615</v>
      </c>
      <c r="AB499" s="78" t="s">
        <v>1615</v>
      </c>
      <c r="AC499" s="78" t="s">
        <v>1615</v>
      </c>
      <c r="AD499" s="78" t="s">
        <v>1615</v>
      </c>
      <c r="AE499" s="78" t="s">
        <v>1615</v>
      </c>
      <c r="AF499" s="78" t="s">
        <v>1615</v>
      </c>
      <c r="AG499" s="78" t="s">
        <v>1615</v>
      </c>
      <c r="AH499" s="78" t="s">
        <v>1615</v>
      </c>
      <c r="AI499" s="78" t="s">
        <v>1615</v>
      </c>
      <c r="AJ499" s="78" t="s">
        <v>1615</v>
      </c>
      <c r="AK499" s="78" t="s">
        <v>1615</v>
      </c>
      <c r="AL499" s="78" t="s">
        <v>1615</v>
      </c>
      <c r="AM499" s="78" t="s">
        <v>1615</v>
      </c>
      <c r="AN499" s="78" t="s">
        <v>1615</v>
      </c>
      <c r="AO499" s="78" t="s">
        <v>1615</v>
      </c>
    </row>
    <row r="500" spans="1:41">
      <c r="A500" s="78" t="s">
        <v>2603</v>
      </c>
      <c r="B500" s="78" t="s">
        <v>1558</v>
      </c>
      <c r="C500" s="78" t="s">
        <v>366</v>
      </c>
      <c r="D500" s="78" t="s">
        <v>2591</v>
      </c>
      <c r="E500" s="78" t="s">
        <v>2604</v>
      </c>
      <c r="F500" s="78" t="s">
        <v>2605</v>
      </c>
      <c r="G500" s="78" t="s">
        <v>1614</v>
      </c>
      <c r="H500" s="78">
        <v>500</v>
      </c>
      <c r="I500" s="78">
        <v>1.2</v>
      </c>
      <c r="J500" s="78">
        <v>1.9</v>
      </c>
      <c r="K500" s="78">
        <v>5.7</v>
      </c>
      <c r="L500" s="78">
        <v>57.8</v>
      </c>
      <c r="M500" s="78">
        <v>0.8</v>
      </c>
      <c r="N500" s="78">
        <v>3.6</v>
      </c>
      <c r="O500" s="78">
        <v>30.5</v>
      </c>
      <c r="P500" s="78">
        <v>2.2200000000000002</v>
      </c>
      <c r="Q500" s="78">
        <v>16.39</v>
      </c>
      <c r="R500" s="78">
        <v>14.57</v>
      </c>
      <c r="S500" s="78" t="s">
        <v>1615</v>
      </c>
      <c r="T500" s="78" t="s">
        <v>1615</v>
      </c>
      <c r="U500" s="78" t="s">
        <v>1615</v>
      </c>
      <c r="V500" s="78" t="s">
        <v>1615</v>
      </c>
      <c r="W500" s="78" t="s">
        <v>1615</v>
      </c>
      <c r="X500" s="78" t="s">
        <v>1615</v>
      </c>
      <c r="Y500" s="78" t="s">
        <v>1615</v>
      </c>
      <c r="Z500" s="78" t="s">
        <v>1615</v>
      </c>
      <c r="AA500" s="78" t="s">
        <v>1615</v>
      </c>
      <c r="AB500" s="78" t="s">
        <v>1615</v>
      </c>
      <c r="AC500" s="78" t="s">
        <v>1615</v>
      </c>
      <c r="AD500" s="78" t="s">
        <v>1615</v>
      </c>
      <c r="AE500" s="78" t="s">
        <v>1615</v>
      </c>
      <c r="AF500" s="78" t="s">
        <v>1615</v>
      </c>
      <c r="AG500" s="78">
        <v>354</v>
      </c>
      <c r="AH500" s="78" t="s">
        <v>1615</v>
      </c>
      <c r="AI500" s="78" t="s">
        <v>1615</v>
      </c>
      <c r="AJ500" s="78" t="s">
        <v>1615</v>
      </c>
      <c r="AK500" s="78" t="s">
        <v>1615</v>
      </c>
      <c r="AL500" s="78" t="s">
        <v>1615</v>
      </c>
      <c r="AM500" s="78" t="s">
        <v>1615</v>
      </c>
      <c r="AN500" s="78" t="s">
        <v>1615</v>
      </c>
      <c r="AO500" s="78" t="s">
        <v>1615</v>
      </c>
    </row>
    <row r="501" spans="1:41">
      <c r="A501" s="78" t="s">
        <v>2606</v>
      </c>
      <c r="B501" s="78" t="s">
        <v>1558</v>
      </c>
      <c r="C501" s="78" t="s">
        <v>366</v>
      </c>
      <c r="D501" s="78" t="s">
        <v>2593</v>
      </c>
      <c r="E501" s="78" t="s">
        <v>2607</v>
      </c>
      <c r="F501" s="78" t="s">
        <v>2605</v>
      </c>
      <c r="G501" s="78" t="s">
        <v>1614</v>
      </c>
      <c r="H501" s="78">
        <v>485</v>
      </c>
      <c r="I501" s="78">
        <v>2</v>
      </c>
      <c r="J501" s="78">
        <v>1.9</v>
      </c>
      <c r="K501" s="78">
        <v>6.4</v>
      </c>
      <c r="L501" s="78">
        <v>57.8</v>
      </c>
      <c r="M501" s="78">
        <v>4.3</v>
      </c>
      <c r="N501" s="78">
        <v>4.5</v>
      </c>
      <c r="O501" s="78">
        <v>20.5</v>
      </c>
      <c r="P501" s="78">
        <v>1.68</v>
      </c>
      <c r="Q501" s="78">
        <v>16.899999999999999</v>
      </c>
      <c r="R501" s="78">
        <v>11.48</v>
      </c>
      <c r="S501" s="78" t="s">
        <v>1615</v>
      </c>
      <c r="T501" s="78" t="s">
        <v>1615</v>
      </c>
      <c r="U501" s="78" t="s">
        <v>1615</v>
      </c>
      <c r="V501" s="78" t="s">
        <v>1615</v>
      </c>
      <c r="W501" s="78" t="s">
        <v>1615</v>
      </c>
      <c r="X501" s="78" t="s">
        <v>1615</v>
      </c>
      <c r="Y501" s="78" t="s">
        <v>1615</v>
      </c>
      <c r="Z501" s="78" t="s">
        <v>1615</v>
      </c>
      <c r="AA501" s="78" t="s">
        <v>1615</v>
      </c>
      <c r="AB501" s="78" t="s">
        <v>1615</v>
      </c>
      <c r="AC501" s="78" t="s">
        <v>1615</v>
      </c>
      <c r="AD501" s="78" t="s">
        <v>1615</v>
      </c>
      <c r="AE501" s="78" t="s">
        <v>1615</v>
      </c>
      <c r="AF501" s="78" t="s">
        <v>1615</v>
      </c>
      <c r="AG501" s="78">
        <v>418</v>
      </c>
      <c r="AH501" s="78" t="s">
        <v>1615</v>
      </c>
      <c r="AI501" s="78" t="s">
        <v>1615</v>
      </c>
      <c r="AJ501" s="78" t="s">
        <v>1615</v>
      </c>
      <c r="AK501" s="78" t="s">
        <v>1615</v>
      </c>
      <c r="AL501" s="78" t="s">
        <v>1615</v>
      </c>
      <c r="AM501" s="78" t="s">
        <v>1615</v>
      </c>
      <c r="AN501" s="78" t="s">
        <v>1615</v>
      </c>
      <c r="AO501" s="78" t="s">
        <v>1615</v>
      </c>
    </row>
    <row r="502" spans="1:41">
      <c r="A502" s="78" t="s">
        <v>2608</v>
      </c>
      <c r="B502" s="78" t="s">
        <v>1558</v>
      </c>
      <c r="C502" s="78" t="s">
        <v>366</v>
      </c>
      <c r="D502" s="78" t="s">
        <v>2595</v>
      </c>
      <c r="E502" s="78" t="s">
        <v>2609</v>
      </c>
      <c r="F502" s="78" t="s">
        <v>2605</v>
      </c>
      <c r="G502" s="78" t="s">
        <v>1614</v>
      </c>
      <c r="H502" s="78">
        <v>510</v>
      </c>
      <c r="I502" s="78">
        <v>1</v>
      </c>
      <c r="J502" s="78" t="s">
        <v>1615</v>
      </c>
      <c r="K502" s="78">
        <v>6.2</v>
      </c>
      <c r="L502" s="78" t="s">
        <v>1615</v>
      </c>
      <c r="M502" s="78">
        <v>6.8</v>
      </c>
      <c r="N502" s="78">
        <v>1.2</v>
      </c>
      <c r="O502" s="78">
        <v>25.2</v>
      </c>
      <c r="P502" s="78">
        <v>3.18</v>
      </c>
      <c r="Q502" s="78">
        <v>9.41</v>
      </c>
      <c r="R502" s="78">
        <v>2.96</v>
      </c>
      <c r="S502" s="78" t="s">
        <v>1615</v>
      </c>
      <c r="T502" s="78" t="s">
        <v>1615</v>
      </c>
      <c r="U502" s="78" t="s">
        <v>1615</v>
      </c>
      <c r="V502" s="78" t="s">
        <v>1615</v>
      </c>
      <c r="W502" s="78" t="s">
        <v>1615</v>
      </c>
      <c r="X502" s="78" t="s">
        <v>1615</v>
      </c>
      <c r="Y502" s="78" t="s">
        <v>1615</v>
      </c>
      <c r="Z502" s="78" t="s">
        <v>1615</v>
      </c>
      <c r="AA502" s="78" t="s">
        <v>1615</v>
      </c>
      <c r="AB502" s="78" t="s">
        <v>1615</v>
      </c>
      <c r="AC502" s="78" t="s">
        <v>1615</v>
      </c>
      <c r="AD502" s="78" t="s">
        <v>1615</v>
      </c>
      <c r="AE502" s="78" t="s">
        <v>1615</v>
      </c>
      <c r="AF502" s="78" t="s">
        <v>1615</v>
      </c>
      <c r="AG502" s="78">
        <v>468</v>
      </c>
      <c r="AH502" s="78" t="s">
        <v>1615</v>
      </c>
      <c r="AI502" s="78" t="s">
        <v>1615</v>
      </c>
      <c r="AJ502" s="78" t="s">
        <v>1615</v>
      </c>
      <c r="AK502" s="78" t="s">
        <v>1615</v>
      </c>
      <c r="AL502" s="78" t="s">
        <v>1615</v>
      </c>
      <c r="AM502" s="78" t="s">
        <v>1615</v>
      </c>
      <c r="AN502" s="78" t="s">
        <v>1615</v>
      </c>
      <c r="AO502" s="78" t="s">
        <v>1615</v>
      </c>
    </row>
    <row r="503" spans="1:41">
      <c r="A503" s="78" t="s">
        <v>2610</v>
      </c>
      <c r="B503" s="78" t="s">
        <v>1558</v>
      </c>
      <c r="C503" s="78" t="s">
        <v>366</v>
      </c>
      <c r="D503" s="78" t="s">
        <v>2597</v>
      </c>
      <c r="E503" s="78" t="s">
        <v>2611</v>
      </c>
      <c r="F503" s="78" t="s">
        <v>2612</v>
      </c>
      <c r="G503" s="78" t="s">
        <v>1614</v>
      </c>
      <c r="H503" s="78">
        <v>418</v>
      </c>
      <c r="I503" s="78">
        <v>38</v>
      </c>
      <c r="J503" s="78">
        <v>3.5</v>
      </c>
      <c r="K503" s="78">
        <v>19.8</v>
      </c>
      <c r="L503" s="78">
        <v>10.8</v>
      </c>
      <c r="M503" s="78">
        <v>6.3</v>
      </c>
      <c r="N503" s="78">
        <v>1.8</v>
      </c>
      <c r="O503" s="78">
        <v>32.6</v>
      </c>
      <c r="P503" s="78">
        <v>7.07</v>
      </c>
      <c r="Q503" s="78">
        <v>22.16</v>
      </c>
      <c r="R503" s="78">
        <v>6.55</v>
      </c>
      <c r="S503" s="78">
        <v>1.51</v>
      </c>
      <c r="T503" s="78">
        <v>9.4</v>
      </c>
      <c r="U503" s="78">
        <v>77</v>
      </c>
      <c r="V503" s="78">
        <v>0</v>
      </c>
      <c r="W503" s="78" t="s">
        <v>1615</v>
      </c>
      <c r="X503" s="78">
        <v>7.3</v>
      </c>
      <c r="Y503" s="78">
        <v>151.1</v>
      </c>
      <c r="Z503" s="78">
        <v>0.2</v>
      </c>
      <c r="AA503" s="78">
        <v>0.2</v>
      </c>
      <c r="AB503" s="78">
        <v>0.5</v>
      </c>
      <c r="AC503" s="78">
        <v>0.1</v>
      </c>
      <c r="AD503" s="78">
        <v>0.4</v>
      </c>
      <c r="AE503" s="78">
        <v>0</v>
      </c>
      <c r="AF503" s="78">
        <v>16</v>
      </c>
      <c r="AG503" s="78">
        <v>1603</v>
      </c>
      <c r="AH503" s="78">
        <v>560</v>
      </c>
      <c r="AI503" s="78">
        <v>308</v>
      </c>
      <c r="AJ503" s="78">
        <v>273</v>
      </c>
      <c r="AK503" s="78">
        <v>47</v>
      </c>
      <c r="AL503" s="78">
        <v>2</v>
      </c>
      <c r="AM503" s="78">
        <v>3</v>
      </c>
      <c r="AN503" s="78">
        <v>0.1</v>
      </c>
      <c r="AO503" s="78">
        <v>5.4</v>
      </c>
    </row>
    <row r="504" spans="1:41">
      <c r="A504" s="78" t="s">
        <v>2613</v>
      </c>
      <c r="B504" s="78" t="s">
        <v>1558</v>
      </c>
      <c r="C504" s="78" t="s">
        <v>366</v>
      </c>
      <c r="D504" s="78" t="s">
        <v>2599</v>
      </c>
      <c r="E504" s="78" t="s">
        <v>2614</v>
      </c>
      <c r="F504" s="78" t="s">
        <v>2612</v>
      </c>
      <c r="G504" s="78" t="s">
        <v>1614</v>
      </c>
      <c r="H504" s="78">
        <v>12</v>
      </c>
      <c r="I504" s="78">
        <v>54.7</v>
      </c>
      <c r="J504" s="78">
        <v>3.1</v>
      </c>
      <c r="K504" s="78">
        <v>0.8</v>
      </c>
      <c r="L504" s="78">
        <v>3.9</v>
      </c>
      <c r="M504" s="78">
        <v>3.2</v>
      </c>
      <c r="N504" s="78">
        <v>0.9</v>
      </c>
      <c r="O504" s="78">
        <v>0.6</v>
      </c>
      <c r="P504" s="78">
        <v>0.05</v>
      </c>
      <c r="Q504" s="78">
        <v>0.08</v>
      </c>
      <c r="R504" s="78">
        <v>0.1</v>
      </c>
      <c r="S504" s="78">
        <v>0.2</v>
      </c>
      <c r="T504" s="78">
        <v>0</v>
      </c>
      <c r="U504" s="78" t="s">
        <v>1615</v>
      </c>
      <c r="V504" s="78">
        <v>6</v>
      </c>
      <c r="W504" s="78">
        <v>0</v>
      </c>
      <c r="X504" s="78">
        <v>0.8</v>
      </c>
      <c r="Y504" s="78">
        <v>1.8</v>
      </c>
      <c r="Z504" s="78">
        <v>0</v>
      </c>
      <c r="AA504" s="78">
        <v>0</v>
      </c>
      <c r="AB504" s="78">
        <v>0.6</v>
      </c>
      <c r="AC504" s="78">
        <v>0</v>
      </c>
      <c r="AD504" s="78">
        <v>0.1</v>
      </c>
      <c r="AE504" s="78" t="s">
        <v>1615</v>
      </c>
      <c r="AF504" s="78">
        <v>2</v>
      </c>
      <c r="AG504" s="78">
        <v>1027</v>
      </c>
      <c r="AH504" s="78">
        <v>232</v>
      </c>
      <c r="AI504" s="78">
        <v>33</v>
      </c>
      <c r="AJ504" s="78">
        <v>20</v>
      </c>
      <c r="AK504" s="78">
        <v>8</v>
      </c>
      <c r="AL504" s="78">
        <v>0.6</v>
      </c>
      <c r="AM504" s="78">
        <v>0.1</v>
      </c>
      <c r="AN504" s="78">
        <v>0.1</v>
      </c>
      <c r="AO504" s="78">
        <v>1.3</v>
      </c>
    </row>
    <row r="505" spans="1:41">
      <c r="A505" s="78" t="s">
        <v>2615</v>
      </c>
      <c r="B505" s="78" t="s">
        <v>1558</v>
      </c>
      <c r="C505" s="78" t="s">
        <v>366</v>
      </c>
      <c r="D505" s="78" t="s">
        <v>2601</v>
      </c>
      <c r="E505" s="78" t="s">
        <v>2616</v>
      </c>
      <c r="F505" s="78" t="s">
        <v>2612</v>
      </c>
      <c r="G505" s="78" t="s">
        <v>1614</v>
      </c>
      <c r="H505" s="78">
        <v>105</v>
      </c>
      <c r="I505" s="78">
        <v>80.7</v>
      </c>
      <c r="J505" s="78">
        <v>1.5</v>
      </c>
      <c r="K505" s="78">
        <v>3.8</v>
      </c>
      <c r="L505" s="78">
        <v>7.3</v>
      </c>
      <c r="M505" s="78">
        <v>4.8</v>
      </c>
      <c r="N505" s="78">
        <v>2.1</v>
      </c>
      <c r="O505" s="78">
        <v>6.7</v>
      </c>
      <c r="P505" s="78">
        <v>2.1</v>
      </c>
      <c r="Q505" s="78">
        <v>2.87</v>
      </c>
      <c r="R505" s="78">
        <v>1.59</v>
      </c>
      <c r="S505" s="78">
        <v>0.3</v>
      </c>
      <c r="T505" s="78">
        <v>8</v>
      </c>
      <c r="U505" s="78">
        <v>73</v>
      </c>
      <c r="V505" s="78">
        <v>0.8</v>
      </c>
      <c r="W505" s="78">
        <v>1.2</v>
      </c>
      <c r="X505" s="78">
        <v>0.2</v>
      </c>
      <c r="Y505" s="78">
        <v>0.6</v>
      </c>
      <c r="Z505" s="78">
        <v>0.1</v>
      </c>
      <c r="AA505" s="78">
        <v>0.1</v>
      </c>
      <c r="AB505" s="78">
        <v>0.3</v>
      </c>
      <c r="AC505" s="78">
        <v>0</v>
      </c>
      <c r="AD505" s="78">
        <v>0.3</v>
      </c>
      <c r="AE505" s="78" t="s">
        <v>1615</v>
      </c>
      <c r="AF505" s="78">
        <v>19</v>
      </c>
      <c r="AG505" s="78">
        <v>328</v>
      </c>
      <c r="AH505" s="78">
        <v>163</v>
      </c>
      <c r="AI505" s="78">
        <v>128</v>
      </c>
      <c r="AJ505" s="78">
        <v>101</v>
      </c>
      <c r="AK505" s="78">
        <v>15</v>
      </c>
      <c r="AL505" s="78">
        <v>0.2</v>
      </c>
      <c r="AM505" s="78">
        <v>0.4</v>
      </c>
      <c r="AN505" s="78">
        <v>0</v>
      </c>
      <c r="AO505" s="78">
        <v>2.1</v>
      </c>
    </row>
    <row r="506" spans="1:41">
      <c r="A506" s="78" t="s">
        <v>2617</v>
      </c>
      <c r="B506" s="78" t="s">
        <v>1558</v>
      </c>
      <c r="C506" s="78" t="s">
        <v>366</v>
      </c>
      <c r="D506" s="78" t="s">
        <v>2603</v>
      </c>
      <c r="E506" s="78" t="s">
        <v>2618</v>
      </c>
      <c r="F506" s="78" t="s">
        <v>2612</v>
      </c>
      <c r="G506" s="78" t="s">
        <v>1614</v>
      </c>
      <c r="H506" s="78">
        <v>24</v>
      </c>
      <c r="I506" s="78">
        <v>90.3</v>
      </c>
      <c r="J506" s="78">
        <v>1.2</v>
      </c>
      <c r="K506" s="78">
        <v>1.4</v>
      </c>
      <c r="L506" s="78">
        <v>3.8</v>
      </c>
      <c r="M506" s="78">
        <v>3.5</v>
      </c>
      <c r="N506" s="78">
        <v>1.5</v>
      </c>
      <c r="O506" s="78">
        <v>0.3</v>
      </c>
      <c r="P506" s="78">
        <v>2.4500000000000002</v>
      </c>
      <c r="Q506" s="78">
        <v>1.0900000000000001</v>
      </c>
      <c r="R506" s="78">
        <v>0.12</v>
      </c>
      <c r="S506" s="78">
        <v>3.4</v>
      </c>
      <c r="T506" s="78">
        <v>0</v>
      </c>
      <c r="U506" s="78">
        <v>22</v>
      </c>
      <c r="V506" s="78">
        <v>2.7</v>
      </c>
      <c r="W506" s="78">
        <v>0</v>
      </c>
      <c r="X506" s="78">
        <v>1.4</v>
      </c>
      <c r="Y506" s="78">
        <v>2.8</v>
      </c>
      <c r="Z506" s="78">
        <v>0</v>
      </c>
      <c r="AA506" s="78">
        <v>0</v>
      </c>
      <c r="AB506" s="78">
        <v>1.1000000000000001</v>
      </c>
      <c r="AC506" s="78">
        <v>0.1</v>
      </c>
      <c r="AD506" s="78">
        <v>0.3</v>
      </c>
      <c r="AE506" s="78">
        <v>0</v>
      </c>
      <c r="AF506" s="78">
        <v>9</v>
      </c>
      <c r="AG506" s="78">
        <v>474</v>
      </c>
      <c r="AH506" s="78">
        <v>297</v>
      </c>
      <c r="AI506" s="78">
        <v>10</v>
      </c>
      <c r="AJ506" s="78">
        <v>27</v>
      </c>
      <c r="AK506" s="78">
        <v>16</v>
      </c>
      <c r="AL506" s="78">
        <v>1.9</v>
      </c>
      <c r="AM506" s="78">
        <v>0.2</v>
      </c>
      <c r="AN506" s="78">
        <v>0.1</v>
      </c>
      <c r="AO506" s="78">
        <v>0.6</v>
      </c>
    </row>
    <row r="507" spans="1:41">
      <c r="A507" s="78" t="s">
        <v>2619</v>
      </c>
      <c r="B507" s="78" t="s">
        <v>1558</v>
      </c>
      <c r="C507" s="78" t="s">
        <v>366</v>
      </c>
      <c r="D507" s="78" t="s">
        <v>2606</v>
      </c>
      <c r="E507" s="78" t="s">
        <v>2620</v>
      </c>
      <c r="F507" s="78" t="s">
        <v>2612</v>
      </c>
      <c r="G507" s="78" t="s">
        <v>1614</v>
      </c>
      <c r="H507" s="78">
        <v>21</v>
      </c>
      <c r="I507" s="78">
        <v>86.1</v>
      </c>
      <c r="J507" s="78">
        <v>2.1</v>
      </c>
      <c r="K507" s="78">
        <v>1.6</v>
      </c>
      <c r="L507" s="78">
        <v>8.1999999999999993</v>
      </c>
      <c r="M507" s="78" t="s">
        <v>1615</v>
      </c>
      <c r="N507" s="78">
        <v>1.8</v>
      </c>
      <c r="O507" s="78">
        <v>0.2</v>
      </c>
      <c r="P507" s="78">
        <v>0.03</v>
      </c>
      <c r="Q507" s="78">
        <v>0.03</v>
      </c>
      <c r="R507" s="78">
        <v>0.08</v>
      </c>
      <c r="S507" s="78" t="s">
        <v>1615</v>
      </c>
      <c r="T507" s="78">
        <v>10</v>
      </c>
      <c r="U507" s="78">
        <v>43</v>
      </c>
      <c r="V507" s="78">
        <v>12.7</v>
      </c>
      <c r="W507" s="78">
        <v>0</v>
      </c>
      <c r="X507" s="78" t="s">
        <v>1615</v>
      </c>
      <c r="Y507" s="78" t="s">
        <v>1615</v>
      </c>
      <c r="Z507" s="78">
        <v>0.1</v>
      </c>
      <c r="AA507" s="78">
        <v>0.1</v>
      </c>
      <c r="AB507" s="78">
        <v>1.1000000000000001</v>
      </c>
      <c r="AC507" s="78">
        <v>0.3</v>
      </c>
      <c r="AD507" s="78">
        <v>0.4</v>
      </c>
      <c r="AE507" s="78">
        <v>0</v>
      </c>
      <c r="AF507" s="78" t="s">
        <v>1615</v>
      </c>
      <c r="AG507" s="78">
        <v>551</v>
      </c>
      <c r="AH507" s="78">
        <v>413</v>
      </c>
      <c r="AI507" s="78">
        <v>10</v>
      </c>
      <c r="AJ507" s="78">
        <v>39</v>
      </c>
      <c r="AK507" s="78">
        <v>19</v>
      </c>
      <c r="AL507" s="78">
        <v>0.9</v>
      </c>
      <c r="AM507" s="78">
        <v>0.2</v>
      </c>
      <c r="AN507" s="78">
        <v>0.2</v>
      </c>
      <c r="AO507" s="78" t="s">
        <v>1615</v>
      </c>
    </row>
    <row r="508" spans="1:41">
      <c r="A508" s="78" t="s">
        <v>2621</v>
      </c>
      <c r="B508" s="78" t="s">
        <v>1558</v>
      </c>
      <c r="C508" s="78" t="s">
        <v>366</v>
      </c>
      <c r="D508" s="78" t="s">
        <v>2608</v>
      </c>
      <c r="E508" s="78" t="s">
        <v>2622</v>
      </c>
      <c r="F508" s="78" t="s">
        <v>2612</v>
      </c>
      <c r="G508" s="78" t="s">
        <v>1614</v>
      </c>
      <c r="H508" s="78">
        <v>211</v>
      </c>
      <c r="I508" s="78">
        <v>67</v>
      </c>
      <c r="J508" s="78">
        <v>2</v>
      </c>
      <c r="K508" s="78">
        <v>1</v>
      </c>
      <c r="L508" s="78">
        <v>12.8</v>
      </c>
      <c r="M508" s="78">
        <v>4.3</v>
      </c>
      <c r="N508" s="78">
        <v>0.5</v>
      </c>
      <c r="O508" s="78">
        <v>16.7</v>
      </c>
      <c r="P508" s="78">
        <v>3.33</v>
      </c>
      <c r="Q508" s="78">
        <v>3.61</v>
      </c>
      <c r="R508" s="78">
        <v>9.0399999999999991</v>
      </c>
      <c r="S508" s="78" t="s">
        <v>1615</v>
      </c>
      <c r="T508" s="78">
        <v>7</v>
      </c>
      <c r="U508" s="78">
        <v>11</v>
      </c>
      <c r="V508" s="78">
        <v>2.2999999999999998</v>
      </c>
      <c r="W508" s="78">
        <v>0</v>
      </c>
      <c r="X508" s="78">
        <v>1.1000000000000001</v>
      </c>
      <c r="Y508" s="78">
        <v>50.4</v>
      </c>
      <c r="Z508" s="78">
        <v>0</v>
      </c>
      <c r="AA508" s="78">
        <v>0</v>
      </c>
      <c r="AB508" s="78">
        <v>1.3</v>
      </c>
      <c r="AC508" s="78">
        <v>0</v>
      </c>
      <c r="AD508" s="78">
        <v>0.1</v>
      </c>
      <c r="AE508" s="78">
        <v>0</v>
      </c>
      <c r="AF508" s="78" t="s">
        <v>1615</v>
      </c>
      <c r="AG508" s="78">
        <v>667</v>
      </c>
      <c r="AH508" s="78">
        <v>68</v>
      </c>
      <c r="AI508" s="78">
        <v>26</v>
      </c>
      <c r="AJ508" s="78">
        <v>14</v>
      </c>
      <c r="AK508" s="78">
        <v>6</v>
      </c>
      <c r="AL508" s="78">
        <v>0.3</v>
      </c>
      <c r="AM508" s="78">
        <v>0.1</v>
      </c>
      <c r="AN508" s="78">
        <v>0</v>
      </c>
      <c r="AO508" s="78">
        <v>0.8</v>
      </c>
    </row>
    <row r="509" spans="1:41">
      <c r="A509" s="78" t="s">
        <v>2623</v>
      </c>
      <c r="B509" s="78" t="s">
        <v>1558</v>
      </c>
      <c r="C509" s="78" t="s">
        <v>366</v>
      </c>
      <c r="D509" s="78" t="s">
        <v>2610</v>
      </c>
      <c r="E509" s="78" t="s">
        <v>2624</v>
      </c>
      <c r="F509" s="78" t="s">
        <v>2612</v>
      </c>
      <c r="G509" s="78" t="s">
        <v>1614</v>
      </c>
      <c r="H509" s="78">
        <v>89</v>
      </c>
      <c r="I509" s="78">
        <v>67.7</v>
      </c>
      <c r="J509" s="78">
        <v>10.4</v>
      </c>
      <c r="K509" s="78">
        <v>5.9</v>
      </c>
      <c r="L509" s="78">
        <v>15.8</v>
      </c>
      <c r="M509" s="78">
        <v>14.1</v>
      </c>
      <c r="N509" s="78">
        <v>0.1</v>
      </c>
      <c r="O509" s="78">
        <v>0</v>
      </c>
      <c r="P509" s="78">
        <v>0</v>
      </c>
      <c r="Q509" s="78">
        <v>0</v>
      </c>
      <c r="R509" s="78">
        <v>0</v>
      </c>
      <c r="S509" s="78" t="s">
        <v>1615</v>
      </c>
      <c r="T509" s="78">
        <v>0</v>
      </c>
      <c r="U509" s="78">
        <v>0</v>
      </c>
      <c r="V509" s="78">
        <v>0</v>
      </c>
      <c r="W509" s="78">
        <v>0</v>
      </c>
      <c r="X509" s="78">
        <v>1.7</v>
      </c>
      <c r="Y509" s="78">
        <v>0</v>
      </c>
      <c r="Z509" s="78">
        <v>0</v>
      </c>
      <c r="AA509" s="78">
        <v>0.1</v>
      </c>
      <c r="AB509" s="78" t="s">
        <v>1615</v>
      </c>
      <c r="AC509" s="78">
        <v>0.1</v>
      </c>
      <c r="AD509" s="78">
        <v>0.2</v>
      </c>
      <c r="AE509" s="78">
        <v>0</v>
      </c>
      <c r="AF509" s="78" t="s">
        <v>1615</v>
      </c>
      <c r="AG509" s="78">
        <v>3833</v>
      </c>
      <c r="AH509" s="78">
        <v>225</v>
      </c>
      <c r="AI509" s="78">
        <v>25</v>
      </c>
      <c r="AJ509" s="78">
        <v>154</v>
      </c>
      <c r="AK509" s="78">
        <v>61</v>
      </c>
      <c r="AL509" s="78">
        <v>1.7</v>
      </c>
      <c r="AM509" s="78" t="s">
        <v>1615</v>
      </c>
      <c r="AN509" s="78">
        <v>0.1</v>
      </c>
      <c r="AO509" s="78">
        <v>0.9</v>
      </c>
    </row>
    <row r="510" spans="1:41">
      <c r="A510" s="78" t="s">
        <v>2625</v>
      </c>
      <c r="B510" s="78" t="s">
        <v>1558</v>
      </c>
      <c r="C510" s="78" t="s">
        <v>366</v>
      </c>
      <c r="D510" s="78" t="s">
        <v>2613</v>
      </c>
      <c r="E510" s="78" t="s">
        <v>2626</v>
      </c>
      <c r="F510" s="78" t="s">
        <v>2612</v>
      </c>
      <c r="G510" s="78" t="s">
        <v>1614</v>
      </c>
      <c r="H510" s="78">
        <v>36</v>
      </c>
      <c r="I510" s="78">
        <v>89.5</v>
      </c>
      <c r="J510" s="78">
        <v>2.2000000000000002</v>
      </c>
      <c r="K510" s="78">
        <v>1.1000000000000001</v>
      </c>
      <c r="L510" s="78">
        <v>5.5</v>
      </c>
      <c r="M510" s="78">
        <v>3.5</v>
      </c>
      <c r="N510" s="78">
        <v>1.9</v>
      </c>
      <c r="O510" s="78">
        <v>0.9</v>
      </c>
      <c r="P510" s="78">
        <v>0</v>
      </c>
      <c r="Q510" s="78">
        <v>0</v>
      </c>
      <c r="R510" s="78">
        <v>0</v>
      </c>
      <c r="S510" s="78" t="s">
        <v>1615</v>
      </c>
      <c r="T510" s="78">
        <v>0</v>
      </c>
      <c r="U510" s="78">
        <v>11</v>
      </c>
      <c r="V510" s="78">
        <v>12.3</v>
      </c>
      <c r="W510" s="78">
        <v>0</v>
      </c>
      <c r="X510" s="78">
        <v>0.4</v>
      </c>
      <c r="Y510" s="78">
        <v>8.6</v>
      </c>
      <c r="Z510" s="78">
        <v>0</v>
      </c>
      <c r="AA510" s="78">
        <v>0</v>
      </c>
      <c r="AB510" s="78" t="s">
        <v>1615</v>
      </c>
      <c r="AC510" s="78">
        <v>0.1</v>
      </c>
      <c r="AD510" s="78">
        <v>0.2</v>
      </c>
      <c r="AE510" s="78">
        <v>0</v>
      </c>
      <c r="AF510" s="78" t="s">
        <v>1615</v>
      </c>
      <c r="AG510" s="78">
        <v>500</v>
      </c>
      <c r="AH510" s="78">
        <v>259</v>
      </c>
      <c r="AI510" s="78">
        <v>9</v>
      </c>
      <c r="AJ510" s="78">
        <v>41</v>
      </c>
      <c r="AK510" s="78">
        <v>19</v>
      </c>
      <c r="AL510" s="78">
        <v>0.7</v>
      </c>
      <c r="AM510" s="78" t="s">
        <v>1615</v>
      </c>
      <c r="AN510" s="78">
        <v>0.1</v>
      </c>
      <c r="AO510" s="78">
        <v>1.1000000000000001</v>
      </c>
    </row>
    <row r="511" spans="1:41">
      <c r="A511" s="78" t="s">
        <v>2627</v>
      </c>
      <c r="B511" s="78" t="s">
        <v>1558</v>
      </c>
      <c r="C511" s="78" t="s">
        <v>366</v>
      </c>
      <c r="D511" s="78" t="s">
        <v>2615</v>
      </c>
      <c r="E511" s="78" t="s">
        <v>2628</v>
      </c>
      <c r="F511" s="78" t="s">
        <v>2629</v>
      </c>
      <c r="G511" s="78" t="s">
        <v>1614</v>
      </c>
      <c r="H511" s="78">
        <v>331</v>
      </c>
      <c r="I511" s="78">
        <v>6.5</v>
      </c>
      <c r="J511" s="78">
        <v>0</v>
      </c>
      <c r="K511" s="78">
        <v>16.600000000000001</v>
      </c>
      <c r="L511" s="78">
        <v>63.7</v>
      </c>
      <c r="M511" s="78">
        <v>2.4</v>
      </c>
      <c r="N511" s="78">
        <v>9</v>
      </c>
      <c r="O511" s="78">
        <v>0.7</v>
      </c>
      <c r="P511" s="78">
        <v>0.25</v>
      </c>
      <c r="Q511" s="78">
        <v>0.12</v>
      </c>
      <c r="R511" s="78">
        <v>0.18</v>
      </c>
      <c r="S511" s="78" t="s">
        <v>1615</v>
      </c>
      <c r="T511" s="78">
        <v>0</v>
      </c>
      <c r="U511" s="78">
        <v>0</v>
      </c>
      <c r="V511" s="78">
        <v>1.2</v>
      </c>
      <c r="W511" s="78">
        <v>0</v>
      </c>
      <c r="X511" s="78">
        <v>0.7</v>
      </c>
      <c r="Y511" s="78">
        <v>0.4</v>
      </c>
      <c r="Z511" s="78">
        <v>0.4</v>
      </c>
      <c r="AA511" s="78">
        <v>0.1</v>
      </c>
      <c r="AB511" s="78">
        <v>0.8</v>
      </c>
      <c r="AC511" s="78">
        <v>1.7</v>
      </c>
      <c r="AD511" s="78">
        <v>0.7</v>
      </c>
      <c r="AE511" s="78">
        <v>0</v>
      </c>
      <c r="AF511" s="78">
        <v>47</v>
      </c>
      <c r="AG511" s="78">
        <v>60</v>
      </c>
      <c r="AH511" s="78">
        <v>1193</v>
      </c>
      <c r="AI511" s="78">
        <v>79</v>
      </c>
      <c r="AJ511" s="78">
        <v>414</v>
      </c>
      <c r="AK511" s="78">
        <v>77</v>
      </c>
      <c r="AL511" s="78">
        <v>5.7</v>
      </c>
      <c r="AM511" s="78">
        <v>3</v>
      </c>
      <c r="AN511" s="78">
        <v>0.5</v>
      </c>
      <c r="AO511" s="78">
        <v>23.9</v>
      </c>
    </row>
    <row r="512" spans="1:41">
      <c r="A512" s="78" t="s">
        <v>2630</v>
      </c>
      <c r="B512" s="78" t="s">
        <v>1558</v>
      </c>
      <c r="C512" s="78" t="s">
        <v>366</v>
      </c>
      <c r="D512" s="78" t="s">
        <v>2617</v>
      </c>
      <c r="E512" s="78" t="s">
        <v>2631</v>
      </c>
      <c r="F512" s="78" t="s">
        <v>2629</v>
      </c>
      <c r="G512" s="78" t="s">
        <v>1614</v>
      </c>
      <c r="H512" s="78">
        <v>23</v>
      </c>
      <c r="I512" s="78">
        <v>92.1</v>
      </c>
      <c r="J512" s="78">
        <v>1.5</v>
      </c>
      <c r="K512" s="78">
        <v>3.2</v>
      </c>
      <c r="L512" s="78">
        <v>1.1000000000000001</v>
      </c>
      <c r="M512" s="78">
        <v>0.3</v>
      </c>
      <c r="N512" s="78">
        <v>1.6</v>
      </c>
      <c r="O512" s="78">
        <v>0.6</v>
      </c>
      <c r="P512" s="78">
        <v>0.04</v>
      </c>
      <c r="Q512" s="78">
        <v>0.09</v>
      </c>
      <c r="R512" s="78">
        <v>0.39</v>
      </c>
      <c r="S512" s="78" t="s">
        <v>1615</v>
      </c>
      <c r="T512" s="78">
        <v>0</v>
      </c>
      <c r="U512" s="78">
        <v>264</v>
      </c>
      <c r="V512" s="78">
        <v>18</v>
      </c>
      <c r="W512" s="78">
        <v>0</v>
      </c>
      <c r="X512" s="78">
        <v>0.8</v>
      </c>
      <c r="Y512" s="78">
        <v>414.8</v>
      </c>
      <c r="Z512" s="78">
        <v>0</v>
      </c>
      <c r="AA512" s="78">
        <v>0.1</v>
      </c>
      <c r="AB512" s="78">
        <v>0.9</v>
      </c>
      <c r="AC512" s="78">
        <v>0.2</v>
      </c>
      <c r="AD512" s="78">
        <v>0.2</v>
      </c>
      <c r="AE512" s="78">
        <v>0</v>
      </c>
      <c r="AF512" s="78">
        <v>68</v>
      </c>
      <c r="AG512" s="78">
        <v>4</v>
      </c>
      <c r="AH512" s="78">
        <v>295</v>
      </c>
      <c r="AI512" s="78">
        <v>177</v>
      </c>
      <c r="AJ512" s="78">
        <v>56</v>
      </c>
      <c r="AK512" s="78">
        <v>64</v>
      </c>
      <c r="AL512" s="78">
        <v>3.2</v>
      </c>
      <c r="AM512" s="78">
        <v>0.8</v>
      </c>
      <c r="AN512" s="78">
        <v>0.4</v>
      </c>
      <c r="AO512" s="78">
        <v>0.3</v>
      </c>
    </row>
    <row r="513" spans="1:41">
      <c r="A513" s="78" t="s">
        <v>2632</v>
      </c>
      <c r="B513" s="78" t="s">
        <v>1558</v>
      </c>
      <c r="C513" s="78" t="s">
        <v>366</v>
      </c>
      <c r="D513" s="78" t="s">
        <v>2619</v>
      </c>
      <c r="E513" s="78" t="s">
        <v>2633</v>
      </c>
      <c r="F513" s="78" t="s">
        <v>2629</v>
      </c>
      <c r="G513" s="78" t="s">
        <v>1614</v>
      </c>
      <c r="H513" s="78">
        <v>233</v>
      </c>
      <c r="I513" s="78">
        <v>10.4</v>
      </c>
      <c r="J513" s="78">
        <v>14.9</v>
      </c>
      <c r="K513" s="78">
        <v>23</v>
      </c>
      <c r="L513" s="78">
        <v>10.1</v>
      </c>
      <c r="M513" s="78">
        <v>1.7</v>
      </c>
      <c r="N513" s="78">
        <v>37.700000000000003</v>
      </c>
      <c r="O513" s="78">
        <v>4.0999999999999996</v>
      </c>
      <c r="P513" s="78">
        <v>2.16</v>
      </c>
      <c r="Q513" s="78">
        <v>1.24</v>
      </c>
      <c r="R513" s="78">
        <v>0.5</v>
      </c>
      <c r="S513" s="78" t="s">
        <v>1615</v>
      </c>
      <c r="T513" s="78">
        <v>0</v>
      </c>
      <c r="U513" s="78">
        <v>37</v>
      </c>
      <c r="V513" s="78">
        <v>0.8</v>
      </c>
      <c r="W513" s="78">
        <v>0</v>
      </c>
      <c r="X513" s="78">
        <v>10.7</v>
      </c>
      <c r="Y513" s="78">
        <v>1714.5</v>
      </c>
      <c r="Z513" s="78">
        <v>0.1</v>
      </c>
      <c r="AA513" s="78">
        <v>0.1</v>
      </c>
      <c r="AB513" s="78">
        <v>4.9000000000000004</v>
      </c>
      <c r="AC513" s="78">
        <v>1.3</v>
      </c>
      <c r="AD513" s="78">
        <v>0.8</v>
      </c>
      <c r="AE513" s="78">
        <v>0</v>
      </c>
      <c r="AF513" s="78">
        <v>310</v>
      </c>
      <c r="AG513" s="78">
        <v>76</v>
      </c>
      <c r="AH513" s="78">
        <v>2630</v>
      </c>
      <c r="AI513" s="78">
        <v>2240</v>
      </c>
      <c r="AJ513" s="78">
        <v>274</v>
      </c>
      <c r="AK513" s="78">
        <v>711</v>
      </c>
      <c r="AL513" s="78">
        <v>89.8</v>
      </c>
      <c r="AM513" s="78">
        <v>7.1</v>
      </c>
      <c r="AN513" s="78">
        <v>2.1</v>
      </c>
      <c r="AO513" s="78">
        <v>3</v>
      </c>
    </row>
    <row r="514" spans="1:41">
      <c r="A514" s="78" t="s">
        <v>2634</v>
      </c>
      <c r="B514" s="78" t="s">
        <v>1558</v>
      </c>
      <c r="C514" s="78" t="s">
        <v>366</v>
      </c>
      <c r="D514" s="78" t="s">
        <v>2621</v>
      </c>
      <c r="E514" s="78" t="s">
        <v>2635</v>
      </c>
      <c r="F514" s="78" t="s">
        <v>2629</v>
      </c>
      <c r="G514" s="78" t="s">
        <v>1614</v>
      </c>
      <c r="H514" s="78">
        <v>310</v>
      </c>
      <c r="I514" s="78">
        <v>11.9</v>
      </c>
      <c r="J514" s="78">
        <v>5.5</v>
      </c>
      <c r="K514" s="78">
        <v>11.4</v>
      </c>
      <c r="L514" s="78">
        <v>61.5</v>
      </c>
      <c r="M514" s="78" t="s">
        <v>1615</v>
      </c>
      <c r="N514" s="78">
        <v>3.9</v>
      </c>
      <c r="O514" s="78">
        <v>5.9</v>
      </c>
      <c r="P514" s="78">
        <v>1.59</v>
      </c>
      <c r="Q514" s="78">
        <v>0.43</v>
      </c>
      <c r="R514" s="78">
        <v>2.0699999999999998</v>
      </c>
      <c r="S514" s="78" t="s">
        <v>1615</v>
      </c>
      <c r="T514" s="78">
        <v>0</v>
      </c>
      <c r="U514" s="78">
        <v>27</v>
      </c>
      <c r="V514" s="78">
        <v>80.8</v>
      </c>
      <c r="W514" s="78">
        <v>0</v>
      </c>
      <c r="X514" s="78" t="s">
        <v>1615</v>
      </c>
      <c r="Y514" s="78" t="s">
        <v>1615</v>
      </c>
      <c r="Z514" s="78">
        <v>0.1</v>
      </c>
      <c r="AA514" s="78">
        <v>0.3</v>
      </c>
      <c r="AB514" s="78">
        <v>1.5</v>
      </c>
      <c r="AC514" s="78">
        <v>1</v>
      </c>
      <c r="AD514" s="78" t="s">
        <v>1615</v>
      </c>
      <c r="AE514" s="78">
        <v>0</v>
      </c>
      <c r="AF514" s="78">
        <v>93</v>
      </c>
      <c r="AG514" s="78">
        <v>148</v>
      </c>
      <c r="AH514" s="78">
        <v>1724</v>
      </c>
      <c r="AI514" s="78">
        <v>111</v>
      </c>
      <c r="AJ514" s="78">
        <v>252</v>
      </c>
      <c r="AK514" s="78">
        <v>264</v>
      </c>
      <c r="AL514" s="78">
        <v>11.1</v>
      </c>
      <c r="AM514" s="78">
        <v>1.1000000000000001</v>
      </c>
      <c r="AN514" s="78">
        <v>0.3</v>
      </c>
      <c r="AO514" s="78">
        <v>5.6</v>
      </c>
    </row>
    <row r="515" spans="1:41">
      <c r="A515" s="78" t="s">
        <v>2636</v>
      </c>
      <c r="B515" s="78" t="s">
        <v>1558</v>
      </c>
      <c r="C515" s="78" t="s">
        <v>366</v>
      </c>
      <c r="D515" s="78" t="s">
        <v>2623</v>
      </c>
      <c r="E515" s="78" t="s">
        <v>2637</v>
      </c>
      <c r="F515" s="78" t="s">
        <v>2629</v>
      </c>
      <c r="G515" s="78" t="s">
        <v>1614</v>
      </c>
      <c r="H515" s="78">
        <v>247</v>
      </c>
      <c r="I515" s="78">
        <v>10.6</v>
      </c>
      <c r="J515" s="78" t="s">
        <v>1615</v>
      </c>
      <c r="K515" s="78">
        <v>4</v>
      </c>
      <c r="L515" s="78">
        <v>27.5</v>
      </c>
      <c r="M515" s="78">
        <v>2.2000000000000002</v>
      </c>
      <c r="N515" s="78">
        <v>53.1</v>
      </c>
      <c r="O515" s="78">
        <v>1.2</v>
      </c>
      <c r="P515" s="78">
        <v>0.35</v>
      </c>
      <c r="Q515" s="78">
        <v>0.25</v>
      </c>
      <c r="R515" s="78">
        <v>7.0000000000000007E-2</v>
      </c>
      <c r="S515" s="78" t="s">
        <v>1615</v>
      </c>
      <c r="T515" s="78">
        <v>0</v>
      </c>
      <c r="U515" s="78">
        <v>9</v>
      </c>
      <c r="V515" s="78">
        <v>3.8</v>
      </c>
      <c r="W515" s="78">
        <v>0</v>
      </c>
      <c r="X515" s="78">
        <v>2.2999999999999998</v>
      </c>
      <c r="Y515" s="78">
        <v>31.2</v>
      </c>
      <c r="Z515" s="78">
        <v>0</v>
      </c>
      <c r="AA515" s="78">
        <v>0</v>
      </c>
      <c r="AB515" s="78">
        <v>1.3</v>
      </c>
      <c r="AC515" s="78">
        <v>0.2</v>
      </c>
      <c r="AD515" s="78">
        <v>0.4</v>
      </c>
      <c r="AE515" s="78">
        <v>0</v>
      </c>
      <c r="AF515" s="78">
        <v>6</v>
      </c>
      <c r="AG515" s="78">
        <v>10</v>
      </c>
      <c r="AH515" s="78">
        <v>431</v>
      </c>
      <c r="AI515" s="78">
        <v>1002</v>
      </c>
      <c r="AJ515" s="78">
        <v>64</v>
      </c>
      <c r="AK515" s="78">
        <v>60</v>
      </c>
      <c r="AL515" s="78">
        <v>8.3000000000000007</v>
      </c>
      <c r="AM515" s="78">
        <v>1.8</v>
      </c>
      <c r="AN515" s="78">
        <v>0.3</v>
      </c>
      <c r="AO515" s="78">
        <v>3.1</v>
      </c>
    </row>
    <row r="516" spans="1:41">
      <c r="A516" s="78" t="s">
        <v>2638</v>
      </c>
      <c r="B516" s="78" t="s">
        <v>1558</v>
      </c>
      <c r="C516" s="78" t="s">
        <v>366</v>
      </c>
      <c r="D516" s="78" t="s">
        <v>2625</v>
      </c>
      <c r="E516" s="78" t="s">
        <v>2639</v>
      </c>
      <c r="F516" s="78" t="s">
        <v>2629</v>
      </c>
      <c r="G516" s="78" t="s">
        <v>1614</v>
      </c>
      <c r="H516" s="78">
        <v>311</v>
      </c>
      <c r="I516" s="78">
        <v>8.3000000000000007</v>
      </c>
      <c r="J516" s="78">
        <v>5.8</v>
      </c>
      <c r="K516" s="78">
        <v>10.8</v>
      </c>
      <c r="L516" s="78">
        <v>40.5</v>
      </c>
      <c r="M516" s="78" t="s">
        <v>1615</v>
      </c>
      <c r="N516" s="78">
        <v>28</v>
      </c>
      <c r="O516" s="78">
        <v>6.7</v>
      </c>
      <c r="P516" s="78">
        <v>0.68</v>
      </c>
      <c r="Q516" s="78">
        <v>0.87</v>
      </c>
      <c r="R516" s="78">
        <v>0.43</v>
      </c>
      <c r="S516" s="78" t="s">
        <v>1615</v>
      </c>
      <c r="T516" s="78">
        <v>0</v>
      </c>
      <c r="U516" s="78" t="s">
        <v>1615</v>
      </c>
      <c r="V516" s="78" t="s">
        <v>1615</v>
      </c>
      <c r="W516" s="78">
        <v>0</v>
      </c>
      <c r="X516" s="78" t="s">
        <v>1615</v>
      </c>
      <c r="Y516" s="78" t="s">
        <v>1615</v>
      </c>
      <c r="Z516" s="78">
        <v>0.2</v>
      </c>
      <c r="AA516" s="78">
        <v>0.2</v>
      </c>
      <c r="AB516" s="78">
        <v>1.1000000000000001</v>
      </c>
      <c r="AC516" s="78" t="s">
        <v>1615</v>
      </c>
      <c r="AD516" s="78" t="s">
        <v>1615</v>
      </c>
      <c r="AE516" s="78">
        <v>0</v>
      </c>
      <c r="AF516" s="78" t="s">
        <v>1615</v>
      </c>
      <c r="AG516" s="78">
        <v>18</v>
      </c>
      <c r="AH516" s="78" t="s">
        <v>1615</v>
      </c>
      <c r="AI516" s="78">
        <v>383</v>
      </c>
      <c r="AJ516" s="78">
        <v>178</v>
      </c>
      <c r="AK516" s="78">
        <v>229</v>
      </c>
      <c r="AL516" s="78">
        <v>14</v>
      </c>
      <c r="AM516" s="78" t="s">
        <v>1615</v>
      </c>
      <c r="AN516" s="78">
        <v>0.4</v>
      </c>
      <c r="AO516" s="78" t="s">
        <v>1615</v>
      </c>
    </row>
    <row r="517" spans="1:41">
      <c r="A517" s="78" t="s">
        <v>2640</v>
      </c>
      <c r="B517" s="78" t="s">
        <v>1558</v>
      </c>
      <c r="C517" s="78" t="s">
        <v>366</v>
      </c>
      <c r="D517" s="78" t="s">
        <v>2627</v>
      </c>
      <c r="E517" s="78" t="s">
        <v>2641</v>
      </c>
      <c r="F517" s="78" t="s">
        <v>2629</v>
      </c>
      <c r="G517" s="78" t="s">
        <v>1614</v>
      </c>
      <c r="H517" s="78">
        <v>341</v>
      </c>
      <c r="I517" s="78">
        <v>9.9</v>
      </c>
      <c r="J517" s="78">
        <v>4</v>
      </c>
      <c r="K517" s="78">
        <v>10.4</v>
      </c>
      <c r="L517" s="78">
        <v>63.9</v>
      </c>
      <c r="M517" s="78">
        <v>6.6</v>
      </c>
      <c r="N517" s="78">
        <v>15.2</v>
      </c>
      <c r="O517" s="78">
        <v>1</v>
      </c>
      <c r="P517" s="78">
        <v>0.22</v>
      </c>
      <c r="Q517" s="78">
        <v>0.2</v>
      </c>
      <c r="R517" s="78" t="s">
        <v>1615</v>
      </c>
      <c r="S517" s="78" t="s">
        <v>1615</v>
      </c>
      <c r="T517" s="78">
        <v>0</v>
      </c>
      <c r="U517" s="78">
        <v>0</v>
      </c>
      <c r="V517" s="78">
        <v>21</v>
      </c>
      <c r="W517" s="78">
        <v>0</v>
      </c>
      <c r="X517" s="78" t="s">
        <v>1615</v>
      </c>
      <c r="Y517" s="78" t="s">
        <v>1615</v>
      </c>
      <c r="Z517" s="78">
        <v>0.5</v>
      </c>
      <c r="AA517" s="78">
        <v>0.1</v>
      </c>
      <c r="AB517" s="78">
        <v>0.3</v>
      </c>
      <c r="AC517" s="78" t="s">
        <v>1615</v>
      </c>
      <c r="AD517" s="78">
        <v>0.7</v>
      </c>
      <c r="AE517" s="78">
        <v>0</v>
      </c>
      <c r="AF517" s="78">
        <v>146</v>
      </c>
      <c r="AG517" s="78">
        <v>73</v>
      </c>
      <c r="AH517" s="78">
        <v>119</v>
      </c>
      <c r="AI517" s="78">
        <v>384</v>
      </c>
      <c r="AJ517" s="78">
        <v>322</v>
      </c>
      <c r="AK517" s="78">
        <v>153</v>
      </c>
      <c r="AL517" s="78">
        <v>3.9</v>
      </c>
      <c r="AM517" s="78" t="s">
        <v>1615</v>
      </c>
      <c r="AN517" s="78" t="s">
        <v>1615</v>
      </c>
      <c r="AO517" s="78" t="s">
        <v>1615</v>
      </c>
    </row>
    <row r="518" spans="1:41">
      <c r="A518" s="78" t="s">
        <v>2642</v>
      </c>
      <c r="B518" s="78" t="s">
        <v>1558</v>
      </c>
      <c r="C518" s="78" t="s">
        <v>366</v>
      </c>
      <c r="D518" s="78" t="s">
        <v>2630</v>
      </c>
      <c r="E518" s="78" t="s">
        <v>2643</v>
      </c>
      <c r="F518" s="78" t="s">
        <v>2629</v>
      </c>
      <c r="G518" s="78" t="s">
        <v>1614</v>
      </c>
      <c r="H518" s="78">
        <v>24</v>
      </c>
      <c r="I518" s="78">
        <v>99.2</v>
      </c>
      <c r="J518" s="78">
        <v>5.6</v>
      </c>
      <c r="K518" s="78">
        <v>6</v>
      </c>
      <c r="L518" s="78">
        <v>31.6</v>
      </c>
      <c r="M518" s="78">
        <v>2.4</v>
      </c>
      <c r="N518" s="78">
        <v>33.9</v>
      </c>
      <c r="O518" s="78">
        <v>8</v>
      </c>
      <c r="P518" s="78">
        <v>3.95</v>
      </c>
      <c r="Q518" s="78">
        <v>1.39</v>
      </c>
      <c r="R518" s="78">
        <v>0.78</v>
      </c>
      <c r="S518" s="78" t="s">
        <v>1615</v>
      </c>
      <c r="T518" s="78">
        <v>0</v>
      </c>
      <c r="U518" s="78">
        <v>8</v>
      </c>
      <c r="V518" s="78">
        <v>23.4</v>
      </c>
      <c r="W518" s="78">
        <v>0</v>
      </c>
      <c r="X518" s="78" t="s">
        <v>1615</v>
      </c>
      <c r="Y518" s="78">
        <v>4.0999999999999996</v>
      </c>
      <c r="Z518" s="78">
        <v>0.2</v>
      </c>
      <c r="AA518" s="78">
        <v>0.2</v>
      </c>
      <c r="AB518" s="78">
        <v>1.6</v>
      </c>
      <c r="AC518" s="78" t="s">
        <v>1615</v>
      </c>
      <c r="AD518" s="78">
        <v>0.5</v>
      </c>
      <c r="AE518" s="78">
        <v>0</v>
      </c>
      <c r="AF518" s="78">
        <v>25</v>
      </c>
      <c r="AG518" s="78">
        <v>277</v>
      </c>
      <c r="AH518" s="78">
        <v>985</v>
      </c>
      <c r="AI518" s="78">
        <v>632</v>
      </c>
      <c r="AJ518" s="78">
        <v>104</v>
      </c>
      <c r="AK518" s="78">
        <v>259</v>
      </c>
      <c r="AL518" s="78">
        <v>1.8</v>
      </c>
      <c r="AM518" s="78" t="s">
        <v>1615</v>
      </c>
      <c r="AN518" s="78">
        <v>0.4</v>
      </c>
      <c r="AO518" s="78">
        <v>2.2000000000000002</v>
      </c>
    </row>
    <row r="519" spans="1:41">
      <c r="A519" s="78" t="s">
        <v>2644</v>
      </c>
      <c r="B519" s="78" t="s">
        <v>1558</v>
      </c>
      <c r="C519" s="78" t="s">
        <v>366</v>
      </c>
      <c r="D519" s="78" t="s">
        <v>2632</v>
      </c>
      <c r="E519" s="78" t="s">
        <v>2645</v>
      </c>
      <c r="F519" s="78" t="s">
        <v>2629</v>
      </c>
      <c r="G519" s="78" t="s">
        <v>1614</v>
      </c>
      <c r="H519" s="78">
        <v>342</v>
      </c>
      <c r="I519" s="78" t="s">
        <v>1615</v>
      </c>
      <c r="J519" s="78">
        <v>7.1</v>
      </c>
      <c r="K519" s="78">
        <v>9.6999999999999993</v>
      </c>
      <c r="L519" s="78">
        <v>44.4</v>
      </c>
      <c r="M519" s="78">
        <v>3.2</v>
      </c>
      <c r="N519" s="78">
        <v>22.7</v>
      </c>
      <c r="O519" s="78">
        <v>3.3</v>
      </c>
      <c r="P519" s="78">
        <v>1.84</v>
      </c>
      <c r="Q519" s="78">
        <v>0.45</v>
      </c>
      <c r="R519" s="78" t="s">
        <v>1615</v>
      </c>
      <c r="S519" s="78" t="s">
        <v>1615</v>
      </c>
      <c r="T519" s="78">
        <v>0</v>
      </c>
      <c r="U519" s="78">
        <v>0</v>
      </c>
      <c r="V519" s="78">
        <v>0.2</v>
      </c>
      <c r="W519" s="78">
        <v>0</v>
      </c>
      <c r="X519" s="78" t="s">
        <v>1615</v>
      </c>
      <c r="Y519" s="78">
        <v>13.4</v>
      </c>
      <c r="Z519" s="78">
        <v>0.2</v>
      </c>
      <c r="AA519" s="78">
        <v>0.2</v>
      </c>
      <c r="AB519" s="78">
        <v>1.4</v>
      </c>
      <c r="AC519" s="78" t="s">
        <v>1615</v>
      </c>
      <c r="AD519" s="78">
        <v>0.5</v>
      </c>
      <c r="AE519" s="78">
        <v>0</v>
      </c>
      <c r="AF519" s="78">
        <v>20</v>
      </c>
      <c r="AG519" s="78">
        <v>27</v>
      </c>
      <c r="AH519" s="78">
        <v>1020</v>
      </c>
      <c r="AI519" s="78">
        <v>168</v>
      </c>
      <c r="AJ519" s="78">
        <v>29</v>
      </c>
      <c r="AK519" s="78">
        <v>208</v>
      </c>
      <c r="AL519" s="78">
        <v>55</v>
      </c>
      <c r="AM519" s="78" t="s">
        <v>1615</v>
      </c>
      <c r="AN519" s="78">
        <v>0.1</v>
      </c>
      <c r="AO519" s="78">
        <v>6.2</v>
      </c>
    </row>
    <row r="520" spans="1:41">
      <c r="A520" s="78" t="s">
        <v>2646</v>
      </c>
      <c r="B520" s="78" t="s">
        <v>1558</v>
      </c>
      <c r="C520" s="78" t="s">
        <v>366</v>
      </c>
      <c r="D520" s="78" t="s">
        <v>2634</v>
      </c>
      <c r="E520" s="78" t="s">
        <v>2647</v>
      </c>
      <c r="F520" s="78" t="s">
        <v>2629</v>
      </c>
      <c r="G520" s="78" t="s">
        <v>1614</v>
      </c>
      <c r="H520" s="78">
        <v>325</v>
      </c>
      <c r="I520" s="78">
        <v>8.8000000000000007</v>
      </c>
      <c r="J520" s="78">
        <v>7.1</v>
      </c>
      <c r="K520" s="78">
        <v>14.3</v>
      </c>
      <c r="L520" s="78">
        <v>2.6</v>
      </c>
      <c r="M520" s="78">
        <v>2.6</v>
      </c>
      <c r="N520" s="78">
        <v>53.2</v>
      </c>
      <c r="O520" s="78">
        <v>14</v>
      </c>
      <c r="P520" s="78">
        <v>1.65</v>
      </c>
      <c r="Q520" s="78">
        <v>8.7799999999999994</v>
      </c>
      <c r="R520" s="78">
        <v>3.06</v>
      </c>
      <c r="S520" s="78" t="s">
        <v>1615</v>
      </c>
      <c r="T520" s="78">
        <v>0</v>
      </c>
      <c r="U520" s="78">
        <v>1</v>
      </c>
      <c r="V520" s="78">
        <v>0.7</v>
      </c>
      <c r="W520" s="78">
        <v>0</v>
      </c>
      <c r="X520" s="78">
        <v>25.2</v>
      </c>
      <c r="Y520" s="78" t="s">
        <v>1615</v>
      </c>
      <c r="Z520" s="78" t="s">
        <v>1615</v>
      </c>
      <c r="AA520" s="78">
        <v>0.2</v>
      </c>
      <c r="AB520" s="78">
        <v>3.3</v>
      </c>
      <c r="AC520" s="78">
        <v>0.1</v>
      </c>
      <c r="AD520" s="78">
        <v>1.1000000000000001</v>
      </c>
      <c r="AE520" s="78">
        <v>0</v>
      </c>
      <c r="AF520" s="78">
        <v>56</v>
      </c>
      <c r="AG520" s="78">
        <v>52</v>
      </c>
      <c r="AH520" s="78">
        <v>2080</v>
      </c>
      <c r="AI520" s="78">
        <v>525</v>
      </c>
      <c r="AJ520" s="78">
        <v>367</v>
      </c>
      <c r="AK520" s="78">
        <v>255</v>
      </c>
      <c r="AL520" s="78">
        <v>19.100000000000001</v>
      </c>
      <c r="AM520" s="78">
        <v>4.7</v>
      </c>
      <c r="AN520" s="78">
        <v>1.2</v>
      </c>
      <c r="AO520" s="78">
        <v>0.3</v>
      </c>
    </row>
    <row r="521" spans="1:41">
      <c r="A521" s="78" t="s">
        <v>2648</v>
      </c>
      <c r="B521" s="78" t="s">
        <v>1558</v>
      </c>
      <c r="C521" s="78" t="s">
        <v>366</v>
      </c>
      <c r="D521" s="78" t="s">
        <v>2636</v>
      </c>
      <c r="E521" s="78" t="s">
        <v>2649</v>
      </c>
      <c r="F521" s="78" t="s">
        <v>2629</v>
      </c>
      <c r="G521" s="78" t="s">
        <v>1614</v>
      </c>
      <c r="H521" s="78">
        <v>43</v>
      </c>
      <c r="I521" s="78">
        <v>86</v>
      </c>
      <c r="J521" s="78">
        <v>1.3</v>
      </c>
      <c r="K521" s="78">
        <v>3.5</v>
      </c>
      <c r="L521" s="78">
        <v>4.9000000000000004</v>
      </c>
      <c r="M521" s="78" t="s">
        <v>1615</v>
      </c>
      <c r="N521" s="78">
        <v>2.1</v>
      </c>
      <c r="O521" s="78">
        <v>1.1000000000000001</v>
      </c>
      <c r="P521" s="78">
        <v>0.06</v>
      </c>
      <c r="Q521" s="78">
        <v>0.8</v>
      </c>
      <c r="R521" s="78">
        <v>0.1</v>
      </c>
      <c r="S521" s="78" t="s">
        <v>1615</v>
      </c>
      <c r="T521" s="78">
        <v>0</v>
      </c>
      <c r="U521" s="78">
        <v>386</v>
      </c>
      <c r="V521" s="78">
        <v>85</v>
      </c>
      <c r="W521" s="78">
        <v>0</v>
      </c>
      <c r="X521" s="78" t="s">
        <v>1615</v>
      </c>
      <c r="Y521" s="78" t="s">
        <v>1615</v>
      </c>
      <c r="Z521" s="78">
        <v>0.1</v>
      </c>
      <c r="AA521" s="78">
        <v>0.3</v>
      </c>
      <c r="AB521" s="78">
        <v>1.6</v>
      </c>
      <c r="AC521" s="78">
        <v>0.2</v>
      </c>
      <c r="AD521" s="78">
        <v>0.4</v>
      </c>
      <c r="AE521" s="78">
        <v>0</v>
      </c>
      <c r="AF521" s="78">
        <v>150</v>
      </c>
      <c r="AG521" s="78">
        <v>61</v>
      </c>
      <c r="AH521" s="78">
        <v>738</v>
      </c>
      <c r="AI521" s="78">
        <v>208</v>
      </c>
      <c r="AJ521" s="78">
        <v>66</v>
      </c>
      <c r="AK521" s="78" t="s">
        <v>1615</v>
      </c>
      <c r="AL521" s="78">
        <v>6.6</v>
      </c>
      <c r="AM521" s="78">
        <v>0.9</v>
      </c>
      <c r="AN521" s="78">
        <v>0.1</v>
      </c>
      <c r="AO521" s="78" t="s">
        <v>1615</v>
      </c>
    </row>
    <row r="522" spans="1:41">
      <c r="A522" s="78" t="s">
        <v>2650</v>
      </c>
      <c r="B522" s="78" t="s">
        <v>1558</v>
      </c>
      <c r="C522" s="78" t="s">
        <v>366</v>
      </c>
      <c r="D522" s="78" t="s">
        <v>2638</v>
      </c>
      <c r="E522" s="78" t="s">
        <v>2651</v>
      </c>
      <c r="F522" s="78" t="s">
        <v>2629</v>
      </c>
      <c r="G522" s="78" t="s">
        <v>1614</v>
      </c>
      <c r="H522" s="78">
        <v>253</v>
      </c>
      <c r="I522" s="78">
        <v>7.7</v>
      </c>
      <c r="J522" s="78">
        <v>12.6</v>
      </c>
      <c r="K522" s="78">
        <v>20</v>
      </c>
      <c r="L522" s="78">
        <v>42.2</v>
      </c>
      <c r="M522" s="78" t="s">
        <v>1615</v>
      </c>
      <c r="N522" s="78">
        <v>13.6</v>
      </c>
      <c r="O522" s="78">
        <v>4.4000000000000004</v>
      </c>
      <c r="P522" s="78">
        <v>0.23</v>
      </c>
      <c r="Q522" s="78" t="s">
        <v>1615</v>
      </c>
      <c r="R522" s="78" t="s">
        <v>1615</v>
      </c>
      <c r="S522" s="78" t="s">
        <v>1615</v>
      </c>
      <c r="T522" s="78">
        <v>0</v>
      </c>
      <c r="U522" s="78">
        <v>293</v>
      </c>
      <c r="V522" s="78">
        <v>50</v>
      </c>
      <c r="W522" s="78">
        <v>0</v>
      </c>
      <c r="X522" s="78" t="s">
        <v>1615</v>
      </c>
      <c r="Y522" s="78" t="s">
        <v>1615</v>
      </c>
      <c r="Z522" s="78" t="s">
        <v>1615</v>
      </c>
      <c r="AA522" s="78">
        <v>0.3</v>
      </c>
      <c r="AB522" s="78">
        <v>2.8</v>
      </c>
      <c r="AC522" s="78">
        <v>1.7</v>
      </c>
      <c r="AD522" s="78" t="s">
        <v>1615</v>
      </c>
      <c r="AE522" s="78">
        <v>0</v>
      </c>
      <c r="AF522" s="78" t="s">
        <v>1615</v>
      </c>
      <c r="AG522" s="78">
        <v>208</v>
      </c>
      <c r="AH522" s="78">
        <v>3308</v>
      </c>
      <c r="AI522" s="78">
        <v>1784</v>
      </c>
      <c r="AJ522" s="78">
        <v>543</v>
      </c>
      <c r="AK522" s="78">
        <v>481</v>
      </c>
      <c r="AL522" s="78">
        <v>48.8</v>
      </c>
      <c r="AM522" s="78">
        <v>2.1</v>
      </c>
      <c r="AN522" s="78">
        <v>0.5</v>
      </c>
      <c r="AO522" s="78" t="s">
        <v>1615</v>
      </c>
    </row>
    <row r="523" spans="1:41">
      <c r="A523" s="78" t="s">
        <v>2652</v>
      </c>
      <c r="B523" s="78" t="s">
        <v>1558</v>
      </c>
      <c r="C523" s="78" t="s">
        <v>366</v>
      </c>
      <c r="D523" s="78" t="s">
        <v>2640</v>
      </c>
      <c r="E523" s="78" t="s">
        <v>2653</v>
      </c>
      <c r="F523" s="78" t="s">
        <v>2629</v>
      </c>
      <c r="G523" s="78" t="s">
        <v>1614</v>
      </c>
      <c r="H523" s="78">
        <v>295</v>
      </c>
      <c r="I523" s="78" t="s">
        <v>1615</v>
      </c>
      <c r="J523" s="78">
        <v>12</v>
      </c>
      <c r="K523" s="78">
        <v>22.8</v>
      </c>
      <c r="L523" s="78">
        <v>42.8</v>
      </c>
      <c r="M523" s="78" t="s">
        <v>1615</v>
      </c>
      <c r="N523" s="78">
        <v>7.4</v>
      </c>
      <c r="O523" s="78">
        <v>7.2</v>
      </c>
      <c r="P523" s="78">
        <v>1.88</v>
      </c>
      <c r="Q523" s="78">
        <v>0.47</v>
      </c>
      <c r="R523" s="78">
        <v>3.7</v>
      </c>
      <c r="S523" s="78" t="s">
        <v>1615</v>
      </c>
      <c r="T523" s="78">
        <v>0</v>
      </c>
      <c r="U523" s="78">
        <v>210</v>
      </c>
      <c r="V523" s="78">
        <v>50</v>
      </c>
      <c r="W523" s="78">
        <v>0</v>
      </c>
      <c r="X523" s="78" t="s">
        <v>1615</v>
      </c>
      <c r="Y523" s="78" t="s">
        <v>1615</v>
      </c>
      <c r="Z523" s="78">
        <v>0.4</v>
      </c>
      <c r="AA523" s="78">
        <v>1.3</v>
      </c>
      <c r="AB523" s="78">
        <v>9</v>
      </c>
      <c r="AC523" s="78">
        <v>2.4</v>
      </c>
      <c r="AD523" s="78" t="s">
        <v>1615</v>
      </c>
      <c r="AE523" s="78">
        <v>0</v>
      </c>
      <c r="AF523" s="78">
        <v>274</v>
      </c>
      <c r="AG523" s="78">
        <v>62</v>
      </c>
      <c r="AH523" s="78">
        <v>3020</v>
      </c>
      <c r="AI523" s="78">
        <v>1139</v>
      </c>
      <c r="AJ523" s="78">
        <v>313</v>
      </c>
      <c r="AK523" s="78">
        <v>347</v>
      </c>
      <c r="AL523" s="78">
        <v>32.299999999999997</v>
      </c>
      <c r="AM523" s="78">
        <v>3.3</v>
      </c>
      <c r="AN523" s="78" t="s">
        <v>1615</v>
      </c>
      <c r="AO523" s="78" t="s">
        <v>1615</v>
      </c>
    </row>
    <row r="524" spans="1:41">
      <c r="A524" s="78" t="s">
        <v>2654</v>
      </c>
      <c r="B524" s="78" t="s">
        <v>1558</v>
      </c>
      <c r="C524" s="78" t="s">
        <v>366</v>
      </c>
      <c r="D524" s="78" t="s">
        <v>2642</v>
      </c>
      <c r="E524" s="78" t="s">
        <v>2655</v>
      </c>
      <c r="F524" s="78" t="s">
        <v>2629</v>
      </c>
      <c r="G524" s="78" t="s">
        <v>1614</v>
      </c>
      <c r="H524" s="78">
        <v>70</v>
      </c>
      <c r="I524" s="78" t="s">
        <v>1615</v>
      </c>
      <c r="J524" s="78">
        <v>1.8</v>
      </c>
      <c r="K524" s="78">
        <v>3.8</v>
      </c>
      <c r="L524" s="78">
        <v>9.5</v>
      </c>
      <c r="M524" s="78" t="s">
        <v>1615</v>
      </c>
      <c r="N524" s="78">
        <v>8</v>
      </c>
      <c r="O524" s="78" t="s">
        <v>1615</v>
      </c>
      <c r="P524" s="78">
        <v>0.25</v>
      </c>
      <c r="Q524" s="78">
        <v>0.03</v>
      </c>
      <c r="R524" s="78">
        <v>0.51</v>
      </c>
      <c r="S524" s="78" t="s">
        <v>1615</v>
      </c>
      <c r="T524" s="78">
        <v>0</v>
      </c>
      <c r="U524" s="78">
        <v>212</v>
      </c>
      <c r="V524" s="78">
        <v>31.8</v>
      </c>
      <c r="W524" s="78">
        <v>0</v>
      </c>
      <c r="X524" s="78" t="s">
        <v>1615</v>
      </c>
      <c r="Y524" s="78" t="s">
        <v>1615</v>
      </c>
      <c r="Z524" s="78">
        <v>0.3</v>
      </c>
      <c r="AA524" s="78">
        <v>0.3</v>
      </c>
      <c r="AB524" s="78">
        <v>1.7</v>
      </c>
      <c r="AC524" s="78">
        <v>0.1</v>
      </c>
      <c r="AD524" s="78" t="s">
        <v>1615</v>
      </c>
      <c r="AE524" s="78">
        <v>0</v>
      </c>
      <c r="AF524" s="78">
        <v>114</v>
      </c>
      <c r="AG524" s="78">
        <v>31</v>
      </c>
      <c r="AH524" s="78">
        <v>569</v>
      </c>
      <c r="AI524" s="78">
        <v>243</v>
      </c>
      <c r="AJ524" s="78">
        <v>73</v>
      </c>
      <c r="AK524" s="78">
        <v>80</v>
      </c>
      <c r="AL524" s="78">
        <v>5.0999999999999996</v>
      </c>
      <c r="AM524" s="78">
        <v>3.9</v>
      </c>
      <c r="AN524" s="78" t="s">
        <v>1615</v>
      </c>
      <c r="AO524" s="78" t="s">
        <v>1615</v>
      </c>
    </row>
    <row r="525" spans="1:41">
      <c r="A525" s="78" t="s">
        <v>2656</v>
      </c>
      <c r="B525" s="78" t="s">
        <v>1558</v>
      </c>
      <c r="C525" s="78" t="s">
        <v>366</v>
      </c>
      <c r="D525" s="78" t="s">
        <v>2644</v>
      </c>
      <c r="E525" s="78" t="s">
        <v>2657</v>
      </c>
      <c r="F525" s="78" t="s">
        <v>2629</v>
      </c>
      <c r="G525" s="78" t="s">
        <v>1614</v>
      </c>
      <c r="H525" s="78">
        <v>335</v>
      </c>
      <c r="I525" s="78" t="s">
        <v>1615</v>
      </c>
      <c r="J525" s="78">
        <v>5.2</v>
      </c>
      <c r="K525" s="78">
        <v>9</v>
      </c>
      <c r="L525" s="78" t="s">
        <v>1615</v>
      </c>
      <c r="M525" s="78">
        <v>3.4</v>
      </c>
      <c r="N525" s="78">
        <v>14.1</v>
      </c>
      <c r="O525" s="78" t="s">
        <v>1615</v>
      </c>
      <c r="P525" s="78">
        <v>2.6</v>
      </c>
      <c r="Q525" s="78">
        <v>0.48</v>
      </c>
      <c r="R525" s="78">
        <v>0.81</v>
      </c>
      <c r="S525" s="78" t="s">
        <v>1615</v>
      </c>
      <c r="T525" s="78">
        <v>0</v>
      </c>
      <c r="U525" s="78">
        <v>2</v>
      </c>
      <c r="V525" s="78">
        <v>0.7</v>
      </c>
      <c r="W525" s="78">
        <v>0</v>
      </c>
      <c r="X525" s="78">
        <v>0.1</v>
      </c>
      <c r="Y525" s="78" t="s">
        <v>1615</v>
      </c>
      <c r="Z525" s="78">
        <v>0.2</v>
      </c>
      <c r="AA525" s="78" t="s">
        <v>1615</v>
      </c>
      <c r="AB525" s="78" t="s">
        <v>1615</v>
      </c>
      <c r="AC525" s="78">
        <v>0.6</v>
      </c>
      <c r="AD525" s="78" t="s">
        <v>1615</v>
      </c>
      <c r="AE525" s="78">
        <v>0</v>
      </c>
      <c r="AF525" s="78">
        <v>11</v>
      </c>
      <c r="AG525" s="78" t="s">
        <v>1615</v>
      </c>
      <c r="AH525" s="78">
        <v>1320</v>
      </c>
      <c r="AI525" s="78">
        <v>114</v>
      </c>
      <c r="AJ525" s="78">
        <v>168</v>
      </c>
      <c r="AK525" s="78">
        <v>214</v>
      </c>
      <c r="AL525" s="78">
        <v>19.8</v>
      </c>
      <c r="AM525" s="78">
        <v>1.4</v>
      </c>
      <c r="AN525" s="78" t="s">
        <v>1615</v>
      </c>
      <c r="AO525" s="78" t="s">
        <v>1615</v>
      </c>
    </row>
    <row r="526" spans="1:41">
      <c r="A526" s="78" t="s">
        <v>2658</v>
      </c>
      <c r="B526" s="78" t="s">
        <v>1558</v>
      </c>
      <c r="C526" s="78" t="s">
        <v>366</v>
      </c>
      <c r="D526" s="78" t="s">
        <v>2646</v>
      </c>
      <c r="E526" s="78" t="s">
        <v>2659</v>
      </c>
      <c r="F526" s="78" t="s">
        <v>2629</v>
      </c>
      <c r="G526" s="78" t="s">
        <v>1614</v>
      </c>
      <c r="H526" s="78">
        <v>313</v>
      </c>
      <c r="I526" s="78">
        <v>5.4</v>
      </c>
      <c r="J526" s="78">
        <v>3.6</v>
      </c>
      <c r="K526" s="78">
        <v>7.6</v>
      </c>
      <c r="L526" s="78">
        <v>48.7</v>
      </c>
      <c r="M526" s="78" t="s">
        <v>1615</v>
      </c>
      <c r="N526" s="78">
        <v>26.3</v>
      </c>
      <c r="O526" s="78">
        <v>8.4</v>
      </c>
      <c r="P526" s="78">
        <v>2.2799999999999998</v>
      </c>
      <c r="Q526" s="78">
        <v>1.64</v>
      </c>
      <c r="R526" s="78">
        <v>2.29</v>
      </c>
      <c r="S526" s="78" t="s">
        <v>1615</v>
      </c>
      <c r="T526" s="78">
        <v>0</v>
      </c>
      <c r="U526" s="78">
        <v>309</v>
      </c>
      <c r="V526" s="78">
        <v>46.5</v>
      </c>
      <c r="W526" s="78">
        <v>0</v>
      </c>
      <c r="X526" s="78" t="s">
        <v>1615</v>
      </c>
      <c r="Y526" s="78" t="s">
        <v>1615</v>
      </c>
      <c r="Z526" s="78">
        <v>0</v>
      </c>
      <c r="AA526" s="78">
        <v>0.4</v>
      </c>
      <c r="AB526" s="78">
        <v>2</v>
      </c>
      <c r="AC526" s="78" t="s">
        <v>1615</v>
      </c>
      <c r="AD526" s="78" t="s">
        <v>1615</v>
      </c>
      <c r="AE526" s="78">
        <v>0</v>
      </c>
      <c r="AF526" s="78">
        <v>180</v>
      </c>
      <c r="AG526" s="78">
        <v>23</v>
      </c>
      <c r="AH526" s="78">
        <v>529</v>
      </c>
      <c r="AI526" s="78">
        <v>834</v>
      </c>
      <c r="AJ526" s="78">
        <v>113</v>
      </c>
      <c r="AK526" s="78">
        <v>120</v>
      </c>
      <c r="AL526" s="78">
        <v>43</v>
      </c>
      <c r="AM526" s="78" t="s">
        <v>1615</v>
      </c>
      <c r="AN526" s="78">
        <v>0.4</v>
      </c>
      <c r="AO526" s="78">
        <v>2.8</v>
      </c>
    </row>
    <row r="527" spans="1:41">
      <c r="A527" s="78" t="s">
        <v>2660</v>
      </c>
      <c r="B527" s="78" t="s">
        <v>1558</v>
      </c>
      <c r="C527" s="78" t="s">
        <v>366</v>
      </c>
      <c r="D527" s="78" t="s">
        <v>2648</v>
      </c>
      <c r="E527" s="78" t="s">
        <v>2661</v>
      </c>
      <c r="F527" s="78" t="s">
        <v>2629</v>
      </c>
      <c r="G527" s="78" t="s">
        <v>1614</v>
      </c>
      <c r="H527" s="78">
        <v>363</v>
      </c>
      <c r="I527" s="78">
        <v>4.2</v>
      </c>
      <c r="J527" s="78">
        <v>8.5</v>
      </c>
      <c r="K527" s="78">
        <v>9.6</v>
      </c>
      <c r="L527" s="78">
        <v>74.900000000000006</v>
      </c>
      <c r="M527" s="78" t="s">
        <v>1615</v>
      </c>
      <c r="N527" s="78" t="s">
        <v>1615</v>
      </c>
      <c r="O527" s="78">
        <v>2.8</v>
      </c>
      <c r="P527" s="78" t="s">
        <v>1615</v>
      </c>
      <c r="Q527" s="78" t="s">
        <v>1615</v>
      </c>
      <c r="R527" s="78" t="s">
        <v>1615</v>
      </c>
      <c r="S527" s="78" t="s">
        <v>1615</v>
      </c>
      <c r="T527" s="78">
        <v>0</v>
      </c>
      <c r="U527" s="78" t="s">
        <v>1615</v>
      </c>
      <c r="V527" s="78" t="s">
        <v>1615</v>
      </c>
      <c r="W527" s="78" t="s">
        <v>1615</v>
      </c>
      <c r="X527" s="78" t="s">
        <v>1615</v>
      </c>
      <c r="Y527" s="78" t="s">
        <v>1615</v>
      </c>
      <c r="Z527" s="78" t="s">
        <v>1615</v>
      </c>
      <c r="AA527" s="78" t="s">
        <v>1615</v>
      </c>
      <c r="AB527" s="78" t="s">
        <v>1615</v>
      </c>
      <c r="AC527" s="78" t="s">
        <v>1615</v>
      </c>
      <c r="AD527" s="78" t="s">
        <v>1615</v>
      </c>
      <c r="AE527" s="78" t="s">
        <v>1615</v>
      </c>
      <c r="AF527" s="78" t="s">
        <v>1615</v>
      </c>
      <c r="AG527" s="78">
        <v>227</v>
      </c>
      <c r="AH527" s="78" t="s">
        <v>1615</v>
      </c>
      <c r="AI527" s="78" t="s">
        <v>1615</v>
      </c>
      <c r="AJ527" s="78" t="s">
        <v>1615</v>
      </c>
      <c r="AK527" s="78" t="s">
        <v>1615</v>
      </c>
      <c r="AL527" s="78" t="s">
        <v>1615</v>
      </c>
      <c r="AM527" s="78" t="s">
        <v>1615</v>
      </c>
      <c r="AN527" s="78" t="s">
        <v>1615</v>
      </c>
      <c r="AO527" s="78" t="s">
        <v>1615</v>
      </c>
    </row>
    <row r="528" spans="1:41">
      <c r="A528" s="78" t="s">
        <v>2662</v>
      </c>
      <c r="B528" s="78" t="s">
        <v>1558</v>
      </c>
      <c r="C528" s="78" t="s">
        <v>366</v>
      </c>
      <c r="D528" s="78" t="s">
        <v>2650</v>
      </c>
      <c r="E528" s="78" t="s">
        <v>2663</v>
      </c>
      <c r="F528" s="78" t="s">
        <v>2629</v>
      </c>
      <c r="G528" s="78" t="s">
        <v>1614</v>
      </c>
      <c r="H528" s="78">
        <v>23</v>
      </c>
      <c r="I528" s="78">
        <v>90</v>
      </c>
      <c r="J528" s="78">
        <v>0.2</v>
      </c>
      <c r="K528" s="78">
        <v>1.5</v>
      </c>
      <c r="L528" s="78" t="s">
        <v>1615</v>
      </c>
      <c r="M528" s="78">
        <v>2.4</v>
      </c>
      <c r="N528" s="78">
        <v>4.4000000000000004</v>
      </c>
      <c r="O528" s="78">
        <v>0.2</v>
      </c>
      <c r="P528" s="78" t="s">
        <v>1615</v>
      </c>
      <c r="Q528" s="78" t="s">
        <v>1615</v>
      </c>
      <c r="R528" s="78" t="s">
        <v>1615</v>
      </c>
      <c r="S528" s="78" t="s">
        <v>1615</v>
      </c>
      <c r="T528" s="78">
        <v>0</v>
      </c>
      <c r="U528" s="78">
        <v>0</v>
      </c>
      <c r="V528" s="78">
        <v>13.3</v>
      </c>
      <c r="W528" s="78" t="s">
        <v>1615</v>
      </c>
      <c r="X528" s="78" t="s">
        <v>1615</v>
      </c>
      <c r="Y528" s="78" t="s">
        <v>1615</v>
      </c>
      <c r="Z528" s="78" t="s">
        <v>1615</v>
      </c>
      <c r="AA528" s="78" t="s">
        <v>1615</v>
      </c>
      <c r="AB528" s="78" t="s">
        <v>1615</v>
      </c>
      <c r="AC528" s="78" t="s">
        <v>1615</v>
      </c>
      <c r="AD528" s="78" t="s">
        <v>1615</v>
      </c>
      <c r="AE528" s="78" t="s">
        <v>1615</v>
      </c>
      <c r="AF528" s="78" t="s">
        <v>1615</v>
      </c>
      <c r="AG528" s="78">
        <v>2</v>
      </c>
      <c r="AH528" s="78" t="s">
        <v>1615</v>
      </c>
      <c r="AI528" s="78" t="s">
        <v>1615</v>
      </c>
      <c r="AJ528" s="78" t="s">
        <v>1615</v>
      </c>
      <c r="AK528" s="78" t="s">
        <v>1615</v>
      </c>
      <c r="AL528" s="78" t="s">
        <v>1615</v>
      </c>
      <c r="AM528" s="78" t="s">
        <v>1615</v>
      </c>
      <c r="AN528" s="78" t="s">
        <v>1615</v>
      </c>
      <c r="AO528" s="78" t="s">
        <v>1615</v>
      </c>
    </row>
    <row r="529" spans="1:41">
      <c r="A529" s="78" t="s">
        <v>2664</v>
      </c>
      <c r="B529" s="78" t="s">
        <v>1558</v>
      </c>
      <c r="C529" s="78" t="s">
        <v>366</v>
      </c>
      <c r="D529" s="78" t="s">
        <v>2652</v>
      </c>
      <c r="E529" s="78" t="s">
        <v>2665</v>
      </c>
      <c r="F529" s="78" t="s">
        <v>2629</v>
      </c>
      <c r="G529" s="78" t="s">
        <v>1614</v>
      </c>
      <c r="H529" s="78">
        <v>44</v>
      </c>
      <c r="I529" s="78">
        <v>85.6</v>
      </c>
      <c r="J529" s="78">
        <v>2</v>
      </c>
      <c r="K529" s="78">
        <v>3.3</v>
      </c>
      <c r="L529" s="78">
        <v>3.7</v>
      </c>
      <c r="M529" s="78" t="s">
        <v>1615</v>
      </c>
      <c r="N529" s="78">
        <v>6.8</v>
      </c>
      <c r="O529" s="78">
        <v>0.7</v>
      </c>
      <c r="P529" s="78">
        <v>0.19</v>
      </c>
      <c r="Q529" s="78">
        <v>0.03</v>
      </c>
      <c r="R529" s="78">
        <v>0.39</v>
      </c>
      <c r="S529" s="78" t="s">
        <v>1615</v>
      </c>
      <c r="T529" s="78">
        <v>0</v>
      </c>
      <c r="U529" s="78">
        <v>203</v>
      </c>
      <c r="V529" s="78">
        <v>0</v>
      </c>
      <c r="W529" s="78">
        <v>0</v>
      </c>
      <c r="X529" s="78" t="s">
        <v>1615</v>
      </c>
      <c r="Y529" s="78" t="s">
        <v>1615</v>
      </c>
      <c r="Z529" s="78">
        <v>0.1</v>
      </c>
      <c r="AA529" s="78">
        <v>0.2</v>
      </c>
      <c r="AB529" s="78" t="s">
        <v>1615</v>
      </c>
      <c r="AC529" s="78">
        <v>0.2</v>
      </c>
      <c r="AD529" s="78">
        <v>0.3</v>
      </c>
      <c r="AE529" s="78">
        <v>0</v>
      </c>
      <c r="AF529" s="78">
        <v>105</v>
      </c>
      <c r="AG529" s="78">
        <v>30</v>
      </c>
      <c r="AH529" s="78">
        <v>458</v>
      </c>
      <c r="AI529" s="78">
        <v>199</v>
      </c>
      <c r="AJ529" s="78">
        <v>60</v>
      </c>
      <c r="AK529" s="78">
        <v>63</v>
      </c>
      <c r="AL529" s="78">
        <v>1.9</v>
      </c>
      <c r="AM529" s="78">
        <v>1.1000000000000001</v>
      </c>
      <c r="AN529" s="78">
        <v>0.2</v>
      </c>
      <c r="AO529" s="78" t="s">
        <v>1615</v>
      </c>
    </row>
    <row r="530" spans="1:41">
      <c r="A530" s="78" t="s">
        <v>2666</v>
      </c>
      <c r="B530" s="78" t="s">
        <v>1558</v>
      </c>
      <c r="C530" s="78" t="s">
        <v>366</v>
      </c>
      <c r="D530" s="78" t="s">
        <v>2654</v>
      </c>
      <c r="E530" s="78" t="s">
        <v>2667</v>
      </c>
      <c r="F530" s="78" t="s">
        <v>2629</v>
      </c>
      <c r="G530" s="78" t="s">
        <v>1614</v>
      </c>
      <c r="H530" s="78">
        <v>285</v>
      </c>
      <c r="I530" s="78">
        <v>11.3</v>
      </c>
      <c r="J530" s="78">
        <v>10.7</v>
      </c>
      <c r="K530" s="78">
        <v>19.899999999999999</v>
      </c>
      <c r="L530" s="78">
        <v>22.2</v>
      </c>
      <c r="M530" s="78" t="s">
        <v>1615</v>
      </c>
      <c r="N530" s="78">
        <v>29.8</v>
      </c>
      <c r="O530" s="78">
        <v>6</v>
      </c>
      <c r="P530" s="78">
        <v>1.58</v>
      </c>
      <c r="Q530" s="78">
        <v>0.21</v>
      </c>
      <c r="R530" s="78">
        <v>3.26</v>
      </c>
      <c r="S530" s="78" t="s">
        <v>1615</v>
      </c>
      <c r="T530" s="78">
        <v>0</v>
      </c>
      <c r="U530" s="78">
        <v>529</v>
      </c>
      <c r="V530" s="78" t="s">
        <v>1615</v>
      </c>
      <c r="W530" s="78">
        <v>0</v>
      </c>
      <c r="X530" s="78" t="s">
        <v>1615</v>
      </c>
      <c r="Y530" s="78" t="s">
        <v>1615</v>
      </c>
      <c r="Z530" s="78">
        <v>0.3</v>
      </c>
      <c r="AA530" s="78">
        <v>1.4</v>
      </c>
      <c r="AB530" s="78">
        <v>6.6</v>
      </c>
      <c r="AC530" s="78">
        <v>2.6</v>
      </c>
      <c r="AD530" s="78">
        <v>1.4</v>
      </c>
      <c r="AE530" s="78">
        <v>0</v>
      </c>
      <c r="AF530" s="78">
        <v>530</v>
      </c>
      <c r="AG530" s="78">
        <v>344</v>
      </c>
      <c r="AH530" s="78">
        <v>1924</v>
      </c>
      <c r="AI530" s="78">
        <v>1438</v>
      </c>
      <c r="AJ530" s="78">
        <v>276</v>
      </c>
      <c r="AK530" s="78">
        <v>602</v>
      </c>
      <c r="AL530" s="78">
        <v>87.5</v>
      </c>
      <c r="AM530" s="78">
        <v>2.4</v>
      </c>
      <c r="AN530" s="78">
        <v>1.5</v>
      </c>
      <c r="AO530" s="78" t="s">
        <v>1615</v>
      </c>
    </row>
    <row r="531" spans="1:41">
      <c r="A531" s="78" t="s">
        <v>2668</v>
      </c>
      <c r="B531" s="78" t="s">
        <v>1558</v>
      </c>
      <c r="C531" s="78" t="s">
        <v>366</v>
      </c>
      <c r="D531" s="78" t="s">
        <v>2656</v>
      </c>
      <c r="E531" s="78" t="s">
        <v>2669</v>
      </c>
      <c r="F531" s="78" t="s">
        <v>2629</v>
      </c>
      <c r="G531" s="78" t="s">
        <v>1614</v>
      </c>
      <c r="H531" s="78">
        <v>156</v>
      </c>
      <c r="I531" s="78">
        <v>4.7</v>
      </c>
      <c r="J531" s="78">
        <v>21.7</v>
      </c>
      <c r="K531" s="78">
        <v>10.199999999999999</v>
      </c>
      <c r="L531" s="78">
        <v>20.5</v>
      </c>
      <c r="M531" s="78" t="s">
        <v>1615</v>
      </c>
      <c r="N531" s="78">
        <v>32.299999999999997</v>
      </c>
      <c r="O531" s="78">
        <v>3.6</v>
      </c>
      <c r="P531" s="78" t="s">
        <v>1615</v>
      </c>
      <c r="Q531" s="78" t="s">
        <v>1615</v>
      </c>
      <c r="R531" s="78" t="s">
        <v>1615</v>
      </c>
      <c r="S531" s="78" t="s">
        <v>1615</v>
      </c>
      <c r="T531" s="78">
        <v>0</v>
      </c>
      <c r="U531" s="78" t="s">
        <v>1615</v>
      </c>
      <c r="V531" s="78" t="s">
        <v>1615</v>
      </c>
      <c r="W531" s="78" t="s">
        <v>1615</v>
      </c>
      <c r="X531" s="78" t="s">
        <v>1615</v>
      </c>
      <c r="Y531" s="78" t="s">
        <v>1615</v>
      </c>
      <c r="Z531" s="78" t="s">
        <v>1615</v>
      </c>
      <c r="AA531" s="78" t="s">
        <v>1615</v>
      </c>
      <c r="AB531" s="78" t="s">
        <v>1615</v>
      </c>
      <c r="AC531" s="78" t="s">
        <v>1615</v>
      </c>
      <c r="AD531" s="78" t="s">
        <v>1615</v>
      </c>
      <c r="AE531" s="78" t="s">
        <v>1615</v>
      </c>
      <c r="AF531" s="78" t="s">
        <v>1615</v>
      </c>
      <c r="AG531" s="78">
        <v>7440</v>
      </c>
      <c r="AH531" s="78" t="s">
        <v>1615</v>
      </c>
      <c r="AI531" s="78" t="s">
        <v>1615</v>
      </c>
      <c r="AJ531" s="78" t="s">
        <v>1615</v>
      </c>
      <c r="AK531" s="78" t="s">
        <v>1615</v>
      </c>
      <c r="AL531" s="78" t="s">
        <v>1615</v>
      </c>
      <c r="AM531" s="78" t="s">
        <v>1615</v>
      </c>
      <c r="AN531" s="78" t="s">
        <v>1615</v>
      </c>
      <c r="AO531" s="78" t="s">
        <v>1615</v>
      </c>
    </row>
    <row r="532" spans="1:41">
      <c r="A532" s="78" t="s">
        <v>2670</v>
      </c>
      <c r="B532" s="78" t="s">
        <v>1558</v>
      </c>
      <c r="C532" s="78" t="s">
        <v>366</v>
      </c>
      <c r="D532" s="78" t="s">
        <v>2658</v>
      </c>
      <c r="E532" s="78" t="s">
        <v>2671</v>
      </c>
      <c r="F532" s="78" t="s">
        <v>2629</v>
      </c>
      <c r="G532" s="78" t="s">
        <v>1614</v>
      </c>
      <c r="H532" s="78">
        <v>525</v>
      </c>
      <c r="I532" s="78">
        <v>6.2</v>
      </c>
      <c r="J532" s="78">
        <v>2.2999999999999998</v>
      </c>
      <c r="K532" s="78">
        <v>5.8</v>
      </c>
      <c r="L532" s="78">
        <v>28.5</v>
      </c>
      <c r="M532" s="78">
        <v>3</v>
      </c>
      <c r="N532" s="78">
        <v>20.8</v>
      </c>
      <c r="O532" s="78">
        <v>36.299999999999997</v>
      </c>
      <c r="P532" s="78">
        <v>25.94</v>
      </c>
      <c r="Q532" s="78">
        <v>3.22</v>
      </c>
      <c r="R532" s="78">
        <v>0.35</v>
      </c>
      <c r="S532" s="78" t="s">
        <v>1615</v>
      </c>
      <c r="T532" s="78">
        <v>0</v>
      </c>
      <c r="U532" s="78">
        <v>5</v>
      </c>
      <c r="V532" s="78">
        <v>3</v>
      </c>
      <c r="W532" s="78">
        <v>0</v>
      </c>
      <c r="X532" s="78">
        <v>0</v>
      </c>
      <c r="Y532" s="78">
        <v>0</v>
      </c>
      <c r="Z532" s="78">
        <v>0.3</v>
      </c>
      <c r="AA532" s="78">
        <v>0.1</v>
      </c>
      <c r="AB532" s="78">
        <v>1.3</v>
      </c>
      <c r="AC532" s="78">
        <v>0.2</v>
      </c>
      <c r="AD532" s="78" t="s">
        <v>1615</v>
      </c>
      <c r="AE532" s="78">
        <v>0</v>
      </c>
      <c r="AF532" s="78">
        <v>76</v>
      </c>
      <c r="AG532" s="78">
        <v>16</v>
      </c>
      <c r="AH532" s="78">
        <v>350</v>
      </c>
      <c r="AI532" s="78">
        <v>184</v>
      </c>
      <c r="AJ532" s="78">
        <v>213</v>
      </c>
      <c r="AK532" s="78">
        <v>183</v>
      </c>
      <c r="AL532" s="78">
        <v>3</v>
      </c>
      <c r="AM532" s="78">
        <v>2.2000000000000002</v>
      </c>
      <c r="AN532" s="78">
        <v>1</v>
      </c>
      <c r="AO532" s="78" t="s">
        <v>1615</v>
      </c>
    </row>
    <row r="533" spans="1:41">
      <c r="A533" s="78" t="s">
        <v>2672</v>
      </c>
      <c r="B533" s="78" t="s">
        <v>1558</v>
      </c>
      <c r="C533" s="78" t="s">
        <v>366</v>
      </c>
      <c r="D533" s="78" t="s">
        <v>2660</v>
      </c>
      <c r="E533" s="78" t="s">
        <v>2673</v>
      </c>
      <c r="F533" s="78" t="s">
        <v>2629</v>
      </c>
      <c r="G533" s="78" t="s">
        <v>1614</v>
      </c>
      <c r="H533" s="78">
        <v>265</v>
      </c>
      <c r="I533" s="78">
        <v>9.9</v>
      </c>
      <c r="J533" s="78">
        <v>7.9</v>
      </c>
      <c r="K533" s="78">
        <v>9</v>
      </c>
      <c r="L533" s="78">
        <v>26.4</v>
      </c>
      <c r="M533" s="78">
        <v>4.0999999999999996</v>
      </c>
      <c r="N533" s="78">
        <v>42.5</v>
      </c>
      <c r="O533" s="78">
        <v>4.3</v>
      </c>
      <c r="P533" s="78">
        <v>1.55</v>
      </c>
      <c r="Q533" s="78">
        <v>0.72</v>
      </c>
      <c r="R533" s="78">
        <v>1.37</v>
      </c>
      <c r="S533" s="78" t="s">
        <v>1615</v>
      </c>
      <c r="T533" s="78">
        <v>0</v>
      </c>
      <c r="U533" s="78">
        <v>85</v>
      </c>
      <c r="V533" s="78">
        <v>2.2999999999999998</v>
      </c>
      <c r="W533" s="78">
        <v>0</v>
      </c>
      <c r="X533" s="78">
        <v>18.3</v>
      </c>
      <c r="Y533" s="78">
        <v>621.70000000000005</v>
      </c>
      <c r="Z533" s="78">
        <v>0.2</v>
      </c>
      <c r="AA533" s="78">
        <v>0.5</v>
      </c>
      <c r="AB533" s="78">
        <v>4.5999999999999996</v>
      </c>
      <c r="AC533" s="78">
        <v>1</v>
      </c>
      <c r="AD533" s="78">
        <v>0.9</v>
      </c>
      <c r="AE533" s="78">
        <v>0</v>
      </c>
      <c r="AF533" s="78">
        <v>287</v>
      </c>
      <c r="AG533" s="78">
        <v>25</v>
      </c>
      <c r="AH533" s="78">
        <v>1260</v>
      </c>
      <c r="AI533" s="78">
        <v>1597</v>
      </c>
      <c r="AJ533" s="78">
        <v>148</v>
      </c>
      <c r="AK533" s="78">
        <v>270</v>
      </c>
      <c r="AL533" s="78">
        <v>36.799999999999997</v>
      </c>
      <c r="AM533" s="78">
        <v>4.3</v>
      </c>
      <c r="AN533" s="78">
        <v>0.6</v>
      </c>
      <c r="AO533" s="78">
        <v>1.6</v>
      </c>
    </row>
    <row r="534" spans="1:41">
      <c r="A534" s="78" t="s">
        <v>2674</v>
      </c>
      <c r="B534" s="78" t="s">
        <v>1558</v>
      </c>
      <c r="C534" s="78" t="s">
        <v>366</v>
      </c>
      <c r="D534" s="78" t="s">
        <v>2662</v>
      </c>
      <c r="E534" s="78" t="s">
        <v>2675</v>
      </c>
      <c r="F534" s="78" t="s">
        <v>2629</v>
      </c>
      <c r="G534" s="78" t="s">
        <v>1614</v>
      </c>
      <c r="H534" s="78">
        <v>282</v>
      </c>
      <c r="I534" s="78">
        <v>11.2</v>
      </c>
      <c r="J534" s="78">
        <v>7</v>
      </c>
      <c r="K534" s="78">
        <v>14.1</v>
      </c>
      <c r="L534" s="78">
        <v>19.100000000000001</v>
      </c>
      <c r="M534" s="78">
        <v>10.3</v>
      </c>
      <c r="N534" s="78">
        <v>34.9</v>
      </c>
      <c r="O534" s="78">
        <v>12.9</v>
      </c>
      <c r="P534" s="78">
        <v>2.14</v>
      </c>
      <c r="Q534" s="78">
        <v>1.7</v>
      </c>
      <c r="R534" s="78" t="s">
        <v>1615</v>
      </c>
      <c r="S534" s="78" t="s">
        <v>1615</v>
      </c>
      <c r="T534" s="78">
        <v>0</v>
      </c>
      <c r="U534" s="78">
        <v>2463</v>
      </c>
      <c r="V534" s="78">
        <v>0.9</v>
      </c>
      <c r="W534" s="78">
        <v>0</v>
      </c>
      <c r="X534" s="78">
        <v>29.1</v>
      </c>
      <c r="Y534" s="78">
        <v>80.3</v>
      </c>
      <c r="Z534" s="78">
        <v>0.3</v>
      </c>
      <c r="AA534" s="78">
        <v>1.2</v>
      </c>
      <c r="AB534" s="78">
        <v>10.1</v>
      </c>
      <c r="AC534" s="78">
        <v>2.1</v>
      </c>
      <c r="AD534" s="78">
        <v>2.9</v>
      </c>
      <c r="AE534" s="78">
        <v>0</v>
      </c>
      <c r="AF534" s="78">
        <v>49</v>
      </c>
      <c r="AG534" s="78">
        <v>68</v>
      </c>
      <c r="AH534" s="78">
        <v>2280</v>
      </c>
      <c r="AI534" s="78">
        <v>229</v>
      </c>
      <c r="AJ534" s="78">
        <v>314</v>
      </c>
      <c r="AK534" s="78">
        <v>178</v>
      </c>
      <c r="AL534" s="78">
        <v>21.1</v>
      </c>
      <c r="AM534" s="78" t="s">
        <v>1615</v>
      </c>
      <c r="AN534" s="78">
        <v>0.7</v>
      </c>
      <c r="AO534" s="78">
        <v>4.5</v>
      </c>
    </row>
    <row r="535" spans="1:41">
      <c r="A535" s="78" t="s">
        <v>2676</v>
      </c>
      <c r="B535" s="78" t="s">
        <v>1558</v>
      </c>
      <c r="C535" s="78" t="s">
        <v>366</v>
      </c>
      <c r="D535" s="78" t="s">
        <v>2664</v>
      </c>
      <c r="E535" s="78" t="s">
        <v>2677</v>
      </c>
      <c r="F535" s="78" t="s">
        <v>2629</v>
      </c>
      <c r="G535" s="78" t="s">
        <v>1614</v>
      </c>
      <c r="H535" s="78">
        <v>249</v>
      </c>
      <c r="I535" s="78">
        <v>14</v>
      </c>
      <c r="J535" s="78">
        <v>4.3</v>
      </c>
      <c r="K535" s="78">
        <v>8.3000000000000007</v>
      </c>
      <c r="L535" s="78">
        <v>52.3</v>
      </c>
      <c r="M535" s="78">
        <v>36</v>
      </c>
      <c r="N535" s="78">
        <v>20.399999999999999</v>
      </c>
      <c r="O535" s="78">
        <v>0.7</v>
      </c>
      <c r="P535" s="78" t="s">
        <v>1615</v>
      </c>
      <c r="Q535" s="78" t="s">
        <v>1615</v>
      </c>
      <c r="R535" s="78" t="s">
        <v>1615</v>
      </c>
      <c r="S535" s="78" t="s">
        <v>1615</v>
      </c>
      <c r="T535" s="78">
        <v>0</v>
      </c>
      <c r="U535" s="78" t="s">
        <v>1615</v>
      </c>
      <c r="V535" s="78" t="s">
        <v>1615</v>
      </c>
      <c r="W535" s="78" t="s">
        <v>1615</v>
      </c>
      <c r="X535" s="78" t="s">
        <v>1615</v>
      </c>
      <c r="Y535" s="78" t="s">
        <v>1615</v>
      </c>
      <c r="Z535" s="78" t="s">
        <v>1615</v>
      </c>
      <c r="AA535" s="78" t="s">
        <v>1615</v>
      </c>
      <c r="AB535" s="78" t="s">
        <v>1615</v>
      </c>
      <c r="AC535" s="78" t="s">
        <v>1615</v>
      </c>
      <c r="AD535" s="78" t="s">
        <v>1615</v>
      </c>
      <c r="AE535" s="78" t="s">
        <v>1615</v>
      </c>
      <c r="AF535" s="78" t="s">
        <v>1615</v>
      </c>
      <c r="AG535" s="78">
        <v>42</v>
      </c>
      <c r="AH535" s="78" t="s">
        <v>1615</v>
      </c>
      <c r="AI535" s="78" t="s">
        <v>1615</v>
      </c>
      <c r="AJ535" s="78" t="s">
        <v>1615</v>
      </c>
      <c r="AK535" s="78" t="s">
        <v>1615</v>
      </c>
      <c r="AL535" s="78" t="s">
        <v>1615</v>
      </c>
      <c r="AM535" s="78" t="s">
        <v>1615</v>
      </c>
      <c r="AN535" s="78" t="s">
        <v>1615</v>
      </c>
      <c r="AO535" s="78" t="s">
        <v>1615</v>
      </c>
    </row>
    <row r="536" spans="1:41">
      <c r="A536" s="78" t="s">
        <v>2678</v>
      </c>
      <c r="B536" s="78" t="s">
        <v>1558</v>
      </c>
      <c r="C536" s="78" t="s">
        <v>366</v>
      </c>
      <c r="D536" s="78" t="s">
        <v>2666</v>
      </c>
      <c r="E536" s="78" t="s">
        <v>2679</v>
      </c>
      <c r="F536" s="78" t="s">
        <v>2629</v>
      </c>
      <c r="G536" s="78" t="s">
        <v>1614</v>
      </c>
      <c r="H536" s="78">
        <v>36</v>
      </c>
      <c r="I536" s="78">
        <v>87.7</v>
      </c>
      <c r="J536" s="78">
        <v>1.2</v>
      </c>
      <c r="K536" s="78">
        <v>2.9</v>
      </c>
      <c r="L536" s="78">
        <v>3</v>
      </c>
      <c r="M536" s="78">
        <v>0.8</v>
      </c>
      <c r="N536" s="78">
        <v>3.3</v>
      </c>
      <c r="O536" s="78">
        <v>0.7</v>
      </c>
      <c r="P536" s="78">
        <v>0.13</v>
      </c>
      <c r="Q536" s="78">
        <v>0.28999999999999998</v>
      </c>
      <c r="R536" s="78">
        <v>0.12</v>
      </c>
      <c r="S536" s="78" t="s">
        <v>1615</v>
      </c>
      <c r="T536" s="78">
        <v>0</v>
      </c>
      <c r="U536" s="78">
        <v>421</v>
      </c>
      <c r="V536" s="78">
        <v>83</v>
      </c>
      <c r="W536" s="78">
        <v>0</v>
      </c>
      <c r="X536" s="78">
        <v>0.1</v>
      </c>
      <c r="Y536" s="78">
        <v>164</v>
      </c>
      <c r="Z536" s="78">
        <v>0</v>
      </c>
      <c r="AA536" s="78">
        <v>0</v>
      </c>
      <c r="AB536" s="78">
        <v>1.3</v>
      </c>
      <c r="AC536" s="78">
        <v>0</v>
      </c>
      <c r="AD536" s="78">
        <v>0.4</v>
      </c>
      <c r="AE536" s="78">
        <v>0</v>
      </c>
      <c r="AF536" s="78">
        <v>152</v>
      </c>
      <c r="AG536" s="78">
        <v>8</v>
      </c>
      <c r="AH536" s="78">
        <v>554</v>
      </c>
      <c r="AI536" s="78">
        <v>138</v>
      </c>
      <c r="AJ536" s="78">
        <v>58</v>
      </c>
      <c r="AK536" s="78">
        <v>50</v>
      </c>
      <c r="AL536" s="78">
        <v>6.2</v>
      </c>
      <c r="AM536" s="78">
        <v>0.3</v>
      </c>
      <c r="AN536" s="78">
        <v>0.1</v>
      </c>
      <c r="AO536" s="78">
        <v>0.1</v>
      </c>
    </row>
    <row r="537" spans="1:41">
      <c r="A537" s="78" t="s">
        <v>2680</v>
      </c>
      <c r="B537" s="78" t="s">
        <v>1558</v>
      </c>
      <c r="C537" s="78" t="s">
        <v>366</v>
      </c>
      <c r="D537" s="78" t="s">
        <v>2668</v>
      </c>
      <c r="E537" s="78" t="s">
        <v>2681</v>
      </c>
      <c r="F537" s="78" t="s">
        <v>2629</v>
      </c>
      <c r="G537" s="78" t="s">
        <v>1614</v>
      </c>
      <c r="H537" s="78">
        <v>292</v>
      </c>
      <c r="I537" s="78">
        <v>5.9</v>
      </c>
      <c r="J537" s="78">
        <v>11.4</v>
      </c>
      <c r="K537" s="78">
        <v>26.6</v>
      </c>
      <c r="L537" s="78">
        <v>23.9</v>
      </c>
      <c r="M537" s="78">
        <v>7.3</v>
      </c>
      <c r="N537" s="78">
        <v>26.7</v>
      </c>
      <c r="O537" s="78">
        <v>5.5</v>
      </c>
      <c r="P537" s="78">
        <v>1.38</v>
      </c>
      <c r="Q537" s="78">
        <v>0.76</v>
      </c>
      <c r="R537" s="78">
        <v>3.12</v>
      </c>
      <c r="S537" s="78" t="s">
        <v>1615</v>
      </c>
      <c r="T537" s="78">
        <v>0</v>
      </c>
      <c r="U537" s="78">
        <v>9</v>
      </c>
      <c r="V537" s="78">
        <v>15</v>
      </c>
      <c r="W537" s="78">
        <v>0</v>
      </c>
      <c r="X537" s="78">
        <v>0.7</v>
      </c>
      <c r="Y537" s="78">
        <v>1859.5</v>
      </c>
      <c r="Z537" s="78">
        <v>0.2</v>
      </c>
      <c r="AA537" s="78">
        <v>2.4</v>
      </c>
      <c r="AB537" s="78">
        <v>9.9</v>
      </c>
      <c r="AC537" s="78">
        <v>0.9</v>
      </c>
      <c r="AD537" s="78">
        <v>1.1000000000000001</v>
      </c>
      <c r="AE537" s="78">
        <v>0</v>
      </c>
      <c r="AF537" s="78">
        <v>180</v>
      </c>
      <c r="AG537" s="78">
        <v>452</v>
      </c>
      <c r="AH537" s="78">
        <v>2683</v>
      </c>
      <c r="AI537" s="78">
        <v>140</v>
      </c>
      <c r="AJ537" s="78">
        <v>436</v>
      </c>
      <c r="AK537" s="78">
        <v>400</v>
      </c>
      <c r="AL537" s="78">
        <v>22</v>
      </c>
      <c r="AM537" s="78" t="s">
        <v>1615</v>
      </c>
      <c r="AN537" s="78">
        <v>0.8</v>
      </c>
      <c r="AO537" s="78">
        <v>14.1</v>
      </c>
    </row>
    <row r="538" spans="1:41">
      <c r="A538" s="78" t="s">
        <v>2682</v>
      </c>
      <c r="B538" s="78" t="s">
        <v>1558</v>
      </c>
      <c r="C538" s="78" t="s">
        <v>366</v>
      </c>
      <c r="D538" s="78" t="s">
        <v>2670</v>
      </c>
      <c r="E538" s="78" t="s">
        <v>2683</v>
      </c>
      <c r="F538" s="78" t="s">
        <v>2629</v>
      </c>
      <c r="G538" s="78" t="s">
        <v>1614</v>
      </c>
      <c r="H538" s="78">
        <v>296</v>
      </c>
      <c r="I538" s="78">
        <v>11.4</v>
      </c>
      <c r="J538" s="78" t="s">
        <v>1615</v>
      </c>
      <c r="K538" s="78">
        <v>10.4</v>
      </c>
      <c r="L538" s="78">
        <v>48.3</v>
      </c>
      <c r="M538" s="78" t="s">
        <v>1615</v>
      </c>
      <c r="N538" s="78">
        <v>26.2</v>
      </c>
      <c r="O538" s="78">
        <v>2.1</v>
      </c>
      <c r="P538" s="78">
        <v>0.63</v>
      </c>
      <c r="Q538" s="78">
        <v>0.79</v>
      </c>
      <c r="R538" s="78">
        <v>0.62</v>
      </c>
      <c r="S538" s="78" t="s">
        <v>1615</v>
      </c>
      <c r="T538" s="78">
        <v>0</v>
      </c>
      <c r="U538" s="78">
        <v>0</v>
      </c>
      <c r="V538" s="78">
        <v>21</v>
      </c>
      <c r="W538" s="78">
        <v>0</v>
      </c>
      <c r="X538" s="78" t="s">
        <v>1615</v>
      </c>
      <c r="Y538" s="78" t="s">
        <v>1615</v>
      </c>
      <c r="Z538" s="78">
        <v>0</v>
      </c>
      <c r="AA538" s="78">
        <v>0.1</v>
      </c>
      <c r="AB538" s="78">
        <v>0.2</v>
      </c>
      <c r="AC538" s="78">
        <v>0.1</v>
      </c>
      <c r="AD538" s="78" t="s">
        <v>1615</v>
      </c>
      <c r="AE538" s="78">
        <v>0</v>
      </c>
      <c r="AF538" s="78">
        <v>10</v>
      </c>
      <c r="AG538" s="78">
        <v>5</v>
      </c>
      <c r="AH538" s="78">
        <v>73</v>
      </c>
      <c r="AI538" s="78">
        <v>265</v>
      </c>
      <c r="AJ538" s="78">
        <v>176</v>
      </c>
      <c r="AK538" s="78">
        <v>90</v>
      </c>
      <c r="AL538" s="78">
        <v>1.3</v>
      </c>
      <c r="AM538" s="78">
        <v>1.1000000000000001</v>
      </c>
      <c r="AN538" s="78">
        <v>0.9</v>
      </c>
      <c r="AO538" s="78">
        <v>3.1</v>
      </c>
    </row>
    <row r="539" spans="1:41">
      <c r="A539" s="78" t="s">
        <v>2684</v>
      </c>
      <c r="B539" s="78" t="s">
        <v>1558</v>
      </c>
      <c r="C539" s="78" t="s">
        <v>366</v>
      </c>
      <c r="D539" s="78" t="s">
        <v>2672</v>
      </c>
      <c r="E539" s="78" t="s">
        <v>2685</v>
      </c>
      <c r="F539" s="78" t="s">
        <v>2629</v>
      </c>
      <c r="G539" s="78" t="s">
        <v>1614</v>
      </c>
      <c r="H539" s="78">
        <v>251</v>
      </c>
      <c r="I539" s="78">
        <v>12.5</v>
      </c>
      <c r="J539" s="78">
        <v>4.5</v>
      </c>
      <c r="K539" s="78">
        <v>10.4</v>
      </c>
      <c r="L539" s="78">
        <v>4.0999999999999996</v>
      </c>
      <c r="M539" s="78">
        <v>0.6</v>
      </c>
      <c r="N539" s="78">
        <v>25.3</v>
      </c>
      <c r="O539" s="78">
        <v>3.3</v>
      </c>
      <c r="P539" s="78">
        <v>1.39</v>
      </c>
      <c r="Q539" s="78">
        <v>0.74</v>
      </c>
      <c r="R539" s="78">
        <v>1</v>
      </c>
      <c r="S539" s="78" t="s">
        <v>1615</v>
      </c>
      <c r="T539" s="78">
        <v>0</v>
      </c>
      <c r="U539" s="78">
        <v>27</v>
      </c>
      <c r="V539" s="78">
        <v>0</v>
      </c>
      <c r="W539" s="78">
        <v>0</v>
      </c>
      <c r="X539" s="78" t="s">
        <v>1615</v>
      </c>
      <c r="Y539" s="78">
        <v>163.69999999999999</v>
      </c>
      <c r="Z539" s="78">
        <v>0.1</v>
      </c>
      <c r="AA539" s="78">
        <v>0.2</v>
      </c>
      <c r="AB539" s="78">
        <v>1.1000000000000001</v>
      </c>
      <c r="AC539" s="78">
        <v>0.3</v>
      </c>
      <c r="AD539" s="78">
        <v>1.4</v>
      </c>
      <c r="AE539" s="78">
        <v>0</v>
      </c>
      <c r="AF539" s="78">
        <v>10</v>
      </c>
      <c r="AG539" s="78">
        <v>20</v>
      </c>
      <c r="AH539" s="78">
        <v>1829</v>
      </c>
      <c r="AI539" s="78">
        <v>443</v>
      </c>
      <c r="AJ539" s="78">
        <v>158</v>
      </c>
      <c r="AK539" s="78">
        <v>110</v>
      </c>
      <c r="AL539" s="78">
        <v>9.6999999999999993</v>
      </c>
      <c r="AM539" s="78">
        <v>2.5</v>
      </c>
      <c r="AN539" s="78">
        <v>1.3</v>
      </c>
      <c r="AO539" s="78">
        <v>4.9000000000000004</v>
      </c>
    </row>
    <row r="540" spans="1:41">
      <c r="A540" s="78" t="s">
        <v>2686</v>
      </c>
      <c r="B540" s="78" t="s">
        <v>1558</v>
      </c>
      <c r="C540" s="78" t="s">
        <v>366</v>
      </c>
      <c r="D540" s="78" t="s">
        <v>2674</v>
      </c>
      <c r="E540" s="78" t="s">
        <v>2687</v>
      </c>
      <c r="F540" s="78" t="s">
        <v>2629</v>
      </c>
      <c r="G540" s="78" t="s">
        <v>1614</v>
      </c>
      <c r="H540" s="78">
        <v>318</v>
      </c>
      <c r="I540" s="78">
        <v>8.1</v>
      </c>
      <c r="J540" s="78">
        <v>6</v>
      </c>
      <c r="K540" s="78">
        <v>12</v>
      </c>
      <c r="L540" s="78">
        <v>29.4</v>
      </c>
      <c r="M540" s="78">
        <v>10.3</v>
      </c>
      <c r="N540" s="78">
        <v>34.9</v>
      </c>
      <c r="O540" s="78">
        <v>1.3</v>
      </c>
      <c r="P540" s="78">
        <v>3.26</v>
      </c>
      <c r="Q540" s="78">
        <v>2.75</v>
      </c>
      <c r="R540" s="78">
        <v>8.3699999999999992</v>
      </c>
      <c r="S540" s="78" t="s">
        <v>1615</v>
      </c>
      <c r="T540" s="78">
        <v>0</v>
      </c>
      <c r="U540" s="78">
        <v>2081</v>
      </c>
      <c r="V540" s="78">
        <v>76.400000000000006</v>
      </c>
      <c r="W540" s="78">
        <v>0</v>
      </c>
      <c r="X540" s="78">
        <v>29.8</v>
      </c>
      <c r="Y540" s="78">
        <v>80.3</v>
      </c>
      <c r="Z540" s="78">
        <v>0.3</v>
      </c>
      <c r="AA540" s="78">
        <v>0.9</v>
      </c>
      <c r="AB540" s="78">
        <v>8.6999999999999993</v>
      </c>
      <c r="AC540" s="78">
        <v>2.5</v>
      </c>
      <c r="AD540" s="78" t="s">
        <v>1615</v>
      </c>
      <c r="AE540" s="78">
        <v>0</v>
      </c>
      <c r="AF540" s="78">
        <v>106</v>
      </c>
      <c r="AG540" s="78">
        <v>30</v>
      </c>
      <c r="AH540" s="78">
        <v>2014</v>
      </c>
      <c r="AI540" s="78">
        <v>148</v>
      </c>
      <c r="AJ540" s="78">
        <v>293</v>
      </c>
      <c r="AK540" s="78">
        <v>152</v>
      </c>
      <c r="AL540" s="78">
        <v>7.8</v>
      </c>
      <c r="AM540" s="78" t="s">
        <v>1615</v>
      </c>
      <c r="AN540" s="78">
        <v>0.4</v>
      </c>
      <c r="AO540" s="78">
        <v>8.8000000000000007</v>
      </c>
    </row>
    <row r="541" spans="1:41">
      <c r="A541" s="78" t="s">
        <v>2688</v>
      </c>
      <c r="B541" s="78" t="s">
        <v>1558</v>
      </c>
      <c r="C541" s="78" t="s">
        <v>366</v>
      </c>
      <c r="D541" s="78" t="s">
        <v>2676</v>
      </c>
      <c r="E541" s="78" t="s">
        <v>2689</v>
      </c>
      <c r="F541" s="78" t="s">
        <v>2629</v>
      </c>
      <c r="G541" s="78" t="s">
        <v>1614</v>
      </c>
      <c r="H541" s="78">
        <v>131</v>
      </c>
      <c r="I541" s="78">
        <v>67.8</v>
      </c>
      <c r="J541" s="78" t="s">
        <v>1615</v>
      </c>
      <c r="K541" s="78">
        <v>3.3</v>
      </c>
      <c r="L541" s="78">
        <v>6.6</v>
      </c>
      <c r="M541" s="78" t="s">
        <v>1615</v>
      </c>
      <c r="N541" s="78">
        <v>14.1</v>
      </c>
      <c r="O541" s="78">
        <v>5.9</v>
      </c>
      <c r="P541" s="78">
        <v>2.84</v>
      </c>
      <c r="Q541" s="78">
        <v>1.1599999999999999</v>
      </c>
      <c r="R541" s="78">
        <v>0.9</v>
      </c>
      <c r="S541" s="78" t="s">
        <v>1615</v>
      </c>
      <c r="T541" s="78">
        <v>0</v>
      </c>
      <c r="U541" s="78">
        <v>146</v>
      </c>
      <c r="V541" s="78">
        <v>21.8</v>
      </c>
      <c r="W541" s="78">
        <v>0</v>
      </c>
      <c r="X541" s="78" t="s">
        <v>1615</v>
      </c>
      <c r="Y541" s="78" t="s">
        <v>1615</v>
      </c>
      <c r="Z541" s="78">
        <v>0</v>
      </c>
      <c r="AA541" s="78">
        <v>0.2</v>
      </c>
      <c r="AB541" s="78">
        <v>0.9</v>
      </c>
      <c r="AC541" s="78">
        <v>0.3</v>
      </c>
      <c r="AD541" s="78">
        <v>0.8</v>
      </c>
      <c r="AE541" s="78">
        <v>0</v>
      </c>
      <c r="AF541" s="78">
        <v>109</v>
      </c>
      <c r="AG541" s="78">
        <v>26</v>
      </c>
      <c r="AH541" s="78">
        <v>668</v>
      </c>
      <c r="AI541" s="78">
        <v>317</v>
      </c>
      <c r="AJ541" s="78">
        <v>66</v>
      </c>
      <c r="AK541" s="78" t="s">
        <v>1615</v>
      </c>
      <c r="AL541" s="78">
        <v>6.7</v>
      </c>
      <c r="AM541" s="78">
        <v>0.9</v>
      </c>
      <c r="AN541" s="78">
        <v>0.3</v>
      </c>
      <c r="AO541" s="78" t="s">
        <v>1615</v>
      </c>
    </row>
    <row r="542" spans="1:41">
      <c r="A542" s="78" t="s">
        <v>2690</v>
      </c>
      <c r="B542" s="78" t="s">
        <v>1558</v>
      </c>
      <c r="C542" s="78" t="s">
        <v>366</v>
      </c>
      <c r="D542" s="78" t="s">
        <v>2678</v>
      </c>
      <c r="E542" s="78" t="s">
        <v>2691</v>
      </c>
      <c r="F542" s="78" t="s">
        <v>2629</v>
      </c>
      <c r="G542" s="78" t="s">
        <v>1614</v>
      </c>
      <c r="H542" s="78">
        <v>316</v>
      </c>
      <c r="I542" s="78">
        <v>9.3000000000000007</v>
      </c>
      <c r="J542" s="78" t="s">
        <v>1615</v>
      </c>
      <c r="K542" s="78">
        <v>4.9000000000000004</v>
      </c>
      <c r="L542" s="78">
        <v>21.5</v>
      </c>
      <c r="M542" s="78" t="s">
        <v>1615</v>
      </c>
      <c r="N542" s="78">
        <v>42.6</v>
      </c>
      <c r="O542" s="78">
        <v>15.2</v>
      </c>
      <c r="P542" s="78">
        <v>7.37</v>
      </c>
      <c r="Q542" s="78">
        <v>3.01</v>
      </c>
      <c r="R542" s="78">
        <v>2.34</v>
      </c>
      <c r="S542" s="78" t="s">
        <v>1615</v>
      </c>
      <c r="T542" s="78">
        <v>0</v>
      </c>
      <c r="U542" s="78">
        <v>1586</v>
      </c>
      <c r="V542" s="78">
        <v>61.2</v>
      </c>
      <c r="W542" s="78">
        <v>0</v>
      </c>
      <c r="X542" s="78" t="s">
        <v>1615</v>
      </c>
      <c r="Y542" s="78" t="s">
        <v>1615</v>
      </c>
      <c r="Z542" s="78" t="s">
        <v>1615</v>
      </c>
      <c r="AA542" s="78">
        <v>0.4</v>
      </c>
      <c r="AB542" s="78">
        <v>0.1</v>
      </c>
      <c r="AC542" s="78">
        <v>1.7</v>
      </c>
      <c r="AD542" s="78" t="s">
        <v>1615</v>
      </c>
      <c r="AE542" s="78" t="s">
        <v>1615</v>
      </c>
      <c r="AF542" s="78">
        <v>307</v>
      </c>
      <c r="AG542" s="78">
        <v>50</v>
      </c>
      <c r="AH542" s="78">
        <v>950</v>
      </c>
      <c r="AI542" s="78">
        <v>1280</v>
      </c>
      <c r="AJ542" s="78">
        <v>70</v>
      </c>
      <c r="AK542" s="78">
        <v>220</v>
      </c>
      <c r="AL542" s="78">
        <v>29.3</v>
      </c>
      <c r="AM542" s="78" t="s">
        <v>1615</v>
      </c>
      <c r="AN542" s="78" t="s">
        <v>1615</v>
      </c>
      <c r="AO542" s="78" t="s">
        <v>1615</v>
      </c>
    </row>
    <row r="543" spans="1:41">
      <c r="A543" s="78" t="s">
        <v>2692</v>
      </c>
      <c r="B543" s="78" t="s">
        <v>1558</v>
      </c>
      <c r="C543" s="78" t="s">
        <v>366</v>
      </c>
      <c r="D543" s="78" t="s">
        <v>2680</v>
      </c>
      <c r="E543" s="78" t="s">
        <v>2693</v>
      </c>
      <c r="F543" s="78" t="s">
        <v>2629</v>
      </c>
      <c r="G543" s="78" t="s">
        <v>1614</v>
      </c>
      <c r="H543" s="78" t="s">
        <v>1615</v>
      </c>
      <c r="I543" s="78">
        <v>0</v>
      </c>
      <c r="J543" s="78" t="s">
        <v>1615</v>
      </c>
      <c r="K543" s="78">
        <v>0</v>
      </c>
      <c r="L543" s="78">
        <v>0</v>
      </c>
      <c r="M543" s="78">
        <v>0</v>
      </c>
      <c r="N543" s="78" t="s">
        <v>1615</v>
      </c>
      <c r="O543" s="78">
        <v>0</v>
      </c>
      <c r="P543" s="78" t="s">
        <v>1615</v>
      </c>
      <c r="Q543" s="78" t="s">
        <v>1615</v>
      </c>
      <c r="R543" s="78" t="s">
        <v>1615</v>
      </c>
      <c r="S543" s="78" t="s">
        <v>1615</v>
      </c>
      <c r="T543" s="78">
        <v>0</v>
      </c>
      <c r="U543" s="78" t="s">
        <v>1615</v>
      </c>
      <c r="V543" s="78" t="s">
        <v>1615</v>
      </c>
      <c r="W543" s="78" t="s">
        <v>1615</v>
      </c>
      <c r="X543" s="78">
        <v>0</v>
      </c>
      <c r="Y543" s="78" t="s">
        <v>1615</v>
      </c>
      <c r="Z543" s="78">
        <v>0</v>
      </c>
      <c r="AA543" s="78" t="s">
        <v>1615</v>
      </c>
      <c r="AB543" s="78">
        <v>0</v>
      </c>
      <c r="AC543" s="78" t="s">
        <v>1615</v>
      </c>
      <c r="AD543" s="78" t="s">
        <v>1615</v>
      </c>
      <c r="AE543" s="78" t="s">
        <v>1615</v>
      </c>
      <c r="AF543" s="78" t="s">
        <v>1615</v>
      </c>
      <c r="AG543" s="78">
        <v>35983</v>
      </c>
      <c r="AH543" s="78">
        <v>114</v>
      </c>
      <c r="AI543" s="78" t="s">
        <v>1615</v>
      </c>
      <c r="AJ543" s="78" t="s">
        <v>1615</v>
      </c>
      <c r="AK543" s="78" t="s">
        <v>1615</v>
      </c>
      <c r="AL543" s="78" t="s">
        <v>1615</v>
      </c>
      <c r="AM543" s="78" t="s">
        <v>1615</v>
      </c>
      <c r="AN543" s="78" t="s">
        <v>1615</v>
      </c>
      <c r="AO543" s="78" t="s">
        <v>1615</v>
      </c>
    </row>
    <row r="544" spans="1:41">
      <c r="A544" s="78" t="s">
        <v>2694</v>
      </c>
      <c r="B544" s="78" t="s">
        <v>1558</v>
      </c>
      <c r="C544" s="78" t="s">
        <v>366</v>
      </c>
      <c r="D544" s="78" t="s">
        <v>2682</v>
      </c>
      <c r="E544" s="78" t="s">
        <v>540</v>
      </c>
      <c r="F544" s="78" t="s">
        <v>2629</v>
      </c>
      <c r="G544" s="78" t="s">
        <v>1614</v>
      </c>
      <c r="H544" s="78" t="s">
        <v>1615</v>
      </c>
      <c r="I544" s="78">
        <v>0.2</v>
      </c>
      <c r="J544" s="78" t="s">
        <v>1615</v>
      </c>
      <c r="K544" s="78">
        <v>0</v>
      </c>
      <c r="L544" s="78">
        <v>0</v>
      </c>
      <c r="M544" s="78">
        <v>0</v>
      </c>
      <c r="N544" s="78">
        <v>0</v>
      </c>
      <c r="O544" s="78">
        <v>0</v>
      </c>
      <c r="P544" s="78">
        <v>0</v>
      </c>
      <c r="Q544" s="78">
        <v>0</v>
      </c>
      <c r="R544" s="78">
        <v>0</v>
      </c>
      <c r="S544" s="78" t="s">
        <v>1615</v>
      </c>
      <c r="T544" s="78">
        <v>0</v>
      </c>
      <c r="U544" s="78">
        <v>0</v>
      </c>
      <c r="V544" s="78">
        <v>0</v>
      </c>
      <c r="W544" s="78">
        <v>0</v>
      </c>
      <c r="X544" s="78">
        <v>0</v>
      </c>
      <c r="Y544" s="78" t="s">
        <v>1615</v>
      </c>
      <c r="Z544" s="78">
        <v>0</v>
      </c>
      <c r="AA544" s="78">
        <v>0</v>
      </c>
      <c r="AB544" s="78">
        <v>0</v>
      </c>
      <c r="AC544" s="78" t="s">
        <v>1615</v>
      </c>
      <c r="AD544" s="78">
        <v>0</v>
      </c>
      <c r="AE544" s="78">
        <v>0</v>
      </c>
      <c r="AF544" s="78">
        <v>0</v>
      </c>
      <c r="AG544" s="78">
        <v>38758</v>
      </c>
      <c r="AH544" s="78">
        <v>8</v>
      </c>
      <c r="AI544" s="78">
        <v>24</v>
      </c>
      <c r="AJ544" s="78">
        <v>0</v>
      </c>
      <c r="AK544" s="78">
        <v>1</v>
      </c>
      <c r="AL544" s="78">
        <v>0.3</v>
      </c>
      <c r="AM544" s="78" t="s">
        <v>1615</v>
      </c>
      <c r="AN544" s="78" t="s">
        <v>1615</v>
      </c>
      <c r="AO544" s="78" t="s">
        <v>1615</v>
      </c>
    </row>
    <row r="545" spans="1:41">
      <c r="A545" s="78" t="s">
        <v>2695</v>
      </c>
      <c r="B545" s="78" t="s">
        <v>1558</v>
      </c>
      <c r="C545" s="78" t="s">
        <v>366</v>
      </c>
      <c r="D545" s="78" t="s">
        <v>2684</v>
      </c>
      <c r="E545" s="78" t="s">
        <v>2696</v>
      </c>
      <c r="F545" s="78" t="s">
        <v>2629</v>
      </c>
      <c r="G545" s="78" t="s">
        <v>1614</v>
      </c>
      <c r="H545" s="78">
        <v>525</v>
      </c>
      <c r="I545" s="78">
        <v>6</v>
      </c>
      <c r="J545" s="78" t="s">
        <v>1615</v>
      </c>
      <c r="K545" s="78">
        <v>18</v>
      </c>
      <c r="L545" s="78">
        <v>8.6</v>
      </c>
      <c r="M545" s="78">
        <v>3</v>
      </c>
      <c r="N545" s="78">
        <v>19.5</v>
      </c>
      <c r="O545" s="78">
        <v>41.6</v>
      </c>
      <c r="P545" s="78">
        <v>4.5199999999999996</v>
      </c>
      <c r="Q545" s="78">
        <v>5.98</v>
      </c>
      <c r="R545" s="78">
        <v>28.57</v>
      </c>
      <c r="S545" s="78" t="s">
        <v>1615</v>
      </c>
      <c r="T545" s="78">
        <v>0</v>
      </c>
      <c r="U545" s="78">
        <v>0</v>
      </c>
      <c r="V545" s="78">
        <v>1</v>
      </c>
      <c r="W545" s="78">
        <v>0</v>
      </c>
      <c r="X545" s="78">
        <v>1.8</v>
      </c>
      <c r="Y545" s="78">
        <v>0</v>
      </c>
      <c r="Z545" s="78">
        <v>0.9</v>
      </c>
      <c r="AA545" s="78">
        <v>0.1</v>
      </c>
      <c r="AB545" s="78">
        <v>0.9</v>
      </c>
      <c r="AC545" s="78" t="s">
        <v>1615</v>
      </c>
      <c r="AD545" s="78">
        <v>0.3</v>
      </c>
      <c r="AE545" s="78">
        <v>0</v>
      </c>
      <c r="AF545" s="78">
        <v>82</v>
      </c>
      <c r="AG545" s="78">
        <v>26</v>
      </c>
      <c r="AH545" s="78">
        <v>719</v>
      </c>
      <c r="AI545" s="78">
        <v>1438</v>
      </c>
      <c r="AJ545" s="78">
        <v>870</v>
      </c>
      <c r="AK545" s="78">
        <v>347</v>
      </c>
      <c r="AL545" s="78">
        <v>9.8000000000000007</v>
      </c>
      <c r="AM545" s="78" t="s">
        <v>1615</v>
      </c>
      <c r="AN545" s="78" t="s">
        <v>1615</v>
      </c>
      <c r="AO545" s="78" t="s">
        <v>1615</v>
      </c>
    </row>
    <row r="546" spans="1:41">
      <c r="A546" s="78" t="s">
        <v>2697</v>
      </c>
      <c r="B546" s="78" t="s">
        <v>1558</v>
      </c>
      <c r="C546" s="78" t="s">
        <v>366</v>
      </c>
      <c r="D546" s="78" t="s">
        <v>2686</v>
      </c>
      <c r="E546" s="78" t="s">
        <v>2698</v>
      </c>
      <c r="F546" s="78" t="s">
        <v>2629</v>
      </c>
      <c r="G546" s="78" t="s">
        <v>1614</v>
      </c>
      <c r="H546" s="78">
        <v>375</v>
      </c>
      <c r="I546" s="78">
        <v>8.1</v>
      </c>
      <c r="J546" s="78">
        <v>7.6</v>
      </c>
      <c r="K546" s="78">
        <v>17.8</v>
      </c>
      <c r="L546" s="78">
        <v>33.700000000000003</v>
      </c>
      <c r="M546" s="78">
        <v>2.2999999999999998</v>
      </c>
      <c r="N546" s="78">
        <v>10.5</v>
      </c>
      <c r="O546" s="78">
        <v>22.3</v>
      </c>
      <c r="P546" s="78">
        <v>1.54</v>
      </c>
      <c r="Q546" s="78">
        <v>14.04</v>
      </c>
      <c r="R546" s="78">
        <v>3.28</v>
      </c>
      <c r="S546" s="78" t="s">
        <v>1615</v>
      </c>
      <c r="T546" s="78">
        <v>0</v>
      </c>
      <c r="U546" s="78">
        <v>64</v>
      </c>
      <c r="V546" s="78">
        <v>21</v>
      </c>
      <c r="W546" s="78">
        <v>0</v>
      </c>
      <c r="X546" s="78">
        <v>3.3</v>
      </c>
      <c r="Y546" s="78">
        <v>5.4</v>
      </c>
      <c r="Z546" s="78">
        <v>0.6</v>
      </c>
      <c r="AA546" s="78">
        <v>0.3</v>
      </c>
      <c r="AB546" s="78">
        <v>4.5999999999999996</v>
      </c>
      <c r="AC546" s="78">
        <v>0.4</v>
      </c>
      <c r="AD546" s="78" t="s">
        <v>1615</v>
      </c>
      <c r="AE546" s="78">
        <v>0</v>
      </c>
      <c r="AF546" s="78">
        <v>10</v>
      </c>
      <c r="AG546" s="78">
        <v>168</v>
      </c>
      <c r="AH546" s="78">
        <v>1788</v>
      </c>
      <c r="AI546" s="78">
        <v>931</v>
      </c>
      <c r="AJ546" s="78">
        <v>499</v>
      </c>
      <c r="AK546" s="78">
        <v>366</v>
      </c>
      <c r="AL546" s="78">
        <v>66.400000000000006</v>
      </c>
      <c r="AM546" s="78">
        <v>4.8</v>
      </c>
      <c r="AN546" s="78">
        <v>0.9</v>
      </c>
      <c r="AO546" s="78" t="s">
        <v>1615</v>
      </c>
    </row>
    <row r="547" spans="1:41">
      <c r="A547" s="78" t="s">
        <v>2699</v>
      </c>
      <c r="B547" s="78" t="s">
        <v>1558</v>
      </c>
      <c r="C547" s="78" t="s">
        <v>366</v>
      </c>
      <c r="D547" s="78" t="s">
        <v>2688</v>
      </c>
      <c r="E547" s="78" t="s">
        <v>363</v>
      </c>
      <c r="F547" s="78" t="s">
        <v>2629</v>
      </c>
      <c r="G547" s="78" t="s">
        <v>1614</v>
      </c>
      <c r="H547" s="78">
        <v>345</v>
      </c>
      <c r="I547" s="78">
        <v>8.8000000000000007</v>
      </c>
      <c r="J547" s="78">
        <v>8.1999999999999993</v>
      </c>
      <c r="K547" s="78">
        <v>15.8</v>
      </c>
      <c r="L547" s="78">
        <v>12.5</v>
      </c>
      <c r="M547" s="78" t="s">
        <v>1615</v>
      </c>
      <c r="N547" s="78">
        <v>39.799999999999997</v>
      </c>
      <c r="O547" s="78">
        <v>14.9</v>
      </c>
      <c r="P547" s="78">
        <v>0.48</v>
      </c>
      <c r="Q547" s="78">
        <v>9.91</v>
      </c>
      <c r="R547" s="78">
        <v>1.69</v>
      </c>
      <c r="S547" s="78" t="s">
        <v>1615</v>
      </c>
      <c r="T547" s="78">
        <v>0</v>
      </c>
      <c r="U547" s="78">
        <v>7</v>
      </c>
      <c r="V547" s="78">
        <v>7.1</v>
      </c>
      <c r="W547" s="78">
        <v>0</v>
      </c>
      <c r="X547" s="78" t="s">
        <v>1615</v>
      </c>
      <c r="Y547" s="78" t="s">
        <v>1615</v>
      </c>
      <c r="Z547" s="78">
        <v>0.4</v>
      </c>
      <c r="AA547" s="78">
        <v>0.4</v>
      </c>
      <c r="AB547" s="78">
        <v>6.1</v>
      </c>
      <c r="AC547" s="78">
        <v>0.5</v>
      </c>
      <c r="AD547" s="78" t="s">
        <v>1615</v>
      </c>
      <c r="AE547" s="78">
        <v>0</v>
      </c>
      <c r="AF547" s="78" t="s">
        <v>1615</v>
      </c>
      <c r="AG547" s="78">
        <v>80</v>
      </c>
      <c r="AH547" s="78">
        <v>1694</v>
      </c>
      <c r="AI547" s="78">
        <v>1196</v>
      </c>
      <c r="AJ547" s="78">
        <v>487</v>
      </c>
      <c r="AK547" s="78">
        <v>385</v>
      </c>
      <c r="AL547" s="78">
        <v>18.5</v>
      </c>
      <c r="AM547" s="78">
        <v>3.7</v>
      </c>
      <c r="AN547" s="78">
        <v>1.1000000000000001</v>
      </c>
      <c r="AO547" s="78">
        <v>208.1</v>
      </c>
    </row>
    <row r="548" spans="1:41">
      <c r="A548" s="78" t="s">
        <v>2700</v>
      </c>
      <c r="B548" s="78" t="s">
        <v>1558</v>
      </c>
      <c r="C548" s="78" t="s">
        <v>366</v>
      </c>
      <c r="D548" s="78" t="s">
        <v>2690</v>
      </c>
      <c r="E548" s="78" t="s">
        <v>2701</v>
      </c>
      <c r="F548" s="78" t="s">
        <v>2629</v>
      </c>
      <c r="G548" s="78" t="s">
        <v>1614</v>
      </c>
      <c r="H548" s="78">
        <v>508</v>
      </c>
      <c r="I548" s="78">
        <v>5.3</v>
      </c>
      <c r="J548" s="78">
        <v>4.3</v>
      </c>
      <c r="K548" s="78">
        <v>26.1</v>
      </c>
      <c r="L548" s="78">
        <v>15.9</v>
      </c>
      <c r="M548" s="78">
        <v>6.8</v>
      </c>
      <c r="N548" s="78">
        <v>12.2</v>
      </c>
      <c r="O548" s="78">
        <v>36.200000000000003</v>
      </c>
      <c r="P548" s="78">
        <v>1.99</v>
      </c>
      <c r="Q548" s="78">
        <v>22.52</v>
      </c>
      <c r="R548" s="78">
        <v>10.09</v>
      </c>
      <c r="S548" s="78" t="s">
        <v>1615</v>
      </c>
      <c r="T548" s="78">
        <v>0</v>
      </c>
      <c r="U548" s="78">
        <v>2</v>
      </c>
      <c r="V548" s="78">
        <v>16</v>
      </c>
      <c r="W548" s="78">
        <v>0</v>
      </c>
      <c r="X548" s="78" t="s">
        <v>1615</v>
      </c>
      <c r="Y548" s="78">
        <v>5.4</v>
      </c>
      <c r="Z548" s="78">
        <v>0.8</v>
      </c>
      <c r="AA548" s="78">
        <v>0.3</v>
      </c>
      <c r="AB548" s="78">
        <v>4.7</v>
      </c>
      <c r="AC548" s="78">
        <v>0.4</v>
      </c>
      <c r="AD548" s="78">
        <v>0.8</v>
      </c>
      <c r="AE548" s="78">
        <v>0</v>
      </c>
      <c r="AF548" s="78">
        <v>162</v>
      </c>
      <c r="AG548" s="78">
        <v>13</v>
      </c>
      <c r="AH548" s="78">
        <v>738</v>
      </c>
      <c r="AI548" s="78">
        <v>266</v>
      </c>
      <c r="AJ548" s="78">
        <v>828</v>
      </c>
      <c r="AK548" s="78">
        <v>370</v>
      </c>
      <c r="AL548" s="78">
        <v>9.1999999999999993</v>
      </c>
      <c r="AM548" s="78">
        <v>6.1</v>
      </c>
      <c r="AN548" s="78">
        <v>0.6</v>
      </c>
      <c r="AO548" s="78" t="s">
        <v>1615</v>
      </c>
    </row>
    <row r="549" spans="1:41">
      <c r="A549" s="78" t="s">
        <v>2702</v>
      </c>
      <c r="B549" s="78" t="s">
        <v>1558</v>
      </c>
      <c r="C549" s="78" t="s">
        <v>366</v>
      </c>
      <c r="D549" s="78" t="s">
        <v>2692</v>
      </c>
      <c r="E549" s="78" t="s">
        <v>2703</v>
      </c>
      <c r="F549" s="78" t="s">
        <v>2629</v>
      </c>
      <c r="G549" s="78" t="s">
        <v>1614</v>
      </c>
      <c r="H549" s="78">
        <v>101</v>
      </c>
      <c r="I549" s="78">
        <v>65.099999999999994</v>
      </c>
      <c r="J549" s="78" t="s">
        <v>1615</v>
      </c>
      <c r="K549" s="78">
        <v>5.6</v>
      </c>
      <c r="L549" s="78">
        <v>10.5</v>
      </c>
      <c r="M549" s="78" t="s">
        <v>1615</v>
      </c>
      <c r="N549" s="78">
        <v>14</v>
      </c>
      <c r="O549" s="78">
        <v>1.7</v>
      </c>
      <c r="P549" s="78">
        <v>0.47</v>
      </c>
      <c r="Q549" s="78">
        <v>0.08</v>
      </c>
      <c r="R549" s="78">
        <v>0.53</v>
      </c>
      <c r="S549" s="78" t="s">
        <v>1615</v>
      </c>
      <c r="T549" s="78">
        <v>0</v>
      </c>
      <c r="U549" s="78">
        <v>239</v>
      </c>
      <c r="V549" s="78">
        <v>50</v>
      </c>
      <c r="W549" s="78">
        <v>0</v>
      </c>
      <c r="X549" s="78" t="s">
        <v>1615</v>
      </c>
      <c r="Y549" s="78" t="s">
        <v>1615</v>
      </c>
      <c r="Z549" s="78">
        <v>0</v>
      </c>
      <c r="AA549" s="78">
        <v>0.5</v>
      </c>
      <c r="AB549" s="78">
        <v>1.8</v>
      </c>
      <c r="AC549" s="78">
        <v>0.3</v>
      </c>
      <c r="AD549" s="78">
        <v>0.4</v>
      </c>
      <c r="AE549" s="78">
        <v>0</v>
      </c>
      <c r="AF549" s="78">
        <v>45</v>
      </c>
      <c r="AG549" s="78">
        <v>9</v>
      </c>
      <c r="AH549" s="78">
        <v>609</v>
      </c>
      <c r="AI549" s="78">
        <v>405</v>
      </c>
      <c r="AJ549" s="78">
        <v>106</v>
      </c>
      <c r="AK549" s="78">
        <v>160</v>
      </c>
      <c r="AL549" s="78">
        <v>17.5</v>
      </c>
      <c r="AM549" s="78">
        <v>1.8</v>
      </c>
      <c r="AN549" s="78">
        <v>0.6</v>
      </c>
      <c r="AO549" s="78">
        <v>4.8</v>
      </c>
    </row>
    <row r="550" spans="1:41">
      <c r="A550" s="78" t="s">
        <v>2704</v>
      </c>
      <c r="B550" s="78" t="s">
        <v>1558</v>
      </c>
      <c r="C550" s="78" t="s">
        <v>366</v>
      </c>
      <c r="D550" s="78" t="s">
        <v>2694</v>
      </c>
      <c r="E550" s="78" t="s">
        <v>2705</v>
      </c>
      <c r="F550" s="78" t="s">
        <v>2629</v>
      </c>
      <c r="G550" s="78" t="s">
        <v>1614</v>
      </c>
      <c r="H550" s="78">
        <v>276</v>
      </c>
      <c r="I550" s="78">
        <v>7.8</v>
      </c>
      <c r="J550" s="78">
        <v>11.7</v>
      </c>
      <c r="K550" s="78">
        <v>9.1</v>
      </c>
      <c r="L550" s="78">
        <v>26.9</v>
      </c>
      <c r="M550" s="78">
        <v>1.7</v>
      </c>
      <c r="N550" s="78">
        <v>37</v>
      </c>
      <c r="O550" s="78">
        <v>7.4</v>
      </c>
      <c r="P550" s="78">
        <v>2.73</v>
      </c>
      <c r="Q550" s="78">
        <v>0.47</v>
      </c>
      <c r="R550" s="78">
        <v>1.19</v>
      </c>
      <c r="S550" s="78" t="s">
        <v>1615</v>
      </c>
      <c r="T550" s="78">
        <v>0</v>
      </c>
      <c r="U550" s="78">
        <v>190</v>
      </c>
      <c r="V550" s="78" t="s">
        <v>1615</v>
      </c>
      <c r="W550" s="78">
        <v>0</v>
      </c>
      <c r="X550" s="78" t="s">
        <v>1615</v>
      </c>
      <c r="Y550" s="78">
        <v>1714.5</v>
      </c>
      <c r="Z550" s="78">
        <v>0.5</v>
      </c>
      <c r="AA550" s="78">
        <v>0.4</v>
      </c>
      <c r="AB550" s="78">
        <v>4.9000000000000004</v>
      </c>
      <c r="AC550" s="78">
        <v>0.6</v>
      </c>
      <c r="AD550" s="78" t="s">
        <v>1615</v>
      </c>
      <c r="AE550" s="78">
        <v>0</v>
      </c>
      <c r="AF550" s="78">
        <v>274</v>
      </c>
      <c r="AG550" s="78">
        <v>29</v>
      </c>
      <c r="AH550" s="78">
        <v>814</v>
      </c>
      <c r="AI550" s="78">
        <v>1890</v>
      </c>
      <c r="AJ550" s="78">
        <v>201</v>
      </c>
      <c r="AK550" s="78">
        <v>220</v>
      </c>
      <c r="AL550" s="78">
        <v>123.6</v>
      </c>
      <c r="AM550" s="78">
        <v>6.2</v>
      </c>
      <c r="AN550" s="78">
        <v>0.9</v>
      </c>
      <c r="AO550" s="78" t="s">
        <v>1615</v>
      </c>
    </row>
    <row r="551" spans="1:41">
      <c r="A551" s="78" t="s">
        <v>2706</v>
      </c>
      <c r="B551" s="78" t="s">
        <v>1558</v>
      </c>
      <c r="C551" s="78" t="s">
        <v>366</v>
      </c>
      <c r="D551" s="78" t="s">
        <v>2695</v>
      </c>
      <c r="E551" s="78" t="s">
        <v>2707</v>
      </c>
      <c r="F551" s="78" t="s">
        <v>2708</v>
      </c>
      <c r="G551" s="78" t="s">
        <v>1614</v>
      </c>
      <c r="H551" s="78">
        <v>153</v>
      </c>
      <c r="I551" s="78">
        <v>61.9</v>
      </c>
      <c r="J551" s="78">
        <v>0.1</v>
      </c>
      <c r="K551" s="78">
        <v>0.1</v>
      </c>
      <c r="L551" s="78">
        <v>37.9</v>
      </c>
      <c r="M551" s="78" t="s">
        <v>1615</v>
      </c>
      <c r="N551" s="78" t="s">
        <v>1615</v>
      </c>
      <c r="O551" s="78">
        <v>0</v>
      </c>
      <c r="P551" s="78" t="s">
        <v>1615</v>
      </c>
      <c r="Q551" s="78" t="s">
        <v>1615</v>
      </c>
      <c r="R551" s="78" t="s">
        <v>1615</v>
      </c>
      <c r="S551" s="78" t="s">
        <v>1615</v>
      </c>
      <c r="T551" s="78">
        <v>0</v>
      </c>
      <c r="U551" s="78" t="s">
        <v>1615</v>
      </c>
      <c r="V551" s="78" t="s">
        <v>1615</v>
      </c>
      <c r="W551" s="78" t="s">
        <v>1615</v>
      </c>
      <c r="X551" s="78" t="s">
        <v>1615</v>
      </c>
      <c r="Y551" s="78" t="s">
        <v>1615</v>
      </c>
      <c r="Z551" s="78" t="s">
        <v>1615</v>
      </c>
      <c r="AA551" s="78" t="s">
        <v>1615</v>
      </c>
      <c r="AB551" s="78" t="s">
        <v>1615</v>
      </c>
      <c r="AC551" s="78" t="s">
        <v>1615</v>
      </c>
      <c r="AD551" s="78" t="s">
        <v>1615</v>
      </c>
      <c r="AE551" s="78" t="s">
        <v>1615</v>
      </c>
      <c r="AF551" s="78" t="s">
        <v>1615</v>
      </c>
      <c r="AG551" s="78">
        <v>20</v>
      </c>
      <c r="AH551" s="78" t="s">
        <v>1615</v>
      </c>
      <c r="AI551" s="78" t="s">
        <v>1615</v>
      </c>
      <c r="AJ551" s="78" t="s">
        <v>1615</v>
      </c>
      <c r="AK551" s="78" t="s">
        <v>1615</v>
      </c>
      <c r="AL551" s="78" t="s">
        <v>1615</v>
      </c>
      <c r="AM551" s="78" t="s">
        <v>1615</v>
      </c>
      <c r="AN551" s="78" t="s">
        <v>1615</v>
      </c>
      <c r="AO551" s="78" t="s">
        <v>1615</v>
      </c>
    </row>
    <row r="552" spans="1:41">
      <c r="A552" s="78" t="s">
        <v>2709</v>
      </c>
      <c r="B552" s="78" t="s">
        <v>1558</v>
      </c>
      <c r="C552" s="78" t="s">
        <v>366</v>
      </c>
      <c r="D552" s="78" t="s">
        <v>2697</v>
      </c>
      <c r="E552" s="78" t="s">
        <v>2710</v>
      </c>
      <c r="F552" s="78" t="s">
        <v>2708</v>
      </c>
      <c r="G552" s="78" t="s">
        <v>1614</v>
      </c>
      <c r="H552" s="78">
        <v>371</v>
      </c>
      <c r="I552" s="78">
        <v>67</v>
      </c>
      <c r="J552" s="78">
        <v>0.5</v>
      </c>
      <c r="K552" s="78">
        <v>0.4</v>
      </c>
      <c r="L552" s="78">
        <v>92.4</v>
      </c>
      <c r="M552" s="78" t="s">
        <v>1615</v>
      </c>
      <c r="N552" s="78" t="s">
        <v>1615</v>
      </c>
      <c r="O552" s="78">
        <v>0</v>
      </c>
      <c r="P552" s="78" t="s">
        <v>1615</v>
      </c>
      <c r="Q552" s="78" t="s">
        <v>1615</v>
      </c>
      <c r="R552" s="78" t="s">
        <v>1615</v>
      </c>
      <c r="S552" s="78" t="s">
        <v>1615</v>
      </c>
      <c r="T552" s="78">
        <v>0</v>
      </c>
      <c r="U552" s="78" t="s">
        <v>1615</v>
      </c>
      <c r="V552" s="78" t="s">
        <v>1615</v>
      </c>
      <c r="W552" s="78" t="s">
        <v>1615</v>
      </c>
      <c r="X552" s="78" t="s">
        <v>1615</v>
      </c>
      <c r="Y552" s="78" t="s">
        <v>1615</v>
      </c>
      <c r="Z552" s="78" t="s">
        <v>1615</v>
      </c>
      <c r="AA552" s="78" t="s">
        <v>1615</v>
      </c>
      <c r="AB552" s="78" t="s">
        <v>1615</v>
      </c>
      <c r="AC552" s="78" t="s">
        <v>1615</v>
      </c>
      <c r="AD552" s="78" t="s">
        <v>1615</v>
      </c>
      <c r="AE552" s="78" t="s">
        <v>1615</v>
      </c>
      <c r="AF552" s="78" t="s">
        <v>1615</v>
      </c>
      <c r="AG552" s="78">
        <v>177</v>
      </c>
      <c r="AH552" s="78" t="s">
        <v>1615</v>
      </c>
      <c r="AI552" s="78">
        <v>8</v>
      </c>
      <c r="AJ552" s="78">
        <v>0.8</v>
      </c>
      <c r="AK552" s="78" t="s">
        <v>1615</v>
      </c>
      <c r="AL552" s="78">
        <v>0.4</v>
      </c>
      <c r="AM552" s="78" t="s">
        <v>1615</v>
      </c>
      <c r="AN552" s="78" t="s">
        <v>1615</v>
      </c>
      <c r="AO552" s="78" t="s">
        <v>1615</v>
      </c>
    </row>
    <row r="553" spans="1:41">
      <c r="A553" s="78" t="s">
        <v>2711</v>
      </c>
      <c r="B553" s="78" t="s">
        <v>1558</v>
      </c>
      <c r="C553" s="78" t="s">
        <v>366</v>
      </c>
      <c r="D553" s="78" t="s">
        <v>2699</v>
      </c>
      <c r="E553" s="78" t="s">
        <v>2712</v>
      </c>
      <c r="F553" s="78" t="s">
        <v>2708</v>
      </c>
      <c r="G553" s="78" t="s">
        <v>1614</v>
      </c>
      <c r="H553" s="78">
        <v>49</v>
      </c>
      <c r="I553" s="78">
        <v>87.2</v>
      </c>
      <c r="J553" s="78">
        <v>0.6</v>
      </c>
      <c r="K553" s="78">
        <v>0.1</v>
      </c>
      <c r="L553" s="78">
        <v>12</v>
      </c>
      <c r="M553" s="78" t="s">
        <v>1615</v>
      </c>
      <c r="N553" s="78" t="s">
        <v>1615</v>
      </c>
      <c r="O553" s="78">
        <v>0</v>
      </c>
      <c r="P553" s="78" t="s">
        <v>1615</v>
      </c>
      <c r="Q553" s="78" t="s">
        <v>1615</v>
      </c>
      <c r="R553" s="78" t="s">
        <v>1615</v>
      </c>
      <c r="S553" s="78" t="s">
        <v>1615</v>
      </c>
      <c r="T553" s="78">
        <v>0</v>
      </c>
      <c r="U553" s="78" t="s">
        <v>1615</v>
      </c>
      <c r="V553" s="78" t="s">
        <v>1615</v>
      </c>
      <c r="W553" s="78" t="s">
        <v>1615</v>
      </c>
      <c r="X553" s="78" t="s">
        <v>1615</v>
      </c>
      <c r="Y553" s="78" t="s">
        <v>1615</v>
      </c>
      <c r="Z553" s="78" t="s">
        <v>1615</v>
      </c>
      <c r="AA553" s="78" t="s">
        <v>1615</v>
      </c>
      <c r="AB553" s="78" t="s">
        <v>1615</v>
      </c>
      <c r="AC553" s="78" t="s">
        <v>1615</v>
      </c>
      <c r="AD553" s="78" t="s">
        <v>1615</v>
      </c>
      <c r="AE553" s="78" t="s">
        <v>1615</v>
      </c>
      <c r="AF553" s="78" t="s">
        <v>1615</v>
      </c>
      <c r="AG553" s="78">
        <v>70</v>
      </c>
      <c r="AH553" s="78" t="s">
        <v>1615</v>
      </c>
      <c r="AI553" s="78" t="s">
        <v>1615</v>
      </c>
      <c r="AJ553" s="78" t="s">
        <v>1615</v>
      </c>
      <c r="AK553" s="78" t="s">
        <v>1615</v>
      </c>
      <c r="AL553" s="78" t="s">
        <v>1615</v>
      </c>
      <c r="AM553" s="78" t="s">
        <v>1615</v>
      </c>
      <c r="AN553" s="78" t="s">
        <v>1615</v>
      </c>
      <c r="AO553" s="78" t="s">
        <v>1615</v>
      </c>
    </row>
    <row r="554" spans="1:41">
      <c r="A554" s="78" t="s">
        <v>2713</v>
      </c>
      <c r="B554" s="78" t="s">
        <v>1558</v>
      </c>
      <c r="C554" s="78" t="s">
        <v>366</v>
      </c>
      <c r="D554" s="78" t="s">
        <v>2700</v>
      </c>
      <c r="E554" s="78" t="s">
        <v>2714</v>
      </c>
      <c r="F554" s="78" t="s">
        <v>2708</v>
      </c>
      <c r="G554" s="78" t="s">
        <v>1614</v>
      </c>
      <c r="H554" s="78">
        <v>15</v>
      </c>
      <c r="I554" s="78">
        <v>96.1</v>
      </c>
      <c r="J554" s="78">
        <v>0.2</v>
      </c>
      <c r="K554" s="78">
        <v>0</v>
      </c>
      <c r="L554" s="78">
        <v>3.7</v>
      </c>
      <c r="M554" s="78" t="s">
        <v>1615</v>
      </c>
      <c r="N554" s="78" t="s">
        <v>1615</v>
      </c>
      <c r="O554" s="78">
        <v>0</v>
      </c>
      <c r="P554" s="78" t="s">
        <v>1615</v>
      </c>
      <c r="Q554" s="78" t="s">
        <v>1615</v>
      </c>
      <c r="R554" s="78" t="s">
        <v>1615</v>
      </c>
      <c r="S554" s="78" t="s">
        <v>1615</v>
      </c>
      <c r="T554" s="78">
        <v>0</v>
      </c>
      <c r="U554" s="78" t="s">
        <v>1615</v>
      </c>
      <c r="V554" s="78" t="s">
        <v>1615</v>
      </c>
      <c r="W554" s="78" t="s">
        <v>1615</v>
      </c>
      <c r="X554" s="78" t="s">
        <v>1615</v>
      </c>
      <c r="Y554" s="78" t="s">
        <v>1615</v>
      </c>
      <c r="Z554" s="78" t="s">
        <v>1615</v>
      </c>
      <c r="AA554" s="78" t="s">
        <v>1615</v>
      </c>
      <c r="AB554" s="78" t="s">
        <v>1615</v>
      </c>
      <c r="AC554" s="78" t="s">
        <v>1615</v>
      </c>
      <c r="AD554" s="78" t="s">
        <v>1615</v>
      </c>
      <c r="AE554" s="78" t="s">
        <v>1615</v>
      </c>
      <c r="AF554" s="78" t="s">
        <v>1615</v>
      </c>
      <c r="AG554" s="78">
        <v>0</v>
      </c>
      <c r="AH554" s="78" t="s">
        <v>1615</v>
      </c>
      <c r="AI554" s="78" t="s">
        <v>1615</v>
      </c>
      <c r="AJ554" s="78" t="s">
        <v>1615</v>
      </c>
      <c r="AK554" s="78" t="s">
        <v>1615</v>
      </c>
      <c r="AL554" s="78" t="s">
        <v>1615</v>
      </c>
      <c r="AM554" s="78" t="s">
        <v>1615</v>
      </c>
      <c r="AN554" s="78" t="s">
        <v>1615</v>
      </c>
      <c r="AO554" s="78" t="s">
        <v>1615</v>
      </c>
    </row>
    <row r="555" spans="1:41">
      <c r="A555" s="78" t="s">
        <v>2715</v>
      </c>
      <c r="B555" s="78" t="s">
        <v>1558</v>
      </c>
      <c r="C555" s="78" t="s">
        <v>366</v>
      </c>
      <c r="D555" s="78" t="s">
        <v>2702</v>
      </c>
      <c r="E555" s="78" t="s">
        <v>2716</v>
      </c>
      <c r="F555" s="78" t="s">
        <v>2717</v>
      </c>
      <c r="G555" s="78" t="s">
        <v>1614</v>
      </c>
      <c r="H555" s="78">
        <v>109</v>
      </c>
      <c r="I555" s="78">
        <v>74.5</v>
      </c>
      <c r="J555" s="78">
        <v>1.1000000000000001</v>
      </c>
      <c r="K555" s="78">
        <v>19.899999999999999</v>
      </c>
      <c r="L555" s="78">
        <v>1.2</v>
      </c>
      <c r="M555" s="78" t="s">
        <v>1615</v>
      </c>
      <c r="N555" s="78" t="s">
        <v>1615</v>
      </c>
      <c r="O555" s="78">
        <v>2.7</v>
      </c>
      <c r="P555" s="78" t="s">
        <v>1615</v>
      </c>
      <c r="Q555" s="78" t="s">
        <v>1615</v>
      </c>
      <c r="R555" s="78" t="s">
        <v>1615</v>
      </c>
      <c r="S555" s="78" t="s">
        <v>1615</v>
      </c>
      <c r="T555" s="78" t="s">
        <v>1615</v>
      </c>
      <c r="U555" s="78" t="s">
        <v>1615</v>
      </c>
      <c r="V555" s="78" t="s">
        <v>1615</v>
      </c>
      <c r="W555" s="78" t="s">
        <v>1615</v>
      </c>
      <c r="X555" s="78" t="s">
        <v>1615</v>
      </c>
      <c r="Y555" s="78" t="s">
        <v>1615</v>
      </c>
      <c r="Z555" s="78" t="s">
        <v>1615</v>
      </c>
      <c r="AA555" s="78" t="s">
        <v>1615</v>
      </c>
      <c r="AB555" s="78" t="s">
        <v>1615</v>
      </c>
      <c r="AC555" s="78" t="s">
        <v>1615</v>
      </c>
      <c r="AD555" s="78" t="s">
        <v>1615</v>
      </c>
      <c r="AE555" s="78" t="s">
        <v>1615</v>
      </c>
      <c r="AF555" s="78" t="s">
        <v>1615</v>
      </c>
      <c r="AG555" s="78">
        <v>388</v>
      </c>
      <c r="AH555" s="78" t="s">
        <v>1615</v>
      </c>
      <c r="AI555" s="78" t="s">
        <v>1615</v>
      </c>
      <c r="AJ555" s="78" t="s">
        <v>1615</v>
      </c>
      <c r="AK555" s="78" t="s">
        <v>1615</v>
      </c>
      <c r="AL555" s="78" t="s">
        <v>1615</v>
      </c>
      <c r="AM555" s="78" t="s">
        <v>1615</v>
      </c>
      <c r="AN555" s="78" t="s">
        <v>1615</v>
      </c>
      <c r="AO555" s="78" t="s">
        <v>1615</v>
      </c>
    </row>
    <row r="556" spans="1:41">
      <c r="A556" s="78" t="s">
        <v>2718</v>
      </c>
      <c r="B556" s="78" t="s">
        <v>1558</v>
      </c>
      <c r="C556" s="78" t="s">
        <v>366</v>
      </c>
      <c r="D556" s="78" t="s">
        <v>2704</v>
      </c>
      <c r="E556" s="78" t="s">
        <v>2719</v>
      </c>
      <c r="F556" s="78" t="s">
        <v>2717</v>
      </c>
      <c r="G556" s="78" t="s">
        <v>1614</v>
      </c>
      <c r="H556" s="78">
        <v>30</v>
      </c>
      <c r="I556" s="78">
        <v>92.9</v>
      </c>
      <c r="J556" s="78">
        <v>1.7</v>
      </c>
      <c r="K556" s="78">
        <v>1.5</v>
      </c>
      <c r="L556" s="78">
        <v>4.5</v>
      </c>
      <c r="M556" s="78" t="s">
        <v>1615</v>
      </c>
      <c r="N556" s="78" t="s">
        <v>1615</v>
      </c>
      <c r="O556" s="78">
        <v>0.7</v>
      </c>
      <c r="P556" s="78" t="s">
        <v>1615</v>
      </c>
      <c r="Q556" s="78" t="s">
        <v>1615</v>
      </c>
      <c r="R556" s="78" t="s">
        <v>1615</v>
      </c>
      <c r="S556" s="78" t="s">
        <v>1615</v>
      </c>
      <c r="T556" s="78" t="s">
        <v>1615</v>
      </c>
      <c r="U556" s="78" t="s">
        <v>1615</v>
      </c>
      <c r="V556" s="78" t="s">
        <v>1615</v>
      </c>
      <c r="W556" s="78" t="s">
        <v>1615</v>
      </c>
      <c r="X556" s="78" t="s">
        <v>1615</v>
      </c>
      <c r="Y556" s="78" t="s">
        <v>1615</v>
      </c>
      <c r="Z556" s="78" t="s">
        <v>1615</v>
      </c>
      <c r="AA556" s="78" t="s">
        <v>1615</v>
      </c>
      <c r="AB556" s="78" t="s">
        <v>1615</v>
      </c>
      <c r="AC556" s="78" t="s">
        <v>1615</v>
      </c>
      <c r="AD556" s="78" t="s">
        <v>1615</v>
      </c>
      <c r="AE556" s="78" t="s">
        <v>1615</v>
      </c>
      <c r="AF556" s="78" t="s">
        <v>1615</v>
      </c>
      <c r="AG556" s="78">
        <v>35</v>
      </c>
      <c r="AH556" s="78" t="s">
        <v>1615</v>
      </c>
      <c r="AI556" s="78" t="s">
        <v>1615</v>
      </c>
      <c r="AJ556" s="78" t="s">
        <v>1615</v>
      </c>
      <c r="AK556" s="78" t="s">
        <v>1615</v>
      </c>
      <c r="AL556" s="78" t="s">
        <v>1615</v>
      </c>
      <c r="AM556" s="78" t="s">
        <v>1615</v>
      </c>
      <c r="AN556" s="78" t="s">
        <v>1615</v>
      </c>
      <c r="AO556" s="78" t="s">
        <v>1615</v>
      </c>
    </row>
    <row r="557" spans="1:41">
      <c r="A557" s="78" t="s">
        <v>2720</v>
      </c>
      <c r="B557" s="78" t="s">
        <v>1558</v>
      </c>
      <c r="C557" s="78" t="s">
        <v>366</v>
      </c>
      <c r="D557" s="78" t="s">
        <v>2706</v>
      </c>
      <c r="E557" s="78" t="s">
        <v>2721</v>
      </c>
      <c r="F557" s="78" t="s">
        <v>2717</v>
      </c>
      <c r="G557" s="78" t="s">
        <v>1614</v>
      </c>
      <c r="H557" s="78">
        <v>151</v>
      </c>
      <c r="I557" s="78">
        <v>68.2</v>
      </c>
      <c r="J557" s="78">
        <v>0.4</v>
      </c>
      <c r="K557" s="78">
        <v>23.8</v>
      </c>
      <c r="L557" s="78">
        <v>0.6</v>
      </c>
      <c r="M557" s="78" t="s">
        <v>1615</v>
      </c>
      <c r="N557" s="78" t="s">
        <v>1615</v>
      </c>
      <c r="O557" s="78">
        <v>5.9</v>
      </c>
      <c r="P557" s="78" t="s">
        <v>1615</v>
      </c>
      <c r="Q557" s="78" t="s">
        <v>1615</v>
      </c>
      <c r="R557" s="78" t="s">
        <v>1615</v>
      </c>
      <c r="S557" s="78" t="s">
        <v>1615</v>
      </c>
      <c r="T557" s="78" t="s">
        <v>1615</v>
      </c>
      <c r="U557" s="78" t="s">
        <v>1615</v>
      </c>
      <c r="V557" s="78" t="s">
        <v>1615</v>
      </c>
      <c r="W557" s="78" t="s">
        <v>1615</v>
      </c>
      <c r="X557" s="78" t="s">
        <v>1615</v>
      </c>
      <c r="Y557" s="78" t="s">
        <v>1615</v>
      </c>
      <c r="Z557" s="78" t="s">
        <v>1615</v>
      </c>
      <c r="AA557" s="78" t="s">
        <v>1615</v>
      </c>
      <c r="AB557" s="78" t="s">
        <v>1615</v>
      </c>
      <c r="AC557" s="78" t="s">
        <v>1615</v>
      </c>
      <c r="AD557" s="78" t="s">
        <v>1615</v>
      </c>
      <c r="AE557" s="78" t="s">
        <v>1615</v>
      </c>
      <c r="AF557" s="78" t="s">
        <v>1615</v>
      </c>
      <c r="AG557" s="78">
        <v>385</v>
      </c>
      <c r="AH557" s="78" t="s">
        <v>1615</v>
      </c>
      <c r="AI557" s="78" t="s">
        <v>1615</v>
      </c>
      <c r="AJ557" s="78" t="s">
        <v>1615</v>
      </c>
      <c r="AK557" s="78" t="s">
        <v>1615</v>
      </c>
      <c r="AL557" s="78" t="s">
        <v>1615</v>
      </c>
      <c r="AM557" s="78" t="s">
        <v>1615</v>
      </c>
      <c r="AN557" s="78" t="s">
        <v>1615</v>
      </c>
      <c r="AO557" s="78" t="s">
        <v>1615</v>
      </c>
    </row>
    <row r="558" spans="1:41">
      <c r="A558" s="78" t="s">
        <v>2722</v>
      </c>
      <c r="B558" s="78" t="s">
        <v>1558</v>
      </c>
      <c r="C558" s="78" t="s">
        <v>366</v>
      </c>
      <c r="D558" s="78" t="s">
        <v>2709</v>
      </c>
      <c r="E558" s="78" t="s">
        <v>2723</v>
      </c>
      <c r="F558" s="78" t="s">
        <v>2717</v>
      </c>
      <c r="G558" s="78" t="s">
        <v>1614</v>
      </c>
      <c r="H558" s="78">
        <v>22</v>
      </c>
      <c r="I558" s="78">
        <v>99.4</v>
      </c>
      <c r="J558" s="78">
        <v>1.5</v>
      </c>
      <c r="K558" s="78">
        <v>0.3</v>
      </c>
      <c r="L558" s="78">
        <v>3.5</v>
      </c>
      <c r="M558" s="78" t="s">
        <v>1615</v>
      </c>
      <c r="N558" s="78" t="s">
        <v>1615</v>
      </c>
      <c r="O558" s="78">
        <v>0.8</v>
      </c>
      <c r="P558" s="78" t="s">
        <v>1615</v>
      </c>
      <c r="Q558" s="78" t="s">
        <v>1615</v>
      </c>
      <c r="R558" s="78" t="s">
        <v>1615</v>
      </c>
      <c r="S558" s="78" t="s">
        <v>1615</v>
      </c>
      <c r="T558" s="78" t="s">
        <v>1615</v>
      </c>
      <c r="U558" s="78" t="s">
        <v>1615</v>
      </c>
      <c r="V558" s="78" t="s">
        <v>1615</v>
      </c>
      <c r="W558" s="78" t="s">
        <v>1615</v>
      </c>
      <c r="X558" s="78" t="s">
        <v>1615</v>
      </c>
      <c r="Y558" s="78" t="s">
        <v>1615</v>
      </c>
      <c r="Z558" s="78" t="s">
        <v>1615</v>
      </c>
      <c r="AA558" s="78" t="s">
        <v>1615</v>
      </c>
      <c r="AB558" s="78" t="s">
        <v>1615</v>
      </c>
      <c r="AC558" s="78" t="s">
        <v>1615</v>
      </c>
      <c r="AD558" s="78" t="s">
        <v>1615</v>
      </c>
      <c r="AE558" s="78" t="s">
        <v>1615</v>
      </c>
      <c r="AF558" s="78" t="s">
        <v>1615</v>
      </c>
      <c r="AG558" s="78">
        <v>361</v>
      </c>
      <c r="AH558" s="78" t="s">
        <v>1615</v>
      </c>
      <c r="AI558" s="78" t="s">
        <v>1615</v>
      </c>
      <c r="AJ558" s="78" t="s">
        <v>1615</v>
      </c>
      <c r="AK558" s="78" t="s">
        <v>1615</v>
      </c>
      <c r="AL558" s="78" t="s">
        <v>1615</v>
      </c>
      <c r="AM558" s="78" t="s">
        <v>1615</v>
      </c>
      <c r="AN558" s="78" t="s">
        <v>1615</v>
      </c>
      <c r="AO558" s="78" t="s">
        <v>1615</v>
      </c>
    </row>
    <row r="559" spans="1:41">
      <c r="A559" s="78" t="s">
        <v>2724</v>
      </c>
      <c r="B559" s="78" t="s">
        <v>1558</v>
      </c>
      <c r="C559" s="78" t="s">
        <v>366</v>
      </c>
      <c r="D559" s="78" t="s">
        <v>2711</v>
      </c>
      <c r="E559" s="78" t="s">
        <v>2725</v>
      </c>
      <c r="F559" s="78" t="s">
        <v>2717</v>
      </c>
      <c r="G559" s="78" t="s">
        <v>1614</v>
      </c>
      <c r="H559" s="78">
        <v>90</v>
      </c>
      <c r="I559" s="78">
        <v>81.099999999999994</v>
      </c>
      <c r="J559" s="78">
        <v>1</v>
      </c>
      <c r="K559" s="78">
        <v>3.3</v>
      </c>
      <c r="L559" s="78">
        <v>10.3</v>
      </c>
      <c r="M559" s="78" t="s">
        <v>1615</v>
      </c>
      <c r="N559" s="78" t="s">
        <v>1615</v>
      </c>
      <c r="O559" s="78">
        <v>2</v>
      </c>
      <c r="P559" s="78" t="s">
        <v>1615</v>
      </c>
      <c r="Q559" s="78" t="s">
        <v>1615</v>
      </c>
      <c r="R559" s="78" t="s">
        <v>1615</v>
      </c>
      <c r="S559" s="78" t="s">
        <v>1615</v>
      </c>
      <c r="T559" s="78" t="s">
        <v>1615</v>
      </c>
      <c r="U559" s="78" t="s">
        <v>1615</v>
      </c>
      <c r="V559" s="78" t="s">
        <v>1615</v>
      </c>
      <c r="W559" s="78" t="s">
        <v>1615</v>
      </c>
      <c r="X559" s="78" t="s">
        <v>1615</v>
      </c>
      <c r="Y559" s="78" t="s">
        <v>1615</v>
      </c>
      <c r="Z559" s="78" t="s">
        <v>1615</v>
      </c>
      <c r="AA559" s="78" t="s">
        <v>1615</v>
      </c>
      <c r="AB559" s="78" t="s">
        <v>1615</v>
      </c>
      <c r="AC559" s="78" t="s">
        <v>1615</v>
      </c>
      <c r="AD559" s="78" t="s">
        <v>1615</v>
      </c>
      <c r="AE559" s="78" t="s">
        <v>1615</v>
      </c>
      <c r="AF559" s="78" t="s">
        <v>1615</v>
      </c>
      <c r="AG559" s="78">
        <v>339</v>
      </c>
      <c r="AH559" s="78" t="s">
        <v>1615</v>
      </c>
      <c r="AI559" s="78" t="s">
        <v>1615</v>
      </c>
      <c r="AJ559" s="78" t="s">
        <v>1615</v>
      </c>
      <c r="AK559" s="78" t="s">
        <v>1615</v>
      </c>
      <c r="AL559" s="78" t="s">
        <v>1615</v>
      </c>
      <c r="AM559" s="78" t="s">
        <v>1615</v>
      </c>
      <c r="AN559" s="78" t="s">
        <v>1615</v>
      </c>
      <c r="AO559" s="78" t="s">
        <v>1615</v>
      </c>
    </row>
    <row r="560" spans="1:41">
      <c r="A560" s="78" t="s">
        <v>2726</v>
      </c>
      <c r="B560" s="78" t="s">
        <v>1558</v>
      </c>
      <c r="C560" s="78" t="s">
        <v>366</v>
      </c>
      <c r="D560" s="78" t="s">
        <v>2713</v>
      </c>
      <c r="E560" s="78" t="s">
        <v>2727</v>
      </c>
      <c r="F560" s="78" t="s">
        <v>2717</v>
      </c>
      <c r="G560" s="78" t="s">
        <v>1614</v>
      </c>
      <c r="H560" s="78">
        <v>96</v>
      </c>
      <c r="I560" s="78">
        <v>74.599999999999994</v>
      </c>
      <c r="J560" s="78">
        <v>0.3</v>
      </c>
      <c r="K560" s="78">
        <v>1.1000000000000001</v>
      </c>
      <c r="L560" s="78">
        <v>20.2</v>
      </c>
      <c r="M560" s="78" t="s">
        <v>1615</v>
      </c>
      <c r="N560" s="78" t="s">
        <v>1615</v>
      </c>
      <c r="O560" s="78">
        <v>1.2</v>
      </c>
      <c r="P560" s="78" t="s">
        <v>1615</v>
      </c>
      <c r="Q560" s="78" t="s">
        <v>1615</v>
      </c>
      <c r="R560" s="78" t="s">
        <v>1615</v>
      </c>
      <c r="S560" s="78" t="s">
        <v>1615</v>
      </c>
      <c r="T560" s="78" t="s">
        <v>1615</v>
      </c>
      <c r="U560" s="78" t="s">
        <v>1615</v>
      </c>
      <c r="V560" s="78" t="s">
        <v>1615</v>
      </c>
      <c r="W560" s="78" t="s">
        <v>1615</v>
      </c>
      <c r="X560" s="78" t="s">
        <v>1615</v>
      </c>
      <c r="Y560" s="78" t="s">
        <v>1615</v>
      </c>
      <c r="Z560" s="78" t="s">
        <v>1615</v>
      </c>
      <c r="AA560" s="78" t="s">
        <v>1615</v>
      </c>
      <c r="AB560" s="78" t="s">
        <v>1615</v>
      </c>
      <c r="AC560" s="78" t="s">
        <v>1615</v>
      </c>
      <c r="AD560" s="78" t="s">
        <v>1615</v>
      </c>
      <c r="AE560" s="78" t="s">
        <v>1615</v>
      </c>
      <c r="AF560" s="78" t="s">
        <v>1615</v>
      </c>
      <c r="AG560" s="78">
        <v>29</v>
      </c>
      <c r="AH560" s="78" t="s">
        <v>1615</v>
      </c>
      <c r="AI560" s="78" t="s">
        <v>1615</v>
      </c>
      <c r="AJ560" s="78" t="s">
        <v>1615</v>
      </c>
      <c r="AK560" s="78" t="s">
        <v>1615</v>
      </c>
      <c r="AL560" s="78" t="s">
        <v>1615</v>
      </c>
      <c r="AM560" s="78" t="s">
        <v>1615</v>
      </c>
      <c r="AN560" s="78" t="s">
        <v>1615</v>
      </c>
      <c r="AO560" s="78" t="s">
        <v>1615</v>
      </c>
    </row>
    <row r="561" spans="1:41">
      <c r="A561" s="78" t="s">
        <v>2728</v>
      </c>
      <c r="B561" s="78" t="s">
        <v>1558</v>
      </c>
      <c r="C561" s="78" t="s">
        <v>366</v>
      </c>
      <c r="D561" s="78" t="s">
        <v>2715</v>
      </c>
      <c r="E561" s="78" t="s">
        <v>2729</v>
      </c>
      <c r="F561" s="78" t="s">
        <v>2717</v>
      </c>
      <c r="G561" s="78" t="s">
        <v>1614</v>
      </c>
      <c r="H561" s="78">
        <v>50</v>
      </c>
      <c r="I561" s="78">
        <v>86.5</v>
      </c>
      <c r="J561" s="78">
        <v>0.1</v>
      </c>
      <c r="K561" s="78">
        <v>0.2</v>
      </c>
      <c r="L561" s="78">
        <v>12</v>
      </c>
      <c r="M561" s="78" t="s">
        <v>1615</v>
      </c>
      <c r="N561" s="78">
        <v>1.1000000000000001</v>
      </c>
      <c r="O561" s="78">
        <v>0.1</v>
      </c>
      <c r="P561" s="78" t="s">
        <v>1615</v>
      </c>
      <c r="Q561" s="78" t="s">
        <v>1615</v>
      </c>
      <c r="R561" s="78" t="s">
        <v>1615</v>
      </c>
      <c r="S561" s="78" t="s">
        <v>1615</v>
      </c>
      <c r="T561" s="78" t="s">
        <v>1615</v>
      </c>
      <c r="U561" s="78" t="s">
        <v>1615</v>
      </c>
      <c r="V561" s="78">
        <v>0.3</v>
      </c>
      <c r="W561" s="78" t="s">
        <v>1615</v>
      </c>
      <c r="X561" s="78" t="s">
        <v>1615</v>
      </c>
      <c r="Y561" s="78" t="s">
        <v>1615</v>
      </c>
      <c r="Z561" s="78" t="s">
        <v>1615</v>
      </c>
      <c r="AA561" s="78" t="s">
        <v>1615</v>
      </c>
      <c r="AB561" s="78" t="s">
        <v>1615</v>
      </c>
      <c r="AC561" s="78" t="s">
        <v>1615</v>
      </c>
      <c r="AD561" s="78" t="s">
        <v>1615</v>
      </c>
      <c r="AE561" s="78" t="s">
        <v>1615</v>
      </c>
      <c r="AF561" s="78" t="s">
        <v>1615</v>
      </c>
      <c r="AG561" s="78" t="s">
        <v>1615</v>
      </c>
      <c r="AH561" s="78" t="s">
        <v>1615</v>
      </c>
      <c r="AI561" s="78">
        <v>6.9</v>
      </c>
      <c r="AJ561" s="78" t="s">
        <v>1615</v>
      </c>
      <c r="AK561" s="78" t="s">
        <v>1615</v>
      </c>
      <c r="AL561" s="78">
        <v>0.6</v>
      </c>
      <c r="AM561" s="78" t="s">
        <v>1615</v>
      </c>
      <c r="AN561" s="78" t="s">
        <v>1615</v>
      </c>
      <c r="AO561" s="78" t="s">
        <v>1615</v>
      </c>
    </row>
    <row r="562" spans="1:41">
      <c r="A562" s="78" t="s">
        <v>2730</v>
      </c>
      <c r="B562" s="78" t="s">
        <v>1558</v>
      </c>
      <c r="C562" s="78" t="s">
        <v>366</v>
      </c>
      <c r="D562" s="78" t="s">
        <v>2718</v>
      </c>
      <c r="E562" s="78" t="s">
        <v>2731</v>
      </c>
      <c r="F562" s="78" t="s">
        <v>2717</v>
      </c>
      <c r="G562" s="78" t="s">
        <v>1614</v>
      </c>
      <c r="H562" s="78">
        <v>58</v>
      </c>
      <c r="I562" s="78">
        <v>84.1</v>
      </c>
      <c r="J562" s="78">
        <v>0.2</v>
      </c>
      <c r="K562" s="78">
        <v>0.4</v>
      </c>
      <c r="L562" s="78">
        <v>13.8</v>
      </c>
      <c r="M562" s="78" t="s">
        <v>1615</v>
      </c>
      <c r="N562" s="78">
        <v>1.4</v>
      </c>
      <c r="O562" s="78">
        <v>0.1</v>
      </c>
      <c r="P562" s="78" t="s">
        <v>1615</v>
      </c>
      <c r="Q562" s="78" t="s">
        <v>1615</v>
      </c>
      <c r="R562" s="78" t="s">
        <v>1615</v>
      </c>
      <c r="S562" s="78" t="s">
        <v>1615</v>
      </c>
      <c r="T562" s="78" t="s">
        <v>1615</v>
      </c>
      <c r="U562" s="78" t="s">
        <v>1615</v>
      </c>
      <c r="V562" s="78">
        <v>11.4</v>
      </c>
      <c r="W562" s="78" t="s">
        <v>1615</v>
      </c>
      <c r="X562" s="78" t="s">
        <v>1615</v>
      </c>
      <c r="Y562" s="78" t="s">
        <v>1615</v>
      </c>
      <c r="Z562" s="78" t="s">
        <v>1615</v>
      </c>
      <c r="AA562" s="78" t="s">
        <v>1615</v>
      </c>
      <c r="AB562" s="78" t="s">
        <v>1615</v>
      </c>
      <c r="AC562" s="78" t="s">
        <v>1615</v>
      </c>
      <c r="AD562" s="78" t="s">
        <v>1615</v>
      </c>
      <c r="AE562" s="78" t="s">
        <v>1615</v>
      </c>
      <c r="AF562" s="78" t="s">
        <v>1615</v>
      </c>
      <c r="AG562" s="78" t="s">
        <v>1615</v>
      </c>
      <c r="AH562" s="78" t="s">
        <v>1615</v>
      </c>
      <c r="AI562" s="78">
        <v>6.5</v>
      </c>
      <c r="AJ562" s="78" t="s">
        <v>1615</v>
      </c>
      <c r="AK562" s="78" t="s">
        <v>1615</v>
      </c>
      <c r="AL562" s="78">
        <v>0.6</v>
      </c>
      <c r="AM562" s="78" t="s">
        <v>1615</v>
      </c>
      <c r="AN562" s="78" t="s">
        <v>1615</v>
      </c>
      <c r="AO562" s="78" t="s">
        <v>1615</v>
      </c>
    </row>
    <row r="563" spans="1:41">
      <c r="A563" s="78" t="s">
        <v>2732</v>
      </c>
      <c r="B563" s="78" t="s">
        <v>1558</v>
      </c>
      <c r="C563" s="78" t="s">
        <v>366</v>
      </c>
      <c r="D563" s="78" t="s">
        <v>2720</v>
      </c>
      <c r="E563" s="78" t="s">
        <v>2733</v>
      </c>
      <c r="F563" s="78" t="s">
        <v>2717</v>
      </c>
      <c r="G563" s="78" t="s">
        <v>1614</v>
      </c>
      <c r="H563" s="78">
        <v>64</v>
      </c>
      <c r="I563" s="78">
        <v>80.599999999999994</v>
      </c>
      <c r="J563" s="78">
        <v>0.2</v>
      </c>
      <c r="K563" s="78" t="s">
        <v>1615</v>
      </c>
      <c r="L563" s="78">
        <v>15.8</v>
      </c>
      <c r="M563" s="78" t="s">
        <v>1615</v>
      </c>
      <c r="N563" s="78">
        <v>3.3</v>
      </c>
      <c r="O563" s="78">
        <v>0.1</v>
      </c>
      <c r="P563" s="78" t="s">
        <v>1615</v>
      </c>
      <c r="Q563" s="78" t="s">
        <v>1615</v>
      </c>
      <c r="R563" s="78" t="s">
        <v>1615</v>
      </c>
      <c r="S563" s="78" t="s">
        <v>1615</v>
      </c>
      <c r="T563" s="78" t="s">
        <v>1615</v>
      </c>
      <c r="U563" s="78" t="s">
        <v>1615</v>
      </c>
      <c r="V563" s="78" t="s">
        <v>1615</v>
      </c>
      <c r="W563" s="78" t="s">
        <v>1615</v>
      </c>
      <c r="X563" s="78" t="s">
        <v>1615</v>
      </c>
      <c r="Y563" s="78" t="s">
        <v>1615</v>
      </c>
      <c r="Z563" s="78" t="s">
        <v>1615</v>
      </c>
      <c r="AA563" s="78" t="s">
        <v>1615</v>
      </c>
      <c r="AB563" s="78" t="s">
        <v>1615</v>
      </c>
      <c r="AC563" s="78" t="s">
        <v>1615</v>
      </c>
      <c r="AD563" s="78" t="s">
        <v>1615</v>
      </c>
      <c r="AE563" s="78" t="s">
        <v>1615</v>
      </c>
      <c r="AF563" s="78" t="s">
        <v>1615</v>
      </c>
      <c r="AG563" s="78">
        <v>35</v>
      </c>
      <c r="AH563" s="78" t="s">
        <v>1615</v>
      </c>
      <c r="AI563" s="78" t="s">
        <v>1615</v>
      </c>
      <c r="AJ563" s="78" t="s">
        <v>1615</v>
      </c>
      <c r="AK563" s="78" t="s">
        <v>1615</v>
      </c>
      <c r="AL563" s="78" t="s">
        <v>1615</v>
      </c>
      <c r="AM563" s="78" t="s">
        <v>1615</v>
      </c>
      <c r="AN563" s="78" t="s">
        <v>1615</v>
      </c>
      <c r="AO563" s="78" t="s">
        <v>1615</v>
      </c>
    </row>
    <row r="564" spans="1:41">
      <c r="A564" s="78" t="s">
        <v>2734</v>
      </c>
      <c r="B564" s="78" t="s">
        <v>1558</v>
      </c>
      <c r="C564" s="78" t="s">
        <v>366</v>
      </c>
      <c r="D564" s="78" t="s">
        <v>2722</v>
      </c>
      <c r="E564" s="78" t="s">
        <v>2735</v>
      </c>
      <c r="F564" s="78" t="s">
        <v>2717</v>
      </c>
      <c r="G564" s="78" t="s">
        <v>1614</v>
      </c>
      <c r="H564" s="78">
        <v>61</v>
      </c>
      <c r="I564" s="78">
        <v>81.099999999999994</v>
      </c>
      <c r="J564" s="78">
        <v>0.2</v>
      </c>
      <c r="K564" s="78">
        <v>0.3</v>
      </c>
      <c r="L564" s="78">
        <v>14.8</v>
      </c>
      <c r="M564" s="78" t="s">
        <v>1615</v>
      </c>
      <c r="N564" s="78" t="s">
        <v>1615</v>
      </c>
      <c r="O564" s="78">
        <v>0.1</v>
      </c>
      <c r="P564" s="78" t="s">
        <v>1615</v>
      </c>
      <c r="Q564" s="78" t="s">
        <v>1615</v>
      </c>
      <c r="R564" s="78" t="s">
        <v>1615</v>
      </c>
      <c r="S564" s="78" t="s">
        <v>1615</v>
      </c>
      <c r="T564" s="78" t="s">
        <v>1615</v>
      </c>
      <c r="U564" s="78" t="s">
        <v>1615</v>
      </c>
      <c r="V564" s="78" t="s">
        <v>1615</v>
      </c>
      <c r="W564" s="78" t="s">
        <v>1615</v>
      </c>
      <c r="X564" s="78" t="s">
        <v>1615</v>
      </c>
      <c r="Y564" s="78" t="s">
        <v>1615</v>
      </c>
      <c r="Z564" s="78" t="s">
        <v>1615</v>
      </c>
      <c r="AA564" s="78" t="s">
        <v>1615</v>
      </c>
      <c r="AB564" s="78" t="s">
        <v>1615</v>
      </c>
      <c r="AC564" s="78" t="s">
        <v>1615</v>
      </c>
      <c r="AD564" s="78" t="s">
        <v>1615</v>
      </c>
      <c r="AE564" s="78" t="s">
        <v>1615</v>
      </c>
      <c r="AF564" s="78" t="s">
        <v>1615</v>
      </c>
      <c r="AG564" s="78" t="s">
        <v>1615</v>
      </c>
      <c r="AH564" s="78" t="s">
        <v>1615</v>
      </c>
      <c r="AI564" s="78" t="s">
        <v>1615</v>
      </c>
      <c r="AJ564" s="78" t="s">
        <v>1615</v>
      </c>
      <c r="AK564" s="78" t="s">
        <v>1615</v>
      </c>
      <c r="AL564" s="78" t="s">
        <v>1615</v>
      </c>
      <c r="AM564" s="78" t="s">
        <v>1615</v>
      </c>
      <c r="AN564" s="78" t="s">
        <v>1615</v>
      </c>
      <c r="AO564" s="78" t="s">
        <v>1615</v>
      </c>
    </row>
    <row r="565" spans="1:41">
      <c r="A565" s="78" t="s">
        <v>2736</v>
      </c>
      <c r="B565" s="78" t="s">
        <v>1558</v>
      </c>
      <c r="C565" s="78" t="s">
        <v>366</v>
      </c>
      <c r="D565" s="78" t="s">
        <v>2724</v>
      </c>
      <c r="E565" s="78" t="s">
        <v>2737</v>
      </c>
      <c r="F565" s="78" t="s">
        <v>2717</v>
      </c>
      <c r="G565" s="78" t="s">
        <v>1614</v>
      </c>
      <c r="H565" s="78">
        <v>24</v>
      </c>
      <c r="I565" s="78">
        <v>79.8</v>
      </c>
      <c r="J565" s="78">
        <v>1</v>
      </c>
      <c r="K565" s="78">
        <v>12.2</v>
      </c>
      <c r="L565" s="78">
        <v>3.2</v>
      </c>
      <c r="M565" s="78">
        <v>0.9</v>
      </c>
      <c r="N565" s="78">
        <v>1</v>
      </c>
      <c r="O565" s="78">
        <v>2.8</v>
      </c>
      <c r="P565" s="78" t="s">
        <v>1615</v>
      </c>
      <c r="Q565" s="78" t="s">
        <v>1615</v>
      </c>
      <c r="R565" s="78" t="s">
        <v>1615</v>
      </c>
      <c r="S565" s="78" t="s">
        <v>1615</v>
      </c>
      <c r="T565" s="78" t="s">
        <v>1615</v>
      </c>
      <c r="U565" s="78" t="s">
        <v>1615</v>
      </c>
      <c r="V565" s="78" t="s">
        <v>1615</v>
      </c>
      <c r="W565" s="78" t="s">
        <v>1615</v>
      </c>
      <c r="X565" s="78" t="s">
        <v>1615</v>
      </c>
      <c r="Y565" s="78" t="s">
        <v>1615</v>
      </c>
      <c r="Z565" s="78" t="s">
        <v>1615</v>
      </c>
      <c r="AA565" s="78" t="s">
        <v>1615</v>
      </c>
      <c r="AB565" s="78" t="s">
        <v>1615</v>
      </c>
      <c r="AC565" s="78" t="s">
        <v>1615</v>
      </c>
      <c r="AD565" s="78" t="s">
        <v>1615</v>
      </c>
      <c r="AE565" s="78" t="s">
        <v>1615</v>
      </c>
      <c r="AF565" s="78" t="s">
        <v>1615</v>
      </c>
      <c r="AG565" s="78">
        <v>216</v>
      </c>
      <c r="AH565" s="78" t="s">
        <v>1615</v>
      </c>
      <c r="AI565" s="78" t="s">
        <v>1615</v>
      </c>
      <c r="AJ565" s="78" t="s">
        <v>1615</v>
      </c>
      <c r="AK565" s="78" t="s">
        <v>1615</v>
      </c>
      <c r="AL565" s="78" t="s">
        <v>1615</v>
      </c>
      <c r="AM565" s="78" t="s">
        <v>1615</v>
      </c>
      <c r="AN565" s="78" t="s">
        <v>1615</v>
      </c>
      <c r="AO565" s="78" t="s">
        <v>1615</v>
      </c>
    </row>
    <row r="566" spans="1:41">
      <c r="A566" s="78" t="s">
        <v>2738</v>
      </c>
      <c r="B566" s="78" t="s">
        <v>1558</v>
      </c>
      <c r="C566" s="78" t="s">
        <v>366</v>
      </c>
      <c r="D566" s="78" t="s">
        <v>2726</v>
      </c>
      <c r="E566" s="78" t="s">
        <v>2739</v>
      </c>
      <c r="F566" s="78" t="s">
        <v>2717</v>
      </c>
      <c r="G566" s="78" t="s">
        <v>1614</v>
      </c>
      <c r="H566" s="78">
        <v>87</v>
      </c>
      <c r="I566" s="78">
        <v>74.7</v>
      </c>
      <c r="J566" s="78">
        <v>1.3</v>
      </c>
      <c r="K566" s="78">
        <v>21.8</v>
      </c>
      <c r="L566" s="78">
        <v>2.5</v>
      </c>
      <c r="M566" s="78" t="s">
        <v>1615</v>
      </c>
      <c r="N566" s="78" t="s">
        <v>1615</v>
      </c>
      <c r="O566" s="78">
        <v>2.7</v>
      </c>
      <c r="P566" s="78" t="s">
        <v>1615</v>
      </c>
      <c r="Q566" s="78" t="s">
        <v>1615</v>
      </c>
      <c r="R566" s="78" t="s">
        <v>1615</v>
      </c>
      <c r="S566" s="78" t="s">
        <v>1615</v>
      </c>
      <c r="T566" s="78" t="s">
        <v>1615</v>
      </c>
      <c r="U566" s="78" t="s">
        <v>1615</v>
      </c>
      <c r="V566" s="78" t="s">
        <v>1615</v>
      </c>
      <c r="W566" s="78" t="s">
        <v>1615</v>
      </c>
      <c r="X566" s="78" t="s">
        <v>1615</v>
      </c>
      <c r="Y566" s="78" t="s">
        <v>1615</v>
      </c>
      <c r="Z566" s="78" t="s">
        <v>1615</v>
      </c>
      <c r="AA566" s="78" t="s">
        <v>1615</v>
      </c>
      <c r="AB566" s="78" t="s">
        <v>1615</v>
      </c>
      <c r="AC566" s="78" t="s">
        <v>1615</v>
      </c>
      <c r="AD566" s="78" t="s">
        <v>1615</v>
      </c>
      <c r="AE566" s="78" t="s">
        <v>1615</v>
      </c>
      <c r="AF566" s="78" t="s">
        <v>1615</v>
      </c>
      <c r="AG566" s="78">
        <v>358</v>
      </c>
      <c r="AH566" s="78" t="s">
        <v>1615</v>
      </c>
      <c r="AI566" s="78" t="s">
        <v>1615</v>
      </c>
      <c r="AJ566" s="78" t="s">
        <v>1615</v>
      </c>
      <c r="AK566" s="78" t="s">
        <v>1615</v>
      </c>
      <c r="AL566" s="78" t="s">
        <v>1615</v>
      </c>
      <c r="AM566" s="78" t="s">
        <v>1615</v>
      </c>
      <c r="AN566" s="78" t="s">
        <v>1615</v>
      </c>
      <c r="AO566" s="78" t="s">
        <v>1615</v>
      </c>
    </row>
    <row r="567" spans="1:41">
      <c r="A567" s="78" t="s">
        <v>2740</v>
      </c>
      <c r="B567" s="78" t="s">
        <v>1558</v>
      </c>
      <c r="C567" s="78" t="s">
        <v>366</v>
      </c>
      <c r="D567" s="78" t="s">
        <v>2728</v>
      </c>
      <c r="E567" s="78" t="s">
        <v>2741</v>
      </c>
      <c r="F567" s="78" t="s">
        <v>2717</v>
      </c>
      <c r="G567" s="78" t="s">
        <v>1614</v>
      </c>
      <c r="H567" s="78">
        <v>121</v>
      </c>
      <c r="I567" s="78">
        <v>72</v>
      </c>
      <c r="J567" s="78">
        <v>0.8</v>
      </c>
      <c r="K567" s="78">
        <v>0.6</v>
      </c>
      <c r="L567" s="78">
        <v>2.7</v>
      </c>
      <c r="M567" s="78" t="s">
        <v>1615</v>
      </c>
      <c r="N567" s="78" t="s">
        <v>1615</v>
      </c>
      <c r="O567" s="78">
        <v>0.3</v>
      </c>
      <c r="P567" s="78" t="s">
        <v>1615</v>
      </c>
      <c r="Q567" s="78" t="s">
        <v>1615</v>
      </c>
      <c r="R567" s="78" t="s">
        <v>1615</v>
      </c>
      <c r="S567" s="78" t="s">
        <v>1615</v>
      </c>
      <c r="T567" s="78" t="s">
        <v>1615</v>
      </c>
      <c r="U567" s="78" t="s">
        <v>1615</v>
      </c>
      <c r="V567" s="78" t="s">
        <v>1615</v>
      </c>
      <c r="W567" s="78" t="s">
        <v>1615</v>
      </c>
      <c r="X567" s="78" t="s">
        <v>1615</v>
      </c>
      <c r="Y567" s="78" t="s">
        <v>1615</v>
      </c>
      <c r="Z567" s="78" t="s">
        <v>1615</v>
      </c>
      <c r="AA567" s="78" t="s">
        <v>1615</v>
      </c>
      <c r="AB567" s="78" t="s">
        <v>1615</v>
      </c>
      <c r="AC567" s="78" t="s">
        <v>1615</v>
      </c>
      <c r="AD567" s="78" t="s">
        <v>1615</v>
      </c>
      <c r="AE567" s="78" t="s">
        <v>1615</v>
      </c>
      <c r="AF567" s="78" t="s">
        <v>1615</v>
      </c>
      <c r="AG567" s="78">
        <v>268</v>
      </c>
      <c r="AH567" s="78" t="s">
        <v>1615</v>
      </c>
      <c r="AI567" s="78" t="s">
        <v>1615</v>
      </c>
      <c r="AJ567" s="78" t="s">
        <v>1615</v>
      </c>
      <c r="AK567" s="78" t="s">
        <v>1615</v>
      </c>
      <c r="AL567" s="78" t="s">
        <v>1615</v>
      </c>
      <c r="AM567" s="78" t="s">
        <v>1615</v>
      </c>
      <c r="AN567" s="78" t="s">
        <v>1615</v>
      </c>
      <c r="AO567" s="78" t="s">
        <v>1615</v>
      </c>
    </row>
    <row r="568" spans="1:41">
      <c r="A568" s="78" t="s">
        <v>2742</v>
      </c>
      <c r="B568" s="78" t="s">
        <v>1558</v>
      </c>
      <c r="C568" s="78" t="s">
        <v>366</v>
      </c>
      <c r="D568" s="78" t="s">
        <v>2730</v>
      </c>
      <c r="E568" s="78" t="s">
        <v>2743</v>
      </c>
      <c r="F568" s="78" t="s">
        <v>2717</v>
      </c>
      <c r="G568" s="78" t="s">
        <v>1614</v>
      </c>
      <c r="H568" s="78">
        <v>16</v>
      </c>
      <c r="I568" s="78">
        <v>95.6</v>
      </c>
      <c r="J568" s="78" t="s">
        <v>1615</v>
      </c>
      <c r="K568" s="78" t="s">
        <v>1615</v>
      </c>
      <c r="L568" s="78">
        <v>4</v>
      </c>
      <c r="M568" s="78" t="s">
        <v>1615</v>
      </c>
      <c r="N568" s="78" t="s">
        <v>1615</v>
      </c>
      <c r="O568" s="78" t="s">
        <v>1615</v>
      </c>
      <c r="P568" s="78" t="s">
        <v>1615</v>
      </c>
      <c r="Q568" s="78" t="s">
        <v>1615</v>
      </c>
      <c r="R568" s="78" t="s">
        <v>1615</v>
      </c>
      <c r="S568" s="78" t="s">
        <v>1615</v>
      </c>
      <c r="T568" s="78" t="s">
        <v>1615</v>
      </c>
      <c r="U568" s="78" t="s">
        <v>1615</v>
      </c>
      <c r="V568" s="78" t="s">
        <v>1615</v>
      </c>
      <c r="W568" s="78" t="s">
        <v>1615</v>
      </c>
      <c r="X568" s="78" t="s">
        <v>1615</v>
      </c>
      <c r="Y568" s="78" t="s">
        <v>1615</v>
      </c>
      <c r="Z568" s="78" t="s">
        <v>1615</v>
      </c>
      <c r="AA568" s="78" t="s">
        <v>1615</v>
      </c>
      <c r="AB568" s="78" t="s">
        <v>1615</v>
      </c>
      <c r="AC568" s="78" t="s">
        <v>1615</v>
      </c>
      <c r="AD568" s="78" t="s">
        <v>1615</v>
      </c>
      <c r="AE568" s="78" t="s">
        <v>1615</v>
      </c>
      <c r="AF568" s="78" t="s">
        <v>1615</v>
      </c>
      <c r="AG568" s="78" t="s">
        <v>1615</v>
      </c>
      <c r="AH568" s="78" t="s">
        <v>1615</v>
      </c>
      <c r="AI568" s="78" t="s">
        <v>1615</v>
      </c>
      <c r="AJ568" s="78" t="s">
        <v>1615</v>
      </c>
      <c r="AK568" s="78" t="s">
        <v>1615</v>
      </c>
      <c r="AL568" s="78" t="s">
        <v>1615</v>
      </c>
      <c r="AM568" s="78" t="s">
        <v>1615</v>
      </c>
      <c r="AN568" s="78" t="s">
        <v>1615</v>
      </c>
      <c r="AO568" s="78" t="s">
        <v>1615</v>
      </c>
    </row>
    <row r="569" spans="1:41">
      <c r="A569" s="78" t="s">
        <v>2744</v>
      </c>
      <c r="B569" s="78" t="s">
        <v>1558</v>
      </c>
      <c r="C569" s="78" t="s">
        <v>366</v>
      </c>
      <c r="D569" s="78" t="s">
        <v>2732</v>
      </c>
      <c r="E569" s="78" t="s">
        <v>2745</v>
      </c>
      <c r="F569" s="78" t="s">
        <v>2717</v>
      </c>
      <c r="G569" s="78" t="s">
        <v>1614</v>
      </c>
      <c r="H569" s="78">
        <v>55</v>
      </c>
      <c r="I569" s="78">
        <v>86.1</v>
      </c>
      <c r="J569" s="78">
        <v>0.8</v>
      </c>
      <c r="K569" s="78">
        <v>2.2999999999999998</v>
      </c>
      <c r="L569" s="78">
        <v>10.3</v>
      </c>
      <c r="M569" s="78" t="s">
        <v>1615</v>
      </c>
      <c r="N569" s="78" t="s">
        <v>1615</v>
      </c>
      <c r="O569" s="78">
        <v>0.5</v>
      </c>
      <c r="P569" s="78" t="s">
        <v>1615</v>
      </c>
      <c r="Q569" s="78" t="s">
        <v>1615</v>
      </c>
      <c r="R569" s="78" t="s">
        <v>1615</v>
      </c>
      <c r="S569" s="78" t="s">
        <v>1615</v>
      </c>
      <c r="T569" s="78" t="s">
        <v>1615</v>
      </c>
      <c r="U569" s="78" t="s">
        <v>1615</v>
      </c>
      <c r="V569" s="78" t="s">
        <v>1615</v>
      </c>
      <c r="W569" s="78" t="s">
        <v>1615</v>
      </c>
      <c r="X569" s="78" t="s">
        <v>1615</v>
      </c>
      <c r="Y569" s="78" t="s">
        <v>1615</v>
      </c>
      <c r="Z569" s="78" t="s">
        <v>1615</v>
      </c>
      <c r="AA569" s="78" t="s">
        <v>1615</v>
      </c>
      <c r="AB569" s="78" t="s">
        <v>1615</v>
      </c>
      <c r="AC569" s="78" t="s">
        <v>1615</v>
      </c>
      <c r="AD569" s="78" t="s">
        <v>1615</v>
      </c>
      <c r="AE569" s="78" t="s">
        <v>1615</v>
      </c>
      <c r="AF569" s="78" t="s">
        <v>1615</v>
      </c>
      <c r="AG569" s="78">
        <v>17</v>
      </c>
      <c r="AH569" s="78" t="s">
        <v>1615</v>
      </c>
      <c r="AI569" s="78" t="s">
        <v>1615</v>
      </c>
      <c r="AJ569" s="78" t="s">
        <v>1615</v>
      </c>
      <c r="AK569" s="78" t="s">
        <v>1615</v>
      </c>
      <c r="AL569" s="78" t="s">
        <v>1615</v>
      </c>
      <c r="AM569" s="78" t="s">
        <v>1615</v>
      </c>
      <c r="AN569" s="78" t="s">
        <v>1615</v>
      </c>
      <c r="AO569" s="78" t="s">
        <v>1615</v>
      </c>
    </row>
    <row r="570" spans="1:41">
      <c r="A570" s="78" t="s">
        <v>2746</v>
      </c>
      <c r="B570" s="78" t="s">
        <v>1558</v>
      </c>
      <c r="C570" s="78" t="s">
        <v>366</v>
      </c>
      <c r="D570" s="78" t="s">
        <v>2734</v>
      </c>
      <c r="E570" s="78" t="s">
        <v>2747</v>
      </c>
      <c r="F570" s="78" t="s">
        <v>2717</v>
      </c>
      <c r="G570" s="78" t="s">
        <v>1614</v>
      </c>
      <c r="H570" s="78">
        <v>226</v>
      </c>
      <c r="I570" s="78">
        <v>57.1</v>
      </c>
      <c r="J570" s="78">
        <v>0.4</v>
      </c>
      <c r="K570" s="78">
        <v>5.3</v>
      </c>
      <c r="L570" s="78">
        <v>35</v>
      </c>
      <c r="M570" s="78" t="s">
        <v>1615</v>
      </c>
      <c r="N570" s="78" t="s">
        <v>1615</v>
      </c>
      <c r="O570" s="78">
        <v>7.2</v>
      </c>
      <c r="P570" s="78" t="s">
        <v>1615</v>
      </c>
      <c r="Q570" s="78" t="s">
        <v>1615</v>
      </c>
      <c r="R570" s="78" t="s">
        <v>1615</v>
      </c>
      <c r="S570" s="78" t="s">
        <v>1615</v>
      </c>
      <c r="T570" s="78" t="s">
        <v>1615</v>
      </c>
      <c r="U570" s="78" t="s">
        <v>1615</v>
      </c>
      <c r="V570" s="78" t="s">
        <v>1615</v>
      </c>
      <c r="W570" s="78" t="s">
        <v>1615</v>
      </c>
      <c r="X570" s="78" t="s">
        <v>1615</v>
      </c>
      <c r="Y570" s="78" t="s">
        <v>1615</v>
      </c>
      <c r="Z570" s="78" t="s">
        <v>1615</v>
      </c>
      <c r="AA570" s="78" t="s">
        <v>1615</v>
      </c>
      <c r="AB570" s="78" t="s">
        <v>1615</v>
      </c>
      <c r="AC570" s="78" t="s">
        <v>1615</v>
      </c>
      <c r="AD570" s="78" t="s">
        <v>1615</v>
      </c>
      <c r="AE570" s="78" t="s">
        <v>1615</v>
      </c>
      <c r="AF570" s="78" t="s">
        <v>1615</v>
      </c>
      <c r="AG570" s="78" t="s">
        <v>1615</v>
      </c>
      <c r="AH570" s="78" t="s">
        <v>1615</v>
      </c>
      <c r="AI570" s="78" t="s">
        <v>1615</v>
      </c>
      <c r="AJ570" s="78" t="s">
        <v>1615</v>
      </c>
      <c r="AK570" s="78" t="s">
        <v>1615</v>
      </c>
      <c r="AL570" s="78" t="s">
        <v>1615</v>
      </c>
      <c r="AM570" s="78" t="s">
        <v>1615</v>
      </c>
      <c r="AN570" s="78" t="s">
        <v>1615</v>
      </c>
      <c r="AO570" s="78" t="s">
        <v>1615</v>
      </c>
    </row>
    <row r="571" spans="1:41">
      <c r="A571" s="78" t="s">
        <v>2748</v>
      </c>
      <c r="B571" s="78" t="s">
        <v>1558</v>
      </c>
      <c r="C571" s="78" t="s">
        <v>366</v>
      </c>
      <c r="D571" s="78" t="s">
        <v>2736</v>
      </c>
      <c r="E571" s="78" t="s">
        <v>2749</v>
      </c>
      <c r="F571" s="78" t="s">
        <v>2717</v>
      </c>
      <c r="G571" s="78" t="s">
        <v>1614</v>
      </c>
      <c r="H571" s="78">
        <v>54</v>
      </c>
      <c r="I571" s="78">
        <v>88.2</v>
      </c>
      <c r="J571" s="78">
        <v>1.5</v>
      </c>
      <c r="K571" s="78">
        <v>2</v>
      </c>
      <c r="L571" s="78">
        <v>5.8</v>
      </c>
      <c r="M571" s="78" t="s">
        <v>1615</v>
      </c>
      <c r="N571" s="78" t="s">
        <v>1615</v>
      </c>
      <c r="O571" s="78">
        <v>2.5</v>
      </c>
      <c r="P571" s="78" t="s">
        <v>1615</v>
      </c>
      <c r="Q571" s="78" t="s">
        <v>1615</v>
      </c>
      <c r="R571" s="78" t="s">
        <v>1615</v>
      </c>
      <c r="S571" s="78" t="s">
        <v>1615</v>
      </c>
      <c r="T571" s="78" t="s">
        <v>1615</v>
      </c>
      <c r="U571" s="78" t="s">
        <v>1615</v>
      </c>
      <c r="V571" s="78" t="s">
        <v>1615</v>
      </c>
      <c r="W571" s="78" t="s">
        <v>1615</v>
      </c>
      <c r="X571" s="78" t="s">
        <v>1615</v>
      </c>
      <c r="Y571" s="78" t="s">
        <v>1615</v>
      </c>
      <c r="Z571" s="78" t="s">
        <v>1615</v>
      </c>
      <c r="AA571" s="78" t="s">
        <v>1615</v>
      </c>
      <c r="AB571" s="78" t="s">
        <v>1615</v>
      </c>
      <c r="AC571" s="78" t="s">
        <v>1615</v>
      </c>
      <c r="AD571" s="78" t="s">
        <v>1615</v>
      </c>
      <c r="AE571" s="78" t="s">
        <v>1615</v>
      </c>
      <c r="AF571" s="78" t="s">
        <v>1615</v>
      </c>
      <c r="AG571" s="78">
        <v>369</v>
      </c>
      <c r="AH571" s="78" t="s">
        <v>1615</v>
      </c>
      <c r="AI571" s="78" t="s">
        <v>1615</v>
      </c>
      <c r="AJ571" s="78" t="s">
        <v>1615</v>
      </c>
      <c r="AK571" s="78" t="s">
        <v>1615</v>
      </c>
      <c r="AL571" s="78" t="s">
        <v>1615</v>
      </c>
      <c r="AM571" s="78" t="s">
        <v>1615</v>
      </c>
      <c r="AN571" s="78" t="s">
        <v>1615</v>
      </c>
      <c r="AO571" s="78" t="s">
        <v>1615</v>
      </c>
    </row>
    <row r="572" spans="1:41">
      <c r="A572" s="78" t="s">
        <v>2750</v>
      </c>
      <c r="B572" s="78" t="s">
        <v>1558</v>
      </c>
      <c r="C572" s="78" t="s">
        <v>366</v>
      </c>
      <c r="D572" s="78" t="s">
        <v>2738</v>
      </c>
      <c r="E572" s="78" t="s">
        <v>1060</v>
      </c>
      <c r="F572" s="78" t="s">
        <v>2751</v>
      </c>
      <c r="G572" s="78" t="s">
        <v>1614</v>
      </c>
      <c r="H572" s="78">
        <v>400</v>
      </c>
      <c r="I572" s="78" t="s">
        <v>1615</v>
      </c>
      <c r="J572" s="78" t="s">
        <v>1615</v>
      </c>
      <c r="K572" s="78">
        <v>18</v>
      </c>
      <c r="L572" s="78">
        <v>59.5</v>
      </c>
      <c r="M572" s="78">
        <v>36</v>
      </c>
      <c r="N572" s="78">
        <v>1</v>
      </c>
      <c r="O572" s="78">
        <v>10</v>
      </c>
      <c r="P572" s="78">
        <v>1.2</v>
      </c>
      <c r="Q572" s="78">
        <v>5</v>
      </c>
      <c r="R572" s="78">
        <v>2.1</v>
      </c>
      <c r="S572" s="78">
        <v>0</v>
      </c>
      <c r="T572" s="78">
        <v>19.399999999999999</v>
      </c>
      <c r="U572" s="78">
        <v>800</v>
      </c>
      <c r="V572" s="78">
        <v>180</v>
      </c>
      <c r="W572" s="78">
        <v>16</v>
      </c>
      <c r="X572" s="78">
        <v>32</v>
      </c>
      <c r="Y572" s="78" t="s">
        <v>1615</v>
      </c>
      <c r="Z572" s="78">
        <v>0.8</v>
      </c>
      <c r="AA572" s="78">
        <v>1.6</v>
      </c>
      <c r="AB572" s="78">
        <v>10</v>
      </c>
      <c r="AC572" s="78">
        <v>1.6</v>
      </c>
      <c r="AD572" s="78" t="s">
        <v>1615</v>
      </c>
      <c r="AE572" s="78">
        <v>2.8</v>
      </c>
      <c r="AF572" s="78">
        <v>800</v>
      </c>
      <c r="AG572" s="78">
        <v>540</v>
      </c>
      <c r="AH572" s="78" t="s">
        <v>1615</v>
      </c>
      <c r="AI572" s="78">
        <v>1000</v>
      </c>
      <c r="AJ572" s="78">
        <v>300</v>
      </c>
      <c r="AK572" s="78">
        <v>56</v>
      </c>
      <c r="AL572" s="78">
        <v>800</v>
      </c>
      <c r="AM572" s="78">
        <v>12</v>
      </c>
      <c r="AN572" s="78" t="s">
        <v>1615</v>
      </c>
      <c r="AO572" s="78" t="s">
        <v>1615</v>
      </c>
    </row>
    <row r="573" spans="1:41">
      <c r="A573" s="78" t="s">
        <v>2752</v>
      </c>
      <c r="B573" s="78" t="s">
        <v>1558</v>
      </c>
      <c r="C573" s="78" t="s">
        <v>366</v>
      </c>
      <c r="D573" s="78" t="s">
        <v>2740</v>
      </c>
      <c r="E573" s="78" t="s">
        <v>2753</v>
      </c>
      <c r="F573" s="78" t="s">
        <v>2751</v>
      </c>
      <c r="G573" s="78" t="s">
        <v>1614</v>
      </c>
      <c r="H573" s="78">
        <v>400</v>
      </c>
      <c r="I573" s="78" t="s">
        <v>1615</v>
      </c>
      <c r="J573" s="78" t="s">
        <v>1615</v>
      </c>
      <c r="K573" s="78">
        <v>13</v>
      </c>
      <c r="L573" s="78">
        <v>62.2</v>
      </c>
      <c r="M573" s="78" t="s">
        <v>1615</v>
      </c>
      <c r="N573" s="78">
        <v>5</v>
      </c>
      <c r="O573" s="78">
        <v>11</v>
      </c>
      <c r="P573" s="78">
        <v>1.59</v>
      </c>
      <c r="Q573" s="78">
        <v>4.7</v>
      </c>
      <c r="R573" s="78">
        <v>2.7</v>
      </c>
      <c r="S573" s="78">
        <v>0</v>
      </c>
      <c r="T573" s="78">
        <v>0</v>
      </c>
      <c r="U573" s="78">
        <v>240</v>
      </c>
      <c r="V573" s="78">
        <v>30</v>
      </c>
      <c r="W573" s="78">
        <v>8</v>
      </c>
      <c r="X573" s="78">
        <v>15</v>
      </c>
      <c r="Y573" s="78" t="s">
        <v>1615</v>
      </c>
      <c r="Z573" s="78">
        <v>0.4</v>
      </c>
      <c r="AA573" s="78">
        <v>0.4</v>
      </c>
      <c r="AB573" s="78">
        <v>4.5</v>
      </c>
      <c r="AC573" s="78">
        <v>1</v>
      </c>
      <c r="AD573" s="78" t="s">
        <v>1615</v>
      </c>
      <c r="AE573" s="78">
        <v>1.4</v>
      </c>
      <c r="AF573" s="78">
        <v>400</v>
      </c>
      <c r="AG573" s="78">
        <v>247</v>
      </c>
      <c r="AH573" s="78" t="s">
        <v>1615</v>
      </c>
      <c r="AI573" s="78">
        <v>400</v>
      </c>
      <c r="AJ573" s="78">
        <v>400</v>
      </c>
      <c r="AK573" s="78">
        <v>150</v>
      </c>
      <c r="AL573" s="78">
        <v>4.2</v>
      </c>
      <c r="AM573" s="78">
        <v>3</v>
      </c>
      <c r="AN573" s="78" t="s">
        <v>1615</v>
      </c>
      <c r="AO573" s="78" t="s">
        <v>1615</v>
      </c>
    </row>
    <row r="574" spans="1:41">
      <c r="A574" s="78" t="s">
        <v>2754</v>
      </c>
      <c r="B574" s="78" t="s">
        <v>1558</v>
      </c>
      <c r="C574" s="78" t="s">
        <v>366</v>
      </c>
      <c r="D574" s="78" t="s">
        <v>2742</v>
      </c>
      <c r="E574" s="78" t="s">
        <v>2755</v>
      </c>
      <c r="F574" s="78" t="s">
        <v>2751</v>
      </c>
      <c r="G574" s="78" t="s">
        <v>1614</v>
      </c>
      <c r="H574" s="78">
        <v>400</v>
      </c>
      <c r="I574" s="78" t="s">
        <v>1615</v>
      </c>
      <c r="J574" s="78" t="s">
        <v>1615</v>
      </c>
      <c r="K574" s="78">
        <v>13</v>
      </c>
      <c r="L574" s="78">
        <v>62.2</v>
      </c>
      <c r="M574" s="78" t="s">
        <v>1615</v>
      </c>
      <c r="N574" s="78">
        <v>5</v>
      </c>
      <c r="O574" s="78">
        <v>11</v>
      </c>
      <c r="P574" s="78">
        <v>1.6</v>
      </c>
      <c r="Q574" s="78">
        <v>4.5</v>
      </c>
      <c r="R574" s="78">
        <v>3</v>
      </c>
      <c r="S574" s="78">
        <v>0.1</v>
      </c>
      <c r="T574" s="78">
        <v>0</v>
      </c>
      <c r="U574" s="78">
        <v>240</v>
      </c>
      <c r="V574" s="78">
        <v>30</v>
      </c>
      <c r="W574" s="78">
        <v>8</v>
      </c>
      <c r="X574" s="78">
        <v>16</v>
      </c>
      <c r="Y574" s="78" t="s">
        <v>1615</v>
      </c>
      <c r="Z574" s="78">
        <v>0.4</v>
      </c>
      <c r="AA574" s="78">
        <v>0.4</v>
      </c>
      <c r="AB574" s="78">
        <v>4.5</v>
      </c>
      <c r="AC574" s="78">
        <v>1</v>
      </c>
      <c r="AD574" s="78" t="s">
        <v>1615</v>
      </c>
      <c r="AE574" s="78">
        <v>1.4</v>
      </c>
      <c r="AF574" s="78">
        <v>400</v>
      </c>
      <c r="AG574" s="78">
        <v>197</v>
      </c>
      <c r="AH574" s="78" t="s">
        <v>1615</v>
      </c>
      <c r="AI574" s="78">
        <v>400</v>
      </c>
      <c r="AJ574" s="78">
        <v>400</v>
      </c>
      <c r="AK574" s="78">
        <v>150</v>
      </c>
      <c r="AL574" s="78">
        <v>4.2</v>
      </c>
      <c r="AM574" s="78">
        <v>3</v>
      </c>
      <c r="AN574" s="78" t="s">
        <v>1615</v>
      </c>
      <c r="AO574" s="78" t="s">
        <v>1615</v>
      </c>
    </row>
    <row r="575" spans="1:41">
      <c r="A575" s="78" t="s">
        <v>2756</v>
      </c>
      <c r="B575" s="78" t="s">
        <v>1558</v>
      </c>
      <c r="C575" s="78" t="s">
        <v>366</v>
      </c>
      <c r="D575" s="78" t="s">
        <v>2744</v>
      </c>
      <c r="E575" s="78" t="s">
        <v>2757</v>
      </c>
      <c r="F575" s="78" t="s">
        <v>2751</v>
      </c>
      <c r="G575" s="78" t="s">
        <v>1614</v>
      </c>
      <c r="H575" s="78">
        <v>400</v>
      </c>
      <c r="I575" s="78" t="s">
        <v>1615</v>
      </c>
      <c r="J575" s="78" t="s">
        <v>1615</v>
      </c>
      <c r="K575" s="78">
        <v>13</v>
      </c>
      <c r="L575" s="78">
        <v>62.2</v>
      </c>
      <c r="M575" s="78" t="s">
        <v>1615</v>
      </c>
      <c r="N575" s="78">
        <v>6</v>
      </c>
      <c r="O575" s="78">
        <v>11</v>
      </c>
      <c r="P575" s="78">
        <v>1.6</v>
      </c>
      <c r="Q575" s="78">
        <v>4.8</v>
      </c>
      <c r="R575" s="78">
        <v>2.9</v>
      </c>
      <c r="S575" s="78">
        <v>0.1</v>
      </c>
      <c r="T575" s="78">
        <v>0</v>
      </c>
      <c r="U575" s="78">
        <v>240</v>
      </c>
      <c r="V575" s="78">
        <v>30</v>
      </c>
      <c r="W575" s="78">
        <v>8</v>
      </c>
      <c r="X575" s="78">
        <v>16</v>
      </c>
      <c r="Y575" s="78" t="s">
        <v>1615</v>
      </c>
      <c r="Z575" s="78">
        <v>0.4</v>
      </c>
      <c r="AA575" s="78">
        <v>0.4</v>
      </c>
      <c r="AB575" s="78">
        <v>4.5</v>
      </c>
      <c r="AC575" s="78">
        <v>1</v>
      </c>
      <c r="AD575" s="78" t="s">
        <v>1615</v>
      </c>
      <c r="AE575" s="78">
        <v>1.4</v>
      </c>
      <c r="AF575" s="78">
        <v>400</v>
      </c>
      <c r="AG575" s="78">
        <v>240</v>
      </c>
      <c r="AH575" s="78" t="s">
        <v>1615</v>
      </c>
      <c r="AI575" s="78">
        <v>400</v>
      </c>
      <c r="AJ575" s="78">
        <v>400</v>
      </c>
      <c r="AK575" s="78">
        <v>150</v>
      </c>
      <c r="AL575" s="78">
        <v>4.2</v>
      </c>
      <c r="AM575" s="78">
        <v>3</v>
      </c>
      <c r="AN575" s="78" t="s">
        <v>1615</v>
      </c>
      <c r="AO575" s="78" t="s">
        <v>1615</v>
      </c>
    </row>
    <row r="576" spans="1:41">
      <c r="A576" s="78" t="s">
        <v>2758</v>
      </c>
      <c r="B576" s="78" t="s">
        <v>1558</v>
      </c>
      <c r="C576" s="78" t="s">
        <v>366</v>
      </c>
      <c r="D576" s="78" t="s">
        <v>2746</v>
      </c>
      <c r="E576" s="78" t="s">
        <v>2759</v>
      </c>
      <c r="F576" s="78" t="s">
        <v>2751</v>
      </c>
      <c r="G576" s="78" t="s">
        <v>1614</v>
      </c>
      <c r="H576" s="78">
        <v>400</v>
      </c>
      <c r="I576" s="78" t="s">
        <v>1615</v>
      </c>
      <c r="J576" s="78" t="s">
        <v>1615</v>
      </c>
      <c r="K576" s="78">
        <v>13</v>
      </c>
      <c r="L576" s="78">
        <v>62.2</v>
      </c>
      <c r="M576" s="78" t="s">
        <v>1615</v>
      </c>
      <c r="N576" s="78">
        <v>6</v>
      </c>
      <c r="O576" s="78">
        <v>11</v>
      </c>
      <c r="P576" s="78">
        <v>1.5</v>
      </c>
      <c r="Q576" s="78">
        <v>5</v>
      </c>
      <c r="R576" s="78">
        <v>2.2999999999999998</v>
      </c>
      <c r="S576" s="78">
        <v>0</v>
      </c>
      <c r="T576" s="78">
        <v>0</v>
      </c>
      <c r="U576" s="78">
        <v>240</v>
      </c>
      <c r="V576" s="78">
        <v>30</v>
      </c>
      <c r="W576" s="78">
        <v>8</v>
      </c>
      <c r="X576" s="78">
        <v>16</v>
      </c>
      <c r="Y576" s="78" t="s">
        <v>1615</v>
      </c>
      <c r="Z576" s="78">
        <v>0.4</v>
      </c>
      <c r="AA576" s="78">
        <v>0.4</v>
      </c>
      <c r="AB576" s="78">
        <v>4.5</v>
      </c>
      <c r="AC576" s="78">
        <v>1</v>
      </c>
      <c r="AD576" s="78" t="s">
        <v>1615</v>
      </c>
      <c r="AE576" s="78">
        <v>1.4</v>
      </c>
      <c r="AF576" s="78">
        <v>400</v>
      </c>
      <c r="AG576" s="78">
        <v>241</v>
      </c>
      <c r="AH576" s="78" t="s">
        <v>1615</v>
      </c>
      <c r="AI576" s="78">
        <v>400</v>
      </c>
      <c r="AJ576" s="78">
        <v>400</v>
      </c>
      <c r="AK576" s="78">
        <v>150</v>
      </c>
      <c r="AL576" s="78">
        <v>4.2</v>
      </c>
      <c r="AM576" s="78">
        <v>3</v>
      </c>
      <c r="AN576" s="78" t="s">
        <v>1615</v>
      </c>
      <c r="AO576" s="78" t="s">
        <v>1615</v>
      </c>
    </row>
    <row r="577" spans="1:41">
      <c r="A577" s="78" t="s">
        <v>2760</v>
      </c>
      <c r="B577" s="78" t="s">
        <v>1558</v>
      </c>
      <c r="C577" s="78" t="s">
        <v>366</v>
      </c>
      <c r="D577" s="78" t="s">
        <v>2748</v>
      </c>
      <c r="E577" s="78" t="s">
        <v>2761</v>
      </c>
      <c r="F577" s="78" t="s">
        <v>2751</v>
      </c>
      <c r="G577" s="78" t="s">
        <v>1614</v>
      </c>
      <c r="H577" s="78">
        <v>510</v>
      </c>
      <c r="I577" s="78" t="s">
        <v>1615</v>
      </c>
      <c r="J577" s="78" t="s">
        <v>1615</v>
      </c>
      <c r="K577" s="78">
        <v>7.5</v>
      </c>
      <c r="L577" s="78">
        <v>57</v>
      </c>
      <c r="M577" s="78">
        <v>5</v>
      </c>
      <c r="N577" s="78" t="s">
        <v>1615</v>
      </c>
      <c r="O577" s="78">
        <v>24.6</v>
      </c>
      <c r="P577" s="78">
        <v>10.199999999999999</v>
      </c>
      <c r="Q577" s="78">
        <v>0</v>
      </c>
      <c r="R577" s="78">
        <v>0</v>
      </c>
      <c r="S577" s="78">
        <v>0</v>
      </c>
      <c r="T577" s="78">
        <v>0</v>
      </c>
      <c r="U577" s="78">
        <v>480</v>
      </c>
      <c r="V577" s="78">
        <v>60</v>
      </c>
      <c r="W577" s="78">
        <v>7.5</v>
      </c>
      <c r="X577" s="78">
        <v>11.4</v>
      </c>
      <c r="Y577" s="78">
        <v>60</v>
      </c>
      <c r="Z577" s="78">
        <v>2</v>
      </c>
      <c r="AA577" s="78">
        <v>1</v>
      </c>
      <c r="AB577" s="78">
        <v>12</v>
      </c>
      <c r="AC577" s="78">
        <v>0.9</v>
      </c>
      <c r="AD577" s="78">
        <v>7.8</v>
      </c>
      <c r="AE577" s="78">
        <v>5.6</v>
      </c>
      <c r="AF577" s="78">
        <v>250</v>
      </c>
      <c r="AG577" s="78">
        <v>215</v>
      </c>
      <c r="AH577" s="78">
        <v>760</v>
      </c>
      <c r="AI577" s="78">
        <v>650</v>
      </c>
      <c r="AJ577" s="78">
        <v>455</v>
      </c>
      <c r="AK577" s="78">
        <v>55</v>
      </c>
      <c r="AL577" s="78">
        <v>10</v>
      </c>
      <c r="AM577" s="78">
        <v>3.5</v>
      </c>
      <c r="AN577" s="78">
        <v>1.3</v>
      </c>
      <c r="AO577" s="78">
        <v>25</v>
      </c>
    </row>
    <row r="578" spans="1:41">
      <c r="A578" s="78" t="s">
        <v>2762</v>
      </c>
      <c r="B578" s="78" t="s">
        <v>1558</v>
      </c>
      <c r="C578" s="78" t="s">
        <v>366</v>
      </c>
      <c r="D578" s="78" t="s">
        <v>2750</v>
      </c>
      <c r="E578" s="78" t="s">
        <v>2763</v>
      </c>
      <c r="F578" s="78" t="s">
        <v>2751</v>
      </c>
      <c r="G578" s="78" t="s">
        <v>1614</v>
      </c>
      <c r="H578" s="78">
        <v>440</v>
      </c>
      <c r="I578" s="78" t="s">
        <v>1615</v>
      </c>
      <c r="J578" s="78" t="s">
        <v>1615</v>
      </c>
      <c r="K578" s="78">
        <v>15</v>
      </c>
      <c r="L578" s="78">
        <v>45</v>
      </c>
      <c r="M578" s="78">
        <v>3.8</v>
      </c>
      <c r="N578" s="78" t="s">
        <v>1615</v>
      </c>
      <c r="O578" s="78">
        <v>17</v>
      </c>
      <c r="P578" s="78">
        <v>7.7</v>
      </c>
      <c r="Q578" s="78">
        <v>0</v>
      </c>
      <c r="R578" s="78">
        <v>0</v>
      </c>
      <c r="S578" s="78">
        <v>0</v>
      </c>
      <c r="T578" s="78">
        <v>0</v>
      </c>
      <c r="U578" s="78">
        <v>908</v>
      </c>
      <c r="V578" s="78">
        <v>75</v>
      </c>
      <c r="W578" s="78">
        <v>8.1</v>
      </c>
      <c r="X578" s="78">
        <v>16.100000000000001</v>
      </c>
      <c r="Y578" s="78">
        <v>70</v>
      </c>
      <c r="Z578" s="78">
        <v>4</v>
      </c>
      <c r="AA578" s="78">
        <v>2.4</v>
      </c>
      <c r="AB578" s="78">
        <v>21</v>
      </c>
      <c r="AC578" s="78">
        <v>1.8</v>
      </c>
      <c r="AD578" s="78">
        <v>10.9</v>
      </c>
      <c r="AE578" s="78">
        <v>1.3</v>
      </c>
      <c r="AF578" s="78">
        <v>530</v>
      </c>
      <c r="AG578" s="78">
        <v>1175</v>
      </c>
      <c r="AH578" s="78">
        <v>1800</v>
      </c>
      <c r="AI578" s="78">
        <v>1150</v>
      </c>
      <c r="AJ578" s="78">
        <v>1020</v>
      </c>
      <c r="AK578" s="78">
        <v>300</v>
      </c>
      <c r="AL578" s="78">
        <v>17</v>
      </c>
      <c r="AM578" s="78">
        <v>17</v>
      </c>
      <c r="AN578" s="78">
        <v>1.3</v>
      </c>
      <c r="AO578" s="78">
        <v>37</v>
      </c>
    </row>
    <row r="579" spans="1:41">
      <c r="A579" s="78" t="s">
        <v>2764</v>
      </c>
      <c r="B579" s="78" t="s">
        <v>1558</v>
      </c>
      <c r="C579" s="78" t="s">
        <v>366</v>
      </c>
      <c r="D579" s="78" t="s">
        <v>2752</v>
      </c>
      <c r="E579" s="78" t="s">
        <v>2765</v>
      </c>
      <c r="F579" s="78" t="s">
        <v>2751</v>
      </c>
      <c r="G579" s="78" t="s">
        <v>1614</v>
      </c>
      <c r="H579" s="78">
        <v>360</v>
      </c>
      <c r="I579" s="78" t="s">
        <v>1615</v>
      </c>
      <c r="J579" s="78" t="s">
        <v>1615</v>
      </c>
      <c r="K579" s="78">
        <v>25</v>
      </c>
      <c r="L579" s="78">
        <v>65</v>
      </c>
      <c r="M579" s="78">
        <v>59</v>
      </c>
      <c r="N579" s="78" t="s">
        <v>1615</v>
      </c>
      <c r="O579" s="78">
        <v>0</v>
      </c>
      <c r="P579" s="78">
        <v>0</v>
      </c>
      <c r="Q579" s="78">
        <v>0</v>
      </c>
      <c r="R579" s="78">
        <v>0</v>
      </c>
      <c r="S579" s="78" t="s">
        <v>1615</v>
      </c>
      <c r="T579" s="78" t="s">
        <v>1615</v>
      </c>
      <c r="U579" s="78">
        <v>0</v>
      </c>
      <c r="V579" s="78">
        <v>125</v>
      </c>
      <c r="W579" s="78">
        <v>0</v>
      </c>
      <c r="X579" s="78">
        <v>0</v>
      </c>
      <c r="Y579" s="78">
        <v>0</v>
      </c>
      <c r="Z579" s="78">
        <v>0</v>
      </c>
      <c r="AA579" s="78">
        <v>0</v>
      </c>
      <c r="AB579" s="78">
        <v>0</v>
      </c>
      <c r="AC579" s="78">
        <v>0</v>
      </c>
      <c r="AD579" s="78">
        <v>0</v>
      </c>
      <c r="AE579" s="78">
        <v>0</v>
      </c>
      <c r="AF579" s="78">
        <v>0</v>
      </c>
      <c r="AG579" s="78">
        <v>10</v>
      </c>
      <c r="AH579" s="78">
        <v>10</v>
      </c>
      <c r="AI579" s="78">
        <v>5</v>
      </c>
      <c r="AJ579" s="78">
        <v>5</v>
      </c>
      <c r="AK579" s="78">
        <v>5</v>
      </c>
      <c r="AL579" s="78">
        <v>0</v>
      </c>
      <c r="AM579" s="78">
        <v>0</v>
      </c>
      <c r="AN579" s="78">
        <v>0</v>
      </c>
      <c r="AO579" s="78">
        <v>0</v>
      </c>
    </row>
    <row r="580" spans="1:41">
      <c r="A580" s="78" t="s">
        <v>2766</v>
      </c>
      <c r="B580" s="78" t="s">
        <v>1558</v>
      </c>
      <c r="C580" s="78" t="s">
        <v>366</v>
      </c>
      <c r="D580" s="78" t="s">
        <v>2754</v>
      </c>
      <c r="E580" s="78" t="s">
        <v>2767</v>
      </c>
      <c r="F580" s="78" t="s">
        <v>2751</v>
      </c>
      <c r="G580" s="78" t="s">
        <v>1614</v>
      </c>
      <c r="H580" s="78">
        <v>316</v>
      </c>
      <c r="I580" s="78" t="s">
        <v>1615</v>
      </c>
      <c r="J580" s="78" t="s">
        <v>1615</v>
      </c>
      <c r="K580" s="78">
        <v>79</v>
      </c>
      <c r="L580" s="78">
        <v>0</v>
      </c>
      <c r="M580" s="78">
        <v>0</v>
      </c>
      <c r="N580" s="78">
        <v>0</v>
      </c>
      <c r="O580" s="78">
        <v>0</v>
      </c>
      <c r="P580" s="78">
        <v>0</v>
      </c>
      <c r="Q580" s="78">
        <v>0</v>
      </c>
      <c r="R580" s="78">
        <v>0</v>
      </c>
      <c r="S580" s="78" t="s">
        <v>1615</v>
      </c>
      <c r="T580" s="78" t="s">
        <v>1615</v>
      </c>
      <c r="U580" s="78" t="s">
        <v>1615</v>
      </c>
      <c r="V580" s="78" t="s">
        <v>1615</v>
      </c>
      <c r="W580" s="78" t="s">
        <v>1615</v>
      </c>
      <c r="X580" s="78" t="s">
        <v>1615</v>
      </c>
      <c r="Y580" s="78" t="s">
        <v>1615</v>
      </c>
      <c r="Z580" s="78" t="s">
        <v>1615</v>
      </c>
      <c r="AA580" s="78" t="s">
        <v>1615</v>
      </c>
      <c r="AB580" s="78" t="s">
        <v>1615</v>
      </c>
      <c r="AC580" s="78" t="s">
        <v>1615</v>
      </c>
      <c r="AD580" s="78" t="s">
        <v>1615</v>
      </c>
      <c r="AE580" s="78" t="s">
        <v>1615</v>
      </c>
      <c r="AF580" s="78" t="s">
        <v>1615</v>
      </c>
      <c r="AG580" s="78" t="s">
        <v>1615</v>
      </c>
      <c r="AH580" s="78" t="s">
        <v>1615</v>
      </c>
      <c r="AI580" s="78" t="s">
        <v>1615</v>
      </c>
      <c r="AJ580" s="78" t="s">
        <v>1615</v>
      </c>
      <c r="AK580" s="78" t="s">
        <v>1615</v>
      </c>
      <c r="AL580" s="78" t="s">
        <v>1615</v>
      </c>
      <c r="AM580" s="78" t="s">
        <v>1615</v>
      </c>
      <c r="AN580" s="78" t="s">
        <v>1615</v>
      </c>
      <c r="AO580" s="78" t="s">
        <v>1615</v>
      </c>
    </row>
    <row r="581" spans="1:41">
      <c r="A581" s="78" t="s">
        <v>2768</v>
      </c>
      <c r="B581" s="78" t="s">
        <v>1558</v>
      </c>
      <c r="C581" s="78" t="s">
        <v>366</v>
      </c>
      <c r="D581" s="78" t="s">
        <v>2756</v>
      </c>
      <c r="E581" s="78" t="s">
        <v>2769</v>
      </c>
      <c r="F581" s="78" t="s">
        <v>2751</v>
      </c>
      <c r="G581" s="78" t="s">
        <v>1614</v>
      </c>
      <c r="H581" s="78">
        <v>466</v>
      </c>
      <c r="I581" s="78" t="s">
        <v>1615</v>
      </c>
      <c r="J581" s="78" t="s">
        <v>1615</v>
      </c>
      <c r="K581" s="78">
        <v>13.1</v>
      </c>
      <c r="L581" s="78">
        <v>49.8</v>
      </c>
      <c r="M581" s="78">
        <v>4.9000000000000004</v>
      </c>
      <c r="N581" s="78" t="s">
        <v>1615</v>
      </c>
      <c r="O581" s="78">
        <v>23</v>
      </c>
      <c r="P581" s="78">
        <v>7.5</v>
      </c>
      <c r="Q581" s="78">
        <v>9.4</v>
      </c>
      <c r="R581" s="78">
        <v>5</v>
      </c>
      <c r="S581" s="78" t="s">
        <v>1615</v>
      </c>
      <c r="T581" s="78">
        <v>0</v>
      </c>
      <c r="U581" s="78">
        <v>392</v>
      </c>
      <c r="V581" s="78">
        <v>49</v>
      </c>
      <c r="W581" s="78">
        <v>8.6999999999999993</v>
      </c>
      <c r="X581" s="78">
        <v>4.5999999999999996</v>
      </c>
      <c r="Y581" s="78">
        <v>37.200000000000003</v>
      </c>
      <c r="Z581" s="78">
        <v>0.5</v>
      </c>
      <c r="AA581" s="78">
        <v>0.5</v>
      </c>
      <c r="AB581" s="78">
        <v>2.2000000000000002</v>
      </c>
      <c r="AC581" s="78">
        <v>0.5</v>
      </c>
      <c r="AD581" s="78">
        <v>2.8</v>
      </c>
      <c r="AE581" s="78">
        <v>1.2</v>
      </c>
      <c r="AF581" s="78">
        <v>55</v>
      </c>
      <c r="AG581" s="78">
        <v>191</v>
      </c>
      <c r="AH581" s="78">
        <v>501</v>
      </c>
      <c r="AI581" s="78">
        <v>410</v>
      </c>
      <c r="AJ581" s="78">
        <v>300</v>
      </c>
      <c r="AK581" s="78">
        <v>58</v>
      </c>
      <c r="AL581" s="78">
        <v>8.1</v>
      </c>
      <c r="AM581" s="78">
        <v>5.7</v>
      </c>
      <c r="AN581" s="78">
        <v>0.4</v>
      </c>
      <c r="AO581" s="78">
        <v>15.5</v>
      </c>
    </row>
    <row r="582" spans="1:41">
      <c r="A582" s="78" t="s">
        <v>2770</v>
      </c>
      <c r="B582" s="78" t="s">
        <v>1558</v>
      </c>
      <c r="C582" s="78" t="s">
        <v>366</v>
      </c>
      <c r="D582" s="78" t="s">
        <v>2758</v>
      </c>
      <c r="E582" s="78" t="s">
        <v>2771</v>
      </c>
      <c r="F582" s="78" t="s">
        <v>2751</v>
      </c>
      <c r="G582" s="78" t="s">
        <v>1614</v>
      </c>
      <c r="H582" s="78">
        <v>480</v>
      </c>
      <c r="I582" s="78" t="s">
        <v>1615</v>
      </c>
      <c r="J582" s="78" t="s">
        <v>1615</v>
      </c>
      <c r="K582" s="78">
        <v>15</v>
      </c>
      <c r="L582" s="78">
        <v>53</v>
      </c>
      <c r="M582" s="78">
        <v>4.8</v>
      </c>
      <c r="N582" s="78" t="s">
        <v>1615</v>
      </c>
      <c r="O582" s="78">
        <v>21.7</v>
      </c>
      <c r="P582" s="78">
        <v>9.1</v>
      </c>
      <c r="Q582" s="78">
        <v>0</v>
      </c>
      <c r="R582" s="78">
        <v>0</v>
      </c>
      <c r="S582" s="78">
        <v>0</v>
      </c>
      <c r="T582" s="78">
        <v>0</v>
      </c>
      <c r="U582" s="78">
        <v>420</v>
      </c>
      <c r="V582" s="78">
        <v>50</v>
      </c>
      <c r="W582" s="78">
        <v>7.5</v>
      </c>
      <c r="X582" s="78">
        <v>10.1</v>
      </c>
      <c r="Y582" s="78">
        <v>50</v>
      </c>
      <c r="Z582" s="78">
        <v>1.9</v>
      </c>
      <c r="AA582" s="78">
        <v>0.9</v>
      </c>
      <c r="AB582" s="78">
        <v>10</v>
      </c>
      <c r="AC582" s="78">
        <v>0.8</v>
      </c>
      <c r="AD582" s="78">
        <v>6.9</v>
      </c>
      <c r="AE582" s="78">
        <v>4.9000000000000004</v>
      </c>
      <c r="AF582" s="78">
        <v>230</v>
      </c>
      <c r="AG582" s="78">
        <v>190</v>
      </c>
      <c r="AH582" s="78">
        <v>675</v>
      </c>
      <c r="AI582" s="78">
        <v>575</v>
      </c>
      <c r="AJ582" s="78">
        <v>400</v>
      </c>
      <c r="AK582" s="78">
        <v>50</v>
      </c>
      <c r="AL582" s="78">
        <v>9</v>
      </c>
      <c r="AM582" s="78">
        <v>8</v>
      </c>
      <c r="AN582" s="78">
        <v>1.1000000000000001</v>
      </c>
      <c r="AO582" s="78">
        <v>20</v>
      </c>
    </row>
    <row r="583" spans="1:41">
      <c r="A583" s="78" t="s">
        <v>2772</v>
      </c>
      <c r="B583" s="78" t="s">
        <v>1558</v>
      </c>
      <c r="C583" s="78" t="s">
        <v>366</v>
      </c>
      <c r="D583" s="78" t="s">
        <v>2760</v>
      </c>
      <c r="E583" s="78" t="s">
        <v>2773</v>
      </c>
      <c r="F583" s="78" t="s">
        <v>2751</v>
      </c>
      <c r="G583" s="78" t="s">
        <v>1614</v>
      </c>
      <c r="H583" s="78">
        <v>410</v>
      </c>
      <c r="I583" s="78" t="s">
        <v>1615</v>
      </c>
      <c r="J583" s="78" t="s">
        <v>1615</v>
      </c>
      <c r="K583" s="78">
        <v>30</v>
      </c>
      <c r="L583" s="78">
        <v>35</v>
      </c>
      <c r="M583" s="78">
        <v>2.9</v>
      </c>
      <c r="N583" s="78" t="s">
        <v>1615</v>
      </c>
      <c r="O583" s="78">
        <v>13</v>
      </c>
      <c r="P583" s="78">
        <v>5.8</v>
      </c>
      <c r="Q583" s="78">
        <v>0</v>
      </c>
      <c r="R583" s="78">
        <v>0</v>
      </c>
      <c r="S583" s="78">
        <v>0</v>
      </c>
      <c r="T583" s="78">
        <v>0</v>
      </c>
      <c r="U583" s="78">
        <v>660</v>
      </c>
      <c r="V583" s="78">
        <v>60</v>
      </c>
      <c r="W583" s="78">
        <v>7.5</v>
      </c>
      <c r="X583" s="78">
        <v>12.1</v>
      </c>
      <c r="Y583" s="78">
        <v>60</v>
      </c>
      <c r="Z583" s="78">
        <v>3.3</v>
      </c>
      <c r="AA583" s="78">
        <v>1.8</v>
      </c>
      <c r="AB583" s="78">
        <v>16</v>
      </c>
      <c r="AC583" s="78">
        <v>4.3</v>
      </c>
      <c r="AD583" s="78">
        <v>8</v>
      </c>
      <c r="AE583" s="78">
        <v>5</v>
      </c>
      <c r="AF583" s="78">
        <v>430</v>
      </c>
      <c r="AG583" s="78">
        <v>880</v>
      </c>
      <c r="AH583" s="78">
        <v>1370</v>
      </c>
      <c r="AI583" s="78">
        <v>880</v>
      </c>
      <c r="AJ583" s="78">
        <v>760</v>
      </c>
      <c r="AK583" s="78">
        <v>225</v>
      </c>
      <c r="AL583" s="78">
        <v>13</v>
      </c>
      <c r="AM583" s="78">
        <v>13</v>
      </c>
      <c r="AN583" s="78">
        <v>1</v>
      </c>
      <c r="AO583" s="78">
        <v>35</v>
      </c>
    </row>
    <row r="584" spans="1:41">
      <c r="A584" s="78" t="s">
        <v>2774</v>
      </c>
      <c r="B584" s="78" t="s">
        <v>1558</v>
      </c>
      <c r="C584" s="78" t="s">
        <v>366</v>
      </c>
      <c r="D584" s="78" t="s">
        <v>2762</v>
      </c>
      <c r="E584" s="78" t="s">
        <v>2775</v>
      </c>
      <c r="F584" s="78" t="s">
        <v>2751</v>
      </c>
      <c r="G584" s="78" t="s">
        <v>1614</v>
      </c>
      <c r="H584" s="78">
        <v>457</v>
      </c>
      <c r="I584" s="78" t="s">
        <v>1615</v>
      </c>
      <c r="J584" s="78" t="s">
        <v>1615</v>
      </c>
      <c r="K584" s="78">
        <v>13.1</v>
      </c>
      <c r="L584" s="78">
        <v>49.5</v>
      </c>
      <c r="M584" s="78">
        <v>7.4</v>
      </c>
      <c r="N584" s="78" t="s">
        <v>1615</v>
      </c>
      <c r="O584" s="78">
        <v>23</v>
      </c>
      <c r="P584" s="78">
        <v>7.5</v>
      </c>
      <c r="Q584" s="78">
        <v>9.4</v>
      </c>
      <c r="R584" s="78">
        <v>5</v>
      </c>
      <c r="S584" s="78" t="s">
        <v>1615</v>
      </c>
      <c r="T584" s="78" t="s">
        <v>1615</v>
      </c>
      <c r="U584" s="78">
        <v>392</v>
      </c>
      <c r="V584" s="78">
        <v>49</v>
      </c>
      <c r="W584" s="78">
        <v>8.6999999999999993</v>
      </c>
      <c r="X584" s="78">
        <v>4.5999999999999996</v>
      </c>
      <c r="Y584" s="78">
        <v>37.200000000000003</v>
      </c>
      <c r="Z584" s="78">
        <v>0.5</v>
      </c>
      <c r="AA584" s="78">
        <v>0.5</v>
      </c>
      <c r="AB584" s="78">
        <v>2.2000000000000002</v>
      </c>
      <c r="AC584" s="78">
        <v>0.5</v>
      </c>
      <c r="AD584" s="78">
        <v>2.8</v>
      </c>
      <c r="AE584" s="78">
        <v>1.2</v>
      </c>
      <c r="AF584" s="78">
        <v>55</v>
      </c>
      <c r="AG584" s="78">
        <v>191</v>
      </c>
      <c r="AH584" s="78">
        <v>501</v>
      </c>
      <c r="AI584" s="78">
        <v>410</v>
      </c>
      <c r="AJ584" s="78">
        <v>300</v>
      </c>
      <c r="AK584" s="78">
        <v>58</v>
      </c>
      <c r="AL584" s="78">
        <v>8.1</v>
      </c>
      <c r="AM584" s="78">
        <v>5.7</v>
      </c>
      <c r="AN584" s="78">
        <v>0.4</v>
      </c>
      <c r="AO584" s="78">
        <v>15.5</v>
      </c>
    </row>
    <row r="585" spans="1:41">
      <c r="A585" s="78" t="s">
        <v>2776</v>
      </c>
      <c r="B585" s="78" t="s">
        <v>1558</v>
      </c>
      <c r="C585" s="78" t="s">
        <v>366</v>
      </c>
      <c r="D585" s="78" t="s">
        <v>2764</v>
      </c>
      <c r="E585" s="78" t="s">
        <v>2777</v>
      </c>
      <c r="F585" s="78" t="s">
        <v>2751</v>
      </c>
      <c r="G585" s="78" t="s">
        <v>1614</v>
      </c>
      <c r="H585" s="78">
        <v>480</v>
      </c>
      <c r="I585" s="78" t="s">
        <v>1615</v>
      </c>
      <c r="J585" s="78" t="s">
        <v>1615</v>
      </c>
      <c r="K585" s="78">
        <v>15</v>
      </c>
      <c r="L585" s="78">
        <v>53</v>
      </c>
      <c r="M585" s="78">
        <v>5</v>
      </c>
      <c r="N585" s="78" t="s">
        <v>1615</v>
      </c>
      <c r="O585" s="78">
        <v>21.7</v>
      </c>
      <c r="P585" s="78">
        <v>10.199999999999999</v>
      </c>
      <c r="Q585" s="78">
        <v>0</v>
      </c>
      <c r="R585" s="78">
        <v>0</v>
      </c>
      <c r="S585" s="78">
        <v>0</v>
      </c>
      <c r="T585" s="78">
        <v>0</v>
      </c>
      <c r="U585" s="78">
        <v>925</v>
      </c>
      <c r="V585" s="78">
        <v>194</v>
      </c>
      <c r="W585" s="78">
        <v>10.8</v>
      </c>
      <c r="X585" s="78">
        <v>14</v>
      </c>
      <c r="Y585" s="78">
        <v>100</v>
      </c>
      <c r="Z585" s="78">
        <v>2.8</v>
      </c>
      <c r="AA585" s="78">
        <v>1.4</v>
      </c>
      <c r="AB585" s="78">
        <v>19.2</v>
      </c>
      <c r="AC585" s="78">
        <v>1</v>
      </c>
      <c r="AD585" s="78">
        <v>10</v>
      </c>
      <c r="AE585" s="78">
        <v>14.4</v>
      </c>
      <c r="AF585" s="78">
        <v>392</v>
      </c>
      <c r="AG585" s="78">
        <v>226</v>
      </c>
      <c r="AH585" s="78">
        <v>770</v>
      </c>
      <c r="AI585" s="78">
        <v>696</v>
      </c>
      <c r="AJ585" s="78">
        <v>459</v>
      </c>
      <c r="AK585" s="78">
        <v>74</v>
      </c>
      <c r="AL585" s="78">
        <v>11</v>
      </c>
      <c r="AM585" s="78">
        <v>10</v>
      </c>
      <c r="AN585" s="78">
        <v>1.4</v>
      </c>
      <c r="AO585" s="78">
        <v>30</v>
      </c>
    </row>
    <row r="586" spans="1:41">
      <c r="A586" s="78" t="s">
        <v>2778</v>
      </c>
      <c r="B586" s="78" t="s">
        <v>1558</v>
      </c>
      <c r="C586" s="78" t="s">
        <v>366</v>
      </c>
      <c r="D586" s="78" t="s">
        <v>2766</v>
      </c>
      <c r="E586" s="78" t="s">
        <v>2779</v>
      </c>
      <c r="F586" s="78" t="s">
        <v>2751</v>
      </c>
      <c r="G586" s="78" t="s">
        <v>1614</v>
      </c>
      <c r="H586" s="78">
        <v>410</v>
      </c>
      <c r="I586" s="78" t="s">
        <v>1615</v>
      </c>
      <c r="J586" s="78" t="s">
        <v>1615</v>
      </c>
      <c r="K586" s="78">
        <v>30</v>
      </c>
      <c r="L586" s="78">
        <v>35</v>
      </c>
      <c r="M586" s="78">
        <v>3.3</v>
      </c>
      <c r="N586" s="78" t="s">
        <v>1615</v>
      </c>
      <c r="O586" s="78">
        <v>14</v>
      </c>
      <c r="P586" s="78">
        <v>5.7</v>
      </c>
      <c r="Q586" s="78">
        <v>0</v>
      </c>
      <c r="R586" s="78">
        <v>0</v>
      </c>
      <c r="S586" s="78">
        <v>0</v>
      </c>
      <c r="T586" s="78">
        <v>0</v>
      </c>
      <c r="U586" s="78">
        <v>856</v>
      </c>
      <c r="V586" s="78">
        <v>234</v>
      </c>
      <c r="W586" s="78">
        <v>12.8</v>
      </c>
      <c r="X586" s="78">
        <v>17.100000000000001</v>
      </c>
      <c r="Y586" s="78">
        <v>107</v>
      </c>
      <c r="Z586" s="78">
        <v>4.3</v>
      </c>
      <c r="AA586" s="78">
        <v>3</v>
      </c>
      <c r="AB586" s="78">
        <v>40</v>
      </c>
      <c r="AC586" s="78">
        <v>2.1</v>
      </c>
      <c r="AD586" s="78">
        <v>0</v>
      </c>
      <c r="AE586" s="78">
        <v>10</v>
      </c>
      <c r="AF586" s="78">
        <v>648</v>
      </c>
      <c r="AG586" s="78">
        <v>58</v>
      </c>
      <c r="AH586" s="78">
        <v>50</v>
      </c>
      <c r="AI586" s="78">
        <v>1126</v>
      </c>
      <c r="AJ586" s="78">
        <v>947</v>
      </c>
      <c r="AK586" s="78">
        <v>301</v>
      </c>
      <c r="AL586" s="78">
        <v>21</v>
      </c>
      <c r="AM586" s="78">
        <v>23</v>
      </c>
      <c r="AN586" s="78">
        <v>3.1</v>
      </c>
      <c r="AO586" s="78">
        <v>58</v>
      </c>
    </row>
    <row r="587" spans="1:41">
      <c r="A587" s="78" t="s">
        <v>2780</v>
      </c>
      <c r="B587" s="78" t="s">
        <v>1558</v>
      </c>
      <c r="C587" s="78" t="s">
        <v>366</v>
      </c>
      <c r="D587" s="78" t="s">
        <v>2768</v>
      </c>
      <c r="E587" s="78" t="s">
        <v>2781</v>
      </c>
      <c r="F587" s="78" t="s">
        <v>2751</v>
      </c>
      <c r="G587" s="78" t="s">
        <v>1614</v>
      </c>
      <c r="H587" s="78">
        <v>490</v>
      </c>
      <c r="I587" s="78">
        <v>2</v>
      </c>
      <c r="J587" s="78">
        <v>3.7</v>
      </c>
      <c r="K587" s="78">
        <v>16</v>
      </c>
      <c r="L587" s="78">
        <v>57</v>
      </c>
      <c r="M587" s="78">
        <v>54</v>
      </c>
      <c r="N587" s="78">
        <v>4.5</v>
      </c>
      <c r="O587" s="78">
        <v>22</v>
      </c>
      <c r="P587" s="78">
        <v>8.1</v>
      </c>
      <c r="Q587" s="78">
        <v>7.4</v>
      </c>
      <c r="R587" s="78">
        <v>4.2</v>
      </c>
      <c r="S587" s="78">
        <v>0.1</v>
      </c>
      <c r="T587" s="78">
        <v>26</v>
      </c>
      <c r="U587" s="78">
        <v>434</v>
      </c>
      <c r="V587" s="78">
        <v>63</v>
      </c>
      <c r="W587" s="78">
        <v>9.1999999999999993</v>
      </c>
      <c r="X587" s="78">
        <v>5.0999999999999996</v>
      </c>
      <c r="Y587" s="78">
        <v>25</v>
      </c>
      <c r="Z587" s="78">
        <v>0.4</v>
      </c>
      <c r="AA587" s="78">
        <v>1</v>
      </c>
      <c r="AB587" s="78">
        <v>2.9</v>
      </c>
      <c r="AC587" s="78">
        <v>0.3</v>
      </c>
      <c r="AD587" s="78">
        <v>2.6</v>
      </c>
      <c r="AE587" s="78">
        <v>1.3</v>
      </c>
      <c r="AF587" s="78">
        <v>59</v>
      </c>
      <c r="AG587" s="78">
        <v>246</v>
      </c>
      <c r="AH587" s="78" t="s">
        <v>1615</v>
      </c>
      <c r="AI587" s="78">
        <v>559</v>
      </c>
      <c r="AJ587" s="78">
        <v>375</v>
      </c>
      <c r="AK587" s="78">
        <v>63</v>
      </c>
      <c r="AL587" s="78">
        <v>8.8000000000000007</v>
      </c>
      <c r="AM587" s="78">
        <v>3.1</v>
      </c>
      <c r="AN587" s="78">
        <v>0.2</v>
      </c>
      <c r="AO587" s="78">
        <v>20</v>
      </c>
    </row>
    <row r="588" spans="1:41">
      <c r="A588" s="78" t="s">
        <v>2782</v>
      </c>
      <c r="B588" s="78" t="s">
        <v>1558</v>
      </c>
      <c r="C588" s="78" t="s">
        <v>366</v>
      </c>
      <c r="D588" s="78" t="s">
        <v>2770</v>
      </c>
      <c r="E588" s="78" t="s">
        <v>2783</v>
      </c>
      <c r="F588" s="78" t="s">
        <v>2751</v>
      </c>
      <c r="G588" s="78" t="s">
        <v>1614</v>
      </c>
      <c r="H588" s="78">
        <v>524</v>
      </c>
      <c r="I588" s="78">
        <v>1.6</v>
      </c>
      <c r="J588" s="78">
        <v>3</v>
      </c>
      <c r="K588" s="78">
        <v>14</v>
      </c>
      <c r="L588" s="78">
        <v>54</v>
      </c>
      <c r="M588" s="78">
        <v>45</v>
      </c>
      <c r="N588" s="78">
        <v>0</v>
      </c>
      <c r="O588" s="78">
        <v>28</v>
      </c>
      <c r="P588" s="78">
        <v>10</v>
      </c>
      <c r="Q588" s="78">
        <v>9.3000000000000007</v>
      </c>
      <c r="R588" s="78">
        <v>4.5999999999999996</v>
      </c>
      <c r="S588" s="78" t="s">
        <v>1615</v>
      </c>
      <c r="T588" s="78">
        <v>33</v>
      </c>
      <c r="U588" s="78">
        <v>717</v>
      </c>
      <c r="V588" s="78">
        <v>78</v>
      </c>
      <c r="W588" s="78">
        <v>1</v>
      </c>
      <c r="X588" s="78">
        <v>11</v>
      </c>
      <c r="Y588" s="78">
        <v>45</v>
      </c>
      <c r="Z588" s="78">
        <v>0.8</v>
      </c>
      <c r="AA588" s="78">
        <v>1.2</v>
      </c>
      <c r="AB588" s="78" t="s">
        <v>1615</v>
      </c>
      <c r="AC588" s="78">
        <v>0.6</v>
      </c>
      <c r="AD588" s="78">
        <v>2.9</v>
      </c>
      <c r="AE588" s="78">
        <v>1.6</v>
      </c>
      <c r="AF588" s="78">
        <v>104</v>
      </c>
      <c r="AG588" s="78">
        <v>193</v>
      </c>
      <c r="AH588" s="78">
        <v>504</v>
      </c>
      <c r="AI588" s="78">
        <v>521</v>
      </c>
      <c r="AJ588" s="78">
        <v>300</v>
      </c>
      <c r="AK588" s="78">
        <v>47</v>
      </c>
      <c r="AL588" s="78">
        <v>8.9</v>
      </c>
      <c r="AM588" s="78">
        <v>5.2</v>
      </c>
      <c r="AN588" s="78">
        <v>0.4</v>
      </c>
      <c r="AO588" s="78">
        <v>11</v>
      </c>
    </row>
    <row r="589" spans="1:41">
      <c r="A589" s="78" t="s">
        <v>2784</v>
      </c>
      <c r="B589" s="78" t="s">
        <v>1558</v>
      </c>
      <c r="C589" s="78" t="s">
        <v>366</v>
      </c>
      <c r="D589" s="78" t="s">
        <v>2772</v>
      </c>
      <c r="E589" s="78" t="s">
        <v>2785</v>
      </c>
      <c r="F589" s="78" t="s">
        <v>2751</v>
      </c>
      <c r="G589" s="78" t="s">
        <v>1614</v>
      </c>
      <c r="H589" s="78">
        <v>498</v>
      </c>
      <c r="I589" s="78">
        <v>3</v>
      </c>
      <c r="J589" s="78">
        <v>3.5</v>
      </c>
      <c r="K589" s="78">
        <v>14.4</v>
      </c>
      <c r="L589" s="78">
        <v>53.2</v>
      </c>
      <c r="M589" s="78">
        <v>26</v>
      </c>
      <c r="N589" s="78" t="s">
        <v>1615</v>
      </c>
      <c r="O589" s="78">
        <v>25.9</v>
      </c>
      <c r="P589" s="78" t="s">
        <v>1615</v>
      </c>
      <c r="Q589" s="78" t="s">
        <v>1615</v>
      </c>
      <c r="R589" s="78" t="s">
        <v>1615</v>
      </c>
      <c r="S589" s="78" t="s">
        <v>1615</v>
      </c>
      <c r="T589" s="78" t="s">
        <v>1615</v>
      </c>
      <c r="U589" s="78">
        <v>1080</v>
      </c>
      <c r="V589" s="78">
        <v>98</v>
      </c>
      <c r="W589" s="78">
        <v>15.2</v>
      </c>
      <c r="X589" s="78">
        <v>16</v>
      </c>
      <c r="Y589" s="78">
        <v>32</v>
      </c>
      <c r="Z589" s="78">
        <v>0.7</v>
      </c>
      <c r="AA589" s="78">
        <v>1</v>
      </c>
      <c r="AB589" s="78">
        <v>11.9</v>
      </c>
      <c r="AC589" s="78">
        <v>0.6</v>
      </c>
      <c r="AD589" s="78">
        <v>4.8</v>
      </c>
      <c r="AE589" s="78">
        <v>1.9</v>
      </c>
      <c r="AF589" s="78">
        <v>210</v>
      </c>
      <c r="AG589" s="78">
        <v>269</v>
      </c>
      <c r="AH589" s="78">
        <v>514</v>
      </c>
      <c r="AI589" s="78">
        <v>648</v>
      </c>
      <c r="AJ589" s="78">
        <v>377</v>
      </c>
      <c r="AK589" s="78">
        <v>42</v>
      </c>
      <c r="AL589" s="78">
        <v>8.5</v>
      </c>
      <c r="AM589" s="78">
        <v>5.5</v>
      </c>
      <c r="AN589" s="78">
        <v>0.6</v>
      </c>
      <c r="AO589" s="78">
        <v>9</v>
      </c>
    </row>
    <row r="590" spans="1:41">
      <c r="A590" s="78" t="s">
        <v>2786</v>
      </c>
      <c r="B590" s="78" t="s">
        <v>1558</v>
      </c>
      <c r="C590" s="78" t="s">
        <v>366</v>
      </c>
      <c r="D590" s="78" t="s">
        <v>2774</v>
      </c>
      <c r="E590" s="78" t="s">
        <v>2787</v>
      </c>
      <c r="F590" s="78" t="s">
        <v>2751</v>
      </c>
      <c r="G590" s="78" t="s">
        <v>1614</v>
      </c>
      <c r="H590" s="78">
        <v>454</v>
      </c>
      <c r="I590" s="78" t="s">
        <v>1615</v>
      </c>
      <c r="J590" s="78" t="s">
        <v>1615</v>
      </c>
      <c r="K590" s="78">
        <v>19.399999999999999</v>
      </c>
      <c r="L590" s="78">
        <v>51.2</v>
      </c>
      <c r="M590" s="78">
        <v>36.799999999999997</v>
      </c>
      <c r="N590" s="78">
        <v>1.7</v>
      </c>
      <c r="O590" s="78">
        <v>19.100000000000001</v>
      </c>
      <c r="P590" s="78">
        <v>7.9</v>
      </c>
      <c r="Q590" s="78">
        <v>8.3000000000000007</v>
      </c>
      <c r="R590" s="78">
        <v>2.9</v>
      </c>
      <c r="S590" s="78">
        <v>0</v>
      </c>
      <c r="T590" s="78">
        <v>56.3</v>
      </c>
      <c r="U590" s="78">
        <v>538</v>
      </c>
      <c r="V590" s="78">
        <v>65.8</v>
      </c>
      <c r="W590" s="78">
        <v>8.6</v>
      </c>
      <c r="X590" s="78">
        <v>10.199999999999999</v>
      </c>
      <c r="Y590" s="78" t="s">
        <v>1615</v>
      </c>
      <c r="Z590" s="78">
        <v>0.4</v>
      </c>
      <c r="AA590" s="78">
        <v>0.7</v>
      </c>
      <c r="AB590" s="78">
        <v>5.9</v>
      </c>
      <c r="AC590" s="78">
        <v>0.8</v>
      </c>
      <c r="AD590" s="78" t="s">
        <v>1615</v>
      </c>
      <c r="AE590" s="78">
        <v>1.9</v>
      </c>
      <c r="AF590" s="78">
        <v>167</v>
      </c>
      <c r="AG590" s="78">
        <v>207</v>
      </c>
      <c r="AH590" s="78" t="s">
        <v>1615</v>
      </c>
      <c r="AI590" s="78">
        <v>1066</v>
      </c>
      <c r="AJ590" s="78">
        <v>644</v>
      </c>
      <c r="AK590" s="78">
        <v>92.6</v>
      </c>
      <c r="AL590" s="78">
        <v>7.1</v>
      </c>
      <c r="AM590" s="78">
        <v>6.7</v>
      </c>
      <c r="AN590" s="78">
        <v>0.3</v>
      </c>
      <c r="AO590" s="78" t="s">
        <v>1615</v>
      </c>
    </row>
    <row r="591" spans="1:41">
      <c r="A591" s="78" t="s">
        <v>2788</v>
      </c>
      <c r="B591" s="78" t="s">
        <v>1558</v>
      </c>
      <c r="C591" s="78" t="s">
        <v>366</v>
      </c>
      <c r="D591" s="78" t="s">
        <v>2776</v>
      </c>
      <c r="E591" s="78" t="s">
        <v>2789</v>
      </c>
      <c r="F591" s="78" t="s">
        <v>2751</v>
      </c>
      <c r="G591" s="78" t="s">
        <v>1614</v>
      </c>
      <c r="H591" s="78">
        <v>498</v>
      </c>
      <c r="I591" s="78" t="s">
        <v>1615</v>
      </c>
      <c r="J591" s="78" t="s">
        <v>1615</v>
      </c>
      <c r="K591" s="78">
        <v>25.8</v>
      </c>
      <c r="L591" s="78">
        <v>38.5</v>
      </c>
      <c r="M591" s="78">
        <v>40.299999999999997</v>
      </c>
      <c r="N591" s="78">
        <v>0</v>
      </c>
      <c r="O591" s="78">
        <v>26.7</v>
      </c>
      <c r="P591" s="78">
        <v>16.8</v>
      </c>
      <c r="Q591" s="78">
        <v>8.6999999999999993</v>
      </c>
      <c r="R591" s="78">
        <v>1.2</v>
      </c>
      <c r="S591" s="78">
        <v>0.1</v>
      </c>
      <c r="T591" s="78">
        <v>96.2</v>
      </c>
      <c r="U591" s="78">
        <v>276</v>
      </c>
      <c r="V591" s="78">
        <v>76.400000000000006</v>
      </c>
      <c r="W591" s="78">
        <v>3.4</v>
      </c>
      <c r="X591" s="78">
        <v>0.5</v>
      </c>
      <c r="Y591" s="78" t="s">
        <v>1615</v>
      </c>
      <c r="Z591" s="78">
        <v>0.3</v>
      </c>
      <c r="AA591" s="78">
        <v>1.9</v>
      </c>
      <c r="AB591" s="78">
        <v>1.2</v>
      </c>
      <c r="AC591" s="78">
        <v>0.4</v>
      </c>
      <c r="AD591" s="78">
        <v>3</v>
      </c>
      <c r="AE591" s="78">
        <v>3.5</v>
      </c>
      <c r="AF591" s="78">
        <v>42.5</v>
      </c>
      <c r="AG591" s="78">
        <v>244</v>
      </c>
      <c r="AH591" s="78" t="s">
        <v>1615</v>
      </c>
      <c r="AI591" s="78">
        <v>980</v>
      </c>
      <c r="AJ591" s="78">
        <v>793</v>
      </c>
      <c r="AK591" s="78">
        <v>75</v>
      </c>
      <c r="AL591" s="78">
        <v>11.3</v>
      </c>
      <c r="AM591" s="78">
        <v>7.6</v>
      </c>
      <c r="AN591" s="78">
        <v>0.4</v>
      </c>
      <c r="AO591" s="78" t="s">
        <v>1615</v>
      </c>
    </row>
    <row r="592" spans="1:41">
      <c r="A592" s="78" t="s">
        <v>2790</v>
      </c>
      <c r="B592" s="78" t="s">
        <v>1558</v>
      </c>
      <c r="C592" s="78" t="s">
        <v>366</v>
      </c>
      <c r="D592" s="78" t="s">
        <v>2778</v>
      </c>
      <c r="E592" s="78" t="s">
        <v>2791</v>
      </c>
      <c r="F592" s="78" t="s">
        <v>2751</v>
      </c>
      <c r="G592" s="78" t="s">
        <v>1614</v>
      </c>
      <c r="H592" s="78">
        <v>391</v>
      </c>
      <c r="I592" s="78" t="s">
        <v>1615</v>
      </c>
      <c r="J592" s="78" t="s">
        <v>1615</v>
      </c>
      <c r="K592" s="78">
        <v>21.3</v>
      </c>
      <c r="L592" s="78">
        <v>55.4</v>
      </c>
      <c r="M592" s="78">
        <v>37</v>
      </c>
      <c r="N592" s="78">
        <v>1.2</v>
      </c>
      <c r="O592" s="78">
        <v>9.3000000000000007</v>
      </c>
      <c r="P592" s="78">
        <v>1.9</v>
      </c>
      <c r="Q592" s="78">
        <v>4.5999999999999996</v>
      </c>
      <c r="R592" s="78">
        <v>2.7</v>
      </c>
      <c r="S592" s="78">
        <v>0.1</v>
      </c>
      <c r="T592" s="78">
        <v>29.7</v>
      </c>
      <c r="U592" s="78">
        <v>622</v>
      </c>
      <c r="V592" s="78">
        <v>156</v>
      </c>
      <c r="W592" s="78">
        <v>5.4</v>
      </c>
      <c r="X592" s="78">
        <v>30.8</v>
      </c>
      <c r="Y592" s="78" t="s">
        <v>1615</v>
      </c>
      <c r="Z592" s="78">
        <v>1.7</v>
      </c>
      <c r="AA592" s="78">
        <v>2.2000000000000002</v>
      </c>
      <c r="AB592" s="78">
        <v>21.7</v>
      </c>
      <c r="AC592" s="78">
        <v>2.4</v>
      </c>
      <c r="AD592" s="78" t="s">
        <v>1615</v>
      </c>
      <c r="AE592" s="78">
        <v>6.2</v>
      </c>
      <c r="AF592" s="78">
        <v>631</v>
      </c>
      <c r="AG592" s="78">
        <v>228</v>
      </c>
      <c r="AH592" s="78" t="s">
        <v>1615</v>
      </c>
      <c r="AI592" s="78">
        <v>1409</v>
      </c>
      <c r="AJ592" s="78">
        <v>1280</v>
      </c>
      <c r="AK592" s="78">
        <v>258</v>
      </c>
      <c r="AL592" s="78" t="s">
        <v>1615</v>
      </c>
      <c r="AM592" s="78" t="s">
        <v>1615</v>
      </c>
      <c r="AN592" s="78" t="s">
        <v>1615</v>
      </c>
      <c r="AO592" s="78" t="s">
        <v>1615</v>
      </c>
    </row>
    <row r="593" spans="1:41">
      <c r="A593" s="78" t="s">
        <v>2792</v>
      </c>
      <c r="B593" s="78" t="s">
        <v>1558</v>
      </c>
      <c r="C593" s="78" t="s">
        <v>366</v>
      </c>
      <c r="D593" s="78" t="s">
        <v>2780</v>
      </c>
      <c r="E593" s="78" t="s">
        <v>2793</v>
      </c>
      <c r="F593" s="78" t="s">
        <v>2751</v>
      </c>
      <c r="G593" s="78" t="s">
        <v>1614</v>
      </c>
      <c r="H593" s="78">
        <v>411</v>
      </c>
      <c r="I593" s="78" t="s">
        <v>1615</v>
      </c>
      <c r="J593" s="78" t="s">
        <v>1615</v>
      </c>
      <c r="K593" s="78">
        <v>12</v>
      </c>
      <c r="L593" s="78">
        <v>57</v>
      </c>
      <c r="M593" s="78" t="s">
        <v>1615</v>
      </c>
      <c r="N593" s="78">
        <v>4</v>
      </c>
      <c r="O593" s="78">
        <v>15</v>
      </c>
      <c r="P593" s="78">
        <v>1.9</v>
      </c>
      <c r="Q593" s="78">
        <v>9.5</v>
      </c>
      <c r="R593" s="78">
        <v>4.5999999999999996</v>
      </c>
      <c r="S593" s="78">
        <v>0.2</v>
      </c>
      <c r="T593" s="78">
        <v>326</v>
      </c>
      <c r="U593" s="78">
        <v>35</v>
      </c>
      <c r="V593" s="78">
        <v>4.4000000000000004</v>
      </c>
      <c r="W593" s="78">
        <v>4</v>
      </c>
      <c r="X593" s="78" t="s">
        <v>1615</v>
      </c>
      <c r="Y593" s="78">
        <v>0.1</v>
      </c>
      <c r="Z593" s="78">
        <v>0.2</v>
      </c>
      <c r="AA593" s="78">
        <v>1.8</v>
      </c>
      <c r="AB593" s="78">
        <v>0.1</v>
      </c>
      <c r="AC593" s="78" t="s">
        <v>1615</v>
      </c>
      <c r="AD593" s="78">
        <v>1.5</v>
      </c>
      <c r="AE593" s="78">
        <v>400</v>
      </c>
      <c r="AF593" s="78">
        <v>230</v>
      </c>
      <c r="AG593" s="78" t="s">
        <v>1615</v>
      </c>
      <c r="AH593" s="78">
        <v>400</v>
      </c>
      <c r="AI593" s="78">
        <v>320</v>
      </c>
      <c r="AJ593" s="78">
        <v>72</v>
      </c>
      <c r="AK593" s="78">
        <v>5</v>
      </c>
      <c r="AL593" s="78">
        <v>4</v>
      </c>
      <c r="AM593" s="78" t="s">
        <v>1615</v>
      </c>
      <c r="AN593" s="78" t="s">
        <v>1615</v>
      </c>
      <c r="AO593" s="78" t="s">
        <v>1615</v>
      </c>
    </row>
    <row r="594" spans="1:41">
      <c r="A594" s="78" t="s">
        <v>2794</v>
      </c>
      <c r="B594" s="78" t="s">
        <v>1558</v>
      </c>
      <c r="C594" s="78" t="s">
        <v>366</v>
      </c>
      <c r="D594" s="78" t="s">
        <v>2782</v>
      </c>
      <c r="E594" s="78" t="s">
        <v>2795</v>
      </c>
      <c r="F594" s="78" t="s">
        <v>2751</v>
      </c>
      <c r="G594" s="78" t="s">
        <v>1614</v>
      </c>
      <c r="H594" s="78">
        <v>411</v>
      </c>
      <c r="I594" s="78" t="s">
        <v>1615</v>
      </c>
      <c r="J594" s="78" t="s">
        <v>1615</v>
      </c>
      <c r="K594" s="78">
        <v>12</v>
      </c>
      <c r="L594" s="78">
        <v>57</v>
      </c>
      <c r="M594" s="78" t="s">
        <v>1615</v>
      </c>
      <c r="N594" s="78">
        <v>4</v>
      </c>
      <c r="O594" s="78">
        <v>15</v>
      </c>
      <c r="P594" s="78">
        <v>1.9</v>
      </c>
      <c r="Q594" s="78">
        <v>9.5</v>
      </c>
      <c r="R594" s="78">
        <v>4.5999999999999996</v>
      </c>
      <c r="S594" s="78">
        <v>0.2</v>
      </c>
      <c r="T594" s="78">
        <v>326</v>
      </c>
      <c r="U594" s="78">
        <v>35</v>
      </c>
      <c r="V594" s="78">
        <v>4.4000000000000004</v>
      </c>
      <c r="W594" s="78">
        <v>4</v>
      </c>
      <c r="X594" s="78" t="s">
        <v>1615</v>
      </c>
      <c r="Y594" s="78">
        <v>0.1</v>
      </c>
      <c r="Z594" s="78">
        <v>0.2</v>
      </c>
      <c r="AA594" s="78">
        <v>1.3</v>
      </c>
      <c r="AB594" s="78">
        <v>0.1</v>
      </c>
      <c r="AC594" s="78" t="s">
        <v>1615</v>
      </c>
      <c r="AD594" s="78">
        <v>1.5</v>
      </c>
      <c r="AE594" s="78">
        <v>400</v>
      </c>
      <c r="AF594" s="78">
        <v>230</v>
      </c>
      <c r="AG594" s="78" t="s">
        <v>1615</v>
      </c>
      <c r="AH594" s="78">
        <v>400</v>
      </c>
      <c r="AI594" s="78">
        <v>320</v>
      </c>
      <c r="AJ594" s="78">
        <v>72</v>
      </c>
      <c r="AK594" s="78">
        <v>5</v>
      </c>
      <c r="AL594" s="78">
        <v>4</v>
      </c>
      <c r="AM594" s="78" t="s">
        <v>1615</v>
      </c>
      <c r="AN594" s="78" t="s">
        <v>1615</v>
      </c>
      <c r="AO594" s="78" t="s">
        <v>1615</v>
      </c>
    </row>
    <row r="595" spans="1:41">
      <c r="A595" s="78" t="s">
        <v>2796</v>
      </c>
      <c r="B595" s="78" t="s">
        <v>1558</v>
      </c>
      <c r="C595" s="78" t="s">
        <v>366</v>
      </c>
      <c r="D595" s="78" t="s">
        <v>2784</v>
      </c>
      <c r="E595" s="78" t="s">
        <v>2797</v>
      </c>
      <c r="F595" s="78" t="s">
        <v>2751</v>
      </c>
      <c r="G595" s="78" t="s">
        <v>1614</v>
      </c>
      <c r="H595" s="78">
        <v>415</v>
      </c>
      <c r="I595" s="78" t="s">
        <v>1615</v>
      </c>
      <c r="J595" s="78" t="s">
        <v>1615</v>
      </c>
      <c r="K595" s="78">
        <v>12.5</v>
      </c>
      <c r="L595" s="78">
        <v>57.5</v>
      </c>
      <c r="M595" s="78">
        <v>5</v>
      </c>
      <c r="N595" s="78">
        <v>4.2</v>
      </c>
      <c r="O595" s="78">
        <v>15</v>
      </c>
      <c r="P595" s="78">
        <v>4.2</v>
      </c>
      <c r="Q595" s="78">
        <v>7</v>
      </c>
      <c r="R595" s="78">
        <v>3.8</v>
      </c>
      <c r="S595" s="78">
        <v>0</v>
      </c>
      <c r="T595" s="78">
        <v>326</v>
      </c>
      <c r="U595" s="78">
        <v>35</v>
      </c>
      <c r="V595" s="78">
        <v>4.4000000000000004</v>
      </c>
      <c r="W595" s="78">
        <v>4</v>
      </c>
      <c r="X595" s="78" t="s">
        <v>1615</v>
      </c>
      <c r="Y595" s="78">
        <v>0.1</v>
      </c>
      <c r="Z595" s="78">
        <v>0.2</v>
      </c>
      <c r="AA595" s="78">
        <v>1.8</v>
      </c>
      <c r="AB595" s="78">
        <v>0.1</v>
      </c>
      <c r="AC595" s="78" t="s">
        <v>1615</v>
      </c>
      <c r="AD595" s="78">
        <v>1.5</v>
      </c>
      <c r="AE595" s="78">
        <v>400</v>
      </c>
      <c r="AF595" s="78" t="s">
        <v>1615</v>
      </c>
      <c r="AG595" s="78" t="s">
        <v>1615</v>
      </c>
      <c r="AH595" s="78">
        <v>400</v>
      </c>
      <c r="AI595" s="78">
        <v>320</v>
      </c>
      <c r="AJ595" s="78">
        <v>72</v>
      </c>
      <c r="AK595" s="78">
        <v>5</v>
      </c>
      <c r="AL595" s="78">
        <v>4</v>
      </c>
      <c r="AM595" s="78" t="s">
        <v>1615</v>
      </c>
      <c r="AN595" s="78" t="s">
        <v>1615</v>
      </c>
      <c r="AO595" s="78" t="s">
        <v>1615</v>
      </c>
    </row>
    <row r="596" spans="1:41">
      <c r="A596" s="78" t="s">
        <v>2798</v>
      </c>
      <c r="B596" s="78" t="s">
        <v>1558</v>
      </c>
      <c r="C596" s="78" t="s">
        <v>366</v>
      </c>
      <c r="D596" s="78" t="s">
        <v>2786</v>
      </c>
      <c r="E596" s="78" t="s">
        <v>2799</v>
      </c>
      <c r="F596" s="78" t="s">
        <v>2751</v>
      </c>
      <c r="G596" s="78" t="s">
        <v>1614</v>
      </c>
      <c r="H596" s="78">
        <v>466</v>
      </c>
      <c r="I596" s="78" t="s">
        <v>1615</v>
      </c>
      <c r="J596" s="78" t="s">
        <v>1615</v>
      </c>
      <c r="K596" s="78">
        <v>13.1</v>
      </c>
      <c r="L596" s="78">
        <v>49.8</v>
      </c>
      <c r="M596" s="78">
        <v>1.3</v>
      </c>
      <c r="N596" s="78">
        <v>3.7</v>
      </c>
      <c r="O596" s="78">
        <v>23</v>
      </c>
      <c r="P596" s="78">
        <v>7.5</v>
      </c>
      <c r="Q596" s="78">
        <v>9.4</v>
      </c>
      <c r="R596" s="78">
        <v>5</v>
      </c>
      <c r="S596" s="78" t="s">
        <v>1615</v>
      </c>
      <c r="T596" s="78">
        <v>392</v>
      </c>
      <c r="U596" s="78">
        <v>49</v>
      </c>
      <c r="V596" s="78">
        <v>8.6999999999999993</v>
      </c>
      <c r="W596" s="78">
        <v>4.5999999999999996</v>
      </c>
      <c r="X596" s="78">
        <v>37.200000000000003</v>
      </c>
      <c r="Y596" s="78">
        <v>0.5</v>
      </c>
      <c r="Z596" s="78">
        <v>0.5</v>
      </c>
      <c r="AA596" s="78">
        <v>2.2000000000000002</v>
      </c>
      <c r="AB596" s="78">
        <v>0.5</v>
      </c>
      <c r="AC596" s="78">
        <v>2.8</v>
      </c>
      <c r="AD596" s="78">
        <v>1.2</v>
      </c>
      <c r="AE596" s="78">
        <v>55</v>
      </c>
      <c r="AF596" s="78">
        <v>230</v>
      </c>
      <c r="AG596" s="78">
        <v>501</v>
      </c>
      <c r="AH596" s="78">
        <v>410</v>
      </c>
      <c r="AI596" s="78">
        <v>300</v>
      </c>
      <c r="AJ596" s="78">
        <v>58</v>
      </c>
      <c r="AK596" s="78">
        <v>8.1</v>
      </c>
      <c r="AL596" s="78">
        <v>5.7</v>
      </c>
      <c r="AM596" s="78">
        <v>0.4</v>
      </c>
      <c r="AN596" s="78">
        <v>15.5</v>
      </c>
      <c r="AO596" s="78" t="s">
        <v>1615</v>
      </c>
    </row>
    <row r="597" spans="1:41">
      <c r="A597" s="78" t="s">
        <v>2800</v>
      </c>
      <c r="B597" s="78" t="s">
        <v>1558</v>
      </c>
      <c r="C597" s="78" t="s">
        <v>366</v>
      </c>
      <c r="D597" s="78" t="s">
        <v>2788</v>
      </c>
      <c r="E597" s="78" t="s">
        <v>2801</v>
      </c>
      <c r="F597" s="78" t="s">
        <v>2751</v>
      </c>
      <c r="G597" s="78" t="s">
        <v>1614</v>
      </c>
      <c r="H597" s="78">
        <v>420</v>
      </c>
      <c r="I597" s="78" t="s">
        <v>1615</v>
      </c>
      <c r="J597" s="78" t="s">
        <v>1615</v>
      </c>
      <c r="K597" s="78">
        <v>12.5</v>
      </c>
      <c r="L597" s="78">
        <v>68</v>
      </c>
      <c r="M597" s="78">
        <v>6.7</v>
      </c>
      <c r="N597" s="78">
        <v>0</v>
      </c>
      <c r="O597" s="78">
        <v>11</v>
      </c>
      <c r="P597" s="78">
        <v>9.1999999999999993</v>
      </c>
      <c r="Q597" s="78">
        <v>0.6</v>
      </c>
      <c r="R597" s="78">
        <v>0.6</v>
      </c>
      <c r="S597" s="78" t="s">
        <v>1615</v>
      </c>
      <c r="T597" s="78">
        <v>325</v>
      </c>
      <c r="U597" s="78">
        <v>35</v>
      </c>
      <c r="V597" s="78">
        <v>6.6</v>
      </c>
      <c r="W597" s="78">
        <v>2.8</v>
      </c>
      <c r="X597" s="78">
        <v>21</v>
      </c>
      <c r="Y597" s="78">
        <v>0.4</v>
      </c>
      <c r="Z597" s="78">
        <v>0.5</v>
      </c>
      <c r="AA597" s="78">
        <v>3.9</v>
      </c>
      <c r="AB597" s="78">
        <v>0.4</v>
      </c>
      <c r="AC597" s="78">
        <v>1.5</v>
      </c>
      <c r="AD597" s="78">
        <v>0.9</v>
      </c>
      <c r="AE597" s="78">
        <v>0</v>
      </c>
      <c r="AF597" s="78">
        <v>191</v>
      </c>
      <c r="AG597" s="78">
        <v>360</v>
      </c>
      <c r="AH597" s="78">
        <v>257</v>
      </c>
      <c r="AI597" s="78">
        <v>200</v>
      </c>
      <c r="AJ597" s="78">
        <v>35</v>
      </c>
      <c r="AK597" s="78">
        <v>4.2</v>
      </c>
      <c r="AL597" s="78">
        <v>3.3</v>
      </c>
      <c r="AM597" s="78">
        <v>0.3</v>
      </c>
      <c r="AN597" s="78">
        <v>10.8</v>
      </c>
      <c r="AO597" s="78" t="s">
        <v>1615</v>
      </c>
    </row>
    <row r="598" spans="1:41">
      <c r="A598" s="78" t="s">
        <v>2802</v>
      </c>
      <c r="B598" s="78" t="s">
        <v>1558</v>
      </c>
      <c r="C598" s="78" t="s">
        <v>366</v>
      </c>
      <c r="D598" s="78" t="s">
        <v>2790</v>
      </c>
      <c r="E598" s="78" t="s">
        <v>2803</v>
      </c>
      <c r="F598" s="78" t="s">
        <v>2751</v>
      </c>
      <c r="G598" s="78" t="s">
        <v>1614</v>
      </c>
      <c r="H598" s="78">
        <v>457</v>
      </c>
      <c r="I598" s="78" t="s">
        <v>1615</v>
      </c>
      <c r="J598" s="78" t="s">
        <v>1615</v>
      </c>
      <c r="K598" s="78">
        <v>13.1</v>
      </c>
      <c r="L598" s="78">
        <v>49.5</v>
      </c>
      <c r="M598" s="78">
        <v>7.4</v>
      </c>
      <c r="N598" s="78">
        <v>5.3</v>
      </c>
      <c r="O598" s="78">
        <v>23</v>
      </c>
      <c r="P598" s="78">
        <v>7.5</v>
      </c>
      <c r="Q598" s="78">
        <v>9.4</v>
      </c>
      <c r="R598" s="78">
        <v>5</v>
      </c>
      <c r="S598" s="78" t="s">
        <v>1615</v>
      </c>
      <c r="T598" s="78" t="s">
        <v>1615</v>
      </c>
      <c r="U598" s="78">
        <v>392</v>
      </c>
      <c r="V598" s="78">
        <v>49</v>
      </c>
      <c r="W598" s="78">
        <v>8.6999999999999993</v>
      </c>
      <c r="X598" s="78">
        <v>4.5999999999999996</v>
      </c>
      <c r="Y598" s="78">
        <v>37.200000000000003</v>
      </c>
      <c r="Z598" s="78">
        <v>0.5</v>
      </c>
      <c r="AA598" s="78">
        <v>0.5</v>
      </c>
      <c r="AB598" s="78">
        <v>2.2000000000000002</v>
      </c>
      <c r="AC598" s="78">
        <v>0.5</v>
      </c>
      <c r="AD598" s="78">
        <v>2.8</v>
      </c>
      <c r="AE598" s="78">
        <v>1.2</v>
      </c>
      <c r="AF598" s="78">
        <v>55</v>
      </c>
      <c r="AG598" s="78">
        <v>191</v>
      </c>
      <c r="AH598" s="78">
        <v>501</v>
      </c>
      <c r="AI598" s="78">
        <v>410</v>
      </c>
      <c r="AJ598" s="78">
        <v>300</v>
      </c>
      <c r="AK598" s="78">
        <v>58</v>
      </c>
      <c r="AL598" s="78">
        <v>8.1</v>
      </c>
      <c r="AM598" s="78">
        <v>5.7</v>
      </c>
      <c r="AN598" s="78">
        <v>0.4</v>
      </c>
      <c r="AO598" s="78">
        <v>15.5</v>
      </c>
    </row>
    <row r="599" spans="1:41">
      <c r="A599" s="78" t="s">
        <v>2804</v>
      </c>
      <c r="B599" s="78" t="s">
        <v>1558</v>
      </c>
      <c r="C599" s="78" t="s">
        <v>366</v>
      </c>
      <c r="D599" s="78" t="s">
        <v>2792</v>
      </c>
      <c r="E599" s="78" t="s">
        <v>2805</v>
      </c>
      <c r="F599" s="78" t="s">
        <v>2751</v>
      </c>
      <c r="G599" s="78" t="s">
        <v>1614</v>
      </c>
      <c r="H599" s="78">
        <v>309</v>
      </c>
      <c r="I599" s="78" t="s">
        <v>1615</v>
      </c>
      <c r="J599" s="78" t="s">
        <v>1615</v>
      </c>
      <c r="K599" s="78">
        <v>25</v>
      </c>
      <c r="L599" s="78">
        <v>51</v>
      </c>
      <c r="M599" s="78">
        <v>4.5999999999999996</v>
      </c>
      <c r="N599" s="78">
        <v>0</v>
      </c>
      <c r="O599" s="78">
        <v>0.5</v>
      </c>
      <c r="P599" s="78" t="s">
        <v>1615</v>
      </c>
      <c r="Q599" s="78" t="s">
        <v>1615</v>
      </c>
      <c r="R599" s="78" t="s">
        <v>1615</v>
      </c>
      <c r="S599" s="78" t="s">
        <v>1615</v>
      </c>
      <c r="T599" s="78" t="s">
        <v>1615</v>
      </c>
      <c r="U599" s="78">
        <v>525</v>
      </c>
      <c r="V599" s="78">
        <v>135</v>
      </c>
      <c r="W599" s="78">
        <v>12</v>
      </c>
      <c r="X599" s="78">
        <v>4.4000000000000004</v>
      </c>
      <c r="Y599" s="78">
        <v>30</v>
      </c>
      <c r="Z599" s="78">
        <v>1.1000000000000001</v>
      </c>
      <c r="AA599" s="78">
        <v>1.2</v>
      </c>
      <c r="AB599" s="78">
        <v>12</v>
      </c>
      <c r="AC599" s="78">
        <v>1.4</v>
      </c>
      <c r="AD599" s="78">
        <v>3.7</v>
      </c>
      <c r="AE599" s="78">
        <v>3.9</v>
      </c>
      <c r="AF599" s="78">
        <v>240</v>
      </c>
      <c r="AG599" s="78">
        <v>580</v>
      </c>
      <c r="AH599" s="78">
        <v>840</v>
      </c>
      <c r="AI599" s="78">
        <v>810</v>
      </c>
      <c r="AJ599" s="78">
        <v>810</v>
      </c>
      <c r="AK599" s="78">
        <v>200</v>
      </c>
      <c r="AL599" s="78">
        <v>12</v>
      </c>
      <c r="AM599" s="78">
        <v>13</v>
      </c>
      <c r="AN599" s="78">
        <v>1.8</v>
      </c>
      <c r="AO599" s="78">
        <v>40</v>
      </c>
    </row>
    <row r="600" spans="1:41">
      <c r="A600" s="78" t="s">
        <v>2806</v>
      </c>
      <c r="B600" s="78" t="s">
        <v>1558</v>
      </c>
      <c r="C600" s="78" t="s">
        <v>366</v>
      </c>
      <c r="D600" s="78" t="s">
        <v>2794</v>
      </c>
      <c r="E600" s="78" t="s">
        <v>2807</v>
      </c>
      <c r="F600" s="78" t="s">
        <v>2751</v>
      </c>
      <c r="G600" s="78" t="s">
        <v>1614</v>
      </c>
      <c r="H600" s="78">
        <v>297</v>
      </c>
      <c r="I600" s="78" t="s">
        <v>1615</v>
      </c>
      <c r="J600" s="78" t="s">
        <v>1615</v>
      </c>
      <c r="K600" s="78">
        <v>39</v>
      </c>
      <c r="L600" s="78">
        <v>34</v>
      </c>
      <c r="M600" s="78">
        <v>3.1</v>
      </c>
      <c r="N600" s="78">
        <v>0</v>
      </c>
      <c r="O600" s="78">
        <v>0.5</v>
      </c>
      <c r="P600" s="78">
        <v>0</v>
      </c>
      <c r="Q600" s="78" t="s">
        <v>1615</v>
      </c>
      <c r="R600" s="78" t="s">
        <v>1615</v>
      </c>
      <c r="S600" s="78" t="s">
        <v>1615</v>
      </c>
      <c r="T600" s="78" t="s">
        <v>1615</v>
      </c>
      <c r="U600" s="78">
        <v>710</v>
      </c>
      <c r="V600" s="78">
        <v>90</v>
      </c>
      <c r="W600" s="78">
        <v>7.8</v>
      </c>
      <c r="X600" s="78">
        <v>5.2</v>
      </c>
      <c r="Y600" s="78">
        <v>70</v>
      </c>
      <c r="Z600" s="78">
        <v>1.4</v>
      </c>
      <c r="AA600" s="78">
        <v>1.4</v>
      </c>
      <c r="AB600" s="78">
        <v>13.6</v>
      </c>
      <c r="AC600" s="78">
        <v>2.1</v>
      </c>
      <c r="AD600" s="78">
        <v>5</v>
      </c>
      <c r="AE600" s="78">
        <v>3.6</v>
      </c>
      <c r="AF600" s="78">
        <v>500</v>
      </c>
      <c r="AG600" s="78">
        <v>560</v>
      </c>
      <c r="AH600" s="78">
        <v>700</v>
      </c>
      <c r="AI600" s="78">
        <v>670</v>
      </c>
      <c r="AJ600" s="78">
        <v>670</v>
      </c>
      <c r="AK600" s="78">
        <v>285</v>
      </c>
      <c r="AL600" s="78">
        <v>23.5</v>
      </c>
      <c r="AM600" s="78">
        <v>13.6</v>
      </c>
      <c r="AN600" s="78">
        <v>1.4</v>
      </c>
      <c r="AO600" s="78">
        <v>50</v>
      </c>
    </row>
    <row r="601" spans="1:41">
      <c r="A601" s="78" t="s">
        <v>2808</v>
      </c>
      <c r="B601" s="78" t="s">
        <v>1558</v>
      </c>
      <c r="C601" s="78" t="s">
        <v>366</v>
      </c>
      <c r="D601" s="78" t="s">
        <v>2796</v>
      </c>
      <c r="E601" s="78" t="s">
        <v>2809</v>
      </c>
      <c r="F601" s="78" t="s">
        <v>2751</v>
      </c>
      <c r="G601" s="78" t="s">
        <v>1614</v>
      </c>
      <c r="H601" s="78">
        <v>289</v>
      </c>
      <c r="I601" s="78" t="s">
        <v>1615</v>
      </c>
      <c r="J601" s="78" t="s">
        <v>1615</v>
      </c>
      <c r="K601" s="78">
        <v>80</v>
      </c>
      <c r="L601" s="78">
        <v>22</v>
      </c>
      <c r="M601" s="78" t="s">
        <v>1615</v>
      </c>
      <c r="N601" s="78">
        <v>0</v>
      </c>
      <c r="O601" s="78">
        <v>0</v>
      </c>
      <c r="P601" s="78">
        <v>0</v>
      </c>
      <c r="Q601" s="78">
        <v>0</v>
      </c>
      <c r="R601" s="78">
        <v>0</v>
      </c>
      <c r="S601" s="78" t="s">
        <v>1615</v>
      </c>
      <c r="T601" s="78" t="s">
        <v>1615</v>
      </c>
      <c r="U601" s="78">
        <v>3790</v>
      </c>
      <c r="V601" s="78">
        <v>379</v>
      </c>
      <c r="W601" s="78">
        <v>47</v>
      </c>
      <c r="X601" s="78">
        <v>43</v>
      </c>
      <c r="Y601" s="78">
        <v>105</v>
      </c>
      <c r="Z601" s="78">
        <v>2</v>
      </c>
      <c r="AA601" s="78">
        <v>4.3</v>
      </c>
      <c r="AB601" s="78">
        <v>25</v>
      </c>
      <c r="AC601" s="78">
        <v>2.4</v>
      </c>
      <c r="AD601" s="78">
        <v>17</v>
      </c>
      <c r="AE601" s="78">
        <v>51.5</v>
      </c>
      <c r="AF601" s="78">
        <v>2990</v>
      </c>
      <c r="AG601" s="78">
        <v>597</v>
      </c>
      <c r="AH601" s="78">
        <v>2674</v>
      </c>
      <c r="AI601" s="78">
        <v>2346</v>
      </c>
      <c r="AJ601" s="78">
        <v>1260</v>
      </c>
      <c r="AK601" s="78">
        <v>299</v>
      </c>
      <c r="AL601" s="78">
        <v>29</v>
      </c>
      <c r="AM601" s="78">
        <v>25</v>
      </c>
      <c r="AN601" s="78">
        <v>1.6</v>
      </c>
      <c r="AO601" s="78">
        <v>71</v>
      </c>
    </row>
    <row r="602" spans="1:41">
      <c r="A602" s="78" t="s">
        <v>2810</v>
      </c>
      <c r="B602" s="78" t="s">
        <v>1558</v>
      </c>
      <c r="C602" s="78" t="s">
        <v>366</v>
      </c>
      <c r="D602" s="78" t="s">
        <v>2798</v>
      </c>
      <c r="E602" s="78" t="s">
        <v>2811</v>
      </c>
      <c r="F602" s="78" t="s">
        <v>2751</v>
      </c>
      <c r="G602" s="78" t="s">
        <v>1614</v>
      </c>
      <c r="H602" s="78">
        <v>291</v>
      </c>
      <c r="I602" s="78" t="s">
        <v>1615</v>
      </c>
      <c r="J602" s="78" t="s">
        <v>1615</v>
      </c>
      <c r="K602" s="78">
        <v>62.1</v>
      </c>
      <c r="L602" s="78">
        <v>10.7</v>
      </c>
      <c r="M602" s="78" t="s">
        <v>1615</v>
      </c>
      <c r="N602" s="78">
        <v>0</v>
      </c>
      <c r="O602" s="78">
        <v>0</v>
      </c>
      <c r="P602" s="78">
        <v>0</v>
      </c>
      <c r="Q602" s="78">
        <v>0</v>
      </c>
      <c r="R602" s="78">
        <v>0</v>
      </c>
      <c r="S602" s="78" t="s">
        <v>1615</v>
      </c>
      <c r="T602" s="78" t="s">
        <v>1615</v>
      </c>
      <c r="U602" s="78">
        <v>1200</v>
      </c>
      <c r="V602" s="78">
        <v>68</v>
      </c>
      <c r="W602" s="78">
        <v>13.6</v>
      </c>
      <c r="X602" s="78">
        <v>21.7</v>
      </c>
      <c r="Y602" s="78">
        <v>168</v>
      </c>
      <c r="Z602" s="78">
        <v>2.1</v>
      </c>
      <c r="AA602" s="78">
        <v>2.8</v>
      </c>
      <c r="AB602" s="78">
        <v>28</v>
      </c>
      <c r="AC602" s="78">
        <v>1.9</v>
      </c>
      <c r="AD602" s="78">
        <v>17</v>
      </c>
      <c r="AE602" s="78">
        <v>3.7</v>
      </c>
      <c r="AF602" s="78">
        <v>314</v>
      </c>
      <c r="AG602" s="78">
        <v>556</v>
      </c>
      <c r="AH602" s="78">
        <v>1255</v>
      </c>
      <c r="AI602" s="78">
        <v>2063</v>
      </c>
      <c r="AJ602" s="78">
        <v>1217</v>
      </c>
      <c r="AK602" s="78">
        <v>302</v>
      </c>
      <c r="AL602" s="78">
        <v>28</v>
      </c>
      <c r="AM602" s="78">
        <v>19</v>
      </c>
      <c r="AN602" s="78">
        <v>2.2000000000000002</v>
      </c>
      <c r="AO602" s="78">
        <v>75</v>
      </c>
    </row>
    <row r="603" spans="1:41">
      <c r="A603" s="78" t="s">
        <v>2812</v>
      </c>
      <c r="B603" s="78" t="s">
        <v>1558</v>
      </c>
      <c r="C603" s="78" t="s">
        <v>366</v>
      </c>
      <c r="D603" s="78" t="s">
        <v>2800</v>
      </c>
      <c r="E603" s="78" t="s">
        <v>2813</v>
      </c>
      <c r="F603" s="78" t="s">
        <v>2751</v>
      </c>
      <c r="G603" s="78" t="s">
        <v>1614</v>
      </c>
      <c r="H603" s="78">
        <v>290</v>
      </c>
      <c r="I603" s="78" t="s">
        <v>1615</v>
      </c>
      <c r="J603" s="78" t="s">
        <v>1615</v>
      </c>
      <c r="K603" s="78">
        <v>63.2</v>
      </c>
      <c r="L603" s="78">
        <v>9.1999999999999993</v>
      </c>
      <c r="M603" s="78" t="s">
        <v>1615</v>
      </c>
      <c r="N603" s="78">
        <v>0</v>
      </c>
      <c r="O603" s="78">
        <v>0</v>
      </c>
      <c r="P603" s="78">
        <v>0</v>
      </c>
      <c r="Q603" s="78">
        <v>0</v>
      </c>
      <c r="R603" s="78">
        <v>0</v>
      </c>
      <c r="S603" s="78" t="s">
        <v>1615</v>
      </c>
      <c r="T603" s="78" t="s">
        <v>1615</v>
      </c>
      <c r="U603" s="78">
        <v>1270</v>
      </c>
      <c r="V603" s="78">
        <v>171</v>
      </c>
      <c r="W603" s="78">
        <v>19</v>
      </c>
      <c r="X603" s="78">
        <v>22.1</v>
      </c>
      <c r="Y603" s="78">
        <v>70</v>
      </c>
      <c r="Z603" s="78">
        <v>2.1</v>
      </c>
      <c r="AA603" s="78">
        <v>2.8</v>
      </c>
      <c r="AB603" s="78">
        <v>29</v>
      </c>
      <c r="AC603" s="78">
        <v>1.9</v>
      </c>
      <c r="AD603" s="78">
        <v>16.8</v>
      </c>
      <c r="AE603" s="78">
        <v>3.8</v>
      </c>
      <c r="AF603" s="78">
        <v>316</v>
      </c>
      <c r="AG603" s="78">
        <v>566</v>
      </c>
      <c r="AH603" s="78">
        <v>1277</v>
      </c>
      <c r="AI603" s="78">
        <v>2099</v>
      </c>
      <c r="AJ603" s="78">
        <v>1240</v>
      </c>
      <c r="AK603" s="78">
        <v>307</v>
      </c>
      <c r="AL603" s="78">
        <v>28.5</v>
      </c>
      <c r="AM603" s="78">
        <v>19</v>
      </c>
      <c r="AN603" s="78">
        <v>2.2000000000000002</v>
      </c>
      <c r="AO603" s="78">
        <v>76</v>
      </c>
    </row>
    <row r="604" spans="1:41">
      <c r="A604" s="78" t="s">
        <v>2814</v>
      </c>
      <c r="B604" s="78" t="s">
        <v>1558</v>
      </c>
      <c r="C604" s="78" t="s">
        <v>366</v>
      </c>
      <c r="D604" s="78" t="s">
        <v>2802</v>
      </c>
      <c r="E604" s="78" t="s">
        <v>2815</v>
      </c>
      <c r="F604" s="78" t="s">
        <v>2751</v>
      </c>
      <c r="G604" s="78" t="s">
        <v>1614</v>
      </c>
      <c r="H604" s="78">
        <v>310</v>
      </c>
      <c r="I604" s="78" t="s">
        <v>1615</v>
      </c>
      <c r="J604" s="78" t="s">
        <v>1615</v>
      </c>
      <c r="K604" s="78">
        <v>77.5</v>
      </c>
      <c r="L604" s="78">
        <v>0</v>
      </c>
      <c r="M604" s="78">
        <v>0</v>
      </c>
      <c r="N604" s="78">
        <v>0</v>
      </c>
      <c r="O604" s="78">
        <v>0</v>
      </c>
      <c r="P604" s="78" t="s">
        <v>1615</v>
      </c>
      <c r="Q604" s="78" t="s">
        <v>1615</v>
      </c>
      <c r="R604" s="78" t="s">
        <v>1615</v>
      </c>
      <c r="S604" s="78" t="s">
        <v>1615</v>
      </c>
      <c r="T604" s="78" t="s">
        <v>1615</v>
      </c>
      <c r="U604" s="78">
        <v>1400</v>
      </c>
      <c r="V604" s="78" t="s">
        <v>1615</v>
      </c>
      <c r="W604" s="78">
        <v>9</v>
      </c>
      <c r="X604" s="78">
        <v>18</v>
      </c>
      <c r="Y604" s="78">
        <v>60</v>
      </c>
      <c r="Z604" s="78">
        <v>2.7</v>
      </c>
      <c r="AA604" s="78">
        <v>2.5</v>
      </c>
      <c r="AB604" s="78">
        <v>24</v>
      </c>
      <c r="AC604" s="78">
        <v>2.5</v>
      </c>
      <c r="AD604" s="78">
        <v>13</v>
      </c>
      <c r="AE604" s="78">
        <v>5</v>
      </c>
      <c r="AF604" s="78">
        <v>300</v>
      </c>
      <c r="AG604" s="78">
        <v>0</v>
      </c>
      <c r="AH604" s="78">
        <v>1347</v>
      </c>
      <c r="AI604" s="78">
        <v>1308</v>
      </c>
      <c r="AJ604" s="78">
        <v>934</v>
      </c>
      <c r="AK604" s="78">
        <v>187</v>
      </c>
      <c r="AL604" s="78">
        <v>25</v>
      </c>
      <c r="AM604" s="78">
        <v>21</v>
      </c>
      <c r="AN604" s="78">
        <v>3</v>
      </c>
      <c r="AO604" s="78" t="s">
        <v>1615</v>
      </c>
    </row>
    <row r="605" spans="1:41">
      <c r="A605" s="78" t="s">
        <v>2816</v>
      </c>
      <c r="B605" s="78" t="s">
        <v>1558</v>
      </c>
      <c r="C605" s="78" t="s">
        <v>366</v>
      </c>
      <c r="D605" s="78" t="s">
        <v>2804</v>
      </c>
      <c r="E605" s="78" t="s">
        <v>2817</v>
      </c>
      <c r="F605" s="78" t="s">
        <v>2751</v>
      </c>
      <c r="G605" s="78" t="s">
        <v>1614</v>
      </c>
      <c r="H605" s="78">
        <v>480</v>
      </c>
      <c r="I605" s="78" t="s">
        <v>1615</v>
      </c>
      <c r="J605" s="78" t="s">
        <v>1615</v>
      </c>
      <c r="K605" s="78">
        <v>16.600000000000001</v>
      </c>
      <c r="L605" s="78">
        <v>53</v>
      </c>
      <c r="M605" s="78">
        <v>4.9000000000000004</v>
      </c>
      <c r="N605" s="78" t="s">
        <v>1615</v>
      </c>
      <c r="O605" s="78">
        <v>23.6</v>
      </c>
      <c r="P605" s="78">
        <v>8.5</v>
      </c>
      <c r="Q605" s="78">
        <v>0</v>
      </c>
      <c r="R605" s="78">
        <v>0</v>
      </c>
      <c r="S605" s="78">
        <v>0</v>
      </c>
      <c r="T605" s="78">
        <v>0</v>
      </c>
      <c r="U605" s="78">
        <v>936</v>
      </c>
      <c r="V605" s="78">
        <v>192</v>
      </c>
      <c r="W605" s="78">
        <v>10.8</v>
      </c>
      <c r="X605" s="78">
        <v>13.7</v>
      </c>
      <c r="Y605" s="78">
        <v>97</v>
      </c>
      <c r="Z605" s="78">
        <v>2.7</v>
      </c>
      <c r="AA605" s="78">
        <v>1.3</v>
      </c>
      <c r="AB605" s="78">
        <v>18.8</v>
      </c>
      <c r="AC605" s="78">
        <v>1</v>
      </c>
      <c r="AD605" s="78">
        <v>9.8000000000000007</v>
      </c>
      <c r="AE605" s="78">
        <v>10.9</v>
      </c>
      <c r="AF605" s="78">
        <v>374</v>
      </c>
      <c r="AG605" s="78">
        <v>223</v>
      </c>
      <c r="AH605" s="78">
        <v>755</v>
      </c>
      <c r="AI605" s="78">
        <v>683</v>
      </c>
      <c r="AJ605" s="78">
        <v>451</v>
      </c>
      <c r="AK605" s="78">
        <v>73</v>
      </c>
      <c r="AL605" s="78">
        <v>10</v>
      </c>
      <c r="AM605" s="78">
        <v>10</v>
      </c>
      <c r="AN605" s="78">
        <v>1.3</v>
      </c>
      <c r="AO605" s="78">
        <v>29</v>
      </c>
    </row>
    <row r="606" spans="1:41">
      <c r="A606" s="78" t="s">
        <v>2818</v>
      </c>
      <c r="B606" s="78" t="s">
        <v>1558</v>
      </c>
      <c r="C606" s="78" t="s">
        <v>366</v>
      </c>
      <c r="D606" s="78" t="s">
        <v>2806</v>
      </c>
      <c r="E606" s="78" t="s">
        <v>2819</v>
      </c>
      <c r="F606" s="78" t="s">
        <v>2751</v>
      </c>
      <c r="G606" s="78" t="s">
        <v>1614</v>
      </c>
      <c r="H606" s="78">
        <v>410</v>
      </c>
      <c r="I606" s="78" t="s">
        <v>1615</v>
      </c>
      <c r="J606" s="78" t="s">
        <v>1615</v>
      </c>
      <c r="K606" s="78">
        <v>30</v>
      </c>
      <c r="L606" s="78">
        <v>35</v>
      </c>
      <c r="M606" s="78">
        <v>3.1</v>
      </c>
      <c r="N606" s="78" t="s">
        <v>1615</v>
      </c>
      <c r="O606" s="78">
        <v>14</v>
      </c>
      <c r="P606" s="78">
        <v>5.5</v>
      </c>
      <c r="Q606" s="78">
        <v>4.8</v>
      </c>
      <c r="R606" s="78">
        <v>3</v>
      </c>
      <c r="S606" s="78">
        <v>0</v>
      </c>
      <c r="T606" s="78">
        <v>0</v>
      </c>
      <c r="U606" s="78">
        <v>936</v>
      </c>
      <c r="V606" s="78">
        <v>212</v>
      </c>
      <c r="W606" s="78">
        <v>11.9</v>
      </c>
      <c r="X606" s="78">
        <v>10.3</v>
      </c>
      <c r="Y606" s="78">
        <v>100</v>
      </c>
      <c r="Z606" s="78">
        <v>3.9</v>
      </c>
      <c r="AA606" s="78">
        <v>2.6</v>
      </c>
      <c r="AB606" s="78">
        <v>35</v>
      </c>
      <c r="AC606" s="78">
        <v>1.7</v>
      </c>
      <c r="AD606" s="78">
        <v>15.8</v>
      </c>
      <c r="AE606" s="78">
        <v>12.3</v>
      </c>
      <c r="AF606" s="78">
        <v>554</v>
      </c>
      <c r="AG606" s="78">
        <v>1055</v>
      </c>
      <c r="AH606" s="78">
        <v>1716</v>
      </c>
      <c r="AI606" s="78">
        <v>1103</v>
      </c>
      <c r="AJ606" s="78">
        <v>901</v>
      </c>
      <c r="AK606" s="78">
        <v>302</v>
      </c>
      <c r="AL606" s="78">
        <v>19</v>
      </c>
      <c r="AM606" s="78">
        <v>19</v>
      </c>
      <c r="AN606" s="78">
        <v>2.6</v>
      </c>
      <c r="AO606" s="78">
        <v>47</v>
      </c>
    </row>
    <row r="607" spans="1:41">
      <c r="A607" s="78" t="s">
        <v>2820</v>
      </c>
      <c r="B607" s="78" t="s">
        <v>1558</v>
      </c>
      <c r="C607" s="78" t="s">
        <v>366</v>
      </c>
      <c r="D607" s="78" t="s">
        <v>2808</v>
      </c>
      <c r="E607" s="78" t="s">
        <v>2821</v>
      </c>
      <c r="F607" s="78" t="s">
        <v>2751</v>
      </c>
      <c r="G607" s="78" t="s">
        <v>1614</v>
      </c>
      <c r="H607" s="78">
        <v>280</v>
      </c>
      <c r="I607" s="78" t="s">
        <v>1615</v>
      </c>
      <c r="J607" s="78" t="s">
        <v>1615</v>
      </c>
      <c r="K607" s="78">
        <v>60</v>
      </c>
      <c r="L607" s="78">
        <v>10</v>
      </c>
      <c r="M607" s="78">
        <v>0.4</v>
      </c>
      <c r="N607" s="78">
        <v>0</v>
      </c>
      <c r="O607" s="78">
        <v>0</v>
      </c>
      <c r="P607" s="78">
        <v>0</v>
      </c>
      <c r="Q607" s="78" t="s">
        <v>1615</v>
      </c>
      <c r="R607" s="78" t="s">
        <v>1615</v>
      </c>
      <c r="S607" s="78" t="s">
        <v>1615</v>
      </c>
      <c r="T607" s="78" t="s">
        <v>1615</v>
      </c>
      <c r="U607" s="78">
        <v>1200</v>
      </c>
      <c r="V607" s="78">
        <v>180</v>
      </c>
      <c r="W607" s="78">
        <v>18</v>
      </c>
      <c r="X607" s="78">
        <v>21</v>
      </c>
      <c r="Y607" s="78">
        <v>57</v>
      </c>
      <c r="Z607" s="78">
        <v>1.8</v>
      </c>
      <c r="AA607" s="78">
        <v>2.4</v>
      </c>
      <c r="AB607" s="78">
        <v>12.8</v>
      </c>
      <c r="AC607" s="78">
        <v>2.1</v>
      </c>
      <c r="AD607" s="78">
        <v>11.4</v>
      </c>
      <c r="AE607" s="78">
        <v>3.6</v>
      </c>
      <c r="AF607" s="78">
        <v>288</v>
      </c>
      <c r="AG607" s="78">
        <v>540</v>
      </c>
      <c r="AH607" s="78">
        <v>1200</v>
      </c>
      <c r="AI607" s="78">
        <v>2300</v>
      </c>
      <c r="AJ607" s="78">
        <v>1380</v>
      </c>
      <c r="AK607" s="78">
        <v>300</v>
      </c>
      <c r="AL607" s="78">
        <v>30</v>
      </c>
      <c r="AM607" s="78">
        <v>30</v>
      </c>
      <c r="AN607" s="78">
        <v>2.1</v>
      </c>
      <c r="AO607" s="78">
        <v>50</v>
      </c>
    </row>
    <row r="608" spans="1:41">
      <c r="A608" s="78" t="s">
        <v>2822</v>
      </c>
      <c r="B608" s="78" t="s">
        <v>1558</v>
      </c>
      <c r="C608" s="78" t="s">
        <v>366</v>
      </c>
      <c r="D608" s="78" t="s">
        <v>2810</v>
      </c>
      <c r="E608" s="78" t="s">
        <v>2823</v>
      </c>
      <c r="F608" s="78" t="s">
        <v>2751</v>
      </c>
      <c r="G608" s="78" t="s">
        <v>1614</v>
      </c>
      <c r="H608" s="78">
        <v>402</v>
      </c>
      <c r="I608" s="78" t="s">
        <v>1615</v>
      </c>
      <c r="J608" s="78" t="s">
        <v>1615</v>
      </c>
      <c r="K608" s="78">
        <v>27</v>
      </c>
      <c r="L608" s="78">
        <v>42</v>
      </c>
      <c r="M608" s="78">
        <v>4.7</v>
      </c>
      <c r="N608" s="78">
        <v>0</v>
      </c>
      <c r="O608" s="78">
        <v>14</v>
      </c>
      <c r="P608" s="78">
        <v>1.6</v>
      </c>
      <c r="Q608" s="78" t="s">
        <v>1615</v>
      </c>
      <c r="R608" s="78" t="s">
        <v>1615</v>
      </c>
      <c r="S608" s="78" t="s">
        <v>1615</v>
      </c>
      <c r="T608" s="78" t="s">
        <v>1615</v>
      </c>
      <c r="U608" s="78">
        <v>500</v>
      </c>
      <c r="V608" s="78">
        <v>62.5</v>
      </c>
      <c r="W608" s="78">
        <v>12</v>
      </c>
      <c r="X608" s="78">
        <v>9.6</v>
      </c>
      <c r="Y608" s="78">
        <v>48</v>
      </c>
      <c r="Z608" s="78">
        <v>0.8</v>
      </c>
      <c r="AA608" s="78">
        <v>0.8</v>
      </c>
      <c r="AB608" s="78">
        <v>10.8</v>
      </c>
      <c r="AC608" s="78" t="s">
        <v>1615</v>
      </c>
      <c r="AD608" s="78">
        <v>3.2</v>
      </c>
      <c r="AE608" s="78">
        <v>2</v>
      </c>
      <c r="AF608" s="78">
        <v>240</v>
      </c>
      <c r="AG608" s="78">
        <v>636</v>
      </c>
      <c r="AH608" s="78">
        <v>914</v>
      </c>
      <c r="AI608" s="78">
        <v>883</v>
      </c>
      <c r="AJ608" s="78">
        <v>883</v>
      </c>
      <c r="AK608" s="78">
        <v>140</v>
      </c>
      <c r="AL608" s="78">
        <v>15.3</v>
      </c>
      <c r="AM608" s="78">
        <v>12</v>
      </c>
      <c r="AN608" s="78">
        <v>1.2</v>
      </c>
      <c r="AO608" s="78">
        <v>45.6</v>
      </c>
    </row>
    <row r="609" spans="1:41">
      <c r="A609" s="78" t="s">
        <v>2824</v>
      </c>
      <c r="B609" s="78" t="s">
        <v>1558</v>
      </c>
      <c r="C609" s="78" t="s">
        <v>366</v>
      </c>
      <c r="D609" s="78" t="s">
        <v>2812</v>
      </c>
      <c r="E609" s="78" t="s">
        <v>2825</v>
      </c>
      <c r="F609" s="78" t="s">
        <v>2751</v>
      </c>
      <c r="G609" s="78" t="s">
        <v>1614</v>
      </c>
      <c r="H609" s="78">
        <v>457</v>
      </c>
      <c r="I609" s="78" t="s">
        <v>1615</v>
      </c>
      <c r="J609" s="78" t="s">
        <v>1615</v>
      </c>
      <c r="K609" s="78">
        <v>13.1</v>
      </c>
      <c r="L609" s="78">
        <v>49.5</v>
      </c>
      <c r="M609" s="78">
        <v>7.4</v>
      </c>
      <c r="N609" s="78">
        <v>5.3</v>
      </c>
      <c r="O609" s="78">
        <v>23</v>
      </c>
      <c r="P609" s="78">
        <v>7.5</v>
      </c>
      <c r="Q609" s="78">
        <v>9.4</v>
      </c>
      <c r="R609" s="78">
        <v>5</v>
      </c>
      <c r="S609" s="78" t="s">
        <v>1615</v>
      </c>
      <c r="T609" s="78" t="s">
        <v>1615</v>
      </c>
      <c r="U609" s="78">
        <v>392</v>
      </c>
      <c r="V609" s="78">
        <v>49</v>
      </c>
      <c r="W609" s="78">
        <v>8.6999999999999993</v>
      </c>
      <c r="X609" s="78">
        <v>4.5999999999999996</v>
      </c>
      <c r="Y609" s="78">
        <v>37.200000000000003</v>
      </c>
      <c r="Z609" s="78">
        <v>0.5</v>
      </c>
      <c r="AA609" s="78">
        <v>0.5</v>
      </c>
      <c r="AB609" s="78">
        <v>2.2000000000000002</v>
      </c>
      <c r="AC609" s="78">
        <v>0.5</v>
      </c>
      <c r="AD609" s="78">
        <v>2.8</v>
      </c>
      <c r="AE609" s="78">
        <v>1.2</v>
      </c>
      <c r="AF609" s="78">
        <v>55</v>
      </c>
      <c r="AG609" s="78">
        <v>191</v>
      </c>
      <c r="AH609" s="78">
        <v>501</v>
      </c>
      <c r="AI609" s="78">
        <v>410</v>
      </c>
      <c r="AJ609" s="78">
        <v>300</v>
      </c>
      <c r="AK609" s="78">
        <v>58</v>
      </c>
      <c r="AL609" s="78">
        <v>8.1</v>
      </c>
      <c r="AM609" s="78">
        <v>5.7</v>
      </c>
      <c r="AN609" s="78">
        <v>0.4</v>
      </c>
      <c r="AO609" s="78">
        <v>15.5</v>
      </c>
    </row>
    <row r="610" spans="1:41">
      <c r="A610" s="78" t="s">
        <v>2826</v>
      </c>
      <c r="B610" s="78" t="s">
        <v>1558</v>
      </c>
      <c r="C610" s="78" t="s">
        <v>366</v>
      </c>
      <c r="D610" s="78" t="s">
        <v>2814</v>
      </c>
      <c r="E610" s="78" t="s">
        <v>2827</v>
      </c>
      <c r="F610" s="78" t="s">
        <v>2751</v>
      </c>
      <c r="G610" s="78" t="s">
        <v>1614</v>
      </c>
      <c r="H610" s="78">
        <v>424</v>
      </c>
      <c r="I610" s="78" t="s">
        <v>1615</v>
      </c>
      <c r="J610" s="78" t="s">
        <v>1615</v>
      </c>
      <c r="K610" s="78">
        <v>31.1</v>
      </c>
      <c r="L610" s="78">
        <v>40.6</v>
      </c>
      <c r="M610" s="78" t="s">
        <v>1615</v>
      </c>
      <c r="N610" s="78" t="s">
        <v>1615</v>
      </c>
      <c r="O610" s="78">
        <v>15</v>
      </c>
      <c r="P610" s="78">
        <v>6.3</v>
      </c>
      <c r="Q610" s="78">
        <v>6.7</v>
      </c>
      <c r="R610" s="78">
        <v>2</v>
      </c>
      <c r="S610" s="78" t="s">
        <v>1615</v>
      </c>
      <c r="T610" s="78" t="s">
        <v>1615</v>
      </c>
      <c r="U610" s="78">
        <v>623</v>
      </c>
      <c r="V610" s="78">
        <v>84</v>
      </c>
      <c r="W610" s="78">
        <v>9.3000000000000007</v>
      </c>
      <c r="X610" s="78">
        <v>11</v>
      </c>
      <c r="Y610" s="78">
        <v>34</v>
      </c>
      <c r="Z610" s="78">
        <v>1</v>
      </c>
      <c r="AA610" s="78">
        <v>1.4</v>
      </c>
      <c r="AB610" s="78">
        <v>14</v>
      </c>
      <c r="AC610" s="78">
        <v>0.9</v>
      </c>
      <c r="AD610" s="78">
        <v>8.3000000000000007</v>
      </c>
      <c r="AE610" s="78">
        <v>1.9</v>
      </c>
      <c r="AF610" s="78">
        <v>155</v>
      </c>
      <c r="AG610" s="78">
        <v>278</v>
      </c>
      <c r="AH610" s="78">
        <v>628</v>
      </c>
      <c r="AI610" s="78">
        <v>1033</v>
      </c>
      <c r="AJ610" s="78">
        <v>610</v>
      </c>
      <c r="AK610" s="78">
        <v>151</v>
      </c>
      <c r="AL610" s="78">
        <v>14</v>
      </c>
      <c r="AM610" s="78">
        <v>9.3000000000000007</v>
      </c>
      <c r="AN610" s="78">
        <v>1.1000000000000001</v>
      </c>
      <c r="AO610" s="78">
        <v>37</v>
      </c>
    </row>
    <row r="611" spans="1:41">
      <c r="A611" s="78" t="s">
        <v>2828</v>
      </c>
      <c r="B611" s="78" t="s">
        <v>1558</v>
      </c>
      <c r="C611" s="78" t="s">
        <v>366</v>
      </c>
      <c r="D611" s="78" t="s">
        <v>2816</v>
      </c>
      <c r="E611" s="78" t="s">
        <v>2829</v>
      </c>
      <c r="F611" s="78" t="s">
        <v>2751</v>
      </c>
      <c r="G611" s="78" t="s">
        <v>1614</v>
      </c>
      <c r="H611" s="78">
        <v>302</v>
      </c>
      <c r="I611" s="78" t="s">
        <v>1615</v>
      </c>
      <c r="J611" s="78" t="s">
        <v>1615</v>
      </c>
      <c r="K611" s="78">
        <v>75</v>
      </c>
      <c r="L611" s="78">
        <v>0.4</v>
      </c>
      <c r="M611" s="78" t="s">
        <v>1615</v>
      </c>
      <c r="N611" s="78">
        <v>0</v>
      </c>
      <c r="O611" s="78">
        <v>0</v>
      </c>
      <c r="P611" s="78">
        <v>0</v>
      </c>
      <c r="Q611" s="78">
        <v>0</v>
      </c>
      <c r="R611" s="78">
        <v>0</v>
      </c>
      <c r="S611" s="78">
        <v>0</v>
      </c>
      <c r="T611" s="78">
        <v>0</v>
      </c>
      <c r="U611" s="78">
        <v>1500</v>
      </c>
      <c r="V611" s="78">
        <v>150</v>
      </c>
      <c r="W611" s="78">
        <v>2.9</v>
      </c>
      <c r="X611" s="78">
        <v>23</v>
      </c>
      <c r="Y611" s="78">
        <v>113</v>
      </c>
      <c r="Z611" s="78">
        <v>2.2999999999999998</v>
      </c>
      <c r="AA611" s="78">
        <v>2.2999999999999998</v>
      </c>
      <c r="AB611" s="78">
        <v>26</v>
      </c>
      <c r="AC611" s="78">
        <v>2.6</v>
      </c>
      <c r="AD611" s="78">
        <v>9.4</v>
      </c>
      <c r="AE611" s="78">
        <v>4.5</v>
      </c>
      <c r="AF611" s="78">
        <v>773</v>
      </c>
      <c r="AG611" s="78">
        <v>20</v>
      </c>
      <c r="AH611" s="78">
        <v>1347</v>
      </c>
      <c r="AI611" s="78">
        <v>1502</v>
      </c>
      <c r="AJ611" s="78">
        <v>1038</v>
      </c>
      <c r="AK611" s="78">
        <v>375</v>
      </c>
      <c r="AL611" s="78">
        <v>23</v>
      </c>
      <c r="AM611" s="78">
        <v>19</v>
      </c>
      <c r="AN611" s="78">
        <v>1.4</v>
      </c>
      <c r="AO611" s="78">
        <v>60</v>
      </c>
    </row>
    <row r="612" spans="1:41">
      <c r="A612" s="78" t="s">
        <v>2830</v>
      </c>
      <c r="B612" s="78" t="s">
        <v>1558</v>
      </c>
      <c r="C612" s="78" t="s">
        <v>366</v>
      </c>
      <c r="D612" s="78" t="s">
        <v>2818</v>
      </c>
      <c r="E612" s="78" t="s">
        <v>2831</v>
      </c>
      <c r="F612" s="78" t="s">
        <v>2751</v>
      </c>
      <c r="G612" s="78" t="s">
        <v>1614</v>
      </c>
      <c r="H612" s="78">
        <v>470</v>
      </c>
      <c r="I612" s="78">
        <v>3</v>
      </c>
      <c r="J612" s="78" t="s">
        <v>1615</v>
      </c>
      <c r="K612" s="78">
        <v>16.5</v>
      </c>
      <c r="L612" s="78">
        <v>54</v>
      </c>
      <c r="M612" s="78" t="s">
        <v>1615</v>
      </c>
      <c r="N612" s="78">
        <v>0</v>
      </c>
      <c r="O612" s="78">
        <v>22</v>
      </c>
      <c r="P612" s="78" t="s">
        <v>1615</v>
      </c>
      <c r="Q612" s="78" t="s">
        <v>1615</v>
      </c>
      <c r="R612" s="78" t="s">
        <v>1615</v>
      </c>
      <c r="S612" s="78" t="s">
        <v>1615</v>
      </c>
      <c r="T612" s="78" t="s">
        <v>1615</v>
      </c>
      <c r="U612" s="78">
        <v>11</v>
      </c>
      <c r="V612" s="78">
        <v>38</v>
      </c>
      <c r="W612" s="78">
        <v>9.3000000000000007</v>
      </c>
      <c r="X612" s="78">
        <v>9.8000000000000007</v>
      </c>
      <c r="Y612" s="78">
        <v>74</v>
      </c>
      <c r="Z612" s="78">
        <v>0.7</v>
      </c>
      <c r="AA612" s="78">
        <v>0.9</v>
      </c>
      <c r="AB612" s="78">
        <v>9.8000000000000007</v>
      </c>
      <c r="AC612" s="78">
        <v>1</v>
      </c>
      <c r="AD612" s="78">
        <v>4.9000000000000004</v>
      </c>
      <c r="AE612" s="78">
        <v>2.9</v>
      </c>
      <c r="AF612" s="78">
        <v>74</v>
      </c>
      <c r="AG612" s="78">
        <v>260</v>
      </c>
      <c r="AH612" s="78">
        <v>590</v>
      </c>
      <c r="AI612" s="78">
        <v>440</v>
      </c>
      <c r="AJ612" s="78">
        <v>330</v>
      </c>
      <c r="AK612" s="78">
        <v>98</v>
      </c>
      <c r="AL612" s="78">
        <v>8.8000000000000007</v>
      </c>
      <c r="AM612" s="78">
        <v>4.4000000000000004</v>
      </c>
      <c r="AN612" s="78">
        <v>0.7</v>
      </c>
      <c r="AO612" s="78" t="s">
        <v>1615</v>
      </c>
    </row>
    <row r="613" spans="1:41">
      <c r="A613" s="78" t="s">
        <v>2832</v>
      </c>
      <c r="B613" s="78" t="s">
        <v>1558</v>
      </c>
      <c r="C613" s="78" t="s">
        <v>366</v>
      </c>
      <c r="D613" s="78" t="s">
        <v>2820</v>
      </c>
      <c r="E613" s="78" t="s">
        <v>2833</v>
      </c>
      <c r="F613" s="78" t="s">
        <v>2751</v>
      </c>
      <c r="G613" s="78" t="s">
        <v>1614</v>
      </c>
      <c r="H613" s="78">
        <v>495</v>
      </c>
      <c r="I613" s="78" t="s">
        <v>1615</v>
      </c>
      <c r="J613" s="78" t="s">
        <v>1615</v>
      </c>
      <c r="K613" s="78">
        <v>7.3</v>
      </c>
      <c r="L613" s="78">
        <v>61</v>
      </c>
      <c r="M613" s="78">
        <v>4.8</v>
      </c>
      <c r="N613" s="78" t="s">
        <v>1615</v>
      </c>
      <c r="O613" s="78">
        <v>23.5</v>
      </c>
      <c r="P613" s="78">
        <v>9.1999999999999993</v>
      </c>
      <c r="Q613" s="78">
        <v>0</v>
      </c>
      <c r="R613" s="78">
        <v>0</v>
      </c>
      <c r="S613" s="78">
        <v>0</v>
      </c>
      <c r="T613" s="78">
        <v>0</v>
      </c>
      <c r="U613" s="78">
        <v>902</v>
      </c>
      <c r="V613" s="78">
        <v>181</v>
      </c>
      <c r="W613" s="78">
        <v>11</v>
      </c>
      <c r="X613" s="78">
        <v>13.8</v>
      </c>
      <c r="Y613" s="78">
        <v>94</v>
      </c>
      <c r="Z613" s="78">
        <v>0.27</v>
      </c>
      <c r="AA613" s="78" t="s">
        <v>1615</v>
      </c>
      <c r="AB613" s="78">
        <v>11.6</v>
      </c>
      <c r="AC613" s="78">
        <v>0.9</v>
      </c>
      <c r="AD613" s="78">
        <v>8.8000000000000007</v>
      </c>
      <c r="AE613" s="78" t="s">
        <v>1615</v>
      </c>
      <c r="AF613" s="78">
        <v>361</v>
      </c>
      <c r="AG613" s="78">
        <v>223</v>
      </c>
      <c r="AH613" s="78" t="s">
        <v>1615</v>
      </c>
      <c r="AI613" s="78">
        <v>678</v>
      </c>
      <c r="AJ613" s="78">
        <v>470</v>
      </c>
      <c r="AK613" s="78">
        <v>66</v>
      </c>
      <c r="AL613" s="78">
        <v>10</v>
      </c>
      <c r="AM613" s="78">
        <v>10</v>
      </c>
      <c r="AN613" s="78">
        <v>1.4</v>
      </c>
      <c r="AO613" s="78">
        <v>1.2</v>
      </c>
    </row>
    <row r="614" spans="1:41">
      <c r="A614" s="78" t="s">
        <v>2834</v>
      </c>
      <c r="B614" s="78" t="s">
        <v>1558</v>
      </c>
      <c r="C614" s="78" t="s">
        <v>366</v>
      </c>
      <c r="D614" s="78" t="s">
        <v>2822</v>
      </c>
      <c r="E614" s="78" t="s">
        <v>2835</v>
      </c>
      <c r="F614" s="78" t="s">
        <v>2751</v>
      </c>
      <c r="G614" s="78" t="s">
        <v>1614</v>
      </c>
      <c r="H614" s="78">
        <v>434</v>
      </c>
      <c r="I614" s="78" t="s">
        <v>1615</v>
      </c>
      <c r="J614" s="78" t="s">
        <v>1615</v>
      </c>
      <c r="K614" s="78">
        <v>33.5</v>
      </c>
      <c r="L614" s="78">
        <v>54</v>
      </c>
      <c r="M614" s="78">
        <v>3</v>
      </c>
      <c r="N614" s="78" t="s">
        <v>1615</v>
      </c>
      <c r="O614" s="78">
        <v>14.3</v>
      </c>
      <c r="P614" s="78">
        <v>5.8</v>
      </c>
      <c r="Q614" s="78">
        <v>0</v>
      </c>
      <c r="R614" s="78">
        <v>0</v>
      </c>
      <c r="S614" s="78">
        <v>0</v>
      </c>
      <c r="T614" s="78">
        <v>0</v>
      </c>
      <c r="U614" s="78">
        <v>1253</v>
      </c>
      <c r="V614" s="78">
        <v>229</v>
      </c>
      <c r="W614" s="78">
        <v>9.1</v>
      </c>
      <c r="X614" s="78">
        <v>16.100000000000001</v>
      </c>
      <c r="Y614" s="78">
        <v>101</v>
      </c>
      <c r="Z614" s="78">
        <v>0</v>
      </c>
      <c r="AA614" s="78" t="s">
        <v>1615</v>
      </c>
      <c r="AB614" s="78">
        <v>34.5</v>
      </c>
      <c r="AC614" s="78">
        <v>1.8</v>
      </c>
      <c r="AD614" s="78">
        <v>15.7</v>
      </c>
      <c r="AE614" s="78" t="s">
        <v>1615</v>
      </c>
      <c r="AF614" s="78">
        <v>558</v>
      </c>
      <c r="AG614" s="78">
        <v>1003</v>
      </c>
      <c r="AH614" s="78">
        <v>1470</v>
      </c>
      <c r="AI614" s="78">
        <v>1004</v>
      </c>
      <c r="AJ614" s="78">
        <v>857</v>
      </c>
      <c r="AK614" s="78">
        <v>268</v>
      </c>
      <c r="AL614" s="78">
        <v>17</v>
      </c>
      <c r="AM614" s="78">
        <v>18</v>
      </c>
      <c r="AN614" s="78">
        <v>1.2</v>
      </c>
      <c r="AO614" s="78">
        <v>1.4</v>
      </c>
    </row>
    <row r="615" spans="1:41">
      <c r="A615" s="78" t="s">
        <v>2836</v>
      </c>
      <c r="B615" s="78" t="s">
        <v>1558</v>
      </c>
      <c r="C615" s="78" t="s">
        <v>366</v>
      </c>
      <c r="D615" s="78" t="s">
        <v>2824</v>
      </c>
      <c r="E615" s="78" t="s">
        <v>2837</v>
      </c>
      <c r="F615" s="78" t="s">
        <v>2751</v>
      </c>
      <c r="G615" s="78" t="s">
        <v>1614</v>
      </c>
      <c r="H615" s="78">
        <v>297</v>
      </c>
      <c r="I615" s="78" t="s">
        <v>1615</v>
      </c>
      <c r="J615" s="78" t="s">
        <v>1615</v>
      </c>
      <c r="K615" s="78">
        <v>70</v>
      </c>
      <c r="L615" s="78">
        <v>0</v>
      </c>
      <c r="M615" s="78">
        <v>3.1</v>
      </c>
      <c r="N615" s="78" t="s">
        <v>1615</v>
      </c>
      <c r="O615" s="78">
        <v>0</v>
      </c>
      <c r="P615" s="78" t="s">
        <v>1615</v>
      </c>
      <c r="Q615" s="78" t="s">
        <v>1615</v>
      </c>
      <c r="R615" s="78" t="s">
        <v>1615</v>
      </c>
      <c r="S615" s="78" t="s">
        <v>1615</v>
      </c>
      <c r="T615" s="78" t="s">
        <v>1615</v>
      </c>
      <c r="U615" s="78">
        <v>575</v>
      </c>
      <c r="V615" s="78">
        <v>65</v>
      </c>
      <c r="W615" s="78">
        <v>8.1</v>
      </c>
      <c r="X615" s="78">
        <v>9.5</v>
      </c>
      <c r="Y615" s="78">
        <v>62</v>
      </c>
      <c r="Z615" s="78">
        <v>1.2</v>
      </c>
      <c r="AA615" s="78" t="s">
        <v>1615</v>
      </c>
      <c r="AB615" s="78">
        <v>15.1</v>
      </c>
      <c r="AC615" s="78">
        <v>1.3</v>
      </c>
      <c r="AD615" s="78">
        <v>5.3</v>
      </c>
      <c r="AE615" s="78" t="s">
        <v>1615</v>
      </c>
      <c r="AF615" s="78">
        <v>215</v>
      </c>
      <c r="AG615" s="78">
        <v>3</v>
      </c>
      <c r="AH615" s="78">
        <v>1542</v>
      </c>
      <c r="AI615" s="78">
        <v>1375</v>
      </c>
      <c r="AJ615" s="78">
        <v>685</v>
      </c>
      <c r="AK615" s="78">
        <v>355</v>
      </c>
      <c r="AL615" s="78">
        <v>8.4</v>
      </c>
      <c r="AM615" s="78">
        <v>15.5</v>
      </c>
      <c r="AN615" s="78">
        <v>1</v>
      </c>
      <c r="AO615" s="78">
        <v>4.5</v>
      </c>
    </row>
    <row r="616" spans="1:41">
      <c r="A616" s="78" t="s">
        <v>2838</v>
      </c>
      <c r="B616" s="78" t="s">
        <v>1558</v>
      </c>
      <c r="C616" s="78" t="s">
        <v>366</v>
      </c>
      <c r="D616" s="78" t="s">
        <v>2826</v>
      </c>
      <c r="E616" s="78" t="s">
        <v>2839</v>
      </c>
      <c r="F616" s="78" t="s">
        <v>2751</v>
      </c>
      <c r="G616" s="78" t="s">
        <v>1614</v>
      </c>
      <c r="H616" s="78">
        <v>498</v>
      </c>
      <c r="I616" s="78" t="s">
        <v>1615</v>
      </c>
      <c r="J616" s="78" t="s">
        <v>1615</v>
      </c>
      <c r="K616" s="78">
        <v>16.3</v>
      </c>
      <c r="L616" s="78">
        <v>52</v>
      </c>
      <c r="M616" s="78">
        <v>5</v>
      </c>
      <c r="N616" s="78" t="s">
        <v>1615</v>
      </c>
      <c r="O616" s="78">
        <v>24.3</v>
      </c>
      <c r="P616" s="78">
        <v>10.199999999999999</v>
      </c>
      <c r="Q616" s="78">
        <v>0</v>
      </c>
      <c r="R616" s="78">
        <v>0</v>
      </c>
      <c r="S616" s="78">
        <v>0</v>
      </c>
      <c r="T616" s="78">
        <v>0</v>
      </c>
      <c r="U616" s="78">
        <v>940</v>
      </c>
      <c r="V616" s="78">
        <v>187</v>
      </c>
      <c r="W616" s="78">
        <v>11.6</v>
      </c>
      <c r="X616" s="78">
        <v>14.5</v>
      </c>
      <c r="Y616" s="78">
        <v>85</v>
      </c>
      <c r="Z616" s="78">
        <v>2.8</v>
      </c>
      <c r="AA616" s="78" t="s">
        <v>1615</v>
      </c>
      <c r="AB616" s="78">
        <v>18.899999999999999</v>
      </c>
      <c r="AC616" s="78">
        <v>1</v>
      </c>
      <c r="AD616" s="78">
        <v>9.1999999999999993</v>
      </c>
      <c r="AE616" s="78" t="s">
        <v>1615</v>
      </c>
      <c r="AF616" s="78">
        <v>381</v>
      </c>
      <c r="AG616" s="78">
        <v>229</v>
      </c>
      <c r="AH616" s="78">
        <v>1275</v>
      </c>
      <c r="AI616" s="78">
        <v>704</v>
      </c>
      <c r="AJ616" s="78">
        <v>487</v>
      </c>
      <c r="AK616" s="78">
        <v>68</v>
      </c>
      <c r="AL616" s="78">
        <v>10</v>
      </c>
      <c r="AM616" s="78">
        <v>85.4</v>
      </c>
      <c r="AN616" s="78">
        <v>0.5</v>
      </c>
      <c r="AO616" s="78">
        <v>2.8</v>
      </c>
    </row>
    <row r="617" spans="1:41">
      <c r="A617" s="78" t="s">
        <v>2840</v>
      </c>
      <c r="B617" s="78" t="s">
        <v>1558</v>
      </c>
      <c r="C617" s="78" t="s">
        <v>366</v>
      </c>
      <c r="D617" s="78" t="s">
        <v>2828</v>
      </c>
      <c r="E617" s="78" t="s">
        <v>2841</v>
      </c>
      <c r="F617" s="78" t="s">
        <v>2751</v>
      </c>
      <c r="G617" s="78" t="s">
        <v>1614</v>
      </c>
      <c r="H617" s="78">
        <v>440</v>
      </c>
      <c r="I617" s="78" t="s">
        <v>1615</v>
      </c>
      <c r="J617" s="78" t="s">
        <v>1615</v>
      </c>
      <c r="K617" s="78">
        <v>38.1</v>
      </c>
      <c r="L617" s="78">
        <v>30</v>
      </c>
      <c r="M617" s="78">
        <v>3.3</v>
      </c>
      <c r="N617" s="78" t="s">
        <v>1615</v>
      </c>
      <c r="O617" s="78">
        <v>15.8</v>
      </c>
      <c r="P617" s="78">
        <v>5.7</v>
      </c>
      <c r="Q617" s="78">
        <v>0</v>
      </c>
      <c r="R617" s="78">
        <v>0</v>
      </c>
      <c r="S617" s="78">
        <v>0</v>
      </c>
      <c r="T617" s="78">
        <v>0</v>
      </c>
      <c r="U617" s="78">
        <v>1388</v>
      </c>
      <c r="V617" s="78">
        <v>240</v>
      </c>
      <c r="W617" s="78">
        <v>10.4</v>
      </c>
      <c r="X617" s="78" t="s">
        <v>1615</v>
      </c>
      <c r="Y617" s="78">
        <v>101</v>
      </c>
      <c r="Z617" s="78">
        <v>5.0999999999999996</v>
      </c>
      <c r="AA617" s="78" t="s">
        <v>1615</v>
      </c>
      <c r="AB617" s="78">
        <v>34.5</v>
      </c>
      <c r="AC617" s="78">
        <v>1.9</v>
      </c>
      <c r="AD617" s="78">
        <v>17.100000000000001</v>
      </c>
      <c r="AE617" s="78" t="s">
        <v>1615</v>
      </c>
      <c r="AF617" s="78">
        <v>558</v>
      </c>
      <c r="AG617" s="78">
        <v>109</v>
      </c>
      <c r="AH617" s="78">
        <v>772</v>
      </c>
      <c r="AI617" s="78" t="s">
        <v>1615</v>
      </c>
      <c r="AJ617" s="78">
        <v>960</v>
      </c>
      <c r="AK617" s="78">
        <v>299</v>
      </c>
      <c r="AL617" s="78">
        <v>19</v>
      </c>
      <c r="AM617" s="78">
        <v>2</v>
      </c>
      <c r="AN617" s="78">
        <v>0.1</v>
      </c>
      <c r="AO617" s="78">
        <v>4.7</v>
      </c>
    </row>
    <row r="618" spans="1:41">
      <c r="A618" s="78" t="s">
        <v>2842</v>
      </c>
      <c r="B618" s="78" t="s">
        <v>1558</v>
      </c>
      <c r="C618" s="78" t="s">
        <v>366</v>
      </c>
      <c r="D618" s="78" t="s">
        <v>2830</v>
      </c>
      <c r="E618" s="78" t="s">
        <v>2843</v>
      </c>
      <c r="F618" s="78" t="s">
        <v>2751</v>
      </c>
      <c r="G618" s="78" t="s">
        <v>1614</v>
      </c>
      <c r="H618" s="78">
        <v>309</v>
      </c>
      <c r="I618" s="78" t="s">
        <v>1615</v>
      </c>
      <c r="J618" s="78" t="s">
        <v>1615</v>
      </c>
      <c r="K618" s="78">
        <v>25</v>
      </c>
      <c r="L618" s="78">
        <v>51</v>
      </c>
      <c r="M618" s="78">
        <v>4.5999999999999996</v>
      </c>
      <c r="N618" s="78">
        <v>0</v>
      </c>
      <c r="O618" s="78">
        <v>0.5</v>
      </c>
      <c r="P618" s="78">
        <v>0</v>
      </c>
      <c r="Q618" s="78" t="s">
        <v>1615</v>
      </c>
      <c r="R618" s="78" t="s">
        <v>1615</v>
      </c>
      <c r="S618" s="78" t="s">
        <v>1615</v>
      </c>
      <c r="T618" s="78" t="s">
        <v>1615</v>
      </c>
      <c r="U618" s="78">
        <v>525</v>
      </c>
      <c r="V618" s="78">
        <v>135</v>
      </c>
      <c r="W618" s="78">
        <v>12</v>
      </c>
      <c r="X618" s="78">
        <v>4.4000000000000004</v>
      </c>
      <c r="Y618" s="78">
        <v>30</v>
      </c>
      <c r="Z618" s="78">
        <v>1.1000000000000001</v>
      </c>
      <c r="AA618" s="78">
        <v>1.2</v>
      </c>
      <c r="AB618" s="78">
        <v>20.8</v>
      </c>
      <c r="AC618" s="78">
        <v>1.4</v>
      </c>
      <c r="AD618" s="78">
        <v>3</v>
      </c>
      <c r="AE618" s="78">
        <v>3.9</v>
      </c>
      <c r="AF618" s="78">
        <v>240</v>
      </c>
      <c r="AG618" s="78">
        <v>580</v>
      </c>
      <c r="AH618" s="78">
        <v>840</v>
      </c>
      <c r="AI618" s="78">
        <v>810</v>
      </c>
      <c r="AJ618" s="78">
        <v>810</v>
      </c>
      <c r="AK618" s="78">
        <v>200</v>
      </c>
      <c r="AL618" s="78">
        <v>12</v>
      </c>
      <c r="AM618" s="78">
        <v>13</v>
      </c>
      <c r="AN618" s="78">
        <v>1.8</v>
      </c>
      <c r="AO618" s="78">
        <v>40</v>
      </c>
    </row>
    <row r="619" spans="1:41">
      <c r="A619" s="78" t="s">
        <v>2844</v>
      </c>
      <c r="B619" s="78" t="s">
        <v>1558</v>
      </c>
      <c r="C619" s="78" t="s">
        <v>366</v>
      </c>
      <c r="D619" s="78" t="s">
        <v>2832</v>
      </c>
      <c r="E619" s="78" t="s">
        <v>2845</v>
      </c>
      <c r="F619" s="78" t="s">
        <v>2751</v>
      </c>
      <c r="G619" s="78" t="s">
        <v>1614</v>
      </c>
      <c r="H619" s="78">
        <v>297</v>
      </c>
      <c r="I619" s="78" t="s">
        <v>1615</v>
      </c>
      <c r="J619" s="78" t="s">
        <v>1615</v>
      </c>
      <c r="K619" s="78">
        <v>39</v>
      </c>
      <c r="L619" s="78">
        <v>34</v>
      </c>
      <c r="M619" s="78">
        <v>3</v>
      </c>
      <c r="N619" s="78">
        <v>0</v>
      </c>
      <c r="O619" s="78">
        <v>0.5</v>
      </c>
      <c r="P619" s="78">
        <v>0</v>
      </c>
      <c r="Q619" s="78" t="s">
        <v>1615</v>
      </c>
      <c r="R619" s="78" t="s">
        <v>1615</v>
      </c>
      <c r="S619" s="78" t="s">
        <v>1615</v>
      </c>
      <c r="T619" s="78" t="s">
        <v>1615</v>
      </c>
      <c r="U619" s="78">
        <v>710</v>
      </c>
      <c r="V619" s="78">
        <v>20</v>
      </c>
      <c r="W619" s="78">
        <v>7.8</v>
      </c>
      <c r="X619" s="78">
        <v>5.2</v>
      </c>
      <c r="Y619" s="78">
        <v>70</v>
      </c>
      <c r="Z619" s="78">
        <v>1.4</v>
      </c>
      <c r="AA619" s="78">
        <v>1.4</v>
      </c>
      <c r="AB619" s="78">
        <v>27.4</v>
      </c>
      <c r="AC619" s="78">
        <v>2.1</v>
      </c>
      <c r="AD619" s="78">
        <v>5</v>
      </c>
      <c r="AE619" s="78">
        <v>3.6</v>
      </c>
      <c r="AF619" s="78">
        <v>500</v>
      </c>
      <c r="AG619" s="78">
        <v>560</v>
      </c>
      <c r="AH619" s="78">
        <v>700</v>
      </c>
      <c r="AI619" s="78">
        <v>670</v>
      </c>
      <c r="AJ619" s="78">
        <v>670</v>
      </c>
      <c r="AK619" s="78">
        <v>285</v>
      </c>
      <c r="AL619" s="78">
        <v>23.5</v>
      </c>
      <c r="AM619" s="78">
        <v>13.6</v>
      </c>
      <c r="AN619" s="78">
        <v>1.4</v>
      </c>
      <c r="AO619" s="78">
        <v>50</v>
      </c>
    </row>
    <row r="620" spans="1:41">
      <c r="A620" s="78" t="s">
        <v>2846</v>
      </c>
      <c r="B620" s="78" t="s">
        <v>1558</v>
      </c>
      <c r="C620" s="78" t="s">
        <v>366</v>
      </c>
      <c r="D620" s="78" t="s">
        <v>2834</v>
      </c>
      <c r="E620" s="78" t="s">
        <v>2847</v>
      </c>
      <c r="F620" s="78" t="s">
        <v>2751</v>
      </c>
      <c r="G620" s="78" t="s">
        <v>1614</v>
      </c>
      <c r="H620" s="78">
        <v>309</v>
      </c>
      <c r="I620" s="78" t="s">
        <v>1615</v>
      </c>
      <c r="J620" s="78" t="s">
        <v>1615</v>
      </c>
      <c r="K620" s="78">
        <v>25</v>
      </c>
      <c r="L620" s="78">
        <v>51</v>
      </c>
      <c r="M620" s="78">
        <v>2.6</v>
      </c>
      <c r="N620" s="78">
        <v>0</v>
      </c>
      <c r="O620" s="78">
        <v>0.5</v>
      </c>
      <c r="P620" s="78" t="s">
        <v>1615</v>
      </c>
      <c r="Q620" s="78" t="s">
        <v>1615</v>
      </c>
      <c r="R620" s="78" t="s">
        <v>1615</v>
      </c>
      <c r="S620" s="78" t="s">
        <v>1615</v>
      </c>
      <c r="T620" s="78" t="s">
        <v>1615</v>
      </c>
      <c r="U620" s="78">
        <v>525</v>
      </c>
      <c r="V620" s="78">
        <v>135</v>
      </c>
      <c r="W620" s="78">
        <v>12</v>
      </c>
      <c r="X620" s="78">
        <v>4.4000000000000004</v>
      </c>
      <c r="Y620" s="78">
        <v>30</v>
      </c>
      <c r="Z620" s="78">
        <v>1.1000000000000001</v>
      </c>
      <c r="AA620" s="78">
        <v>1.2</v>
      </c>
      <c r="AB620" s="78">
        <v>12</v>
      </c>
      <c r="AC620" s="78">
        <v>1.4</v>
      </c>
      <c r="AD620" s="78">
        <v>3.4</v>
      </c>
      <c r="AE620" s="78">
        <v>3.9</v>
      </c>
      <c r="AF620" s="78">
        <v>240</v>
      </c>
      <c r="AG620" s="78">
        <v>580</v>
      </c>
      <c r="AH620" s="78">
        <v>840</v>
      </c>
      <c r="AI620" s="78">
        <v>810</v>
      </c>
      <c r="AJ620" s="78">
        <v>810</v>
      </c>
      <c r="AK620" s="78">
        <v>200</v>
      </c>
      <c r="AL620" s="78">
        <v>12</v>
      </c>
      <c r="AM620" s="78">
        <v>13</v>
      </c>
      <c r="AN620" s="78">
        <v>1.3</v>
      </c>
      <c r="AO620" s="78">
        <v>40</v>
      </c>
    </row>
    <row r="621" spans="1:41">
      <c r="A621" s="78" t="s">
        <v>2848</v>
      </c>
      <c r="B621" s="78" t="s">
        <v>1558</v>
      </c>
      <c r="C621" s="78" t="s">
        <v>366</v>
      </c>
      <c r="D621" s="78" t="s">
        <v>2836</v>
      </c>
      <c r="E621" s="78" t="s">
        <v>2849</v>
      </c>
      <c r="F621" s="78" t="s">
        <v>2751</v>
      </c>
      <c r="G621" s="78" t="s">
        <v>1614</v>
      </c>
      <c r="H621" s="78">
        <v>297</v>
      </c>
      <c r="I621" s="78" t="s">
        <v>1615</v>
      </c>
      <c r="J621" s="78" t="s">
        <v>1615</v>
      </c>
      <c r="K621" s="78">
        <v>39</v>
      </c>
      <c r="L621" s="78">
        <v>34</v>
      </c>
      <c r="M621" s="78">
        <v>3.1</v>
      </c>
      <c r="N621" s="78">
        <v>0</v>
      </c>
      <c r="O621" s="78">
        <v>0.5</v>
      </c>
      <c r="P621" s="78">
        <v>0</v>
      </c>
      <c r="Q621" s="78" t="s">
        <v>1615</v>
      </c>
      <c r="R621" s="78" t="s">
        <v>1615</v>
      </c>
      <c r="S621" s="78" t="s">
        <v>1615</v>
      </c>
      <c r="T621" s="78" t="s">
        <v>1615</v>
      </c>
      <c r="U621" s="78">
        <v>710</v>
      </c>
      <c r="V621" s="78">
        <v>90</v>
      </c>
      <c r="W621" s="78">
        <v>7.8</v>
      </c>
      <c r="X621" s="78">
        <v>5.2</v>
      </c>
      <c r="Y621" s="78">
        <v>70</v>
      </c>
      <c r="Z621" s="78">
        <v>1.4</v>
      </c>
      <c r="AA621" s="78">
        <v>1.4</v>
      </c>
      <c r="AB621" s="78">
        <v>13.6</v>
      </c>
      <c r="AC621" s="78">
        <v>2.1</v>
      </c>
      <c r="AD621" s="78">
        <v>5</v>
      </c>
      <c r="AE621" s="78">
        <v>3.6</v>
      </c>
      <c r="AF621" s="78">
        <v>500</v>
      </c>
      <c r="AG621" s="78">
        <v>560</v>
      </c>
      <c r="AH621" s="78">
        <v>700</v>
      </c>
      <c r="AI621" s="78">
        <v>670</v>
      </c>
      <c r="AJ621" s="78">
        <v>670</v>
      </c>
      <c r="AK621" s="78">
        <v>285</v>
      </c>
      <c r="AL621" s="78">
        <v>23.5</v>
      </c>
      <c r="AM621" s="78">
        <v>13.6</v>
      </c>
      <c r="AN621" s="78">
        <v>1.4</v>
      </c>
      <c r="AO621" s="78">
        <v>50</v>
      </c>
    </row>
    <row r="622" spans="1:41">
      <c r="A622" s="78" t="s">
        <v>2850</v>
      </c>
      <c r="B622" s="78" t="s">
        <v>1558</v>
      </c>
      <c r="C622" s="78" t="s">
        <v>366</v>
      </c>
      <c r="D622" s="78" t="s">
        <v>2838</v>
      </c>
      <c r="E622" s="78" t="s">
        <v>2851</v>
      </c>
      <c r="F622" s="78" t="s">
        <v>2751</v>
      </c>
      <c r="G622" s="78" t="s">
        <v>1614</v>
      </c>
      <c r="H622" s="78">
        <v>297</v>
      </c>
      <c r="I622" s="78" t="s">
        <v>1615</v>
      </c>
      <c r="J622" s="78" t="s">
        <v>1615</v>
      </c>
      <c r="K622" s="78">
        <v>39</v>
      </c>
      <c r="L622" s="78">
        <v>34</v>
      </c>
      <c r="M622" s="78">
        <v>3.1</v>
      </c>
      <c r="N622" s="78">
        <v>0</v>
      </c>
      <c r="O622" s="78">
        <v>0.5</v>
      </c>
      <c r="P622" s="78" t="s">
        <v>1615</v>
      </c>
      <c r="Q622" s="78" t="s">
        <v>1615</v>
      </c>
      <c r="R622" s="78" t="s">
        <v>1615</v>
      </c>
      <c r="S622" s="78" t="s">
        <v>1615</v>
      </c>
      <c r="T622" s="78" t="s">
        <v>1615</v>
      </c>
      <c r="U622" s="78">
        <v>710</v>
      </c>
      <c r="V622" s="78">
        <v>90</v>
      </c>
      <c r="W622" s="78">
        <v>7.8</v>
      </c>
      <c r="X622" s="78">
        <v>5.2</v>
      </c>
      <c r="Y622" s="78">
        <v>70</v>
      </c>
      <c r="Z622" s="78">
        <v>1.4</v>
      </c>
      <c r="AA622" s="78">
        <v>1.4</v>
      </c>
      <c r="AB622" s="78">
        <v>13.6</v>
      </c>
      <c r="AC622" s="78">
        <v>2.1</v>
      </c>
      <c r="AD622" s="78">
        <v>5</v>
      </c>
      <c r="AE622" s="78">
        <v>3.6</v>
      </c>
      <c r="AF622" s="78">
        <v>500</v>
      </c>
      <c r="AG622" s="78">
        <v>560</v>
      </c>
      <c r="AH622" s="78">
        <v>700</v>
      </c>
      <c r="AI622" s="78">
        <v>670</v>
      </c>
      <c r="AJ622" s="78">
        <v>670</v>
      </c>
      <c r="AK622" s="78">
        <v>285</v>
      </c>
      <c r="AL622" s="78">
        <v>23.5</v>
      </c>
      <c r="AM622" s="78">
        <v>13.6</v>
      </c>
      <c r="AN622" s="78">
        <v>1.4</v>
      </c>
      <c r="AO622" s="78">
        <v>50</v>
      </c>
    </row>
    <row r="623" spans="1:41">
      <c r="A623" s="78" t="s">
        <v>2852</v>
      </c>
      <c r="B623" s="78" t="s">
        <v>1558</v>
      </c>
      <c r="C623" s="78" t="s">
        <v>366</v>
      </c>
      <c r="D623" s="78" t="s">
        <v>2840</v>
      </c>
      <c r="E623" s="78" t="s">
        <v>2853</v>
      </c>
      <c r="F623" s="78" t="s">
        <v>2751</v>
      </c>
      <c r="G623" s="78" t="s">
        <v>1614</v>
      </c>
      <c r="H623" s="78">
        <v>309</v>
      </c>
      <c r="I623" s="78" t="s">
        <v>1615</v>
      </c>
      <c r="J623" s="78" t="s">
        <v>1615</v>
      </c>
      <c r="K623" s="78">
        <v>25</v>
      </c>
      <c r="L623" s="78">
        <v>51</v>
      </c>
      <c r="M623" s="78">
        <v>4.5999999999999996</v>
      </c>
      <c r="N623" s="78" t="s">
        <v>1615</v>
      </c>
      <c r="O623" s="78">
        <v>0</v>
      </c>
      <c r="P623" s="78" t="s">
        <v>1615</v>
      </c>
      <c r="Q623" s="78" t="s">
        <v>1615</v>
      </c>
      <c r="R623" s="78" t="s">
        <v>1615</v>
      </c>
      <c r="S623" s="78" t="s">
        <v>1615</v>
      </c>
      <c r="T623" s="78" t="s">
        <v>1615</v>
      </c>
      <c r="U623" s="78">
        <v>525</v>
      </c>
      <c r="V623" s="78">
        <v>135</v>
      </c>
      <c r="W623" s="78">
        <v>12</v>
      </c>
      <c r="X623" s="78">
        <v>4.4000000000000004</v>
      </c>
      <c r="Y623" s="78">
        <v>30</v>
      </c>
      <c r="Z623" s="78">
        <v>1.8</v>
      </c>
      <c r="AA623" s="78">
        <v>1.4</v>
      </c>
      <c r="AB623" s="78">
        <v>12</v>
      </c>
      <c r="AC623" s="78">
        <v>1.4</v>
      </c>
      <c r="AD623" s="78">
        <v>3.7</v>
      </c>
      <c r="AE623" s="78">
        <v>3.2</v>
      </c>
      <c r="AF623" s="78">
        <v>240</v>
      </c>
      <c r="AG623" s="78">
        <v>580</v>
      </c>
      <c r="AH623" s="78">
        <v>840</v>
      </c>
      <c r="AI623" s="78">
        <v>810</v>
      </c>
      <c r="AJ623" s="78">
        <v>810</v>
      </c>
      <c r="AK623" s="78">
        <v>200</v>
      </c>
      <c r="AL623" s="78">
        <v>12</v>
      </c>
      <c r="AM623" s="78">
        <v>13</v>
      </c>
      <c r="AN623" s="78">
        <v>0</v>
      </c>
      <c r="AO623" s="78">
        <v>40</v>
      </c>
    </row>
    <row r="624" spans="1:41">
      <c r="A624" s="78" t="s">
        <v>2854</v>
      </c>
      <c r="B624" s="78" t="s">
        <v>1558</v>
      </c>
      <c r="C624" s="78" t="s">
        <v>366</v>
      </c>
      <c r="D624" s="78" t="s">
        <v>2842</v>
      </c>
      <c r="E624" s="78" t="s">
        <v>2855</v>
      </c>
      <c r="F624" s="78" t="s">
        <v>2751</v>
      </c>
      <c r="G624" s="78" t="s">
        <v>1614</v>
      </c>
      <c r="H624" s="78">
        <v>297</v>
      </c>
      <c r="I624" s="78" t="s">
        <v>1615</v>
      </c>
      <c r="J624" s="78" t="s">
        <v>1615</v>
      </c>
      <c r="K624" s="78">
        <v>39</v>
      </c>
      <c r="L624" s="78">
        <v>34</v>
      </c>
      <c r="M624" s="78">
        <v>3.1</v>
      </c>
      <c r="N624" s="78">
        <v>0</v>
      </c>
      <c r="O624" s="78">
        <v>0.5</v>
      </c>
      <c r="P624" s="78" t="s">
        <v>1615</v>
      </c>
      <c r="Q624" s="78" t="s">
        <v>1615</v>
      </c>
      <c r="R624" s="78" t="s">
        <v>1615</v>
      </c>
      <c r="S624" s="78" t="s">
        <v>1615</v>
      </c>
      <c r="T624" s="78" t="s">
        <v>1615</v>
      </c>
      <c r="U624" s="78">
        <v>710</v>
      </c>
      <c r="V624" s="78">
        <v>90</v>
      </c>
      <c r="W624" s="78">
        <v>7.8</v>
      </c>
      <c r="X624" s="78">
        <v>5.2</v>
      </c>
      <c r="Y624" s="78">
        <v>70</v>
      </c>
      <c r="Z624" s="78">
        <v>1.4</v>
      </c>
      <c r="AA624" s="78">
        <v>1.4</v>
      </c>
      <c r="AB624" s="78">
        <v>13.6</v>
      </c>
      <c r="AC624" s="78">
        <v>2.1</v>
      </c>
      <c r="AD624" s="78">
        <v>5</v>
      </c>
      <c r="AE624" s="78">
        <v>3.6</v>
      </c>
      <c r="AF624" s="78">
        <v>500</v>
      </c>
      <c r="AG624" s="78">
        <v>560</v>
      </c>
      <c r="AH624" s="78">
        <v>700</v>
      </c>
      <c r="AI624" s="78">
        <v>670</v>
      </c>
      <c r="AJ624" s="78">
        <v>670</v>
      </c>
      <c r="AK624" s="78">
        <v>285</v>
      </c>
      <c r="AL624" s="78">
        <v>23.9</v>
      </c>
      <c r="AM624" s="78">
        <v>13.6</v>
      </c>
      <c r="AN624" s="78">
        <v>1.4</v>
      </c>
      <c r="AO624" s="78">
        <v>50</v>
      </c>
    </row>
    <row r="625" spans="1:41">
      <c r="A625" s="78" t="s">
        <v>2856</v>
      </c>
      <c r="B625" s="78" t="s">
        <v>1558</v>
      </c>
      <c r="C625" s="78" t="s">
        <v>366</v>
      </c>
      <c r="D625" s="78" t="s">
        <v>2844</v>
      </c>
      <c r="E625" s="78" t="s">
        <v>2857</v>
      </c>
      <c r="F625" s="78" t="s">
        <v>2751</v>
      </c>
      <c r="G625" s="78" t="s">
        <v>1614</v>
      </c>
      <c r="H625" s="78">
        <v>297</v>
      </c>
      <c r="I625" s="78" t="s">
        <v>1615</v>
      </c>
      <c r="J625" s="78" t="s">
        <v>1615</v>
      </c>
      <c r="K625" s="78">
        <v>39</v>
      </c>
      <c r="L625" s="78">
        <v>34</v>
      </c>
      <c r="M625" s="78">
        <v>3.1</v>
      </c>
      <c r="N625" s="78" t="s">
        <v>1615</v>
      </c>
      <c r="O625" s="78">
        <v>0.5</v>
      </c>
      <c r="P625" s="78" t="s">
        <v>1615</v>
      </c>
      <c r="Q625" s="78" t="s">
        <v>1615</v>
      </c>
      <c r="R625" s="78" t="s">
        <v>1615</v>
      </c>
      <c r="S625" s="78" t="s">
        <v>1615</v>
      </c>
      <c r="T625" s="78" t="s">
        <v>1615</v>
      </c>
      <c r="U625" s="78">
        <v>710</v>
      </c>
      <c r="V625" s="78">
        <v>90</v>
      </c>
      <c r="W625" s="78">
        <v>7.8</v>
      </c>
      <c r="X625" s="78">
        <v>5.2</v>
      </c>
      <c r="Y625" s="78">
        <v>70</v>
      </c>
      <c r="Z625" s="78">
        <v>1.4</v>
      </c>
      <c r="AA625" s="78">
        <v>1.4</v>
      </c>
      <c r="AB625" s="78">
        <v>13.6</v>
      </c>
      <c r="AC625" s="78">
        <v>2.1</v>
      </c>
      <c r="AD625" s="78">
        <v>5</v>
      </c>
      <c r="AE625" s="78">
        <v>3.6</v>
      </c>
      <c r="AF625" s="78">
        <v>500</v>
      </c>
      <c r="AG625" s="78">
        <v>360</v>
      </c>
      <c r="AH625" s="78">
        <v>700</v>
      </c>
      <c r="AI625" s="78">
        <v>670</v>
      </c>
      <c r="AJ625" s="78">
        <v>670</v>
      </c>
      <c r="AK625" s="78">
        <v>285</v>
      </c>
      <c r="AL625" s="78">
        <v>23.9</v>
      </c>
      <c r="AM625" s="78">
        <v>13.6</v>
      </c>
      <c r="AN625" s="78">
        <v>1.4</v>
      </c>
      <c r="AO625" s="78">
        <v>50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6"/>
  <sheetViews>
    <sheetView workbookViewId="0"/>
  </sheetViews>
  <sheetFormatPr baseColWidth="10" defaultColWidth="9" defaultRowHeight="14.25"/>
  <cols>
    <col min="1" max="1" width="31" style="30" customWidth="1"/>
    <col min="2" max="2" width="24" style="30" customWidth="1"/>
    <col min="3" max="3" width="15" style="30" customWidth="1"/>
    <col min="4" max="4" width="45" style="30" customWidth="1"/>
  </cols>
  <sheetData>
    <row r="1" spans="1:8" ht="15" customHeight="1">
      <c r="A1" s="8" t="s">
        <v>212</v>
      </c>
      <c r="B1" s="8" t="s">
        <v>153</v>
      </c>
      <c r="C1" s="8" t="s">
        <v>156</v>
      </c>
      <c r="D1" s="8" t="s">
        <v>112</v>
      </c>
      <c r="E1" s="5"/>
      <c r="F1" s="5"/>
      <c r="G1" s="5"/>
      <c r="H1" s="5"/>
    </row>
    <row r="2" spans="1:8">
      <c r="A2" s="55" t="s">
        <v>2858</v>
      </c>
      <c r="B2" s="50">
        <f>IF(DATOS!B12="Meses",DATOS!B11/12,DATOS!B11)</f>
        <v>25</v>
      </c>
      <c r="C2" s="55" t="s">
        <v>85</v>
      </c>
      <c r="D2" s="55" t="s">
        <v>2859</v>
      </c>
    </row>
    <row r="3" spans="1:8">
      <c r="A3" s="55" t="s">
        <v>2860</v>
      </c>
      <c r="B3" s="50">
        <f>IF(DATOS!B12="Meses",DATOS!B11,DATOS!B11*12)</f>
        <v>300</v>
      </c>
      <c r="C3" s="55" t="s">
        <v>2861</v>
      </c>
      <c r="D3" s="55" t="s">
        <v>2859</v>
      </c>
    </row>
    <row r="4" spans="1:8">
      <c r="A4" s="55" t="s">
        <v>39</v>
      </c>
      <c r="B4" s="50" t="str">
        <f>DATOS!B13</f>
        <v>Femenino</v>
      </c>
      <c r="C4" s="55"/>
      <c r="D4" s="55" t="s">
        <v>204</v>
      </c>
    </row>
    <row r="5" spans="1:8">
      <c r="A5" s="55" t="s">
        <v>42</v>
      </c>
      <c r="B5" s="50">
        <f>DATOS!B14</f>
        <v>56</v>
      </c>
      <c r="C5" s="55" t="s">
        <v>43</v>
      </c>
      <c r="D5" s="55" t="s">
        <v>204</v>
      </c>
    </row>
    <row r="6" spans="1:8">
      <c r="A6" s="55" t="s">
        <v>46</v>
      </c>
      <c r="B6" s="50">
        <f>DATOS!B15</f>
        <v>164</v>
      </c>
      <c r="C6" s="55" t="s">
        <v>47</v>
      </c>
      <c r="D6" s="55" t="s">
        <v>204</v>
      </c>
    </row>
    <row r="7" spans="1:8">
      <c r="A7" s="55" t="s">
        <v>2862</v>
      </c>
      <c r="B7" s="50" t="str">
        <f>DATOS!B16</f>
        <v>Ninguno</v>
      </c>
      <c r="C7" s="55"/>
      <c r="D7" s="55" t="s">
        <v>204</v>
      </c>
    </row>
    <row r="8" spans="1:8">
      <c r="A8" s="55" t="s">
        <v>2863</v>
      </c>
      <c r="B8" s="50" t="str">
        <f>DATOS!B17</f>
        <v>Poco activo</v>
      </c>
      <c r="C8" s="55"/>
      <c r="D8" s="55" t="s">
        <v>204</v>
      </c>
    </row>
    <row r="9" spans="1:8">
      <c r="A9" s="55" t="s">
        <v>2864</v>
      </c>
      <c r="B9" s="50" t="str">
        <f>DATOS!B18</f>
        <v>Ligera</v>
      </c>
      <c r="C9" s="55"/>
      <c r="D9" s="55" t="s">
        <v>204</v>
      </c>
    </row>
    <row r="10" spans="1:8">
      <c r="A10" s="55" t="s">
        <v>2865</v>
      </c>
      <c r="B10" s="50">
        <f>DATOS!B20</f>
        <v>1.6</v>
      </c>
      <c r="C10" s="55" t="s">
        <v>58</v>
      </c>
      <c r="D10" s="55" t="s">
        <v>204</v>
      </c>
    </row>
    <row r="11" spans="1:8">
      <c r="A11" s="55" t="s">
        <v>2866</v>
      </c>
      <c r="B11" s="50">
        <f>DATOS!B21</f>
        <v>20</v>
      </c>
      <c r="C11" s="55" t="s">
        <v>2867</v>
      </c>
      <c r="D11" s="55" t="s">
        <v>204</v>
      </c>
    </row>
    <row r="12" spans="1:8">
      <c r="A12" s="55" t="s">
        <v>2868</v>
      </c>
      <c r="B12" s="50" t="str">
        <f>DATOS!B22</f>
        <v>Normal</v>
      </c>
      <c r="C12" s="55"/>
      <c r="D12" s="55" t="s">
        <v>204</v>
      </c>
    </row>
    <row r="13" spans="1:8">
      <c r="A13" s="55" t="s">
        <v>2869</v>
      </c>
      <c r="B13" s="50">
        <f>DATOS!B23</f>
        <v>0</v>
      </c>
      <c r="C13" s="55" t="s">
        <v>2861</v>
      </c>
      <c r="D13" s="55" t="s">
        <v>204</v>
      </c>
    </row>
    <row r="14" spans="1:8">
      <c r="A14" s="55" t="s">
        <v>2870</v>
      </c>
      <c r="B14" s="50" t="str">
        <f>DATOS!B24</f>
        <v>No aplica</v>
      </c>
      <c r="C14" s="55"/>
      <c r="D14" s="55" t="s">
        <v>204</v>
      </c>
    </row>
    <row r="15" spans="1:8">
      <c r="A15" s="55" t="s">
        <v>2871</v>
      </c>
      <c r="B15" s="50">
        <f>IF(OR(B2="",B5="",B4="Otro/No especificado"),"ND",IF(B4="Masculino",IF(B2&lt;3,59.512*B5-30.4,IF(B2&lt;10,22.706*B5+504.3,IF(B2&lt;18,17.686*B5+658.2,IF(B2&lt;30,15.057*B5+692.2,IF(B2&lt;60,11.472*B5+873.1,11.711*B5+587.7))))),IF(B4="Femenino",IF(B2&lt;3,58.317*B5-31.1,IF(B2&lt;10,20.315*B5+485.9,IF(B2&lt;18,13.384*B5+692.6,IF(B2&lt;30,14.818*B5+486.6,IF(B2&lt;60,8.126*B5+845.6,9.082*B5+658.5))))),"ND")))</f>
        <v>1316.4079999999999</v>
      </c>
      <c r="C15" s="55" t="s">
        <v>87</v>
      </c>
      <c r="D15" s="55" t="s">
        <v>2872</v>
      </c>
    </row>
    <row r="16" spans="1:8">
      <c r="A16" s="55" t="s">
        <v>2873</v>
      </c>
      <c r="B16" s="50">
        <f>IF(ISNUMBER(B15),B15*B10,"ND")</f>
        <v>2106.2527999999998</v>
      </c>
      <c r="C16" s="55" t="s">
        <v>87</v>
      </c>
      <c r="D16" s="55" t="s">
        <v>2874</v>
      </c>
    </row>
    <row r="17" spans="1:4">
      <c r="A17" s="55" t="s">
        <v>2875</v>
      </c>
      <c r="B17" s="50">
        <f>ENERGÍA!E36</f>
        <v>1.5</v>
      </c>
      <c r="C17" s="55" t="s">
        <v>58</v>
      </c>
      <c r="D17" s="55" t="s">
        <v>2876</v>
      </c>
    </row>
    <row r="18" spans="1:4">
      <c r="A18" s="55" t="s">
        <v>2877</v>
      </c>
      <c r="B18" s="50">
        <f>IF(AND(ISNUMBER(B15),ISNUMBER(B17)),B15*B17,"ND")</f>
        <v>1974.6119999999999</v>
      </c>
      <c r="C18" s="55" t="s">
        <v>87</v>
      </c>
      <c r="D18" s="55" t="s">
        <v>874</v>
      </c>
    </row>
    <row r="19" spans="1:4">
      <c r="A19" s="55" t="s">
        <v>2878</v>
      </c>
      <c r="B19" s="50" t="str">
        <f>IF(OR(B2="",B5="",B4="Otro/No especificado"),"ND",IF(B2&lt;1,IF(B4="Masculino",INDEX(LISTAS!$P$2:$P$13,MATCH(MAX(1,ROUNDUP(B3,0)),LISTAS!$O$2:$O$13,0))*B5,INDEX(LISTAS!$Q$2:$Q$13,MATCH(MAX(1,ROUNDUP(B3,0)),LISTAS!$O$2:$O$13,0))*B5),IF(B2&lt;18,(IF(B4="Masculino",310.2+63.3*B5-0.263*B5^2,263.4+65.3*B5-0.454*B5^2)+IF(B4="Masculino",INDEX(LISTAS!$T$2:$T$18,MATCH(INT(B2),LISTAS!$S$2:$S$18,0)),INDEX(LISTAS!$U$2:$U$18,MATCH(INT(B2),LISTAS!$S$2:$S$18,0)))*2)*IF(B2&lt;2,0.93,1)*IF(B2&gt;=6,IF(B9="Ligera",CONFIG!$B$22,IF(B9="Intensa",CONFIG!$B$24,CONFIG!$B$23)),1),"ND")))</f>
        <v>ND</v>
      </c>
      <c r="C19" s="55" t="s">
        <v>87</v>
      </c>
      <c r="D19" s="55" t="s">
        <v>1264</v>
      </c>
    </row>
    <row r="20" spans="1:4">
      <c r="A20" s="55" t="s">
        <v>2879</v>
      </c>
      <c r="B20" s="50">
        <f>IF(OR(B2="",B5="",B6="",B4="Otro/No especificado"),"ND",IF(B2&lt;3,IF(B4="Masculino",-716.45-1*B2+17.82*B6+15.06*B5+IF(B3&lt;3,200,IF(B3&lt;6,50,20)),-69.15+80*B2+2.65*B6+54.15*B5+IF(B3&lt;3,180,IF(B3&lt;6,60,IF(B3&lt;12,20,15)))),IF(B2&lt;19,IF(B4="Masculino",(IF(B8="Inactivo",-447.51+3.68*B2+13.01*B6+13.15*B5,IF(B8="Poco activo",19.12+3.68*B2+8.62*B6+20.28*B5,IF(B8="Activo",-388.19+3.68*B2+12.66*B6+20.46*B5,-671.75+3.68*B2+15.38*B6+23.25*B5))))+(IF(B2&lt;4,20,IF(B2&lt;9,15,IF(B2&lt;14,25,20)))),(IF(B8="Inactivo",55.59-22.25*B2+8.43*B6+17.07*B5,IF(B8="Poco activo",-297.54-22.25*B2+12.77*B6+14.73*B5,IF(B8="Activo",-189.55-22.25*B2+11.74*B6+18.34*B5,-709.59-22.25*B2+18.22*B6+14.25*B5))))+(IF(B2&lt;9,15,IF(B2&lt;14,30,20)))),IF(B4="Masculino",IF(B8="Inactivo",753.07-10.83*B2+6.5*B6+14.1*B5,IF(B8="Poco activo",581.47-10.83*B2+8.3*B6+14.94*B5,IF(B8="Activo",1004.82-10.83*B2+6.52*B6+15.91*B5,-517.88-10.83*B2+15.61*B6+19.11*B5))),IF(B8="Inactivo",584.9-7.01*B2+5.72*B6+11.71*B5,IF(B8="Poco activo",575.77-7.01*B2+6.6*B6+12.14*B5,IF(B8="Activo",710.25-7.01*B2+6.54*B6+12.34*B5,511.83-7.01*B2+9.07*B6+12.56*B5)))))))</f>
        <v>2162.7599999999998</v>
      </c>
      <c r="C20" s="55" t="s">
        <v>87</v>
      </c>
      <c r="D20" s="55" t="s">
        <v>2880</v>
      </c>
    </row>
    <row r="21" spans="1:4">
      <c r="A21" s="55" t="s">
        <v>2881</v>
      </c>
      <c r="B21" s="50">
        <f>IF(B7="Ninguno",B20,IF(B7="Embarazo",IF(OR(B4&lt;&gt;"Femenino",B2&lt;14,B11&lt;0,B11&gt;42),"ND",IF(B11&lt;=13,B20,(IF(B8="Inactivo",1131.2-2.04*B2+0.34*B6+12.15*B5+9.16*B11,IF(B8="Poco activo",693.35-2.04*B2+5.73*B6+10.2*B5+9.16*B11,IF(B8="Activo",-223.84-2.04*B2+13.23*B6+8.15*B5+9.16*B11,-779.72-2.04*B2+18.45*B6+8.73*B5+9.16*B11))))+(IF(B12="Bajo peso",CONFIG!$B$25,IF(B12="Normal",CONFIG!$B$26,IF(B12="Sobrepeso",CONFIG!$B$27,CONFIG!$B$28)))))),IF(B7="Lactancia",IF(OR(B4&lt;&gt;"Femenino",B2&lt;14,B13&lt;0,B13&gt;12,B14="No aplica"),"ND",IF(ISNUMBER(B20),B20+(IF(B14="Exclusiva 0–6 meses",CONFIG!$B$29,IF(B14="Parcial 7–12 meses",CONFIG!$B$30,"ND"))),"ND")),"ND")))</f>
        <v>2162.7599999999998</v>
      </c>
      <c r="C21" s="55" t="s">
        <v>87</v>
      </c>
      <c r="D21" s="55" t="s">
        <v>2882</v>
      </c>
    </row>
    <row r="22" spans="1:4">
      <c r="A22" s="55" t="s">
        <v>2883</v>
      </c>
      <c r="B22" s="50" t="str">
        <f>DATOS!B19</f>
        <v>Schofield × PAL</v>
      </c>
      <c r="C22" s="55"/>
      <c r="D22" s="55" t="s">
        <v>204</v>
      </c>
    </row>
    <row r="23" spans="1:4">
      <c r="A23" s="55" t="s">
        <v>2884</v>
      </c>
      <c r="B23" s="50">
        <f>IF(B22="FAO 2004 (0–18 años)",B19,IF(B22="Schofield × PAL",B16,IF(B22="Método factorial",B18,IF(B22="NASEM EER 2023",B21,IF(B22="Manual",DATOS!B32,"ND")))))</f>
        <v>2106.2527999999998</v>
      </c>
      <c r="C23" s="55" t="s">
        <v>87</v>
      </c>
      <c r="D23" s="55" t="s">
        <v>2885</v>
      </c>
    </row>
    <row r="24" spans="1:4" ht="24" customHeight="1">
      <c r="A24" s="55" t="s">
        <v>2886</v>
      </c>
      <c r="B24" s="50" t="str">
        <f>IF(B7&lt;&gt;"Ninguno","NASEM EER 2023 por etapa fisiológica",IF(B2&lt;18,"FAO 2004 y NASEM 2023 como comparación","Schofield × PAL y NASEM 2023 como comparación"))</f>
        <v>Schofield × PAL y NASEM 2023 como comparación</v>
      </c>
      <c r="C24" s="55"/>
      <c r="D24" s="55" t="s">
        <v>2887</v>
      </c>
    </row>
    <row r="25" spans="1:4">
      <c r="A25" s="55" t="s">
        <v>2888</v>
      </c>
      <c r="B25" s="50">
        <f>IF(AND(ISNUMBER(B21),ISNUMBER(B16)),(B21-B16)/B16*100,"ND")</f>
        <v>2.6828308548717428</v>
      </c>
      <c r="C25" s="55" t="s">
        <v>136</v>
      </c>
      <c r="D25" s="55" t="s">
        <v>2889</v>
      </c>
    </row>
    <row r="26" spans="1:4">
      <c r="A26" s="55" t="s">
        <v>2890</v>
      </c>
      <c r="B26" s="50" t="str">
        <f>IF(OR(B2="",B5="",B6=""),"FALTAN DATOS",IF(B4="Otro/No especificado","NO APLICABLE: ecuaciones separadas por sexo",IF(AND(B7="Embarazo",OR(B11&lt;0,B11&gt;42)),"REVISAR SEMANAS DE GESTACIÓN",IF(AND(B7="Lactancia",OR(B13&lt;0,B13&gt;12,B14="No aplica")),"REVISAR DATOS DE LACTANCIA",IF(AND(B22="FAO 2004 (0–18 años)",B2&gt;=18),"FAO PEDIÁTRICO NO APLICA ≥18 AÑOS","OK CON LIMITACIONES")))))</f>
        <v>OK CON LIMITACIONES</v>
      </c>
      <c r="C26" s="55"/>
      <c r="D26" s="55" t="s">
        <v>2891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P211"/>
  <sheetViews>
    <sheetView workbookViewId="0"/>
  </sheetViews>
  <sheetFormatPr baseColWidth="10" defaultColWidth="9" defaultRowHeight="14.25"/>
  <cols>
    <col min="1" max="1" width="31" style="30" customWidth="1"/>
    <col min="2" max="2" width="24" style="30" customWidth="1"/>
    <col min="3" max="3" width="15" style="30" customWidth="1"/>
    <col min="4" max="4" width="43" style="30" customWidth="1"/>
  </cols>
  <sheetData>
    <row r="1" spans="1:42" ht="30" customHeight="1">
      <c r="A1" s="8" t="s">
        <v>212</v>
      </c>
      <c r="B1" s="8" t="s">
        <v>153</v>
      </c>
      <c r="C1" s="8" t="s">
        <v>156</v>
      </c>
      <c r="D1" s="8" t="s">
        <v>112</v>
      </c>
      <c r="E1" s="5"/>
      <c r="F1" s="5"/>
      <c r="G1" s="5"/>
      <c r="H1" s="244" t="s">
        <v>2892</v>
      </c>
      <c r="I1" s="152"/>
      <c r="J1" s="152"/>
      <c r="K1" s="152"/>
      <c r="L1" s="152"/>
      <c r="M1" s="152"/>
      <c r="N1" s="152"/>
      <c r="O1" s="152"/>
      <c r="P1" s="152"/>
      <c r="Q1" s="152"/>
      <c r="R1" s="152"/>
      <c r="S1" s="152"/>
      <c r="T1" s="152"/>
      <c r="U1" s="152"/>
      <c r="V1" s="152"/>
      <c r="W1" s="152"/>
      <c r="X1" s="152"/>
      <c r="Y1" s="152"/>
      <c r="Z1" s="152"/>
      <c r="AA1" s="152"/>
      <c r="AB1" s="152"/>
      <c r="AC1" s="152"/>
      <c r="AD1" s="152"/>
      <c r="AE1" s="152"/>
      <c r="AF1" s="152"/>
      <c r="AJ1" s="15" t="s">
        <v>2893</v>
      </c>
      <c r="AK1" s="15" t="s">
        <v>368</v>
      </c>
      <c r="AL1" s="15" t="s">
        <v>341</v>
      </c>
      <c r="AM1" s="15" t="s">
        <v>342</v>
      </c>
      <c r="AN1" s="15" t="s">
        <v>113</v>
      </c>
      <c r="AO1" s="15" t="s">
        <v>2894</v>
      </c>
      <c r="AP1" s="15" t="s">
        <v>156</v>
      </c>
    </row>
    <row r="2" spans="1:42" ht="45" customHeight="1">
      <c r="A2" s="55" t="s">
        <v>2895</v>
      </c>
      <c r="B2" s="50">
        <f>CALCULOS_ENERGÍA!B23</f>
        <v>2106.2527999999998</v>
      </c>
      <c r="C2" s="55" t="s">
        <v>87</v>
      </c>
      <c r="D2" s="55" t="s">
        <v>688</v>
      </c>
      <c r="H2" s="115" t="s">
        <v>341</v>
      </c>
      <c r="I2" s="115" t="s">
        <v>344</v>
      </c>
      <c r="J2" s="115" t="s">
        <v>226</v>
      </c>
      <c r="K2" s="115" t="s">
        <v>234</v>
      </c>
      <c r="L2" s="115" t="s">
        <v>237</v>
      </c>
      <c r="M2" s="115" t="s">
        <v>240</v>
      </c>
      <c r="N2" s="115" t="s">
        <v>244</v>
      </c>
      <c r="O2" s="115" t="s">
        <v>247</v>
      </c>
      <c r="P2" s="115" t="s">
        <v>251</v>
      </c>
      <c r="Q2" s="115" t="s">
        <v>256</v>
      </c>
      <c r="R2" s="115" t="s">
        <v>259</v>
      </c>
      <c r="S2" s="115" t="s">
        <v>263</v>
      </c>
      <c r="T2" s="115" t="s">
        <v>267</v>
      </c>
      <c r="U2" s="115" t="s">
        <v>273</v>
      </c>
      <c r="V2" s="115" t="s">
        <v>276</v>
      </c>
      <c r="W2" s="115" t="s">
        <v>279</v>
      </c>
      <c r="X2" s="115" t="s">
        <v>281</v>
      </c>
      <c r="Y2" s="115" t="s">
        <v>286</v>
      </c>
      <c r="Z2" s="115" t="s">
        <v>290</v>
      </c>
      <c r="AA2" s="115" t="s">
        <v>293</v>
      </c>
      <c r="AB2" s="115" t="s">
        <v>297</v>
      </c>
      <c r="AC2" s="115" t="s">
        <v>300</v>
      </c>
      <c r="AD2" s="115" t="s">
        <v>303</v>
      </c>
      <c r="AE2" s="115" t="s">
        <v>306</v>
      </c>
      <c r="AF2" s="115" t="s">
        <v>310</v>
      </c>
      <c r="AJ2" t="s">
        <v>225</v>
      </c>
      <c r="AK2">
        <v>1</v>
      </c>
      <c r="AL2" t="s">
        <v>1060</v>
      </c>
      <c r="AM2" t="s">
        <v>2751</v>
      </c>
      <c r="AN2" t="s">
        <v>1614</v>
      </c>
      <c r="AO2">
        <v>800</v>
      </c>
      <c r="AP2" t="s">
        <v>230</v>
      </c>
    </row>
    <row r="3" spans="1:42" ht="15" customHeight="1">
      <c r="A3" s="55" t="s">
        <v>2858</v>
      </c>
      <c r="B3" s="50">
        <f>CALCULOS_ENERGÍA!B2</f>
        <v>25</v>
      </c>
      <c r="C3" s="55" t="s">
        <v>85</v>
      </c>
      <c r="D3" s="55" t="s">
        <v>204</v>
      </c>
      <c r="H3" s="115"/>
      <c r="I3" s="115"/>
      <c r="J3" s="115" t="s">
        <v>225</v>
      </c>
      <c r="K3" s="115" t="s">
        <v>233</v>
      </c>
      <c r="L3" s="115" t="s">
        <v>236</v>
      </c>
      <c r="M3" s="115" t="s">
        <v>239</v>
      </c>
      <c r="N3" s="115" t="s">
        <v>243</v>
      </c>
      <c r="O3" s="115" t="s">
        <v>246</v>
      </c>
      <c r="P3" s="115" t="s">
        <v>250</v>
      </c>
      <c r="Q3" s="115" t="s">
        <v>255</v>
      </c>
      <c r="R3" s="115" t="s">
        <v>258</v>
      </c>
      <c r="S3" s="115" t="s">
        <v>262</v>
      </c>
      <c r="T3" s="115" t="s">
        <v>266</v>
      </c>
      <c r="U3" s="115" t="s">
        <v>272</v>
      </c>
      <c r="V3" s="115" t="s">
        <v>275</v>
      </c>
      <c r="W3" s="115" t="s">
        <v>278</v>
      </c>
      <c r="X3" s="115" t="s">
        <v>280</v>
      </c>
      <c r="Y3" s="115" t="s">
        <v>285</v>
      </c>
      <c r="Z3" s="115" t="s">
        <v>289</v>
      </c>
      <c r="AA3" s="115" t="s">
        <v>292</v>
      </c>
      <c r="AB3" s="115" t="s">
        <v>296</v>
      </c>
      <c r="AC3" s="115" t="s">
        <v>299</v>
      </c>
      <c r="AD3" s="115" t="s">
        <v>302</v>
      </c>
      <c r="AE3" s="115" t="s">
        <v>305</v>
      </c>
      <c r="AF3" s="115" t="s">
        <v>309</v>
      </c>
      <c r="AJ3" t="s">
        <v>225</v>
      </c>
      <c r="AK3">
        <v>2</v>
      </c>
      <c r="AL3" t="s">
        <v>2705</v>
      </c>
      <c r="AM3" t="s">
        <v>2629</v>
      </c>
      <c r="AN3" t="s">
        <v>1614</v>
      </c>
      <c r="AO3">
        <v>123.6</v>
      </c>
      <c r="AP3" t="s">
        <v>230</v>
      </c>
    </row>
    <row r="4" spans="1:42" ht="45" customHeight="1">
      <c r="A4" s="55" t="s">
        <v>39</v>
      </c>
      <c r="B4" s="50" t="str">
        <f>DATOS!B13</f>
        <v>Femenino</v>
      </c>
      <c r="C4" s="55"/>
      <c r="D4" s="55" t="s">
        <v>204</v>
      </c>
      <c r="H4" s="115"/>
      <c r="I4" s="115"/>
      <c r="J4" s="115" t="s">
        <v>1607</v>
      </c>
      <c r="K4" s="115" t="s">
        <v>1608</v>
      </c>
      <c r="L4" s="115" t="s">
        <v>1609</v>
      </c>
      <c r="M4" s="115" t="s">
        <v>1604</v>
      </c>
      <c r="N4" s="115" t="s">
        <v>1605</v>
      </c>
      <c r="O4" s="115" t="s">
        <v>1610</v>
      </c>
      <c r="P4" s="115" t="s">
        <v>1603</v>
      </c>
      <c r="Q4" s="115" t="s">
        <v>1606</v>
      </c>
      <c r="R4" s="115" t="s">
        <v>1602</v>
      </c>
      <c r="S4" s="115"/>
      <c r="T4" s="115" t="s">
        <v>1590</v>
      </c>
      <c r="U4" s="115" t="s">
        <v>1592</v>
      </c>
      <c r="V4" s="115" t="s">
        <v>1593</v>
      </c>
      <c r="W4" s="115" t="s">
        <v>1594</v>
      </c>
      <c r="X4" s="115" t="s">
        <v>1591</v>
      </c>
      <c r="Y4" s="115" t="s">
        <v>1595</v>
      </c>
      <c r="Z4" s="115" t="s">
        <v>1596</v>
      </c>
      <c r="AA4" s="115" t="s">
        <v>1597</v>
      </c>
      <c r="AB4" s="115" t="s">
        <v>1599</v>
      </c>
      <c r="AC4" s="115" t="s">
        <v>1598</v>
      </c>
      <c r="AD4" s="115"/>
      <c r="AE4" s="115" t="s">
        <v>1601</v>
      </c>
      <c r="AF4" s="115" t="s">
        <v>1600</v>
      </c>
      <c r="AJ4" t="s">
        <v>225</v>
      </c>
      <c r="AK4">
        <v>3</v>
      </c>
      <c r="AL4" t="s">
        <v>2633</v>
      </c>
      <c r="AM4" t="s">
        <v>2629</v>
      </c>
      <c r="AN4" t="s">
        <v>1614</v>
      </c>
      <c r="AO4">
        <v>89.8</v>
      </c>
      <c r="AP4" t="s">
        <v>230</v>
      </c>
    </row>
    <row r="5" spans="1:42">
      <c r="A5" s="55" t="s">
        <v>113</v>
      </c>
      <c r="B5" s="50" t="str">
        <f>DATOS!B16</f>
        <v>Ninguno</v>
      </c>
      <c r="C5" s="55"/>
      <c r="D5" s="55" t="s">
        <v>204</v>
      </c>
      <c r="H5" s="78" t="str">
        <f>FUENTES_ALIMENTARIAS!B13</f>
        <v>Mango</v>
      </c>
      <c r="I5" s="78">
        <f>FUENTES_ALIMENTARIAS!F13</f>
        <v>150</v>
      </c>
      <c r="J5" s="78">
        <f>IFERROR(IF(($H5)="","",IF(NOT(ISNUMBER(($I5))),"",IF((J$4)="","ND",IF(ISNUMBER((INDEX(ALIMENTOS_INTA!$D$8:$AO$625,(MATCH(($H5),ALIMENTOS_INTA!$E$8:$E$625,0)),(MATCH((J$4),ALIMENTOS_INTA!$D$7:$AO$7,0))))),(INDEX(ALIMENTOS_INTA!$D$8:$AO$625,(MATCH(($H5),ALIMENTOS_INTA!$E$8:$E$625,0)),(MATCH((J$4),ALIMENTOS_INTA!$D$7:$AO$7,0))))*($I5)/100,"ND")))),"ND")</f>
        <v>0.3</v>
      </c>
      <c r="K5" s="78">
        <f>IFERROR(IF(($H5)="","",IF(NOT(ISNUMBER(($I5))),"",IF((K$4)="","ND",IF(ISNUMBER((INDEX(ALIMENTOS_INTA!$D$8:$AO$625,(MATCH(($H5),ALIMENTOS_INTA!$E$8:$E$625,0)),(MATCH((K$4),ALIMENTOS_INTA!$D$7:$AO$7,0))))),(INDEX(ALIMENTOS_INTA!$D$8:$AO$625,(MATCH(($H5),ALIMENTOS_INTA!$E$8:$E$625,0)),(MATCH((K$4),ALIMENTOS_INTA!$D$7:$AO$7,0))))*($I5)/100,"ND")))),"ND")</f>
        <v>0.15</v>
      </c>
      <c r="L5" s="78">
        <f>IFERROR(IF(($H5)="","",IF(NOT(ISNUMBER(($I5))),"",IF((L$4)="","ND",IF(ISNUMBER((INDEX(ALIMENTOS_INTA!$D$8:$AO$625,(MATCH(($H5),ALIMENTOS_INTA!$E$8:$E$625,0)),(MATCH((L$4),ALIMENTOS_INTA!$D$7:$AO$7,0))))),(INDEX(ALIMENTOS_INTA!$D$8:$AO$625,(MATCH(($H5),ALIMENTOS_INTA!$E$8:$E$625,0)),(MATCH((L$4),ALIMENTOS_INTA!$D$7:$AO$7,0))))*($I5)/100,"ND")))),"ND")</f>
        <v>0.15</v>
      </c>
      <c r="M5" s="78">
        <f>IFERROR(IF(($H5)="","",IF(NOT(ISNUMBER(($I5))),"",IF((M$4)="","ND",IF(ISNUMBER((INDEX(ALIMENTOS_INTA!$D$8:$AO$625,(MATCH(($H5),ALIMENTOS_INTA!$E$8:$E$625,0)),(MATCH((M$4),ALIMENTOS_INTA!$D$7:$AO$7,0))))),(INDEX(ALIMENTOS_INTA!$D$8:$AO$625,(MATCH(($H5),ALIMENTOS_INTA!$E$8:$E$625,0)),(MATCH((M$4),ALIMENTOS_INTA!$D$7:$AO$7,0))))*($I5)/100,"ND")))),"ND")</f>
        <v>16.5</v>
      </c>
      <c r="N5" s="78">
        <f>IFERROR(IF(($H5)="","",IF(NOT(ISNUMBER(($I5))),"",IF((N$4)="","ND",IF(ISNUMBER((INDEX(ALIMENTOS_INTA!$D$8:$AO$625,(MATCH(($H5),ALIMENTOS_INTA!$E$8:$E$625,0)),(MATCH((N$4),ALIMENTOS_INTA!$D$7:$AO$7,0))))),(INDEX(ALIMENTOS_INTA!$D$8:$AO$625,(MATCH(($H5),ALIMENTOS_INTA!$E$8:$E$625,0)),(MATCH((N$4),ALIMENTOS_INTA!$D$7:$AO$7,0))))*($I5)/100,"ND")))),"ND")</f>
        <v>21</v>
      </c>
      <c r="O5" s="78">
        <f>IFERROR(IF(($H5)="","",IF(NOT(ISNUMBER(($I5))),"",IF((O$4)="","ND",IF(ISNUMBER((INDEX(ALIMENTOS_INTA!$D$8:$AO$625,(MATCH(($H5),ALIMENTOS_INTA!$E$8:$E$625,0)),(MATCH((O$4),ALIMENTOS_INTA!$D$7:$AO$7,0))))),(INDEX(ALIMENTOS_INTA!$D$8:$AO$625,(MATCH(($H5),ALIMENTOS_INTA!$E$8:$E$625,0)),(MATCH((O$4),ALIMENTOS_INTA!$D$7:$AO$7,0))))*($I5)/100,"ND")))),"ND")</f>
        <v>0.9</v>
      </c>
      <c r="P5" s="78">
        <f>IFERROR(IF(($H5)="","",IF(NOT(ISNUMBER(($I5))),"",IF((P$4)="","ND",IF(ISNUMBER((INDEX(ALIMENTOS_INTA!$D$8:$AO$625,(MATCH(($H5),ALIMENTOS_INTA!$E$8:$E$625,0)),(MATCH((P$4),ALIMENTOS_INTA!$D$7:$AO$7,0))))),(INDEX(ALIMENTOS_INTA!$D$8:$AO$625,(MATCH(($H5),ALIMENTOS_INTA!$E$8:$E$625,0)),(MATCH((P$4),ALIMENTOS_INTA!$D$7:$AO$7,0))))*($I5)/100,"ND")))),"ND")</f>
        <v>252</v>
      </c>
      <c r="Q5" s="78">
        <f>IFERROR(IF(($H5)="","",IF(NOT(ISNUMBER(($I5))),"",IF((Q$4)="","ND",IF(ISNUMBER((INDEX(ALIMENTOS_INTA!$D$8:$AO$625,(MATCH(($H5),ALIMENTOS_INTA!$E$8:$E$625,0)),(MATCH((Q$4),ALIMENTOS_INTA!$D$7:$AO$7,0))))),(INDEX(ALIMENTOS_INTA!$D$8:$AO$625,(MATCH(($H5),ALIMENTOS_INTA!$E$8:$E$625,0)),(MATCH((Q$4),ALIMENTOS_INTA!$D$7:$AO$7,0))))*($I5)/100,"ND")))),"ND")</f>
        <v>15</v>
      </c>
      <c r="R5" s="78">
        <f>IFERROR(IF(($H5)="","",IF(NOT(ISNUMBER(($I5))),"",IF((R$4)="","ND",IF(ISNUMBER((INDEX(ALIMENTOS_INTA!$D$8:$AO$625,(MATCH(($H5),ALIMENTOS_INTA!$E$8:$E$625,0)),(MATCH((R$4),ALIMENTOS_INTA!$D$7:$AO$7,0))))),(INDEX(ALIMENTOS_INTA!$D$8:$AO$625,(MATCH(($H5),ALIMENTOS_INTA!$E$8:$E$625,0)),(MATCH((R$4),ALIMENTOS_INTA!$D$7:$AO$7,0))))*($I5)/100,"ND")))),"ND")</f>
        <v>1.5</v>
      </c>
      <c r="S5" s="78" t="str">
        <f>IFERROR(IF(($H5)="","",IF(NOT(ISNUMBER(($I5))),"",IF((S$4)="","ND",IF(ISNUMBER((INDEX(ALIMENTOS_INTA!$D$8:$AO$625,(MATCH(($H5),ALIMENTOS_INTA!$E$8:$E$625,0)),(MATCH((S$4),ALIMENTOS_INTA!$D$7:$AO$7,0))))),(INDEX(ALIMENTOS_INTA!$D$8:$AO$625,(MATCH(($H5),ALIMENTOS_INTA!$E$8:$E$625,0)),(MATCH((S$4),ALIMENTOS_INTA!$D$7:$AO$7,0))))*($I5)/100,"ND")))),"ND")</f>
        <v>ND</v>
      </c>
      <c r="T5" s="78">
        <f>IFERROR(IF(($H5)="","",IF(NOT(ISNUMBER(($I5))),"",IF((T$4)="","ND",IF(ISNUMBER((INDEX(ALIMENTOS_INTA!$D$8:$AO$625,(MATCH(($H5),ALIMENTOS_INTA!$E$8:$E$625,0)),(MATCH((T$4),ALIMENTOS_INTA!$D$7:$AO$7,0))))),(INDEX(ALIMENTOS_INTA!$D$8:$AO$625,(MATCH(($H5),ALIMENTOS_INTA!$E$8:$E$625,0)),(MATCH((T$4),ALIMENTOS_INTA!$D$7:$AO$7,0))))*($I5)/100,"ND")))),"ND")</f>
        <v>81</v>
      </c>
      <c r="U5" s="78">
        <f>IFERROR(IF(($H5)="","",IF(NOT(ISNUMBER(($I5))),"",IF((U$4)="","ND",IF(ISNUMBER((INDEX(ALIMENTOS_INTA!$D$8:$AO$625,(MATCH(($H5),ALIMENTOS_INTA!$E$8:$E$625,0)),(MATCH((U$4),ALIMENTOS_INTA!$D$7:$AO$7,0))))),(INDEX(ALIMENTOS_INTA!$D$8:$AO$625,(MATCH(($H5),ALIMENTOS_INTA!$E$8:$E$625,0)),(MATCH((U$4),ALIMENTOS_INTA!$D$7:$AO$7,0))))*($I5)/100,"ND")))),"ND")</f>
        <v>0</v>
      </c>
      <c r="V5" s="78">
        <f>IFERROR(IF(($H5)="","",IF(NOT(ISNUMBER(($I5))),"",IF((V$4)="","ND",IF(ISNUMBER((INDEX(ALIMENTOS_INTA!$D$8:$AO$625,(MATCH(($H5),ALIMENTOS_INTA!$E$8:$E$625,0)),(MATCH((V$4),ALIMENTOS_INTA!$D$7:$AO$7,0))))),(INDEX(ALIMENTOS_INTA!$D$8:$AO$625,(MATCH(($H5),ALIMENTOS_INTA!$E$8:$E$625,0)),(MATCH((V$4),ALIMENTOS_INTA!$D$7:$AO$7,0))))*($I5)/100,"ND")))),"ND")</f>
        <v>1.35</v>
      </c>
      <c r="W5" s="78">
        <f>IFERROR(IF(($H5)="","",IF(NOT(ISNUMBER(($I5))),"",IF((W$4)="","ND",IF(ISNUMBER((INDEX(ALIMENTOS_INTA!$D$8:$AO$625,(MATCH(($H5),ALIMENTOS_INTA!$E$8:$E$625,0)),(MATCH((W$4),ALIMENTOS_INTA!$D$7:$AO$7,0))))),(INDEX(ALIMENTOS_INTA!$D$8:$AO$625,(MATCH(($H5),ALIMENTOS_INTA!$E$8:$E$625,0)),(MATCH((W$4),ALIMENTOS_INTA!$D$7:$AO$7,0))))*($I5)/100,"ND")))),"ND")</f>
        <v>6.3</v>
      </c>
      <c r="X5" s="78">
        <f>IFERROR(IF(($H5)="","",IF(NOT(ISNUMBER(($I5))),"",IF((X$4)="","ND",IF(ISNUMBER((INDEX(ALIMENTOS_INTA!$D$8:$AO$625,(MATCH(($H5),ALIMENTOS_INTA!$E$8:$E$625,0)),(MATCH((X$4),ALIMENTOS_INTA!$D$7:$AO$7,0))))),(INDEX(ALIMENTOS_INTA!$D$8:$AO$625,(MATCH(($H5),ALIMENTOS_INTA!$E$8:$E$625,0)),(MATCH((X$4),ALIMENTOS_INTA!$D$7:$AO$7,0))))*($I5)/100,"ND")))),"ND")</f>
        <v>54.6</v>
      </c>
      <c r="Y5" s="78">
        <f>IFERROR(IF(($H5)="","",IF(NOT(ISNUMBER(($I5))),"",IF((Y$4)="","ND",IF(ISNUMBER((INDEX(ALIMENTOS_INTA!$D$8:$AO$625,(MATCH(($H5),ALIMENTOS_INTA!$E$8:$E$625,0)),(MATCH((Y$4),ALIMENTOS_INTA!$D$7:$AO$7,0))))),(INDEX(ALIMENTOS_INTA!$D$8:$AO$625,(MATCH(($H5),ALIMENTOS_INTA!$E$8:$E$625,0)),(MATCH((Y$4),ALIMENTOS_INTA!$D$7:$AO$7,0))))*($I5)/100,"ND")))),"ND")</f>
        <v>0.15</v>
      </c>
      <c r="Z5" s="78">
        <f>IFERROR(IF(($H5)="","",IF(NOT(ISNUMBER(($I5))),"",IF((Z$4)="","ND",IF(ISNUMBER((INDEX(ALIMENTOS_INTA!$D$8:$AO$625,(MATCH(($H5),ALIMENTOS_INTA!$E$8:$E$625,0)),(MATCH((Z$4),ALIMENTOS_INTA!$D$7:$AO$7,0))))),(INDEX(ALIMENTOS_INTA!$D$8:$AO$625,(MATCH(($H5),ALIMENTOS_INTA!$E$8:$E$625,0)),(MATCH((Z$4),ALIMENTOS_INTA!$D$7:$AO$7,0))))*($I5)/100,"ND")))),"ND")</f>
        <v>0</v>
      </c>
      <c r="AA5" s="78">
        <f>IFERROR(IF(($H5)="","",IF(NOT(ISNUMBER(($I5))),"",IF((AA$4)="","ND",IF(ISNUMBER((INDEX(ALIMENTOS_INTA!$D$8:$AO$625,(MATCH(($H5),ALIMENTOS_INTA!$E$8:$E$625,0)),(MATCH((AA$4),ALIMENTOS_INTA!$D$7:$AO$7,0))))),(INDEX(ALIMENTOS_INTA!$D$8:$AO$625,(MATCH(($H5),ALIMENTOS_INTA!$E$8:$E$625,0)),(MATCH((AA$4),ALIMENTOS_INTA!$D$7:$AO$7,0))))*($I5)/100,"ND")))),"ND")</f>
        <v>1.05</v>
      </c>
      <c r="AB5" s="78">
        <f>IFERROR(IF(($H5)="","",IF(NOT(ISNUMBER(($I5))),"",IF((AB$4)="","ND",IF(ISNUMBER((INDEX(ALIMENTOS_INTA!$D$8:$AO$625,(MATCH(($H5),ALIMENTOS_INTA!$E$8:$E$625,0)),(MATCH((AB$4),ALIMENTOS_INTA!$D$7:$AO$7,0))))),(INDEX(ALIMENTOS_INTA!$D$8:$AO$625,(MATCH(($H5),ALIMENTOS_INTA!$E$8:$E$625,0)),(MATCH((AB$4),ALIMENTOS_INTA!$D$7:$AO$7,0))))*($I5)/100,"ND")))),"ND")</f>
        <v>0.3</v>
      </c>
      <c r="AC5" s="78">
        <f>IFERROR(IF(($H5)="","",IF(NOT(ISNUMBER(($I5))),"",IF((AC$4)="","ND",IF(ISNUMBER((INDEX(ALIMENTOS_INTA!$D$8:$AO$625,(MATCH(($H5),ALIMENTOS_INTA!$E$8:$E$625,0)),(MATCH((AC$4),ALIMENTOS_INTA!$D$7:$AO$7,0))))),(INDEX(ALIMENTOS_INTA!$D$8:$AO$625,(MATCH(($H5),ALIMENTOS_INTA!$E$8:$E$625,0)),(MATCH((AC$4),ALIMENTOS_INTA!$D$7:$AO$7,0))))*($I5)/100,"ND")))),"ND")</f>
        <v>0.15</v>
      </c>
      <c r="AD5" s="78" t="str">
        <f>IFERROR(IF(($H5)="","",IF(NOT(ISNUMBER(($I5))),"",IF((AD$4)="","ND",IF(ISNUMBER((INDEX(ALIMENTOS_INTA!$D$8:$AO$625,(MATCH(($H5),ALIMENTOS_INTA!$E$8:$E$625,0)),(MATCH((AD$4),ALIMENTOS_INTA!$D$7:$AO$7,0))))),(INDEX(ALIMENTOS_INTA!$D$8:$AO$625,(MATCH(($H5),ALIMENTOS_INTA!$E$8:$E$625,0)),(MATCH((AD$4),ALIMENTOS_INTA!$D$7:$AO$7,0))))*($I5)/100,"ND")))),"ND")</f>
        <v>ND</v>
      </c>
      <c r="AE5" s="78">
        <f>IFERROR(IF(($H5)="","",IF(NOT(ISNUMBER(($I5))),"",IF((AE$4)="","ND",IF(ISNUMBER((INDEX(ALIMENTOS_INTA!$D$8:$AO$625,(MATCH(($H5),ALIMENTOS_INTA!$E$8:$E$625,0)),(MATCH((AE$4),ALIMENTOS_INTA!$D$7:$AO$7,0))))),(INDEX(ALIMENTOS_INTA!$D$8:$AO$625,(MATCH(($H5),ALIMENTOS_INTA!$E$8:$E$625,0)),(MATCH((AE$4),ALIMENTOS_INTA!$D$7:$AO$7,0))))*($I5)/100,"ND")))),"ND")</f>
        <v>64.5</v>
      </c>
      <c r="AF5" s="78">
        <f>IFERROR(IF(($H5)="","",IF(NOT(ISNUMBER(($I5))),"",IF((AF$4)="","ND",IF(ISNUMBER((INDEX(ALIMENTOS_INTA!$D$8:$AO$625,(MATCH(($H5),ALIMENTOS_INTA!$E$8:$E$625,0)),(MATCH((AF$4),ALIMENTOS_INTA!$D$7:$AO$7,0))))),(INDEX(ALIMENTOS_INTA!$D$8:$AO$625,(MATCH(($H5),ALIMENTOS_INTA!$E$8:$E$625,0)),(MATCH((AF$4),ALIMENTOS_INTA!$D$7:$AO$7,0))))*($I5)/100,"ND")))),"ND")</f>
        <v>0</v>
      </c>
      <c r="AJ5" t="s">
        <v>225</v>
      </c>
      <c r="AK5">
        <v>4</v>
      </c>
      <c r="AL5" t="s">
        <v>2667</v>
      </c>
      <c r="AM5" t="s">
        <v>2629</v>
      </c>
      <c r="AN5" t="s">
        <v>1614</v>
      </c>
      <c r="AO5">
        <v>87.5</v>
      </c>
      <c r="AP5" t="s">
        <v>230</v>
      </c>
    </row>
    <row r="6" spans="1:42">
      <c r="A6" s="55" t="s">
        <v>42</v>
      </c>
      <c r="B6" s="50">
        <f>DATOS!B14</f>
        <v>56</v>
      </c>
      <c r="C6" s="55" t="s">
        <v>43</v>
      </c>
      <c r="D6" s="55" t="s">
        <v>204</v>
      </c>
      <c r="H6" s="78" t="str">
        <f>FUENTES_ALIMENTARIAS!B14</f>
        <v>Higado de vacuno cocido</v>
      </c>
      <c r="I6" s="78">
        <f>FUENTES_ALIMENTARIAS!F14</f>
        <v>100</v>
      </c>
      <c r="J6" s="78">
        <f>IFERROR(IF(($H6)="","",IF(NOT(ISNUMBER(($I6))),"",IF((J$4)="","ND",IF(ISNUMBER((INDEX(ALIMENTOS_INTA!$D$8:$AO$625,(MATCH(($H6),ALIMENTOS_INTA!$E$8:$E$625,0)),(MATCH((J$4),ALIMENTOS_INTA!$D$7:$AO$7,0))))),(INDEX(ALIMENTOS_INTA!$D$8:$AO$625,(MATCH(($H6),ALIMENTOS_INTA!$E$8:$E$625,0)),(MATCH((J$4),ALIMENTOS_INTA!$D$7:$AO$7,0))))*($I6)/100,"ND")))),"ND")</f>
        <v>6.5</v>
      </c>
      <c r="K6" s="78">
        <f>IFERROR(IF(($H6)="","",IF(NOT(ISNUMBER(($I6))),"",IF((K$4)="","ND",IF(ISNUMBER((INDEX(ALIMENTOS_INTA!$D$8:$AO$625,(MATCH(($H6),ALIMENTOS_INTA!$E$8:$E$625,0)),(MATCH((K$4),ALIMENTOS_INTA!$D$7:$AO$7,0))))),(INDEX(ALIMENTOS_INTA!$D$8:$AO$625,(MATCH(($H6),ALIMENTOS_INTA!$E$8:$E$625,0)),(MATCH((K$4),ALIMENTOS_INTA!$D$7:$AO$7,0))))*($I6)/100,"ND")))),"ND")</f>
        <v>5.3</v>
      </c>
      <c r="L6" s="78">
        <f>IFERROR(IF(($H6)="","",IF(NOT(ISNUMBER(($I6))),"",IF((L$4)="","ND",IF(ISNUMBER((INDEX(ALIMENTOS_INTA!$D$8:$AO$625,(MATCH(($H6),ALIMENTOS_INTA!$E$8:$E$625,0)),(MATCH((L$4),ALIMENTOS_INTA!$D$7:$AO$7,0))))),(INDEX(ALIMENTOS_INTA!$D$8:$AO$625,(MATCH(($H6),ALIMENTOS_INTA!$E$8:$E$625,0)),(MATCH((L$4),ALIMENTOS_INTA!$D$7:$AO$7,0))))*($I6)/100,"ND")))),"ND")</f>
        <v>14.3</v>
      </c>
      <c r="M6" s="78">
        <f>IFERROR(IF(($H6)="","",IF(NOT(ISNUMBER(($I6))),"",IF((M$4)="","ND",IF(ISNUMBER((INDEX(ALIMENTOS_INTA!$D$8:$AO$625,(MATCH(($H6),ALIMENTOS_INTA!$E$8:$E$625,0)),(MATCH((M$4),ALIMENTOS_INTA!$D$7:$AO$7,0))))),(INDEX(ALIMENTOS_INTA!$D$8:$AO$625,(MATCH(($H6),ALIMENTOS_INTA!$E$8:$E$625,0)),(MATCH((M$4),ALIMENTOS_INTA!$D$7:$AO$7,0))))*($I6)/100,"ND")))),"ND")</f>
        <v>6</v>
      </c>
      <c r="N6" s="78">
        <f>IFERROR(IF(($H6)="","",IF(NOT(ISNUMBER(($I6))),"",IF((N$4)="","ND",IF(ISNUMBER((INDEX(ALIMENTOS_INTA!$D$8:$AO$625,(MATCH(($H6),ALIMENTOS_INTA!$E$8:$E$625,0)),(MATCH((N$4),ALIMENTOS_INTA!$D$7:$AO$7,0))))),(INDEX(ALIMENTOS_INTA!$D$8:$AO$625,(MATCH(($H6),ALIMENTOS_INTA!$E$8:$E$625,0)),(MATCH((N$4),ALIMENTOS_INTA!$D$7:$AO$7,0))))*($I6)/100,"ND")))),"ND")</f>
        <v>497</v>
      </c>
      <c r="O6" s="78">
        <f>IFERROR(IF(($H6)="","",IF(NOT(ISNUMBER(($I6))),"",IF((O$4)="","ND",IF(ISNUMBER((INDEX(ALIMENTOS_INTA!$D$8:$AO$625,(MATCH(($H6),ALIMENTOS_INTA!$E$8:$E$625,0)),(MATCH((O$4),ALIMENTOS_INTA!$D$7:$AO$7,0))))),(INDEX(ALIMENTOS_INTA!$D$8:$AO$625,(MATCH(($H6),ALIMENTOS_INTA!$E$8:$E$625,0)),(MATCH((O$4),ALIMENTOS_INTA!$D$7:$AO$7,0))))*($I6)/100,"ND")))),"ND")</f>
        <v>36.1</v>
      </c>
      <c r="P6" s="78">
        <f>IFERROR(IF(($H6)="","",IF(NOT(ISNUMBER(($I6))),"",IF((P$4)="","ND",IF(ISNUMBER((INDEX(ALIMENTOS_INTA!$D$8:$AO$625,(MATCH(($H6),ALIMENTOS_INTA!$E$8:$E$625,0)),(MATCH((P$4),ALIMENTOS_INTA!$D$7:$AO$7,0))))),(INDEX(ALIMENTOS_INTA!$D$8:$AO$625,(MATCH(($H6),ALIMENTOS_INTA!$E$8:$E$625,0)),(MATCH((P$4),ALIMENTOS_INTA!$D$7:$AO$7,0))))*($I6)/100,"ND")))),"ND")</f>
        <v>352</v>
      </c>
      <c r="Q6" s="78">
        <f>IFERROR(IF(($H6)="","",IF(NOT(ISNUMBER(($I6))),"",IF((Q$4)="","ND",IF(ISNUMBER((INDEX(ALIMENTOS_INTA!$D$8:$AO$625,(MATCH(($H6),ALIMENTOS_INTA!$E$8:$E$625,0)),(MATCH((Q$4),ALIMENTOS_INTA!$D$7:$AO$7,0))))),(INDEX(ALIMENTOS_INTA!$D$8:$AO$625,(MATCH(($H6),ALIMENTOS_INTA!$E$8:$E$625,0)),(MATCH((Q$4),ALIMENTOS_INTA!$D$7:$AO$7,0))))*($I6)/100,"ND")))),"ND")</f>
        <v>21</v>
      </c>
      <c r="R6" s="78">
        <f>IFERROR(IF(($H6)="","",IF(NOT(ISNUMBER(($I6))),"",IF((R$4)="","ND",IF(ISNUMBER((INDEX(ALIMENTOS_INTA!$D$8:$AO$625,(MATCH(($H6),ALIMENTOS_INTA!$E$8:$E$625,0)),(MATCH((R$4),ALIMENTOS_INTA!$D$7:$AO$7,0))))),(INDEX(ALIMENTOS_INTA!$D$8:$AO$625,(MATCH(($H6),ALIMENTOS_INTA!$E$8:$E$625,0)),(MATCH((R$4),ALIMENTOS_INTA!$D$7:$AO$7,0))))*($I6)/100,"ND")))),"ND")</f>
        <v>79</v>
      </c>
      <c r="S6" s="78" t="str">
        <f>IFERROR(IF(($H6)="","",IF(NOT(ISNUMBER(($I6))),"",IF((S$4)="","ND",IF(ISNUMBER((INDEX(ALIMENTOS_INTA!$D$8:$AO$625,(MATCH(($H6),ALIMENTOS_INTA!$E$8:$E$625,0)),(MATCH((S$4),ALIMENTOS_INTA!$D$7:$AO$7,0))))),(INDEX(ALIMENTOS_INTA!$D$8:$AO$625,(MATCH(($H6),ALIMENTOS_INTA!$E$8:$E$625,0)),(MATCH((S$4),ALIMENTOS_INTA!$D$7:$AO$7,0))))*($I6)/100,"ND")))),"ND")</f>
        <v>ND</v>
      </c>
      <c r="T6" s="78">
        <f>IFERROR(IF(($H6)="","",IF(NOT(ISNUMBER(($I6))),"",IF((T$4)="","ND",IF(ISNUMBER((INDEX(ALIMENTOS_INTA!$D$8:$AO$625,(MATCH(($H6),ALIMENTOS_INTA!$E$8:$E$625,0)),(MATCH((T$4),ALIMENTOS_INTA!$D$7:$AO$7,0))))),(INDEX(ALIMENTOS_INTA!$D$8:$AO$625,(MATCH(($H6),ALIMENTOS_INTA!$E$8:$E$625,0)),(MATCH((T$4),ALIMENTOS_INTA!$D$7:$AO$7,0))))*($I6)/100,"ND")))),"ND")</f>
        <v>9442</v>
      </c>
      <c r="U6" s="78">
        <f>IFERROR(IF(($H6)="","",IF(NOT(ISNUMBER(($I6))),"",IF((U$4)="","ND",IF(ISNUMBER((INDEX(ALIMENTOS_INTA!$D$8:$AO$625,(MATCH(($H6),ALIMENTOS_INTA!$E$8:$E$625,0)),(MATCH((U$4),ALIMENTOS_INTA!$D$7:$AO$7,0))))),(INDEX(ALIMENTOS_INTA!$D$8:$AO$625,(MATCH(($H6),ALIMENTOS_INTA!$E$8:$E$625,0)),(MATCH((U$4),ALIMENTOS_INTA!$D$7:$AO$7,0))))*($I6)/100,"ND")))),"ND")</f>
        <v>1.2</v>
      </c>
      <c r="V6" s="78">
        <f>IFERROR(IF(($H6)="","",IF(NOT(ISNUMBER(($I6))),"",IF((V$4)="","ND",IF(ISNUMBER((INDEX(ALIMENTOS_INTA!$D$8:$AO$625,(MATCH(($H6),ALIMENTOS_INTA!$E$8:$E$625,0)),(MATCH((V$4),ALIMENTOS_INTA!$D$7:$AO$7,0))))),(INDEX(ALIMENTOS_INTA!$D$8:$AO$625,(MATCH(($H6),ALIMENTOS_INTA!$E$8:$E$625,0)),(MATCH((V$4),ALIMENTOS_INTA!$D$7:$AO$7,0))))*($I6)/100,"ND")))),"ND")</f>
        <v>0.5</v>
      </c>
      <c r="W6" s="78">
        <f>IFERROR(IF(($H6)="","",IF(NOT(ISNUMBER(($I6))),"",IF((W$4)="","ND",IF(ISNUMBER((INDEX(ALIMENTOS_INTA!$D$8:$AO$625,(MATCH(($H6),ALIMENTOS_INTA!$E$8:$E$625,0)),(MATCH((W$4),ALIMENTOS_INTA!$D$7:$AO$7,0))))),(INDEX(ALIMENTOS_INTA!$D$8:$AO$625,(MATCH(($H6),ALIMENTOS_INTA!$E$8:$E$625,0)),(MATCH((W$4),ALIMENTOS_INTA!$D$7:$AO$7,0))))*($I6)/100,"ND")))),"ND")</f>
        <v>3.3</v>
      </c>
      <c r="X6" s="78">
        <f>IFERROR(IF(($H6)="","",IF(NOT(ISNUMBER(($I6))),"",IF((X$4)="","ND",IF(ISNUMBER((INDEX(ALIMENTOS_INTA!$D$8:$AO$625,(MATCH(($H6),ALIMENTOS_INTA!$E$8:$E$625,0)),(MATCH((X$4),ALIMENTOS_INTA!$D$7:$AO$7,0))))),(INDEX(ALIMENTOS_INTA!$D$8:$AO$625,(MATCH(($H6),ALIMENTOS_INTA!$E$8:$E$625,0)),(MATCH((X$4),ALIMENTOS_INTA!$D$7:$AO$7,0))))*($I6)/100,"ND")))),"ND")</f>
        <v>1.9</v>
      </c>
      <c r="Y6" s="78">
        <f>IFERROR(IF(($H6)="","",IF(NOT(ISNUMBER(($I6))),"",IF((Y$4)="","ND",IF(ISNUMBER((INDEX(ALIMENTOS_INTA!$D$8:$AO$625,(MATCH(($H6),ALIMENTOS_INTA!$E$8:$E$625,0)),(MATCH((Y$4),ALIMENTOS_INTA!$D$7:$AO$7,0))))),(INDEX(ALIMENTOS_INTA!$D$8:$AO$625,(MATCH(($H6),ALIMENTOS_INTA!$E$8:$E$625,0)),(MATCH((Y$4),ALIMENTOS_INTA!$D$7:$AO$7,0))))*($I6)/100,"ND")))),"ND")</f>
        <v>0.2</v>
      </c>
      <c r="Z6" s="78">
        <f>IFERROR(IF(($H6)="","",IF(NOT(ISNUMBER(($I6))),"",IF((Z$4)="","ND",IF(ISNUMBER((INDEX(ALIMENTOS_INTA!$D$8:$AO$625,(MATCH(($H6),ALIMENTOS_INTA!$E$8:$E$625,0)),(MATCH((Z$4),ALIMENTOS_INTA!$D$7:$AO$7,0))))),(INDEX(ALIMENTOS_INTA!$D$8:$AO$625,(MATCH(($H6),ALIMENTOS_INTA!$E$8:$E$625,0)),(MATCH((Z$4),ALIMENTOS_INTA!$D$7:$AO$7,0))))*($I6)/100,"ND")))),"ND")</f>
        <v>3.4</v>
      </c>
      <c r="AA6" s="78">
        <f>IFERROR(IF(($H6)="","",IF(NOT(ISNUMBER(($I6))),"",IF((AA$4)="","ND",IF(ISNUMBER((INDEX(ALIMENTOS_INTA!$D$8:$AO$625,(MATCH(($H6),ALIMENTOS_INTA!$E$8:$E$625,0)),(MATCH((AA$4),ALIMENTOS_INTA!$D$7:$AO$7,0))))),(INDEX(ALIMENTOS_INTA!$D$8:$AO$625,(MATCH(($H6),ALIMENTOS_INTA!$E$8:$E$625,0)),(MATCH((AA$4),ALIMENTOS_INTA!$D$7:$AO$7,0))))*($I6)/100,"ND")))),"ND")</f>
        <v>17.5</v>
      </c>
      <c r="AB6" s="78">
        <f>IFERROR(IF(($H6)="","",IF(NOT(ISNUMBER(($I6))),"",IF((AB$4)="","ND",IF(ISNUMBER((INDEX(ALIMENTOS_INTA!$D$8:$AO$625,(MATCH(($H6),ALIMENTOS_INTA!$E$8:$E$625,0)),(MATCH((AB$4),ALIMENTOS_INTA!$D$7:$AO$7,0))))),(INDEX(ALIMENTOS_INTA!$D$8:$AO$625,(MATCH(($H6),ALIMENTOS_INTA!$E$8:$E$625,0)),(MATCH((AB$4),ALIMENTOS_INTA!$D$7:$AO$7,0))))*($I6)/100,"ND")))),"ND")</f>
        <v>7.1</v>
      </c>
      <c r="AC6" s="78">
        <f>IFERROR(IF(($H6)="","",IF(NOT(ISNUMBER(($I6))),"",IF((AC$4)="","ND",IF(ISNUMBER((INDEX(ALIMENTOS_INTA!$D$8:$AO$625,(MATCH(($H6),ALIMENTOS_INTA!$E$8:$E$625,0)),(MATCH((AC$4),ALIMENTOS_INTA!$D$7:$AO$7,0))))),(INDEX(ALIMENTOS_INTA!$D$8:$AO$625,(MATCH(($H6),ALIMENTOS_INTA!$E$8:$E$625,0)),(MATCH((AC$4),ALIMENTOS_INTA!$D$7:$AO$7,0))))*($I6)/100,"ND")))),"ND")</f>
        <v>1</v>
      </c>
      <c r="AD6" s="78" t="str">
        <f>IFERROR(IF(($H6)="","",IF(NOT(ISNUMBER(($I6))),"",IF((AD$4)="","ND",IF(ISNUMBER((INDEX(ALIMENTOS_INTA!$D$8:$AO$625,(MATCH(($H6),ALIMENTOS_INTA!$E$8:$E$625,0)),(MATCH((AD$4),ALIMENTOS_INTA!$D$7:$AO$7,0))))),(INDEX(ALIMENTOS_INTA!$D$8:$AO$625,(MATCH(($H6),ALIMENTOS_INTA!$E$8:$E$625,0)),(MATCH((AD$4),ALIMENTOS_INTA!$D$7:$AO$7,0))))*($I6)/100,"ND")))),"ND")</f>
        <v>ND</v>
      </c>
      <c r="AE6" s="78">
        <f>IFERROR(IF(($H6)="","",IF(NOT(ISNUMBER(($I6))),"",IF((AE$4)="","ND",IF(ISNUMBER((INDEX(ALIMENTOS_INTA!$D$8:$AO$625,(MATCH(($H6),ALIMENTOS_INTA!$E$8:$E$625,0)),(MATCH((AE$4),ALIMENTOS_INTA!$D$7:$AO$7,0))))),(INDEX(ALIMENTOS_INTA!$D$8:$AO$625,(MATCH(($H6),ALIMENTOS_INTA!$E$8:$E$625,0)),(MATCH((AE$4),ALIMENTOS_INTA!$D$7:$AO$7,0))))*($I6)/100,"ND")))),"ND")</f>
        <v>253</v>
      </c>
      <c r="AF6" s="78">
        <f>IFERROR(IF(($H6)="","",IF(NOT(ISNUMBER(($I6))),"",IF((AF$4)="","ND",IF(ISNUMBER((INDEX(ALIMENTOS_INTA!$D$8:$AO$625,(MATCH(($H6),ALIMENTOS_INTA!$E$8:$E$625,0)),(MATCH((AF$4),ALIMENTOS_INTA!$D$7:$AO$7,0))))),(INDEX(ALIMENTOS_INTA!$D$8:$AO$625,(MATCH(($H6),ALIMENTOS_INTA!$E$8:$E$625,0)),(MATCH((AF$4),ALIMENTOS_INTA!$D$7:$AO$7,0))))*($I6)/100,"ND")))),"ND")</f>
        <v>70.599999999999994</v>
      </c>
      <c r="AJ6" t="s">
        <v>225</v>
      </c>
      <c r="AK6">
        <v>5</v>
      </c>
      <c r="AL6" t="s">
        <v>2698</v>
      </c>
      <c r="AM6" t="s">
        <v>2629</v>
      </c>
      <c r="AN6" t="s">
        <v>1614</v>
      </c>
      <c r="AO6">
        <v>66.400000000000006</v>
      </c>
      <c r="AP6" t="s">
        <v>230</v>
      </c>
    </row>
    <row r="7" spans="1:42">
      <c r="A7" s="55" t="s">
        <v>2896</v>
      </c>
      <c r="B7" s="50" t="str">
        <f>DATOS!B25</f>
        <v>Porcentual</v>
      </c>
      <c r="C7" s="55"/>
      <c r="D7" s="55" t="s">
        <v>204</v>
      </c>
      <c r="H7" s="78" t="str">
        <f>FUENTES_ALIMENTARIAS!B15</f>
        <v>Espinaca cocida</v>
      </c>
      <c r="I7" s="78">
        <f>FUENTES_ALIMENTARIAS!F15</f>
        <v>100</v>
      </c>
      <c r="J7" s="78">
        <f>IFERROR(IF(($H7)="","",IF(NOT(ISNUMBER(($I7))),"",IF((J$4)="","ND",IF(ISNUMBER((INDEX(ALIMENTOS_INTA!$D$8:$AO$625,(MATCH(($H7),ALIMENTOS_INTA!$E$8:$E$625,0)),(MATCH((J$4),ALIMENTOS_INTA!$D$7:$AO$7,0))))),(INDEX(ALIMENTOS_INTA!$D$8:$AO$625,(MATCH(($H7),ALIMENTOS_INTA!$E$8:$E$625,0)),(MATCH((J$4),ALIMENTOS_INTA!$D$7:$AO$7,0))))*($I7)/100,"ND")))),"ND")</f>
        <v>3.6</v>
      </c>
      <c r="K7" s="78">
        <f>IFERROR(IF(($H7)="","",IF(NOT(ISNUMBER(($I7))),"",IF((K$4)="","ND",IF(ISNUMBER((INDEX(ALIMENTOS_INTA!$D$8:$AO$625,(MATCH(($H7),ALIMENTOS_INTA!$E$8:$E$625,0)),(MATCH((K$4),ALIMENTOS_INTA!$D$7:$AO$7,0))))),(INDEX(ALIMENTOS_INTA!$D$8:$AO$625,(MATCH(($H7),ALIMENTOS_INTA!$E$8:$E$625,0)),(MATCH((K$4),ALIMENTOS_INTA!$D$7:$AO$7,0))))*($I7)/100,"ND")))),"ND")</f>
        <v>0.8</v>
      </c>
      <c r="L7" s="78">
        <f>IFERROR(IF(($H7)="","",IF(NOT(ISNUMBER(($I7))),"",IF((L$4)="","ND",IF(ISNUMBER((INDEX(ALIMENTOS_INTA!$D$8:$AO$625,(MATCH(($H7),ALIMENTOS_INTA!$E$8:$E$625,0)),(MATCH((L$4),ALIMENTOS_INTA!$D$7:$AO$7,0))))),(INDEX(ALIMENTOS_INTA!$D$8:$AO$625,(MATCH(($H7),ALIMENTOS_INTA!$E$8:$E$625,0)),(MATCH((L$4),ALIMENTOS_INTA!$D$7:$AO$7,0))))*($I7)/100,"ND")))),"ND")</f>
        <v>0.2</v>
      </c>
      <c r="M7" s="78">
        <f>IFERROR(IF(($H7)="","",IF(NOT(ISNUMBER(($I7))),"",IF((M$4)="","ND",IF(ISNUMBER((INDEX(ALIMENTOS_INTA!$D$8:$AO$625,(MATCH(($H7),ALIMENTOS_INTA!$E$8:$E$625,0)),(MATCH((M$4),ALIMENTOS_INTA!$D$7:$AO$7,0))))),(INDEX(ALIMENTOS_INTA!$D$8:$AO$625,(MATCH(($H7),ALIMENTOS_INTA!$E$8:$E$625,0)),(MATCH((M$4),ALIMENTOS_INTA!$D$7:$AO$7,0))))*($I7)/100,"ND")))),"ND")</f>
        <v>136</v>
      </c>
      <c r="N7" s="78">
        <f>IFERROR(IF(($H7)="","",IF(NOT(ISNUMBER(($I7))),"",IF((N$4)="","ND",IF(ISNUMBER((INDEX(ALIMENTOS_INTA!$D$8:$AO$625,(MATCH(($H7),ALIMENTOS_INTA!$E$8:$E$625,0)),(MATCH((N$4),ALIMENTOS_INTA!$D$7:$AO$7,0))))),(INDEX(ALIMENTOS_INTA!$D$8:$AO$625,(MATCH(($H7),ALIMENTOS_INTA!$E$8:$E$625,0)),(MATCH((N$4),ALIMENTOS_INTA!$D$7:$AO$7,0))))*($I7)/100,"ND")))),"ND")</f>
        <v>56</v>
      </c>
      <c r="O7" s="78">
        <f>IFERROR(IF(($H7)="","",IF(NOT(ISNUMBER(($I7))),"",IF((O$4)="","ND",IF(ISNUMBER((INDEX(ALIMENTOS_INTA!$D$8:$AO$625,(MATCH(($H7),ALIMENTOS_INTA!$E$8:$E$625,0)),(MATCH((O$4),ALIMENTOS_INTA!$D$7:$AO$7,0))))),(INDEX(ALIMENTOS_INTA!$D$8:$AO$625,(MATCH(($H7),ALIMENTOS_INTA!$E$8:$E$625,0)),(MATCH((O$4),ALIMENTOS_INTA!$D$7:$AO$7,0))))*($I7)/100,"ND")))),"ND")</f>
        <v>1.5</v>
      </c>
      <c r="P7" s="78">
        <f>IFERROR(IF(($H7)="","",IF(NOT(ISNUMBER(($I7))),"",IF((P$4)="","ND",IF(ISNUMBER((INDEX(ALIMENTOS_INTA!$D$8:$AO$625,(MATCH(($H7),ALIMENTOS_INTA!$E$8:$E$625,0)),(MATCH((P$4),ALIMENTOS_INTA!$D$7:$AO$7,0))))),(INDEX(ALIMENTOS_INTA!$D$8:$AO$625,(MATCH(($H7),ALIMENTOS_INTA!$E$8:$E$625,0)),(MATCH((P$4),ALIMENTOS_INTA!$D$7:$AO$7,0))))*($I7)/100,"ND")))),"ND")</f>
        <v>466</v>
      </c>
      <c r="Q7" s="78">
        <f>IFERROR(IF(($H7)="","",IF(NOT(ISNUMBER(($I7))),"",IF((Q$4)="","ND",IF(ISNUMBER((INDEX(ALIMENTOS_INTA!$D$8:$AO$625,(MATCH(($H7),ALIMENTOS_INTA!$E$8:$E$625,0)),(MATCH((Q$4),ALIMENTOS_INTA!$D$7:$AO$7,0))))),(INDEX(ALIMENTOS_INTA!$D$8:$AO$625,(MATCH(($H7),ALIMENTOS_INTA!$E$8:$E$625,0)),(MATCH((Q$4),ALIMENTOS_INTA!$D$7:$AO$7,0))))*($I7)/100,"ND")))),"ND")</f>
        <v>87</v>
      </c>
      <c r="R7" s="78">
        <f>IFERROR(IF(($H7)="","",IF(NOT(ISNUMBER(($I7))),"",IF((R$4)="","ND",IF(ISNUMBER((INDEX(ALIMENTOS_INTA!$D$8:$AO$625,(MATCH(($H7),ALIMENTOS_INTA!$E$8:$E$625,0)),(MATCH((R$4),ALIMENTOS_INTA!$D$7:$AO$7,0))))),(INDEX(ALIMENTOS_INTA!$D$8:$AO$625,(MATCH(($H7),ALIMENTOS_INTA!$E$8:$E$625,0)),(MATCH((R$4),ALIMENTOS_INTA!$D$7:$AO$7,0))))*($I7)/100,"ND")))),"ND")</f>
        <v>70</v>
      </c>
      <c r="S7" s="78" t="str">
        <f>IFERROR(IF(($H7)="","",IF(NOT(ISNUMBER(($I7))),"",IF((S$4)="","ND",IF(ISNUMBER((INDEX(ALIMENTOS_INTA!$D$8:$AO$625,(MATCH(($H7),ALIMENTOS_INTA!$E$8:$E$625,0)),(MATCH((S$4),ALIMENTOS_INTA!$D$7:$AO$7,0))))),(INDEX(ALIMENTOS_INTA!$D$8:$AO$625,(MATCH(($H7),ALIMENTOS_INTA!$E$8:$E$625,0)),(MATCH((S$4),ALIMENTOS_INTA!$D$7:$AO$7,0))))*($I7)/100,"ND")))),"ND")</f>
        <v>ND</v>
      </c>
      <c r="T7" s="78">
        <f>IFERROR(IF(($H7)="","",IF(NOT(ISNUMBER(($I7))),"",IF((T$4)="","ND",IF(ISNUMBER((INDEX(ALIMENTOS_INTA!$D$8:$AO$625,(MATCH(($H7),ALIMENTOS_INTA!$E$8:$E$625,0)),(MATCH((T$4),ALIMENTOS_INTA!$D$7:$AO$7,0))))),(INDEX(ALIMENTOS_INTA!$D$8:$AO$625,(MATCH(($H7),ALIMENTOS_INTA!$E$8:$E$625,0)),(MATCH((T$4),ALIMENTOS_INTA!$D$7:$AO$7,0))))*($I7)/100,"ND")))),"ND")</f>
        <v>524</v>
      </c>
      <c r="U7" s="78">
        <f>IFERROR(IF(($H7)="","",IF(NOT(ISNUMBER(($I7))),"",IF((U$4)="","ND",IF(ISNUMBER((INDEX(ALIMENTOS_INTA!$D$8:$AO$625,(MATCH(($H7),ALIMENTOS_INTA!$E$8:$E$625,0)),(MATCH((U$4),ALIMENTOS_INTA!$D$7:$AO$7,0))))),(INDEX(ALIMENTOS_INTA!$D$8:$AO$625,(MATCH(($H7),ALIMENTOS_INTA!$E$8:$E$625,0)),(MATCH((U$4),ALIMENTOS_INTA!$D$7:$AO$7,0))))*($I7)/100,"ND")))),"ND")</f>
        <v>0</v>
      </c>
      <c r="V7" s="78">
        <f>IFERROR(IF(($H7)="","",IF(NOT(ISNUMBER(($I7))),"",IF((V$4)="","ND",IF(ISNUMBER((INDEX(ALIMENTOS_INTA!$D$8:$AO$625,(MATCH(($H7),ALIMENTOS_INTA!$E$8:$E$625,0)),(MATCH((V$4),ALIMENTOS_INTA!$D$7:$AO$7,0))))),(INDEX(ALIMENTOS_INTA!$D$8:$AO$625,(MATCH(($H7),ALIMENTOS_INTA!$E$8:$E$625,0)),(MATCH((V$4),ALIMENTOS_INTA!$D$7:$AO$7,0))))*($I7)/100,"ND")))),"ND")</f>
        <v>2.1</v>
      </c>
      <c r="W7" s="78">
        <f>IFERROR(IF(($H7)="","",IF(NOT(ISNUMBER(($I7))),"",IF((W$4)="","ND",IF(ISNUMBER((INDEX(ALIMENTOS_INTA!$D$8:$AO$625,(MATCH(($H7),ALIMENTOS_INTA!$E$8:$E$625,0)),(MATCH((W$4),ALIMENTOS_INTA!$D$7:$AO$7,0))))),(INDEX(ALIMENTOS_INTA!$D$8:$AO$625,(MATCH(($H7),ALIMENTOS_INTA!$E$8:$E$625,0)),(MATCH((W$4),ALIMENTOS_INTA!$D$7:$AO$7,0))))*($I7)/100,"ND")))),"ND")</f>
        <v>493.6</v>
      </c>
      <c r="X7" s="78">
        <f>IFERROR(IF(($H7)="","",IF(NOT(ISNUMBER(($I7))),"",IF((X$4)="","ND",IF(ISNUMBER((INDEX(ALIMENTOS_INTA!$D$8:$AO$625,(MATCH(($H7),ALIMENTOS_INTA!$E$8:$E$625,0)),(MATCH((X$4),ALIMENTOS_INTA!$D$7:$AO$7,0))))),(INDEX(ALIMENTOS_INTA!$D$8:$AO$625,(MATCH(($H7),ALIMENTOS_INTA!$E$8:$E$625,0)),(MATCH((X$4),ALIMENTOS_INTA!$D$7:$AO$7,0))))*($I7)/100,"ND")))),"ND")</f>
        <v>9.8000000000000007</v>
      </c>
      <c r="Y7" s="78">
        <f>IFERROR(IF(($H7)="","",IF(NOT(ISNUMBER(($I7))),"",IF((Y$4)="","ND",IF(ISNUMBER((INDEX(ALIMENTOS_INTA!$D$8:$AO$625,(MATCH(($H7),ALIMENTOS_INTA!$E$8:$E$625,0)),(MATCH((Y$4),ALIMENTOS_INTA!$D$7:$AO$7,0))))),(INDEX(ALIMENTOS_INTA!$D$8:$AO$625,(MATCH(($H7),ALIMENTOS_INTA!$E$8:$E$625,0)),(MATCH((Y$4),ALIMENTOS_INTA!$D$7:$AO$7,0))))*($I7)/100,"ND")))),"ND")</f>
        <v>0.1</v>
      </c>
      <c r="Z7" s="78">
        <f>IFERROR(IF(($H7)="","",IF(NOT(ISNUMBER(($I7))),"",IF((Z$4)="","ND",IF(ISNUMBER((INDEX(ALIMENTOS_INTA!$D$8:$AO$625,(MATCH(($H7),ALIMENTOS_INTA!$E$8:$E$625,0)),(MATCH((Z$4),ALIMENTOS_INTA!$D$7:$AO$7,0))))),(INDEX(ALIMENTOS_INTA!$D$8:$AO$625,(MATCH(($H7),ALIMENTOS_INTA!$E$8:$E$625,0)),(MATCH((Z$4),ALIMENTOS_INTA!$D$7:$AO$7,0))))*($I7)/100,"ND")))),"ND")</f>
        <v>0.2</v>
      </c>
      <c r="AA7" s="78">
        <f>IFERROR(IF(($H7)="","",IF(NOT(ISNUMBER(($I7))),"",IF((AA$4)="","ND",IF(ISNUMBER((INDEX(ALIMENTOS_INTA!$D$8:$AO$625,(MATCH(($H7),ALIMENTOS_INTA!$E$8:$E$625,0)),(MATCH((AA$4),ALIMENTOS_INTA!$D$7:$AO$7,0))))),(INDEX(ALIMENTOS_INTA!$D$8:$AO$625,(MATCH(($H7),ALIMENTOS_INTA!$E$8:$E$625,0)),(MATCH((AA$4),ALIMENTOS_INTA!$D$7:$AO$7,0))))*($I7)/100,"ND")))),"ND")</f>
        <v>0.5</v>
      </c>
      <c r="AB7" s="78">
        <f>IFERROR(IF(($H7)="","",IF(NOT(ISNUMBER(($I7))),"",IF((AB$4)="","ND",IF(ISNUMBER((INDEX(ALIMENTOS_INTA!$D$8:$AO$625,(MATCH(($H7),ALIMENTOS_INTA!$E$8:$E$625,0)),(MATCH((AB$4),ALIMENTOS_INTA!$D$7:$AO$7,0))))),(INDEX(ALIMENTOS_INTA!$D$8:$AO$625,(MATCH(($H7),ALIMENTOS_INTA!$E$8:$E$625,0)),(MATCH((AB$4),ALIMENTOS_INTA!$D$7:$AO$7,0))))*($I7)/100,"ND")))),"ND")</f>
        <v>0.1</v>
      </c>
      <c r="AC7" s="78">
        <f>IFERROR(IF(($H7)="","",IF(NOT(ISNUMBER(($I7))),"",IF((AC$4)="","ND",IF(ISNUMBER((INDEX(ALIMENTOS_INTA!$D$8:$AO$625,(MATCH(($H7),ALIMENTOS_INTA!$E$8:$E$625,0)),(MATCH((AC$4),ALIMENTOS_INTA!$D$7:$AO$7,0))))),(INDEX(ALIMENTOS_INTA!$D$8:$AO$625,(MATCH(($H7),ALIMENTOS_INTA!$E$8:$E$625,0)),(MATCH((AC$4),ALIMENTOS_INTA!$D$7:$AO$7,0))))*($I7)/100,"ND")))),"ND")</f>
        <v>0.2</v>
      </c>
      <c r="AD7" s="78" t="str">
        <f>IFERROR(IF(($H7)="","",IF(NOT(ISNUMBER(($I7))),"",IF((AD$4)="","ND",IF(ISNUMBER((INDEX(ALIMENTOS_INTA!$D$8:$AO$625,(MATCH(($H7),ALIMENTOS_INTA!$E$8:$E$625,0)),(MATCH((AD$4),ALIMENTOS_INTA!$D$7:$AO$7,0))))),(INDEX(ALIMENTOS_INTA!$D$8:$AO$625,(MATCH(($H7),ALIMENTOS_INTA!$E$8:$E$625,0)),(MATCH((AD$4),ALIMENTOS_INTA!$D$7:$AO$7,0))))*($I7)/100,"ND")))),"ND")</f>
        <v>ND</v>
      </c>
      <c r="AE7" s="78">
        <f>IFERROR(IF(($H7)="","",IF(NOT(ISNUMBER(($I7))),"",IF((AE$4)="","ND",IF(ISNUMBER((INDEX(ALIMENTOS_INTA!$D$8:$AO$625,(MATCH(($H7),ALIMENTOS_INTA!$E$8:$E$625,0)),(MATCH((AE$4),ALIMENTOS_INTA!$D$7:$AO$7,0))))),(INDEX(ALIMENTOS_INTA!$D$8:$AO$625,(MATCH(($H7),ALIMENTOS_INTA!$E$8:$E$625,0)),(MATCH((AE$4),ALIMENTOS_INTA!$D$7:$AO$7,0))))*($I7)/100,"ND")))),"ND")</f>
        <v>146</v>
      </c>
      <c r="AF7" s="78">
        <f>IFERROR(IF(($H7)="","",IF(NOT(ISNUMBER(($I7))),"",IF((AF$4)="","ND",IF(ISNUMBER((INDEX(ALIMENTOS_INTA!$D$8:$AO$625,(MATCH(($H7),ALIMENTOS_INTA!$E$8:$E$625,0)),(MATCH((AF$4),ALIMENTOS_INTA!$D$7:$AO$7,0))))),(INDEX(ALIMENTOS_INTA!$D$8:$AO$625,(MATCH(($H7),ALIMENTOS_INTA!$E$8:$E$625,0)),(MATCH((AF$4),ALIMENTOS_INTA!$D$7:$AO$7,0))))*($I7)/100,"ND")))),"ND")</f>
        <v>0</v>
      </c>
      <c r="AJ7" t="s">
        <v>225</v>
      </c>
      <c r="AK7">
        <v>6</v>
      </c>
      <c r="AL7" t="s">
        <v>2645</v>
      </c>
      <c r="AM7" t="s">
        <v>2629</v>
      </c>
      <c r="AN7" t="s">
        <v>1614</v>
      </c>
      <c r="AO7">
        <v>55</v>
      </c>
      <c r="AP7" t="s">
        <v>230</v>
      </c>
    </row>
    <row r="8" spans="1:42">
      <c r="A8" s="55" t="s">
        <v>2897</v>
      </c>
      <c r="B8" s="50">
        <f>DATOS!B26</f>
        <v>1</v>
      </c>
      <c r="C8" s="55" t="s">
        <v>135</v>
      </c>
      <c r="D8" s="55" t="s">
        <v>204</v>
      </c>
      <c r="H8" s="78" t="str">
        <f>FUENTES_ALIMENTARIAS!B16</f>
        <v>Huevo entero cocido</v>
      </c>
      <c r="I8" s="78">
        <f>FUENTES_ALIMENTARIAS!F16</f>
        <v>50</v>
      </c>
      <c r="J8" s="78" t="str">
        <f>IFERROR(IF(($H8)="","",IF(NOT(ISNUMBER(($I8))),"",IF((J$4)="","ND",IF(ISNUMBER((INDEX(ALIMENTOS_INTA!$D$8:$AO$625,(MATCH(($H8),ALIMENTOS_INTA!$E$8:$E$625,0)),(MATCH((J$4),ALIMENTOS_INTA!$D$7:$AO$7,0))))),(INDEX(ALIMENTOS_INTA!$D$8:$AO$625,(MATCH(($H8),ALIMENTOS_INTA!$E$8:$E$625,0)),(MATCH((J$4),ALIMENTOS_INTA!$D$7:$AO$7,0))))*($I8)/100,"ND")))),"ND")</f>
        <v>ND</v>
      </c>
      <c r="K8" s="78" t="str">
        <f>IFERROR(IF(($H8)="","",IF(NOT(ISNUMBER(($I8))),"",IF((K$4)="","ND",IF(ISNUMBER((INDEX(ALIMENTOS_INTA!$D$8:$AO$625,(MATCH(($H8),ALIMENTOS_INTA!$E$8:$E$625,0)),(MATCH((K$4),ALIMENTOS_INTA!$D$7:$AO$7,0))))),(INDEX(ALIMENTOS_INTA!$D$8:$AO$625,(MATCH(($H8),ALIMENTOS_INTA!$E$8:$E$625,0)),(MATCH((K$4),ALIMENTOS_INTA!$D$7:$AO$7,0))))*($I8)/100,"ND")))),"ND")</f>
        <v>ND</v>
      </c>
      <c r="L8" s="78" t="str">
        <f>IFERROR(IF(($H8)="","",IF(NOT(ISNUMBER(($I8))),"",IF((L$4)="","ND",IF(ISNUMBER((INDEX(ALIMENTOS_INTA!$D$8:$AO$625,(MATCH(($H8),ALIMENTOS_INTA!$E$8:$E$625,0)),(MATCH((L$4),ALIMENTOS_INTA!$D$7:$AO$7,0))))),(INDEX(ALIMENTOS_INTA!$D$8:$AO$625,(MATCH(($H8),ALIMENTOS_INTA!$E$8:$E$625,0)),(MATCH((L$4),ALIMENTOS_INTA!$D$7:$AO$7,0))))*($I8)/100,"ND")))),"ND")</f>
        <v>ND</v>
      </c>
      <c r="M8" s="78" t="str">
        <f>IFERROR(IF(($H8)="","",IF(NOT(ISNUMBER(($I8))),"",IF((M$4)="","ND",IF(ISNUMBER((INDEX(ALIMENTOS_INTA!$D$8:$AO$625,(MATCH(($H8),ALIMENTOS_INTA!$E$8:$E$625,0)),(MATCH((M$4),ALIMENTOS_INTA!$D$7:$AO$7,0))))),(INDEX(ALIMENTOS_INTA!$D$8:$AO$625,(MATCH(($H8),ALIMENTOS_INTA!$E$8:$E$625,0)),(MATCH((M$4),ALIMENTOS_INTA!$D$7:$AO$7,0))))*($I8)/100,"ND")))),"ND")</f>
        <v>ND</v>
      </c>
      <c r="N8" s="78" t="str">
        <f>IFERROR(IF(($H8)="","",IF(NOT(ISNUMBER(($I8))),"",IF((N$4)="","ND",IF(ISNUMBER((INDEX(ALIMENTOS_INTA!$D$8:$AO$625,(MATCH(($H8),ALIMENTOS_INTA!$E$8:$E$625,0)),(MATCH((N$4),ALIMENTOS_INTA!$D$7:$AO$7,0))))),(INDEX(ALIMENTOS_INTA!$D$8:$AO$625,(MATCH(($H8),ALIMENTOS_INTA!$E$8:$E$625,0)),(MATCH((N$4),ALIMENTOS_INTA!$D$7:$AO$7,0))))*($I8)/100,"ND")))),"ND")</f>
        <v>ND</v>
      </c>
      <c r="O8" s="78" t="str">
        <f>IFERROR(IF(($H8)="","",IF(NOT(ISNUMBER(($I8))),"",IF((O$4)="","ND",IF(ISNUMBER((INDEX(ALIMENTOS_INTA!$D$8:$AO$625,(MATCH(($H8),ALIMENTOS_INTA!$E$8:$E$625,0)),(MATCH((O$4),ALIMENTOS_INTA!$D$7:$AO$7,0))))),(INDEX(ALIMENTOS_INTA!$D$8:$AO$625,(MATCH(($H8),ALIMENTOS_INTA!$E$8:$E$625,0)),(MATCH((O$4),ALIMENTOS_INTA!$D$7:$AO$7,0))))*($I8)/100,"ND")))),"ND")</f>
        <v>ND</v>
      </c>
      <c r="P8" s="78" t="str">
        <f>IFERROR(IF(($H8)="","",IF(NOT(ISNUMBER(($I8))),"",IF((P$4)="","ND",IF(ISNUMBER((INDEX(ALIMENTOS_INTA!$D$8:$AO$625,(MATCH(($H8),ALIMENTOS_INTA!$E$8:$E$625,0)),(MATCH((P$4),ALIMENTOS_INTA!$D$7:$AO$7,0))))),(INDEX(ALIMENTOS_INTA!$D$8:$AO$625,(MATCH(($H8),ALIMENTOS_INTA!$E$8:$E$625,0)),(MATCH((P$4),ALIMENTOS_INTA!$D$7:$AO$7,0))))*($I8)/100,"ND")))),"ND")</f>
        <v>ND</v>
      </c>
      <c r="Q8" s="78" t="str">
        <f>IFERROR(IF(($H8)="","",IF(NOT(ISNUMBER(($I8))),"",IF((Q$4)="","ND",IF(ISNUMBER((INDEX(ALIMENTOS_INTA!$D$8:$AO$625,(MATCH(($H8),ALIMENTOS_INTA!$E$8:$E$625,0)),(MATCH((Q$4),ALIMENTOS_INTA!$D$7:$AO$7,0))))),(INDEX(ALIMENTOS_INTA!$D$8:$AO$625,(MATCH(($H8),ALIMENTOS_INTA!$E$8:$E$625,0)),(MATCH((Q$4),ALIMENTOS_INTA!$D$7:$AO$7,0))))*($I8)/100,"ND")))),"ND")</f>
        <v>ND</v>
      </c>
      <c r="R8" s="78">
        <f>IFERROR(IF(($H8)="","",IF(NOT(ISNUMBER(($I8))),"",IF((R$4)="","ND",IF(ISNUMBER((INDEX(ALIMENTOS_INTA!$D$8:$AO$625,(MATCH(($H8),ALIMENTOS_INTA!$E$8:$E$625,0)),(MATCH((R$4),ALIMENTOS_INTA!$D$7:$AO$7,0))))),(INDEX(ALIMENTOS_INTA!$D$8:$AO$625,(MATCH(($H8),ALIMENTOS_INTA!$E$8:$E$625,0)),(MATCH((R$4),ALIMENTOS_INTA!$D$7:$AO$7,0))))*($I8)/100,"ND")))),"ND")</f>
        <v>76.5</v>
      </c>
      <c r="S8" s="78" t="str">
        <f>IFERROR(IF(($H8)="","",IF(NOT(ISNUMBER(($I8))),"",IF((S$4)="","ND",IF(ISNUMBER((INDEX(ALIMENTOS_INTA!$D$8:$AO$625,(MATCH(($H8),ALIMENTOS_INTA!$E$8:$E$625,0)),(MATCH((S$4),ALIMENTOS_INTA!$D$7:$AO$7,0))))),(INDEX(ALIMENTOS_INTA!$D$8:$AO$625,(MATCH(($H8),ALIMENTOS_INTA!$E$8:$E$625,0)),(MATCH((S$4),ALIMENTOS_INTA!$D$7:$AO$7,0))))*($I8)/100,"ND")))),"ND")</f>
        <v>ND</v>
      </c>
      <c r="T8" s="78" t="str">
        <f>IFERROR(IF(($H8)="","",IF(NOT(ISNUMBER(($I8))),"",IF((T$4)="","ND",IF(ISNUMBER((INDEX(ALIMENTOS_INTA!$D$8:$AO$625,(MATCH(($H8),ALIMENTOS_INTA!$E$8:$E$625,0)),(MATCH((T$4),ALIMENTOS_INTA!$D$7:$AO$7,0))))),(INDEX(ALIMENTOS_INTA!$D$8:$AO$625,(MATCH(($H8),ALIMENTOS_INTA!$E$8:$E$625,0)),(MATCH((T$4),ALIMENTOS_INTA!$D$7:$AO$7,0))))*($I8)/100,"ND")))),"ND")</f>
        <v>ND</v>
      </c>
      <c r="U8" s="78" t="str">
        <f>IFERROR(IF(($H8)="","",IF(NOT(ISNUMBER(($I8))),"",IF((U$4)="","ND",IF(ISNUMBER((INDEX(ALIMENTOS_INTA!$D$8:$AO$625,(MATCH(($H8),ALIMENTOS_INTA!$E$8:$E$625,0)),(MATCH((U$4),ALIMENTOS_INTA!$D$7:$AO$7,0))))),(INDEX(ALIMENTOS_INTA!$D$8:$AO$625,(MATCH(($H8),ALIMENTOS_INTA!$E$8:$E$625,0)),(MATCH((U$4),ALIMENTOS_INTA!$D$7:$AO$7,0))))*($I8)/100,"ND")))),"ND")</f>
        <v>ND</v>
      </c>
      <c r="V8" s="78" t="str">
        <f>IFERROR(IF(($H8)="","",IF(NOT(ISNUMBER(($I8))),"",IF((V$4)="","ND",IF(ISNUMBER((INDEX(ALIMENTOS_INTA!$D$8:$AO$625,(MATCH(($H8),ALIMENTOS_INTA!$E$8:$E$625,0)),(MATCH((V$4),ALIMENTOS_INTA!$D$7:$AO$7,0))))),(INDEX(ALIMENTOS_INTA!$D$8:$AO$625,(MATCH(($H8),ALIMENTOS_INTA!$E$8:$E$625,0)),(MATCH((V$4),ALIMENTOS_INTA!$D$7:$AO$7,0))))*($I8)/100,"ND")))),"ND")</f>
        <v>ND</v>
      </c>
      <c r="W8" s="78" t="str">
        <f>IFERROR(IF(($H8)="","",IF(NOT(ISNUMBER(($I8))),"",IF((W$4)="","ND",IF(ISNUMBER((INDEX(ALIMENTOS_INTA!$D$8:$AO$625,(MATCH(($H8),ALIMENTOS_INTA!$E$8:$E$625,0)),(MATCH((W$4),ALIMENTOS_INTA!$D$7:$AO$7,0))))),(INDEX(ALIMENTOS_INTA!$D$8:$AO$625,(MATCH(($H8),ALIMENTOS_INTA!$E$8:$E$625,0)),(MATCH((W$4),ALIMENTOS_INTA!$D$7:$AO$7,0))))*($I8)/100,"ND")))),"ND")</f>
        <v>ND</v>
      </c>
      <c r="X8" s="78" t="str">
        <f>IFERROR(IF(($H8)="","",IF(NOT(ISNUMBER(($I8))),"",IF((X$4)="","ND",IF(ISNUMBER((INDEX(ALIMENTOS_INTA!$D$8:$AO$625,(MATCH(($H8),ALIMENTOS_INTA!$E$8:$E$625,0)),(MATCH((X$4),ALIMENTOS_INTA!$D$7:$AO$7,0))))),(INDEX(ALIMENTOS_INTA!$D$8:$AO$625,(MATCH(($H8),ALIMENTOS_INTA!$E$8:$E$625,0)),(MATCH((X$4),ALIMENTOS_INTA!$D$7:$AO$7,0))))*($I8)/100,"ND")))),"ND")</f>
        <v>ND</v>
      </c>
      <c r="Y8" s="78" t="str">
        <f>IFERROR(IF(($H8)="","",IF(NOT(ISNUMBER(($I8))),"",IF((Y$4)="","ND",IF(ISNUMBER((INDEX(ALIMENTOS_INTA!$D$8:$AO$625,(MATCH(($H8),ALIMENTOS_INTA!$E$8:$E$625,0)),(MATCH((Y$4),ALIMENTOS_INTA!$D$7:$AO$7,0))))),(INDEX(ALIMENTOS_INTA!$D$8:$AO$625,(MATCH(($H8),ALIMENTOS_INTA!$E$8:$E$625,0)),(MATCH((Y$4),ALIMENTOS_INTA!$D$7:$AO$7,0))))*($I8)/100,"ND")))),"ND")</f>
        <v>ND</v>
      </c>
      <c r="Z8" s="78" t="str">
        <f>IFERROR(IF(($H8)="","",IF(NOT(ISNUMBER(($I8))),"",IF((Z$4)="","ND",IF(ISNUMBER((INDEX(ALIMENTOS_INTA!$D$8:$AO$625,(MATCH(($H8),ALIMENTOS_INTA!$E$8:$E$625,0)),(MATCH((Z$4),ALIMENTOS_INTA!$D$7:$AO$7,0))))),(INDEX(ALIMENTOS_INTA!$D$8:$AO$625,(MATCH(($H8),ALIMENTOS_INTA!$E$8:$E$625,0)),(MATCH((Z$4),ALIMENTOS_INTA!$D$7:$AO$7,0))))*($I8)/100,"ND")))),"ND")</f>
        <v>ND</v>
      </c>
      <c r="AA8" s="78" t="str">
        <f>IFERROR(IF(($H8)="","",IF(NOT(ISNUMBER(($I8))),"",IF((AA$4)="","ND",IF(ISNUMBER((INDEX(ALIMENTOS_INTA!$D$8:$AO$625,(MATCH(($H8),ALIMENTOS_INTA!$E$8:$E$625,0)),(MATCH((AA$4),ALIMENTOS_INTA!$D$7:$AO$7,0))))),(INDEX(ALIMENTOS_INTA!$D$8:$AO$625,(MATCH(($H8),ALIMENTOS_INTA!$E$8:$E$625,0)),(MATCH((AA$4),ALIMENTOS_INTA!$D$7:$AO$7,0))))*($I8)/100,"ND")))),"ND")</f>
        <v>ND</v>
      </c>
      <c r="AB8" s="78" t="str">
        <f>IFERROR(IF(($H8)="","",IF(NOT(ISNUMBER(($I8))),"",IF((AB$4)="","ND",IF(ISNUMBER((INDEX(ALIMENTOS_INTA!$D$8:$AO$625,(MATCH(($H8),ALIMENTOS_INTA!$E$8:$E$625,0)),(MATCH((AB$4),ALIMENTOS_INTA!$D$7:$AO$7,0))))),(INDEX(ALIMENTOS_INTA!$D$8:$AO$625,(MATCH(($H8),ALIMENTOS_INTA!$E$8:$E$625,0)),(MATCH((AB$4),ALIMENTOS_INTA!$D$7:$AO$7,0))))*($I8)/100,"ND")))),"ND")</f>
        <v>ND</v>
      </c>
      <c r="AC8" s="78" t="str">
        <f>IFERROR(IF(($H8)="","",IF(NOT(ISNUMBER(($I8))),"",IF((AC$4)="","ND",IF(ISNUMBER((INDEX(ALIMENTOS_INTA!$D$8:$AO$625,(MATCH(($H8),ALIMENTOS_INTA!$E$8:$E$625,0)),(MATCH((AC$4),ALIMENTOS_INTA!$D$7:$AO$7,0))))),(INDEX(ALIMENTOS_INTA!$D$8:$AO$625,(MATCH(($H8),ALIMENTOS_INTA!$E$8:$E$625,0)),(MATCH((AC$4),ALIMENTOS_INTA!$D$7:$AO$7,0))))*($I8)/100,"ND")))),"ND")</f>
        <v>ND</v>
      </c>
      <c r="AD8" s="78" t="str">
        <f>IFERROR(IF(($H8)="","",IF(NOT(ISNUMBER(($I8))),"",IF((AD$4)="","ND",IF(ISNUMBER((INDEX(ALIMENTOS_INTA!$D$8:$AO$625,(MATCH(($H8),ALIMENTOS_INTA!$E$8:$E$625,0)),(MATCH((AD$4),ALIMENTOS_INTA!$D$7:$AO$7,0))))),(INDEX(ALIMENTOS_INTA!$D$8:$AO$625,(MATCH(($H8),ALIMENTOS_INTA!$E$8:$E$625,0)),(MATCH((AD$4),ALIMENTOS_INTA!$D$7:$AO$7,0))))*($I8)/100,"ND")))),"ND")</f>
        <v>ND</v>
      </c>
      <c r="AE8" s="78" t="str">
        <f>IFERROR(IF(($H8)="","",IF(NOT(ISNUMBER(($I8))),"",IF((AE$4)="","ND",IF(ISNUMBER((INDEX(ALIMENTOS_INTA!$D$8:$AO$625,(MATCH(($H8),ALIMENTOS_INTA!$E$8:$E$625,0)),(MATCH((AE$4),ALIMENTOS_INTA!$D$7:$AO$7,0))))),(INDEX(ALIMENTOS_INTA!$D$8:$AO$625,(MATCH(($H8),ALIMENTOS_INTA!$E$8:$E$625,0)),(MATCH((AE$4),ALIMENTOS_INTA!$D$7:$AO$7,0))))*($I8)/100,"ND")))),"ND")</f>
        <v>ND</v>
      </c>
      <c r="AF8" s="78" t="str">
        <f>IFERROR(IF(($H8)="","",IF(NOT(ISNUMBER(($I8))),"",IF((AF$4)="","ND",IF(ISNUMBER((INDEX(ALIMENTOS_INTA!$D$8:$AO$625,(MATCH(($H8),ALIMENTOS_INTA!$E$8:$E$625,0)),(MATCH((AF$4),ALIMENTOS_INTA!$D$7:$AO$7,0))))),(INDEX(ALIMENTOS_INTA!$D$8:$AO$625,(MATCH(($H8),ALIMENTOS_INTA!$E$8:$E$625,0)),(MATCH((AF$4),ALIMENTOS_INTA!$D$7:$AO$7,0))))*($I8)/100,"ND")))),"ND")</f>
        <v>ND</v>
      </c>
      <c r="AJ8" t="s">
        <v>225</v>
      </c>
      <c r="AK8">
        <v>7</v>
      </c>
      <c r="AL8" t="s">
        <v>2013</v>
      </c>
      <c r="AM8" t="s">
        <v>1991</v>
      </c>
      <c r="AN8" t="s">
        <v>1614</v>
      </c>
      <c r="AO8">
        <v>50.2</v>
      </c>
      <c r="AP8" t="s">
        <v>230</v>
      </c>
    </row>
    <row r="9" spans="1:42">
      <c r="A9" s="55" t="s">
        <v>2898</v>
      </c>
      <c r="B9" s="50">
        <f>DATOS!B27</f>
        <v>15</v>
      </c>
      <c r="C9" s="55" t="s">
        <v>136</v>
      </c>
      <c r="D9" s="55" t="s">
        <v>204</v>
      </c>
      <c r="H9" s="78" t="str">
        <f>FUENTES_ALIMENTARIAS!B17</f>
        <v>Yogurt natural</v>
      </c>
      <c r="I9" s="78">
        <f>FUENTES_ALIMENTARIAS!F17</f>
        <v>170</v>
      </c>
      <c r="J9" s="78">
        <f>IFERROR(IF(($H9)="","",IF(NOT(ISNUMBER(($I9))),"",IF((J$4)="","ND",IF(ISNUMBER((INDEX(ALIMENTOS_INTA!$D$8:$AO$625,(MATCH(($H9),ALIMENTOS_INTA!$E$8:$E$625,0)),(MATCH((J$4),ALIMENTOS_INTA!$D$7:$AO$7,0))))),(INDEX(ALIMENTOS_INTA!$D$8:$AO$625,(MATCH(($H9),ALIMENTOS_INTA!$E$8:$E$625,0)),(MATCH((J$4),ALIMENTOS_INTA!$D$7:$AO$7,0))))*($I9)/100,"ND")))),"ND")</f>
        <v>0.17</v>
      </c>
      <c r="K9" s="78">
        <f>IFERROR(IF(($H9)="","",IF(NOT(ISNUMBER(($I9))),"",IF((K$4)="","ND",IF(ISNUMBER((INDEX(ALIMENTOS_INTA!$D$8:$AO$625,(MATCH(($H9),ALIMENTOS_INTA!$E$8:$E$625,0)),(MATCH((K$4),ALIMENTOS_INTA!$D$7:$AO$7,0))))),(INDEX(ALIMENTOS_INTA!$D$8:$AO$625,(MATCH(($H9),ALIMENTOS_INTA!$E$8:$E$625,0)),(MATCH((K$4),ALIMENTOS_INTA!$D$7:$AO$7,0))))*($I9)/100,"ND")))),"ND")</f>
        <v>1.02</v>
      </c>
      <c r="L9" s="78">
        <f>IFERROR(IF(($H9)="","",IF(NOT(ISNUMBER(($I9))),"",IF((L$4)="","ND",IF(ISNUMBER((INDEX(ALIMENTOS_INTA!$D$8:$AO$625,(MATCH(($H9),ALIMENTOS_INTA!$E$8:$E$625,0)),(MATCH((L$4),ALIMENTOS_INTA!$D$7:$AO$7,0))))),(INDEX(ALIMENTOS_INTA!$D$8:$AO$625,(MATCH(($H9),ALIMENTOS_INTA!$E$8:$E$625,0)),(MATCH((L$4),ALIMENTOS_INTA!$D$7:$AO$7,0))))*($I9)/100,"ND")))),"ND")</f>
        <v>0</v>
      </c>
      <c r="M9" s="78">
        <f>IFERROR(IF(($H9)="","",IF(NOT(ISNUMBER(($I9))),"",IF((M$4)="","ND",IF(ISNUMBER((INDEX(ALIMENTOS_INTA!$D$8:$AO$625,(MATCH(($H9),ALIMENTOS_INTA!$E$8:$E$625,0)),(MATCH((M$4),ALIMENTOS_INTA!$D$7:$AO$7,0))))),(INDEX(ALIMENTOS_INTA!$D$8:$AO$625,(MATCH(($H9),ALIMENTOS_INTA!$E$8:$E$625,0)),(MATCH((M$4),ALIMENTOS_INTA!$D$7:$AO$7,0))))*($I9)/100,"ND")))),"ND")</f>
        <v>205.7</v>
      </c>
      <c r="N9" s="78">
        <f>IFERROR(IF(($H9)="","",IF(NOT(ISNUMBER(($I9))),"",IF((N$4)="","ND",IF(ISNUMBER((INDEX(ALIMENTOS_INTA!$D$8:$AO$625,(MATCH(($H9),ALIMENTOS_INTA!$E$8:$E$625,0)),(MATCH((N$4),ALIMENTOS_INTA!$D$7:$AO$7,0))))),(INDEX(ALIMENTOS_INTA!$D$8:$AO$625,(MATCH(($H9),ALIMENTOS_INTA!$E$8:$E$625,0)),(MATCH((N$4),ALIMENTOS_INTA!$D$7:$AO$7,0))))*($I9)/100,"ND")))),"ND")</f>
        <v>161.5</v>
      </c>
      <c r="O9" s="78">
        <f>IFERROR(IF(($H9)="","",IF(NOT(ISNUMBER(($I9))),"",IF((O$4)="","ND",IF(ISNUMBER((INDEX(ALIMENTOS_INTA!$D$8:$AO$625,(MATCH(($H9),ALIMENTOS_INTA!$E$8:$E$625,0)),(MATCH((O$4),ALIMENTOS_INTA!$D$7:$AO$7,0))))),(INDEX(ALIMENTOS_INTA!$D$8:$AO$625,(MATCH(($H9),ALIMENTOS_INTA!$E$8:$E$625,0)),(MATCH((O$4),ALIMENTOS_INTA!$D$7:$AO$7,0))))*($I9)/100,"ND")))),"ND")</f>
        <v>3.7400000000000007</v>
      </c>
      <c r="P9" s="78">
        <f>IFERROR(IF(($H9)="","",IF(NOT(ISNUMBER(($I9))),"",IF((P$4)="","ND",IF(ISNUMBER((INDEX(ALIMENTOS_INTA!$D$8:$AO$625,(MATCH(($H9),ALIMENTOS_INTA!$E$8:$E$625,0)),(MATCH((P$4),ALIMENTOS_INTA!$D$7:$AO$7,0))))),(INDEX(ALIMENTOS_INTA!$D$8:$AO$625,(MATCH(($H9),ALIMENTOS_INTA!$E$8:$E$625,0)),(MATCH((P$4),ALIMENTOS_INTA!$D$7:$AO$7,0))))*($I9)/100,"ND")))),"ND")</f>
        <v>263.5</v>
      </c>
      <c r="Q9" s="78">
        <f>IFERROR(IF(($H9)="","",IF(NOT(ISNUMBER(($I9))),"",IF((Q$4)="","ND",IF(ISNUMBER((INDEX(ALIMENTOS_INTA!$D$8:$AO$625,(MATCH(($H9),ALIMENTOS_INTA!$E$8:$E$625,0)),(MATCH((Q$4),ALIMENTOS_INTA!$D$7:$AO$7,0))))),(INDEX(ALIMENTOS_INTA!$D$8:$AO$625,(MATCH(($H9),ALIMENTOS_INTA!$E$8:$E$625,0)),(MATCH((Q$4),ALIMENTOS_INTA!$D$7:$AO$7,0))))*($I9)/100,"ND")))),"ND")</f>
        <v>20.399999999999999</v>
      </c>
      <c r="R9" s="78">
        <f>IFERROR(IF(($H9)="","",IF(NOT(ISNUMBER(($I9))),"",IF((R$4)="","ND",IF(ISNUMBER((INDEX(ALIMENTOS_INTA!$D$8:$AO$625,(MATCH(($H9),ALIMENTOS_INTA!$E$8:$E$625,0)),(MATCH((R$4),ALIMENTOS_INTA!$D$7:$AO$7,0))))),(INDEX(ALIMENTOS_INTA!$D$8:$AO$625,(MATCH(($H9),ALIMENTOS_INTA!$E$8:$E$625,0)),(MATCH((R$4),ALIMENTOS_INTA!$D$7:$AO$7,0))))*($I9)/100,"ND")))),"ND")</f>
        <v>78.2</v>
      </c>
      <c r="S9" s="78" t="str">
        <f>IFERROR(IF(($H9)="","",IF(NOT(ISNUMBER(($I9))),"",IF((S$4)="","ND",IF(ISNUMBER((INDEX(ALIMENTOS_INTA!$D$8:$AO$625,(MATCH(($H9),ALIMENTOS_INTA!$E$8:$E$625,0)),(MATCH((S$4),ALIMENTOS_INTA!$D$7:$AO$7,0))))),(INDEX(ALIMENTOS_INTA!$D$8:$AO$625,(MATCH(($H9),ALIMENTOS_INTA!$E$8:$E$625,0)),(MATCH((S$4),ALIMENTOS_INTA!$D$7:$AO$7,0))))*($I9)/100,"ND")))),"ND")</f>
        <v>ND</v>
      </c>
      <c r="T9" s="78">
        <f>IFERROR(IF(($H9)="","",IF(NOT(ISNUMBER(($I9))),"",IF((T$4)="","ND",IF(ISNUMBER((INDEX(ALIMENTOS_INTA!$D$8:$AO$625,(MATCH(($H9),ALIMENTOS_INTA!$E$8:$E$625,0)),(MATCH((T$4),ALIMENTOS_INTA!$D$7:$AO$7,0))))),(INDEX(ALIMENTOS_INTA!$D$8:$AO$625,(MATCH(($H9),ALIMENTOS_INTA!$E$8:$E$625,0)),(MATCH((T$4),ALIMENTOS_INTA!$D$7:$AO$7,0))))*($I9)/100,"ND")))),"ND")</f>
        <v>45.9</v>
      </c>
      <c r="U9" s="78">
        <f>IFERROR(IF(($H9)="","",IF(NOT(ISNUMBER(($I9))),"",IF((U$4)="","ND",IF(ISNUMBER((INDEX(ALIMENTOS_INTA!$D$8:$AO$625,(MATCH(($H9),ALIMENTOS_INTA!$E$8:$E$625,0)),(MATCH((U$4),ALIMENTOS_INTA!$D$7:$AO$7,0))))),(INDEX(ALIMENTOS_INTA!$D$8:$AO$625,(MATCH(($H9),ALIMENTOS_INTA!$E$8:$E$625,0)),(MATCH((U$4),ALIMENTOS_INTA!$D$7:$AO$7,0))))*($I9)/100,"ND")))),"ND")</f>
        <v>0.17</v>
      </c>
      <c r="V9" s="78">
        <f>IFERROR(IF(($H9)="","",IF(NOT(ISNUMBER(($I9))),"",IF((V$4)="","ND",IF(ISNUMBER((INDEX(ALIMENTOS_INTA!$D$8:$AO$625,(MATCH(($H9),ALIMENTOS_INTA!$E$8:$E$625,0)),(MATCH((V$4),ALIMENTOS_INTA!$D$7:$AO$7,0))))),(INDEX(ALIMENTOS_INTA!$D$8:$AO$625,(MATCH(($H9),ALIMENTOS_INTA!$E$8:$E$625,0)),(MATCH((V$4),ALIMENTOS_INTA!$D$7:$AO$7,0))))*($I9)/100,"ND")))),"ND")</f>
        <v>0.17</v>
      </c>
      <c r="W9" s="78">
        <f>IFERROR(IF(($H9)="","",IF(NOT(ISNUMBER(($I9))),"",IF((W$4)="","ND",IF(ISNUMBER((INDEX(ALIMENTOS_INTA!$D$8:$AO$625,(MATCH(($H9),ALIMENTOS_INTA!$E$8:$E$625,0)),(MATCH((W$4),ALIMENTOS_INTA!$D$7:$AO$7,0))))),(INDEX(ALIMENTOS_INTA!$D$8:$AO$625,(MATCH(($H9),ALIMENTOS_INTA!$E$8:$E$625,0)),(MATCH((W$4),ALIMENTOS_INTA!$D$7:$AO$7,0))))*($I9)/100,"ND")))),"ND")</f>
        <v>0.34</v>
      </c>
      <c r="X9" s="78">
        <f>IFERROR(IF(($H9)="","",IF(NOT(ISNUMBER(($I9))),"",IF((X$4)="","ND",IF(ISNUMBER((INDEX(ALIMENTOS_INTA!$D$8:$AO$625,(MATCH(($H9),ALIMENTOS_INTA!$E$8:$E$625,0)),(MATCH((X$4),ALIMENTOS_INTA!$D$7:$AO$7,0))))),(INDEX(ALIMENTOS_INTA!$D$8:$AO$625,(MATCH(($H9),ALIMENTOS_INTA!$E$8:$E$625,0)),(MATCH((X$4),ALIMENTOS_INTA!$D$7:$AO$7,0))))*($I9)/100,"ND")))),"ND")</f>
        <v>0.85</v>
      </c>
      <c r="Y9" s="78">
        <f>IFERROR(IF(($H9)="","",IF(NOT(ISNUMBER(($I9))),"",IF((Y$4)="","ND",IF(ISNUMBER((INDEX(ALIMENTOS_INTA!$D$8:$AO$625,(MATCH(($H9),ALIMENTOS_INTA!$E$8:$E$625,0)),(MATCH((Y$4),ALIMENTOS_INTA!$D$7:$AO$7,0))))),(INDEX(ALIMENTOS_INTA!$D$8:$AO$625,(MATCH(($H9),ALIMENTOS_INTA!$E$8:$E$625,0)),(MATCH((Y$4),ALIMENTOS_INTA!$D$7:$AO$7,0))))*($I9)/100,"ND")))),"ND")</f>
        <v>0</v>
      </c>
      <c r="Z9" s="78">
        <f>IFERROR(IF(($H9)="","",IF(NOT(ISNUMBER(($I9))),"",IF((Z$4)="","ND",IF(ISNUMBER((INDEX(ALIMENTOS_INTA!$D$8:$AO$625,(MATCH(($H9),ALIMENTOS_INTA!$E$8:$E$625,0)),(MATCH((Z$4),ALIMENTOS_INTA!$D$7:$AO$7,0))))),(INDEX(ALIMENTOS_INTA!$D$8:$AO$625,(MATCH(($H9),ALIMENTOS_INTA!$E$8:$E$625,0)),(MATCH((Z$4),ALIMENTOS_INTA!$D$7:$AO$7,0))))*($I9)/100,"ND")))),"ND")</f>
        <v>0.17</v>
      </c>
      <c r="AA9" s="78">
        <f>IFERROR(IF(($H9)="","",IF(NOT(ISNUMBER(($I9))),"",IF((AA$4)="","ND",IF(ISNUMBER((INDEX(ALIMENTOS_INTA!$D$8:$AO$625,(MATCH(($H9),ALIMENTOS_INTA!$E$8:$E$625,0)),(MATCH((AA$4),ALIMENTOS_INTA!$D$7:$AO$7,0))))),(INDEX(ALIMENTOS_INTA!$D$8:$AO$625,(MATCH(($H9),ALIMENTOS_INTA!$E$8:$E$625,0)),(MATCH((AA$4),ALIMENTOS_INTA!$D$7:$AO$7,0))))*($I9)/100,"ND")))),"ND")</f>
        <v>0.17</v>
      </c>
      <c r="AB9" s="78">
        <f>IFERROR(IF(($H9)="","",IF(NOT(ISNUMBER(($I9))),"",IF((AB$4)="","ND",IF(ISNUMBER((INDEX(ALIMENTOS_INTA!$D$8:$AO$625,(MATCH(($H9),ALIMENTOS_INTA!$E$8:$E$625,0)),(MATCH((AB$4),ALIMENTOS_INTA!$D$7:$AO$7,0))))),(INDEX(ALIMENTOS_INTA!$D$8:$AO$625,(MATCH(($H9),ALIMENTOS_INTA!$E$8:$E$625,0)),(MATCH((AB$4),ALIMENTOS_INTA!$D$7:$AO$7,0))))*($I9)/100,"ND")))),"ND")</f>
        <v>0.68</v>
      </c>
      <c r="AC9" s="78">
        <f>IFERROR(IF(($H9)="","",IF(NOT(ISNUMBER(($I9))),"",IF((AC$4)="","ND",IF(ISNUMBER((INDEX(ALIMENTOS_INTA!$D$8:$AO$625,(MATCH(($H9),ALIMENTOS_INTA!$E$8:$E$625,0)),(MATCH((AC$4),ALIMENTOS_INTA!$D$7:$AO$7,0))))),(INDEX(ALIMENTOS_INTA!$D$8:$AO$625,(MATCH(($H9),ALIMENTOS_INTA!$E$8:$E$625,0)),(MATCH((AC$4),ALIMENTOS_INTA!$D$7:$AO$7,0))))*($I9)/100,"ND")))),"ND")</f>
        <v>0</v>
      </c>
      <c r="AD9" s="78" t="str">
        <f>IFERROR(IF(($H9)="","",IF(NOT(ISNUMBER(($I9))),"",IF((AD$4)="","ND",IF(ISNUMBER((INDEX(ALIMENTOS_INTA!$D$8:$AO$625,(MATCH(($H9),ALIMENTOS_INTA!$E$8:$E$625,0)),(MATCH((AD$4),ALIMENTOS_INTA!$D$7:$AO$7,0))))),(INDEX(ALIMENTOS_INTA!$D$8:$AO$625,(MATCH(($H9),ALIMENTOS_INTA!$E$8:$E$625,0)),(MATCH((AD$4),ALIMENTOS_INTA!$D$7:$AO$7,0))))*($I9)/100,"ND")))),"ND")</f>
        <v>ND</v>
      </c>
      <c r="AE9" s="78">
        <f>IFERROR(IF(($H9)="","",IF(NOT(ISNUMBER(($I9))),"",IF((AE$4)="","ND",IF(ISNUMBER((INDEX(ALIMENTOS_INTA!$D$8:$AO$625,(MATCH(($H9),ALIMENTOS_INTA!$E$8:$E$625,0)),(MATCH((AE$4),ALIMENTOS_INTA!$D$7:$AO$7,0))))),(INDEX(ALIMENTOS_INTA!$D$8:$AO$625,(MATCH(($H9),ALIMENTOS_INTA!$E$8:$E$625,0)),(MATCH((AE$4),ALIMENTOS_INTA!$D$7:$AO$7,0))))*($I9)/100,"ND")))),"ND")</f>
        <v>11.9</v>
      </c>
      <c r="AF9" s="78">
        <f>IFERROR(IF(($H9)="","",IF(NOT(ISNUMBER(($I9))),"",IF((AF$4)="","ND",IF(ISNUMBER((INDEX(ALIMENTOS_INTA!$D$8:$AO$625,(MATCH(($H9),ALIMENTOS_INTA!$E$8:$E$625,0)),(MATCH((AF$4),ALIMENTOS_INTA!$D$7:$AO$7,0))))),(INDEX(ALIMENTOS_INTA!$D$8:$AO$625,(MATCH(($H9),ALIMENTOS_INTA!$E$8:$E$625,0)),(MATCH((AF$4),ALIMENTOS_INTA!$D$7:$AO$7,0))))*($I9)/100,"ND")))),"ND")</f>
        <v>0.68</v>
      </c>
      <c r="AJ9" t="s">
        <v>225</v>
      </c>
      <c r="AK9">
        <v>8</v>
      </c>
      <c r="AL9" t="s">
        <v>2651</v>
      </c>
      <c r="AM9" t="s">
        <v>2629</v>
      </c>
      <c r="AN9" t="s">
        <v>1614</v>
      </c>
      <c r="AO9">
        <v>48.8</v>
      </c>
      <c r="AP9" t="s">
        <v>230</v>
      </c>
    </row>
    <row r="10" spans="1:42">
      <c r="A10" s="55" t="s">
        <v>2899</v>
      </c>
      <c r="B10" s="50">
        <f>DATOS!B28</f>
        <v>30</v>
      </c>
      <c r="C10" s="55" t="s">
        <v>136</v>
      </c>
      <c r="D10" s="55" t="s">
        <v>204</v>
      </c>
      <c r="H10" s="78" t="str">
        <f>FUENTES_ALIMENTARIAS!B18</f>
        <v>Leche fluida entera</v>
      </c>
      <c r="I10" s="78">
        <f>FUENTES_ALIMENTARIAS!F18</f>
        <v>100</v>
      </c>
      <c r="J10" s="78">
        <f>IFERROR(IF(($H10)="","",IF(NOT(ISNUMBER(($I10))),"",IF((J$4)="","ND",IF(ISNUMBER((INDEX(ALIMENTOS_INTA!$D$8:$AO$625,(MATCH(($H10),ALIMENTOS_INTA!$E$8:$E$625,0)),(MATCH((J$4),ALIMENTOS_INTA!$D$7:$AO$7,0))))),(INDEX(ALIMENTOS_INTA!$D$8:$AO$625,(MATCH(($H10),ALIMENTOS_INTA!$E$8:$E$625,0)),(MATCH((J$4),ALIMENTOS_INTA!$D$7:$AO$7,0))))*($I10)/100,"ND")))),"ND")</f>
        <v>0.1</v>
      </c>
      <c r="K10" s="78">
        <f>IFERROR(IF(($H10)="","",IF(NOT(ISNUMBER(($I10))),"",IF((K$4)="","ND",IF(ISNUMBER((INDEX(ALIMENTOS_INTA!$D$8:$AO$625,(MATCH(($H10),ALIMENTOS_INTA!$E$8:$E$625,0)),(MATCH((K$4),ALIMENTOS_INTA!$D$7:$AO$7,0))))),(INDEX(ALIMENTOS_INTA!$D$8:$AO$625,(MATCH(($H10),ALIMENTOS_INTA!$E$8:$E$625,0)),(MATCH((K$4),ALIMENTOS_INTA!$D$7:$AO$7,0))))*($I10)/100,"ND")))),"ND")</f>
        <v>0.4</v>
      </c>
      <c r="L10" s="78">
        <f>IFERROR(IF(($H10)="","",IF(NOT(ISNUMBER(($I10))),"",IF((L$4)="","ND",IF(ISNUMBER((INDEX(ALIMENTOS_INTA!$D$8:$AO$625,(MATCH(($H10),ALIMENTOS_INTA!$E$8:$E$625,0)),(MATCH((L$4),ALIMENTOS_INTA!$D$7:$AO$7,0))))),(INDEX(ALIMENTOS_INTA!$D$8:$AO$625,(MATCH(($H10),ALIMENTOS_INTA!$E$8:$E$625,0)),(MATCH((L$4),ALIMENTOS_INTA!$D$7:$AO$7,0))))*($I10)/100,"ND")))),"ND")</f>
        <v>0</v>
      </c>
      <c r="M10" s="78">
        <f>IFERROR(IF(($H10)="","",IF(NOT(ISNUMBER(($I10))),"",IF((M$4)="","ND",IF(ISNUMBER((INDEX(ALIMENTOS_INTA!$D$8:$AO$625,(MATCH(($H10),ALIMENTOS_INTA!$E$8:$E$625,0)),(MATCH((M$4),ALIMENTOS_INTA!$D$7:$AO$7,0))))),(INDEX(ALIMENTOS_INTA!$D$8:$AO$625,(MATCH(($H10),ALIMENTOS_INTA!$E$8:$E$625,0)),(MATCH((M$4),ALIMENTOS_INTA!$D$7:$AO$7,0))))*($I10)/100,"ND")))),"ND")</f>
        <v>119</v>
      </c>
      <c r="N10" s="78">
        <f>IFERROR(IF(($H10)="","",IF(NOT(ISNUMBER(($I10))),"",IF((N$4)="","ND",IF(ISNUMBER((INDEX(ALIMENTOS_INTA!$D$8:$AO$625,(MATCH(($H10),ALIMENTOS_INTA!$E$8:$E$625,0)),(MATCH((N$4),ALIMENTOS_INTA!$D$7:$AO$7,0))))),(INDEX(ALIMENTOS_INTA!$D$8:$AO$625,(MATCH(($H10),ALIMENTOS_INTA!$E$8:$E$625,0)),(MATCH((N$4),ALIMENTOS_INTA!$D$7:$AO$7,0))))*($I10)/100,"ND")))),"ND")</f>
        <v>93</v>
      </c>
      <c r="O10" s="78">
        <f>IFERROR(IF(($H10)="","",IF(NOT(ISNUMBER(($I10))),"",IF((O$4)="","ND",IF(ISNUMBER((INDEX(ALIMENTOS_INTA!$D$8:$AO$625,(MATCH(($H10),ALIMENTOS_INTA!$E$8:$E$625,0)),(MATCH((O$4),ALIMENTOS_INTA!$D$7:$AO$7,0))))),(INDEX(ALIMENTOS_INTA!$D$8:$AO$625,(MATCH(($H10),ALIMENTOS_INTA!$E$8:$E$625,0)),(MATCH((O$4),ALIMENTOS_INTA!$D$7:$AO$7,0))))*($I10)/100,"ND")))),"ND")</f>
        <v>2</v>
      </c>
      <c r="P10" s="78">
        <f>IFERROR(IF(($H10)="","",IF(NOT(ISNUMBER(($I10))),"",IF((P$4)="","ND",IF(ISNUMBER((INDEX(ALIMENTOS_INTA!$D$8:$AO$625,(MATCH(($H10),ALIMENTOS_INTA!$E$8:$E$625,0)),(MATCH((P$4),ALIMENTOS_INTA!$D$7:$AO$7,0))))),(INDEX(ALIMENTOS_INTA!$D$8:$AO$625,(MATCH(($H10),ALIMENTOS_INTA!$E$8:$E$625,0)),(MATCH((P$4),ALIMENTOS_INTA!$D$7:$AO$7,0))))*($I10)/100,"ND")))),"ND")</f>
        <v>151</v>
      </c>
      <c r="Q10" s="78">
        <f>IFERROR(IF(($H10)="","",IF(NOT(ISNUMBER(($I10))),"",IF((Q$4)="","ND",IF(ISNUMBER((INDEX(ALIMENTOS_INTA!$D$8:$AO$625,(MATCH(($H10),ALIMENTOS_INTA!$E$8:$E$625,0)),(MATCH((Q$4),ALIMENTOS_INTA!$D$7:$AO$7,0))))),(INDEX(ALIMENTOS_INTA!$D$8:$AO$625,(MATCH(($H10),ALIMENTOS_INTA!$E$8:$E$625,0)),(MATCH((Q$4),ALIMENTOS_INTA!$D$7:$AO$7,0))))*($I10)/100,"ND")))),"ND")</f>
        <v>13</v>
      </c>
      <c r="R10" s="78">
        <f>IFERROR(IF(($H10)="","",IF(NOT(ISNUMBER(($I10))),"",IF((R$4)="","ND",IF(ISNUMBER((INDEX(ALIMENTOS_INTA!$D$8:$AO$625,(MATCH(($H10),ALIMENTOS_INTA!$E$8:$E$625,0)),(MATCH((R$4),ALIMENTOS_INTA!$D$7:$AO$7,0))))),(INDEX(ALIMENTOS_INTA!$D$8:$AO$625,(MATCH(($H10),ALIMENTOS_INTA!$E$8:$E$625,0)),(MATCH((R$4),ALIMENTOS_INTA!$D$7:$AO$7,0))))*($I10)/100,"ND")))),"ND")</f>
        <v>49</v>
      </c>
      <c r="S10" s="78" t="str">
        <f>IFERROR(IF(($H10)="","",IF(NOT(ISNUMBER(($I10))),"",IF((S$4)="","ND",IF(ISNUMBER((INDEX(ALIMENTOS_INTA!$D$8:$AO$625,(MATCH(($H10),ALIMENTOS_INTA!$E$8:$E$625,0)),(MATCH((S$4),ALIMENTOS_INTA!$D$7:$AO$7,0))))),(INDEX(ALIMENTOS_INTA!$D$8:$AO$625,(MATCH(($H10),ALIMENTOS_INTA!$E$8:$E$625,0)),(MATCH((S$4),ALIMENTOS_INTA!$D$7:$AO$7,0))))*($I10)/100,"ND")))),"ND")</f>
        <v>ND</v>
      </c>
      <c r="T10" s="78">
        <f>IFERROR(IF(($H10)="","",IF(NOT(ISNUMBER(($I10))),"",IF((T$4)="","ND",IF(ISNUMBER((INDEX(ALIMENTOS_INTA!$D$8:$AO$625,(MATCH(($H10),ALIMENTOS_INTA!$E$8:$E$625,0)),(MATCH((T$4),ALIMENTOS_INTA!$D$7:$AO$7,0))))),(INDEX(ALIMENTOS_INTA!$D$8:$AO$625,(MATCH(($H10),ALIMENTOS_INTA!$E$8:$E$625,0)),(MATCH((T$4),ALIMENTOS_INTA!$D$7:$AO$7,0))))*($I10)/100,"ND")))),"ND")</f>
        <v>33</v>
      </c>
      <c r="U10" s="78" t="str">
        <f>IFERROR(IF(($H10)="","",IF(NOT(ISNUMBER(($I10))),"",IF((U$4)="","ND",IF(ISNUMBER((INDEX(ALIMENTOS_INTA!$D$8:$AO$625,(MATCH(($H10),ALIMENTOS_INTA!$E$8:$E$625,0)),(MATCH((U$4),ALIMENTOS_INTA!$D$7:$AO$7,0))))),(INDEX(ALIMENTOS_INTA!$D$8:$AO$625,(MATCH(($H10),ALIMENTOS_INTA!$E$8:$E$625,0)),(MATCH((U$4),ALIMENTOS_INTA!$D$7:$AO$7,0))))*($I10)/100,"ND")))),"ND")</f>
        <v>ND</v>
      </c>
      <c r="V10" s="78" t="str">
        <f>IFERROR(IF(($H10)="","",IF(NOT(ISNUMBER(($I10))),"",IF((V$4)="","ND",IF(ISNUMBER((INDEX(ALIMENTOS_INTA!$D$8:$AO$625,(MATCH(($H10),ALIMENTOS_INTA!$E$8:$E$625,0)),(MATCH((V$4),ALIMENTOS_INTA!$D$7:$AO$7,0))))),(INDEX(ALIMENTOS_INTA!$D$8:$AO$625,(MATCH(($H10),ALIMENTOS_INTA!$E$8:$E$625,0)),(MATCH((V$4),ALIMENTOS_INTA!$D$7:$AO$7,0))))*($I10)/100,"ND")))),"ND")</f>
        <v>ND</v>
      </c>
      <c r="W10" s="78" t="str">
        <f>IFERROR(IF(($H10)="","",IF(NOT(ISNUMBER(($I10))),"",IF((W$4)="","ND",IF(ISNUMBER((INDEX(ALIMENTOS_INTA!$D$8:$AO$625,(MATCH(($H10),ALIMENTOS_INTA!$E$8:$E$625,0)),(MATCH((W$4),ALIMENTOS_INTA!$D$7:$AO$7,0))))),(INDEX(ALIMENTOS_INTA!$D$8:$AO$625,(MATCH(($H10),ALIMENTOS_INTA!$E$8:$E$625,0)),(MATCH((W$4),ALIMENTOS_INTA!$D$7:$AO$7,0))))*($I10)/100,"ND")))),"ND")</f>
        <v>ND</v>
      </c>
      <c r="X10" s="78">
        <f>IFERROR(IF(($H10)="","",IF(NOT(ISNUMBER(($I10))),"",IF((X$4)="","ND",IF(ISNUMBER((INDEX(ALIMENTOS_INTA!$D$8:$AO$625,(MATCH(($H10),ALIMENTOS_INTA!$E$8:$E$625,0)),(MATCH((X$4),ALIMENTOS_INTA!$D$7:$AO$7,0))))),(INDEX(ALIMENTOS_INTA!$D$8:$AO$625,(MATCH(($H10),ALIMENTOS_INTA!$E$8:$E$625,0)),(MATCH((X$4),ALIMENTOS_INTA!$D$7:$AO$7,0))))*($I10)/100,"ND")))),"ND")</f>
        <v>1.5</v>
      </c>
      <c r="Y10" s="78">
        <f>IFERROR(IF(($H10)="","",IF(NOT(ISNUMBER(($I10))),"",IF((Y$4)="","ND",IF(ISNUMBER((INDEX(ALIMENTOS_INTA!$D$8:$AO$625,(MATCH(($H10),ALIMENTOS_INTA!$E$8:$E$625,0)),(MATCH((Y$4),ALIMENTOS_INTA!$D$7:$AO$7,0))))),(INDEX(ALIMENTOS_INTA!$D$8:$AO$625,(MATCH(($H10),ALIMENTOS_INTA!$E$8:$E$625,0)),(MATCH((Y$4),ALIMENTOS_INTA!$D$7:$AO$7,0))))*($I10)/100,"ND")))),"ND")</f>
        <v>0</v>
      </c>
      <c r="Z10" s="78">
        <f>IFERROR(IF(($H10)="","",IF(NOT(ISNUMBER(($I10))),"",IF((Z$4)="","ND",IF(ISNUMBER((INDEX(ALIMENTOS_INTA!$D$8:$AO$625,(MATCH(($H10),ALIMENTOS_INTA!$E$8:$E$625,0)),(MATCH((Z$4),ALIMENTOS_INTA!$D$7:$AO$7,0))))),(INDEX(ALIMENTOS_INTA!$D$8:$AO$625,(MATCH(($H10),ALIMENTOS_INTA!$E$8:$E$625,0)),(MATCH((Z$4),ALIMENTOS_INTA!$D$7:$AO$7,0))))*($I10)/100,"ND")))),"ND")</f>
        <v>0.2</v>
      </c>
      <c r="AA10" s="78">
        <f>IFERROR(IF(($H10)="","",IF(NOT(ISNUMBER(($I10))),"",IF((AA$4)="","ND",IF(ISNUMBER((INDEX(ALIMENTOS_INTA!$D$8:$AO$625,(MATCH(($H10),ALIMENTOS_INTA!$E$8:$E$625,0)),(MATCH((AA$4),ALIMENTOS_INTA!$D$7:$AO$7,0))))),(INDEX(ALIMENTOS_INTA!$D$8:$AO$625,(MATCH(($H10),ALIMENTOS_INTA!$E$8:$E$625,0)),(MATCH((AA$4),ALIMENTOS_INTA!$D$7:$AO$7,0))))*($I10)/100,"ND")))),"ND")</f>
        <v>0.1</v>
      </c>
      <c r="AB10" s="78">
        <f>IFERROR(IF(($H10)="","",IF(NOT(ISNUMBER(($I10))),"",IF((AB$4)="","ND",IF(ISNUMBER((INDEX(ALIMENTOS_INTA!$D$8:$AO$625,(MATCH(($H10),ALIMENTOS_INTA!$E$8:$E$625,0)),(MATCH((AB$4),ALIMENTOS_INTA!$D$7:$AO$7,0))))),(INDEX(ALIMENTOS_INTA!$D$8:$AO$625,(MATCH(($H10),ALIMENTOS_INTA!$E$8:$E$625,0)),(MATCH((AB$4),ALIMENTOS_INTA!$D$7:$AO$7,0))))*($I10)/100,"ND")))),"ND")</f>
        <v>0.3</v>
      </c>
      <c r="AC10" s="78">
        <f>IFERROR(IF(($H10)="","",IF(NOT(ISNUMBER(($I10))),"",IF((AC$4)="","ND",IF(ISNUMBER((INDEX(ALIMENTOS_INTA!$D$8:$AO$625,(MATCH(($H10),ALIMENTOS_INTA!$E$8:$E$625,0)),(MATCH((AC$4),ALIMENTOS_INTA!$D$7:$AO$7,0))))),(INDEX(ALIMENTOS_INTA!$D$8:$AO$625,(MATCH(($H10),ALIMENTOS_INTA!$E$8:$E$625,0)),(MATCH((AC$4),ALIMENTOS_INTA!$D$7:$AO$7,0))))*($I10)/100,"ND")))),"ND")</f>
        <v>0</v>
      </c>
      <c r="AD10" s="78" t="str">
        <f>IFERROR(IF(($H10)="","",IF(NOT(ISNUMBER(($I10))),"",IF((AD$4)="","ND",IF(ISNUMBER((INDEX(ALIMENTOS_INTA!$D$8:$AO$625,(MATCH(($H10),ALIMENTOS_INTA!$E$8:$E$625,0)),(MATCH((AD$4),ALIMENTOS_INTA!$D$7:$AO$7,0))))),(INDEX(ALIMENTOS_INTA!$D$8:$AO$625,(MATCH(($H10),ALIMENTOS_INTA!$E$8:$E$625,0)),(MATCH((AD$4),ALIMENTOS_INTA!$D$7:$AO$7,0))))*($I10)/100,"ND")))),"ND")</f>
        <v>ND</v>
      </c>
      <c r="AE10" s="78">
        <f>IFERROR(IF(($H10)="","",IF(NOT(ISNUMBER(($I10))),"",IF((AE$4)="","ND",IF(ISNUMBER((INDEX(ALIMENTOS_INTA!$D$8:$AO$625,(MATCH(($H10),ALIMENTOS_INTA!$E$8:$E$625,0)),(MATCH((AE$4),ALIMENTOS_INTA!$D$7:$AO$7,0))))),(INDEX(ALIMENTOS_INTA!$D$8:$AO$625,(MATCH(($H10),ALIMENTOS_INTA!$E$8:$E$625,0)),(MATCH((AE$4),ALIMENTOS_INTA!$D$7:$AO$7,0))))*($I10)/100,"ND")))),"ND")</f>
        <v>5</v>
      </c>
      <c r="AF10" s="78">
        <f>IFERROR(IF(($H10)="","",IF(NOT(ISNUMBER(($I10))),"",IF((AF$4)="","ND",IF(ISNUMBER((INDEX(ALIMENTOS_INTA!$D$8:$AO$625,(MATCH(($H10),ALIMENTOS_INTA!$E$8:$E$625,0)),(MATCH((AF$4),ALIMENTOS_INTA!$D$7:$AO$7,0))))),(INDEX(ALIMENTOS_INTA!$D$8:$AO$625,(MATCH(($H10),ALIMENTOS_INTA!$E$8:$E$625,0)),(MATCH((AF$4),ALIMENTOS_INTA!$D$7:$AO$7,0))))*($I10)/100,"ND")))),"ND")</f>
        <v>0.4</v>
      </c>
      <c r="AJ10" t="s">
        <v>225</v>
      </c>
      <c r="AK10">
        <v>9</v>
      </c>
      <c r="AL10" t="s">
        <v>2659</v>
      </c>
      <c r="AM10" t="s">
        <v>2629</v>
      </c>
      <c r="AN10" t="s">
        <v>1614</v>
      </c>
      <c r="AO10">
        <v>43</v>
      </c>
      <c r="AP10" t="s">
        <v>230</v>
      </c>
    </row>
    <row r="11" spans="1:42">
      <c r="A11" s="55" t="s">
        <v>2900</v>
      </c>
      <c r="B11" s="50">
        <f>DATOS!B29</f>
        <v>55</v>
      </c>
      <c r="C11" s="55" t="s">
        <v>136</v>
      </c>
      <c r="D11" s="55" t="s">
        <v>204</v>
      </c>
      <c r="H11" s="78" t="str">
        <f>FUENTES_ALIMENTARIAS!B19</f>
        <v>Leche de Burra</v>
      </c>
      <c r="I11" s="78">
        <f>FUENTES_ALIMENTARIAS!F19</f>
        <v>100</v>
      </c>
      <c r="J11" s="78" t="str">
        <f>IFERROR(IF(($H11)="","",IF(NOT(ISNUMBER(($I11))),"",IF((J$4)="","ND",IF(ISNUMBER((INDEX(ALIMENTOS_INTA!$D$8:$AO$625,(MATCH(($H11),ALIMENTOS_INTA!$E$8:$E$625,0)),(MATCH((J$4),ALIMENTOS_INTA!$D$7:$AO$7,0))))),(INDEX(ALIMENTOS_INTA!$D$8:$AO$625,(MATCH(($H11),ALIMENTOS_INTA!$E$8:$E$625,0)),(MATCH((J$4),ALIMENTOS_INTA!$D$7:$AO$7,0))))*($I11)/100,"ND")))),"ND")</f>
        <v>ND</v>
      </c>
      <c r="K11" s="78" t="str">
        <f>IFERROR(IF(($H11)="","",IF(NOT(ISNUMBER(($I11))),"",IF((K$4)="","ND",IF(ISNUMBER((INDEX(ALIMENTOS_INTA!$D$8:$AO$625,(MATCH(($H11),ALIMENTOS_INTA!$E$8:$E$625,0)),(MATCH((K$4),ALIMENTOS_INTA!$D$7:$AO$7,0))))),(INDEX(ALIMENTOS_INTA!$D$8:$AO$625,(MATCH(($H11),ALIMENTOS_INTA!$E$8:$E$625,0)),(MATCH((K$4),ALIMENTOS_INTA!$D$7:$AO$7,0))))*($I11)/100,"ND")))),"ND")</f>
        <v>ND</v>
      </c>
      <c r="L11" s="78" t="str">
        <f>IFERROR(IF(($H11)="","",IF(NOT(ISNUMBER(($I11))),"",IF((L$4)="","ND",IF(ISNUMBER((INDEX(ALIMENTOS_INTA!$D$8:$AO$625,(MATCH(($H11),ALIMENTOS_INTA!$E$8:$E$625,0)),(MATCH((L$4),ALIMENTOS_INTA!$D$7:$AO$7,0))))),(INDEX(ALIMENTOS_INTA!$D$8:$AO$625,(MATCH(($H11),ALIMENTOS_INTA!$E$8:$E$625,0)),(MATCH((L$4),ALIMENTOS_INTA!$D$7:$AO$7,0))))*($I11)/100,"ND")))),"ND")</f>
        <v>ND</v>
      </c>
      <c r="M11" s="78">
        <f>IFERROR(IF(($H11)="","",IF(NOT(ISNUMBER(($I11))),"",IF((M$4)="","ND",IF(ISNUMBER((INDEX(ALIMENTOS_INTA!$D$8:$AO$625,(MATCH(($H11),ALIMENTOS_INTA!$E$8:$E$625,0)),(MATCH((M$4),ALIMENTOS_INTA!$D$7:$AO$7,0))))),(INDEX(ALIMENTOS_INTA!$D$8:$AO$625,(MATCH(($H11),ALIMENTOS_INTA!$E$8:$E$625,0)),(MATCH((M$4),ALIMENTOS_INTA!$D$7:$AO$7,0))))*($I11)/100,"ND")))),"ND")</f>
        <v>138</v>
      </c>
      <c r="N11" s="78">
        <f>IFERROR(IF(($H11)="","",IF(NOT(ISNUMBER(($I11))),"",IF((N$4)="","ND",IF(ISNUMBER((INDEX(ALIMENTOS_INTA!$D$8:$AO$625,(MATCH(($H11),ALIMENTOS_INTA!$E$8:$E$625,0)),(MATCH((N$4),ALIMENTOS_INTA!$D$7:$AO$7,0))))),(INDEX(ALIMENTOS_INTA!$D$8:$AO$625,(MATCH(($H11),ALIMENTOS_INTA!$E$8:$E$625,0)),(MATCH((N$4),ALIMENTOS_INTA!$D$7:$AO$7,0))))*($I11)/100,"ND")))),"ND")</f>
        <v>60</v>
      </c>
      <c r="O11" s="78" t="str">
        <f>IFERROR(IF(($H11)="","",IF(NOT(ISNUMBER(($I11))),"",IF((O$4)="","ND",IF(ISNUMBER((INDEX(ALIMENTOS_INTA!$D$8:$AO$625,(MATCH(($H11),ALIMENTOS_INTA!$E$8:$E$625,0)),(MATCH((O$4),ALIMENTOS_INTA!$D$7:$AO$7,0))))),(INDEX(ALIMENTOS_INTA!$D$8:$AO$625,(MATCH(($H11),ALIMENTOS_INTA!$E$8:$E$625,0)),(MATCH((O$4),ALIMENTOS_INTA!$D$7:$AO$7,0))))*($I11)/100,"ND")))),"ND")</f>
        <v>ND</v>
      </c>
      <c r="P11" s="78" t="str">
        <f>IFERROR(IF(($H11)="","",IF(NOT(ISNUMBER(($I11))),"",IF((P$4)="","ND",IF(ISNUMBER((INDEX(ALIMENTOS_INTA!$D$8:$AO$625,(MATCH(($H11),ALIMENTOS_INTA!$E$8:$E$625,0)),(MATCH((P$4),ALIMENTOS_INTA!$D$7:$AO$7,0))))),(INDEX(ALIMENTOS_INTA!$D$8:$AO$625,(MATCH(($H11),ALIMENTOS_INTA!$E$8:$E$625,0)),(MATCH((P$4),ALIMENTOS_INTA!$D$7:$AO$7,0))))*($I11)/100,"ND")))),"ND")</f>
        <v>ND</v>
      </c>
      <c r="Q11" s="78" t="str">
        <f>IFERROR(IF(($H11)="","",IF(NOT(ISNUMBER(($I11))),"",IF((Q$4)="","ND",IF(ISNUMBER((INDEX(ALIMENTOS_INTA!$D$8:$AO$625,(MATCH(($H11),ALIMENTOS_INTA!$E$8:$E$625,0)),(MATCH((Q$4),ALIMENTOS_INTA!$D$7:$AO$7,0))))),(INDEX(ALIMENTOS_INTA!$D$8:$AO$625,(MATCH(($H11),ALIMENTOS_INTA!$E$8:$E$625,0)),(MATCH((Q$4),ALIMENTOS_INTA!$D$7:$AO$7,0))))*($I11)/100,"ND")))),"ND")</f>
        <v>ND</v>
      </c>
      <c r="R11" s="78" t="str">
        <f>IFERROR(IF(($H11)="","",IF(NOT(ISNUMBER(($I11))),"",IF((R$4)="","ND",IF(ISNUMBER((INDEX(ALIMENTOS_INTA!$D$8:$AO$625,(MATCH(($H11),ALIMENTOS_INTA!$E$8:$E$625,0)),(MATCH((R$4),ALIMENTOS_INTA!$D$7:$AO$7,0))))),(INDEX(ALIMENTOS_INTA!$D$8:$AO$625,(MATCH(($H11),ALIMENTOS_INTA!$E$8:$E$625,0)),(MATCH((R$4),ALIMENTOS_INTA!$D$7:$AO$7,0))))*($I11)/100,"ND")))),"ND")</f>
        <v>ND</v>
      </c>
      <c r="S11" s="78" t="str">
        <f>IFERROR(IF(($H11)="","",IF(NOT(ISNUMBER(($I11))),"",IF((S$4)="","ND",IF(ISNUMBER((INDEX(ALIMENTOS_INTA!$D$8:$AO$625,(MATCH(($H11),ALIMENTOS_INTA!$E$8:$E$625,0)),(MATCH((S$4),ALIMENTOS_INTA!$D$7:$AO$7,0))))),(INDEX(ALIMENTOS_INTA!$D$8:$AO$625,(MATCH(($H11),ALIMENTOS_INTA!$E$8:$E$625,0)),(MATCH((S$4),ALIMENTOS_INTA!$D$7:$AO$7,0))))*($I11)/100,"ND")))),"ND")</f>
        <v>ND</v>
      </c>
      <c r="T11" s="78" t="str">
        <f>IFERROR(IF(($H11)="","",IF(NOT(ISNUMBER(($I11))),"",IF((T$4)="","ND",IF(ISNUMBER((INDEX(ALIMENTOS_INTA!$D$8:$AO$625,(MATCH(($H11),ALIMENTOS_INTA!$E$8:$E$625,0)),(MATCH((T$4),ALIMENTOS_INTA!$D$7:$AO$7,0))))),(INDEX(ALIMENTOS_INTA!$D$8:$AO$625,(MATCH(($H11),ALIMENTOS_INTA!$E$8:$E$625,0)),(MATCH((T$4),ALIMENTOS_INTA!$D$7:$AO$7,0))))*($I11)/100,"ND")))),"ND")</f>
        <v>ND</v>
      </c>
      <c r="U11" s="78" t="str">
        <f>IFERROR(IF(($H11)="","",IF(NOT(ISNUMBER(($I11))),"",IF((U$4)="","ND",IF(ISNUMBER((INDEX(ALIMENTOS_INTA!$D$8:$AO$625,(MATCH(($H11),ALIMENTOS_INTA!$E$8:$E$625,0)),(MATCH((U$4),ALIMENTOS_INTA!$D$7:$AO$7,0))))),(INDEX(ALIMENTOS_INTA!$D$8:$AO$625,(MATCH(($H11),ALIMENTOS_INTA!$E$8:$E$625,0)),(MATCH((U$4),ALIMENTOS_INTA!$D$7:$AO$7,0))))*($I11)/100,"ND")))),"ND")</f>
        <v>ND</v>
      </c>
      <c r="V11" s="78" t="str">
        <f>IFERROR(IF(($H11)="","",IF(NOT(ISNUMBER(($I11))),"",IF((V$4)="","ND",IF(ISNUMBER((INDEX(ALIMENTOS_INTA!$D$8:$AO$625,(MATCH(($H11),ALIMENTOS_INTA!$E$8:$E$625,0)),(MATCH((V$4),ALIMENTOS_INTA!$D$7:$AO$7,0))))),(INDEX(ALIMENTOS_INTA!$D$8:$AO$625,(MATCH(($H11),ALIMENTOS_INTA!$E$8:$E$625,0)),(MATCH((V$4),ALIMENTOS_INTA!$D$7:$AO$7,0))))*($I11)/100,"ND")))),"ND")</f>
        <v>ND</v>
      </c>
      <c r="W11" s="78" t="str">
        <f>IFERROR(IF(($H11)="","",IF(NOT(ISNUMBER(($I11))),"",IF((W$4)="","ND",IF(ISNUMBER((INDEX(ALIMENTOS_INTA!$D$8:$AO$625,(MATCH(($H11),ALIMENTOS_INTA!$E$8:$E$625,0)),(MATCH((W$4),ALIMENTOS_INTA!$D$7:$AO$7,0))))),(INDEX(ALIMENTOS_INTA!$D$8:$AO$625,(MATCH(($H11),ALIMENTOS_INTA!$E$8:$E$625,0)),(MATCH((W$4),ALIMENTOS_INTA!$D$7:$AO$7,0))))*($I11)/100,"ND")))),"ND")</f>
        <v>ND</v>
      </c>
      <c r="X11" s="78">
        <f>IFERROR(IF(($H11)="","",IF(NOT(ISNUMBER(($I11))),"",IF((X$4)="","ND",IF(ISNUMBER((INDEX(ALIMENTOS_INTA!$D$8:$AO$625,(MATCH(($H11),ALIMENTOS_INTA!$E$8:$E$625,0)),(MATCH((X$4),ALIMENTOS_INTA!$D$7:$AO$7,0))))),(INDEX(ALIMENTOS_INTA!$D$8:$AO$625,(MATCH(($H11),ALIMENTOS_INTA!$E$8:$E$625,0)),(MATCH((X$4),ALIMENTOS_INTA!$D$7:$AO$7,0))))*($I11)/100,"ND")))),"ND")</f>
        <v>1.7</v>
      </c>
      <c r="Y11" s="78">
        <f>IFERROR(IF(($H11)="","",IF(NOT(ISNUMBER(($I11))),"",IF((Y$4)="","ND",IF(ISNUMBER((INDEX(ALIMENTOS_INTA!$D$8:$AO$625,(MATCH(($H11),ALIMENTOS_INTA!$E$8:$E$625,0)),(MATCH((Y$4),ALIMENTOS_INTA!$D$7:$AO$7,0))))),(INDEX(ALIMENTOS_INTA!$D$8:$AO$625,(MATCH(($H11),ALIMENTOS_INTA!$E$8:$E$625,0)),(MATCH((Y$4),ALIMENTOS_INTA!$D$7:$AO$7,0))))*($I11)/100,"ND")))),"ND")</f>
        <v>0</v>
      </c>
      <c r="Z11" s="78">
        <f>IFERROR(IF(($H11)="","",IF(NOT(ISNUMBER(($I11))),"",IF((Z$4)="","ND",IF(ISNUMBER((INDEX(ALIMENTOS_INTA!$D$8:$AO$625,(MATCH(($H11),ALIMENTOS_INTA!$E$8:$E$625,0)),(MATCH((Z$4),ALIMENTOS_INTA!$D$7:$AO$7,0))))),(INDEX(ALIMENTOS_INTA!$D$8:$AO$625,(MATCH(($H11),ALIMENTOS_INTA!$E$8:$E$625,0)),(MATCH((Z$4),ALIMENTOS_INTA!$D$7:$AO$7,0))))*($I11)/100,"ND")))),"ND")</f>
        <v>0.1</v>
      </c>
      <c r="AA11" s="78">
        <f>IFERROR(IF(($H11)="","",IF(NOT(ISNUMBER(($I11))),"",IF((AA$4)="","ND",IF(ISNUMBER((INDEX(ALIMENTOS_INTA!$D$8:$AO$625,(MATCH(($H11),ALIMENTOS_INTA!$E$8:$E$625,0)),(MATCH((AA$4),ALIMENTOS_INTA!$D$7:$AO$7,0))))),(INDEX(ALIMENTOS_INTA!$D$8:$AO$625,(MATCH(($H11),ALIMENTOS_INTA!$E$8:$E$625,0)),(MATCH((AA$4),ALIMENTOS_INTA!$D$7:$AO$7,0))))*($I11)/100,"ND")))),"ND")</f>
        <v>0.1</v>
      </c>
      <c r="AB11" s="78" t="str">
        <f>IFERROR(IF(($H11)="","",IF(NOT(ISNUMBER(($I11))),"",IF((AB$4)="","ND",IF(ISNUMBER((INDEX(ALIMENTOS_INTA!$D$8:$AO$625,(MATCH(($H11),ALIMENTOS_INTA!$E$8:$E$625,0)),(MATCH((AB$4),ALIMENTOS_INTA!$D$7:$AO$7,0))))),(INDEX(ALIMENTOS_INTA!$D$8:$AO$625,(MATCH(($H11),ALIMENTOS_INTA!$E$8:$E$625,0)),(MATCH((AB$4),ALIMENTOS_INTA!$D$7:$AO$7,0))))*($I11)/100,"ND")))),"ND")</f>
        <v>ND</v>
      </c>
      <c r="AC11" s="78" t="str">
        <f>IFERROR(IF(($H11)="","",IF(NOT(ISNUMBER(($I11))),"",IF((AC$4)="","ND",IF(ISNUMBER((INDEX(ALIMENTOS_INTA!$D$8:$AO$625,(MATCH(($H11),ALIMENTOS_INTA!$E$8:$E$625,0)),(MATCH((AC$4),ALIMENTOS_INTA!$D$7:$AO$7,0))))),(INDEX(ALIMENTOS_INTA!$D$8:$AO$625,(MATCH(($H11),ALIMENTOS_INTA!$E$8:$E$625,0)),(MATCH((AC$4),ALIMENTOS_INTA!$D$7:$AO$7,0))))*($I11)/100,"ND")))),"ND")</f>
        <v>ND</v>
      </c>
      <c r="AD11" s="78" t="str">
        <f>IFERROR(IF(($H11)="","",IF(NOT(ISNUMBER(($I11))),"",IF((AD$4)="","ND",IF(ISNUMBER((INDEX(ALIMENTOS_INTA!$D$8:$AO$625,(MATCH(($H11),ALIMENTOS_INTA!$E$8:$E$625,0)),(MATCH((AD$4),ALIMENTOS_INTA!$D$7:$AO$7,0))))),(INDEX(ALIMENTOS_INTA!$D$8:$AO$625,(MATCH(($H11),ALIMENTOS_INTA!$E$8:$E$625,0)),(MATCH((AD$4),ALIMENTOS_INTA!$D$7:$AO$7,0))))*($I11)/100,"ND")))),"ND")</f>
        <v>ND</v>
      </c>
      <c r="AE11" s="78" t="str">
        <f>IFERROR(IF(($H11)="","",IF(NOT(ISNUMBER(($I11))),"",IF((AE$4)="","ND",IF(ISNUMBER((INDEX(ALIMENTOS_INTA!$D$8:$AO$625,(MATCH(($H11),ALIMENTOS_INTA!$E$8:$E$625,0)),(MATCH((AE$4),ALIMENTOS_INTA!$D$7:$AO$7,0))))),(INDEX(ALIMENTOS_INTA!$D$8:$AO$625,(MATCH(($H11),ALIMENTOS_INTA!$E$8:$E$625,0)),(MATCH((AE$4),ALIMENTOS_INTA!$D$7:$AO$7,0))))*($I11)/100,"ND")))),"ND")</f>
        <v>ND</v>
      </c>
      <c r="AF11" s="78" t="str">
        <f>IFERROR(IF(($H11)="","",IF(NOT(ISNUMBER(($I11))),"",IF((AF$4)="","ND",IF(ISNUMBER((INDEX(ALIMENTOS_INTA!$D$8:$AO$625,(MATCH(($H11),ALIMENTOS_INTA!$E$8:$E$625,0)),(MATCH((AF$4),ALIMENTOS_INTA!$D$7:$AO$7,0))))),(INDEX(ALIMENTOS_INTA!$D$8:$AO$625,(MATCH(($H11),ALIMENTOS_INTA!$E$8:$E$625,0)),(MATCH((AF$4),ALIMENTOS_INTA!$D$7:$AO$7,0))))*($I11)/100,"ND")))),"ND")</f>
        <v>ND</v>
      </c>
      <c r="AJ11" t="s">
        <v>225</v>
      </c>
      <c r="AK11">
        <v>10</v>
      </c>
      <c r="AL11" t="s">
        <v>2673</v>
      </c>
      <c r="AM11" t="s">
        <v>2629</v>
      </c>
      <c r="AN11" t="s">
        <v>1614</v>
      </c>
      <c r="AO11">
        <v>36.799999999999997</v>
      </c>
      <c r="AP11" t="s">
        <v>230</v>
      </c>
    </row>
    <row r="12" spans="1:42">
      <c r="A12" s="55" t="s">
        <v>2901</v>
      </c>
      <c r="B12" s="50">
        <f>IF(NOT(ISNUMBER(B2)),"ND",IF(B7="Porcentual",B2*(B9/100)/CONFIG!$B$8,B6*B8))</f>
        <v>78.984479999999991</v>
      </c>
      <c r="C12" s="55" t="s">
        <v>207</v>
      </c>
      <c r="D12" s="55" t="s">
        <v>2902</v>
      </c>
      <c r="H12" s="78" t="str">
        <f>FUENTES_ALIMENTARIAS!B20</f>
        <v>Semillas de hinojo</v>
      </c>
      <c r="I12" s="78">
        <f>FUENTES_ALIMENTARIAS!F20</f>
        <v>100</v>
      </c>
      <c r="J12" s="78">
        <f>IFERROR(IF(($H12)="","",IF(NOT(ISNUMBER(($I12))),"",IF((J$4)="","ND",IF(ISNUMBER((INDEX(ALIMENTOS_INTA!$D$8:$AO$625,(MATCH(($H12),ALIMENTOS_INTA!$E$8:$E$625,0)),(MATCH((J$4),ALIMENTOS_INTA!$D$7:$AO$7,0))))),(INDEX(ALIMENTOS_INTA!$D$8:$AO$625,(MATCH(($H12),ALIMENTOS_INTA!$E$8:$E$625,0)),(MATCH((J$4),ALIMENTOS_INTA!$D$7:$AO$7,0))))*($I12)/100,"ND")))),"ND")</f>
        <v>18.5</v>
      </c>
      <c r="K12" s="78">
        <f>IFERROR(IF(($H12)="","",IF(NOT(ISNUMBER(($I12))),"",IF((K$4)="","ND",IF(ISNUMBER((INDEX(ALIMENTOS_INTA!$D$8:$AO$625,(MATCH(($H12),ALIMENTOS_INTA!$E$8:$E$625,0)),(MATCH((K$4),ALIMENTOS_INTA!$D$7:$AO$7,0))))),(INDEX(ALIMENTOS_INTA!$D$8:$AO$625,(MATCH(($H12),ALIMENTOS_INTA!$E$8:$E$625,0)),(MATCH((K$4),ALIMENTOS_INTA!$D$7:$AO$7,0))))*($I12)/100,"ND")))),"ND")</f>
        <v>3.7</v>
      </c>
      <c r="L12" s="78">
        <f>IFERROR(IF(($H12)="","",IF(NOT(ISNUMBER(($I12))),"",IF((L$4)="","ND",IF(ISNUMBER((INDEX(ALIMENTOS_INTA!$D$8:$AO$625,(MATCH(($H12),ALIMENTOS_INTA!$E$8:$E$625,0)),(MATCH((L$4),ALIMENTOS_INTA!$D$7:$AO$7,0))))),(INDEX(ALIMENTOS_INTA!$D$8:$AO$625,(MATCH(($H12),ALIMENTOS_INTA!$E$8:$E$625,0)),(MATCH((L$4),ALIMENTOS_INTA!$D$7:$AO$7,0))))*($I12)/100,"ND")))),"ND")</f>
        <v>1.1000000000000001</v>
      </c>
      <c r="M12" s="78">
        <f>IFERROR(IF(($H12)="","",IF(NOT(ISNUMBER(($I12))),"",IF((M$4)="","ND",IF(ISNUMBER((INDEX(ALIMENTOS_INTA!$D$8:$AO$625,(MATCH(($H12),ALIMENTOS_INTA!$E$8:$E$625,0)),(MATCH((M$4),ALIMENTOS_INTA!$D$7:$AO$7,0))))),(INDEX(ALIMENTOS_INTA!$D$8:$AO$625,(MATCH(($H12),ALIMENTOS_INTA!$E$8:$E$625,0)),(MATCH((M$4),ALIMENTOS_INTA!$D$7:$AO$7,0))))*($I12)/100,"ND")))),"ND")</f>
        <v>1196</v>
      </c>
      <c r="N12" s="78">
        <f>IFERROR(IF(($H12)="","",IF(NOT(ISNUMBER(($I12))),"",IF((N$4)="","ND",IF(ISNUMBER((INDEX(ALIMENTOS_INTA!$D$8:$AO$625,(MATCH(($H12),ALIMENTOS_INTA!$E$8:$E$625,0)),(MATCH((N$4),ALIMENTOS_INTA!$D$7:$AO$7,0))))),(INDEX(ALIMENTOS_INTA!$D$8:$AO$625,(MATCH(($H12),ALIMENTOS_INTA!$E$8:$E$625,0)),(MATCH((N$4),ALIMENTOS_INTA!$D$7:$AO$7,0))))*($I12)/100,"ND")))),"ND")</f>
        <v>487</v>
      </c>
      <c r="O12" s="78">
        <f>IFERROR(IF(($H12)="","",IF(NOT(ISNUMBER(($I12))),"",IF((O$4)="","ND",IF(ISNUMBER((INDEX(ALIMENTOS_INTA!$D$8:$AO$625,(MATCH(($H12),ALIMENTOS_INTA!$E$8:$E$625,0)),(MATCH((O$4),ALIMENTOS_INTA!$D$7:$AO$7,0))))),(INDEX(ALIMENTOS_INTA!$D$8:$AO$625,(MATCH(($H12),ALIMENTOS_INTA!$E$8:$E$625,0)),(MATCH((O$4),ALIMENTOS_INTA!$D$7:$AO$7,0))))*($I12)/100,"ND")))),"ND")</f>
        <v>208.1</v>
      </c>
      <c r="P12" s="78">
        <f>IFERROR(IF(($H12)="","",IF(NOT(ISNUMBER(($I12))),"",IF((P$4)="","ND",IF(ISNUMBER((INDEX(ALIMENTOS_INTA!$D$8:$AO$625,(MATCH(($H12),ALIMENTOS_INTA!$E$8:$E$625,0)),(MATCH((P$4),ALIMENTOS_INTA!$D$7:$AO$7,0))))),(INDEX(ALIMENTOS_INTA!$D$8:$AO$625,(MATCH(($H12),ALIMENTOS_INTA!$E$8:$E$625,0)),(MATCH((P$4),ALIMENTOS_INTA!$D$7:$AO$7,0))))*($I12)/100,"ND")))),"ND")</f>
        <v>1694</v>
      </c>
      <c r="Q12" s="78">
        <f>IFERROR(IF(($H12)="","",IF(NOT(ISNUMBER(($I12))),"",IF((Q$4)="","ND",IF(ISNUMBER((INDEX(ALIMENTOS_INTA!$D$8:$AO$625,(MATCH(($H12),ALIMENTOS_INTA!$E$8:$E$625,0)),(MATCH((Q$4),ALIMENTOS_INTA!$D$7:$AO$7,0))))),(INDEX(ALIMENTOS_INTA!$D$8:$AO$625,(MATCH(($H12),ALIMENTOS_INTA!$E$8:$E$625,0)),(MATCH((Q$4),ALIMENTOS_INTA!$D$7:$AO$7,0))))*($I12)/100,"ND")))),"ND")</f>
        <v>385</v>
      </c>
      <c r="R12" s="78">
        <f>IFERROR(IF(($H12)="","",IF(NOT(ISNUMBER(($I12))),"",IF((R$4)="","ND",IF(ISNUMBER((INDEX(ALIMENTOS_INTA!$D$8:$AO$625,(MATCH(($H12),ALIMENTOS_INTA!$E$8:$E$625,0)),(MATCH((R$4),ALIMENTOS_INTA!$D$7:$AO$7,0))))),(INDEX(ALIMENTOS_INTA!$D$8:$AO$625,(MATCH(($H12),ALIMENTOS_INTA!$E$8:$E$625,0)),(MATCH((R$4),ALIMENTOS_INTA!$D$7:$AO$7,0))))*($I12)/100,"ND")))),"ND")</f>
        <v>80</v>
      </c>
      <c r="S12" s="78" t="str">
        <f>IFERROR(IF(($H12)="","",IF(NOT(ISNUMBER(($I12))),"",IF((S$4)="","ND",IF(ISNUMBER((INDEX(ALIMENTOS_INTA!$D$8:$AO$625,(MATCH(($H12),ALIMENTOS_INTA!$E$8:$E$625,0)),(MATCH((S$4),ALIMENTOS_INTA!$D$7:$AO$7,0))))),(INDEX(ALIMENTOS_INTA!$D$8:$AO$625,(MATCH(($H12),ALIMENTOS_INTA!$E$8:$E$625,0)),(MATCH((S$4),ALIMENTOS_INTA!$D$7:$AO$7,0))))*($I12)/100,"ND")))),"ND")</f>
        <v>ND</v>
      </c>
      <c r="T12" s="78">
        <f>IFERROR(IF(($H12)="","",IF(NOT(ISNUMBER(($I12))),"",IF((T$4)="","ND",IF(ISNUMBER((INDEX(ALIMENTOS_INTA!$D$8:$AO$625,(MATCH(($H12),ALIMENTOS_INTA!$E$8:$E$625,0)),(MATCH((T$4),ALIMENTOS_INTA!$D$7:$AO$7,0))))),(INDEX(ALIMENTOS_INTA!$D$8:$AO$625,(MATCH(($H12),ALIMENTOS_INTA!$E$8:$E$625,0)),(MATCH((T$4),ALIMENTOS_INTA!$D$7:$AO$7,0))))*($I12)/100,"ND")))),"ND")</f>
        <v>7</v>
      </c>
      <c r="U12" s="78">
        <f>IFERROR(IF(($H12)="","",IF(NOT(ISNUMBER(($I12))),"",IF((U$4)="","ND",IF(ISNUMBER((INDEX(ALIMENTOS_INTA!$D$8:$AO$625,(MATCH(($H12),ALIMENTOS_INTA!$E$8:$E$625,0)),(MATCH((U$4),ALIMENTOS_INTA!$D$7:$AO$7,0))))),(INDEX(ALIMENTOS_INTA!$D$8:$AO$625,(MATCH(($H12),ALIMENTOS_INTA!$E$8:$E$625,0)),(MATCH((U$4),ALIMENTOS_INTA!$D$7:$AO$7,0))))*($I12)/100,"ND")))),"ND")</f>
        <v>0</v>
      </c>
      <c r="V12" s="78" t="str">
        <f>IFERROR(IF(($H12)="","",IF(NOT(ISNUMBER(($I12))),"",IF((V$4)="","ND",IF(ISNUMBER((INDEX(ALIMENTOS_INTA!$D$8:$AO$625,(MATCH(($H12),ALIMENTOS_INTA!$E$8:$E$625,0)),(MATCH((V$4),ALIMENTOS_INTA!$D$7:$AO$7,0))))),(INDEX(ALIMENTOS_INTA!$D$8:$AO$625,(MATCH(($H12),ALIMENTOS_INTA!$E$8:$E$625,0)),(MATCH((V$4),ALIMENTOS_INTA!$D$7:$AO$7,0))))*($I12)/100,"ND")))),"ND")</f>
        <v>ND</v>
      </c>
      <c r="W12" s="78" t="str">
        <f>IFERROR(IF(($H12)="","",IF(NOT(ISNUMBER(($I12))),"",IF((W$4)="","ND",IF(ISNUMBER((INDEX(ALIMENTOS_INTA!$D$8:$AO$625,(MATCH(($H12),ALIMENTOS_INTA!$E$8:$E$625,0)),(MATCH((W$4),ALIMENTOS_INTA!$D$7:$AO$7,0))))),(INDEX(ALIMENTOS_INTA!$D$8:$AO$625,(MATCH(($H12),ALIMENTOS_INTA!$E$8:$E$625,0)),(MATCH((W$4),ALIMENTOS_INTA!$D$7:$AO$7,0))))*($I12)/100,"ND")))),"ND")</f>
        <v>ND</v>
      </c>
      <c r="X12" s="78">
        <f>IFERROR(IF(($H12)="","",IF(NOT(ISNUMBER(($I12))),"",IF((X$4)="","ND",IF(ISNUMBER((INDEX(ALIMENTOS_INTA!$D$8:$AO$625,(MATCH(($H12),ALIMENTOS_INTA!$E$8:$E$625,0)),(MATCH((X$4),ALIMENTOS_INTA!$D$7:$AO$7,0))))),(INDEX(ALIMENTOS_INTA!$D$8:$AO$625,(MATCH(($H12),ALIMENTOS_INTA!$E$8:$E$625,0)),(MATCH((X$4),ALIMENTOS_INTA!$D$7:$AO$7,0))))*($I12)/100,"ND")))),"ND")</f>
        <v>7.1</v>
      </c>
      <c r="Y12" s="78">
        <f>IFERROR(IF(($H12)="","",IF(NOT(ISNUMBER(($I12))),"",IF((Y$4)="","ND",IF(ISNUMBER((INDEX(ALIMENTOS_INTA!$D$8:$AO$625,(MATCH(($H12),ALIMENTOS_INTA!$E$8:$E$625,0)),(MATCH((Y$4),ALIMENTOS_INTA!$D$7:$AO$7,0))))),(INDEX(ALIMENTOS_INTA!$D$8:$AO$625,(MATCH(($H12),ALIMENTOS_INTA!$E$8:$E$625,0)),(MATCH((Y$4),ALIMENTOS_INTA!$D$7:$AO$7,0))))*($I12)/100,"ND")))),"ND")</f>
        <v>0.4</v>
      </c>
      <c r="Z12" s="78">
        <f>IFERROR(IF(($H12)="","",IF(NOT(ISNUMBER(($I12))),"",IF((Z$4)="","ND",IF(ISNUMBER((INDEX(ALIMENTOS_INTA!$D$8:$AO$625,(MATCH(($H12),ALIMENTOS_INTA!$E$8:$E$625,0)),(MATCH((Z$4),ALIMENTOS_INTA!$D$7:$AO$7,0))))),(INDEX(ALIMENTOS_INTA!$D$8:$AO$625,(MATCH(($H12),ALIMENTOS_INTA!$E$8:$E$625,0)),(MATCH((Z$4),ALIMENTOS_INTA!$D$7:$AO$7,0))))*($I12)/100,"ND")))),"ND")</f>
        <v>0.4</v>
      </c>
      <c r="AA12" s="78">
        <f>IFERROR(IF(($H12)="","",IF(NOT(ISNUMBER(($I12))),"",IF((AA$4)="","ND",IF(ISNUMBER((INDEX(ALIMENTOS_INTA!$D$8:$AO$625,(MATCH(($H12),ALIMENTOS_INTA!$E$8:$E$625,0)),(MATCH((AA$4),ALIMENTOS_INTA!$D$7:$AO$7,0))))),(INDEX(ALIMENTOS_INTA!$D$8:$AO$625,(MATCH(($H12),ALIMENTOS_INTA!$E$8:$E$625,0)),(MATCH((AA$4),ALIMENTOS_INTA!$D$7:$AO$7,0))))*($I12)/100,"ND")))),"ND")</f>
        <v>6.1</v>
      </c>
      <c r="AB12" s="78" t="str">
        <f>IFERROR(IF(($H12)="","",IF(NOT(ISNUMBER(($I12))),"",IF((AB$4)="","ND",IF(ISNUMBER((INDEX(ALIMENTOS_INTA!$D$8:$AO$625,(MATCH(($H12),ALIMENTOS_INTA!$E$8:$E$625,0)),(MATCH((AB$4),ALIMENTOS_INTA!$D$7:$AO$7,0))))),(INDEX(ALIMENTOS_INTA!$D$8:$AO$625,(MATCH(($H12),ALIMENTOS_INTA!$E$8:$E$625,0)),(MATCH((AB$4),ALIMENTOS_INTA!$D$7:$AO$7,0))))*($I12)/100,"ND")))),"ND")</f>
        <v>ND</v>
      </c>
      <c r="AC12" s="78">
        <f>IFERROR(IF(($H12)="","",IF(NOT(ISNUMBER(($I12))),"",IF((AC$4)="","ND",IF(ISNUMBER((INDEX(ALIMENTOS_INTA!$D$8:$AO$625,(MATCH(($H12),ALIMENTOS_INTA!$E$8:$E$625,0)),(MATCH((AC$4),ALIMENTOS_INTA!$D$7:$AO$7,0))))),(INDEX(ALIMENTOS_INTA!$D$8:$AO$625,(MATCH(($H12),ALIMENTOS_INTA!$E$8:$E$625,0)),(MATCH((AC$4),ALIMENTOS_INTA!$D$7:$AO$7,0))))*($I12)/100,"ND")))),"ND")</f>
        <v>0.5</v>
      </c>
      <c r="AD12" s="78" t="str">
        <f>IFERROR(IF(($H12)="","",IF(NOT(ISNUMBER(($I12))),"",IF((AD$4)="","ND",IF(ISNUMBER((INDEX(ALIMENTOS_INTA!$D$8:$AO$625,(MATCH(($H12),ALIMENTOS_INTA!$E$8:$E$625,0)),(MATCH((AD$4),ALIMENTOS_INTA!$D$7:$AO$7,0))))),(INDEX(ALIMENTOS_INTA!$D$8:$AO$625,(MATCH(($H12),ALIMENTOS_INTA!$E$8:$E$625,0)),(MATCH((AD$4),ALIMENTOS_INTA!$D$7:$AO$7,0))))*($I12)/100,"ND")))),"ND")</f>
        <v>ND</v>
      </c>
      <c r="AE12" s="78" t="str">
        <f>IFERROR(IF(($H12)="","",IF(NOT(ISNUMBER(($I12))),"",IF((AE$4)="","ND",IF(ISNUMBER((INDEX(ALIMENTOS_INTA!$D$8:$AO$625,(MATCH(($H12),ALIMENTOS_INTA!$E$8:$E$625,0)),(MATCH((AE$4),ALIMENTOS_INTA!$D$7:$AO$7,0))))),(INDEX(ALIMENTOS_INTA!$D$8:$AO$625,(MATCH(($H12),ALIMENTOS_INTA!$E$8:$E$625,0)),(MATCH((AE$4),ALIMENTOS_INTA!$D$7:$AO$7,0))))*($I12)/100,"ND")))),"ND")</f>
        <v>ND</v>
      </c>
      <c r="AF12" s="78">
        <f>IFERROR(IF(($H12)="","",IF(NOT(ISNUMBER(($I12))),"",IF((AF$4)="","ND",IF(ISNUMBER((INDEX(ALIMENTOS_INTA!$D$8:$AO$625,(MATCH(($H12),ALIMENTOS_INTA!$E$8:$E$625,0)),(MATCH((AF$4),ALIMENTOS_INTA!$D$7:$AO$7,0))))),(INDEX(ALIMENTOS_INTA!$D$8:$AO$625,(MATCH(($H12),ALIMENTOS_INTA!$E$8:$E$625,0)),(MATCH((AF$4),ALIMENTOS_INTA!$D$7:$AO$7,0))))*($I12)/100,"ND")))),"ND")</f>
        <v>0</v>
      </c>
      <c r="AJ12" t="s">
        <v>233</v>
      </c>
      <c r="AK12">
        <v>1</v>
      </c>
      <c r="AL12" t="s">
        <v>2839</v>
      </c>
      <c r="AM12" t="s">
        <v>2751</v>
      </c>
      <c r="AN12" t="s">
        <v>1614</v>
      </c>
      <c r="AO12">
        <v>85.4</v>
      </c>
      <c r="AP12" t="s">
        <v>230</v>
      </c>
    </row>
    <row r="13" spans="1:42">
      <c r="A13" s="55" t="s">
        <v>2903</v>
      </c>
      <c r="B13" s="50">
        <f>IF(ISNUMBER(B12),B12*CONFIG!$B$8,"ND")</f>
        <v>315.93791999999996</v>
      </c>
      <c r="C13" s="55" t="s">
        <v>87</v>
      </c>
      <c r="D13" s="55" t="s">
        <v>2902</v>
      </c>
      <c r="H13" s="78" t="str">
        <f>FUENTES_ALIMENTARIAS!B21</f>
        <v>Leche evaporada</v>
      </c>
      <c r="I13" s="78">
        <f>FUENTES_ALIMENTARIAS!F21</f>
        <v>100</v>
      </c>
      <c r="J13" s="78">
        <f>IFERROR(IF(($H13)="","",IF(NOT(ISNUMBER(($I13))),"",IF((J$4)="","ND",IF(ISNUMBER((INDEX(ALIMENTOS_INTA!$D$8:$AO$625,(MATCH(($H13),ALIMENTOS_INTA!$E$8:$E$625,0)),(MATCH((J$4),ALIMENTOS_INTA!$D$7:$AO$7,0))))),(INDEX(ALIMENTOS_INTA!$D$8:$AO$625,(MATCH(($H13),ALIMENTOS_INTA!$E$8:$E$625,0)),(MATCH((J$4),ALIMENTOS_INTA!$D$7:$AO$7,0))))*($I13)/100,"ND")))),"ND")</f>
        <v>0.2</v>
      </c>
      <c r="K13" s="78">
        <f>IFERROR(IF(($H13)="","",IF(NOT(ISNUMBER(($I13))),"",IF((K$4)="","ND",IF(ISNUMBER((INDEX(ALIMENTOS_INTA!$D$8:$AO$625,(MATCH(($H13),ALIMENTOS_INTA!$E$8:$E$625,0)),(MATCH((K$4),ALIMENTOS_INTA!$D$7:$AO$7,0))))),(INDEX(ALIMENTOS_INTA!$D$8:$AO$625,(MATCH(($H13),ALIMENTOS_INTA!$E$8:$E$625,0)),(MATCH((K$4),ALIMENTOS_INTA!$D$7:$AO$7,0))))*($I13)/100,"ND")))),"ND")</f>
        <v>0.8</v>
      </c>
      <c r="L13" s="78">
        <f>IFERROR(IF(($H13)="","",IF(NOT(ISNUMBER(($I13))),"",IF((L$4)="","ND",IF(ISNUMBER((INDEX(ALIMENTOS_INTA!$D$8:$AO$625,(MATCH(($H13),ALIMENTOS_INTA!$E$8:$E$625,0)),(MATCH((L$4),ALIMENTOS_INTA!$D$7:$AO$7,0))))),(INDEX(ALIMENTOS_INTA!$D$8:$AO$625,(MATCH(($H13),ALIMENTOS_INTA!$E$8:$E$625,0)),(MATCH((L$4),ALIMENTOS_INTA!$D$7:$AO$7,0))))*($I13)/100,"ND")))),"ND")</f>
        <v>0</v>
      </c>
      <c r="M13" s="78">
        <f>IFERROR(IF(($H13)="","",IF(NOT(ISNUMBER(($I13))),"",IF((M$4)="","ND",IF(ISNUMBER((INDEX(ALIMENTOS_INTA!$D$8:$AO$625,(MATCH(($H13),ALIMENTOS_INTA!$E$8:$E$625,0)),(MATCH((M$4),ALIMENTOS_INTA!$D$7:$AO$7,0))))),(INDEX(ALIMENTOS_INTA!$D$8:$AO$625,(MATCH(($H13),ALIMENTOS_INTA!$E$8:$E$625,0)),(MATCH((M$4),ALIMENTOS_INTA!$D$7:$AO$7,0))))*($I13)/100,"ND")))),"ND")</f>
        <v>261</v>
      </c>
      <c r="N13" s="78">
        <f>IFERROR(IF(($H13)="","",IF(NOT(ISNUMBER(($I13))),"",IF((N$4)="","ND",IF(ISNUMBER((INDEX(ALIMENTOS_INTA!$D$8:$AO$625,(MATCH(($H13),ALIMENTOS_INTA!$E$8:$E$625,0)),(MATCH((N$4),ALIMENTOS_INTA!$D$7:$AO$7,0))))),(INDEX(ALIMENTOS_INTA!$D$8:$AO$625,(MATCH(($H13),ALIMENTOS_INTA!$E$8:$E$625,0)),(MATCH((N$4),ALIMENTOS_INTA!$D$7:$AO$7,0))))*($I13)/100,"ND")))),"ND")</f>
        <v>203</v>
      </c>
      <c r="O13" s="78">
        <f>IFERROR(IF(($H13)="","",IF(NOT(ISNUMBER(($I13))),"",IF((O$4)="","ND",IF(ISNUMBER((INDEX(ALIMENTOS_INTA!$D$8:$AO$625,(MATCH(($H13),ALIMENTOS_INTA!$E$8:$E$625,0)),(MATCH((O$4),ALIMENTOS_INTA!$D$7:$AO$7,0))))),(INDEX(ALIMENTOS_INTA!$D$8:$AO$625,(MATCH(($H13),ALIMENTOS_INTA!$E$8:$E$625,0)),(MATCH((O$4),ALIMENTOS_INTA!$D$7:$AO$7,0))))*($I13)/100,"ND")))),"ND")</f>
        <v>2.2999999999999998</v>
      </c>
      <c r="P13" s="78">
        <f>IFERROR(IF(($H13)="","",IF(NOT(ISNUMBER(($I13))),"",IF((P$4)="","ND",IF(ISNUMBER((INDEX(ALIMENTOS_INTA!$D$8:$AO$625,(MATCH(($H13),ALIMENTOS_INTA!$E$8:$E$625,0)),(MATCH((P$4),ALIMENTOS_INTA!$D$7:$AO$7,0))))),(INDEX(ALIMENTOS_INTA!$D$8:$AO$625,(MATCH(($H13),ALIMENTOS_INTA!$E$8:$E$625,0)),(MATCH((P$4),ALIMENTOS_INTA!$D$7:$AO$7,0))))*($I13)/100,"ND")))),"ND")</f>
        <v>303</v>
      </c>
      <c r="Q13" s="78">
        <f>IFERROR(IF(($H13)="","",IF(NOT(ISNUMBER(($I13))),"",IF((Q$4)="","ND",IF(ISNUMBER((INDEX(ALIMENTOS_INTA!$D$8:$AO$625,(MATCH(($H13),ALIMENTOS_INTA!$E$8:$E$625,0)),(MATCH((Q$4),ALIMENTOS_INTA!$D$7:$AO$7,0))))),(INDEX(ALIMENTOS_INTA!$D$8:$AO$625,(MATCH(($H13),ALIMENTOS_INTA!$E$8:$E$625,0)),(MATCH((Q$4),ALIMENTOS_INTA!$D$7:$AO$7,0))))*($I13)/100,"ND")))),"ND")</f>
        <v>24</v>
      </c>
      <c r="R13" s="78">
        <f>IFERROR(IF(($H13)="","",IF(NOT(ISNUMBER(($I13))),"",IF((R$4)="","ND",IF(ISNUMBER((INDEX(ALIMENTOS_INTA!$D$8:$AO$625,(MATCH(($H13),ALIMENTOS_INTA!$E$8:$E$625,0)),(MATCH((R$4),ALIMENTOS_INTA!$D$7:$AO$7,0))))),(INDEX(ALIMENTOS_INTA!$D$8:$AO$625,(MATCH(($H13),ALIMENTOS_INTA!$E$8:$E$625,0)),(MATCH((R$4),ALIMENTOS_INTA!$D$7:$AO$7,0))))*($I13)/100,"ND")))),"ND")</f>
        <v>106</v>
      </c>
      <c r="S13" s="78" t="str">
        <f>IFERROR(IF(($H13)="","",IF(NOT(ISNUMBER(($I13))),"",IF((S$4)="","ND",IF(ISNUMBER((INDEX(ALIMENTOS_INTA!$D$8:$AO$625,(MATCH(($H13),ALIMENTOS_INTA!$E$8:$E$625,0)),(MATCH((S$4),ALIMENTOS_INTA!$D$7:$AO$7,0))))),(INDEX(ALIMENTOS_INTA!$D$8:$AO$625,(MATCH(($H13),ALIMENTOS_INTA!$E$8:$E$625,0)),(MATCH((S$4),ALIMENTOS_INTA!$D$7:$AO$7,0))))*($I13)/100,"ND")))),"ND")</f>
        <v>ND</v>
      </c>
      <c r="T13" s="78">
        <f>IFERROR(IF(($H13)="","",IF(NOT(ISNUMBER(($I13))),"",IF((T$4)="","ND",IF(ISNUMBER((INDEX(ALIMENTOS_INTA!$D$8:$AO$625,(MATCH(($H13),ALIMENTOS_INTA!$E$8:$E$625,0)),(MATCH((T$4),ALIMENTOS_INTA!$D$7:$AO$7,0))))),(INDEX(ALIMENTOS_INTA!$D$8:$AO$625,(MATCH(($H13),ALIMENTOS_INTA!$E$8:$E$625,0)),(MATCH((T$4),ALIMENTOS_INTA!$D$7:$AO$7,0))))*($I13)/100,"ND")))),"ND")</f>
        <v>65</v>
      </c>
      <c r="U13" s="78">
        <f>IFERROR(IF(($H13)="","",IF(NOT(ISNUMBER(($I13))),"",IF((U$4)="","ND",IF(ISNUMBER((INDEX(ALIMENTOS_INTA!$D$8:$AO$625,(MATCH(($H13),ALIMENTOS_INTA!$E$8:$E$625,0)),(MATCH((U$4),ALIMENTOS_INTA!$D$7:$AO$7,0))))),(INDEX(ALIMENTOS_INTA!$D$8:$AO$625,(MATCH(($H13),ALIMENTOS_INTA!$E$8:$E$625,0)),(MATCH((U$4),ALIMENTOS_INTA!$D$7:$AO$7,0))))*($I13)/100,"ND")))),"ND")</f>
        <v>2</v>
      </c>
      <c r="V13" s="78">
        <f>IFERROR(IF(($H13)="","",IF(NOT(ISNUMBER(($I13))),"",IF((V$4)="","ND",IF(ISNUMBER((INDEX(ALIMENTOS_INTA!$D$8:$AO$625,(MATCH(($H13),ALIMENTOS_INTA!$E$8:$E$625,0)),(MATCH((V$4),ALIMENTOS_INTA!$D$7:$AO$7,0))))),(INDEX(ALIMENTOS_INTA!$D$8:$AO$625,(MATCH(($H13),ALIMENTOS_INTA!$E$8:$E$625,0)),(MATCH((V$4),ALIMENTOS_INTA!$D$7:$AO$7,0))))*($I13)/100,"ND")))),"ND")</f>
        <v>0.1</v>
      </c>
      <c r="W13" s="78">
        <f>IFERROR(IF(($H13)="","",IF(NOT(ISNUMBER(($I13))),"",IF((W$4)="","ND",IF(ISNUMBER((INDEX(ALIMENTOS_INTA!$D$8:$AO$625,(MATCH(($H13),ALIMENTOS_INTA!$E$8:$E$625,0)),(MATCH((W$4),ALIMENTOS_INTA!$D$7:$AO$7,0))))),(INDEX(ALIMENTOS_INTA!$D$8:$AO$625,(MATCH(($H13),ALIMENTOS_INTA!$E$8:$E$625,0)),(MATCH((W$4),ALIMENTOS_INTA!$D$7:$AO$7,0))))*($I13)/100,"ND")))),"ND")</f>
        <v>0.5</v>
      </c>
      <c r="X13" s="78">
        <f>IFERROR(IF(($H13)="","",IF(NOT(ISNUMBER(($I13))),"",IF((X$4)="","ND",IF(ISNUMBER((INDEX(ALIMENTOS_INTA!$D$8:$AO$625,(MATCH(($H13),ALIMENTOS_INTA!$E$8:$E$625,0)),(MATCH((X$4),ALIMENTOS_INTA!$D$7:$AO$7,0))))),(INDEX(ALIMENTOS_INTA!$D$8:$AO$625,(MATCH(($H13),ALIMENTOS_INTA!$E$8:$E$625,0)),(MATCH((X$4),ALIMENTOS_INTA!$D$7:$AO$7,0))))*($I13)/100,"ND")))),"ND")</f>
        <v>1.9</v>
      </c>
      <c r="Y13" s="78">
        <f>IFERROR(IF(($H13)="","",IF(NOT(ISNUMBER(($I13))),"",IF((Y$4)="","ND",IF(ISNUMBER((INDEX(ALIMENTOS_INTA!$D$8:$AO$625,(MATCH(($H13),ALIMENTOS_INTA!$E$8:$E$625,0)),(MATCH((Y$4),ALIMENTOS_INTA!$D$7:$AO$7,0))))),(INDEX(ALIMENTOS_INTA!$D$8:$AO$625,(MATCH(($H13),ALIMENTOS_INTA!$E$8:$E$625,0)),(MATCH((Y$4),ALIMENTOS_INTA!$D$7:$AO$7,0))))*($I13)/100,"ND")))),"ND")</f>
        <v>0.1</v>
      </c>
      <c r="Z13" s="78">
        <f>IFERROR(IF(($H13)="","",IF(NOT(ISNUMBER(($I13))),"",IF((Z$4)="","ND",IF(ISNUMBER((INDEX(ALIMENTOS_INTA!$D$8:$AO$625,(MATCH(($H13),ALIMENTOS_INTA!$E$8:$E$625,0)),(MATCH((Z$4),ALIMENTOS_INTA!$D$7:$AO$7,0))))),(INDEX(ALIMENTOS_INTA!$D$8:$AO$625,(MATCH(($H13),ALIMENTOS_INTA!$E$8:$E$625,0)),(MATCH((Z$4),ALIMENTOS_INTA!$D$7:$AO$7,0))))*($I13)/100,"ND")))),"ND")</f>
        <v>0.3</v>
      </c>
      <c r="AA13" s="78">
        <f>IFERROR(IF(($H13)="","",IF(NOT(ISNUMBER(($I13))),"",IF((AA$4)="","ND",IF(ISNUMBER((INDEX(ALIMENTOS_INTA!$D$8:$AO$625,(MATCH(($H13),ALIMENTOS_INTA!$E$8:$E$625,0)),(MATCH((AA$4),ALIMENTOS_INTA!$D$7:$AO$7,0))))),(INDEX(ALIMENTOS_INTA!$D$8:$AO$625,(MATCH(($H13),ALIMENTOS_INTA!$E$8:$E$625,0)),(MATCH((AA$4),ALIMENTOS_INTA!$D$7:$AO$7,0))))*($I13)/100,"ND")))),"ND")</f>
        <v>0.2</v>
      </c>
      <c r="AB13" s="78">
        <f>IFERROR(IF(($H13)="","",IF(NOT(ISNUMBER(($I13))),"",IF((AB$4)="","ND",IF(ISNUMBER((INDEX(ALIMENTOS_INTA!$D$8:$AO$625,(MATCH(($H13),ALIMENTOS_INTA!$E$8:$E$625,0)),(MATCH((AB$4),ALIMENTOS_INTA!$D$7:$AO$7,0))))),(INDEX(ALIMENTOS_INTA!$D$8:$AO$625,(MATCH(($H13),ALIMENTOS_INTA!$E$8:$E$625,0)),(MATCH((AB$4),ALIMENTOS_INTA!$D$7:$AO$7,0))))*($I13)/100,"ND")))),"ND")</f>
        <v>0.6</v>
      </c>
      <c r="AC13" s="78">
        <f>IFERROR(IF(($H13)="","",IF(NOT(ISNUMBER(($I13))),"",IF((AC$4)="","ND",IF(ISNUMBER((INDEX(ALIMENTOS_INTA!$D$8:$AO$625,(MATCH(($H13),ALIMENTOS_INTA!$E$8:$E$625,0)),(MATCH((AC$4),ALIMENTOS_INTA!$D$7:$AO$7,0))))),(INDEX(ALIMENTOS_INTA!$D$8:$AO$625,(MATCH(($H13),ALIMENTOS_INTA!$E$8:$E$625,0)),(MATCH((AC$4),ALIMENTOS_INTA!$D$7:$AO$7,0))))*($I13)/100,"ND")))),"ND")</f>
        <v>0.1</v>
      </c>
      <c r="AD13" s="78" t="str">
        <f>IFERROR(IF(($H13)="","",IF(NOT(ISNUMBER(($I13))),"",IF((AD$4)="","ND",IF(ISNUMBER((INDEX(ALIMENTOS_INTA!$D$8:$AO$625,(MATCH(($H13),ALIMENTOS_INTA!$E$8:$E$625,0)),(MATCH((AD$4),ALIMENTOS_INTA!$D$7:$AO$7,0))))),(INDEX(ALIMENTOS_INTA!$D$8:$AO$625,(MATCH(($H13),ALIMENTOS_INTA!$E$8:$E$625,0)),(MATCH((AD$4),ALIMENTOS_INTA!$D$7:$AO$7,0))))*($I13)/100,"ND")))),"ND")</f>
        <v>ND</v>
      </c>
      <c r="AE13" s="78">
        <f>IFERROR(IF(($H13)="","",IF(NOT(ISNUMBER(($I13))),"",IF((AE$4)="","ND",IF(ISNUMBER((INDEX(ALIMENTOS_INTA!$D$8:$AO$625,(MATCH(($H13),ALIMENTOS_INTA!$E$8:$E$625,0)),(MATCH((AE$4),ALIMENTOS_INTA!$D$7:$AO$7,0))))),(INDEX(ALIMENTOS_INTA!$D$8:$AO$625,(MATCH(($H13),ALIMENTOS_INTA!$E$8:$E$625,0)),(MATCH((AE$4),ALIMENTOS_INTA!$D$7:$AO$7,0))))*($I13)/100,"ND")))),"ND")</f>
        <v>8</v>
      </c>
      <c r="AF13" s="78">
        <f>IFERROR(IF(($H13)="","",IF(NOT(ISNUMBER(($I13))),"",IF((AF$4)="","ND",IF(ISNUMBER((INDEX(ALIMENTOS_INTA!$D$8:$AO$625,(MATCH(($H13),ALIMENTOS_INTA!$E$8:$E$625,0)),(MATCH((AF$4),ALIMENTOS_INTA!$D$7:$AO$7,0))))),(INDEX(ALIMENTOS_INTA!$D$8:$AO$625,(MATCH(($H13),ALIMENTOS_INTA!$E$8:$E$625,0)),(MATCH((AF$4),ALIMENTOS_INTA!$D$7:$AO$7,0))))*($I13)/100,"ND")))),"ND")</f>
        <v>0.2</v>
      </c>
      <c r="AJ13" t="s">
        <v>233</v>
      </c>
      <c r="AK13">
        <v>2</v>
      </c>
      <c r="AL13" t="s">
        <v>2821</v>
      </c>
      <c r="AM13" t="s">
        <v>2751</v>
      </c>
      <c r="AN13" t="s">
        <v>1614</v>
      </c>
      <c r="AO13">
        <v>30</v>
      </c>
      <c r="AP13" t="s">
        <v>230</v>
      </c>
    </row>
    <row r="14" spans="1:42">
      <c r="A14" s="55" t="s">
        <v>2904</v>
      </c>
      <c r="B14" s="50">
        <f>IF(NOT(ISNUMBER(B2)),"ND",B2*(B10/100)/CONFIG!$B$10)</f>
        <v>70.208426666666654</v>
      </c>
      <c r="C14" s="55" t="s">
        <v>207</v>
      </c>
      <c r="D14" s="55" t="s">
        <v>2902</v>
      </c>
      <c r="H14" s="78" t="str">
        <f>FUENTES_ALIMENTARIAS!B22</f>
        <v>Pan trigo</v>
      </c>
      <c r="I14" s="78">
        <f>FUENTES_ALIMENTARIAS!F22</f>
        <v>100</v>
      </c>
      <c r="J14" s="78">
        <f>IFERROR(IF(($H14)="","",IF(NOT(ISNUMBER(($I14))),"",IF((J$4)="","ND",IF(ISNUMBER((INDEX(ALIMENTOS_INTA!$D$8:$AO$625,(MATCH(($H14),ALIMENTOS_INTA!$E$8:$E$625,0)),(MATCH((J$4),ALIMENTOS_INTA!$D$7:$AO$7,0))))),(INDEX(ALIMENTOS_INTA!$D$8:$AO$625,(MATCH(($H14),ALIMENTOS_INTA!$E$8:$E$625,0)),(MATCH((J$4),ALIMENTOS_INTA!$D$7:$AO$7,0))))*($I14)/100,"ND")))),"ND")</f>
        <v>2.8</v>
      </c>
      <c r="K14" s="78">
        <f>IFERROR(IF(($H14)="","",IF(NOT(ISNUMBER(($I14))),"",IF((K$4)="","ND",IF(ISNUMBER((INDEX(ALIMENTOS_INTA!$D$8:$AO$625,(MATCH(($H14),ALIMENTOS_INTA!$E$8:$E$625,0)),(MATCH((K$4),ALIMENTOS_INTA!$D$7:$AO$7,0))))),(INDEX(ALIMENTOS_INTA!$D$8:$AO$625,(MATCH(($H14),ALIMENTOS_INTA!$E$8:$E$625,0)),(MATCH((K$4),ALIMENTOS_INTA!$D$7:$AO$7,0))))*($I14)/100,"ND")))),"ND")</f>
        <v>1.2</v>
      </c>
      <c r="L14" s="78">
        <f>IFERROR(IF(($H14)="","",IF(NOT(ISNUMBER(($I14))),"",IF((L$4)="","ND",IF(ISNUMBER((INDEX(ALIMENTOS_INTA!$D$8:$AO$625,(MATCH(($H14),ALIMENTOS_INTA!$E$8:$E$625,0)),(MATCH((L$4),ALIMENTOS_INTA!$D$7:$AO$7,0))))),(INDEX(ALIMENTOS_INTA!$D$8:$AO$625,(MATCH(($H14),ALIMENTOS_INTA!$E$8:$E$625,0)),(MATCH((L$4),ALIMENTOS_INTA!$D$7:$AO$7,0))))*($I14)/100,"ND")))),"ND")</f>
        <v>0.2</v>
      </c>
      <c r="M14" s="78">
        <f>IFERROR(IF(($H14)="","",IF(NOT(ISNUMBER(($I14))),"",IF((M$4)="","ND",IF(ISNUMBER((INDEX(ALIMENTOS_INTA!$D$8:$AO$625,(MATCH(($H14),ALIMENTOS_INTA!$E$8:$E$625,0)),(MATCH((M$4),ALIMENTOS_INTA!$D$7:$AO$7,0))))),(INDEX(ALIMENTOS_INTA!$D$8:$AO$625,(MATCH(($H14),ALIMENTOS_INTA!$E$8:$E$625,0)),(MATCH((M$4),ALIMENTOS_INTA!$D$7:$AO$7,0))))*($I14)/100,"ND")))),"ND")</f>
        <v>43</v>
      </c>
      <c r="N14" s="78">
        <f>IFERROR(IF(($H14)="","",IF(NOT(ISNUMBER(($I14))),"",IF((N$4)="","ND",IF(ISNUMBER((INDEX(ALIMENTOS_INTA!$D$8:$AO$625,(MATCH(($H14),ALIMENTOS_INTA!$E$8:$E$625,0)),(MATCH((N$4),ALIMENTOS_INTA!$D$7:$AO$7,0))))),(INDEX(ALIMENTOS_INTA!$D$8:$AO$625,(MATCH(($H14),ALIMENTOS_INTA!$E$8:$E$625,0)),(MATCH((N$4),ALIMENTOS_INTA!$D$7:$AO$7,0))))*($I14)/100,"ND")))),"ND")</f>
        <v>153</v>
      </c>
      <c r="O14" s="78">
        <f>IFERROR(IF(($H14)="","",IF(NOT(ISNUMBER(($I14))),"",IF((O$4)="","ND",IF(ISNUMBER((INDEX(ALIMENTOS_INTA!$D$8:$AO$625,(MATCH(($H14),ALIMENTOS_INTA!$E$8:$E$625,0)),(MATCH((O$4),ALIMENTOS_INTA!$D$7:$AO$7,0))))),(INDEX(ALIMENTOS_INTA!$D$8:$AO$625,(MATCH(($H14),ALIMENTOS_INTA!$E$8:$E$625,0)),(MATCH((O$4),ALIMENTOS_INTA!$D$7:$AO$7,0))))*($I14)/100,"ND")))),"ND")</f>
        <v>25.3</v>
      </c>
      <c r="P14" s="78">
        <f>IFERROR(IF(($H14)="","",IF(NOT(ISNUMBER(($I14))),"",IF((P$4)="","ND",IF(ISNUMBER((INDEX(ALIMENTOS_INTA!$D$8:$AO$625,(MATCH(($H14),ALIMENTOS_INTA!$E$8:$E$625,0)),(MATCH((P$4),ALIMENTOS_INTA!$D$7:$AO$7,0))))),(INDEX(ALIMENTOS_INTA!$D$8:$AO$625,(MATCH(($H14),ALIMENTOS_INTA!$E$8:$E$625,0)),(MATCH((P$4),ALIMENTOS_INTA!$D$7:$AO$7,0))))*($I14)/100,"ND")))),"ND")</f>
        <v>177</v>
      </c>
      <c r="Q14" s="78">
        <f>IFERROR(IF(($H14)="","",IF(NOT(ISNUMBER(($I14))),"",IF((Q$4)="","ND",IF(ISNUMBER((INDEX(ALIMENTOS_INTA!$D$8:$AO$625,(MATCH(($H14),ALIMENTOS_INTA!$E$8:$E$625,0)),(MATCH((Q$4),ALIMENTOS_INTA!$D$7:$AO$7,0))))),(INDEX(ALIMENTOS_INTA!$D$8:$AO$625,(MATCH(($H14),ALIMENTOS_INTA!$E$8:$E$625,0)),(MATCH((Q$4),ALIMENTOS_INTA!$D$7:$AO$7,0))))*($I14)/100,"ND")))),"ND")</f>
        <v>52</v>
      </c>
      <c r="R14" s="78">
        <f>IFERROR(IF(($H14)="","",IF(NOT(ISNUMBER(($I14))),"",IF((R$4)="","ND",IF(ISNUMBER((INDEX(ALIMENTOS_INTA!$D$8:$AO$625,(MATCH(($H14),ALIMENTOS_INTA!$E$8:$E$625,0)),(MATCH((R$4),ALIMENTOS_INTA!$D$7:$AO$7,0))))),(INDEX(ALIMENTOS_INTA!$D$8:$AO$625,(MATCH(($H14),ALIMENTOS_INTA!$E$8:$E$625,0)),(MATCH((R$4),ALIMENTOS_INTA!$D$7:$AO$7,0))))*($I14)/100,"ND")))),"ND")</f>
        <v>538</v>
      </c>
      <c r="S14" s="78" t="str">
        <f>IFERROR(IF(($H14)="","",IF(NOT(ISNUMBER(($I14))),"",IF((S$4)="","ND",IF(ISNUMBER((INDEX(ALIMENTOS_INTA!$D$8:$AO$625,(MATCH(($H14),ALIMENTOS_INTA!$E$8:$E$625,0)),(MATCH((S$4),ALIMENTOS_INTA!$D$7:$AO$7,0))))),(INDEX(ALIMENTOS_INTA!$D$8:$AO$625,(MATCH(($H14),ALIMENTOS_INTA!$E$8:$E$625,0)),(MATCH((S$4),ALIMENTOS_INTA!$D$7:$AO$7,0))))*($I14)/100,"ND")))),"ND")</f>
        <v>ND</v>
      </c>
      <c r="T14" s="78">
        <f>IFERROR(IF(($H14)="","",IF(NOT(ISNUMBER(($I14))),"",IF((T$4)="","ND",IF(ISNUMBER((INDEX(ALIMENTOS_INTA!$D$8:$AO$625,(MATCH(($H14),ALIMENTOS_INTA!$E$8:$E$625,0)),(MATCH((T$4),ALIMENTOS_INTA!$D$7:$AO$7,0))))),(INDEX(ALIMENTOS_INTA!$D$8:$AO$625,(MATCH(($H14),ALIMENTOS_INTA!$E$8:$E$625,0)),(MATCH((T$4),ALIMENTOS_INTA!$D$7:$AO$7,0))))*($I14)/100,"ND")))),"ND")</f>
        <v>0</v>
      </c>
      <c r="U14" s="78" t="str">
        <f>IFERROR(IF(($H14)="","",IF(NOT(ISNUMBER(($I14))),"",IF((U$4)="","ND",IF(ISNUMBER((INDEX(ALIMENTOS_INTA!$D$8:$AO$625,(MATCH(($H14),ALIMENTOS_INTA!$E$8:$E$625,0)),(MATCH((U$4),ALIMENTOS_INTA!$D$7:$AO$7,0))))),(INDEX(ALIMENTOS_INTA!$D$8:$AO$625,(MATCH(($H14),ALIMENTOS_INTA!$E$8:$E$625,0)),(MATCH((U$4),ALIMENTOS_INTA!$D$7:$AO$7,0))))*($I14)/100,"ND")))),"ND")</f>
        <v>ND</v>
      </c>
      <c r="V14" s="78" t="str">
        <f>IFERROR(IF(($H14)="","",IF(NOT(ISNUMBER(($I14))),"",IF((V$4)="","ND",IF(ISNUMBER((INDEX(ALIMENTOS_INTA!$D$8:$AO$625,(MATCH(($H14),ALIMENTOS_INTA!$E$8:$E$625,0)),(MATCH((V$4),ALIMENTOS_INTA!$D$7:$AO$7,0))))),(INDEX(ALIMENTOS_INTA!$D$8:$AO$625,(MATCH(($H14),ALIMENTOS_INTA!$E$8:$E$625,0)),(MATCH((V$4),ALIMENTOS_INTA!$D$7:$AO$7,0))))*($I14)/100,"ND")))),"ND")</f>
        <v>ND</v>
      </c>
      <c r="W14" s="78" t="str">
        <f>IFERROR(IF(($H14)="","",IF(NOT(ISNUMBER(($I14))),"",IF((W$4)="","ND",IF(ISNUMBER((INDEX(ALIMENTOS_INTA!$D$8:$AO$625,(MATCH(($H14),ALIMENTOS_INTA!$E$8:$E$625,0)),(MATCH((W$4),ALIMENTOS_INTA!$D$7:$AO$7,0))))),(INDEX(ALIMENTOS_INTA!$D$8:$AO$625,(MATCH(($H14),ALIMENTOS_INTA!$E$8:$E$625,0)),(MATCH((W$4),ALIMENTOS_INTA!$D$7:$AO$7,0))))*($I14)/100,"ND")))),"ND")</f>
        <v>ND</v>
      </c>
      <c r="X14" s="78">
        <f>IFERROR(IF(($H14)="","",IF(NOT(ISNUMBER(($I14))),"",IF((X$4)="","ND",IF(ISNUMBER((INDEX(ALIMENTOS_INTA!$D$8:$AO$625,(MATCH(($H14),ALIMENTOS_INTA!$E$8:$E$625,0)),(MATCH((X$4),ALIMENTOS_INTA!$D$7:$AO$7,0))))),(INDEX(ALIMENTOS_INTA!$D$8:$AO$625,(MATCH(($H14),ALIMENTOS_INTA!$E$8:$E$625,0)),(MATCH((X$4),ALIMENTOS_INTA!$D$7:$AO$7,0))))*($I14)/100,"ND")))),"ND")</f>
        <v>0</v>
      </c>
      <c r="Y14" s="78">
        <f>IFERROR(IF(($H14)="","",IF(NOT(ISNUMBER(($I14))),"",IF((Y$4)="","ND",IF(ISNUMBER((INDEX(ALIMENTOS_INTA!$D$8:$AO$625,(MATCH(($H14),ALIMENTOS_INTA!$E$8:$E$625,0)),(MATCH((Y$4),ALIMENTOS_INTA!$D$7:$AO$7,0))))),(INDEX(ALIMENTOS_INTA!$D$8:$AO$625,(MATCH(($H14),ALIMENTOS_INTA!$E$8:$E$625,0)),(MATCH((Y$4),ALIMENTOS_INTA!$D$7:$AO$7,0))))*($I14)/100,"ND")))),"ND")</f>
        <v>1</v>
      </c>
      <c r="Z14" s="78">
        <f>IFERROR(IF(($H14)="","",IF(NOT(ISNUMBER(($I14))),"",IF((Z$4)="","ND",IF(ISNUMBER((INDEX(ALIMENTOS_INTA!$D$8:$AO$625,(MATCH(($H14),ALIMENTOS_INTA!$E$8:$E$625,0)),(MATCH((Z$4),ALIMENTOS_INTA!$D$7:$AO$7,0))))),(INDEX(ALIMENTOS_INTA!$D$8:$AO$625,(MATCH(($H14),ALIMENTOS_INTA!$E$8:$E$625,0)),(MATCH((Z$4),ALIMENTOS_INTA!$D$7:$AO$7,0))))*($I14)/100,"ND")))),"ND")</f>
        <v>0.3</v>
      </c>
      <c r="AA14" s="78">
        <f>IFERROR(IF(($H14)="","",IF(NOT(ISNUMBER(($I14))),"",IF((AA$4)="","ND",IF(ISNUMBER((INDEX(ALIMENTOS_INTA!$D$8:$AO$625,(MATCH(($H14),ALIMENTOS_INTA!$E$8:$E$625,0)),(MATCH((AA$4),ALIMENTOS_INTA!$D$7:$AO$7,0))))),(INDEX(ALIMENTOS_INTA!$D$8:$AO$625,(MATCH(($H14),ALIMENTOS_INTA!$E$8:$E$625,0)),(MATCH((AA$4),ALIMENTOS_INTA!$D$7:$AO$7,0))))*($I14)/100,"ND")))),"ND")</f>
        <v>3.7</v>
      </c>
      <c r="AB14" s="78">
        <f>IFERROR(IF(($H14)="","",IF(NOT(ISNUMBER(($I14))),"",IF((AB$4)="","ND",IF(ISNUMBER((INDEX(ALIMENTOS_INTA!$D$8:$AO$625,(MATCH(($H14),ALIMENTOS_INTA!$E$8:$E$625,0)),(MATCH((AB$4),ALIMENTOS_INTA!$D$7:$AO$7,0))))),(INDEX(ALIMENTOS_INTA!$D$8:$AO$625,(MATCH(($H14),ALIMENTOS_INTA!$E$8:$E$625,0)),(MATCH((AB$4),ALIMENTOS_INTA!$D$7:$AO$7,0))))*($I14)/100,"ND")))),"ND")</f>
        <v>0.5</v>
      </c>
      <c r="AC14" s="78">
        <f>IFERROR(IF(($H14)="","",IF(NOT(ISNUMBER(($I14))),"",IF((AC$4)="","ND",IF(ISNUMBER((INDEX(ALIMENTOS_INTA!$D$8:$AO$625,(MATCH(($H14),ALIMENTOS_INTA!$E$8:$E$625,0)),(MATCH((AC$4),ALIMENTOS_INTA!$D$7:$AO$7,0))))),(INDEX(ALIMENTOS_INTA!$D$8:$AO$625,(MATCH(($H14),ALIMENTOS_INTA!$E$8:$E$625,0)),(MATCH((AC$4),ALIMENTOS_INTA!$D$7:$AO$7,0))))*($I14)/100,"ND")))),"ND")</f>
        <v>0.3</v>
      </c>
      <c r="AD14" s="78" t="str">
        <f>IFERROR(IF(($H14)="","",IF(NOT(ISNUMBER(($I14))),"",IF((AD$4)="","ND",IF(ISNUMBER((INDEX(ALIMENTOS_INTA!$D$8:$AO$625,(MATCH(($H14),ALIMENTOS_INTA!$E$8:$E$625,0)),(MATCH((AD$4),ALIMENTOS_INTA!$D$7:$AO$7,0))))),(INDEX(ALIMENTOS_INTA!$D$8:$AO$625,(MATCH(($H14),ALIMENTOS_INTA!$E$8:$E$625,0)),(MATCH((AD$4),ALIMENTOS_INTA!$D$7:$AO$7,0))))*($I14)/100,"ND")))),"ND")</f>
        <v>ND</v>
      </c>
      <c r="AE14" s="78">
        <f>IFERROR(IF(($H14)="","",IF(NOT(ISNUMBER(($I14))),"",IF((AE$4)="","ND",IF(ISNUMBER((INDEX(ALIMENTOS_INTA!$D$8:$AO$625,(MATCH(($H14),ALIMENTOS_INTA!$E$8:$E$625,0)),(MATCH((AE$4),ALIMENTOS_INTA!$D$7:$AO$7,0))))),(INDEX(ALIMENTOS_INTA!$D$8:$AO$625,(MATCH(($H14),ALIMENTOS_INTA!$E$8:$E$625,0)),(MATCH((AE$4),ALIMENTOS_INTA!$D$7:$AO$7,0))))*($I14)/100,"ND")))),"ND")</f>
        <v>61</v>
      </c>
      <c r="AF14" s="78">
        <f>IFERROR(IF(($H14)="","",IF(NOT(ISNUMBER(($I14))),"",IF((AF$4)="","ND",IF(ISNUMBER((INDEX(ALIMENTOS_INTA!$D$8:$AO$625,(MATCH(($H14),ALIMENTOS_INTA!$E$8:$E$625,0)),(MATCH((AF$4),ALIMENTOS_INTA!$D$7:$AO$7,0))))),(INDEX(ALIMENTOS_INTA!$D$8:$AO$625,(MATCH(($H14),ALIMENTOS_INTA!$E$8:$E$625,0)),(MATCH((AF$4),ALIMENTOS_INTA!$D$7:$AO$7,0))))*($I14)/100,"ND")))),"ND")</f>
        <v>0</v>
      </c>
      <c r="AJ14" t="s">
        <v>233</v>
      </c>
      <c r="AK14">
        <v>3</v>
      </c>
      <c r="AL14" t="s">
        <v>2809</v>
      </c>
      <c r="AM14" t="s">
        <v>2751</v>
      </c>
      <c r="AN14" t="s">
        <v>1614</v>
      </c>
      <c r="AO14">
        <v>25</v>
      </c>
      <c r="AP14" t="s">
        <v>230</v>
      </c>
    </row>
    <row r="15" spans="1:42" ht="15" customHeight="1">
      <c r="A15" s="55" t="s">
        <v>2905</v>
      </c>
      <c r="B15" s="50">
        <f>IF(ISNUMBER(B14),B14*CONFIG!$B$10,"ND")</f>
        <v>631.87583999999993</v>
      </c>
      <c r="C15" s="55" t="s">
        <v>87</v>
      </c>
      <c r="D15" s="55" t="s">
        <v>2902</v>
      </c>
      <c r="H15" s="80" t="s">
        <v>2906</v>
      </c>
      <c r="I15" s="80"/>
      <c r="J15" s="78">
        <f t="shared" ref="J15:AF15" si="0">IF(COUNTA($H$5:$H$14)=0,"",SUM(J5:J14))</f>
        <v>32.17</v>
      </c>
      <c r="K15" s="78">
        <f t="shared" si="0"/>
        <v>13.370000000000001</v>
      </c>
      <c r="L15" s="78">
        <f t="shared" si="0"/>
        <v>15.95</v>
      </c>
      <c r="M15" s="78">
        <f t="shared" si="0"/>
        <v>2121.1999999999998</v>
      </c>
      <c r="N15" s="78">
        <f t="shared" si="0"/>
        <v>1731.5</v>
      </c>
      <c r="O15" s="78">
        <f t="shared" si="0"/>
        <v>279.94</v>
      </c>
      <c r="P15" s="78">
        <f t="shared" si="0"/>
        <v>3658.5</v>
      </c>
      <c r="Q15" s="78">
        <f t="shared" si="0"/>
        <v>617.4</v>
      </c>
      <c r="R15" s="78">
        <f t="shared" si="0"/>
        <v>1078.2</v>
      </c>
      <c r="S15" s="78">
        <f t="shared" si="0"/>
        <v>0</v>
      </c>
      <c r="T15" s="78">
        <f t="shared" si="0"/>
        <v>10197.9</v>
      </c>
      <c r="U15" s="78">
        <f t="shared" si="0"/>
        <v>3.37</v>
      </c>
      <c r="V15" s="78">
        <f t="shared" si="0"/>
        <v>4.22</v>
      </c>
      <c r="W15" s="78">
        <f t="shared" si="0"/>
        <v>504.04</v>
      </c>
      <c r="X15" s="78">
        <f t="shared" si="0"/>
        <v>79.349999999999994</v>
      </c>
      <c r="Y15" s="78">
        <f t="shared" si="0"/>
        <v>1.95</v>
      </c>
      <c r="Z15" s="78">
        <f t="shared" si="0"/>
        <v>5.07</v>
      </c>
      <c r="AA15" s="78">
        <f t="shared" si="0"/>
        <v>29.42</v>
      </c>
      <c r="AB15" s="78">
        <f t="shared" si="0"/>
        <v>9.58</v>
      </c>
      <c r="AC15" s="78">
        <f t="shared" si="0"/>
        <v>2.25</v>
      </c>
      <c r="AD15" s="78">
        <f t="shared" si="0"/>
        <v>0</v>
      </c>
      <c r="AE15" s="78">
        <f t="shared" si="0"/>
        <v>549.4</v>
      </c>
      <c r="AF15" s="78">
        <f t="shared" si="0"/>
        <v>71.88000000000001</v>
      </c>
      <c r="AJ15" t="s">
        <v>233</v>
      </c>
      <c r="AK15">
        <v>4</v>
      </c>
      <c r="AL15" t="s">
        <v>2779</v>
      </c>
      <c r="AM15" t="s">
        <v>2751</v>
      </c>
      <c r="AN15" t="s">
        <v>1614</v>
      </c>
      <c r="AO15">
        <v>23</v>
      </c>
      <c r="AP15" t="s">
        <v>230</v>
      </c>
    </row>
    <row r="16" spans="1:42" ht="15" customHeight="1">
      <c r="A16" s="55" t="s">
        <v>2907</v>
      </c>
      <c r="B16" s="50">
        <f>IF(NOT(ISNUMBER(B2)),"ND",IF(B7="Porcentual",B2*(B11/100)/CONFIG!$B$9,IF(B2-B13-B15&gt;=0,(B2-B13-B15)/CONFIG!$B$9,"ND")))</f>
        <v>289.60975999999999</v>
      </c>
      <c r="C16" s="55" t="s">
        <v>207</v>
      </c>
      <c r="D16" s="55" t="s">
        <v>2902</v>
      </c>
      <c r="H16" s="80" t="s">
        <v>2908</v>
      </c>
      <c r="I16" s="80"/>
      <c r="J16" s="78">
        <f t="shared" ref="J16:AF16" si="1">IF(COUNTA($H$5:$H$14)=0,"",COUNTIF(J5:J14,"ND"))</f>
        <v>2</v>
      </c>
      <c r="K16" s="78">
        <f t="shared" si="1"/>
        <v>2</v>
      </c>
      <c r="L16" s="78">
        <f t="shared" si="1"/>
        <v>2</v>
      </c>
      <c r="M16" s="78">
        <f t="shared" si="1"/>
        <v>1</v>
      </c>
      <c r="N16" s="78">
        <f t="shared" si="1"/>
        <v>1</v>
      </c>
      <c r="O16" s="78">
        <f t="shared" si="1"/>
        <v>2</v>
      </c>
      <c r="P16" s="78">
        <f t="shared" si="1"/>
        <v>2</v>
      </c>
      <c r="Q16" s="78">
        <f t="shared" si="1"/>
        <v>2</v>
      </c>
      <c r="R16" s="78">
        <f t="shared" si="1"/>
        <v>1</v>
      </c>
      <c r="S16" s="78">
        <f t="shared" si="1"/>
        <v>10</v>
      </c>
      <c r="T16" s="78">
        <f t="shared" si="1"/>
        <v>2</v>
      </c>
      <c r="U16" s="78">
        <f t="shared" si="1"/>
        <v>4</v>
      </c>
      <c r="V16" s="78">
        <f t="shared" si="1"/>
        <v>5</v>
      </c>
      <c r="W16" s="78">
        <f t="shared" si="1"/>
        <v>5</v>
      </c>
      <c r="X16" s="78">
        <f t="shared" si="1"/>
        <v>1</v>
      </c>
      <c r="Y16" s="78">
        <f t="shared" si="1"/>
        <v>1</v>
      </c>
      <c r="Z16" s="78">
        <f t="shared" si="1"/>
        <v>1</v>
      </c>
      <c r="AA16" s="78">
        <f t="shared" si="1"/>
        <v>1</v>
      </c>
      <c r="AB16" s="78">
        <f t="shared" si="1"/>
        <v>3</v>
      </c>
      <c r="AC16" s="78">
        <f t="shared" si="1"/>
        <v>2</v>
      </c>
      <c r="AD16" s="78">
        <f t="shared" si="1"/>
        <v>10</v>
      </c>
      <c r="AE16" s="78">
        <f t="shared" si="1"/>
        <v>3</v>
      </c>
      <c r="AF16" s="78">
        <f t="shared" si="1"/>
        <v>2</v>
      </c>
      <c r="AJ16" t="s">
        <v>233</v>
      </c>
      <c r="AK16">
        <v>5</v>
      </c>
      <c r="AL16" t="s">
        <v>2815</v>
      </c>
      <c r="AM16" t="s">
        <v>2751</v>
      </c>
      <c r="AN16" t="s">
        <v>1614</v>
      </c>
      <c r="AO16">
        <v>21</v>
      </c>
      <c r="AP16" t="s">
        <v>230</v>
      </c>
    </row>
    <row r="17" spans="1:42" ht="15" customHeight="1">
      <c r="A17" s="55" t="s">
        <v>2909</v>
      </c>
      <c r="B17" s="50">
        <f>IF(ISNUMBER(B16),B16*CONFIG!$B$9,"ND")</f>
        <v>1158.43904</v>
      </c>
      <c r="C17" s="55" t="s">
        <v>87</v>
      </c>
      <c r="D17" s="55" t="s">
        <v>2902</v>
      </c>
      <c r="H17" s="80" t="s">
        <v>2910</v>
      </c>
      <c r="I17" s="80"/>
      <c r="J17" s="78">
        <f t="shared" ref="J17:AF17" si="2">COUNTA($H$5:$H$14)</f>
        <v>10</v>
      </c>
      <c r="K17" s="78">
        <f t="shared" si="2"/>
        <v>10</v>
      </c>
      <c r="L17" s="78">
        <f t="shared" si="2"/>
        <v>10</v>
      </c>
      <c r="M17" s="78">
        <f t="shared" si="2"/>
        <v>10</v>
      </c>
      <c r="N17" s="78">
        <f t="shared" si="2"/>
        <v>10</v>
      </c>
      <c r="O17" s="78">
        <f t="shared" si="2"/>
        <v>10</v>
      </c>
      <c r="P17" s="78">
        <f t="shared" si="2"/>
        <v>10</v>
      </c>
      <c r="Q17" s="78">
        <f t="shared" si="2"/>
        <v>10</v>
      </c>
      <c r="R17" s="78">
        <f t="shared" si="2"/>
        <v>10</v>
      </c>
      <c r="S17" s="78">
        <f t="shared" si="2"/>
        <v>10</v>
      </c>
      <c r="T17" s="78">
        <f t="shared" si="2"/>
        <v>10</v>
      </c>
      <c r="U17" s="78">
        <f t="shared" si="2"/>
        <v>10</v>
      </c>
      <c r="V17" s="78">
        <f t="shared" si="2"/>
        <v>10</v>
      </c>
      <c r="W17" s="78">
        <f t="shared" si="2"/>
        <v>10</v>
      </c>
      <c r="X17" s="78">
        <f t="shared" si="2"/>
        <v>10</v>
      </c>
      <c r="Y17" s="78">
        <f t="shared" si="2"/>
        <v>10</v>
      </c>
      <c r="Z17" s="78">
        <f t="shared" si="2"/>
        <v>10</v>
      </c>
      <c r="AA17" s="78">
        <f t="shared" si="2"/>
        <v>10</v>
      </c>
      <c r="AB17" s="78">
        <f t="shared" si="2"/>
        <v>10</v>
      </c>
      <c r="AC17" s="78">
        <f t="shared" si="2"/>
        <v>10</v>
      </c>
      <c r="AD17" s="78">
        <f t="shared" si="2"/>
        <v>10</v>
      </c>
      <c r="AE17" s="78">
        <f t="shared" si="2"/>
        <v>10</v>
      </c>
      <c r="AF17" s="78">
        <f t="shared" si="2"/>
        <v>10</v>
      </c>
      <c r="AJ17" t="s">
        <v>233</v>
      </c>
      <c r="AK17">
        <v>6</v>
      </c>
      <c r="AL17" t="s">
        <v>2811</v>
      </c>
      <c r="AM17" t="s">
        <v>2751</v>
      </c>
      <c r="AN17" t="s">
        <v>1614</v>
      </c>
      <c r="AO17">
        <v>19</v>
      </c>
      <c r="AP17" t="s">
        <v>230</v>
      </c>
    </row>
    <row r="18" spans="1:42">
      <c r="A18" s="55" t="s">
        <v>2911</v>
      </c>
      <c r="B18" s="50">
        <f>IF(AND(ISNUMBER(B13),ISNUMBER(B15),ISNUMBER(B17)),SUM(B13,B15,B17),"ND")</f>
        <v>2106.2527999999998</v>
      </c>
      <c r="C18" s="55" t="s">
        <v>87</v>
      </c>
      <c r="D18" s="55" t="s">
        <v>1214</v>
      </c>
      <c r="AJ18" t="s">
        <v>233</v>
      </c>
      <c r="AK18">
        <v>7</v>
      </c>
      <c r="AL18" t="s">
        <v>2813</v>
      </c>
      <c r="AM18" t="s">
        <v>2751</v>
      </c>
      <c r="AN18" t="s">
        <v>1614</v>
      </c>
      <c r="AO18">
        <v>19</v>
      </c>
      <c r="AP18" t="s">
        <v>230</v>
      </c>
    </row>
    <row r="19" spans="1:42">
      <c r="A19" s="55" t="s">
        <v>2912</v>
      </c>
      <c r="B19" s="50">
        <f>IF(ISNUMBER(B18),B18/B2*100,"ND")</f>
        <v>100</v>
      </c>
      <c r="C19" s="55" t="s">
        <v>136</v>
      </c>
      <c r="D19" s="55" t="s">
        <v>1214</v>
      </c>
      <c r="AJ19" t="s">
        <v>233</v>
      </c>
      <c r="AK19">
        <v>8</v>
      </c>
      <c r="AL19" t="s">
        <v>2819</v>
      </c>
      <c r="AM19" t="s">
        <v>2751</v>
      </c>
      <c r="AN19" t="s">
        <v>1614</v>
      </c>
      <c r="AO19">
        <v>19</v>
      </c>
      <c r="AP19" t="s">
        <v>230</v>
      </c>
    </row>
    <row r="20" spans="1:42">
      <c r="A20" s="55" t="s">
        <v>2913</v>
      </c>
      <c r="B20" s="50">
        <f>IF(ISNUMBER(B18),B18-B2,"ND")</f>
        <v>0</v>
      </c>
      <c r="C20" s="55" t="s">
        <v>87</v>
      </c>
      <c r="D20" s="55" t="s">
        <v>1214</v>
      </c>
      <c r="AJ20" t="s">
        <v>233</v>
      </c>
      <c r="AK20">
        <v>9</v>
      </c>
      <c r="AL20" t="s">
        <v>2829</v>
      </c>
      <c r="AM20" t="s">
        <v>2751</v>
      </c>
      <c r="AN20" t="s">
        <v>1614</v>
      </c>
      <c r="AO20">
        <v>19</v>
      </c>
      <c r="AP20" t="s">
        <v>230</v>
      </c>
    </row>
    <row r="21" spans="1:42">
      <c r="A21" s="55" t="s">
        <v>2914</v>
      </c>
      <c r="B21" s="50">
        <f>IF(COUNTIFS(DRI_BASE!$B$2:$B$100,"PROTEINA",DRI_BASE!$C$2:$C$100,B4,DRI_BASE!$D$2:$D$100,"&lt;="&amp;B3,DRI_BASE!$E$2:$E$100,"&gt;"&amp;B3,DRI_BASE!$G$2:$G$100,B5)=0,"ND",SUMIFS(DRI_BASE!$I$2:$I$100,DRI_BASE!$B$2:$B$100,"PROTEINA",DRI_BASE!$C$2:$C$100,B4,DRI_BASE!$D$2:$D$100,"&lt;="&amp;B3,DRI_BASE!$E$2:$E$100,"&gt;"&amp;B3,DRI_BASE!$G$2:$G$100,B5)+SUMIFS(DRI_BASE!$J$2:$J$100,DRI_BASE!$B$2:$B$100,"PROTEINA",DRI_BASE!$C$2:$C$100,B4,DRI_BASE!$D$2:$D$100,"&lt;="&amp;B3,DRI_BASE!$E$2:$E$100,"&gt;"&amp;B3,DRI_BASE!$G$2:$G$100,B5))</f>
        <v>46</v>
      </c>
      <c r="C21" s="55" t="s">
        <v>207</v>
      </c>
      <c r="D21" s="55" t="s">
        <v>2915</v>
      </c>
      <c r="AJ21" t="s">
        <v>233</v>
      </c>
      <c r="AK21">
        <v>10</v>
      </c>
      <c r="AL21" t="s">
        <v>2835</v>
      </c>
      <c r="AM21" t="s">
        <v>2751</v>
      </c>
      <c r="AN21" t="s">
        <v>1614</v>
      </c>
      <c r="AO21">
        <v>18</v>
      </c>
      <c r="AP21" t="s">
        <v>230</v>
      </c>
    </row>
    <row r="22" spans="1:42">
      <c r="A22" s="55" t="s">
        <v>2916</v>
      </c>
      <c r="B22" s="50">
        <f>IF(COUNTIFS(DRI_BASE!$B$2:$B$100,"CHO",DRI_BASE!$C$2:$C$100,B4,DRI_BASE!$D$2:$D$100,"&lt;="&amp;B3,DRI_BASE!$E$2:$E$100,"&gt;"&amp;B3,DRI_BASE!$G$2:$G$100,B5)=0,"ND",SUMIFS(DRI_BASE!$I$2:$I$100,DRI_BASE!$B$2:$B$100,"CHO",DRI_BASE!$C$2:$C$100,B4,DRI_BASE!$D$2:$D$100,"&lt;="&amp;B3,DRI_BASE!$E$2:$E$100,"&gt;"&amp;B3,DRI_BASE!$G$2:$G$100,B5)+SUMIFS(DRI_BASE!$J$2:$J$100,DRI_BASE!$B$2:$B$100,"CHO",DRI_BASE!$C$2:$C$100,B4,DRI_BASE!$D$2:$D$100,"&lt;="&amp;B3,DRI_BASE!$E$2:$E$100,"&gt;"&amp;B3,DRI_BASE!$G$2:$G$100,B5))</f>
        <v>130</v>
      </c>
      <c r="C22" s="55" t="s">
        <v>207</v>
      </c>
      <c r="D22" s="55" t="s">
        <v>2915</v>
      </c>
      <c r="AJ22" t="s">
        <v>236</v>
      </c>
      <c r="AK22">
        <v>1</v>
      </c>
      <c r="AL22" t="s">
        <v>2799</v>
      </c>
      <c r="AM22" t="s">
        <v>2751</v>
      </c>
      <c r="AN22" t="s">
        <v>1614</v>
      </c>
      <c r="AO22">
        <v>15.5</v>
      </c>
      <c r="AP22" t="s">
        <v>230</v>
      </c>
    </row>
    <row r="23" spans="1:42">
      <c r="A23" s="55" t="s">
        <v>2917</v>
      </c>
      <c r="B23" s="50">
        <f>IF(AND(ISNUMBER(B12),ISNUMBER(B21)),B12/B21*100,"ND")</f>
        <v>171.70539130434781</v>
      </c>
      <c r="C23" s="55" t="s">
        <v>136</v>
      </c>
      <c r="D23" s="55" t="s">
        <v>2918</v>
      </c>
      <c r="AJ23" t="s">
        <v>236</v>
      </c>
      <c r="AK23">
        <v>2</v>
      </c>
      <c r="AL23" t="s">
        <v>354</v>
      </c>
      <c r="AM23" t="s">
        <v>1728</v>
      </c>
      <c r="AN23" t="s">
        <v>1614</v>
      </c>
      <c r="AO23">
        <v>14.3</v>
      </c>
      <c r="AP23" t="s">
        <v>230</v>
      </c>
    </row>
    <row r="24" spans="1:42">
      <c r="A24" s="55" t="s">
        <v>2919</v>
      </c>
      <c r="B24" s="50">
        <f>IF(AND(ISNUMBER(B16),ISNUMBER(B22)),B16/B22*100,"ND")</f>
        <v>222.77673846153846</v>
      </c>
      <c r="C24" s="55" t="s">
        <v>136</v>
      </c>
      <c r="D24" s="55" t="s">
        <v>2918</v>
      </c>
      <c r="AJ24" t="s">
        <v>236</v>
      </c>
      <c r="AK24">
        <v>3</v>
      </c>
      <c r="AL24" t="s">
        <v>2801</v>
      </c>
      <c r="AM24" t="s">
        <v>2751</v>
      </c>
      <c r="AN24" t="s">
        <v>1614</v>
      </c>
      <c r="AO24">
        <v>10.8</v>
      </c>
      <c r="AP24" t="s">
        <v>230</v>
      </c>
    </row>
    <row r="25" spans="1:42">
      <c r="A25" s="55" t="s">
        <v>2920</v>
      </c>
      <c r="B25" s="55" t="str">
        <f>IF(B3&lt;1,"ND",INDEX(LISTAS!$Y$2:$Y$4,MATCH(B3,LISTAS!$W$2:$W$4,1))&amp;"–"&amp;INDEX(LISTAS!$Z$2:$Z$4,MATCH(B3,LISTAS!$W$2:$W$4,1)))</f>
        <v>10–35</v>
      </c>
      <c r="C25" s="55" t="s">
        <v>136</v>
      </c>
      <c r="D25" s="55" t="s">
        <v>368</v>
      </c>
      <c r="AJ25" t="s">
        <v>236</v>
      </c>
      <c r="AK25">
        <v>4</v>
      </c>
      <c r="AL25" t="s">
        <v>1821</v>
      </c>
      <c r="AM25" t="s">
        <v>1728</v>
      </c>
      <c r="AN25" t="s">
        <v>1614</v>
      </c>
      <c r="AO25">
        <v>7.1</v>
      </c>
      <c r="AP25" t="s">
        <v>230</v>
      </c>
    </row>
    <row r="26" spans="1:42">
      <c r="A26" s="55" t="s">
        <v>2921</v>
      </c>
      <c r="B26" s="55" t="str">
        <f>IF(B3&lt;1,"ND",INDEX(LISTAS!$AA$2:$AA$4,MATCH(B3,LISTAS!$W$2:$W$4,1))&amp;"–"&amp;INDEX(LISTAS!$AB$2:$AB$4,MATCH(B3,LISTAS!$W$2:$W$4,1)))</f>
        <v>20–35</v>
      </c>
      <c r="C26" s="55" t="s">
        <v>136</v>
      </c>
      <c r="D26" s="55" t="s">
        <v>368</v>
      </c>
      <c r="AJ26" t="s">
        <v>236</v>
      </c>
      <c r="AK26">
        <v>5</v>
      </c>
      <c r="AL26" t="s">
        <v>2453</v>
      </c>
      <c r="AM26" t="s">
        <v>2443</v>
      </c>
      <c r="AN26" t="s">
        <v>1614</v>
      </c>
      <c r="AO26">
        <v>3.8</v>
      </c>
      <c r="AP26" t="s">
        <v>230</v>
      </c>
    </row>
    <row r="27" spans="1:42">
      <c r="A27" s="55" t="s">
        <v>2922</v>
      </c>
      <c r="B27" s="55" t="str">
        <f>IF(B3&lt;1,"ND",INDEX(LISTAS!$AC$2:$AC$4,MATCH(B3,LISTAS!$W$2:$W$4,1))&amp;"–"&amp;INDEX(LISTAS!$AD$2:$AD$4,MATCH(B3,LISTAS!$W$2:$W$4,1)))</f>
        <v>45–65</v>
      </c>
      <c r="C27" s="55" t="s">
        <v>136</v>
      </c>
      <c r="D27" s="55" t="s">
        <v>368</v>
      </c>
      <c r="AJ27" t="s">
        <v>236</v>
      </c>
      <c r="AK27">
        <v>6</v>
      </c>
      <c r="AL27" t="s">
        <v>2779</v>
      </c>
      <c r="AM27" t="s">
        <v>2751</v>
      </c>
      <c r="AN27" t="s">
        <v>1614</v>
      </c>
      <c r="AO27">
        <v>3.1</v>
      </c>
      <c r="AP27" t="s">
        <v>230</v>
      </c>
    </row>
    <row r="28" spans="1:42">
      <c r="A28" s="55" t="s">
        <v>2923</v>
      </c>
      <c r="B28" s="55" t="str">
        <f>IF(NOT(ISNUMBER(B20)),"ND",IF(ABS(B20)&lt;=B2*(CONFIG!$B$11/100),"CIERRE CORRECTO","REVISAR DISTRIBUCIÓN"))</f>
        <v>CIERRE CORRECTO</v>
      </c>
      <c r="C28" s="55"/>
      <c r="D28" s="55" t="s">
        <v>2924</v>
      </c>
      <c r="AJ28" t="s">
        <v>236</v>
      </c>
      <c r="AK28">
        <v>7</v>
      </c>
      <c r="AL28" t="s">
        <v>2815</v>
      </c>
      <c r="AM28" t="s">
        <v>2751</v>
      </c>
      <c r="AN28" t="s">
        <v>1614</v>
      </c>
      <c r="AO28">
        <v>3</v>
      </c>
      <c r="AP28" t="s">
        <v>230</v>
      </c>
    </row>
    <row r="29" spans="1:42">
      <c r="AJ29" t="s">
        <v>236</v>
      </c>
      <c r="AK29">
        <v>8</v>
      </c>
      <c r="AL29" t="s">
        <v>2819</v>
      </c>
      <c r="AM29" t="s">
        <v>2751</v>
      </c>
      <c r="AN29" t="s">
        <v>1614</v>
      </c>
      <c r="AO29">
        <v>2.6</v>
      </c>
      <c r="AP29" t="s">
        <v>230</v>
      </c>
    </row>
    <row r="30" spans="1:42">
      <c r="AJ30" t="s">
        <v>236</v>
      </c>
      <c r="AK30">
        <v>9</v>
      </c>
      <c r="AL30" t="s">
        <v>2060</v>
      </c>
      <c r="AM30" t="s">
        <v>2028</v>
      </c>
      <c r="AN30" t="s">
        <v>1614</v>
      </c>
      <c r="AO30">
        <v>2.5</v>
      </c>
      <c r="AP30" t="s">
        <v>230</v>
      </c>
    </row>
    <row r="31" spans="1:42">
      <c r="AJ31" t="s">
        <v>236</v>
      </c>
      <c r="AK31">
        <v>10</v>
      </c>
      <c r="AL31" t="s">
        <v>2034</v>
      </c>
      <c r="AM31" t="s">
        <v>2028</v>
      </c>
      <c r="AN31" t="s">
        <v>1614</v>
      </c>
      <c r="AO31">
        <v>2.2000000000000002</v>
      </c>
      <c r="AP31" t="s">
        <v>230</v>
      </c>
    </row>
    <row r="32" spans="1:42">
      <c r="AJ32" t="s">
        <v>239</v>
      </c>
      <c r="AK32">
        <v>1</v>
      </c>
      <c r="AL32" t="s">
        <v>2809</v>
      </c>
      <c r="AM32" t="s">
        <v>2751</v>
      </c>
      <c r="AN32" t="s">
        <v>1614</v>
      </c>
      <c r="AO32">
        <v>2346</v>
      </c>
      <c r="AP32" t="s">
        <v>230</v>
      </c>
    </row>
    <row r="33" spans="36:42">
      <c r="AJ33" t="s">
        <v>239</v>
      </c>
      <c r="AK33">
        <v>2</v>
      </c>
      <c r="AL33" t="s">
        <v>2821</v>
      </c>
      <c r="AM33" t="s">
        <v>2751</v>
      </c>
      <c r="AN33" t="s">
        <v>1614</v>
      </c>
      <c r="AO33">
        <v>2300</v>
      </c>
      <c r="AP33" t="s">
        <v>230</v>
      </c>
    </row>
    <row r="34" spans="36:42">
      <c r="AJ34" t="s">
        <v>239</v>
      </c>
      <c r="AK34">
        <v>3</v>
      </c>
      <c r="AL34" t="s">
        <v>2633</v>
      </c>
      <c r="AM34" t="s">
        <v>2629</v>
      </c>
      <c r="AN34" t="s">
        <v>1614</v>
      </c>
      <c r="AO34">
        <v>2240</v>
      </c>
      <c r="AP34" t="s">
        <v>230</v>
      </c>
    </row>
    <row r="35" spans="36:42">
      <c r="AJ35" t="s">
        <v>239</v>
      </c>
      <c r="AK35">
        <v>4</v>
      </c>
      <c r="AL35" t="s">
        <v>2813</v>
      </c>
      <c r="AM35" t="s">
        <v>2751</v>
      </c>
      <c r="AN35" t="s">
        <v>1614</v>
      </c>
      <c r="AO35">
        <v>2099</v>
      </c>
      <c r="AP35" t="s">
        <v>230</v>
      </c>
    </row>
    <row r="36" spans="36:42">
      <c r="AJ36" t="s">
        <v>239</v>
      </c>
      <c r="AK36">
        <v>5</v>
      </c>
      <c r="AL36" t="s">
        <v>2811</v>
      </c>
      <c r="AM36" t="s">
        <v>2751</v>
      </c>
      <c r="AN36" t="s">
        <v>1614</v>
      </c>
      <c r="AO36">
        <v>2063</v>
      </c>
      <c r="AP36" t="s">
        <v>230</v>
      </c>
    </row>
    <row r="37" spans="36:42">
      <c r="AJ37" t="s">
        <v>239</v>
      </c>
      <c r="AK37">
        <v>6</v>
      </c>
      <c r="AL37" t="s">
        <v>1649</v>
      </c>
      <c r="AM37" t="s">
        <v>1613</v>
      </c>
      <c r="AN37" t="s">
        <v>1614</v>
      </c>
      <c r="AO37">
        <v>2000</v>
      </c>
      <c r="AP37" t="s">
        <v>230</v>
      </c>
    </row>
    <row r="38" spans="36:42">
      <c r="AJ38" t="s">
        <v>239</v>
      </c>
      <c r="AK38">
        <v>7</v>
      </c>
      <c r="AL38" t="s">
        <v>2705</v>
      </c>
      <c r="AM38" t="s">
        <v>2629</v>
      </c>
      <c r="AN38" t="s">
        <v>1614</v>
      </c>
      <c r="AO38">
        <v>1890</v>
      </c>
      <c r="AP38" t="s">
        <v>230</v>
      </c>
    </row>
    <row r="39" spans="36:42">
      <c r="AJ39" t="s">
        <v>239</v>
      </c>
      <c r="AK39">
        <v>8</v>
      </c>
      <c r="AL39" t="s">
        <v>2651</v>
      </c>
      <c r="AM39" t="s">
        <v>2629</v>
      </c>
      <c r="AN39" t="s">
        <v>1614</v>
      </c>
      <c r="AO39">
        <v>1784</v>
      </c>
      <c r="AP39" t="s">
        <v>230</v>
      </c>
    </row>
    <row r="40" spans="36:42">
      <c r="AJ40" t="s">
        <v>239</v>
      </c>
      <c r="AK40">
        <v>9</v>
      </c>
      <c r="AL40" t="s">
        <v>1686</v>
      </c>
      <c r="AM40" t="s">
        <v>1613</v>
      </c>
      <c r="AN40" t="s">
        <v>1614</v>
      </c>
      <c r="AO40">
        <v>1653</v>
      </c>
      <c r="AP40" t="s">
        <v>230</v>
      </c>
    </row>
    <row r="41" spans="36:42">
      <c r="AJ41" t="s">
        <v>239</v>
      </c>
      <c r="AK41">
        <v>10</v>
      </c>
      <c r="AL41" t="s">
        <v>1643</v>
      </c>
      <c r="AM41" t="s">
        <v>1613</v>
      </c>
      <c r="AN41" t="s">
        <v>1614</v>
      </c>
      <c r="AO41">
        <v>1610</v>
      </c>
      <c r="AP41" t="s">
        <v>230</v>
      </c>
    </row>
    <row r="42" spans="36:42">
      <c r="AJ42" t="s">
        <v>243</v>
      </c>
      <c r="AK42">
        <v>1</v>
      </c>
      <c r="AL42" t="s">
        <v>2821</v>
      </c>
      <c r="AM42" t="s">
        <v>2751</v>
      </c>
      <c r="AN42" t="s">
        <v>1614</v>
      </c>
      <c r="AO42">
        <v>1380</v>
      </c>
      <c r="AP42" t="s">
        <v>230</v>
      </c>
    </row>
    <row r="43" spans="36:42">
      <c r="AJ43" t="s">
        <v>243</v>
      </c>
      <c r="AK43">
        <v>2</v>
      </c>
      <c r="AL43" t="s">
        <v>2791</v>
      </c>
      <c r="AM43" t="s">
        <v>2751</v>
      </c>
      <c r="AN43" t="s">
        <v>1614</v>
      </c>
      <c r="AO43">
        <v>1280</v>
      </c>
      <c r="AP43" t="s">
        <v>230</v>
      </c>
    </row>
    <row r="44" spans="36:42">
      <c r="AJ44" t="s">
        <v>243</v>
      </c>
      <c r="AK44">
        <v>3</v>
      </c>
      <c r="AL44" t="s">
        <v>2809</v>
      </c>
      <c r="AM44" t="s">
        <v>2751</v>
      </c>
      <c r="AN44" t="s">
        <v>1614</v>
      </c>
      <c r="AO44">
        <v>1260</v>
      </c>
      <c r="AP44" t="s">
        <v>230</v>
      </c>
    </row>
    <row r="45" spans="36:42">
      <c r="AJ45" t="s">
        <v>243</v>
      </c>
      <c r="AK45">
        <v>4</v>
      </c>
      <c r="AL45" t="s">
        <v>2813</v>
      </c>
      <c r="AM45" t="s">
        <v>2751</v>
      </c>
      <c r="AN45" t="s">
        <v>1614</v>
      </c>
      <c r="AO45">
        <v>1240</v>
      </c>
      <c r="AP45" t="s">
        <v>230</v>
      </c>
    </row>
    <row r="46" spans="36:42">
      <c r="AJ46" t="s">
        <v>243</v>
      </c>
      <c r="AK46">
        <v>5</v>
      </c>
      <c r="AL46" t="s">
        <v>2064</v>
      </c>
      <c r="AM46" t="s">
        <v>2028</v>
      </c>
      <c r="AN46" t="s">
        <v>1614</v>
      </c>
      <c r="AO46">
        <v>1233</v>
      </c>
      <c r="AP46" t="s">
        <v>230</v>
      </c>
    </row>
    <row r="47" spans="36:42">
      <c r="AJ47" t="s">
        <v>243</v>
      </c>
      <c r="AK47">
        <v>6</v>
      </c>
      <c r="AL47" t="s">
        <v>2811</v>
      </c>
      <c r="AM47" t="s">
        <v>2751</v>
      </c>
      <c r="AN47" t="s">
        <v>1614</v>
      </c>
      <c r="AO47">
        <v>1217</v>
      </c>
      <c r="AP47" t="s">
        <v>230</v>
      </c>
    </row>
    <row r="48" spans="36:42">
      <c r="AJ48" t="s">
        <v>243</v>
      </c>
      <c r="AK48">
        <v>7</v>
      </c>
      <c r="AL48" t="s">
        <v>2062</v>
      </c>
      <c r="AM48" t="s">
        <v>2028</v>
      </c>
      <c r="AN48" t="s">
        <v>1614</v>
      </c>
      <c r="AO48">
        <v>1158</v>
      </c>
      <c r="AP48" t="s">
        <v>230</v>
      </c>
    </row>
    <row r="49" spans="36:42">
      <c r="AJ49" t="s">
        <v>243</v>
      </c>
      <c r="AK49">
        <v>8</v>
      </c>
      <c r="AL49" t="s">
        <v>2829</v>
      </c>
      <c r="AM49" t="s">
        <v>2751</v>
      </c>
      <c r="AN49" t="s">
        <v>1614</v>
      </c>
      <c r="AO49">
        <v>1038</v>
      </c>
      <c r="AP49" t="s">
        <v>230</v>
      </c>
    </row>
    <row r="50" spans="36:42">
      <c r="AJ50" t="s">
        <v>243</v>
      </c>
      <c r="AK50">
        <v>9</v>
      </c>
      <c r="AL50" t="s">
        <v>2763</v>
      </c>
      <c r="AM50" t="s">
        <v>2751</v>
      </c>
      <c r="AN50" t="s">
        <v>1614</v>
      </c>
      <c r="AO50">
        <v>1020</v>
      </c>
      <c r="AP50" t="s">
        <v>230</v>
      </c>
    </row>
    <row r="51" spans="36:42">
      <c r="AJ51" t="s">
        <v>243</v>
      </c>
      <c r="AK51">
        <v>10</v>
      </c>
      <c r="AL51" t="s">
        <v>2126</v>
      </c>
      <c r="AM51" t="s">
        <v>2069</v>
      </c>
      <c r="AN51" t="s">
        <v>1614</v>
      </c>
      <c r="AO51">
        <v>1013</v>
      </c>
      <c r="AP51" t="s">
        <v>230</v>
      </c>
    </row>
    <row r="52" spans="36:42">
      <c r="AJ52" t="s">
        <v>246</v>
      </c>
      <c r="AK52">
        <v>1</v>
      </c>
      <c r="AL52" t="s">
        <v>363</v>
      </c>
      <c r="AM52" t="s">
        <v>2629</v>
      </c>
      <c r="AN52" t="s">
        <v>1614</v>
      </c>
      <c r="AO52">
        <v>208.1</v>
      </c>
      <c r="AP52" t="s">
        <v>249</v>
      </c>
    </row>
    <row r="53" spans="36:42">
      <c r="AJ53" t="s">
        <v>246</v>
      </c>
      <c r="AK53">
        <v>2</v>
      </c>
      <c r="AL53" t="s">
        <v>1821</v>
      </c>
      <c r="AM53" t="s">
        <v>1728</v>
      </c>
      <c r="AN53" t="s">
        <v>1614</v>
      </c>
      <c r="AO53">
        <v>111.4</v>
      </c>
      <c r="AP53" t="s">
        <v>249</v>
      </c>
    </row>
    <row r="54" spans="36:42">
      <c r="AJ54" t="s">
        <v>246</v>
      </c>
      <c r="AK54">
        <v>3</v>
      </c>
      <c r="AL54" t="s">
        <v>1823</v>
      </c>
      <c r="AM54" t="s">
        <v>1728</v>
      </c>
      <c r="AN54" t="s">
        <v>1614</v>
      </c>
      <c r="AO54">
        <v>82.4</v>
      </c>
      <c r="AP54" t="s">
        <v>249</v>
      </c>
    </row>
    <row r="55" spans="36:42">
      <c r="AJ55" t="s">
        <v>246</v>
      </c>
      <c r="AK55">
        <v>4</v>
      </c>
      <c r="AL55" t="s">
        <v>1952</v>
      </c>
      <c r="AM55" t="s">
        <v>516</v>
      </c>
      <c r="AN55" t="s">
        <v>1614</v>
      </c>
      <c r="AO55">
        <v>80</v>
      </c>
      <c r="AP55" t="s">
        <v>249</v>
      </c>
    </row>
    <row r="56" spans="36:42">
      <c r="AJ56" t="s">
        <v>246</v>
      </c>
      <c r="AK56">
        <v>5</v>
      </c>
      <c r="AL56" t="s">
        <v>2126</v>
      </c>
      <c r="AM56" t="s">
        <v>2069</v>
      </c>
      <c r="AN56" t="s">
        <v>1614</v>
      </c>
      <c r="AO56">
        <v>77.599999999999994</v>
      </c>
      <c r="AP56" t="s">
        <v>249</v>
      </c>
    </row>
    <row r="57" spans="36:42">
      <c r="AJ57" t="s">
        <v>246</v>
      </c>
      <c r="AK57">
        <v>6</v>
      </c>
      <c r="AL57" t="s">
        <v>2142</v>
      </c>
      <c r="AM57" t="s">
        <v>2069</v>
      </c>
      <c r="AN57" t="s">
        <v>1614</v>
      </c>
      <c r="AO57">
        <v>77.599999999999994</v>
      </c>
      <c r="AP57" t="s">
        <v>249</v>
      </c>
    </row>
    <row r="58" spans="36:42">
      <c r="AJ58" t="s">
        <v>246</v>
      </c>
      <c r="AK58">
        <v>7</v>
      </c>
      <c r="AL58" t="s">
        <v>1920</v>
      </c>
      <c r="AM58" t="s">
        <v>516</v>
      </c>
      <c r="AN58" t="s">
        <v>1614</v>
      </c>
      <c r="AO58">
        <v>77</v>
      </c>
      <c r="AP58" t="s">
        <v>249</v>
      </c>
    </row>
    <row r="59" spans="36:42">
      <c r="AJ59" t="s">
        <v>246</v>
      </c>
      <c r="AK59">
        <v>8</v>
      </c>
      <c r="AL59" t="s">
        <v>1938</v>
      </c>
      <c r="AM59" t="s">
        <v>516</v>
      </c>
      <c r="AN59" t="s">
        <v>1614</v>
      </c>
      <c r="AO59">
        <v>76</v>
      </c>
      <c r="AP59" t="s">
        <v>249</v>
      </c>
    </row>
    <row r="60" spans="36:42">
      <c r="AJ60" t="s">
        <v>246</v>
      </c>
      <c r="AK60">
        <v>9</v>
      </c>
      <c r="AL60" t="s">
        <v>2813</v>
      </c>
      <c r="AM60" t="s">
        <v>2751</v>
      </c>
      <c r="AN60" t="s">
        <v>1614</v>
      </c>
      <c r="AO60">
        <v>76</v>
      </c>
      <c r="AP60" t="s">
        <v>249</v>
      </c>
    </row>
    <row r="61" spans="36:42">
      <c r="AJ61" t="s">
        <v>246</v>
      </c>
      <c r="AK61">
        <v>10</v>
      </c>
      <c r="AL61" t="s">
        <v>2811</v>
      </c>
      <c r="AM61" t="s">
        <v>2751</v>
      </c>
      <c r="AN61" t="s">
        <v>1614</v>
      </c>
      <c r="AO61">
        <v>75</v>
      </c>
      <c r="AP61" t="s">
        <v>249</v>
      </c>
    </row>
    <row r="62" spans="36:42">
      <c r="AJ62" t="s">
        <v>250</v>
      </c>
      <c r="AK62">
        <v>1</v>
      </c>
      <c r="AL62" t="s">
        <v>2651</v>
      </c>
      <c r="AM62" t="s">
        <v>2629</v>
      </c>
      <c r="AN62" t="s">
        <v>1614</v>
      </c>
      <c r="AO62">
        <v>3308</v>
      </c>
      <c r="AP62" t="s">
        <v>230</v>
      </c>
    </row>
    <row r="63" spans="36:42">
      <c r="AJ63" t="s">
        <v>250</v>
      </c>
      <c r="AK63">
        <v>2</v>
      </c>
      <c r="AL63" t="s">
        <v>2653</v>
      </c>
      <c r="AM63" t="s">
        <v>2629</v>
      </c>
      <c r="AN63" t="s">
        <v>1614</v>
      </c>
      <c r="AO63">
        <v>3020</v>
      </c>
      <c r="AP63" t="s">
        <v>230</v>
      </c>
    </row>
    <row r="64" spans="36:42">
      <c r="AJ64" t="s">
        <v>250</v>
      </c>
      <c r="AK64">
        <v>3</v>
      </c>
      <c r="AL64" t="s">
        <v>2681</v>
      </c>
      <c r="AM64" t="s">
        <v>2629</v>
      </c>
      <c r="AN64" t="s">
        <v>1614</v>
      </c>
      <c r="AO64">
        <v>2683</v>
      </c>
      <c r="AP64" t="s">
        <v>230</v>
      </c>
    </row>
    <row r="65" spans="36:42">
      <c r="AJ65" t="s">
        <v>250</v>
      </c>
      <c r="AK65">
        <v>4</v>
      </c>
      <c r="AL65" t="s">
        <v>2809</v>
      </c>
      <c r="AM65" t="s">
        <v>2751</v>
      </c>
      <c r="AN65" t="s">
        <v>1614</v>
      </c>
      <c r="AO65">
        <v>2674</v>
      </c>
      <c r="AP65" t="s">
        <v>230</v>
      </c>
    </row>
    <row r="66" spans="36:42">
      <c r="AJ66" t="s">
        <v>250</v>
      </c>
      <c r="AK66">
        <v>5</v>
      </c>
      <c r="AL66" t="s">
        <v>2633</v>
      </c>
      <c r="AM66" t="s">
        <v>2629</v>
      </c>
      <c r="AN66" t="s">
        <v>1614</v>
      </c>
      <c r="AO66">
        <v>2630</v>
      </c>
      <c r="AP66" t="s">
        <v>230</v>
      </c>
    </row>
    <row r="67" spans="36:42">
      <c r="AJ67" t="s">
        <v>250</v>
      </c>
      <c r="AK67">
        <v>6</v>
      </c>
      <c r="AL67" t="s">
        <v>2675</v>
      </c>
      <c r="AM67" t="s">
        <v>2629</v>
      </c>
      <c r="AN67" t="s">
        <v>1614</v>
      </c>
      <c r="AO67">
        <v>2280</v>
      </c>
      <c r="AP67" t="s">
        <v>230</v>
      </c>
    </row>
    <row r="68" spans="36:42">
      <c r="AJ68" t="s">
        <v>250</v>
      </c>
      <c r="AK68">
        <v>7</v>
      </c>
      <c r="AL68" t="s">
        <v>2647</v>
      </c>
      <c r="AM68" t="s">
        <v>2629</v>
      </c>
      <c r="AN68" t="s">
        <v>1614</v>
      </c>
      <c r="AO68">
        <v>2080</v>
      </c>
      <c r="AP68" t="s">
        <v>230</v>
      </c>
    </row>
    <row r="69" spans="36:42">
      <c r="AJ69" t="s">
        <v>250</v>
      </c>
      <c r="AK69">
        <v>8</v>
      </c>
      <c r="AL69" t="s">
        <v>2687</v>
      </c>
      <c r="AM69" t="s">
        <v>2629</v>
      </c>
      <c r="AN69" t="s">
        <v>1614</v>
      </c>
      <c r="AO69">
        <v>2014</v>
      </c>
      <c r="AP69" t="s">
        <v>230</v>
      </c>
    </row>
    <row r="70" spans="36:42">
      <c r="AJ70" t="s">
        <v>250</v>
      </c>
      <c r="AK70">
        <v>9</v>
      </c>
      <c r="AL70" t="s">
        <v>2667</v>
      </c>
      <c r="AM70" t="s">
        <v>2629</v>
      </c>
      <c r="AN70" t="s">
        <v>1614</v>
      </c>
      <c r="AO70">
        <v>1924</v>
      </c>
      <c r="AP70" t="s">
        <v>230</v>
      </c>
    </row>
    <row r="71" spans="36:42">
      <c r="AJ71" t="s">
        <v>250</v>
      </c>
      <c r="AK71">
        <v>10</v>
      </c>
      <c r="AL71" t="s">
        <v>2685</v>
      </c>
      <c r="AM71" t="s">
        <v>2629</v>
      </c>
      <c r="AN71" t="s">
        <v>1614</v>
      </c>
      <c r="AO71">
        <v>1829</v>
      </c>
      <c r="AP71" t="s">
        <v>230</v>
      </c>
    </row>
    <row r="72" spans="36:42">
      <c r="AJ72" t="s">
        <v>255</v>
      </c>
      <c r="AK72">
        <v>1</v>
      </c>
      <c r="AL72" t="s">
        <v>2633</v>
      </c>
      <c r="AM72" t="s">
        <v>2629</v>
      </c>
      <c r="AN72" t="s">
        <v>1614</v>
      </c>
      <c r="AO72">
        <v>711</v>
      </c>
      <c r="AP72" t="s">
        <v>230</v>
      </c>
    </row>
    <row r="73" spans="36:42">
      <c r="AJ73" t="s">
        <v>255</v>
      </c>
      <c r="AK73">
        <v>2</v>
      </c>
      <c r="AL73" t="s">
        <v>2126</v>
      </c>
      <c r="AM73" t="s">
        <v>2069</v>
      </c>
      <c r="AN73" t="s">
        <v>1614</v>
      </c>
      <c r="AO73">
        <v>611</v>
      </c>
      <c r="AP73" t="s">
        <v>230</v>
      </c>
    </row>
    <row r="74" spans="36:42">
      <c r="AJ74" t="s">
        <v>255</v>
      </c>
      <c r="AK74">
        <v>3</v>
      </c>
      <c r="AL74" t="s">
        <v>2667</v>
      </c>
      <c r="AM74" t="s">
        <v>2629</v>
      </c>
      <c r="AN74" t="s">
        <v>1614</v>
      </c>
      <c r="AO74">
        <v>602</v>
      </c>
      <c r="AP74" t="s">
        <v>230</v>
      </c>
    </row>
    <row r="75" spans="36:42">
      <c r="AJ75" t="s">
        <v>255</v>
      </c>
      <c r="AK75">
        <v>4</v>
      </c>
      <c r="AL75" t="s">
        <v>2064</v>
      </c>
      <c r="AM75" t="s">
        <v>2028</v>
      </c>
      <c r="AN75" t="s">
        <v>1614</v>
      </c>
      <c r="AO75">
        <v>592</v>
      </c>
      <c r="AP75" t="s">
        <v>230</v>
      </c>
    </row>
    <row r="76" spans="36:42">
      <c r="AJ76" t="s">
        <v>255</v>
      </c>
      <c r="AK76">
        <v>5</v>
      </c>
      <c r="AL76" t="s">
        <v>2453</v>
      </c>
      <c r="AM76" t="s">
        <v>2443</v>
      </c>
      <c r="AN76" t="s">
        <v>1614</v>
      </c>
      <c r="AO76">
        <v>499</v>
      </c>
      <c r="AP76" t="s">
        <v>230</v>
      </c>
    </row>
    <row r="77" spans="36:42">
      <c r="AJ77" t="s">
        <v>255</v>
      </c>
      <c r="AK77">
        <v>6</v>
      </c>
      <c r="AL77" t="s">
        <v>2651</v>
      </c>
      <c r="AM77" t="s">
        <v>2629</v>
      </c>
      <c r="AN77" t="s">
        <v>1614</v>
      </c>
      <c r="AO77">
        <v>481</v>
      </c>
      <c r="AP77" t="s">
        <v>230</v>
      </c>
    </row>
    <row r="78" spans="36:42">
      <c r="AJ78" t="s">
        <v>255</v>
      </c>
      <c r="AK78">
        <v>7</v>
      </c>
      <c r="AL78" t="s">
        <v>2681</v>
      </c>
      <c r="AM78" t="s">
        <v>2629</v>
      </c>
      <c r="AN78" t="s">
        <v>1614</v>
      </c>
      <c r="AO78">
        <v>400</v>
      </c>
      <c r="AP78" t="s">
        <v>230</v>
      </c>
    </row>
    <row r="79" spans="36:42">
      <c r="AJ79" t="s">
        <v>255</v>
      </c>
      <c r="AK79">
        <v>8</v>
      </c>
      <c r="AL79" t="s">
        <v>363</v>
      </c>
      <c r="AM79" t="s">
        <v>2629</v>
      </c>
      <c r="AN79" t="s">
        <v>1614</v>
      </c>
      <c r="AO79">
        <v>385</v>
      </c>
      <c r="AP79" t="s">
        <v>230</v>
      </c>
    </row>
    <row r="80" spans="36:42">
      <c r="AJ80" t="s">
        <v>255</v>
      </c>
      <c r="AK80">
        <v>9</v>
      </c>
      <c r="AL80" t="s">
        <v>2829</v>
      </c>
      <c r="AM80" t="s">
        <v>2751</v>
      </c>
      <c r="AN80" t="s">
        <v>1614</v>
      </c>
      <c r="AO80">
        <v>375</v>
      </c>
      <c r="AP80" t="s">
        <v>230</v>
      </c>
    </row>
    <row r="81" spans="36:42">
      <c r="AJ81" t="s">
        <v>255</v>
      </c>
      <c r="AK81">
        <v>10</v>
      </c>
      <c r="AL81" t="s">
        <v>2291</v>
      </c>
      <c r="AM81" t="s">
        <v>2276</v>
      </c>
      <c r="AN81" t="s">
        <v>1614</v>
      </c>
      <c r="AO81">
        <v>372</v>
      </c>
      <c r="AP81" t="s">
        <v>230</v>
      </c>
    </row>
    <row r="82" spans="36:42">
      <c r="AJ82" t="s">
        <v>258</v>
      </c>
      <c r="AK82">
        <v>1</v>
      </c>
      <c r="AL82" t="s">
        <v>540</v>
      </c>
      <c r="AM82" t="s">
        <v>2629</v>
      </c>
      <c r="AN82" t="s">
        <v>1614</v>
      </c>
      <c r="AO82">
        <v>38758</v>
      </c>
      <c r="AP82" t="s">
        <v>230</v>
      </c>
    </row>
    <row r="83" spans="36:42">
      <c r="AJ83" t="s">
        <v>258</v>
      </c>
      <c r="AK83">
        <v>2</v>
      </c>
      <c r="AL83" t="s">
        <v>2693</v>
      </c>
      <c r="AM83" t="s">
        <v>2629</v>
      </c>
      <c r="AN83" t="s">
        <v>1614</v>
      </c>
      <c r="AO83">
        <v>35983</v>
      </c>
      <c r="AP83" t="s">
        <v>230</v>
      </c>
    </row>
    <row r="84" spans="36:42">
      <c r="AJ84" t="s">
        <v>258</v>
      </c>
      <c r="AK84">
        <v>3</v>
      </c>
      <c r="AL84" t="s">
        <v>2669</v>
      </c>
      <c r="AM84" t="s">
        <v>2629</v>
      </c>
      <c r="AN84" t="s">
        <v>1614</v>
      </c>
      <c r="AO84">
        <v>7440</v>
      </c>
      <c r="AP84" t="s">
        <v>230</v>
      </c>
    </row>
    <row r="85" spans="36:42">
      <c r="AJ85" t="s">
        <v>258</v>
      </c>
      <c r="AK85">
        <v>4</v>
      </c>
      <c r="AL85" t="s">
        <v>2624</v>
      </c>
      <c r="AM85" t="s">
        <v>2612</v>
      </c>
      <c r="AN85" t="s">
        <v>1614</v>
      </c>
      <c r="AO85">
        <v>3833</v>
      </c>
      <c r="AP85" t="s">
        <v>230</v>
      </c>
    </row>
    <row r="86" spans="36:42">
      <c r="AJ86" t="s">
        <v>258</v>
      </c>
      <c r="AK86">
        <v>5</v>
      </c>
      <c r="AL86" t="s">
        <v>1878</v>
      </c>
      <c r="AM86" t="s">
        <v>1728</v>
      </c>
      <c r="AN86" t="s">
        <v>1614</v>
      </c>
      <c r="AO86">
        <v>2028</v>
      </c>
      <c r="AP86" t="s">
        <v>230</v>
      </c>
    </row>
    <row r="87" spans="36:42">
      <c r="AJ87" t="s">
        <v>258</v>
      </c>
      <c r="AK87">
        <v>6</v>
      </c>
      <c r="AL87" t="s">
        <v>1688</v>
      </c>
      <c r="AM87" t="s">
        <v>1613</v>
      </c>
      <c r="AN87" t="s">
        <v>1614</v>
      </c>
      <c r="AO87">
        <v>1804</v>
      </c>
      <c r="AP87" t="s">
        <v>230</v>
      </c>
    </row>
    <row r="88" spans="36:42">
      <c r="AJ88" t="s">
        <v>258</v>
      </c>
      <c r="AK88">
        <v>7</v>
      </c>
      <c r="AL88" t="s">
        <v>2611</v>
      </c>
      <c r="AM88" t="s">
        <v>2612</v>
      </c>
      <c r="AN88" t="s">
        <v>1614</v>
      </c>
      <c r="AO88">
        <v>1603</v>
      </c>
      <c r="AP88" t="s">
        <v>230</v>
      </c>
    </row>
    <row r="89" spans="36:42">
      <c r="AJ89" t="s">
        <v>258</v>
      </c>
      <c r="AK89">
        <v>8</v>
      </c>
      <c r="AL89" t="s">
        <v>2337</v>
      </c>
      <c r="AM89" t="s">
        <v>2338</v>
      </c>
      <c r="AN89" t="s">
        <v>1614</v>
      </c>
      <c r="AO89">
        <v>1588</v>
      </c>
      <c r="AP89" t="s">
        <v>230</v>
      </c>
    </row>
    <row r="90" spans="36:42">
      <c r="AJ90" t="s">
        <v>258</v>
      </c>
      <c r="AK90">
        <v>9</v>
      </c>
      <c r="AL90" t="s">
        <v>1866</v>
      </c>
      <c r="AM90" t="s">
        <v>1728</v>
      </c>
      <c r="AN90" t="s">
        <v>1614</v>
      </c>
      <c r="AO90">
        <v>1582</v>
      </c>
      <c r="AP90" t="s">
        <v>230</v>
      </c>
    </row>
    <row r="91" spans="36:42">
      <c r="AJ91" t="s">
        <v>258</v>
      </c>
      <c r="AK91">
        <v>10</v>
      </c>
      <c r="AL91" t="s">
        <v>2340</v>
      </c>
      <c r="AM91" t="s">
        <v>2338</v>
      </c>
      <c r="AN91" t="s">
        <v>1614</v>
      </c>
      <c r="AO91">
        <v>1508</v>
      </c>
      <c r="AP91" t="s">
        <v>230</v>
      </c>
    </row>
    <row r="92" spans="36:42">
      <c r="AJ92" t="s">
        <v>266</v>
      </c>
      <c r="AK92">
        <v>1</v>
      </c>
      <c r="AL92" t="s">
        <v>354</v>
      </c>
      <c r="AM92" t="s">
        <v>1728</v>
      </c>
      <c r="AN92" t="s">
        <v>1614</v>
      </c>
      <c r="AO92">
        <v>9442</v>
      </c>
      <c r="AP92" t="s">
        <v>271</v>
      </c>
    </row>
    <row r="93" spans="36:42">
      <c r="AJ93" t="s">
        <v>266</v>
      </c>
      <c r="AK93">
        <v>2</v>
      </c>
      <c r="AL93" t="s">
        <v>1821</v>
      </c>
      <c r="AM93" t="s">
        <v>1728</v>
      </c>
      <c r="AN93" t="s">
        <v>1614</v>
      </c>
      <c r="AO93">
        <v>7491</v>
      </c>
      <c r="AP93" t="s">
        <v>271</v>
      </c>
    </row>
    <row r="94" spans="36:42">
      <c r="AJ94" t="s">
        <v>266</v>
      </c>
      <c r="AK94">
        <v>3</v>
      </c>
      <c r="AL94" t="s">
        <v>1823</v>
      </c>
      <c r="AM94" t="s">
        <v>1728</v>
      </c>
      <c r="AN94" t="s">
        <v>1614</v>
      </c>
      <c r="AO94">
        <v>3981</v>
      </c>
      <c r="AP94" t="s">
        <v>271</v>
      </c>
    </row>
    <row r="95" spans="36:42">
      <c r="AJ95" t="s">
        <v>266</v>
      </c>
      <c r="AK95">
        <v>4</v>
      </c>
      <c r="AL95" t="s">
        <v>2809</v>
      </c>
      <c r="AM95" t="s">
        <v>2751</v>
      </c>
      <c r="AN95" t="s">
        <v>1614</v>
      </c>
      <c r="AO95">
        <v>3790</v>
      </c>
      <c r="AP95" t="s">
        <v>271</v>
      </c>
    </row>
    <row r="96" spans="36:42">
      <c r="AJ96" t="s">
        <v>266</v>
      </c>
      <c r="AK96">
        <v>5</v>
      </c>
      <c r="AL96" t="s">
        <v>2675</v>
      </c>
      <c r="AM96" t="s">
        <v>2629</v>
      </c>
      <c r="AN96" t="s">
        <v>1614</v>
      </c>
      <c r="AO96">
        <v>2463</v>
      </c>
      <c r="AP96" t="s">
        <v>271</v>
      </c>
    </row>
    <row r="97" spans="36:42">
      <c r="AJ97" t="s">
        <v>266</v>
      </c>
      <c r="AK97">
        <v>6</v>
      </c>
      <c r="AL97" t="s">
        <v>2687</v>
      </c>
      <c r="AM97" t="s">
        <v>2629</v>
      </c>
      <c r="AN97" t="s">
        <v>1614</v>
      </c>
      <c r="AO97">
        <v>2081</v>
      </c>
      <c r="AP97" t="s">
        <v>271</v>
      </c>
    </row>
    <row r="98" spans="36:42">
      <c r="AJ98" t="s">
        <v>266</v>
      </c>
      <c r="AK98">
        <v>7</v>
      </c>
      <c r="AL98" t="s">
        <v>2691</v>
      </c>
      <c r="AM98" t="s">
        <v>2629</v>
      </c>
      <c r="AN98" t="s">
        <v>1614</v>
      </c>
      <c r="AO98">
        <v>1586</v>
      </c>
      <c r="AP98" t="s">
        <v>271</v>
      </c>
    </row>
    <row r="99" spans="36:42">
      <c r="AJ99" t="s">
        <v>266</v>
      </c>
      <c r="AK99">
        <v>8</v>
      </c>
      <c r="AL99" t="s">
        <v>2829</v>
      </c>
      <c r="AM99" t="s">
        <v>2751</v>
      </c>
      <c r="AN99" t="s">
        <v>1614</v>
      </c>
      <c r="AO99">
        <v>1500</v>
      </c>
      <c r="AP99" t="s">
        <v>271</v>
      </c>
    </row>
    <row r="100" spans="36:42">
      <c r="AJ100" t="s">
        <v>266</v>
      </c>
      <c r="AK100">
        <v>9</v>
      </c>
      <c r="AL100" t="s">
        <v>2815</v>
      </c>
      <c r="AM100" t="s">
        <v>2751</v>
      </c>
      <c r="AN100" t="s">
        <v>1614</v>
      </c>
      <c r="AO100">
        <v>1400</v>
      </c>
      <c r="AP100" t="s">
        <v>271</v>
      </c>
    </row>
    <row r="101" spans="36:42">
      <c r="AJ101" t="s">
        <v>266</v>
      </c>
      <c r="AK101">
        <v>10</v>
      </c>
      <c r="AL101" t="s">
        <v>2841</v>
      </c>
      <c r="AM101" t="s">
        <v>2751</v>
      </c>
      <c r="AN101" t="s">
        <v>1614</v>
      </c>
      <c r="AO101">
        <v>1388</v>
      </c>
      <c r="AP101" t="s">
        <v>271</v>
      </c>
    </row>
    <row r="102" spans="36:42">
      <c r="AJ102" t="s">
        <v>272</v>
      </c>
      <c r="AK102">
        <v>1</v>
      </c>
      <c r="AL102" t="s">
        <v>2809</v>
      </c>
      <c r="AM102" t="s">
        <v>2751</v>
      </c>
      <c r="AN102" t="s">
        <v>1614</v>
      </c>
      <c r="AO102">
        <v>47</v>
      </c>
      <c r="AP102" t="s">
        <v>249</v>
      </c>
    </row>
    <row r="103" spans="36:42">
      <c r="AJ103" t="s">
        <v>272</v>
      </c>
      <c r="AK103">
        <v>2</v>
      </c>
      <c r="AL103" t="s">
        <v>2813</v>
      </c>
      <c r="AM103" t="s">
        <v>2751</v>
      </c>
      <c r="AN103" t="s">
        <v>1614</v>
      </c>
      <c r="AO103">
        <v>19</v>
      </c>
      <c r="AP103" t="s">
        <v>249</v>
      </c>
    </row>
    <row r="104" spans="36:42">
      <c r="AJ104" t="s">
        <v>272</v>
      </c>
      <c r="AK104">
        <v>3</v>
      </c>
      <c r="AL104" t="s">
        <v>2821</v>
      </c>
      <c r="AM104" t="s">
        <v>2751</v>
      </c>
      <c r="AN104" t="s">
        <v>1614</v>
      </c>
      <c r="AO104">
        <v>18</v>
      </c>
      <c r="AP104" t="s">
        <v>249</v>
      </c>
    </row>
    <row r="105" spans="36:42">
      <c r="AJ105" t="s">
        <v>272</v>
      </c>
      <c r="AK105">
        <v>4</v>
      </c>
      <c r="AL105" t="s">
        <v>1060</v>
      </c>
      <c r="AM105" t="s">
        <v>2751</v>
      </c>
      <c r="AN105" t="s">
        <v>1614</v>
      </c>
      <c r="AO105">
        <v>16</v>
      </c>
      <c r="AP105" t="s">
        <v>249</v>
      </c>
    </row>
    <row r="106" spans="36:42">
      <c r="AJ106" t="s">
        <v>272</v>
      </c>
      <c r="AK106">
        <v>5</v>
      </c>
      <c r="AL106" t="s">
        <v>2785</v>
      </c>
      <c r="AM106" t="s">
        <v>2751</v>
      </c>
      <c r="AN106" t="s">
        <v>1614</v>
      </c>
      <c r="AO106">
        <v>15.2</v>
      </c>
      <c r="AP106" t="s">
        <v>249</v>
      </c>
    </row>
    <row r="107" spans="36:42">
      <c r="AJ107" t="s">
        <v>272</v>
      </c>
      <c r="AK107">
        <v>6</v>
      </c>
      <c r="AL107" t="s">
        <v>2811</v>
      </c>
      <c r="AM107" t="s">
        <v>2751</v>
      </c>
      <c r="AN107" t="s">
        <v>1614</v>
      </c>
      <c r="AO107">
        <v>13.6</v>
      </c>
      <c r="AP107" t="s">
        <v>249</v>
      </c>
    </row>
    <row r="108" spans="36:42">
      <c r="AJ108" t="s">
        <v>272</v>
      </c>
      <c r="AK108">
        <v>7</v>
      </c>
      <c r="AL108" t="s">
        <v>2779</v>
      </c>
      <c r="AM108" t="s">
        <v>2751</v>
      </c>
      <c r="AN108" t="s">
        <v>1614</v>
      </c>
      <c r="AO108">
        <v>12.8</v>
      </c>
      <c r="AP108" t="s">
        <v>249</v>
      </c>
    </row>
    <row r="109" spans="36:42">
      <c r="AJ109" t="s">
        <v>272</v>
      </c>
      <c r="AK109">
        <v>8</v>
      </c>
      <c r="AL109" t="s">
        <v>2805</v>
      </c>
      <c r="AM109" t="s">
        <v>2751</v>
      </c>
      <c r="AN109" t="s">
        <v>1614</v>
      </c>
      <c r="AO109">
        <v>12</v>
      </c>
      <c r="AP109" t="s">
        <v>249</v>
      </c>
    </row>
    <row r="110" spans="36:42">
      <c r="AJ110" t="s">
        <v>272</v>
      </c>
      <c r="AK110">
        <v>9</v>
      </c>
      <c r="AL110" t="s">
        <v>2823</v>
      </c>
      <c r="AM110" t="s">
        <v>2751</v>
      </c>
      <c r="AN110" t="s">
        <v>1614</v>
      </c>
      <c r="AO110">
        <v>12</v>
      </c>
      <c r="AP110" t="s">
        <v>249</v>
      </c>
    </row>
    <row r="111" spans="36:42">
      <c r="AJ111" t="s">
        <v>272</v>
      </c>
      <c r="AK111">
        <v>10</v>
      </c>
      <c r="AL111" t="s">
        <v>2843</v>
      </c>
      <c r="AM111" t="s">
        <v>2751</v>
      </c>
      <c r="AN111" t="s">
        <v>1614</v>
      </c>
      <c r="AO111">
        <v>12</v>
      </c>
      <c r="AP111" t="s">
        <v>249</v>
      </c>
    </row>
    <row r="112" spans="36:42">
      <c r="AJ112" t="s">
        <v>275</v>
      </c>
      <c r="AK112">
        <v>1</v>
      </c>
      <c r="AL112" t="s">
        <v>2243</v>
      </c>
      <c r="AM112" t="s">
        <v>2225</v>
      </c>
      <c r="AN112" t="s">
        <v>1614</v>
      </c>
      <c r="AO112">
        <v>93.6</v>
      </c>
      <c r="AP112" t="s">
        <v>230</v>
      </c>
    </row>
    <row r="113" spans="36:42">
      <c r="AJ113" t="s">
        <v>275</v>
      </c>
      <c r="AK113">
        <v>2</v>
      </c>
      <c r="AL113" t="s">
        <v>2229</v>
      </c>
      <c r="AM113" t="s">
        <v>2225</v>
      </c>
      <c r="AN113" t="s">
        <v>1614</v>
      </c>
      <c r="AO113">
        <v>83</v>
      </c>
      <c r="AP113" t="s">
        <v>230</v>
      </c>
    </row>
    <row r="114" spans="36:42">
      <c r="AJ114" t="s">
        <v>275</v>
      </c>
      <c r="AK114">
        <v>3</v>
      </c>
      <c r="AL114" t="s">
        <v>2271</v>
      </c>
      <c r="AM114" t="s">
        <v>2225</v>
      </c>
      <c r="AN114" t="s">
        <v>1614</v>
      </c>
      <c r="AO114">
        <v>58</v>
      </c>
      <c r="AP114" t="s">
        <v>230</v>
      </c>
    </row>
    <row r="115" spans="36:42">
      <c r="AJ115" t="s">
        <v>275</v>
      </c>
      <c r="AK115">
        <v>4</v>
      </c>
      <c r="AL115" t="s">
        <v>2235</v>
      </c>
      <c r="AM115" t="s">
        <v>2225</v>
      </c>
      <c r="AN115" t="s">
        <v>1614</v>
      </c>
      <c r="AO115">
        <v>47.7</v>
      </c>
      <c r="AP115" t="s">
        <v>230</v>
      </c>
    </row>
    <row r="116" spans="36:42">
      <c r="AJ116" t="s">
        <v>275</v>
      </c>
      <c r="AK116">
        <v>5</v>
      </c>
      <c r="AL116" t="s">
        <v>2809</v>
      </c>
      <c r="AM116" t="s">
        <v>2751</v>
      </c>
      <c r="AN116" t="s">
        <v>1614</v>
      </c>
      <c r="AO116">
        <v>43</v>
      </c>
      <c r="AP116" t="s">
        <v>230</v>
      </c>
    </row>
    <row r="117" spans="36:42">
      <c r="AJ117" t="s">
        <v>275</v>
      </c>
      <c r="AK117">
        <v>6</v>
      </c>
      <c r="AL117" t="s">
        <v>2231</v>
      </c>
      <c r="AM117" t="s">
        <v>2225</v>
      </c>
      <c r="AN117" t="s">
        <v>1614</v>
      </c>
      <c r="AO117">
        <v>41.1</v>
      </c>
      <c r="AP117" t="s">
        <v>230</v>
      </c>
    </row>
    <row r="118" spans="36:42">
      <c r="AJ118" t="s">
        <v>275</v>
      </c>
      <c r="AK118">
        <v>7</v>
      </c>
      <c r="AL118" t="s">
        <v>2799</v>
      </c>
      <c r="AM118" t="s">
        <v>2751</v>
      </c>
      <c r="AN118" t="s">
        <v>1614</v>
      </c>
      <c r="AO118">
        <v>37.200000000000003</v>
      </c>
      <c r="AP118" t="s">
        <v>230</v>
      </c>
    </row>
    <row r="119" spans="36:42">
      <c r="AJ119" t="s">
        <v>275</v>
      </c>
      <c r="AK119">
        <v>8</v>
      </c>
      <c r="AL119" t="s">
        <v>1060</v>
      </c>
      <c r="AM119" t="s">
        <v>2751</v>
      </c>
      <c r="AN119" t="s">
        <v>1614</v>
      </c>
      <c r="AO119">
        <v>32</v>
      </c>
      <c r="AP119" t="s">
        <v>230</v>
      </c>
    </row>
    <row r="120" spans="36:42">
      <c r="AJ120" t="s">
        <v>275</v>
      </c>
      <c r="AK120">
        <v>9</v>
      </c>
      <c r="AL120" t="s">
        <v>2791</v>
      </c>
      <c r="AM120" t="s">
        <v>2751</v>
      </c>
      <c r="AN120" t="s">
        <v>1614</v>
      </c>
      <c r="AO120">
        <v>30.8</v>
      </c>
      <c r="AP120" t="s">
        <v>230</v>
      </c>
    </row>
    <row r="121" spans="36:42">
      <c r="AJ121" t="s">
        <v>275</v>
      </c>
      <c r="AK121">
        <v>10</v>
      </c>
      <c r="AL121" t="s">
        <v>2687</v>
      </c>
      <c r="AM121" t="s">
        <v>2629</v>
      </c>
      <c r="AN121" t="s">
        <v>1614</v>
      </c>
      <c r="AO121">
        <v>29.8</v>
      </c>
      <c r="AP121" t="s">
        <v>230</v>
      </c>
    </row>
    <row r="122" spans="36:42">
      <c r="AJ122" t="s">
        <v>278</v>
      </c>
      <c r="AK122">
        <v>1</v>
      </c>
      <c r="AL122" t="s">
        <v>2681</v>
      </c>
      <c r="AM122" t="s">
        <v>2629</v>
      </c>
      <c r="AN122" t="s">
        <v>1614</v>
      </c>
      <c r="AO122">
        <v>1859.5</v>
      </c>
      <c r="AP122" t="s">
        <v>249</v>
      </c>
    </row>
    <row r="123" spans="36:42">
      <c r="AJ123" t="s">
        <v>278</v>
      </c>
      <c r="AK123">
        <v>2</v>
      </c>
      <c r="AL123" t="s">
        <v>2633</v>
      </c>
      <c r="AM123" t="s">
        <v>2629</v>
      </c>
      <c r="AN123" t="s">
        <v>1614</v>
      </c>
      <c r="AO123">
        <v>1714.5</v>
      </c>
      <c r="AP123" t="s">
        <v>249</v>
      </c>
    </row>
    <row r="124" spans="36:42">
      <c r="AJ124" t="s">
        <v>278</v>
      </c>
      <c r="AK124">
        <v>3</v>
      </c>
      <c r="AL124" t="s">
        <v>2705</v>
      </c>
      <c r="AM124" t="s">
        <v>2629</v>
      </c>
      <c r="AN124" t="s">
        <v>1614</v>
      </c>
      <c r="AO124">
        <v>1714.5</v>
      </c>
      <c r="AP124" t="s">
        <v>249</v>
      </c>
    </row>
    <row r="125" spans="36:42">
      <c r="AJ125" t="s">
        <v>278</v>
      </c>
      <c r="AK125">
        <v>4</v>
      </c>
      <c r="AL125" t="s">
        <v>2673</v>
      </c>
      <c r="AM125" t="s">
        <v>2629</v>
      </c>
      <c r="AN125" t="s">
        <v>1614</v>
      </c>
      <c r="AO125">
        <v>621.70000000000005</v>
      </c>
      <c r="AP125" t="s">
        <v>249</v>
      </c>
    </row>
    <row r="126" spans="36:42">
      <c r="AJ126" t="s">
        <v>278</v>
      </c>
      <c r="AK126">
        <v>5</v>
      </c>
      <c r="AL126" t="s">
        <v>356</v>
      </c>
      <c r="AM126" t="s">
        <v>2276</v>
      </c>
      <c r="AN126" t="s">
        <v>1614</v>
      </c>
      <c r="AO126">
        <v>493.6</v>
      </c>
      <c r="AP126" t="s">
        <v>249</v>
      </c>
    </row>
    <row r="127" spans="36:42">
      <c r="AJ127" t="s">
        <v>278</v>
      </c>
      <c r="AK127">
        <v>6</v>
      </c>
      <c r="AL127" t="s">
        <v>2279</v>
      </c>
      <c r="AM127" t="s">
        <v>2276</v>
      </c>
      <c r="AN127" t="s">
        <v>1614</v>
      </c>
      <c r="AO127">
        <v>482.9</v>
      </c>
      <c r="AP127" t="s">
        <v>249</v>
      </c>
    </row>
    <row r="128" spans="36:42">
      <c r="AJ128" t="s">
        <v>278</v>
      </c>
      <c r="AK128">
        <v>7</v>
      </c>
      <c r="AL128" t="s">
        <v>2631</v>
      </c>
      <c r="AM128" t="s">
        <v>2629</v>
      </c>
      <c r="AN128" t="s">
        <v>1614</v>
      </c>
      <c r="AO128">
        <v>414.8</v>
      </c>
      <c r="AP128" t="s">
        <v>249</v>
      </c>
    </row>
    <row r="129" spans="36:42">
      <c r="AJ129" t="s">
        <v>278</v>
      </c>
      <c r="AK129">
        <v>8</v>
      </c>
      <c r="AL129" t="s">
        <v>2317</v>
      </c>
      <c r="AM129" t="s">
        <v>2276</v>
      </c>
      <c r="AN129" t="s">
        <v>1614</v>
      </c>
      <c r="AO129">
        <v>193.5</v>
      </c>
      <c r="AP129" t="s">
        <v>249</v>
      </c>
    </row>
    <row r="130" spans="36:42">
      <c r="AJ130" t="s">
        <v>278</v>
      </c>
      <c r="AK130">
        <v>9</v>
      </c>
      <c r="AL130" t="s">
        <v>2811</v>
      </c>
      <c r="AM130" t="s">
        <v>2751</v>
      </c>
      <c r="AN130" t="s">
        <v>1614</v>
      </c>
      <c r="AO130">
        <v>168</v>
      </c>
      <c r="AP130" t="s">
        <v>249</v>
      </c>
    </row>
    <row r="131" spans="36:42">
      <c r="AJ131" t="s">
        <v>278</v>
      </c>
      <c r="AK131">
        <v>10</v>
      </c>
      <c r="AL131" t="s">
        <v>2679</v>
      </c>
      <c r="AM131" t="s">
        <v>2629</v>
      </c>
      <c r="AN131" t="s">
        <v>1614</v>
      </c>
      <c r="AO131">
        <v>164</v>
      </c>
      <c r="AP131" t="s">
        <v>249</v>
      </c>
    </row>
    <row r="132" spans="36:42">
      <c r="AJ132" t="s">
        <v>280</v>
      </c>
      <c r="AK132">
        <v>1</v>
      </c>
      <c r="AL132" t="s">
        <v>2547</v>
      </c>
      <c r="AM132" t="s">
        <v>2548</v>
      </c>
      <c r="AN132" t="s">
        <v>1614</v>
      </c>
      <c r="AO132">
        <v>658</v>
      </c>
      <c r="AP132" t="s">
        <v>230</v>
      </c>
    </row>
    <row r="133" spans="36:42">
      <c r="AJ133" t="s">
        <v>280</v>
      </c>
      <c r="AK133">
        <v>2</v>
      </c>
      <c r="AL133" t="s">
        <v>2809</v>
      </c>
      <c r="AM133" t="s">
        <v>2751</v>
      </c>
      <c r="AN133" t="s">
        <v>1614</v>
      </c>
      <c r="AO133">
        <v>379</v>
      </c>
      <c r="AP133" t="s">
        <v>230</v>
      </c>
    </row>
    <row r="134" spans="36:42">
      <c r="AJ134" t="s">
        <v>280</v>
      </c>
      <c r="AK134">
        <v>3</v>
      </c>
      <c r="AL134" t="s">
        <v>2841</v>
      </c>
      <c r="AM134" t="s">
        <v>2751</v>
      </c>
      <c r="AN134" t="s">
        <v>1614</v>
      </c>
      <c r="AO134">
        <v>240</v>
      </c>
      <c r="AP134" t="s">
        <v>230</v>
      </c>
    </row>
    <row r="135" spans="36:42">
      <c r="AJ135" t="s">
        <v>280</v>
      </c>
      <c r="AK135">
        <v>4</v>
      </c>
      <c r="AL135" t="s">
        <v>2779</v>
      </c>
      <c r="AM135" t="s">
        <v>2751</v>
      </c>
      <c r="AN135" t="s">
        <v>1614</v>
      </c>
      <c r="AO135">
        <v>234</v>
      </c>
      <c r="AP135" t="s">
        <v>230</v>
      </c>
    </row>
    <row r="136" spans="36:42">
      <c r="AJ136" t="s">
        <v>280</v>
      </c>
      <c r="AK136">
        <v>5</v>
      </c>
      <c r="AL136" t="s">
        <v>2835</v>
      </c>
      <c r="AM136" t="s">
        <v>2751</v>
      </c>
      <c r="AN136" t="s">
        <v>1614</v>
      </c>
      <c r="AO136">
        <v>229</v>
      </c>
      <c r="AP136" t="s">
        <v>230</v>
      </c>
    </row>
    <row r="137" spans="36:42">
      <c r="AJ137" t="s">
        <v>280</v>
      </c>
      <c r="AK137">
        <v>6</v>
      </c>
      <c r="AL137" t="s">
        <v>2374</v>
      </c>
      <c r="AM137" t="s">
        <v>2338</v>
      </c>
      <c r="AN137" t="s">
        <v>1614</v>
      </c>
      <c r="AO137">
        <v>228.3</v>
      </c>
      <c r="AP137" t="s">
        <v>230</v>
      </c>
    </row>
    <row r="138" spans="36:42">
      <c r="AJ138" t="s">
        <v>280</v>
      </c>
      <c r="AK138">
        <v>7</v>
      </c>
      <c r="AL138" t="s">
        <v>2819</v>
      </c>
      <c r="AM138" t="s">
        <v>2751</v>
      </c>
      <c r="AN138" t="s">
        <v>1614</v>
      </c>
      <c r="AO138">
        <v>212</v>
      </c>
      <c r="AP138" t="s">
        <v>230</v>
      </c>
    </row>
    <row r="139" spans="36:42">
      <c r="AJ139" t="s">
        <v>280</v>
      </c>
      <c r="AK139">
        <v>8</v>
      </c>
      <c r="AL139" t="s">
        <v>2777</v>
      </c>
      <c r="AM139" t="s">
        <v>2751</v>
      </c>
      <c r="AN139" t="s">
        <v>1614</v>
      </c>
      <c r="AO139">
        <v>194</v>
      </c>
      <c r="AP139" t="s">
        <v>230</v>
      </c>
    </row>
    <row r="140" spans="36:42">
      <c r="AJ140" t="s">
        <v>280</v>
      </c>
      <c r="AK140">
        <v>9</v>
      </c>
      <c r="AL140" t="s">
        <v>2817</v>
      </c>
      <c r="AM140" t="s">
        <v>2751</v>
      </c>
      <c r="AN140" t="s">
        <v>1614</v>
      </c>
      <c r="AO140">
        <v>192</v>
      </c>
      <c r="AP140" t="s">
        <v>230</v>
      </c>
    </row>
    <row r="141" spans="36:42">
      <c r="AJ141" t="s">
        <v>280</v>
      </c>
      <c r="AK141">
        <v>10</v>
      </c>
      <c r="AL141" t="s">
        <v>2839</v>
      </c>
      <c r="AM141" t="s">
        <v>2751</v>
      </c>
      <c r="AN141" t="s">
        <v>1614</v>
      </c>
      <c r="AO141">
        <v>187</v>
      </c>
      <c r="AP141" t="s">
        <v>230</v>
      </c>
    </row>
    <row r="142" spans="36:42">
      <c r="AJ142" t="s">
        <v>285</v>
      </c>
      <c r="AK142">
        <v>1</v>
      </c>
      <c r="AL142" t="s">
        <v>2841</v>
      </c>
      <c r="AM142" t="s">
        <v>2751</v>
      </c>
      <c r="AN142" t="s">
        <v>1614</v>
      </c>
      <c r="AO142">
        <v>5.0999999999999996</v>
      </c>
      <c r="AP142" t="s">
        <v>230</v>
      </c>
    </row>
    <row r="143" spans="36:42">
      <c r="AJ143" t="s">
        <v>285</v>
      </c>
      <c r="AK143">
        <v>2</v>
      </c>
      <c r="AL143" t="s">
        <v>2779</v>
      </c>
      <c r="AM143" t="s">
        <v>2751</v>
      </c>
      <c r="AN143" t="s">
        <v>1614</v>
      </c>
      <c r="AO143">
        <v>4.3</v>
      </c>
      <c r="AP143" t="s">
        <v>230</v>
      </c>
    </row>
    <row r="144" spans="36:42">
      <c r="AJ144" t="s">
        <v>285</v>
      </c>
      <c r="AK144">
        <v>3</v>
      </c>
      <c r="AL144" t="s">
        <v>2763</v>
      </c>
      <c r="AM144" t="s">
        <v>2751</v>
      </c>
      <c r="AN144" t="s">
        <v>1614</v>
      </c>
      <c r="AO144">
        <v>4</v>
      </c>
      <c r="AP144" t="s">
        <v>230</v>
      </c>
    </row>
    <row r="145" spans="36:42">
      <c r="AJ145" t="s">
        <v>285</v>
      </c>
      <c r="AK145">
        <v>4</v>
      </c>
      <c r="AL145" t="s">
        <v>2819</v>
      </c>
      <c r="AM145" t="s">
        <v>2751</v>
      </c>
      <c r="AN145" t="s">
        <v>1614</v>
      </c>
      <c r="AO145">
        <v>3.9</v>
      </c>
      <c r="AP145" t="s">
        <v>230</v>
      </c>
    </row>
    <row r="146" spans="36:42">
      <c r="AJ146" t="s">
        <v>285</v>
      </c>
      <c r="AK146">
        <v>5</v>
      </c>
      <c r="AL146" t="s">
        <v>2773</v>
      </c>
      <c r="AM146" t="s">
        <v>2751</v>
      </c>
      <c r="AN146" t="s">
        <v>1614</v>
      </c>
      <c r="AO146">
        <v>3.3</v>
      </c>
      <c r="AP146" t="s">
        <v>230</v>
      </c>
    </row>
    <row r="147" spans="36:42">
      <c r="AJ147" t="s">
        <v>285</v>
      </c>
      <c r="AK147">
        <v>6</v>
      </c>
      <c r="AL147" t="s">
        <v>2777</v>
      </c>
      <c r="AM147" t="s">
        <v>2751</v>
      </c>
      <c r="AN147" t="s">
        <v>1614</v>
      </c>
      <c r="AO147">
        <v>2.8</v>
      </c>
      <c r="AP147" t="s">
        <v>230</v>
      </c>
    </row>
    <row r="148" spans="36:42">
      <c r="AJ148" t="s">
        <v>285</v>
      </c>
      <c r="AK148">
        <v>7</v>
      </c>
      <c r="AL148" t="s">
        <v>2839</v>
      </c>
      <c r="AM148" t="s">
        <v>2751</v>
      </c>
      <c r="AN148" t="s">
        <v>1614</v>
      </c>
      <c r="AO148">
        <v>2.8</v>
      </c>
      <c r="AP148" t="s">
        <v>230</v>
      </c>
    </row>
    <row r="149" spans="36:42">
      <c r="AJ149" t="s">
        <v>285</v>
      </c>
      <c r="AK149">
        <v>8</v>
      </c>
      <c r="AL149" t="s">
        <v>2815</v>
      </c>
      <c r="AM149" t="s">
        <v>2751</v>
      </c>
      <c r="AN149" t="s">
        <v>1614</v>
      </c>
      <c r="AO149">
        <v>2.7</v>
      </c>
      <c r="AP149" t="s">
        <v>230</v>
      </c>
    </row>
    <row r="150" spans="36:42">
      <c r="AJ150" t="s">
        <v>285</v>
      </c>
      <c r="AK150">
        <v>9</v>
      </c>
      <c r="AL150" t="s">
        <v>2817</v>
      </c>
      <c r="AM150" t="s">
        <v>2751</v>
      </c>
      <c r="AN150" t="s">
        <v>1614</v>
      </c>
      <c r="AO150">
        <v>2.7</v>
      </c>
      <c r="AP150" t="s">
        <v>230</v>
      </c>
    </row>
    <row r="151" spans="36:42">
      <c r="AJ151" t="s">
        <v>285</v>
      </c>
      <c r="AK151">
        <v>10</v>
      </c>
      <c r="AL151" t="s">
        <v>2829</v>
      </c>
      <c r="AM151" t="s">
        <v>2751</v>
      </c>
      <c r="AN151" t="s">
        <v>1614</v>
      </c>
      <c r="AO151">
        <v>2.2999999999999998</v>
      </c>
      <c r="AP151" t="s">
        <v>230</v>
      </c>
    </row>
    <row r="152" spans="36:42">
      <c r="AJ152" t="s">
        <v>289</v>
      </c>
      <c r="AK152">
        <v>1</v>
      </c>
      <c r="AL152" t="s">
        <v>2809</v>
      </c>
      <c r="AM152" t="s">
        <v>2751</v>
      </c>
      <c r="AN152" t="s">
        <v>1614</v>
      </c>
      <c r="AO152">
        <v>4.3</v>
      </c>
      <c r="AP152" t="s">
        <v>230</v>
      </c>
    </row>
    <row r="153" spans="36:42">
      <c r="AJ153" t="s">
        <v>289</v>
      </c>
      <c r="AK153">
        <v>2</v>
      </c>
      <c r="AL153" t="s">
        <v>1807</v>
      </c>
      <c r="AM153" t="s">
        <v>1728</v>
      </c>
      <c r="AN153" t="s">
        <v>1614</v>
      </c>
      <c r="AO153">
        <v>4.0999999999999996</v>
      </c>
      <c r="AP153" t="s">
        <v>230</v>
      </c>
    </row>
    <row r="154" spans="36:42">
      <c r="AJ154" t="s">
        <v>289</v>
      </c>
      <c r="AK154">
        <v>3</v>
      </c>
      <c r="AL154" t="s">
        <v>1821</v>
      </c>
      <c r="AM154" t="s">
        <v>1728</v>
      </c>
      <c r="AN154" t="s">
        <v>1614</v>
      </c>
      <c r="AO154">
        <v>4</v>
      </c>
      <c r="AP154" t="s">
        <v>230</v>
      </c>
    </row>
    <row r="155" spans="36:42">
      <c r="AJ155" t="s">
        <v>289</v>
      </c>
      <c r="AK155">
        <v>4</v>
      </c>
      <c r="AL155" t="s">
        <v>2801</v>
      </c>
      <c r="AM155" t="s">
        <v>2751</v>
      </c>
      <c r="AN155" t="s">
        <v>1614</v>
      </c>
      <c r="AO155">
        <v>3.9</v>
      </c>
      <c r="AP155" t="s">
        <v>230</v>
      </c>
    </row>
    <row r="156" spans="36:42">
      <c r="AJ156" t="s">
        <v>289</v>
      </c>
      <c r="AK156">
        <v>5</v>
      </c>
      <c r="AL156" t="s">
        <v>354</v>
      </c>
      <c r="AM156" t="s">
        <v>1728</v>
      </c>
      <c r="AN156" t="s">
        <v>1614</v>
      </c>
      <c r="AO156">
        <v>3.4</v>
      </c>
      <c r="AP156" t="s">
        <v>230</v>
      </c>
    </row>
    <row r="157" spans="36:42">
      <c r="AJ157" t="s">
        <v>289</v>
      </c>
      <c r="AK157">
        <v>6</v>
      </c>
      <c r="AL157" t="s">
        <v>2779</v>
      </c>
      <c r="AM157" t="s">
        <v>2751</v>
      </c>
      <c r="AN157" t="s">
        <v>1614</v>
      </c>
      <c r="AO157">
        <v>3</v>
      </c>
      <c r="AP157" t="s">
        <v>230</v>
      </c>
    </row>
    <row r="158" spans="36:42">
      <c r="AJ158" t="s">
        <v>289</v>
      </c>
      <c r="AK158">
        <v>7</v>
      </c>
      <c r="AL158" t="s">
        <v>2811</v>
      </c>
      <c r="AM158" t="s">
        <v>2751</v>
      </c>
      <c r="AN158" t="s">
        <v>1614</v>
      </c>
      <c r="AO158">
        <v>2.8</v>
      </c>
      <c r="AP158" t="s">
        <v>230</v>
      </c>
    </row>
    <row r="159" spans="36:42">
      <c r="AJ159" t="s">
        <v>289</v>
      </c>
      <c r="AK159">
        <v>8</v>
      </c>
      <c r="AL159" t="s">
        <v>2813</v>
      </c>
      <c r="AM159" t="s">
        <v>2751</v>
      </c>
      <c r="AN159" t="s">
        <v>1614</v>
      </c>
      <c r="AO159">
        <v>2.8</v>
      </c>
      <c r="AP159" t="s">
        <v>230</v>
      </c>
    </row>
    <row r="160" spans="36:42">
      <c r="AJ160" t="s">
        <v>289</v>
      </c>
      <c r="AK160">
        <v>9</v>
      </c>
      <c r="AL160" t="s">
        <v>2819</v>
      </c>
      <c r="AM160" t="s">
        <v>2751</v>
      </c>
      <c r="AN160" t="s">
        <v>1614</v>
      </c>
      <c r="AO160">
        <v>2.6</v>
      </c>
      <c r="AP160" t="s">
        <v>230</v>
      </c>
    </row>
    <row r="161" spans="36:42">
      <c r="AJ161" t="s">
        <v>289</v>
      </c>
      <c r="AK161">
        <v>10</v>
      </c>
      <c r="AL161" t="s">
        <v>2815</v>
      </c>
      <c r="AM161" t="s">
        <v>2751</v>
      </c>
      <c r="AN161" t="s">
        <v>1614</v>
      </c>
      <c r="AO161">
        <v>2.5</v>
      </c>
      <c r="AP161" t="s">
        <v>230</v>
      </c>
    </row>
    <row r="162" spans="36:42">
      <c r="AJ162" t="s">
        <v>292</v>
      </c>
      <c r="AK162">
        <v>1</v>
      </c>
      <c r="AL162" t="s">
        <v>2779</v>
      </c>
      <c r="AM162" t="s">
        <v>2751</v>
      </c>
      <c r="AN162" t="s">
        <v>1614</v>
      </c>
      <c r="AO162">
        <v>40</v>
      </c>
      <c r="AP162" t="s">
        <v>295</v>
      </c>
    </row>
    <row r="163" spans="36:42">
      <c r="AJ163" t="s">
        <v>292</v>
      </c>
      <c r="AK163">
        <v>2</v>
      </c>
      <c r="AL163" t="s">
        <v>2819</v>
      </c>
      <c r="AM163" t="s">
        <v>2751</v>
      </c>
      <c r="AN163" t="s">
        <v>1614</v>
      </c>
      <c r="AO163">
        <v>35</v>
      </c>
      <c r="AP163" t="s">
        <v>295</v>
      </c>
    </row>
    <row r="164" spans="36:42">
      <c r="AJ164" t="s">
        <v>292</v>
      </c>
      <c r="AK164">
        <v>3</v>
      </c>
      <c r="AL164" t="s">
        <v>2835</v>
      </c>
      <c r="AM164" t="s">
        <v>2751</v>
      </c>
      <c r="AN164" t="s">
        <v>1614</v>
      </c>
      <c r="AO164">
        <v>34.5</v>
      </c>
      <c r="AP164" t="s">
        <v>295</v>
      </c>
    </row>
    <row r="165" spans="36:42">
      <c r="AJ165" t="s">
        <v>292</v>
      </c>
      <c r="AK165">
        <v>4</v>
      </c>
      <c r="AL165" t="s">
        <v>2841</v>
      </c>
      <c r="AM165" t="s">
        <v>2751</v>
      </c>
      <c r="AN165" t="s">
        <v>1614</v>
      </c>
      <c r="AO165">
        <v>34.5</v>
      </c>
      <c r="AP165" t="s">
        <v>295</v>
      </c>
    </row>
    <row r="166" spans="36:42">
      <c r="AJ166" t="s">
        <v>292</v>
      </c>
      <c r="AK166">
        <v>5</v>
      </c>
      <c r="AL166" t="s">
        <v>2813</v>
      </c>
      <c r="AM166" t="s">
        <v>2751</v>
      </c>
      <c r="AN166" t="s">
        <v>1614</v>
      </c>
      <c r="AO166">
        <v>29</v>
      </c>
      <c r="AP166" t="s">
        <v>295</v>
      </c>
    </row>
    <row r="167" spans="36:42">
      <c r="AJ167" t="s">
        <v>292</v>
      </c>
      <c r="AK167">
        <v>6</v>
      </c>
      <c r="AL167" t="s">
        <v>2811</v>
      </c>
      <c r="AM167" t="s">
        <v>2751</v>
      </c>
      <c r="AN167" t="s">
        <v>1614</v>
      </c>
      <c r="AO167">
        <v>28</v>
      </c>
      <c r="AP167" t="s">
        <v>295</v>
      </c>
    </row>
    <row r="168" spans="36:42">
      <c r="AJ168" t="s">
        <v>292</v>
      </c>
      <c r="AK168">
        <v>7</v>
      </c>
      <c r="AL168" t="s">
        <v>2845</v>
      </c>
      <c r="AM168" t="s">
        <v>2751</v>
      </c>
      <c r="AN168" t="s">
        <v>1614</v>
      </c>
      <c r="AO168">
        <v>27.4</v>
      </c>
      <c r="AP168" t="s">
        <v>295</v>
      </c>
    </row>
    <row r="169" spans="36:42">
      <c r="AJ169" t="s">
        <v>292</v>
      </c>
      <c r="AK169">
        <v>8</v>
      </c>
      <c r="AL169" t="s">
        <v>2829</v>
      </c>
      <c r="AM169" t="s">
        <v>2751</v>
      </c>
      <c r="AN169" t="s">
        <v>1614</v>
      </c>
      <c r="AO169">
        <v>26</v>
      </c>
      <c r="AP169" t="s">
        <v>295</v>
      </c>
    </row>
    <row r="170" spans="36:42">
      <c r="AJ170" t="s">
        <v>292</v>
      </c>
      <c r="AK170">
        <v>9</v>
      </c>
      <c r="AL170" t="s">
        <v>2809</v>
      </c>
      <c r="AM170" t="s">
        <v>2751</v>
      </c>
      <c r="AN170" t="s">
        <v>1614</v>
      </c>
      <c r="AO170">
        <v>25</v>
      </c>
      <c r="AP170" t="s">
        <v>295</v>
      </c>
    </row>
    <row r="171" spans="36:42">
      <c r="AJ171" t="s">
        <v>292</v>
      </c>
      <c r="AK171">
        <v>10</v>
      </c>
      <c r="AL171" t="s">
        <v>2815</v>
      </c>
      <c r="AM171" t="s">
        <v>2751</v>
      </c>
      <c r="AN171" t="s">
        <v>1614</v>
      </c>
      <c r="AO171">
        <v>24</v>
      </c>
      <c r="AP171" t="s">
        <v>295</v>
      </c>
    </row>
    <row r="172" spans="36:42">
      <c r="AJ172" t="s">
        <v>296</v>
      </c>
      <c r="AK172">
        <v>1</v>
      </c>
      <c r="AL172" t="s">
        <v>2841</v>
      </c>
      <c r="AM172" t="s">
        <v>2751</v>
      </c>
      <c r="AN172" t="s">
        <v>1614</v>
      </c>
      <c r="AO172">
        <v>17.100000000000001</v>
      </c>
      <c r="AP172" t="s">
        <v>230</v>
      </c>
    </row>
    <row r="173" spans="36:42">
      <c r="AJ173" t="s">
        <v>296</v>
      </c>
      <c r="AK173">
        <v>2</v>
      </c>
      <c r="AL173" t="s">
        <v>2809</v>
      </c>
      <c r="AM173" t="s">
        <v>2751</v>
      </c>
      <c r="AN173" t="s">
        <v>1614</v>
      </c>
      <c r="AO173">
        <v>17</v>
      </c>
      <c r="AP173" t="s">
        <v>230</v>
      </c>
    </row>
    <row r="174" spans="36:42">
      <c r="AJ174" t="s">
        <v>296</v>
      </c>
      <c r="AK174">
        <v>3</v>
      </c>
      <c r="AL174" t="s">
        <v>2811</v>
      </c>
      <c r="AM174" t="s">
        <v>2751</v>
      </c>
      <c r="AN174" t="s">
        <v>1614</v>
      </c>
      <c r="AO174">
        <v>17</v>
      </c>
      <c r="AP174" t="s">
        <v>230</v>
      </c>
    </row>
    <row r="175" spans="36:42">
      <c r="AJ175" t="s">
        <v>296</v>
      </c>
      <c r="AK175">
        <v>4</v>
      </c>
      <c r="AL175" t="s">
        <v>2813</v>
      </c>
      <c r="AM175" t="s">
        <v>2751</v>
      </c>
      <c r="AN175" t="s">
        <v>1614</v>
      </c>
      <c r="AO175">
        <v>16.8</v>
      </c>
      <c r="AP175" t="s">
        <v>230</v>
      </c>
    </row>
    <row r="176" spans="36:42">
      <c r="AJ176" t="s">
        <v>296</v>
      </c>
      <c r="AK176">
        <v>5</v>
      </c>
      <c r="AL176" t="s">
        <v>2819</v>
      </c>
      <c r="AM176" t="s">
        <v>2751</v>
      </c>
      <c r="AN176" t="s">
        <v>1614</v>
      </c>
      <c r="AO176">
        <v>15.8</v>
      </c>
      <c r="AP176" t="s">
        <v>230</v>
      </c>
    </row>
    <row r="177" spans="36:42">
      <c r="AJ177" t="s">
        <v>296</v>
      </c>
      <c r="AK177">
        <v>6</v>
      </c>
      <c r="AL177" t="s">
        <v>2835</v>
      </c>
      <c r="AM177" t="s">
        <v>2751</v>
      </c>
      <c r="AN177" t="s">
        <v>1614</v>
      </c>
      <c r="AO177">
        <v>15.7</v>
      </c>
      <c r="AP177" t="s">
        <v>230</v>
      </c>
    </row>
    <row r="178" spans="36:42">
      <c r="AJ178" t="s">
        <v>296</v>
      </c>
      <c r="AK178">
        <v>7</v>
      </c>
      <c r="AL178" t="s">
        <v>2815</v>
      </c>
      <c r="AM178" t="s">
        <v>2751</v>
      </c>
      <c r="AN178" t="s">
        <v>1614</v>
      </c>
      <c r="AO178">
        <v>13</v>
      </c>
      <c r="AP178" t="s">
        <v>230</v>
      </c>
    </row>
    <row r="179" spans="36:42">
      <c r="AJ179" t="s">
        <v>296</v>
      </c>
      <c r="AK179">
        <v>8</v>
      </c>
      <c r="AL179" t="s">
        <v>2821</v>
      </c>
      <c r="AM179" t="s">
        <v>2751</v>
      </c>
      <c r="AN179" t="s">
        <v>1614</v>
      </c>
      <c r="AO179">
        <v>11.4</v>
      </c>
      <c r="AP179" t="s">
        <v>230</v>
      </c>
    </row>
    <row r="180" spans="36:42">
      <c r="AJ180" t="s">
        <v>296</v>
      </c>
      <c r="AK180">
        <v>9</v>
      </c>
      <c r="AL180" t="s">
        <v>2763</v>
      </c>
      <c r="AM180" t="s">
        <v>2751</v>
      </c>
      <c r="AN180" t="s">
        <v>1614</v>
      </c>
      <c r="AO180">
        <v>10.9</v>
      </c>
      <c r="AP180" t="s">
        <v>230</v>
      </c>
    </row>
    <row r="181" spans="36:42">
      <c r="AJ181" t="s">
        <v>296</v>
      </c>
      <c r="AK181">
        <v>10</v>
      </c>
      <c r="AL181" t="s">
        <v>2777</v>
      </c>
      <c r="AM181" t="s">
        <v>2751</v>
      </c>
      <c r="AN181" t="s">
        <v>1614</v>
      </c>
      <c r="AO181">
        <v>10</v>
      </c>
      <c r="AP181" t="s">
        <v>230</v>
      </c>
    </row>
    <row r="182" spans="36:42">
      <c r="AJ182" t="s">
        <v>299</v>
      </c>
      <c r="AK182">
        <v>1</v>
      </c>
      <c r="AL182" t="s">
        <v>2773</v>
      </c>
      <c r="AM182" t="s">
        <v>2751</v>
      </c>
      <c r="AN182" t="s">
        <v>1614</v>
      </c>
      <c r="AO182">
        <v>4.3</v>
      </c>
      <c r="AP182" t="s">
        <v>230</v>
      </c>
    </row>
    <row r="183" spans="36:42">
      <c r="AJ183" t="s">
        <v>299</v>
      </c>
      <c r="AK183">
        <v>2</v>
      </c>
      <c r="AL183" t="s">
        <v>2799</v>
      </c>
      <c r="AM183" t="s">
        <v>2751</v>
      </c>
      <c r="AN183" t="s">
        <v>1614</v>
      </c>
      <c r="AO183">
        <v>2.8</v>
      </c>
      <c r="AP183" t="s">
        <v>230</v>
      </c>
    </row>
    <row r="184" spans="36:42">
      <c r="AJ184" t="s">
        <v>299</v>
      </c>
      <c r="AK184">
        <v>3</v>
      </c>
      <c r="AL184" t="s">
        <v>2667</v>
      </c>
      <c r="AM184" t="s">
        <v>2629</v>
      </c>
      <c r="AN184" t="s">
        <v>1614</v>
      </c>
      <c r="AO184">
        <v>2.6</v>
      </c>
      <c r="AP184" t="s">
        <v>230</v>
      </c>
    </row>
    <row r="185" spans="36:42">
      <c r="AJ185" t="s">
        <v>299</v>
      </c>
      <c r="AK185">
        <v>4</v>
      </c>
      <c r="AL185" t="s">
        <v>2829</v>
      </c>
      <c r="AM185" t="s">
        <v>2751</v>
      </c>
      <c r="AN185" t="s">
        <v>1614</v>
      </c>
      <c r="AO185">
        <v>2.6</v>
      </c>
      <c r="AP185" t="s">
        <v>230</v>
      </c>
    </row>
    <row r="186" spans="36:42">
      <c r="AJ186" t="s">
        <v>299</v>
      </c>
      <c r="AK186">
        <v>5</v>
      </c>
      <c r="AL186" t="s">
        <v>2687</v>
      </c>
      <c r="AM186" t="s">
        <v>2629</v>
      </c>
      <c r="AN186" t="s">
        <v>1614</v>
      </c>
      <c r="AO186">
        <v>2.5</v>
      </c>
      <c r="AP186" t="s">
        <v>230</v>
      </c>
    </row>
    <row r="187" spans="36:42">
      <c r="AJ187" t="s">
        <v>299</v>
      </c>
      <c r="AK187">
        <v>6</v>
      </c>
      <c r="AL187" t="s">
        <v>2815</v>
      </c>
      <c r="AM187" t="s">
        <v>2751</v>
      </c>
      <c r="AN187" t="s">
        <v>1614</v>
      </c>
      <c r="AO187">
        <v>2.5</v>
      </c>
      <c r="AP187" t="s">
        <v>230</v>
      </c>
    </row>
    <row r="188" spans="36:42">
      <c r="AJ188" t="s">
        <v>299</v>
      </c>
      <c r="AK188">
        <v>7</v>
      </c>
      <c r="AL188" t="s">
        <v>2653</v>
      </c>
      <c r="AM188" t="s">
        <v>2629</v>
      </c>
      <c r="AN188" t="s">
        <v>1614</v>
      </c>
      <c r="AO188">
        <v>2.4</v>
      </c>
      <c r="AP188" t="s">
        <v>230</v>
      </c>
    </row>
    <row r="189" spans="36:42">
      <c r="AJ189" t="s">
        <v>299</v>
      </c>
      <c r="AK189">
        <v>8</v>
      </c>
      <c r="AL189" t="s">
        <v>2791</v>
      </c>
      <c r="AM189" t="s">
        <v>2751</v>
      </c>
      <c r="AN189" t="s">
        <v>1614</v>
      </c>
      <c r="AO189">
        <v>2.4</v>
      </c>
      <c r="AP189" t="s">
        <v>230</v>
      </c>
    </row>
    <row r="190" spans="36:42">
      <c r="AJ190" t="s">
        <v>299</v>
      </c>
      <c r="AK190">
        <v>9</v>
      </c>
      <c r="AL190" t="s">
        <v>2809</v>
      </c>
      <c r="AM190" t="s">
        <v>2751</v>
      </c>
      <c r="AN190" t="s">
        <v>1614</v>
      </c>
      <c r="AO190">
        <v>2.4</v>
      </c>
      <c r="AP190" t="s">
        <v>230</v>
      </c>
    </row>
    <row r="191" spans="36:42">
      <c r="AJ191" t="s">
        <v>299</v>
      </c>
      <c r="AK191">
        <v>10</v>
      </c>
      <c r="AL191" t="s">
        <v>2675</v>
      </c>
      <c r="AM191" t="s">
        <v>2629</v>
      </c>
      <c r="AN191" t="s">
        <v>1614</v>
      </c>
      <c r="AO191">
        <v>2.1</v>
      </c>
      <c r="AP191" t="s">
        <v>230</v>
      </c>
    </row>
    <row r="192" spans="36:42">
      <c r="AJ192" t="s">
        <v>305</v>
      </c>
      <c r="AK192">
        <v>1</v>
      </c>
      <c r="AL192" t="s">
        <v>2809</v>
      </c>
      <c r="AM192" t="s">
        <v>2751</v>
      </c>
      <c r="AN192" t="s">
        <v>1614</v>
      </c>
      <c r="AO192">
        <v>2990</v>
      </c>
      <c r="AP192" t="s">
        <v>308</v>
      </c>
    </row>
    <row r="193" spans="36:42">
      <c r="AJ193" t="s">
        <v>305</v>
      </c>
      <c r="AK193">
        <v>2</v>
      </c>
      <c r="AL193" t="s">
        <v>1060</v>
      </c>
      <c r="AM193" t="s">
        <v>2751</v>
      </c>
      <c r="AN193" t="s">
        <v>1614</v>
      </c>
      <c r="AO193">
        <v>800</v>
      </c>
      <c r="AP193" t="s">
        <v>308</v>
      </c>
    </row>
    <row r="194" spans="36:42">
      <c r="AJ194" t="s">
        <v>305</v>
      </c>
      <c r="AK194">
        <v>3</v>
      </c>
      <c r="AL194" t="s">
        <v>2829</v>
      </c>
      <c r="AM194" t="s">
        <v>2751</v>
      </c>
      <c r="AN194" t="s">
        <v>1614</v>
      </c>
      <c r="AO194">
        <v>773</v>
      </c>
      <c r="AP194" t="s">
        <v>308</v>
      </c>
    </row>
    <row r="195" spans="36:42">
      <c r="AJ195" t="s">
        <v>305</v>
      </c>
      <c r="AK195">
        <v>4</v>
      </c>
      <c r="AL195" t="s">
        <v>2779</v>
      </c>
      <c r="AM195" t="s">
        <v>2751</v>
      </c>
      <c r="AN195" t="s">
        <v>1614</v>
      </c>
      <c r="AO195">
        <v>648</v>
      </c>
      <c r="AP195" t="s">
        <v>308</v>
      </c>
    </row>
    <row r="196" spans="36:42">
      <c r="AJ196" t="s">
        <v>305</v>
      </c>
      <c r="AK196">
        <v>5</v>
      </c>
      <c r="AL196" t="s">
        <v>2791</v>
      </c>
      <c r="AM196" t="s">
        <v>2751</v>
      </c>
      <c r="AN196" t="s">
        <v>1614</v>
      </c>
      <c r="AO196">
        <v>631</v>
      </c>
      <c r="AP196" t="s">
        <v>308</v>
      </c>
    </row>
    <row r="197" spans="36:42">
      <c r="AJ197" t="s">
        <v>305</v>
      </c>
      <c r="AK197">
        <v>6</v>
      </c>
      <c r="AL197" t="s">
        <v>1823</v>
      </c>
      <c r="AM197" t="s">
        <v>1728</v>
      </c>
      <c r="AN197" t="s">
        <v>1614</v>
      </c>
      <c r="AO197">
        <v>578</v>
      </c>
      <c r="AP197" t="s">
        <v>308</v>
      </c>
    </row>
    <row r="198" spans="36:42">
      <c r="AJ198" t="s">
        <v>305</v>
      </c>
      <c r="AK198">
        <v>7</v>
      </c>
      <c r="AL198" t="s">
        <v>2835</v>
      </c>
      <c r="AM198" t="s">
        <v>2751</v>
      </c>
      <c r="AN198" t="s">
        <v>1614</v>
      </c>
      <c r="AO198">
        <v>558</v>
      </c>
      <c r="AP198" t="s">
        <v>308</v>
      </c>
    </row>
    <row r="199" spans="36:42">
      <c r="AJ199" t="s">
        <v>305</v>
      </c>
      <c r="AK199">
        <v>8</v>
      </c>
      <c r="AL199" t="s">
        <v>2841</v>
      </c>
      <c r="AM199" t="s">
        <v>2751</v>
      </c>
      <c r="AN199" t="s">
        <v>1614</v>
      </c>
      <c r="AO199">
        <v>558</v>
      </c>
      <c r="AP199" t="s">
        <v>308</v>
      </c>
    </row>
    <row r="200" spans="36:42">
      <c r="AJ200" t="s">
        <v>305</v>
      </c>
      <c r="AK200">
        <v>9</v>
      </c>
      <c r="AL200" t="s">
        <v>2001</v>
      </c>
      <c r="AM200" t="s">
        <v>1991</v>
      </c>
      <c r="AN200" t="s">
        <v>1614</v>
      </c>
      <c r="AO200">
        <v>557</v>
      </c>
      <c r="AP200" t="s">
        <v>308</v>
      </c>
    </row>
    <row r="201" spans="36:42">
      <c r="AJ201" t="s">
        <v>305</v>
      </c>
      <c r="AK201">
        <v>10</v>
      </c>
      <c r="AL201" t="s">
        <v>2819</v>
      </c>
      <c r="AM201" t="s">
        <v>2751</v>
      </c>
      <c r="AN201" t="s">
        <v>1614</v>
      </c>
      <c r="AO201">
        <v>554</v>
      </c>
      <c r="AP201" t="s">
        <v>308</v>
      </c>
    </row>
    <row r="202" spans="36:42">
      <c r="AJ202" t="s">
        <v>309</v>
      </c>
      <c r="AK202">
        <v>1</v>
      </c>
      <c r="AL202" t="s">
        <v>2793</v>
      </c>
      <c r="AM202" t="s">
        <v>2751</v>
      </c>
      <c r="AN202" t="s">
        <v>1614</v>
      </c>
      <c r="AO202">
        <v>400</v>
      </c>
      <c r="AP202" t="s">
        <v>249</v>
      </c>
    </row>
    <row r="203" spans="36:42">
      <c r="AJ203" t="s">
        <v>309</v>
      </c>
      <c r="AK203">
        <v>2</v>
      </c>
      <c r="AL203" t="s">
        <v>2795</v>
      </c>
      <c r="AM203" t="s">
        <v>2751</v>
      </c>
      <c r="AN203" t="s">
        <v>1614</v>
      </c>
      <c r="AO203">
        <v>400</v>
      </c>
      <c r="AP203" t="s">
        <v>249</v>
      </c>
    </row>
    <row r="204" spans="36:42">
      <c r="AJ204" t="s">
        <v>309</v>
      </c>
      <c r="AK204">
        <v>3</v>
      </c>
      <c r="AL204" t="s">
        <v>2797</v>
      </c>
      <c r="AM204" t="s">
        <v>2751</v>
      </c>
      <c r="AN204" t="s">
        <v>1614</v>
      </c>
      <c r="AO204">
        <v>400</v>
      </c>
      <c r="AP204" t="s">
        <v>249</v>
      </c>
    </row>
    <row r="205" spans="36:42">
      <c r="AJ205" t="s">
        <v>309</v>
      </c>
      <c r="AK205">
        <v>4</v>
      </c>
      <c r="AL205" t="s">
        <v>1821</v>
      </c>
      <c r="AM205" t="s">
        <v>1728</v>
      </c>
      <c r="AN205" t="s">
        <v>1614</v>
      </c>
      <c r="AO205">
        <v>76.5</v>
      </c>
      <c r="AP205" t="s">
        <v>249</v>
      </c>
    </row>
    <row r="206" spans="36:42">
      <c r="AJ206" t="s">
        <v>309</v>
      </c>
      <c r="AK206">
        <v>5</v>
      </c>
      <c r="AL206" t="s">
        <v>354</v>
      </c>
      <c r="AM206" t="s">
        <v>1728</v>
      </c>
      <c r="AN206" t="s">
        <v>1614</v>
      </c>
      <c r="AO206">
        <v>70.599999999999994</v>
      </c>
      <c r="AP206" t="s">
        <v>249</v>
      </c>
    </row>
    <row r="207" spans="36:42">
      <c r="AJ207" t="s">
        <v>309</v>
      </c>
      <c r="AK207">
        <v>6</v>
      </c>
      <c r="AL207" t="s">
        <v>2799</v>
      </c>
      <c r="AM207" t="s">
        <v>2751</v>
      </c>
      <c r="AN207" t="s">
        <v>1614</v>
      </c>
      <c r="AO207">
        <v>55</v>
      </c>
      <c r="AP207" t="s">
        <v>249</v>
      </c>
    </row>
    <row r="208" spans="36:42">
      <c r="AJ208" t="s">
        <v>309</v>
      </c>
      <c r="AK208">
        <v>7</v>
      </c>
      <c r="AL208" t="s">
        <v>2809</v>
      </c>
      <c r="AM208" t="s">
        <v>2751</v>
      </c>
      <c r="AN208" t="s">
        <v>1614</v>
      </c>
      <c r="AO208">
        <v>51.5</v>
      </c>
      <c r="AP208" t="s">
        <v>249</v>
      </c>
    </row>
    <row r="209" spans="36:42">
      <c r="AJ209" t="s">
        <v>309</v>
      </c>
      <c r="AK209">
        <v>8</v>
      </c>
      <c r="AL209" t="s">
        <v>1807</v>
      </c>
      <c r="AM209" t="s">
        <v>1728</v>
      </c>
      <c r="AN209" t="s">
        <v>1614</v>
      </c>
      <c r="AO209">
        <v>51.3</v>
      </c>
      <c r="AP209" t="s">
        <v>249</v>
      </c>
    </row>
    <row r="210" spans="36:42">
      <c r="AJ210" t="s">
        <v>309</v>
      </c>
      <c r="AK210">
        <v>9</v>
      </c>
      <c r="AL210" t="s">
        <v>1894</v>
      </c>
      <c r="AM210" t="s">
        <v>516</v>
      </c>
      <c r="AN210" t="s">
        <v>1614</v>
      </c>
      <c r="AO210">
        <v>49.4</v>
      </c>
      <c r="AP210" t="s">
        <v>249</v>
      </c>
    </row>
    <row r="211" spans="36:42">
      <c r="AJ211" t="s">
        <v>309</v>
      </c>
      <c r="AK211">
        <v>10</v>
      </c>
      <c r="AL211" t="s">
        <v>1823</v>
      </c>
      <c r="AM211" t="s">
        <v>1728</v>
      </c>
      <c r="AN211" t="s">
        <v>1614</v>
      </c>
      <c r="AO211">
        <v>16.899999999999999</v>
      </c>
      <c r="AP211" t="s">
        <v>249</v>
      </c>
    </row>
  </sheetData>
  <mergeCells count="1">
    <mergeCell ref="H1:AF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25"/>
  <sheetViews>
    <sheetView workbookViewId="0"/>
  </sheetViews>
  <sheetFormatPr baseColWidth="10" defaultColWidth="9" defaultRowHeight="14.25"/>
  <cols>
    <col min="1" max="4" width="24" style="30" customWidth="1"/>
    <col min="17" max="17" width="22.625" customWidth="1"/>
    <col min="18" max="18" width="15.25" customWidth="1"/>
  </cols>
  <sheetData>
    <row r="1" spans="1:18" ht="15" customHeight="1">
      <c r="A1" s="7" t="s">
        <v>212</v>
      </c>
      <c r="B1" s="7" t="s">
        <v>153</v>
      </c>
      <c r="C1" s="7" t="s">
        <v>156</v>
      </c>
      <c r="D1" s="7" t="s">
        <v>112</v>
      </c>
      <c r="E1" s="5"/>
      <c r="F1" s="244" t="s">
        <v>2925</v>
      </c>
      <c r="G1" s="152"/>
      <c r="H1" s="152"/>
      <c r="I1" s="152"/>
      <c r="J1" s="152"/>
      <c r="K1" s="152"/>
      <c r="L1" s="152"/>
      <c r="M1" s="152"/>
      <c r="N1" s="152"/>
      <c r="O1" s="152"/>
      <c r="P1" s="152"/>
      <c r="Q1" s="152"/>
      <c r="R1" s="152"/>
    </row>
    <row r="2" spans="1:18" ht="30" customHeight="1">
      <c r="A2" s="37" t="s">
        <v>2858</v>
      </c>
      <c r="B2" s="37">
        <f>CALCULOS_ENERGÍA!B2</f>
        <v>25</v>
      </c>
      <c r="C2" s="37" t="s">
        <v>85</v>
      </c>
      <c r="D2" s="37" t="s">
        <v>204</v>
      </c>
      <c r="F2" s="116" t="s">
        <v>2893</v>
      </c>
      <c r="G2" s="116" t="s">
        <v>462</v>
      </c>
      <c r="H2" s="116" t="s">
        <v>1363</v>
      </c>
      <c r="I2" s="116" t="s">
        <v>156</v>
      </c>
      <c r="J2" s="116" t="s">
        <v>381</v>
      </c>
      <c r="K2" s="116" t="s">
        <v>2926</v>
      </c>
      <c r="L2" s="116" t="s">
        <v>463</v>
      </c>
      <c r="M2" s="116" t="s">
        <v>384</v>
      </c>
      <c r="N2" s="116" t="s">
        <v>385</v>
      </c>
      <c r="O2" s="116" t="s">
        <v>2927</v>
      </c>
      <c r="P2" s="116" t="s">
        <v>348</v>
      </c>
      <c r="Q2" s="116" t="s">
        <v>113</v>
      </c>
      <c r="R2" s="116" t="s">
        <v>158</v>
      </c>
    </row>
    <row r="3" spans="1:18" ht="28.5" customHeight="1">
      <c r="A3" s="37" t="s">
        <v>39</v>
      </c>
      <c r="B3" s="37" t="str">
        <f>DATOS!B13</f>
        <v>Femenino</v>
      </c>
      <c r="C3" s="37"/>
      <c r="D3" s="37" t="s">
        <v>204</v>
      </c>
      <c r="F3" s="117" t="s">
        <v>225</v>
      </c>
      <c r="G3" s="117" t="s">
        <v>226</v>
      </c>
      <c r="H3" s="117">
        <f>IF(OR($F3="MIN-CL",$F3="VIT-B7"),"ND",INDEX(CALCULOS_NUTRIENTES!$J$15:$AF$15,1,MATCH($F3,CALCULOS_NUTRIENTES!$J$3:$AF$3,0)))</f>
        <v>32.17</v>
      </c>
      <c r="I3" s="117" t="str">
        <f>IFERROR(IFERROR(INDEX(NUTRIENTES!$F$8:$F$30,MATCH($F3,NUTRIENTES!$A$8:$A$30,0)),""),"")</f>
        <v>mg</v>
      </c>
      <c r="J3" s="117">
        <f>IFERROR(IFERROR(INDEX(DRI_BASE!$T$2:$T$469,MATCH(1,INDEX((DRI_BASE!$B$2:$B$469=$F3)*(DRI_BASE!$D$2:$D$469&lt;=DATOS!$F$9)*(DRI_BASE!$E$2:$E$469&gt;DATOS!$F$9)*(((DRI_BASE!$C$2:$C$469=DATOS!$B$13)+(DRI_BASE!$C$2:$C$469="Ambos"))&gt;0)*(DRI_BASE!$G$2:$G$469=DATOS!$B$16),0),0)),"ND"),"ND")</f>
        <v>18</v>
      </c>
      <c r="K3" s="117" t="str">
        <f>IFERROR(IFERROR(INDEX(DRI_BASE!$R$2:$R$469,MATCH(1,INDEX((DRI_BASE!$B$2:$B$469=$F3)*(DRI_BASE!$D$2:$D$469&lt;=DATOS!$F$9)*(DRI_BASE!$E$2:$E$469&gt;DATOS!$F$9)*(((DRI_BASE!$C$2:$C$469=DATOS!$B$13)+(DRI_BASE!$C$2:$C$469="Ambos"))&gt;0)*(DRI_BASE!$G$2:$G$469=DATOS!$B$16),0),0)),"ND"),"ND")</f>
        <v>RDA</v>
      </c>
      <c r="L3" s="118">
        <f t="shared" ref="L3:L25" si="0">IF(AND(ISNUMBER(H3),ISNUMBER(J3),J3&gt;0),H3/J3*100,"ND")</f>
        <v>178.72222222222223</v>
      </c>
      <c r="M3" s="117">
        <f>IFERROR(IFERROR(INDEX(DRI_BASE!$U$2:$U$469,MATCH(1,INDEX((DRI_BASE!$B$2:$B$469=$F3)*(DRI_BASE!$D$2:$D$469&lt;=DATOS!$F$9)*(DRI_BASE!$E$2:$E$469&gt;DATOS!$F$9)*(((DRI_BASE!$C$2:$C$469=DATOS!$B$13)+(DRI_BASE!$C$2:$C$469="Ambos"))&gt;0)*(DRI_BASE!$G$2:$G$469=DATOS!$B$16),0),0)),"ND"),"ND")</f>
        <v>45</v>
      </c>
      <c r="N3" s="117" t="str">
        <f>IFERROR(IFERROR(INDEX(DRI_BASE!$S$2:$S$469,MATCH(1,INDEX((DRI_BASE!$B$2:$B$469=$F3)*(DRI_BASE!$D$2:$D$469&lt;=DATOS!$F$9)*(DRI_BASE!$E$2:$E$469&gt;DATOS!$F$9)*(((DRI_BASE!$C$2:$C$469=DATOS!$B$13)+(DRI_BASE!$C$2:$C$469="Ambos"))&gt;0)*(DRI_BASE!$G$2:$G$469=DATOS!$B$16),0),0)),""),"")</f>
        <v>UL</v>
      </c>
      <c r="O3" s="118">
        <f t="shared" ref="O3:O25" si="1">IF(AND(ISNUMBER(H3),ISNUMBER(M3),M3&gt;0),H3/M3*100,"ND")</f>
        <v>71.488888888888894</v>
      </c>
      <c r="P3" s="117">
        <f>INDEX(CALCULOS_NUTRIENTES!$J$16:$AF$16,1,MATCH($F3,CALCULOS_NUTRIENTES!$J$3:$AF$3,0))</f>
        <v>2</v>
      </c>
      <c r="Q3" s="117" t="str">
        <f>IF(COUNTA(FUENTES_ALIMENTARIAS!$B$13:$B$22)=0,"SIN ALIMENTOS",IF(OR($F3="MIN-CL",$F3="VIT-B7"),"ND EN INTA",IF(NOT(ISNUMBER(H3)),"ND",IF(AND(ISNUMBER(M3),M3&gt;0,H3&gt;M3),IF(N3="CDRR","SOBRE CDRR","SOBRE UL")&amp;IF(P3&gt;0," · PARCIAL",""),IF(P3&gt;0,"PARCIAL · "&amp;P3&amp;" ND",IF($F3="MIN-NA","BAJO CDRR",IF(NOT(ISNUMBER(J3)),"SIN REFERENCIA",IF(L3&lt;90,"BAJO",IF(L3&lt;=110,"DENTRO RANGO","SOBRE REFERENCIA")))))))))</f>
        <v>PARCIAL · 2 ND</v>
      </c>
      <c r="R3" s="117" t="str">
        <f>IFERROR(IFERROR(INDEX(DRI_BASE!$M$2:$M$469,MATCH(1,INDEX((DRI_BASE!$B$2:$B$469=$F3)*(DRI_BASE!$D$2:$D$469&lt;=DATOS!$F$9)*(DRI_BASE!$E$2:$E$469&gt;DATOS!$F$9)*(((DRI_BASE!$C$2:$C$469=DATOS!$B$13)+(DRI_BASE!$C$2:$C$469="Ambos"))&gt;0)*(DRI_BASE!$G$2:$G$469=DATOS!$B$16),0),0)),"ND"),"ND")</f>
        <v>SRC-DRI-SUMMARY</v>
      </c>
    </row>
    <row r="4" spans="1:18" ht="28.5" customHeight="1">
      <c r="A4" s="37" t="s">
        <v>2862</v>
      </c>
      <c r="B4" s="37" t="str">
        <f>DATOS!B16</f>
        <v>Ninguno</v>
      </c>
      <c r="C4" s="37"/>
      <c r="D4" s="37" t="s">
        <v>204</v>
      </c>
      <c r="F4" s="117" t="s">
        <v>233</v>
      </c>
      <c r="G4" s="117" t="s">
        <v>234</v>
      </c>
      <c r="H4" s="117">
        <f>IF(OR($F4="MIN-CL",$F4="VIT-B7"),"ND",INDEX(CALCULOS_NUTRIENTES!$J$15:$AF$15,1,MATCH($F4,CALCULOS_NUTRIENTES!$J$3:$AF$3,0)))</f>
        <v>13.370000000000001</v>
      </c>
      <c r="I4" s="117" t="str">
        <f>IFERROR(IFERROR(INDEX(NUTRIENTES!$F$8:$F$30,MATCH($F4,NUTRIENTES!$A$8:$A$30,0)),""),"")</f>
        <v>mg</v>
      </c>
      <c r="J4" s="117">
        <f>IFERROR(IFERROR(INDEX(DRI_BASE!$T$2:$T$469,MATCH(1,INDEX((DRI_BASE!$B$2:$B$469=$F4)*(DRI_BASE!$D$2:$D$469&lt;=DATOS!$F$9)*(DRI_BASE!$E$2:$E$469&gt;DATOS!$F$9)*(((DRI_BASE!$C$2:$C$469=DATOS!$B$13)+(DRI_BASE!$C$2:$C$469="Ambos"))&gt;0)*(DRI_BASE!$G$2:$G$469=DATOS!$B$16),0),0)),"ND"),"ND")</f>
        <v>8</v>
      </c>
      <c r="K4" s="117" t="str">
        <f>IFERROR(IFERROR(INDEX(DRI_BASE!$R$2:$R$469,MATCH(1,INDEX((DRI_BASE!$B$2:$B$469=$F4)*(DRI_BASE!$D$2:$D$469&lt;=DATOS!$F$9)*(DRI_BASE!$E$2:$E$469&gt;DATOS!$F$9)*(((DRI_BASE!$C$2:$C$469=DATOS!$B$13)+(DRI_BASE!$C$2:$C$469="Ambos"))&gt;0)*(DRI_BASE!$G$2:$G$469=DATOS!$B$16),0),0)),"ND"),"ND")</f>
        <v>RDA</v>
      </c>
      <c r="L4" s="118">
        <f t="shared" si="0"/>
        <v>167.125</v>
      </c>
      <c r="M4" s="117">
        <f>IFERROR(IFERROR(INDEX(DRI_BASE!$U$2:$U$469,MATCH(1,INDEX((DRI_BASE!$B$2:$B$469=$F4)*(DRI_BASE!$D$2:$D$469&lt;=DATOS!$F$9)*(DRI_BASE!$E$2:$E$469&gt;DATOS!$F$9)*(((DRI_BASE!$C$2:$C$469=DATOS!$B$13)+(DRI_BASE!$C$2:$C$469="Ambos"))&gt;0)*(DRI_BASE!$G$2:$G$469=DATOS!$B$16),0),0)),"ND"),"ND")</f>
        <v>40</v>
      </c>
      <c r="N4" s="117" t="str">
        <f>IFERROR(IFERROR(INDEX(DRI_BASE!$S$2:$S$469,MATCH(1,INDEX((DRI_BASE!$B$2:$B$469=$F4)*(DRI_BASE!$D$2:$D$469&lt;=DATOS!$F$9)*(DRI_BASE!$E$2:$E$469&gt;DATOS!$F$9)*(((DRI_BASE!$C$2:$C$469=DATOS!$B$13)+(DRI_BASE!$C$2:$C$469="Ambos"))&gt;0)*(DRI_BASE!$G$2:$G$469=DATOS!$B$16),0),0)),""),"")</f>
        <v>UL</v>
      </c>
      <c r="O4" s="118">
        <f t="shared" si="1"/>
        <v>33.425000000000004</v>
      </c>
      <c r="P4" s="117">
        <f>INDEX(CALCULOS_NUTRIENTES!$J$16:$AF$16,1,MATCH($F4,CALCULOS_NUTRIENTES!$J$3:$AF$3,0))</f>
        <v>2</v>
      </c>
      <c r="Q4" s="117" t="str">
        <f>IF(COUNTA(FUENTES_ALIMENTARIAS!$B$13:$B$22)=0,"SIN ALIMENTOS",IF(OR($F4="MIN-CL",$F4="VIT-B7"),"ND EN INTA",IF(NOT(ISNUMBER(H4)),"ND",IF(AND(ISNUMBER(M4),M4&gt;0,H4&gt;M4),IF(N4="CDRR","SOBRE CDRR","SOBRE UL")&amp;IF(P4&gt;0," · PARCIAL",""),IF(P4&gt;0,"PARCIAL · "&amp;P4&amp;" ND",IF($F4="MIN-NA","BAJO CDRR",IF(NOT(ISNUMBER(J4)),"SIN REFERENCIA",IF(L4&lt;90,"BAJO",IF(L4&lt;=110,"DENTRO RANGO","SOBRE REFERENCIA")))))))))</f>
        <v>PARCIAL · 2 ND</v>
      </c>
      <c r="R4" s="117" t="str">
        <f>IFERROR(IFERROR(INDEX(DRI_BASE!$M$2:$M$469,MATCH(1,INDEX((DRI_BASE!$B$2:$B$469=$F4)*(DRI_BASE!$D$2:$D$469&lt;=DATOS!$F$9)*(DRI_BASE!$E$2:$E$469&gt;DATOS!$F$9)*(((DRI_BASE!$C$2:$C$469=DATOS!$B$13)+(DRI_BASE!$C$2:$C$469="Ambos"))&gt;0)*(DRI_BASE!$G$2:$G$469=DATOS!$B$16),0),0)),"ND"),"ND")</f>
        <v>SRC-DRI-SUMMARY</v>
      </c>
    </row>
    <row r="5" spans="1:18" ht="28.5" customHeight="1">
      <c r="A5" s="37" t="s">
        <v>2928</v>
      </c>
      <c r="B5" s="37">
        <f>DATOS!B30</f>
        <v>2.5</v>
      </c>
      <c r="C5" s="37" t="s">
        <v>203</v>
      </c>
      <c r="D5" s="37" t="s">
        <v>204</v>
      </c>
      <c r="F5" s="117" t="s">
        <v>236</v>
      </c>
      <c r="G5" s="117" t="s">
        <v>237</v>
      </c>
      <c r="H5" s="117">
        <f>IF(OR($F5="MIN-CL",$F5="VIT-B7"),"ND",INDEX(CALCULOS_NUTRIENTES!$J$15:$AF$15,1,MATCH($F5,CALCULOS_NUTRIENTES!$J$3:$AF$3,0)))</f>
        <v>15.95</v>
      </c>
      <c r="I5" s="117" t="str">
        <f>IFERROR(IFERROR(INDEX(NUTRIENTES!$F$8:$F$30,MATCH($F5,NUTRIENTES!$A$8:$A$30,0)),""),"")</f>
        <v>mg</v>
      </c>
      <c r="J5" s="117">
        <f>IFERROR(IFERROR(INDEX(DRI_BASE!$T$2:$T$469,MATCH(1,INDEX((DRI_BASE!$B$2:$B$469=$F5)*(DRI_BASE!$D$2:$D$469&lt;=DATOS!$F$9)*(DRI_BASE!$E$2:$E$469&gt;DATOS!$F$9)*(((DRI_BASE!$C$2:$C$469=DATOS!$B$13)+(DRI_BASE!$C$2:$C$469="Ambos"))&gt;0)*(DRI_BASE!$G$2:$G$469=DATOS!$B$16),0),0)),"ND"),"ND")</f>
        <v>0.9</v>
      </c>
      <c r="K5" s="117" t="str">
        <f>IFERROR(IFERROR(INDEX(DRI_BASE!$R$2:$R$469,MATCH(1,INDEX((DRI_BASE!$B$2:$B$469=$F5)*(DRI_BASE!$D$2:$D$469&lt;=DATOS!$F$9)*(DRI_BASE!$E$2:$E$469&gt;DATOS!$F$9)*(((DRI_BASE!$C$2:$C$469=DATOS!$B$13)+(DRI_BASE!$C$2:$C$469="Ambos"))&gt;0)*(DRI_BASE!$G$2:$G$469=DATOS!$B$16),0),0)),"ND"),"ND")</f>
        <v>RDA</v>
      </c>
      <c r="L5" s="118">
        <f t="shared" si="0"/>
        <v>1772.2222222222222</v>
      </c>
      <c r="M5" s="117">
        <f>IFERROR(IFERROR(INDEX(DRI_BASE!$U$2:$U$469,MATCH(1,INDEX((DRI_BASE!$B$2:$B$469=$F5)*(DRI_BASE!$D$2:$D$469&lt;=DATOS!$F$9)*(DRI_BASE!$E$2:$E$469&gt;DATOS!$F$9)*(((DRI_BASE!$C$2:$C$469=DATOS!$B$13)+(DRI_BASE!$C$2:$C$469="Ambos"))&gt;0)*(DRI_BASE!$G$2:$G$469=DATOS!$B$16),0),0)),"ND"),"ND")</f>
        <v>10</v>
      </c>
      <c r="N5" s="117" t="str">
        <f>IFERROR(IFERROR(INDEX(DRI_BASE!$S$2:$S$469,MATCH(1,INDEX((DRI_BASE!$B$2:$B$469=$F5)*(DRI_BASE!$D$2:$D$469&lt;=DATOS!$F$9)*(DRI_BASE!$E$2:$E$469&gt;DATOS!$F$9)*(((DRI_BASE!$C$2:$C$469=DATOS!$B$13)+(DRI_BASE!$C$2:$C$469="Ambos"))&gt;0)*(DRI_BASE!$G$2:$G$469=DATOS!$B$16),0),0)),""),"")</f>
        <v>UL</v>
      </c>
      <c r="O5" s="118">
        <f t="shared" si="1"/>
        <v>159.5</v>
      </c>
      <c r="P5" s="117">
        <f>INDEX(CALCULOS_NUTRIENTES!$J$16:$AF$16,1,MATCH($F5,CALCULOS_NUTRIENTES!$J$3:$AF$3,0))</f>
        <v>2</v>
      </c>
      <c r="Q5" s="117" t="str">
        <f>IF(COUNTA(FUENTES_ALIMENTARIAS!$B$13:$B$22)=0,"SIN ALIMENTOS",IF(OR($F5="MIN-CL",$F5="VIT-B7"),"ND EN INTA",IF(NOT(ISNUMBER(H5)),"ND",IF(AND(ISNUMBER(M5),M5&gt;0,H5&gt;M5),IF(N5="CDRR","SOBRE CDRR","SOBRE UL")&amp;IF(P5&gt;0," · PARCIAL",""),IF(P5&gt;0,"PARCIAL · "&amp;P5&amp;" ND",IF($F5="MIN-NA","BAJO CDRR",IF(NOT(ISNUMBER(J5)),"SIN REFERENCIA",IF(L5&lt;90,"BAJO",IF(L5&lt;=110,"DENTRO RANGO","SOBRE REFERENCIA")))))))))</f>
        <v>SOBRE UL · PARCIAL</v>
      </c>
      <c r="R5" s="117" t="str">
        <f>IFERROR(IFERROR(INDEX(DRI_BASE!$M$2:$M$469,MATCH(1,INDEX((DRI_BASE!$B$2:$B$469=$F5)*(DRI_BASE!$D$2:$D$469&lt;=DATOS!$F$9)*(DRI_BASE!$E$2:$E$469&gt;DATOS!$F$9)*(((DRI_BASE!$C$2:$C$469=DATOS!$B$13)+(DRI_BASE!$C$2:$C$469="Ambos"))&gt;0)*(DRI_BASE!$G$2:$G$469=DATOS!$B$16),0),0)),"ND"),"ND")</f>
        <v>SRC-DRI-SUMMARY</v>
      </c>
    </row>
    <row r="6" spans="1:18" ht="28.5" customHeight="1">
      <c r="A6" s="37" t="s">
        <v>2929</v>
      </c>
      <c r="B6" s="37">
        <f>DATOS!B31</f>
        <v>25</v>
      </c>
      <c r="C6" s="37" t="s">
        <v>207</v>
      </c>
      <c r="D6" s="37" t="s">
        <v>204</v>
      </c>
      <c r="F6" s="117" t="s">
        <v>239</v>
      </c>
      <c r="G6" s="117" t="s">
        <v>240</v>
      </c>
      <c r="H6" s="117">
        <f>IF(OR($F6="MIN-CL",$F6="VIT-B7"),"ND",INDEX(CALCULOS_NUTRIENTES!$J$15:$AF$15,1,MATCH($F6,CALCULOS_NUTRIENTES!$J$3:$AF$3,0)))</f>
        <v>2121.1999999999998</v>
      </c>
      <c r="I6" s="117" t="str">
        <f>IFERROR(IFERROR(INDEX(NUTRIENTES!$F$8:$F$30,MATCH($F6,NUTRIENTES!$A$8:$A$30,0)),""),"")</f>
        <v>mg</v>
      </c>
      <c r="J6" s="117">
        <f>IFERROR(IFERROR(INDEX(DRI_BASE!$T$2:$T$469,MATCH(1,INDEX((DRI_BASE!$B$2:$B$469=$F6)*(DRI_BASE!$D$2:$D$469&lt;=DATOS!$F$9)*(DRI_BASE!$E$2:$E$469&gt;DATOS!$F$9)*(((DRI_BASE!$C$2:$C$469=DATOS!$B$13)+(DRI_BASE!$C$2:$C$469="Ambos"))&gt;0)*(DRI_BASE!$G$2:$G$469=DATOS!$B$16),0),0)),"ND"),"ND")</f>
        <v>1000</v>
      </c>
      <c r="K6" s="117" t="str">
        <f>IFERROR(IFERROR(INDEX(DRI_BASE!$R$2:$R$469,MATCH(1,INDEX((DRI_BASE!$B$2:$B$469=$F6)*(DRI_BASE!$D$2:$D$469&lt;=DATOS!$F$9)*(DRI_BASE!$E$2:$E$469&gt;DATOS!$F$9)*(((DRI_BASE!$C$2:$C$469=DATOS!$B$13)+(DRI_BASE!$C$2:$C$469="Ambos"))&gt;0)*(DRI_BASE!$G$2:$G$469=DATOS!$B$16),0),0)),"ND"),"ND")</f>
        <v>RDA</v>
      </c>
      <c r="L6" s="118">
        <f t="shared" si="0"/>
        <v>212.12</v>
      </c>
      <c r="M6" s="117">
        <f>IFERROR(IFERROR(INDEX(DRI_BASE!$U$2:$U$469,MATCH(1,INDEX((DRI_BASE!$B$2:$B$469=$F6)*(DRI_BASE!$D$2:$D$469&lt;=DATOS!$F$9)*(DRI_BASE!$E$2:$E$469&gt;DATOS!$F$9)*(((DRI_BASE!$C$2:$C$469=DATOS!$B$13)+(DRI_BASE!$C$2:$C$469="Ambos"))&gt;0)*(DRI_BASE!$G$2:$G$469=DATOS!$B$16),0),0)),"ND"),"ND")</f>
        <v>2500</v>
      </c>
      <c r="N6" s="117" t="str">
        <f>IFERROR(IFERROR(INDEX(DRI_BASE!$S$2:$S$469,MATCH(1,INDEX((DRI_BASE!$B$2:$B$469=$F6)*(DRI_BASE!$D$2:$D$469&lt;=DATOS!$F$9)*(DRI_BASE!$E$2:$E$469&gt;DATOS!$F$9)*(((DRI_BASE!$C$2:$C$469=DATOS!$B$13)+(DRI_BASE!$C$2:$C$469="Ambos"))&gt;0)*(DRI_BASE!$G$2:$G$469=DATOS!$B$16),0),0)),""),"")</f>
        <v>UL</v>
      </c>
      <c r="O6" s="118">
        <f t="shared" si="1"/>
        <v>84.847999999999985</v>
      </c>
      <c r="P6" s="117">
        <f>INDEX(CALCULOS_NUTRIENTES!$J$16:$AF$16,1,MATCH($F6,CALCULOS_NUTRIENTES!$J$3:$AF$3,0))</f>
        <v>1</v>
      </c>
      <c r="Q6" s="117" t="str">
        <f>IF(COUNTA(FUENTES_ALIMENTARIAS!$B$13:$B$22)=0,"SIN ALIMENTOS",IF(OR($F6="MIN-CL",$F6="VIT-B7"),"ND EN INTA",IF(NOT(ISNUMBER(H6)),"ND",IF(AND(ISNUMBER(M6),M6&gt;0,H6&gt;M6),IF(N6="CDRR","SOBRE CDRR","SOBRE UL")&amp;IF(P6&gt;0," · PARCIAL",""),IF(P6&gt;0,"PARCIAL · "&amp;P6&amp;" ND",IF($F6="MIN-NA","BAJO CDRR",IF(NOT(ISNUMBER(J6)),"SIN REFERENCIA",IF(L6&lt;90,"BAJO",IF(L6&lt;=110,"DENTRO RANGO","SOBRE REFERENCIA")))))))))</f>
        <v>PARCIAL · 1 ND</v>
      </c>
      <c r="R6" s="117" t="str">
        <f>IFERROR(IFERROR(INDEX(DRI_BASE!$M$2:$M$469,MATCH(1,INDEX((DRI_BASE!$B$2:$B$469=$F6)*(DRI_BASE!$D$2:$D$469&lt;=DATOS!$F$9)*(DRI_BASE!$E$2:$E$469&gt;DATOS!$F$9)*(((DRI_BASE!$C$2:$C$469=DATOS!$B$13)+(DRI_BASE!$C$2:$C$469="Ambos"))&gt;0)*(DRI_BASE!$G$2:$G$469=DATOS!$B$16),0),0)),"ND"),"ND")</f>
        <v>SRC-DRI-SUMMARY</v>
      </c>
    </row>
    <row r="7" spans="1:18" ht="28.5" customHeight="1">
      <c r="A7" s="37" t="s">
        <v>2930</v>
      </c>
      <c r="B7" s="37">
        <f>IF(COUNTIFS(DRI_BASE!$B$2:$B$200,"AGUA_TOTAL",DRI_BASE!$C$2:$C$200,B3,DRI_BASE!$D$2:$D$200,"&lt;="&amp;B2,DRI_BASE!$E$2:$E$200,"&gt;"&amp;B2,DRI_BASE!$G$2:$G$200,B4)=0,"ND",SUMIFS(DRI_BASE!$J$2:$J$200,DRI_BASE!$B$2:$B$200,"AGUA_TOTAL",DRI_BASE!$C$2:$C$200,B3,DRI_BASE!$D$2:$D$200,"&lt;="&amp;B2,DRI_BASE!$E$2:$E$200,"&gt;"&amp;B2,DRI_BASE!$G$2:$G$200,B4))</f>
        <v>2.7</v>
      </c>
      <c r="C7" s="37" t="s">
        <v>203</v>
      </c>
      <c r="D7" s="37" t="s">
        <v>2931</v>
      </c>
      <c r="F7" s="117" t="s">
        <v>243</v>
      </c>
      <c r="G7" s="117" t="s">
        <v>244</v>
      </c>
      <c r="H7" s="117">
        <f>IF(OR($F7="MIN-CL",$F7="VIT-B7"),"ND",INDEX(CALCULOS_NUTRIENTES!$J$15:$AF$15,1,MATCH($F7,CALCULOS_NUTRIENTES!$J$3:$AF$3,0)))</f>
        <v>1731.5</v>
      </c>
      <c r="I7" s="117" t="str">
        <f>IFERROR(IFERROR(INDEX(NUTRIENTES!$F$8:$F$30,MATCH($F7,NUTRIENTES!$A$8:$A$30,0)),""),"")</f>
        <v>mg</v>
      </c>
      <c r="J7" s="117">
        <f>IFERROR(IFERROR(INDEX(DRI_BASE!$T$2:$T$469,MATCH(1,INDEX((DRI_BASE!$B$2:$B$469=$F7)*(DRI_BASE!$D$2:$D$469&lt;=DATOS!$F$9)*(DRI_BASE!$E$2:$E$469&gt;DATOS!$F$9)*(((DRI_BASE!$C$2:$C$469=DATOS!$B$13)+(DRI_BASE!$C$2:$C$469="Ambos"))&gt;0)*(DRI_BASE!$G$2:$G$469=DATOS!$B$16),0),0)),"ND"),"ND")</f>
        <v>700</v>
      </c>
      <c r="K7" s="117" t="str">
        <f>IFERROR(IFERROR(INDEX(DRI_BASE!$R$2:$R$469,MATCH(1,INDEX((DRI_BASE!$B$2:$B$469=$F7)*(DRI_BASE!$D$2:$D$469&lt;=DATOS!$F$9)*(DRI_BASE!$E$2:$E$469&gt;DATOS!$F$9)*(((DRI_BASE!$C$2:$C$469=DATOS!$B$13)+(DRI_BASE!$C$2:$C$469="Ambos"))&gt;0)*(DRI_BASE!$G$2:$G$469=DATOS!$B$16),0),0)),"ND"),"ND")</f>
        <v>RDA</v>
      </c>
      <c r="L7" s="118">
        <f t="shared" si="0"/>
        <v>247.35714285714289</v>
      </c>
      <c r="M7" s="117">
        <f>IFERROR(IFERROR(INDEX(DRI_BASE!$U$2:$U$469,MATCH(1,INDEX((DRI_BASE!$B$2:$B$469=$F7)*(DRI_BASE!$D$2:$D$469&lt;=DATOS!$F$9)*(DRI_BASE!$E$2:$E$469&gt;DATOS!$F$9)*(((DRI_BASE!$C$2:$C$469=DATOS!$B$13)+(DRI_BASE!$C$2:$C$469="Ambos"))&gt;0)*(DRI_BASE!$G$2:$G$469=DATOS!$B$16),0),0)),"ND"),"ND")</f>
        <v>4000</v>
      </c>
      <c r="N7" s="117" t="str">
        <f>IFERROR(IFERROR(INDEX(DRI_BASE!$S$2:$S$469,MATCH(1,INDEX((DRI_BASE!$B$2:$B$469=$F7)*(DRI_BASE!$D$2:$D$469&lt;=DATOS!$F$9)*(DRI_BASE!$E$2:$E$469&gt;DATOS!$F$9)*(((DRI_BASE!$C$2:$C$469=DATOS!$B$13)+(DRI_BASE!$C$2:$C$469="Ambos"))&gt;0)*(DRI_BASE!$G$2:$G$469=DATOS!$B$16),0),0)),""),"")</f>
        <v>UL</v>
      </c>
      <c r="O7" s="118">
        <f t="shared" si="1"/>
        <v>43.287500000000001</v>
      </c>
      <c r="P7" s="117">
        <f>INDEX(CALCULOS_NUTRIENTES!$J$16:$AF$16,1,MATCH($F7,CALCULOS_NUTRIENTES!$J$3:$AF$3,0))</f>
        <v>1</v>
      </c>
      <c r="Q7" s="117" t="str">
        <f>IF(COUNTA(FUENTES_ALIMENTARIAS!$B$13:$B$22)=0,"SIN ALIMENTOS",IF(OR($F7="MIN-CL",$F7="VIT-B7"),"ND EN INTA",IF(NOT(ISNUMBER(H7)),"ND",IF(AND(ISNUMBER(M7),M7&gt;0,H7&gt;M7),IF(N7="CDRR","SOBRE CDRR","SOBRE UL")&amp;IF(P7&gt;0," · PARCIAL",""),IF(P7&gt;0,"PARCIAL · "&amp;P7&amp;" ND",IF($F7="MIN-NA","BAJO CDRR",IF(NOT(ISNUMBER(J7)),"SIN REFERENCIA",IF(L7&lt;90,"BAJO",IF(L7&lt;=110,"DENTRO RANGO","SOBRE REFERENCIA")))))))))</f>
        <v>PARCIAL · 1 ND</v>
      </c>
      <c r="R7" s="117" t="str">
        <f>IFERROR(IFERROR(INDEX(DRI_BASE!$M$2:$M$469,MATCH(1,INDEX((DRI_BASE!$B$2:$B$469=$F7)*(DRI_BASE!$D$2:$D$469&lt;=DATOS!$F$9)*(DRI_BASE!$E$2:$E$469&gt;DATOS!$F$9)*(((DRI_BASE!$C$2:$C$469=DATOS!$B$13)+(DRI_BASE!$C$2:$C$469="Ambos"))&gt;0)*(DRI_BASE!$G$2:$G$469=DATOS!$B$16),0),0)),"ND"),"ND")</f>
        <v>SRC-DRI-SUMMARY</v>
      </c>
    </row>
    <row r="8" spans="1:18" ht="28.5" customHeight="1">
      <c r="A8" s="37" t="s">
        <v>2932</v>
      </c>
      <c r="B8" s="37">
        <f>IF(COUNTIFS(DRI_BASE!$B$2:$B$200,"FIBRA",DRI_BASE!$C$2:$C$200,B3,DRI_BASE!$D$2:$D$200,"&lt;="&amp;B2,DRI_BASE!$E$2:$E$200,"&gt;"&amp;B2,DRI_BASE!$G$2:$G$200,B4)=0,"ND",SUMIFS(DRI_BASE!$J$2:$J$200,DRI_BASE!$B$2:$B$200,"FIBRA",DRI_BASE!$C$2:$C$200,B3,DRI_BASE!$D$2:$D$200,"&lt;="&amp;B2,DRI_BASE!$E$2:$E$200,"&gt;"&amp;B2,DRI_BASE!$G$2:$G$200,B4))</f>
        <v>25</v>
      </c>
      <c r="C8" s="37" t="s">
        <v>207</v>
      </c>
      <c r="D8" s="37" t="s">
        <v>2933</v>
      </c>
      <c r="F8" s="117" t="s">
        <v>246</v>
      </c>
      <c r="G8" s="117" t="s">
        <v>247</v>
      </c>
      <c r="H8" s="117">
        <f>IF(OR($F8="MIN-CL",$F8="VIT-B7"),"ND",INDEX(CALCULOS_NUTRIENTES!$J$15:$AF$15,1,MATCH($F8,CALCULOS_NUTRIENTES!$J$3:$AF$3,0)))</f>
        <v>279.94</v>
      </c>
      <c r="I8" s="117" t="str">
        <f>IFERROR(IFERROR(INDEX(NUTRIENTES!$F$8:$F$30,MATCH($F8,NUTRIENTES!$A$8:$A$30,0)),""),"")</f>
        <v>µg</v>
      </c>
      <c r="J8" s="117">
        <f>IFERROR(IFERROR(INDEX(DRI_BASE!$T$2:$T$469,MATCH(1,INDEX((DRI_BASE!$B$2:$B$469=$F8)*(DRI_BASE!$D$2:$D$469&lt;=DATOS!$F$9)*(DRI_BASE!$E$2:$E$469&gt;DATOS!$F$9)*(((DRI_BASE!$C$2:$C$469=DATOS!$B$13)+(DRI_BASE!$C$2:$C$469="Ambos"))&gt;0)*(DRI_BASE!$G$2:$G$469=DATOS!$B$16),0),0)),"ND"),"ND")</f>
        <v>55</v>
      </c>
      <c r="K8" s="117" t="str">
        <f>IFERROR(IFERROR(INDEX(DRI_BASE!$R$2:$R$469,MATCH(1,INDEX((DRI_BASE!$B$2:$B$469=$F8)*(DRI_BASE!$D$2:$D$469&lt;=DATOS!$F$9)*(DRI_BASE!$E$2:$E$469&gt;DATOS!$F$9)*(((DRI_BASE!$C$2:$C$469=DATOS!$B$13)+(DRI_BASE!$C$2:$C$469="Ambos"))&gt;0)*(DRI_BASE!$G$2:$G$469=DATOS!$B$16),0),0)),"ND"),"ND")</f>
        <v>RDA</v>
      </c>
      <c r="L8" s="118">
        <f t="shared" si="0"/>
        <v>508.9818181818182</v>
      </c>
      <c r="M8" s="117">
        <f>IFERROR(IFERROR(INDEX(DRI_BASE!$U$2:$U$469,MATCH(1,INDEX((DRI_BASE!$B$2:$B$469=$F8)*(DRI_BASE!$D$2:$D$469&lt;=DATOS!$F$9)*(DRI_BASE!$E$2:$E$469&gt;DATOS!$F$9)*(((DRI_BASE!$C$2:$C$469=DATOS!$B$13)+(DRI_BASE!$C$2:$C$469="Ambos"))&gt;0)*(DRI_BASE!$G$2:$G$469=DATOS!$B$16),0),0)),"ND"),"ND")</f>
        <v>400</v>
      </c>
      <c r="N8" s="117" t="str">
        <f>IFERROR(IFERROR(INDEX(DRI_BASE!$S$2:$S$469,MATCH(1,INDEX((DRI_BASE!$B$2:$B$469=$F8)*(DRI_BASE!$D$2:$D$469&lt;=DATOS!$F$9)*(DRI_BASE!$E$2:$E$469&gt;DATOS!$F$9)*(((DRI_BASE!$C$2:$C$469=DATOS!$B$13)+(DRI_BASE!$C$2:$C$469="Ambos"))&gt;0)*(DRI_BASE!$G$2:$G$469=DATOS!$B$16),0),0)),""),"")</f>
        <v>UL</v>
      </c>
      <c r="O8" s="118">
        <f t="shared" si="1"/>
        <v>69.984999999999999</v>
      </c>
      <c r="P8" s="117">
        <f>INDEX(CALCULOS_NUTRIENTES!$J$16:$AF$16,1,MATCH($F8,CALCULOS_NUTRIENTES!$J$3:$AF$3,0))</f>
        <v>2</v>
      </c>
      <c r="Q8" s="117" t="str">
        <f>IF(COUNTA(FUENTES_ALIMENTARIAS!$B$13:$B$22)=0,"SIN ALIMENTOS",IF(OR($F8="MIN-CL",$F8="VIT-B7"),"ND EN INTA",IF(NOT(ISNUMBER(H8)),"ND",IF(AND(ISNUMBER(M8),M8&gt;0,H8&gt;M8),IF(N8="CDRR","SOBRE CDRR","SOBRE UL")&amp;IF(P8&gt;0," · PARCIAL",""),IF(P8&gt;0,"PARCIAL · "&amp;P8&amp;" ND",IF($F8="MIN-NA","BAJO CDRR",IF(NOT(ISNUMBER(J8)),"SIN REFERENCIA",IF(L8&lt;90,"BAJO",IF(L8&lt;=110,"DENTRO RANGO","SOBRE REFERENCIA")))))))))</f>
        <v>PARCIAL · 2 ND</v>
      </c>
      <c r="R8" s="117" t="str">
        <f>IFERROR(IFERROR(INDEX(DRI_BASE!$M$2:$M$469,MATCH(1,INDEX((DRI_BASE!$B$2:$B$469=$F8)*(DRI_BASE!$D$2:$D$469&lt;=DATOS!$F$9)*(DRI_BASE!$E$2:$E$469&gt;DATOS!$F$9)*(((DRI_BASE!$C$2:$C$469=DATOS!$B$13)+(DRI_BASE!$C$2:$C$469="Ambos"))&gt;0)*(DRI_BASE!$G$2:$G$469=DATOS!$B$16),0),0)),"ND"),"ND")</f>
        <v>SRC-DRI-SUMMARY</v>
      </c>
    </row>
    <row r="9" spans="1:18" ht="28.5" customHeight="1">
      <c r="A9" s="37" t="s">
        <v>2934</v>
      </c>
      <c r="B9" s="37">
        <f>IF(AND(ISNUMBER(B5),ISNUMBER(B7),B7&gt;0),B5/B7*100,"ND")</f>
        <v>92.592592592592581</v>
      </c>
      <c r="C9" s="37" t="s">
        <v>136</v>
      </c>
      <c r="D9" s="37" t="s">
        <v>2935</v>
      </c>
      <c r="F9" s="117" t="s">
        <v>250</v>
      </c>
      <c r="G9" s="117" t="s">
        <v>251</v>
      </c>
      <c r="H9" s="117">
        <f>IF(OR($F9="MIN-CL",$F9="VIT-B7"),"ND",INDEX(CALCULOS_NUTRIENTES!$J$15:$AF$15,1,MATCH($F9,CALCULOS_NUTRIENTES!$J$3:$AF$3,0)))</f>
        <v>3658.5</v>
      </c>
      <c r="I9" s="117" t="str">
        <f>IFERROR(IFERROR(INDEX(NUTRIENTES!$F$8:$F$30,MATCH($F9,NUTRIENTES!$A$8:$A$30,0)),""),"")</f>
        <v>mg</v>
      </c>
      <c r="J9" s="117">
        <f>IFERROR(IFERROR(INDEX(DRI_BASE!$T$2:$T$469,MATCH(1,INDEX((DRI_BASE!$B$2:$B$469=$F9)*(DRI_BASE!$D$2:$D$469&lt;=DATOS!$F$9)*(DRI_BASE!$E$2:$E$469&gt;DATOS!$F$9)*(((DRI_BASE!$C$2:$C$469=DATOS!$B$13)+(DRI_BASE!$C$2:$C$469="Ambos"))&gt;0)*(DRI_BASE!$G$2:$G$469=DATOS!$B$16),0),0)),"ND"),"ND")</f>
        <v>2600</v>
      </c>
      <c r="K9" s="117" t="str">
        <f>IFERROR(IFERROR(INDEX(DRI_BASE!$R$2:$R$469,MATCH(1,INDEX((DRI_BASE!$B$2:$B$469=$F9)*(DRI_BASE!$D$2:$D$469&lt;=DATOS!$F$9)*(DRI_BASE!$E$2:$E$469&gt;DATOS!$F$9)*(((DRI_BASE!$C$2:$C$469=DATOS!$B$13)+(DRI_BASE!$C$2:$C$469="Ambos"))&gt;0)*(DRI_BASE!$G$2:$G$469=DATOS!$B$16),0),0)),"ND"),"ND")</f>
        <v>AI</v>
      </c>
      <c r="L9" s="118">
        <f t="shared" si="0"/>
        <v>140.71153846153845</v>
      </c>
      <c r="M9" s="117">
        <f>IFERROR(IFERROR(INDEX(DRI_BASE!$U$2:$U$469,MATCH(1,INDEX((DRI_BASE!$B$2:$B$469=$F9)*(DRI_BASE!$D$2:$D$469&lt;=DATOS!$F$9)*(DRI_BASE!$E$2:$E$469&gt;DATOS!$F$9)*(((DRI_BASE!$C$2:$C$469=DATOS!$B$13)+(DRI_BASE!$C$2:$C$469="Ambos"))&gt;0)*(DRI_BASE!$G$2:$G$469=DATOS!$B$16),0),0)),"ND"),"ND")</f>
        <v>0</v>
      </c>
      <c r="N9" s="117">
        <f>IFERROR(IFERROR(INDEX(DRI_BASE!$S$2:$S$469,MATCH(1,INDEX((DRI_BASE!$B$2:$B$469=$F9)*(DRI_BASE!$D$2:$D$469&lt;=DATOS!$F$9)*(DRI_BASE!$E$2:$E$469&gt;DATOS!$F$9)*(((DRI_BASE!$C$2:$C$469=DATOS!$B$13)+(DRI_BASE!$C$2:$C$469="Ambos"))&gt;0)*(DRI_BASE!$G$2:$G$469=DATOS!$B$16),0),0)),""),"")</f>
        <v>0</v>
      </c>
      <c r="O9" s="118" t="str">
        <f t="shared" si="1"/>
        <v>ND</v>
      </c>
      <c r="P9" s="117">
        <f>INDEX(CALCULOS_NUTRIENTES!$J$16:$AF$16,1,MATCH($F9,CALCULOS_NUTRIENTES!$J$3:$AF$3,0))</f>
        <v>2</v>
      </c>
      <c r="Q9" s="117" t="str">
        <f>IF(COUNTA(FUENTES_ALIMENTARIAS!$B$13:$B$22)=0,"SIN ALIMENTOS",IF(OR($F9="MIN-CL",$F9="VIT-B7"),"ND EN INTA",IF(NOT(ISNUMBER(H9)),"ND",IF(AND(ISNUMBER(M9),M9&gt;0,H9&gt;M9),IF(N9="CDRR","SOBRE CDRR","SOBRE UL")&amp;IF(P9&gt;0," · PARCIAL",""),IF(P9&gt;0,"PARCIAL · "&amp;P9&amp;" ND",IF($F9="MIN-NA","BAJO CDRR",IF(NOT(ISNUMBER(J9)),"SIN REFERENCIA",IF(L9&lt;90,"BAJO",IF(L9&lt;=110,"DENTRO RANGO","SOBRE REFERENCIA")))))))))</f>
        <v>PARCIAL · 2 ND</v>
      </c>
      <c r="R9" s="117" t="str">
        <f>IFERROR(IFERROR(INDEX(DRI_BASE!$M$2:$M$469,MATCH(1,INDEX((DRI_BASE!$B$2:$B$469=$F9)*(DRI_BASE!$D$2:$D$469&lt;=DATOS!$F$9)*(DRI_BASE!$E$2:$E$469&gt;DATOS!$F$9)*(((DRI_BASE!$C$2:$C$469=DATOS!$B$13)+(DRI_BASE!$C$2:$C$469="Ambos"))&gt;0)*(DRI_BASE!$G$2:$G$469=DATOS!$B$16),0),0)),"ND"),"ND")</f>
        <v>SRC-NASEM-SODIUM-2019</v>
      </c>
    </row>
    <row r="10" spans="1:18" ht="28.5" customHeight="1">
      <c r="A10" s="37" t="s">
        <v>2936</v>
      </c>
      <c r="B10" s="37">
        <f>IF(AND(ISNUMBER(B6),ISNUMBER(B8),B8&gt;0),B6/B8*100,"ND")</f>
        <v>100</v>
      </c>
      <c r="C10" s="37" t="s">
        <v>136</v>
      </c>
      <c r="D10" s="37" t="s">
        <v>2935</v>
      </c>
      <c r="F10" s="117" t="s">
        <v>255</v>
      </c>
      <c r="G10" s="117" t="s">
        <v>256</v>
      </c>
      <c r="H10" s="117">
        <f>IF(OR($F10="MIN-CL",$F10="VIT-B7"),"ND",INDEX(CALCULOS_NUTRIENTES!$J$15:$AF$15,1,MATCH($F10,CALCULOS_NUTRIENTES!$J$3:$AF$3,0)))</f>
        <v>617.4</v>
      </c>
      <c r="I10" s="117" t="str">
        <f>IFERROR(IFERROR(INDEX(NUTRIENTES!$F$8:$F$30,MATCH($F10,NUTRIENTES!$A$8:$A$30,0)),""),"")</f>
        <v>mg</v>
      </c>
      <c r="J10" s="117">
        <f>IFERROR(IFERROR(INDEX(DRI_BASE!$T$2:$T$469,MATCH(1,INDEX((DRI_BASE!$B$2:$B$469=$F10)*(DRI_BASE!$D$2:$D$469&lt;=DATOS!$F$9)*(DRI_BASE!$E$2:$E$469&gt;DATOS!$F$9)*(((DRI_BASE!$C$2:$C$469=DATOS!$B$13)+(DRI_BASE!$C$2:$C$469="Ambos"))&gt;0)*(DRI_BASE!$G$2:$G$469=DATOS!$B$16),0),0)),"ND"),"ND")</f>
        <v>310</v>
      </c>
      <c r="K10" s="117" t="str">
        <f>IFERROR(IFERROR(INDEX(DRI_BASE!$R$2:$R$469,MATCH(1,INDEX((DRI_BASE!$B$2:$B$469=$F10)*(DRI_BASE!$D$2:$D$469&lt;=DATOS!$F$9)*(DRI_BASE!$E$2:$E$469&gt;DATOS!$F$9)*(((DRI_BASE!$C$2:$C$469=DATOS!$B$13)+(DRI_BASE!$C$2:$C$469="Ambos"))&gt;0)*(DRI_BASE!$G$2:$G$469=DATOS!$B$16),0),0)),"ND"),"ND")</f>
        <v>RDA</v>
      </c>
      <c r="L10" s="118">
        <f t="shared" si="0"/>
        <v>199.16129032258064</v>
      </c>
      <c r="M10" s="117">
        <f>IFERROR(IFERROR(INDEX(DRI_BASE!$U$2:$U$469,MATCH(1,INDEX((DRI_BASE!$B$2:$B$469=$F10)*(DRI_BASE!$D$2:$D$469&lt;=DATOS!$F$9)*(DRI_BASE!$E$2:$E$469&gt;DATOS!$F$9)*(((DRI_BASE!$C$2:$C$469=DATOS!$B$13)+(DRI_BASE!$C$2:$C$469="Ambos"))&gt;0)*(DRI_BASE!$G$2:$G$469=DATOS!$B$16),0),0)),"ND"),"ND")</f>
        <v>350</v>
      </c>
      <c r="N10" s="117" t="str">
        <f>IFERROR(IFERROR(INDEX(DRI_BASE!$S$2:$S$469,MATCH(1,INDEX((DRI_BASE!$B$2:$B$469=$F10)*(DRI_BASE!$D$2:$D$469&lt;=DATOS!$F$9)*(DRI_BASE!$E$2:$E$469&gt;DATOS!$F$9)*(((DRI_BASE!$C$2:$C$469=DATOS!$B$13)+(DRI_BASE!$C$2:$C$469="Ambos"))&gt;0)*(DRI_BASE!$G$2:$G$469=DATOS!$B$16),0),0)),""),"")</f>
        <v>UL</v>
      </c>
      <c r="O10" s="118">
        <f t="shared" si="1"/>
        <v>176.4</v>
      </c>
      <c r="P10" s="117">
        <f>INDEX(CALCULOS_NUTRIENTES!$J$16:$AF$16,1,MATCH($F10,CALCULOS_NUTRIENTES!$J$3:$AF$3,0))</f>
        <v>2</v>
      </c>
      <c r="Q10" s="117" t="str">
        <f>IF(COUNTA(FUENTES_ALIMENTARIAS!$B$13:$B$22)=0,"SIN ALIMENTOS",IF(OR($F10="MIN-CL",$F10="VIT-B7"),"ND EN INTA",IF(NOT(ISNUMBER(H10)),"ND",IF(AND(ISNUMBER(M10),M10&gt;0,H10&gt;M10),IF(N10="CDRR","SOBRE CDRR","SOBRE UL")&amp;IF(P10&gt;0," · PARCIAL",""),IF(P10&gt;0,"PARCIAL · "&amp;P10&amp;" ND",IF($F10="MIN-NA","BAJO CDRR",IF(NOT(ISNUMBER(J10)),"SIN REFERENCIA",IF(L10&lt;90,"BAJO",IF(L10&lt;=110,"DENTRO RANGO","SOBRE REFERENCIA")))))))))</f>
        <v>SOBRE UL · PARCIAL</v>
      </c>
      <c r="R10" s="117" t="str">
        <f>IFERROR(IFERROR(INDEX(DRI_BASE!$M$2:$M$469,MATCH(1,INDEX((DRI_BASE!$B$2:$B$469=$F10)*(DRI_BASE!$D$2:$D$469&lt;=DATOS!$F$9)*(DRI_BASE!$E$2:$E$469&gt;DATOS!$F$9)*(((DRI_BASE!$C$2:$C$469=DATOS!$B$13)+(DRI_BASE!$C$2:$C$469="Ambos"))&gt;0)*(DRI_BASE!$G$2:$G$469=DATOS!$B$16),0),0)),"ND"),"ND")</f>
        <v>SRC-DRI-SUMMARY</v>
      </c>
    </row>
    <row r="11" spans="1:18" ht="28.5" customHeight="1">
      <c r="A11" s="37" t="s">
        <v>2937</v>
      </c>
      <c r="B11" s="37" t="str">
        <f>IF(NOT(ISNUMBER(B9)),"NO EVALUABLE",IF(B9&lt;CONFIG!$B$17,"BAJO",IF(B9&lt;=CONFIG!$B$18,"DENTRO DEL RANGO","SOBRE EL RANGO")))</f>
        <v>DENTRO DEL RANGO</v>
      </c>
      <c r="C11" s="37"/>
      <c r="D11" s="37" t="s">
        <v>2938</v>
      </c>
      <c r="F11" s="117" t="s">
        <v>258</v>
      </c>
      <c r="G11" s="117" t="s">
        <v>259</v>
      </c>
      <c r="H11" s="117">
        <f>IF(OR($F11="MIN-CL",$F11="VIT-B7"),"ND",INDEX(CALCULOS_NUTRIENTES!$J$15:$AF$15,1,MATCH($F11,CALCULOS_NUTRIENTES!$J$3:$AF$3,0)))</f>
        <v>1078.2</v>
      </c>
      <c r="I11" s="117" t="str">
        <f>IFERROR(IFERROR(INDEX(NUTRIENTES!$F$8:$F$30,MATCH($F11,NUTRIENTES!$A$8:$A$30,0)),""),"")</f>
        <v>mg</v>
      </c>
      <c r="J11" s="117">
        <f>IFERROR(IFERROR(INDEX(DRI_BASE!$T$2:$T$469,MATCH(1,INDEX((DRI_BASE!$B$2:$B$469=$F11)*(DRI_BASE!$D$2:$D$469&lt;=DATOS!$F$9)*(DRI_BASE!$E$2:$E$469&gt;DATOS!$F$9)*(((DRI_BASE!$C$2:$C$469=DATOS!$B$13)+(DRI_BASE!$C$2:$C$469="Ambos"))&gt;0)*(DRI_BASE!$G$2:$G$469=DATOS!$B$16),0),0)),"ND"),"ND")</f>
        <v>1500</v>
      </c>
      <c r="K11" s="117" t="str">
        <f>IFERROR(IFERROR(INDEX(DRI_BASE!$R$2:$R$469,MATCH(1,INDEX((DRI_BASE!$B$2:$B$469=$F11)*(DRI_BASE!$D$2:$D$469&lt;=DATOS!$F$9)*(DRI_BASE!$E$2:$E$469&gt;DATOS!$F$9)*(((DRI_BASE!$C$2:$C$469=DATOS!$B$13)+(DRI_BASE!$C$2:$C$469="Ambos"))&gt;0)*(DRI_BASE!$G$2:$G$469=DATOS!$B$16),0),0)),"ND"),"ND")</f>
        <v>AI</v>
      </c>
      <c r="L11" s="118">
        <f t="shared" si="0"/>
        <v>71.88</v>
      </c>
      <c r="M11" s="117">
        <f>IFERROR(IFERROR(INDEX(DRI_BASE!$U$2:$U$469,MATCH(1,INDEX((DRI_BASE!$B$2:$B$469=$F11)*(DRI_BASE!$D$2:$D$469&lt;=DATOS!$F$9)*(DRI_BASE!$E$2:$E$469&gt;DATOS!$F$9)*(((DRI_BASE!$C$2:$C$469=DATOS!$B$13)+(DRI_BASE!$C$2:$C$469="Ambos"))&gt;0)*(DRI_BASE!$G$2:$G$469=DATOS!$B$16),0),0)),"ND"),"ND")</f>
        <v>2300</v>
      </c>
      <c r="N11" s="117" t="str">
        <f>IFERROR(IFERROR(INDEX(DRI_BASE!$S$2:$S$469,MATCH(1,INDEX((DRI_BASE!$B$2:$B$469=$F11)*(DRI_BASE!$D$2:$D$469&lt;=DATOS!$F$9)*(DRI_BASE!$E$2:$E$469&gt;DATOS!$F$9)*(((DRI_BASE!$C$2:$C$469=DATOS!$B$13)+(DRI_BASE!$C$2:$C$469="Ambos"))&gt;0)*(DRI_BASE!$G$2:$G$469=DATOS!$B$16),0),0)),""),"")</f>
        <v>CDRR</v>
      </c>
      <c r="O11" s="118">
        <f t="shared" si="1"/>
        <v>46.878260869565217</v>
      </c>
      <c r="P11" s="117">
        <f>INDEX(CALCULOS_NUTRIENTES!$J$16:$AF$16,1,MATCH($F11,CALCULOS_NUTRIENTES!$J$3:$AF$3,0))</f>
        <v>1</v>
      </c>
      <c r="Q11" s="117" t="str">
        <f>IF(COUNTA(FUENTES_ALIMENTARIAS!$B$13:$B$22)=0,"SIN ALIMENTOS",IF(OR($F11="MIN-CL",$F11="VIT-B7"),"ND EN INTA",IF(NOT(ISNUMBER(H11)),"ND",IF(AND(ISNUMBER(M11),M11&gt;0,H11&gt;M11),IF(N11="CDRR","SOBRE CDRR","SOBRE UL")&amp;IF(P11&gt;0," · PARCIAL",""),IF(P11&gt;0,"PARCIAL · "&amp;P11&amp;" ND",IF($F11="MIN-NA","BAJO CDRR",IF(NOT(ISNUMBER(J11)),"SIN REFERENCIA",IF(L11&lt;90,"BAJO",IF(L11&lt;=110,"DENTRO RANGO","SOBRE REFERENCIA")))))))))</f>
        <v>PARCIAL · 1 ND</v>
      </c>
      <c r="R11" s="117" t="str">
        <f>IFERROR(IFERROR(INDEX(DRI_BASE!$M$2:$M$469,MATCH(1,INDEX((DRI_BASE!$B$2:$B$469=$F11)*(DRI_BASE!$D$2:$D$469&lt;=DATOS!$F$9)*(DRI_BASE!$E$2:$E$469&gt;DATOS!$F$9)*(((DRI_BASE!$C$2:$C$469=DATOS!$B$13)+(DRI_BASE!$C$2:$C$469="Ambos"))&gt;0)*(DRI_BASE!$G$2:$G$469=DATOS!$B$16),0),0)),"ND"),"ND")</f>
        <v>SRC-NASEM-SODIUM-2019</v>
      </c>
    </row>
    <row r="12" spans="1:18" ht="28.5" customHeight="1">
      <c r="A12" s="37" t="s">
        <v>2939</v>
      </c>
      <c r="B12" s="37" t="str">
        <f>IF(NOT(ISNUMBER(B10)),"NO EVALUABLE",IF(B10&lt;CONFIG!$B$17,"BAJO",IF(B10&lt;=CONFIG!$B$18,"DENTRO DEL RANGO","SOBRE EL RANGO")))</f>
        <v>DENTRO DEL RANGO</v>
      </c>
      <c r="C12" s="37"/>
      <c r="D12" s="37" t="s">
        <v>2938</v>
      </c>
      <c r="F12" s="117" t="s">
        <v>262</v>
      </c>
      <c r="G12" s="117" t="s">
        <v>263</v>
      </c>
      <c r="H12" s="117" t="str">
        <f>IF(OR($F12="MIN-CL",$F12="VIT-B7"),"ND",INDEX(CALCULOS_NUTRIENTES!$J$15:$AF$15,1,MATCH($F12,CALCULOS_NUTRIENTES!$J$3:$AF$3,0)))</f>
        <v>ND</v>
      </c>
      <c r="I12" s="117" t="str">
        <f>IFERROR(IFERROR(INDEX(NUTRIENTES!$F$8:$F$30,MATCH($F12,NUTRIENTES!$A$8:$A$30,0)),""),"")</f>
        <v>mg</v>
      </c>
      <c r="J12" s="117">
        <f>IFERROR(IFERROR(INDEX(DRI_BASE!$T$2:$T$469,MATCH(1,INDEX((DRI_BASE!$B$2:$B$469=$F12)*(DRI_BASE!$D$2:$D$469&lt;=DATOS!$F$9)*(DRI_BASE!$E$2:$E$469&gt;DATOS!$F$9)*(((DRI_BASE!$C$2:$C$469=DATOS!$B$13)+(DRI_BASE!$C$2:$C$469="Ambos"))&gt;0)*(DRI_BASE!$G$2:$G$469=DATOS!$B$16),0),0)),"ND"),"ND")</f>
        <v>2300</v>
      </c>
      <c r="K12" s="117" t="str">
        <f>IFERROR(IFERROR(INDEX(DRI_BASE!$R$2:$R$469,MATCH(1,INDEX((DRI_BASE!$B$2:$B$469=$F12)*(DRI_BASE!$D$2:$D$469&lt;=DATOS!$F$9)*(DRI_BASE!$E$2:$E$469&gt;DATOS!$F$9)*(((DRI_BASE!$C$2:$C$469=DATOS!$B$13)+(DRI_BASE!$C$2:$C$469="Ambos"))&gt;0)*(DRI_BASE!$G$2:$G$469=DATOS!$B$16),0),0)),"ND"),"ND")</f>
        <v>AI</v>
      </c>
      <c r="L12" s="118" t="str">
        <f t="shared" si="0"/>
        <v>ND</v>
      </c>
      <c r="M12" s="117">
        <f>IFERROR(IFERROR(INDEX(DRI_BASE!$U$2:$U$469,MATCH(1,INDEX((DRI_BASE!$B$2:$B$469=$F12)*(DRI_BASE!$D$2:$D$469&lt;=DATOS!$F$9)*(DRI_BASE!$E$2:$E$469&gt;DATOS!$F$9)*(((DRI_BASE!$C$2:$C$469=DATOS!$B$13)+(DRI_BASE!$C$2:$C$469="Ambos"))&gt;0)*(DRI_BASE!$G$2:$G$469=DATOS!$B$16),0),0)),"ND"),"ND")</f>
        <v>0</v>
      </c>
      <c r="N12" s="117">
        <f>IFERROR(IFERROR(INDEX(DRI_BASE!$S$2:$S$469,MATCH(1,INDEX((DRI_BASE!$B$2:$B$469=$F12)*(DRI_BASE!$D$2:$D$469&lt;=DATOS!$F$9)*(DRI_BASE!$E$2:$E$469&gt;DATOS!$F$9)*(((DRI_BASE!$C$2:$C$469=DATOS!$B$13)+(DRI_BASE!$C$2:$C$469="Ambos"))&gt;0)*(DRI_BASE!$G$2:$G$469=DATOS!$B$16),0),0)),""),"")</f>
        <v>0</v>
      </c>
      <c r="O12" s="118" t="str">
        <f t="shared" si="1"/>
        <v>ND</v>
      </c>
      <c r="P12" s="117">
        <f>INDEX(CALCULOS_NUTRIENTES!$J$16:$AF$16,1,MATCH($F12,CALCULOS_NUTRIENTES!$J$3:$AF$3,0))</f>
        <v>10</v>
      </c>
      <c r="Q12" s="117" t="str">
        <f>IF(COUNTA(FUENTES_ALIMENTARIAS!$B$13:$B$22)=0,"SIN ALIMENTOS",IF(OR($F12="MIN-CL",$F12="VIT-B7"),"ND EN INTA",IF(NOT(ISNUMBER(H12)),"ND",IF(AND(ISNUMBER(M12),M12&gt;0,H12&gt;M12),IF(N12="CDRR","SOBRE CDRR","SOBRE UL")&amp;IF(P12&gt;0," · PARCIAL",""),IF(P12&gt;0,"PARCIAL · "&amp;P12&amp;" ND",IF($F12="MIN-NA","BAJO CDRR",IF(NOT(ISNUMBER(J12)),"SIN REFERENCIA",IF(L12&lt;90,"BAJO",IF(L12&lt;=110,"DENTRO RANGO","SOBRE REFERENCIA")))))))))</f>
        <v>ND EN INTA</v>
      </c>
      <c r="R12" s="117" t="str">
        <f>IFERROR(IFERROR(INDEX(DRI_BASE!$M$2:$M$469,MATCH(1,INDEX((DRI_BASE!$B$2:$B$469=$F12)*(DRI_BASE!$D$2:$D$469&lt;=DATOS!$F$9)*(DRI_BASE!$E$2:$E$469&gt;DATOS!$F$9)*(((DRI_BASE!$C$2:$C$469=DATOS!$B$13)+(DRI_BASE!$C$2:$C$469="Ambos"))&gt;0)*(DRI_BASE!$G$2:$G$469=DATOS!$B$16),0),0)),"ND"),"ND")</f>
        <v>SRC-DRI-CHLORIDE-2005</v>
      </c>
    </row>
    <row r="13" spans="1:18" ht="28.5" customHeight="1">
      <c r="A13" s="37" t="s">
        <v>2940</v>
      </c>
      <c r="B13" s="37">
        <f>COUNTIF(B7:B10,"ND")</f>
        <v>0</v>
      </c>
      <c r="C13" s="37" t="s">
        <v>2941</v>
      </c>
      <c r="D13" s="37" t="s">
        <v>2942</v>
      </c>
      <c r="F13" s="117" t="s">
        <v>266</v>
      </c>
      <c r="G13" s="117" t="s">
        <v>267</v>
      </c>
      <c r="H13" s="117">
        <f>IF(OR($F13="MIN-CL",$F13="VIT-B7"),"ND",INDEX(CALCULOS_NUTRIENTES!$J$15:$AF$15,1,MATCH($F13,CALCULOS_NUTRIENTES!$J$3:$AF$3,0)))</f>
        <v>10197.9</v>
      </c>
      <c r="I13" s="117" t="str">
        <f>IFERROR(IFERROR(INDEX(NUTRIENTES!$F$8:$F$30,MATCH($F13,NUTRIENTES!$A$8:$A$30,0)),""),"")</f>
        <v>µg RAE</v>
      </c>
      <c r="J13" s="117">
        <f>IFERROR(IFERROR(INDEX(DRI_BASE!$T$2:$T$469,MATCH(1,INDEX((DRI_BASE!$B$2:$B$469=$F13)*(DRI_BASE!$D$2:$D$469&lt;=DATOS!$F$9)*(DRI_BASE!$E$2:$E$469&gt;DATOS!$F$9)*(((DRI_BASE!$C$2:$C$469=DATOS!$B$13)+(DRI_BASE!$C$2:$C$469="Ambos"))&gt;0)*(DRI_BASE!$G$2:$G$469=DATOS!$B$16),0),0)),"ND"),"ND")</f>
        <v>700</v>
      </c>
      <c r="K13" s="117" t="str">
        <f>IFERROR(IFERROR(INDEX(DRI_BASE!$R$2:$R$469,MATCH(1,INDEX((DRI_BASE!$B$2:$B$469=$F13)*(DRI_BASE!$D$2:$D$469&lt;=DATOS!$F$9)*(DRI_BASE!$E$2:$E$469&gt;DATOS!$F$9)*(((DRI_BASE!$C$2:$C$469=DATOS!$B$13)+(DRI_BASE!$C$2:$C$469="Ambos"))&gt;0)*(DRI_BASE!$G$2:$G$469=DATOS!$B$16),0),0)),"ND"),"ND")</f>
        <v>RDA</v>
      </c>
      <c r="L13" s="118">
        <f t="shared" si="0"/>
        <v>1456.8428571428572</v>
      </c>
      <c r="M13" s="117">
        <f>IFERROR(IFERROR(INDEX(DRI_BASE!$U$2:$U$469,MATCH(1,INDEX((DRI_BASE!$B$2:$B$469=$F13)*(DRI_BASE!$D$2:$D$469&lt;=DATOS!$F$9)*(DRI_BASE!$E$2:$E$469&gt;DATOS!$F$9)*(((DRI_BASE!$C$2:$C$469=DATOS!$B$13)+(DRI_BASE!$C$2:$C$469="Ambos"))&gt;0)*(DRI_BASE!$G$2:$G$469=DATOS!$B$16),0),0)),"ND"),"ND")</f>
        <v>3000</v>
      </c>
      <c r="N13" s="117" t="str">
        <f>IFERROR(IFERROR(INDEX(DRI_BASE!$S$2:$S$469,MATCH(1,INDEX((DRI_BASE!$B$2:$B$469=$F13)*(DRI_BASE!$D$2:$D$469&lt;=DATOS!$F$9)*(DRI_BASE!$E$2:$E$469&gt;DATOS!$F$9)*(((DRI_BASE!$C$2:$C$469=DATOS!$B$13)+(DRI_BASE!$C$2:$C$469="Ambos"))&gt;0)*(DRI_BASE!$G$2:$G$469=DATOS!$B$16),0),0)),""),"")</f>
        <v>UL</v>
      </c>
      <c r="O13" s="118">
        <f t="shared" si="1"/>
        <v>339.92999999999995</v>
      </c>
      <c r="P13" s="117">
        <f>INDEX(CALCULOS_NUTRIENTES!$J$16:$AF$16,1,MATCH($F13,CALCULOS_NUTRIENTES!$J$3:$AF$3,0))</f>
        <v>2</v>
      </c>
      <c r="Q13" s="117" t="str">
        <f>IF(COUNTA(FUENTES_ALIMENTARIAS!$B$13:$B$22)=0,"SIN ALIMENTOS",IF(OR($F13="MIN-CL",$F13="VIT-B7"),"ND EN INTA",IF(NOT(ISNUMBER(H13)),"ND",IF(AND(ISNUMBER(M13),M13&gt;0,H13&gt;M13),IF(N13="CDRR","SOBRE CDRR","SOBRE UL")&amp;IF(P13&gt;0," · PARCIAL",""),IF(P13&gt;0,"PARCIAL · "&amp;P13&amp;" ND",IF($F13="MIN-NA","BAJO CDRR",IF(NOT(ISNUMBER(J13)),"SIN REFERENCIA",IF(L13&lt;90,"BAJO",IF(L13&lt;=110,"DENTRO RANGO","SOBRE REFERENCIA")))))))))</f>
        <v>SOBRE UL · PARCIAL</v>
      </c>
      <c r="R13" s="117" t="str">
        <f>IFERROR(IFERROR(INDEX(DRI_BASE!$M$2:$M$469,MATCH(1,INDEX((DRI_BASE!$B$2:$B$469=$F13)*(DRI_BASE!$D$2:$D$469&lt;=DATOS!$F$9)*(DRI_BASE!$E$2:$E$469&gt;DATOS!$F$9)*(((DRI_BASE!$C$2:$C$469=DATOS!$B$13)+(DRI_BASE!$C$2:$C$469="Ambos"))&gt;0)*(DRI_BASE!$G$2:$G$469=DATOS!$B$16),0),0)),"ND"),"ND")</f>
        <v>SRC-DRI-SUMMARY</v>
      </c>
    </row>
    <row r="14" spans="1:18" ht="28.5" customHeight="1">
      <c r="F14" s="117" t="s">
        <v>272</v>
      </c>
      <c r="G14" s="117" t="s">
        <v>273</v>
      </c>
      <c r="H14" s="117">
        <f>IF(OR($F14="MIN-CL",$F14="VIT-B7"),"ND",INDEX(CALCULOS_NUTRIENTES!$J$15:$AF$15,1,MATCH($F14,CALCULOS_NUTRIENTES!$J$3:$AF$3,0)))</f>
        <v>3.37</v>
      </c>
      <c r="I14" s="117" t="str">
        <f>IFERROR(IFERROR(INDEX(NUTRIENTES!$F$8:$F$30,MATCH($F14,NUTRIENTES!$A$8:$A$30,0)),""),"")</f>
        <v>µg</v>
      </c>
      <c r="J14" s="117">
        <f>IFERROR(IFERROR(INDEX(DRI_BASE!$T$2:$T$469,MATCH(1,INDEX((DRI_BASE!$B$2:$B$469=$F14)*(DRI_BASE!$D$2:$D$469&lt;=DATOS!$F$9)*(DRI_BASE!$E$2:$E$469&gt;DATOS!$F$9)*(((DRI_BASE!$C$2:$C$469=DATOS!$B$13)+(DRI_BASE!$C$2:$C$469="Ambos"))&gt;0)*(DRI_BASE!$G$2:$G$469=DATOS!$B$16),0),0)),"ND"),"ND")</f>
        <v>15</v>
      </c>
      <c r="K14" s="117" t="str">
        <f>IFERROR(IFERROR(INDEX(DRI_BASE!$R$2:$R$469,MATCH(1,INDEX((DRI_BASE!$B$2:$B$469=$F14)*(DRI_BASE!$D$2:$D$469&lt;=DATOS!$F$9)*(DRI_BASE!$E$2:$E$469&gt;DATOS!$F$9)*(((DRI_BASE!$C$2:$C$469=DATOS!$B$13)+(DRI_BASE!$C$2:$C$469="Ambos"))&gt;0)*(DRI_BASE!$G$2:$G$469=DATOS!$B$16),0),0)),"ND"),"ND")</f>
        <v>RDA</v>
      </c>
      <c r="L14" s="118">
        <f t="shared" si="0"/>
        <v>22.466666666666669</v>
      </c>
      <c r="M14" s="117">
        <f>IFERROR(IFERROR(INDEX(DRI_BASE!$U$2:$U$469,MATCH(1,INDEX((DRI_BASE!$B$2:$B$469=$F14)*(DRI_BASE!$D$2:$D$469&lt;=DATOS!$F$9)*(DRI_BASE!$E$2:$E$469&gt;DATOS!$F$9)*(((DRI_BASE!$C$2:$C$469=DATOS!$B$13)+(DRI_BASE!$C$2:$C$469="Ambos"))&gt;0)*(DRI_BASE!$G$2:$G$469=DATOS!$B$16),0),0)),"ND"),"ND")</f>
        <v>100</v>
      </c>
      <c r="N14" s="117" t="str">
        <f>IFERROR(IFERROR(INDEX(DRI_BASE!$S$2:$S$469,MATCH(1,INDEX((DRI_BASE!$B$2:$B$469=$F14)*(DRI_BASE!$D$2:$D$469&lt;=DATOS!$F$9)*(DRI_BASE!$E$2:$E$469&gt;DATOS!$F$9)*(((DRI_BASE!$C$2:$C$469=DATOS!$B$13)+(DRI_BASE!$C$2:$C$469="Ambos"))&gt;0)*(DRI_BASE!$G$2:$G$469=DATOS!$B$16),0),0)),""),"")</f>
        <v>UL</v>
      </c>
      <c r="O14" s="118">
        <f t="shared" si="1"/>
        <v>3.37</v>
      </c>
      <c r="P14" s="117">
        <f>INDEX(CALCULOS_NUTRIENTES!$J$16:$AF$16,1,MATCH($F14,CALCULOS_NUTRIENTES!$J$3:$AF$3,0))</f>
        <v>4</v>
      </c>
      <c r="Q14" s="117" t="str">
        <f>IF(COUNTA(FUENTES_ALIMENTARIAS!$B$13:$B$22)=0,"SIN ALIMENTOS",IF(OR($F14="MIN-CL",$F14="VIT-B7"),"ND EN INTA",IF(NOT(ISNUMBER(H14)),"ND",IF(AND(ISNUMBER(M14),M14&gt;0,H14&gt;M14),IF(N14="CDRR","SOBRE CDRR","SOBRE UL")&amp;IF(P14&gt;0," · PARCIAL",""),IF(P14&gt;0,"PARCIAL · "&amp;P14&amp;" ND",IF($F14="MIN-NA","BAJO CDRR",IF(NOT(ISNUMBER(J14)),"SIN REFERENCIA",IF(L14&lt;90,"BAJO",IF(L14&lt;=110,"DENTRO RANGO","SOBRE REFERENCIA")))))))))</f>
        <v>PARCIAL · 4 ND</v>
      </c>
      <c r="R14" s="117" t="str">
        <f>IFERROR(IFERROR(INDEX(DRI_BASE!$M$2:$M$469,MATCH(1,INDEX((DRI_BASE!$B$2:$B$469=$F14)*(DRI_BASE!$D$2:$D$469&lt;=DATOS!$F$9)*(DRI_BASE!$E$2:$E$469&gt;DATOS!$F$9)*(((DRI_BASE!$C$2:$C$469=DATOS!$B$13)+(DRI_BASE!$C$2:$C$469="Ambos"))&gt;0)*(DRI_BASE!$G$2:$G$469=DATOS!$B$16),0),0)),"ND"),"ND")</f>
        <v>SRC-DRI-SUMMARY</v>
      </c>
    </row>
    <row r="15" spans="1:18" ht="28.5" customHeight="1">
      <c r="F15" s="117" t="s">
        <v>275</v>
      </c>
      <c r="G15" s="117" t="s">
        <v>276</v>
      </c>
      <c r="H15" s="117">
        <f>IF(OR($F15="MIN-CL",$F15="VIT-B7"),"ND",INDEX(CALCULOS_NUTRIENTES!$J$15:$AF$15,1,MATCH($F15,CALCULOS_NUTRIENTES!$J$3:$AF$3,0)))</f>
        <v>4.22</v>
      </c>
      <c r="I15" s="117" t="str">
        <f>IFERROR(IFERROR(INDEX(NUTRIENTES!$F$8:$F$30,MATCH($F15,NUTRIENTES!$A$8:$A$30,0)),""),"")</f>
        <v>mg</v>
      </c>
      <c r="J15" s="117">
        <f>IFERROR(IFERROR(INDEX(DRI_BASE!$T$2:$T$469,MATCH(1,INDEX((DRI_BASE!$B$2:$B$469=$F15)*(DRI_BASE!$D$2:$D$469&lt;=DATOS!$F$9)*(DRI_BASE!$E$2:$E$469&gt;DATOS!$F$9)*(((DRI_BASE!$C$2:$C$469=DATOS!$B$13)+(DRI_BASE!$C$2:$C$469="Ambos"))&gt;0)*(DRI_BASE!$G$2:$G$469=DATOS!$B$16),0),0)),"ND"),"ND")</f>
        <v>15</v>
      </c>
      <c r="K15" s="117" t="str">
        <f>IFERROR(IFERROR(INDEX(DRI_BASE!$R$2:$R$469,MATCH(1,INDEX((DRI_BASE!$B$2:$B$469=$F15)*(DRI_BASE!$D$2:$D$469&lt;=DATOS!$F$9)*(DRI_BASE!$E$2:$E$469&gt;DATOS!$F$9)*(((DRI_BASE!$C$2:$C$469=DATOS!$B$13)+(DRI_BASE!$C$2:$C$469="Ambos"))&gt;0)*(DRI_BASE!$G$2:$G$469=DATOS!$B$16),0),0)),"ND"),"ND")</f>
        <v>RDA</v>
      </c>
      <c r="L15" s="118">
        <f t="shared" si="0"/>
        <v>28.133333333333333</v>
      </c>
      <c r="M15" s="117">
        <f>IFERROR(IFERROR(INDEX(DRI_BASE!$U$2:$U$469,MATCH(1,INDEX((DRI_BASE!$B$2:$B$469=$F15)*(DRI_BASE!$D$2:$D$469&lt;=DATOS!$F$9)*(DRI_BASE!$E$2:$E$469&gt;DATOS!$F$9)*(((DRI_BASE!$C$2:$C$469=DATOS!$B$13)+(DRI_BASE!$C$2:$C$469="Ambos"))&gt;0)*(DRI_BASE!$G$2:$G$469=DATOS!$B$16),0),0)),"ND"),"ND")</f>
        <v>1000</v>
      </c>
      <c r="N15" s="117" t="str">
        <f>IFERROR(IFERROR(INDEX(DRI_BASE!$S$2:$S$469,MATCH(1,INDEX((DRI_BASE!$B$2:$B$469=$F15)*(DRI_BASE!$D$2:$D$469&lt;=DATOS!$F$9)*(DRI_BASE!$E$2:$E$469&gt;DATOS!$F$9)*(((DRI_BASE!$C$2:$C$469=DATOS!$B$13)+(DRI_BASE!$C$2:$C$469="Ambos"))&gt;0)*(DRI_BASE!$G$2:$G$469=DATOS!$B$16),0),0)),""),"")</f>
        <v>UL</v>
      </c>
      <c r="O15" s="118">
        <f t="shared" si="1"/>
        <v>0.42199999999999999</v>
      </c>
      <c r="P15" s="117">
        <f>INDEX(CALCULOS_NUTRIENTES!$J$16:$AF$16,1,MATCH($F15,CALCULOS_NUTRIENTES!$J$3:$AF$3,0))</f>
        <v>5</v>
      </c>
      <c r="Q15" s="117" t="str">
        <f>IF(COUNTA(FUENTES_ALIMENTARIAS!$B$13:$B$22)=0,"SIN ALIMENTOS",IF(OR($F15="MIN-CL",$F15="VIT-B7"),"ND EN INTA",IF(NOT(ISNUMBER(H15)),"ND",IF(AND(ISNUMBER(M15),M15&gt;0,H15&gt;M15),IF(N15="CDRR","SOBRE CDRR","SOBRE UL")&amp;IF(P15&gt;0," · PARCIAL",""),IF(P15&gt;0,"PARCIAL · "&amp;P15&amp;" ND",IF($F15="MIN-NA","BAJO CDRR",IF(NOT(ISNUMBER(J15)),"SIN REFERENCIA",IF(L15&lt;90,"BAJO",IF(L15&lt;=110,"DENTRO RANGO","SOBRE REFERENCIA")))))))))</f>
        <v>PARCIAL · 5 ND</v>
      </c>
      <c r="R15" s="117" t="str">
        <f>IFERROR(IFERROR(INDEX(DRI_BASE!$M$2:$M$469,MATCH(1,INDEX((DRI_BASE!$B$2:$B$469=$F15)*(DRI_BASE!$D$2:$D$469&lt;=DATOS!$F$9)*(DRI_BASE!$E$2:$E$469&gt;DATOS!$F$9)*(((DRI_BASE!$C$2:$C$469=DATOS!$B$13)+(DRI_BASE!$C$2:$C$469="Ambos"))&gt;0)*(DRI_BASE!$G$2:$G$469=DATOS!$B$16),0),0)),"ND"),"ND")</f>
        <v>SRC-DRI-SUMMARY</v>
      </c>
    </row>
    <row r="16" spans="1:18" ht="28.5" customHeight="1">
      <c r="F16" s="117" t="s">
        <v>278</v>
      </c>
      <c r="G16" s="117" t="s">
        <v>279</v>
      </c>
      <c r="H16" s="117">
        <f>IF(OR($F16="MIN-CL",$F16="VIT-B7"),"ND",INDEX(CALCULOS_NUTRIENTES!$J$15:$AF$15,1,MATCH($F16,CALCULOS_NUTRIENTES!$J$3:$AF$3,0)))</f>
        <v>504.04</v>
      </c>
      <c r="I16" s="117" t="str">
        <f>IFERROR(IFERROR(INDEX(NUTRIENTES!$F$8:$F$30,MATCH($F16,NUTRIENTES!$A$8:$A$30,0)),""),"")</f>
        <v>µg</v>
      </c>
      <c r="J16" s="117">
        <f>IFERROR(IFERROR(INDEX(DRI_BASE!$T$2:$T$469,MATCH(1,INDEX((DRI_BASE!$B$2:$B$469=$F16)*(DRI_BASE!$D$2:$D$469&lt;=DATOS!$F$9)*(DRI_BASE!$E$2:$E$469&gt;DATOS!$F$9)*(((DRI_BASE!$C$2:$C$469=DATOS!$B$13)+(DRI_BASE!$C$2:$C$469="Ambos"))&gt;0)*(DRI_BASE!$G$2:$G$469=DATOS!$B$16),0),0)),"ND"),"ND")</f>
        <v>90</v>
      </c>
      <c r="K16" s="117" t="str">
        <f>IFERROR(IFERROR(INDEX(DRI_BASE!$R$2:$R$469,MATCH(1,INDEX((DRI_BASE!$B$2:$B$469=$F16)*(DRI_BASE!$D$2:$D$469&lt;=DATOS!$F$9)*(DRI_BASE!$E$2:$E$469&gt;DATOS!$F$9)*(((DRI_BASE!$C$2:$C$469=DATOS!$B$13)+(DRI_BASE!$C$2:$C$469="Ambos"))&gt;0)*(DRI_BASE!$G$2:$G$469=DATOS!$B$16),0),0)),"ND"),"ND")</f>
        <v>AI</v>
      </c>
      <c r="L16" s="118">
        <f t="shared" si="0"/>
        <v>560.04444444444448</v>
      </c>
      <c r="M16" s="117">
        <f>IFERROR(IFERROR(INDEX(DRI_BASE!$U$2:$U$469,MATCH(1,INDEX((DRI_BASE!$B$2:$B$469=$F16)*(DRI_BASE!$D$2:$D$469&lt;=DATOS!$F$9)*(DRI_BASE!$E$2:$E$469&gt;DATOS!$F$9)*(((DRI_BASE!$C$2:$C$469=DATOS!$B$13)+(DRI_BASE!$C$2:$C$469="Ambos"))&gt;0)*(DRI_BASE!$G$2:$G$469=DATOS!$B$16),0),0)),"ND"),"ND")</f>
        <v>0</v>
      </c>
      <c r="N16" s="117">
        <f>IFERROR(IFERROR(INDEX(DRI_BASE!$S$2:$S$469,MATCH(1,INDEX((DRI_BASE!$B$2:$B$469=$F16)*(DRI_BASE!$D$2:$D$469&lt;=DATOS!$F$9)*(DRI_BASE!$E$2:$E$469&gt;DATOS!$F$9)*(((DRI_BASE!$C$2:$C$469=DATOS!$B$13)+(DRI_BASE!$C$2:$C$469="Ambos"))&gt;0)*(DRI_BASE!$G$2:$G$469=DATOS!$B$16),0),0)),""),"")</f>
        <v>0</v>
      </c>
      <c r="O16" s="118" t="str">
        <f t="shared" si="1"/>
        <v>ND</v>
      </c>
      <c r="P16" s="117">
        <f>INDEX(CALCULOS_NUTRIENTES!$J$16:$AF$16,1,MATCH($F16,CALCULOS_NUTRIENTES!$J$3:$AF$3,0))</f>
        <v>5</v>
      </c>
      <c r="Q16" s="117" t="str">
        <f>IF(COUNTA(FUENTES_ALIMENTARIAS!$B$13:$B$22)=0,"SIN ALIMENTOS",IF(OR($F16="MIN-CL",$F16="VIT-B7"),"ND EN INTA",IF(NOT(ISNUMBER(H16)),"ND",IF(AND(ISNUMBER(M16),M16&gt;0,H16&gt;M16),IF(N16="CDRR","SOBRE CDRR","SOBRE UL")&amp;IF(P16&gt;0," · PARCIAL",""),IF(P16&gt;0,"PARCIAL · "&amp;P16&amp;" ND",IF($F16="MIN-NA","BAJO CDRR",IF(NOT(ISNUMBER(J16)),"SIN REFERENCIA",IF(L16&lt;90,"BAJO",IF(L16&lt;=110,"DENTRO RANGO","SOBRE REFERENCIA")))))))))</f>
        <v>PARCIAL · 5 ND</v>
      </c>
      <c r="R16" s="117" t="str">
        <f>IFERROR(IFERROR(INDEX(DRI_BASE!$M$2:$M$469,MATCH(1,INDEX((DRI_BASE!$B$2:$B$469=$F16)*(DRI_BASE!$D$2:$D$469&lt;=DATOS!$F$9)*(DRI_BASE!$E$2:$E$469&gt;DATOS!$F$9)*(((DRI_BASE!$C$2:$C$469=DATOS!$B$13)+(DRI_BASE!$C$2:$C$469="Ambos"))&gt;0)*(DRI_BASE!$G$2:$G$469=DATOS!$B$16),0),0)),"ND"),"ND")</f>
        <v>SRC-DRI-SUMMARY</v>
      </c>
    </row>
    <row r="17" spans="6:18" ht="28.5" customHeight="1">
      <c r="F17" s="117" t="s">
        <v>280</v>
      </c>
      <c r="G17" s="117" t="s">
        <v>281</v>
      </c>
      <c r="H17" s="117">
        <f>IF(OR($F17="MIN-CL",$F17="VIT-B7"),"ND",INDEX(CALCULOS_NUTRIENTES!$J$15:$AF$15,1,MATCH($F17,CALCULOS_NUTRIENTES!$J$3:$AF$3,0)))</f>
        <v>79.349999999999994</v>
      </c>
      <c r="I17" s="117" t="str">
        <f>IFERROR(IFERROR(INDEX(NUTRIENTES!$F$8:$F$30,MATCH($F17,NUTRIENTES!$A$8:$A$30,0)),""),"")</f>
        <v>mg</v>
      </c>
      <c r="J17" s="117">
        <f>IFERROR(IFERROR(INDEX(DRI_BASE!$T$2:$T$469,MATCH(1,INDEX((DRI_BASE!$B$2:$B$469=$F17)*(DRI_BASE!$D$2:$D$469&lt;=DATOS!$F$9)*(DRI_BASE!$E$2:$E$469&gt;DATOS!$F$9)*(((DRI_BASE!$C$2:$C$469=DATOS!$B$13)+(DRI_BASE!$C$2:$C$469="Ambos"))&gt;0)*(DRI_BASE!$G$2:$G$469=DATOS!$B$16),0),0)),"ND"),"ND")</f>
        <v>75</v>
      </c>
      <c r="K17" s="117" t="str">
        <f>IFERROR(IFERROR(INDEX(DRI_BASE!$R$2:$R$469,MATCH(1,INDEX((DRI_BASE!$B$2:$B$469=$F17)*(DRI_BASE!$D$2:$D$469&lt;=DATOS!$F$9)*(DRI_BASE!$E$2:$E$469&gt;DATOS!$F$9)*(((DRI_BASE!$C$2:$C$469=DATOS!$B$13)+(DRI_BASE!$C$2:$C$469="Ambos"))&gt;0)*(DRI_BASE!$G$2:$G$469=DATOS!$B$16),0),0)),"ND"),"ND")</f>
        <v>RDA</v>
      </c>
      <c r="L17" s="118">
        <f t="shared" si="0"/>
        <v>105.79999999999998</v>
      </c>
      <c r="M17" s="117">
        <f>IFERROR(IFERROR(INDEX(DRI_BASE!$U$2:$U$469,MATCH(1,INDEX((DRI_BASE!$B$2:$B$469=$F17)*(DRI_BASE!$D$2:$D$469&lt;=DATOS!$F$9)*(DRI_BASE!$E$2:$E$469&gt;DATOS!$F$9)*(((DRI_BASE!$C$2:$C$469=DATOS!$B$13)+(DRI_BASE!$C$2:$C$469="Ambos"))&gt;0)*(DRI_BASE!$G$2:$G$469=DATOS!$B$16),0),0)),"ND"),"ND")</f>
        <v>2000</v>
      </c>
      <c r="N17" s="117" t="str">
        <f>IFERROR(IFERROR(INDEX(DRI_BASE!$S$2:$S$469,MATCH(1,INDEX((DRI_BASE!$B$2:$B$469=$F17)*(DRI_BASE!$D$2:$D$469&lt;=DATOS!$F$9)*(DRI_BASE!$E$2:$E$469&gt;DATOS!$F$9)*(((DRI_BASE!$C$2:$C$469=DATOS!$B$13)+(DRI_BASE!$C$2:$C$469="Ambos"))&gt;0)*(DRI_BASE!$G$2:$G$469=DATOS!$B$16),0),0)),""),"")</f>
        <v>UL</v>
      </c>
      <c r="O17" s="118">
        <f t="shared" si="1"/>
        <v>3.9674999999999994</v>
      </c>
      <c r="P17" s="117">
        <f>INDEX(CALCULOS_NUTRIENTES!$J$16:$AF$16,1,MATCH($F17,CALCULOS_NUTRIENTES!$J$3:$AF$3,0))</f>
        <v>1</v>
      </c>
      <c r="Q17" s="117" t="str">
        <f>IF(COUNTA(FUENTES_ALIMENTARIAS!$B$13:$B$22)=0,"SIN ALIMENTOS",IF(OR($F17="MIN-CL",$F17="VIT-B7"),"ND EN INTA",IF(NOT(ISNUMBER(H17)),"ND",IF(AND(ISNUMBER(M17),M17&gt;0,H17&gt;M17),IF(N17="CDRR","SOBRE CDRR","SOBRE UL")&amp;IF(P17&gt;0," · PARCIAL",""),IF(P17&gt;0,"PARCIAL · "&amp;P17&amp;" ND",IF($F17="MIN-NA","BAJO CDRR",IF(NOT(ISNUMBER(J17)),"SIN REFERENCIA",IF(L17&lt;90,"BAJO",IF(L17&lt;=110,"DENTRO RANGO","SOBRE REFERENCIA")))))))))</f>
        <v>PARCIAL · 1 ND</v>
      </c>
      <c r="R17" s="117" t="str">
        <f>IFERROR(IFERROR(INDEX(DRI_BASE!$M$2:$M$469,MATCH(1,INDEX((DRI_BASE!$B$2:$B$469=$F17)*(DRI_BASE!$D$2:$D$469&lt;=DATOS!$F$9)*(DRI_BASE!$E$2:$E$469&gt;DATOS!$F$9)*(((DRI_BASE!$C$2:$C$469=DATOS!$B$13)+(DRI_BASE!$C$2:$C$469="Ambos"))&gt;0)*(DRI_BASE!$G$2:$G$469=DATOS!$B$16),0),0)),"ND"),"ND")</f>
        <v>SRC-DRI-SUMMARY</v>
      </c>
    </row>
    <row r="18" spans="6:18" ht="28.5" customHeight="1">
      <c r="F18" s="117" t="s">
        <v>285</v>
      </c>
      <c r="G18" s="117" t="s">
        <v>286</v>
      </c>
      <c r="H18" s="117">
        <f>IF(OR($F18="MIN-CL",$F18="VIT-B7"),"ND",INDEX(CALCULOS_NUTRIENTES!$J$15:$AF$15,1,MATCH($F18,CALCULOS_NUTRIENTES!$J$3:$AF$3,0)))</f>
        <v>1.95</v>
      </c>
      <c r="I18" s="117" t="str">
        <f>IFERROR(IFERROR(INDEX(NUTRIENTES!$F$8:$F$30,MATCH($F18,NUTRIENTES!$A$8:$A$30,0)),""),"")</f>
        <v>mg</v>
      </c>
      <c r="J18" s="117">
        <f>IFERROR(IFERROR(INDEX(DRI_BASE!$T$2:$T$469,MATCH(1,INDEX((DRI_BASE!$B$2:$B$469=$F18)*(DRI_BASE!$D$2:$D$469&lt;=DATOS!$F$9)*(DRI_BASE!$E$2:$E$469&gt;DATOS!$F$9)*(((DRI_BASE!$C$2:$C$469=DATOS!$B$13)+(DRI_BASE!$C$2:$C$469="Ambos"))&gt;0)*(DRI_BASE!$G$2:$G$469=DATOS!$B$16),0),0)),"ND"),"ND")</f>
        <v>1.1000000000000001</v>
      </c>
      <c r="K18" s="117" t="str">
        <f>IFERROR(IFERROR(INDEX(DRI_BASE!$R$2:$R$469,MATCH(1,INDEX((DRI_BASE!$B$2:$B$469=$F18)*(DRI_BASE!$D$2:$D$469&lt;=DATOS!$F$9)*(DRI_BASE!$E$2:$E$469&gt;DATOS!$F$9)*(((DRI_BASE!$C$2:$C$469=DATOS!$B$13)+(DRI_BASE!$C$2:$C$469="Ambos"))&gt;0)*(DRI_BASE!$G$2:$G$469=DATOS!$B$16),0),0)),"ND"),"ND")</f>
        <v>RDA</v>
      </c>
      <c r="L18" s="118">
        <f t="shared" si="0"/>
        <v>177.27272727272725</v>
      </c>
      <c r="M18" s="117">
        <f>IFERROR(IFERROR(INDEX(DRI_BASE!$U$2:$U$469,MATCH(1,INDEX((DRI_BASE!$B$2:$B$469=$F18)*(DRI_BASE!$D$2:$D$469&lt;=DATOS!$F$9)*(DRI_BASE!$E$2:$E$469&gt;DATOS!$F$9)*(((DRI_BASE!$C$2:$C$469=DATOS!$B$13)+(DRI_BASE!$C$2:$C$469="Ambos"))&gt;0)*(DRI_BASE!$G$2:$G$469=DATOS!$B$16),0),0)),"ND"),"ND")</f>
        <v>0</v>
      </c>
      <c r="N18" s="117">
        <f>IFERROR(IFERROR(INDEX(DRI_BASE!$S$2:$S$469,MATCH(1,INDEX((DRI_BASE!$B$2:$B$469=$F18)*(DRI_BASE!$D$2:$D$469&lt;=DATOS!$F$9)*(DRI_BASE!$E$2:$E$469&gt;DATOS!$F$9)*(((DRI_BASE!$C$2:$C$469=DATOS!$B$13)+(DRI_BASE!$C$2:$C$469="Ambos"))&gt;0)*(DRI_BASE!$G$2:$G$469=DATOS!$B$16),0),0)),""),"")</f>
        <v>0</v>
      </c>
      <c r="O18" s="118" t="str">
        <f t="shared" si="1"/>
        <v>ND</v>
      </c>
      <c r="P18" s="117">
        <f>INDEX(CALCULOS_NUTRIENTES!$J$16:$AF$16,1,MATCH($F18,CALCULOS_NUTRIENTES!$J$3:$AF$3,0))</f>
        <v>1</v>
      </c>
      <c r="Q18" s="117" t="str">
        <f>IF(COUNTA(FUENTES_ALIMENTARIAS!$B$13:$B$22)=0,"SIN ALIMENTOS",IF(OR($F18="MIN-CL",$F18="VIT-B7"),"ND EN INTA",IF(NOT(ISNUMBER(H18)),"ND",IF(AND(ISNUMBER(M18),M18&gt;0,H18&gt;M18),IF(N18="CDRR","SOBRE CDRR","SOBRE UL")&amp;IF(P18&gt;0," · PARCIAL",""),IF(P18&gt;0,"PARCIAL · "&amp;P18&amp;" ND",IF($F18="MIN-NA","BAJO CDRR",IF(NOT(ISNUMBER(J18)),"SIN REFERENCIA",IF(L18&lt;90,"BAJO",IF(L18&lt;=110,"DENTRO RANGO","SOBRE REFERENCIA")))))))))</f>
        <v>PARCIAL · 1 ND</v>
      </c>
      <c r="R18" s="117" t="str">
        <f>IFERROR(IFERROR(INDEX(DRI_BASE!$M$2:$M$469,MATCH(1,INDEX((DRI_BASE!$B$2:$B$469=$F18)*(DRI_BASE!$D$2:$D$469&lt;=DATOS!$F$9)*(DRI_BASE!$E$2:$E$469&gt;DATOS!$F$9)*(((DRI_BASE!$C$2:$C$469=DATOS!$B$13)+(DRI_BASE!$C$2:$C$469="Ambos"))&gt;0)*(DRI_BASE!$G$2:$G$469=DATOS!$B$16),0),0)),"ND"),"ND")</f>
        <v>SRC-DRI-SUMMARY</v>
      </c>
    </row>
    <row r="19" spans="6:18" ht="28.5" customHeight="1">
      <c r="F19" s="117" t="s">
        <v>289</v>
      </c>
      <c r="G19" s="117" t="s">
        <v>290</v>
      </c>
      <c r="H19" s="117">
        <f>IF(OR($F19="MIN-CL",$F19="VIT-B7"),"ND",INDEX(CALCULOS_NUTRIENTES!$J$15:$AF$15,1,MATCH($F19,CALCULOS_NUTRIENTES!$J$3:$AF$3,0)))</f>
        <v>5.07</v>
      </c>
      <c r="I19" s="117" t="str">
        <f>IFERROR(IFERROR(INDEX(NUTRIENTES!$F$8:$F$30,MATCH($F19,NUTRIENTES!$A$8:$A$30,0)),""),"")</f>
        <v>mg</v>
      </c>
      <c r="J19" s="117">
        <f>IFERROR(IFERROR(INDEX(DRI_BASE!$T$2:$T$469,MATCH(1,INDEX((DRI_BASE!$B$2:$B$469=$F19)*(DRI_BASE!$D$2:$D$469&lt;=DATOS!$F$9)*(DRI_BASE!$E$2:$E$469&gt;DATOS!$F$9)*(((DRI_BASE!$C$2:$C$469=DATOS!$B$13)+(DRI_BASE!$C$2:$C$469="Ambos"))&gt;0)*(DRI_BASE!$G$2:$G$469=DATOS!$B$16),0),0)),"ND"),"ND")</f>
        <v>1.1000000000000001</v>
      </c>
      <c r="K19" s="117" t="str">
        <f>IFERROR(IFERROR(INDEX(DRI_BASE!$R$2:$R$469,MATCH(1,INDEX((DRI_BASE!$B$2:$B$469=$F19)*(DRI_BASE!$D$2:$D$469&lt;=DATOS!$F$9)*(DRI_BASE!$E$2:$E$469&gt;DATOS!$F$9)*(((DRI_BASE!$C$2:$C$469=DATOS!$B$13)+(DRI_BASE!$C$2:$C$469="Ambos"))&gt;0)*(DRI_BASE!$G$2:$G$469=DATOS!$B$16),0),0)),"ND"),"ND")</f>
        <v>RDA</v>
      </c>
      <c r="L19" s="118">
        <f t="shared" si="0"/>
        <v>460.90909090909093</v>
      </c>
      <c r="M19" s="117">
        <f>IFERROR(IFERROR(INDEX(DRI_BASE!$U$2:$U$469,MATCH(1,INDEX((DRI_BASE!$B$2:$B$469=$F19)*(DRI_BASE!$D$2:$D$469&lt;=DATOS!$F$9)*(DRI_BASE!$E$2:$E$469&gt;DATOS!$F$9)*(((DRI_BASE!$C$2:$C$469=DATOS!$B$13)+(DRI_BASE!$C$2:$C$469="Ambos"))&gt;0)*(DRI_BASE!$G$2:$G$469=DATOS!$B$16),0),0)),"ND"),"ND")</f>
        <v>0</v>
      </c>
      <c r="N19" s="117">
        <f>IFERROR(IFERROR(INDEX(DRI_BASE!$S$2:$S$469,MATCH(1,INDEX((DRI_BASE!$B$2:$B$469=$F19)*(DRI_BASE!$D$2:$D$469&lt;=DATOS!$F$9)*(DRI_BASE!$E$2:$E$469&gt;DATOS!$F$9)*(((DRI_BASE!$C$2:$C$469=DATOS!$B$13)+(DRI_BASE!$C$2:$C$469="Ambos"))&gt;0)*(DRI_BASE!$G$2:$G$469=DATOS!$B$16),0),0)),""),"")</f>
        <v>0</v>
      </c>
      <c r="O19" s="118" t="str">
        <f t="shared" si="1"/>
        <v>ND</v>
      </c>
      <c r="P19" s="117">
        <f>INDEX(CALCULOS_NUTRIENTES!$J$16:$AF$16,1,MATCH($F19,CALCULOS_NUTRIENTES!$J$3:$AF$3,0))</f>
        <v>1</v>
      </c>
      <c r="Q19" s="117" t="str">
        <f>IF(COUNTA(FUENTES_ALIMENTARIAS!$B$13:$B$22)=0,"SIN ALIMENTOS",IF(OR($F19="MIN-CL",$F19="VIT-B7"),"ND EN INTA",IF(NOT(ISNUMBER(H19)),"ND",IF(AND(ISNUMBER(M19),M19&gt;0,H19&gt;M19),IF(N19="CDRR","SOBRE CDRR","SOBRE UL")&amp;IF(P19&gt;0," · PARCIAL",""),IF(P19&gt;0,"PARCIAL · "&amp;P19&amp;" ND",IF($F19="MIN-NA","BAJO CDRR",IF(NOT(ISNUMBER(J19)),"SIN REFERENCIA",IF(L19&lt;90,"BAJO",IF(L19&lt;=110,"DENTRO RANGO","SOBRE REFERENCIA")))))))))</f>
        <v>PARCIAL · 1 ND</v>
      </c>
      <c r="R19" s="117" t="str">
        <f>IFERROR(IFERROR(INDEX(DRI_BASE!$M$2:$M$469,MATCH(1,INDEX((DRI_BASE!$B$2:$B$469=$F19)*(DRI_BASE!$D$2:$D$469&lt;=DATOS!$F$9)*(DRI_BASE!$E$2:$E$469&gt;DATOS!$F$9)*(((DRI_BASE!$C$2:$C$469=DATOS!$B$13)+(DRI_BASE!$C$2:$C$469="Ambos"))&gt;0)*(DRI_BASE!$G$2:$G$469=DATOS!$B$16),0),0)),"ND"),"ND")</f>
        <v>SRC-DRI-SUMMARY</v>
      </c>
    </row>
    <row r="20" spans="6:18" ht="28.5" customHeight="1">
      <c r="F20" s="117" t="s">
        <v>292</v>
      </c>
      <c r="G20" s="117" t="s">
        <v>293</v>
      </c>
      <c r="H20" s="117">
        <f>IF(OR($F20="MIN-CL",$F20="VIT-B7"),"ND",INDEX(CALCULOS_NUTRIENTES!$J$15:$AF$15,1,MATCH($F20,CALCULOS_NUTRIENTES!$J$3:$AF$3,0)))</f>
        <v>29.42</v>
      </c>
      <c r="I20" s="117" t="str">
        <f>IFERROR(IFERROR(INDEX(NUTRIENTES!$F$8:$F$30,MATCH($F20,NUTRIENTES!$A$8:$A$30,0)),""),"")</f>
        <v>mg NE</v>
      </c>
      <c r="J20" s="117">
        <f>IFERROR(IFERROR(INDEX(DRI_BASE!$T$2:$T$469,MATCH(1,INDEX((DRI_BASE!$B$2:$B$469=$F20)*(DRI_BASE!$D$2:$D$469&lt;=DATOS!$F$9)*(DRI_BASE!$E$2:$E$469&gt;DATOS!$F$9)*(((DRI_BASE!$C$2:$C$469=DATOS!$B$13)+(DRI_BASE!$C$2:$C$469="Ambos"))&gt;0)*(DRI_BASE!$G$2:$G$469=DATOS!$B$16),0),0)),"ND"),"ND")</f>
        <v>14</v>
      </c>
      <c r="K20" s="117" t="str">
        <f>IFERROR(IFERROR(INDEX(DRI_BASE!$R$2:$R$469,MATCH(1,INDEX((DRI_BASE!$B$2:$B$469=$F20)*(DRI_BASE!$D$2:$D$469&lt;=DATOS!$F$9)*(DRI_BASE!$E$2:$E$469&gt;DATOS!$F$9)*(((DRI_BASE!$C$2:$C$469=DATOS!$B$13)+(DRI_BASE!$C$2:$C$469="Ambos"))&gt;0)*(DRI_BASE!$G$2:$G$469=DATOS!$B$16),0),0)),"ND"),"ND")</f>
        <v>RDA</v>
      </c>
      <c r="L20" s="118">
        <f t="shared" si="0"/>
        <v>210.14285714285714</v>
      </c>
      <c r="M20" s="117">
        <f>IFERROR(IFERROR(INDEX(DRI_BASE!$U$2:$U$469,MATCH(1,INDEX((DRI_BASE!$B$2:$B$469=$F20)*(DRI_BASE!$D$2:$D$469&lt;=DATOS!$F$9)*(DRI_BASE!$E$2:$E$469&gt;DATOS!$F$9)*(((DRI_BASE!$C$2:$C$469=DATOS!$B$13)+(DRI_BASE!$C$2:$C$469="Ambos"))&gt;0)*(DRI_BASE!$G$2:$G$469=DATOS!$B$16),0),0)),"ND"),"ND")</f>
        <v>35</v>
      </c>
      <c r="N20" s="117" t="str">
        <f>IFERROR(IFERROR(INDEX(DRI_BASE!$S$2:$S$469,MATCH(1,INDEX((DRI_BASE!$B$2:$B$469=$F20)*(DRI_BASE!$D$2:$D$469&lt;=DATOS!$F$9)*(DRI_BASE!$E$2:$E$469&gt;DATOS!$F$9)*(((DRI_BASE!$C$2:$C$469=DATOS!$B$13)+(DRI_BASE!$C$2:$C$469="Ambos"))&gt;0)*(DRI_BASE!$G$2:$G$469=DATOS!$B$16),0),0)),""),"")</f>
        <v>UL</v>
      </c>
      <c r="O20" s="118">
        <f t="shared" si="1"/>
        <v>84.057142857142864</v>
      </c>
      <c r="P20" s="117">
        <f>INDEX(CALCULOS_NUTRIENTES!$J$16:$AF$16,1,MATCH($F20,CALCULOS_NUTRIENTES!$J$3:$AF$3,0))</f>
        <v>1</v>
      </c>
      <c r="Q20" s="117" t="str">
        <f>IF(COUNTA(FUENTES_ALIMENTARIAS!$B$13:$B$22)=0,"SIN ALIMENTOS",IF(OR($F20="MIN-CL",$F20="VIT-B7"),"ND EN INTA",IF(NOT(ISNUMBER(H20)),"ND",IF(AND(ISNUMBER(M20),M20&gt;0,H20&gt;M20),IF(N20="CDRR","SOBRE CDRR","SOBRE UL")&amp;IF(P20&gt;0," · PARCIAL",""),IF(P20&gt;0,"PARCIAL · "&amp;P20&amp;" ND",IF($F20="MIN-NA","BAJO CDRR",IF(NOT(ISNUMBER(J20)),"SIN REFERENCIA",IF(L20&lt;90,"BAJO",IF(L20&lt;=110,"DENTRO RANGO","SOBRE REFERENCIA")))))))))</f>
        <v>PARCIAL · 1 ND</v>
      </c>
      <c r="R20" s="117" t="str">
        <f>IFERROR(IFERROR(INDEX(DRI_BASE!$M$2:$M$469,MATCH(1,INDEX((DRI_BASE!$B$2:$B$469=$F20)*(DRI_BASE!$D$2:$D$469&lt;=DATOS!$F$9)*(DRI_BASE!$E$2:$E$469&gt;DATOS!$F$9)*(((DRI_BASE!$C$2:$C$469=DATOS!$B$13)+(DRI_BASE!$C$2:$C$469="Ambos"))&gt;0)*(DRI_BASE!$G$2:$G$469=DATOS!$B$16),0),0)),"ND"),"ND")</f>
        <v>SRC-DRI-SUMMARY</v>
      </c>
    </row>
    <row r="21" spans="6:18" ht="42.75" customHeight="1">
      <c r="F21" s="117" t="s">
        <v>296</v>
      </c>
      <c r="G21" s="117" t="s">
        <v>297</v>
      </c>
      <c r="H21" s="117">
        <f>IF(OR($F21="MIN-CL",$F21="VIT-B7"),"ND",INDEX(CALCULOS_NUTRIENTES!$J$15:$AF$15,1,MATCH($F21,CALCULOS_NUTRIENTES!$J$3:$AF$3,0)))</f>
        <v>9.58</v>
      </c>
      <c r="I21" s="117" t="str">
        <f>IFERROR(IFERROR(INDEX(NUTRIENTES!$F$8:$F$30,MATCH($F21,NUTRIENTES!$A$8:$A$30,0)),""),"")</f>
        <v>mg</v>
      </c>
      <c r="J21" s="117">
        <f>IFERROR(IFERROR(INDEX(DRI_BASE!$T$2:$T$469,MATCH(1,INDEX((DRI_BASE!$B$2:$B$469=$F21)*(DRI_BASE!$D$2:$D$469&lt;=DATOS!$F$9)*(DRI_BASE!$E$2:$E$469&gt;DATOS!$F$9)*(((DRI_BASE!$C$2:$C$469=DATOS!$B$13)+(DRI_BASE!$C$2:$C$469="Ambos"))&gt;0)*(DRI_BASE!$G$2:$G$469=DATOS!$B$16),0),0)),"ND"),"ND")</f>
        <v>5</v>
      </c>
      <c r="K21" s="117" t="str">
        <f>IFERROR(IFERROR(INDEX(DRI_BASE!$R$2:$R$469,MATCH(1,INDEX((DRI_BASE!$B$2:$B$469=$F21)*(DRI_BASE!$D$2:$D$469&lt;=DATOS!$F$9)*(DRI_BASE!$E$2:$E$469&gt;DATOS!$F$9)*(((DRI_BASE!$C$2:$C$469=DATOS!$B$13)+(DRI_BASE!$C$2:$C$469="Ambos"))&gt;0)*(DRI_BASE!$G$2:$G$469=DATOS!$B$16),0),0)),"ND"),"ND")</f>
        <v>AI</v>
      </c>
      <c r="L21" s="118">
        <f t="shared" si="0"/>
        <v>191.6</v>
      </c>
      <c r="M21" s="117">
        <f>IFERROR(IFERROR(INDEX(DRI_BASE!$U$2:$U$469,MATCH(1,INDEX((DRI_BASE!$B$2:$B$469=$F21)*(DRI_BASE!$D$2:$D$469&lt;=DATOS!$F$9)*(DRI_BASE!$E$2:$E$469&gt;DATOS!$F$9)*(((DRI_BASE!$C$2:$C$469=DATOS!$B$13)+(DRI_BASE!$C$2:$C$469="Ambos"))&gt;0)*(DRI_BASE!$G$2:$G$469=DATOS!$B$16),0),0)),"ND"),"ND")</f>
        <v>0</v>
      </c>
      <c r="N21" s="117">
        <f>IFERROR(IFERROR(INDEX(DRI_BASE!$S$2:$S$469,MATCH(1,INDEX((DRI_BASE!$B$2:$B$469=$F21)*(DRI_BASE!$D$2:$D$469&lt;=DATOS!$F$9)*(DRI_BASE!$E$2:$E$469&gt;DATOS!$F$9)*(((DRI_BASE!$C$2:$C$469=DATOS!$B$13)+(DRI_BASE!$C$2:$C$469="Ambos"))&gt;0)*(DRI_BASE!$G$2:$G$469=DATOS!$B$16),0),0)),""),"")</f>
        <v>0</v>
      </c>
      <c r="O21" s="118" t="str">
        <f t="shared" si="1"/>
        <v>ND</v>
      </c>
      <c r="P21" s="117">
        <f>INDEX(CALCULOS_NUTRIENTES!$J$16:$AF$16,1,MATCH($F21,CALCULOS_NUTRIENTES!$J$3:$AF$3,0))</f>
        <v>3</v>
      </c>
      <c r="Q21" s="117" t="str">
        <f>IF(COUNTA(FUENTES_ALIMENTARIAS!$B$13:$B$22)=0,"SIN ALIMENTOS",IF(OR($F21="MIN-CL",$F21="VIT-B7"),"ND EN INTA",IF(NOT(ISNUMBER(H21)),"ND",IF(AND(ISNUMBER(M21),M21&gt;0,H21&gt;M21),IF(N21="CDRR","SOBRE CDRR","SOBRE UL")&amp;IF(P21&gt;0," · PARCIAL",""),IF(P21&gt;0,"PARCIAL · "&amp;P21&amp;" ND",IF($F21="MIN-NA","BAJO CDRR",IF(NOT(ISNUMBER(J21)),"SIN REFERENCIA",IF(L21&lt;90,"BAJO",IF(L21&lt;=110,"DENTRO RANGO","SOBRE REFERENCIA")))))))))</f>
        <v>PARCIAL · 3 ND</v>
      </c>
      <c r="R21" s="117" t="str">
        <f>IFERROR(IFERROR(INDEX(DRI_BASE!$M$2:$M$469,MATCH(1,INDEX((DRI_BASE!$B$2:$B$469=$F21)*(DRI_BASE!$D$2:$D$469&lt;=DATOS!$F$9)*(DRI_BASE!$E$2:$E$469&gt;DATOS!$F$9)*(((DRI_BASE!$C$2:$C$469=DATOS!$B$13)+(DRI_BASE!$C$2:$C$469="Ambos"))&gt;0)*(DRI_BASE!$G$2:$G$469=DATOS!$B$16),0),0)),"ND"),"ND")</f>
        <v>SRC-DRI-SUMMARY</v>
      </c>
    </row>
    <row r="22" spans="6:18" ht="28.5" customHeight="1">
      <c r="F22" s="117" t="s">
        <v>299</v>
      </c>
      <c r="G22" s="117" t="s">
        <v>300</v>
      </c>
      <c r="H22" s="117">
        <f>IF(OR($F22="MIN-CL",$F22="VIT-B7"),"ND",INDEX(CALCULOS_NUTRIENTES!$J$15:$AF$15,1,MATCH($F22,CALCULOS_NUTRIENTES!$J$3:$AF$3,0)))</f>
        <v>2.25</v>
      </c>
      <c r="I22" s="117" t="str">
        <f>IFERROR(IFERROR(INDEX(NUTRIENTES!$F$8:$F$30,MATCH($F22,NUTRIENTES!$A$8:$A$30,0)),""),"")</f>
        <v>mg</v>
      </c>
      <c r="J22" s="117">
        <f>IFERROR(IFERROR(INDEX(DRI_BASE!$T$2:$T$469,MATCH(1,INDEX((DRI_BASE!$B$2:$B$469=$F22)*(DRI_BASE!$D$2:$D$469&lt;=DATOS!$F$9)*(DRI_BASE!$E$2:$E$469&gt;DATOS!$F$9)*(((DRI_BASE!$C$2:$C$469=DATOS!$B$13)+(DRI_BASE!$C$2:$C$469="Ambos"))&gt;0)*(DRI_BASE!$G$2:$G$469=DATOS!$B$16),0),0)),"ND"),"ND")</f>
        <v>1.3</v>
      </c>
      <c r="K22" s="117" t="str">
        <f>IFERROR(IFERROR(INDEX(DRI_BASE!$R$2:$R$469,MATCH(1,INDEX((DRI_BASE!$B$2:$B$469=$F22)*(DRI_BASE!$D$2:$D$469&lt;=DATOS!$F$9)*(DRI_BASE!$E$2:$E$469&gt;DATOS!$F$9)*(((DRI_BASE!$C$2:$C$469=DATOS!$B$13)+(DRI_BASE!$C$2:$C$469="Ambos"))&gt;0)*(DRI_BASE!$G$2:$G$469=DATOS!$B$16),0),0)),"ND"),"ND")</f>
        <v>RDA</v>
      </c>
      <c r="L22" s="118">
        <f t="shared" si="0"/>
        <v>173.07692307692307</v>
      </c>
      <c r="M22" s="117">
        <f>IFERROR(IFERROR(INDEX(DRI_BASE!$U$2:$U$469,MATCH(1,INDEX((DRI_BASE!$B$2:$B$469=$F22)*(DRI_BASE!$D$2:$D$469&lt;=DATOS!$F$9)*(DRI_BASE!$E$2:$E$469&gt;DATOS!$F$9)*(((DRI_BASE!$C$2:$C$469=DATOS!$B$13)+(DRI_BASE!$C$2:$C$469="Ambos"))&gt;0)*(DRI_BASE!$G$2:$G$469=DATOS!$B$16),0),0)),"ND"),"ND")</f>
        <v>100</v>
      </c>
      <c r="N22" s="117" t="str">
        <f>IFERROR(IFERROR(INDEX(DRI_BASE!$S$2:$S$469,MATCH(1,INDEX((DRI_BASE!$B$2:$B$469=$F22)*(DRI_BASE!$D$2:$D$469&lt;=DATOS!$F$9)*(DRI_BASE!$E$2:$E$469&gt;DATOS!$F$9)*(((DRI_BASE!$C$2:$C$469=DATOS!$B$13)+(DRI_BASE!$C$2:$C$469="Ambos"))&gt;0)*(DRI_BASE!$G$2:$G$469=DATOS!$B$16),0),0)),""),"")</f>
        <v>UL</v>
      </c>
      <c r="O22" s="118">
        <f t="shared" si="1"/>
        <v>2.25</v>
      </c>
      <c r="P22" s="117">
        <f>INDEX(CALCULOS_NUTRIENTES!$J$16:$AF$16,1,MATCH($F22,CALCULOS_NUTRIENTES!$J$3:$AF$3,0))</f>
        <v>2</v>
      </c>
      <c r="Q22" s="117" t="str">
        <f>IF(COUNTA(FUENTES_ALIMENTARIAS!$B$13:$B$22)=0,"SIN ALIMENTOS",IF(OR($F22="MIN-CL",$F22="VIT-B7"),"ND EN INTA",IF(NOT(ISNUMBER(H22)),"ND",IF(AND(ISNUMBER(M22),M22&gt;0,H22&gt;M22),IF(N22="CDRR","SOBRE CDRR","SOBRE UL")&amp;IF(P22&gt;0," · PARCIAL",""),IF(P22&gt;0,"PARCIAL · "&amp;P22&amp;" ND",IF($F22="MIN-NA","BAJO CDRR",IF(NOT(ISNUMBER(J22)),"SIN REFERENCIA",IF(L22&lt;90,"BAJO",IF(L22&lt;=110,"DENTRO RANGO","SOBRE REFERENCIA")))))))))</f>
        <v>PARCIAL · 2 ND</v>
      </c>
      <c r="R22" s="117" t="str">
        <f>IFERROR(IFERROR(INDEX(DRI_BASE!$M$2:$M$469,MATCH(1,INDEX((DRI_BASE!$B$2:$B$469=$F22)*(DRI_BASE!$D$2:$D$469&lt;=DATOS!$F$9)*(DRI_BASE!$E$2:$E$469&gt;DATOS!$F$9)*(((DRI_BASE!$C$2:$C$469=DATOS!$B$13)+(DRI_BASE!$C$2:$C$469="Ambos"))&gt;0)*(DRI_BASE!$G$2:$G$469=DATOS!$B$16),0),0)),"ND"),"ND")</f>
        <v>SRC-DRI-SUMMARY</v>
      </c>
    </row>
    <row r="23" spans="6:18" ht="28.5" customHeight="1">
      <c r="F23" s="117" t="s">
        <v>302</v>
      </c>
      <c r="G23" s="117" t="s">
        <v>303</v>
      </c>
      <c r="H23" s="117" t="str">
        <f>IF(OR($F23="MIN-CL",$F23="VIT-B7"),"ND",INDEX(CALCULOS_NUTRIENTES!$J$15:$AF$15,1,MATCH($F23,CALCULOS_NUTRIENTES!$J$3:$AF$3,0)))</f>
        <v>ND</v>
      </c>
      <c r="I23" s="117" t="str">
        <f>IFERROR(IFERROR(INDEX(NUTRIENTES!$F$8:$F$30,MATCH($F23,NUTRIENTES!$A$8:$A$30,0)),""),"")</f>
        <v>µg</v>
      </c>
      <c r="J23" s="117">
        <f>IFERROR(IFERROR(INDEX(DRI_BASE!$T$2:$T$469,MATCH(1,INDEX((DRI_BASE!$B$2:$B$469=$F23)*(DRI_BASE!$D$2:$D$469&lt;=DATOS!$F$9)*(DRI_BASE!$E$2:$E$469&gt;DATOS!$F$9)*(((DRI_BASE!$C$2:$C$469=DATOS!$B$13)+(DRI_BASE!$C$2:$C$469="Ambos"))&gt;0)*(DRI_BASE!$G$2:$G$469=DATOS!$B$16),0),0)),"ND"),"ND")</f>
        <v>30</v>
      </c>
      <c r="K23" s="117" t="str">
        <f>IFERROR(IFERROR(INDEX(DRI_BASE!$R$2:$R$469,MATCH(1,INDEX((DRI_BASE!$B$2:$B$469=$F23)*(DRI_BASE!$D$2:$D$469&lt;=DATOS!$F$9)*(DRI_BASE!$E$2:$E$469&gt;DATOS!$F$9)*(((DRI_BASE!$C$2:$C$469=DATOS!$B$13)+(DRI_BASE!$C$2:$C$469="Ambos"))&gt;0)*(DRI_BASE!$G$2:$G$469=DATOS!$B$16),0),0)),"ND"),"ND")</f>
        <v>AI</v>
      </c>
      <c r="L23" s="118" t="str">
        <f t="shared" si="0"/>
        <v>ND</v>
      </c>
      <c r="M23" s="117">
        <f>IFERROR(IFERROR(INDEX(DRI_BASE!$U$2:$U$469,MATCH(1,INDEX((DRI_BASE!$B$2:$B$469=$F23)*(DRI_BASE!$D$2:$D$469&lt;=DATOS!$F$9)*(DRI_BASE!$E$2:$E$469&gt;DATOS!$F$9)*(((DRI_BASE!$C$2:$C$469=DATOS!$B$13)+(DRI_BASE!$C$2:$C$469="Ambos"))&gt;0)*(DRI_BASE!$G$2:$G$469=DATOS!$B$16),0),0)),"ND"),"ND")</f>
        <v>0</v>
      </c>
      <c r="N23" s="117">
        <f>IFERROR(IFERROR(INDEX(DRI_BASE!$S$2:$S$469,MATCH(1,INDEX((DRI_BASE!$B$2:$B$469=$F23)*(DRI_BASE!$D$2:$D$469&lt;=DATOS!$F$9)*(DRI_BASE!$E$2:$E$469&gt;DATOS!$F$9)*(((DRI_BASE!$C$2:$C$469=DATOS!$B$13)+(DRI_BASE!$C$2:$C$469="Ambos"))&gt;0)*(DRI_BASE!$G$2:$G$469=DATOS!$B$16),0),0)),""),"")</f>
        <v>0</v>
      </c>
      <c r="O23" s="118" t="str">
        <f t="shared" si="1"/>
        <v>ND</v>
      </c>
      <c r="P23" s="117">
        <f>INDEX(CALCULOS_NUTRIENTES!$J$16:$AF$16,1,MATCH($F23,CALCULOS_NUTRIENTES!$J$3:$AF$3,0))</f>
        <v>10</v>
      </c>
      <c r="Q23" s="117" t="str">
        <f>IF(COUNTA(FUENTES_ALIMENTARIAS!$B$13:$B$22)=0,"SIN ALIMENTOS",IF(OR($F23="MIN-CL",$F23="VIT-B7"),"ND EN INTA",IF(NOT(ISNUMBER(H23)),"ND",IF(AND(ISNUMBER(M23),M23&gt;0,H23&gt;M23),IF(N23="CDRR","SOBRE CDRR","SOBRE UL")&amp;IF(P23&gt;0," · PARCIAL",""),IF(P23&gt;0,"PARCIAL · "&amp;P23&amp;" ND",IF($F23="MIN-NA","BAJO CDRR",IF(NOT(ISNUMBER(J23)),"SIN REFERENCIA",IF(L23&lt;90,"BAJO",IF(L23&lt;=110,"DENTRO RANGO","SOBRE REFERENCIA")))))))))</f>
        <v>ND EN INTA</v>
      </c>
      <c r="R23" s="117" t="str">
        <f>IFERROR(IFERROR(INDEX(DRI_BASE!$M$2:$M$469,MATCH(1,INDEX((DRI_BASE!$B$2:$B$469=$F23)*(DRI_BASE!$D$2:$D$469&lt;=DATOS!$F$9)*(DRI_BASE!$E$2:$E$469&gt;DATOS!$F$9)*(((DRI_BASE!$C$2:$C$469=DATOS!$B$13)+(DRI_BASE!$C$2:$C$469="Ambos"))&gt;0)*(DRI_BASE!$G$2:$G$469=DATOS!$B$16),0),0)),"ND"),"ND")</f>
        <v>SRC-ODS-B7</v>
      </c>
    </row>
    <row r="24" spans="6:18" ht="28.5" customHeight="1">
      <c r="F24" s="117" t="s">
        <v>305</v>
      </c>
      <c r="G24" s="117" t="s">
        <v>306</v>
      </c>
      <c r="H24" s="117">
        <f>IF(OR($F24="MIN-CL",$F24="VIT-B7"),"ND",INDEX(CALCULOS_NUTRIENTES!$J$15:$AF$15,1,MATCH($F24,CALCULOS_NUTRIENTES!$J$3:$AF$3,0)))</f>
        <v>549.4</v>
      </c>
      <c r="I24" s="117" t="str">
        <f>IFERROR(IFERROR(INDEX(NUTRIENTES!$F$8:$F$30,MATCH($F24,NUTRIENTES!$A$8:$A$30,0)),""),"")</f>
        <v>µg DFE</v>
      </c>
      <c r="J24" s="117">
        <f>IFERROR(IFERROR(INDEX(DRI_BASE!$T$2:$T$469,MATCH(1,INDEX((DRI_BASE!$B$2:$B$469=$F24)*(DRI_BASE!$D$2:$D$469&lt;=DATOS!$F$9)*(DRI_BASE!$E$2:$E$469&gt;DATOS!$F$9)*(((DRI_BASE!$C$2:$C$469=DATOS!$B$13)+(DRI_BASE!$C$2:$C$469="Ambos"))&gt;0)*(DRI_BASE!$G$2:$G$469=DATOS!$B$16),0),0)),"ND"),"ND")</f>
        <v>400</v>
      </c>
      <c r="K24" s="117" t="str">
        <f>IFERROR(IFERROR(INDEX(DRI_BASE!$R$2:$R$469,MATCH(1,INDEX((DRI_BASE!$B$2:$B$469=$F24)*(DRI_BASE!$D$2:$D$469&lt;=DATOS!$F$9)*(DRI_BASE!$E$2:$E$469&gt;DATOS!$F$9)*(((DRI_BASE!$C$2:$C$469=DATOS!$B$13)+(DRI_BASE!$C$2:$C$469="Ambos"))&gt;0)*(DRI_BASE!$G$2:$G$469=DATOS!$B$16),0),0)),"ND"),"ND")</f>
        <v>RDA</v>
      </c>
      <c r="L24" s="118">
        <f t="shared" si="0"/>
        <v>137.35</v>
      </c>
      <c r="M24" s="117">
        <f>IFERROR(IFERROR(INDEX(DRI_BASE!$U$2:$U$469,MATCH(1,INDEX((DRI_BASE!$B$2:$B$469=$F24)*(DRI_BASE!$D$2:$D$469&lt;=DATOS!$F$9)*(DRI_BASE!$E$2:$E$469&gt;DATOS!$F$9)*(((DRI_BASE!$C$2:$C$469=DATOS!$B$13)+(DRI_BASE!$C$2:$C$469="Ambos"))&gt;0)*(DRI_BASE!$G$2:$G$469=DATOS!$B$16),0),0)),"ND"),"ND")</f>
        <v>1000</v>
      </c>
      <c r="N24" s="117" t="str">
        <f>IFERROR(IFERROR(INDEX(DRI_BASE!$S$2:$S$469,MATCH(1,INDEX((DRI_BASE!$B$2:$B$469=$F24)*(DRI_BASE!$D$2:$D$469&lt;=DATOS!$F$9)*(DRI_BASE!$E$2:$E$469&gt;DATOS!$F$9)*(((DRI_BASE!$C$2:$C$469=DATOS!$B$13)+(DRI_BASE!$C$2:$C$469="Ambos"))&gt;0)*(DRI_BASE!$G$2:$G$469=DATOS!$B$16),0),0)),""),"")</f>
        <v>UL</v>
      </c>
      <c r="O24" s="118">
        <f t="shared" si="1"/>
        <v>54.94</v>
      </c>
      <c r="P24" s="117">
        <f>INDEX(CALCULOS_NUTRIENTES!$J$16:$AF$16,1,MATCH($F24,CALCULOS_NUTRIENTES!$J$3:$AF$3,0))</f>
        <v>3</v>
      </c>
      <c r="Q24" s="117" t="str">
        <f>IF(COUNTA(FUENTES_ALIMENTARIAS!$B$13:$B$22)=0,"SIN ALIMENTOS",IF(OR($F24="MIN-CL",$F24="VIT-B7"),"ND EN INTA",IF(NOT(ISNUMBER(H24)),"ND",IF(AND(ISNUMBER(M24),M24&gt;0,H24&gt;M24),IF(N24="CDRR","SOBRE CDRR","SOBRE UL")&amp;IF(P24&gt;0," · PARCIAL",""),IF(P24&gt;0,"PARCIAL · "&amp;P24&amp;" ND",IF($F24="MIN-NA","BAJO CDRR",IF(NOT(ISNUMBER(J24)),"SIN REFERENCIA",IF(L24&lt;90,"BAJO",IF(L24&lt;=110,"DENTRO RANGO","SOBRE REFERENCIA")))))))))</f>
        <v>PARCIAL · 3 ND</v>
      </c>
      <c r="R24" s="117" t="str">
        <f>IFERROR(IFERROR(INDEX(DRI_BASE!$M$2:$M$469,MATCH(1,INDEX((DRI_BASE!$B$2:$B$469=$F24)*(DRI_BASE!$D$2:$D$469&lt;=DATOS!$F$9)*(DRI_BASE!$E$2:$E$469&gt;DATOS!$F$9)*(((DRI_BASE!$C$2:$C$469=DATOS!$B$13)+(DRI_BASE!$C$2:$C$469="Ambos"))&gt;0)*(DRI_BASE!$G$2:$G$469=DATOS!$B$16),0),0)),"ND"),"ND")</f>
        <v>SRC-DRI-SUMMARY</v>
      </c>
    </row>
    <row r="25" spans="6:18" ht="28.5" customHeight="1">
      <c r="F25" s="117" t="s">
        <v>309</v>
      </c>
      <c r="G25" s="117" t="s">
        <v>310</v>
      </c>
      <c r="H25" s="117">
        <f>IF(OR($F25="MIN-CL",$F25="VIT-B7"),"ND",INDEX(CALCULOS_NUTRIENTES!$J$15:$AF$15,1,MATCH($F25,CALCULOS_NUTRIENTES!$J$3:$AF$3,0)))</f>
        <v>71.88000000000001</v>
      </c>
      <c r="I25" s="117" t="str">
        <f>IFERROR(IFERROR(INDEX(NUTRIENTES!$F$8:$F$30,MATCH($F25,NUTRIENTES!$A$8:$A$30,0)),""),"")</f>
        <v>µg</v>
      </c>
      <c r="J25" s="117">
        <f>IFERROR(IFERROR(INDEX(DRI_BASE!$T$2:$T$469,MATCH(1,INDEX((DRI_BASE!$B$2:$B$469=$F25)*(DRI_BASE!$D$2:$D$469&lt;=DATOS!$F$9)*(DRI_BASE!$E$2:$E$469&gt;DATOS!$F$9)*(((DRI_BASE!$C$2:$C$469=DATOS!$B$13)+(DRI_BASE!$C$2:$C$469="Ambos"))&gt;0)*(DRI_BASE!$G$2:$G$469=DATOS!$B$16),0),0)),"ND"),"ND")</f>
        <v>2.4</v>
      </c>
      <c r="K25" s="117" t="str">
        <f>IFERROR(IFERROR(INDEX(DRI_BASE!$R$2:$R$469,MATCH(1,INDEX((DRI_BASE!$B$2:$B$469=$F25)*(DRI_BASE!$D$2:$D$469&lt;=DATOS!$F$9)*(DRI_BASE!$E$2:$E$469&gt;DATOS!$F$9)*(((DRI_BASE!$C$2:$C$469=DATOS!$B$13)+(DRI_BASE!$C$2:$C$469="Ambos"))&gt;0)*(DRI_BASE!$G$2:$G$469=DATOS!$B$16),0),0)),"ND"),"ND")</f>
        <v>RDA</v>
      </c>
      <c r="L25" s="118">
        <f t="shared" si="0"/>
        <v>2995.0000000000005</v>
      </c>
      <c r="M25" s="117">
        <f>IFERROR(IFERROR(INDEX(DRI_BASE!$U$2:$U$469,MATCH(1,INDEX((DRI_BASE!$B$2:$B$469=$F25)*(DRI_BASE!$D$2:$D$469&lt;=DATOS!$F$9)*(DRI_BASE!$E$2:$E$469&gt;DATOS!$F$9)*(((DRI_BASE!$C$2:$C$469=DATOS!$B$13)+(DRI_BASE!$C$2:$C$469="Ambos"))&gt;0)*(DRI_BASE!$G$2:$G$469=DATOS!$B$16),0),0)),"ND"),"ND")</f>
        <v>0</v>
      </c>
      <c r="N25" s="117">
        <f>IFERROR(IFERROR(INDEX(DRI_BASE!$S$2:$S$469,MATCH(1,INDEX((DRI_BASE!$B$2:$B$469=$F25)*(DRI_BASE!$D$2:$D$469&lt;=DATOS!$F$9)*(DRI_BASE!$E$2:$E$469&gt;DATOS!$F$9)*(((DRI_BASE!$C$2:$C$469=DATOS!$B$13)+(DRI_BASE!$C$2:$C$469="Ambos"))&gt;0)*(DRI_BASE!$G$2:$G$469=DATOS!$B$16),0),0)),""),"")</f>
        <v>0</v>
      </c>
      <c r="O25" s="118" t="str">
        <f t="shared" si="1"/>
        <v>ND</v>
      </c>
      <c r="P25" s="117">
        <f>INDEX(CALCULOS_NUTRIENTES!$J$16:$AF$16,1,MATCH($F25,CALCULOS_NUTRIENTES!$J$3:$AF$3,0))</f>
        <v>2</v>
      </c>
      <c r="Q25" s="117" t="str">
        <f>IF(COUNTA(FUENTES_ALIMENTARIAS!$B$13:$B$22)=0,"SIN ALIMENTOS",IF(OR($F25="MIN-CL",$F25="VIT-B7"),"ND EN INTA",IF(NOT(ISNUMBER(H25)),"ND",IF(AND(ISNUMBER(M25),M25&gt;0,H25&gt;M25),IF(N25="CDRR","SOBRE CDRR","SOBRE UL")&amp;IF(P25&gt;0," · PARCIAL",""),IF(P25&gt;0,"PARCIAL · "&amp;P25&amp;" ND",IF($F25="MIN-NA","BAJO CDRR",IF(NOT(ISNUMBER(J25)),"SIN REFERENCIA",IF(L25&lt;90,"BAJO",IF(L25&lt;=110,"DENTRO RANGO","SOBRE REFERENCIA")))))))))</f>
        <v>PARCIAL · 2 ND</v>
      </c>
      <c r="R25" s="117" t="str">
        <f>IFERROR(IFERROR(INDEX(DRI_BASE!$M$2:$M$469,MATCH(1,INDEX((DRI_BASE!$B$2:$B$469=$F25)*(DRI_BASE!$D$2:$D$469&lt;=DATOS!$F$9)*(DRI_BASE!$E$2:$E$469&gt;DATOS!$F$9)*(((DRI_BASE!$C$2:$C$469=DATOS!$B$13)+(DRI_BASE!$C$2:$C$469="Ambos"))&gt;0)*(DRI_BASE!$G$2:$G$469=DATOS!$B$16),0),0)),"ND"),"ND")</f>
        <v>SRC-DRI-SUMMARY</v>
      </c>
    </row>
  </sheetData>
  <mergeCells count="1">
    <mergeCell ref="F1:R1"/>
  </mergeCells>
  <conditionalFormatting sqref="Q3:Q25">
    <cfRule type="expression" dxfId="6" priority="1">
      <formula>LEFT(Q3,5)="SOBRE"</formula>
    </cfRule>
    <cfRule type="expression" dxfId="5" priority="2">
      <formula>LEFT(Q3,7)="PARCIAL"</formula>
    </cfRule>
    <cfRule type="expression" dxfId="4" priority="3">
      <formula>Q3="DENTRO RANGO"</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469"/>
  <sheetViews>
    <sheetView topLeftCell="A448" workbookViewId="0"/>
  </sheetViews>
  <sheetFormatPr baseColWidth="10" defaultColWidth="9" defaultRowHeight="14.25"/>
  <cols>
    <col min="1" max="1" width="27" style="30" customWidth="1"/>
    <col min="2" max="2" width="16" style="30" customWidth="1"/>
    <col min="3" max="3" width="14" style="30" customWidth="1"/>
    <col min="4" max="5" width="10" style="30" customWidth="1"/>
    <col min="6" max="6" width="12" style="30" customWidth="1"/>
    <col min="7" max="7" width="18" style="30" customWidth="1"/>
    <col min="8" max="11" width="10" style="30" customWidth="1"/>
    <col min="12" max="12" width="12" style="30" customWidth="1"/>
    <col min="13" max="13" width="25" style="30" customWidth="1"/>
    <col min="14" max="14" width="8" style="30" customWidth="1"/>
    <col min="15" max="15" width="22" style="30" customWidth="1"/>
    <col min="16" max="16" width="46" style="30" customWidth="1"/>
    <col min="17" max="17" width="10" style="30" customWidth="1"/>
    <col min="18" max="18" width="16" style="30" customWidth="1"/>
    <col min="19" max="19" width="14" style="30" customWidth="1"/>
    <col min="20" max="21" width="12" style="30" customWidth="1"/>
  </cols>
  <sheetData>
    <row r="1" spans="1:21" ht="15" customHeight="1">
      <c r="A1" s="14" t="s">
        <v>2943</v>
      </c>
      <c r="B1" s="14" t="s">
        <v>2893</v>
      </c>
      <c r="C1" s="14" t="s">
        <v>39</v>
      </c>
      <c r="D1" s="14" t="s">
        <v>2944</v>
      </c>
      <c r="E1" s="14" t="s">
        <v>2945</v>
      </c>
      <c r="F1" s="14" t="s">
        <v>2946</v>
      </c>
      <c r="G1" s="14" t="s">
        <v>2862</v>
      </c>
      <c r="H1" s="14" t="s">
        <v>378</v>
      </c>
      <c r="I1" s="14" t="s">
        <v>379</v>
      </c>
      <c r="J1" s="14" t="s">
        <v>380</v>
      </c>
      <c r="K1" s="14" t="s">
        <v>222</v>
      </c>
      <c r="L1" s="14" t="s">
        <v>156</v>
      </c>
      <c r="M1" s="14" t="s">
        <v>158</v>
      </c>
      <c r="N1" s="14" t="s">
        <v>194</v>
      </c>
      <c r="O1" s="14" t="s">
        <v>2947</v>
      </c>
      <c r="P1" s="14" t="s">
        <v>195</v>
      </c>
      <c r="Q1" s="15" t="s">
        <v>383</v>
      </c>
      <c r="R1" s="15" t="s">
        <v>2948</v>
      </c>
      <c r="S1" s="15" t="s">
        <v>2949</v>
      </c>
      <c r="T1" s="15" t="s">
        <v>381</v>
      </c>
      <c r="U1" s="15" t="s">
        <v>384</v>
      </c>
    </row>
    <row r="2" spans="1:21">
      <c r="A2" s="9" t="s">
        <v>2950</v>
      </c>
      <c r="B2" s="9" t="s">
        <v>2951</v>
      </c>
      <c r="C2" s="9" t="s">
        <v>40</v>
      </c>
      <c r="D2" s="9">
        <v>0</v>
      </c>
      <c r="E2" s="9">
        <v>0.5</v>
      </c>
      <c r="F2" s="9" t="s">
        <v>36</v>
      </c>
      <c r="G2" s="9" t="s">
        <v>49</v>
      </c>
      <c r="H2" s="9"/>
      <c r="I2" s="9"/>
      <c r="J2" s="9">
        <v>9.1</v>
      </c>
      <c r="K2" s="9"/>
      <c r="L2" s="9" t="s">
        <v>207</v>
      </c>
      <c r="M2" s="9" t="s">
        <v>703</v>
      </c>
      <c r="N2" s="9">
        <v>2005</v>
      </c>
      <c r="O2" s="9" t="s">
        <v>673</v>
      </c>
      <c r="P2" s="9" t="s">
        <v>2952</v>
      </c>
      <c r="Q2" s="37"/>
      <c r="R2" s="37" t="s">
        <v>380</v>
      </c>
      <c r="S2" s="37"/>
      <c r="T2" s="37">
        <v>9.1</v>
      </c>
      <c r="U2" s="37"/>
    </row>
    <row r="3" spans="1:21">
      <c r="A3" s="9" t="s">
        <v>2953</v>
      </c>
      <c r="B3" s="9" t="s">
        <v>2951</v>
      </c>
      <c r="C3" s="9" t="s">
        <v>40</v>
      </c>
      <c r="D3" s="9">
        <v>0.5</v>
      </c>
      <c r="E3" s="9">
        <v>1</v>
      </c>
      <c r="F3" s="9" t="s">
        <v>36</v>
      </c>
      <c r="G3" s="9" t="s">
        <v>49</v>
      </c>
      <c r="H3" s="9"/>
      <c r="I3" s="9">
        <v>11</v>
      </c>
      <c r="J3" s="9"/>
      <c r="K3" s="9"/>
      <c r="L3" s="9" t="s">
        <v>207</v>
      </c>
      <c r="M3" s="9" t="s">
        <v>703</v>
      </c>
      <c r="N3" s="9">
        <v>2005</v>
      </c>
      <c r="O3" s="9" t="s">
        <v>673</v>
      </c>
      <c r="P3" s="9"/>
      <c r="Q3" s="37"/>
      <c r="R3" s="37" t="s">
        <v>379</v>
      </c>
      <c r="S3" s="37"/>
      <c r="T3" s="37">
        <v>11</v>
      </c>
      <c r="U3" s="37"/>
    </row>
    <row r="4" spans="1:21">
      <c r="A4" s="9" t="s">
        <v>2954</v>
      </c>
      <c r="B4" s="9" t="s">
        <v>2951</v>
      </c>
      <c r="C4" s="9" t="s">
        <v>40</v>
      </c>
      <c r="D4" s="9">
        <v>1</v>
      </c>
      <c r="E4" s="9">
        <v>4</v>
      </c>
      <c r="F4" s="9" t="s">
        <v>36</v>
      </c>
      <c r="G4" s="9" t="s">
        <v>49</v>
      </c>
      <c r="H4" s="9"/>
      <c r="I4" s="9">
        <v>13</v>
      </c>
      <c r="J4" s="9"/>
      <c r="K4" s="9"/>
      <c r="L4" s="9" t="s">
        <v>207</v>
      </c>
      <c r="M4" s="9" t="s">
        <v>703</v>
      </c>
      <c r="N4" s="9">
        <v>2005</v>
      </c>
      <c r="O4" s="9" t="s">
        <v>673</v>
      </c>
      <c r="P4" s="9"/>
      <c r="Q4" s="37"/>
      <c r="R4" s="37" t="s">
        <v>379</v>
      </c>
      <c r="S4" s="37"/>
      <c r="T4" s="37">
        <v>13</v>
      </c>
      <c r="U4" s="37"/>
    </row>
    <row r="5" spans="1:21">
      <c r="A5" s="9" t="s">
        <v>2955</v>
      </c>
      <c r="B5" s="9" t="s">
        <v>2951</v>
      </c>
      <c r="C5" s="9" t="s">
        <v>40</v>
      </c>
      <c r="D5" s="9">
        <v>4</v>
      </c>
      <c r="E5" s="9">
        <v>9</v>
      </c>
      <c r="F5" s="9" t="s">
        <v>36</v>
      </c>
      <c r="G5" s="9" t="s">
        <v>49</v>
      </c>
      <c r="H5" s="9"/>
      <c r="I5" s="9">
        <v>19</v>
      </c>
      <c r="J5" s="9"/>
      <c r="K5" s="9"/>
      <c r="L5" s="9" t="s">
        <v>207</v>
      </c>
      <c r="M5" s="9" t="s">
        <v>703</v>
      </c>
      <c r="N5" s="9">
        <v>2005</v>
      </c>
      <c r="O5" s="9" t="s">
        <v>673</v>
      </c>
      <c r="P5" s="9"/>
      <c r="Q5" s="37"/>
      <c r="R5" s="37" t="s">
        <v>379</v>
      </c>
      <c r="S5" s="37"/>
      <c r="T5" s="37">
        <v>19</v>
      </c>
      <c r="U5" s="37"/>
    </row>
    <row r="6" spans="1:21">
      <c r="A6" s="9" t="s">
        <v>2956</v>
      </c>
      <c r="B6" s="9" t="s">
        <v>2951</v>
      </c>
      <c r="C6" s="9" t="s">
        <v>40</v>
      </c>
      <c r="D6" s="9">
        <v>9</v>
      </c>
      <c r="E6" s="9">
        <v>14</v>
      </c>
      <c r="F6" s="9" t="s">
        <v>36</v>
      </c>
      <c r="G6" s="9" t="s">
        <v>49</v>
      </c>
      <c r="H6" s="9"/>
      <c r="I6" s="9">
        <v>34</v>
      </c>
      <c r="J6" s="9"/>
      <c r="K6" s="9"/>
      <c r="L6" s="9" t="s">
        <v>207</v>
      </c>
      <c r="M6" s="9" t="s">
        <v>703</v>
      </c>
      <c r="N6" s="9">
        <v>2005</v>
      </c>
      <c r="O6" s="9" t="s">
        <v>673</v>
      </c>
      <c r="P6" s="9"/>
      <c r="Q6" s="37"/>
      <c r="R6" s="37" t="s">
        <v>379</v>
      </c>
      <c r="S6" s="37"/>
      <c r="T6" s="37">
        <v>34</v>
      </c>
      <c r="U6" s="37"/>
    </row>
    <row r="7" spans="1:21">
      <c r="A7" s="9" t="s">
        <v>2957</v>
      </c>
      <c r="B7" s="9" t="s">
        <v>2951</v>
      </c>
      <c r="C7" s="9" t="s">
        <v>40</v>
      </c>
      <c r="D7" s="9">
        <v>14</v>
      </c>
      <c r="E7" s="9">
        <v>19</v>
      </c>
      <c r="F7" s="9" t="s">
        <v>36</v>
      </c>
      <c r="G7" s="9" t="s">
        <v>49</v>
      </c>
      <c r="H7" s="9"/>
      <c r="I7" s="9">
        <v>46</v>
      </c>
      <c r="J7" s="9"/>
      <c r="K7" s="9"/>
      <c r="L7" s="9" t="s">
        <v>207</v>
      </c>
      <c r="M7" s="9" t="s">
        <v>703</v>
      </c>
      <c r="N7" s="9">
        <v>2005</v>
      </c>
      <c r="O7" s="9" t="s">
        <v>673</v>
      </c>
      <c r="P7" s="9"/>
      <c r="Q7" s="37"/>
      <c r="R7" s="37" t="s">
        <v>379</v>
      </c>
      <c r="S7" s="37"/>
      <c r="T7" s="37">
        <v>46</v>
      </c>
      <c r="U7" s="37"/>
    </row>
    <row r="8" spans="1:21">
      <c r="A8" s="9" t="s">
        <v>2958</v>
      </c>
      <c r="B8" s="9" t="s">
        <v>2951</v>
      </c>
      <c r="C8" s="9" t="s">
        <v>40</v>
      </c>
      <c r="D8" s="9">
        <v>19</v>
      </c>
      <c r="E8" s="9">
        <v>999</v>
      </c>
      <c r="F8" s="9" t="s">
        <v>36</v>
      </c>
      <c r="G8" s="9" t="s">
        <v>49</v>
      </c>
      <c r="H8" s="9"/>
      <c r="I8" s="9">
        <v>46</v>
      </c>
      <c r="J8" s="9"/>
      <c r="K8" s="9"/>
      <c r="L8" s="9" t="s">
        <v>207</v>
      </c>
      <c r="M8" s="9" t="s">
        <v>703</v>
      </c>
      <c r="N8" s="9">
        <v>2005</v>
      </c>
      <c r="O8" s="9" t="s">
        <v>673</v>
      </c>
      <c r="P8" s="9"/>
      <c r="Q8" s="37"/>
      <c r="R8" s="37" t="s">
        <v>379</v>
      </c>
      <c r="S8" s="37"/>
      <c r="T8" s="37">
        <v>46</v>
      </c>
      <c r="U8" s="37"/>
    </row>
    <row r="9" spans="1:21">
      <c r="A9" s="9" t="s">
        <v>2959</v>
      </c>
      <c r="B9" s="9" t="s">
        <v>138</v>
      </c>
      <c r="C9" s="9" t="s">
        <v>40</v>
      </c>
      <c r="D9" s="9">
        <v>0</v>
      </c>
      <c r="E9" s="9">
        <v>0.5</v>
      </c>
      <c r="F9" s="9" t="s">
        <v>36</v>
      </c>
      <c r="G9" s="9" t="s">
        <v>49</v>
      </c>
      <c r="H9" s="9"/>
      <c r="I9" s="9"/>
      <c r="J9" s="9">
        <v>60</v>
      </c>
      <c r="K9" s="9"/>
      <c r="L9" s="9" t="s">
        <v>207</v>
      </c>
      <c r="M9" s="9" t="s">
        <v>703</v>
      </c>
      <c r="N9" s="9">
        <v>2005</v>
      </c>
      <c r="O9" s="9" t="s">
        <v>673</v>
      </c>
      <c r="P9" s="9" t="s">
        <v>380</v>
      </c>
      <c r="Q9" s="37"/>
      <c r="R9" s="37" t="s">
        <v>380</v>
      </c>
      <c r="S9" s="37"/>
      <c r="T9" s="37">
        <v>60</v>
      </c>
      <c r="U9" s="37"/>
    </row>
    <row r="10" spans="1:21">
      <c r="A10" s="9" t="s">
        <v>2960</v>
      </c>
      <c r="B10" s="9" t="s">
        <v>138</v>
      </c>
      <c r="C10" s="9" t="s">
        <v>40</v>
      </c>
      <c r="D10" s="9">
        <v>0.5</v>
      </c>
      <c r="E10" s="9">
        <v>1</v>
      </c>
      <c r="F10" s="9" t="s">
        <v>36</v>
      </c>
      <c r="G10" s="9" t="s">
        <v>49</v>
      </c>
      <c r="H10" s="9"/>
      <c r="I10" s="9"/>
      <c r="J10" s="9">
        <v>95</v>
      </c>
      <c r="K10" s="9"/>
      <c r="L10" s="9" t="s">
        <v>207</v>
      </c>
      <c r="M10" s="9" t="s">
        <v>703</v>
      </c>
      <c r="N10" s="9">
        <v>2005</v>
      </c>
      <c r="O10" s="9" t="s">
        <v>673</v>
      </c>
      <c r="P10" s="9" t="s">
        <v>380</v>
      </c>
      <c r="Q10" s="37"/>
      <c r="R10" s="37" t="s">
        <v>380</v>
      </c>
      <c r="S10" s="37"/>
      <c r="T10" s="37">
        <v>95</v>
      </c>
      <c r="U10" s="37"/>
    </row>
    <row r="11" spans="1:21">
      <c r="A11" s="9" t="s">
        <v>2961</v>
      </c>
      <c r="B11" s="9" t="s">
        <v>138</v>
      </c>
      <c r="C11" s="9" t="s">
        <v>40</v>
      </c>
      <c r="D11" s="9">
        <v>1</v>
      </c>
      <c r="E11" s="9">
        <v>999</v>
      </c>
      <c r="F11" s="9" t="s">
        <v>36</v>
      </c>
      <c r="G11" s="9" t="s">
        <v>49</v>
      </c>
      <c r="H11" s="9"/>
      <c r="I11" s="9">
        <v>130</v>
      </c>
      <c r="J11" s="9"/>
      <c r="K11" s="9"/>
      <c r="L11" s="9" t="s">
        <v>207</v>
      </c>
      <c r="M11" s="9" t="s">
        <v>703</v>
      </c>
      <c r="N11" s="9">
        <v>2005</v>
      </c>
      <c r="O11" s="9" t="s">
        <v>673</v>
      </c>
      <c r="P11" s="9"/>
      <c r="Q11" s="37"/>
      <c r="R11" s="37" t="s">
        <v>379</v>
      </c>
      <c r="S11" s="37"/>
      <c r="T11" s="37">
        <v>130</v>
      </c>
      <c r="U11" s="37"/>
    </row>
    <row r="12" spans="1:21">
      <c r="A12" s="9" t="s">
        <v>2962</v>
      </c>
      <c r="B12" s="9" t="s">
        <v>2963</v>
      </c>
      <c r="C12" s="9" t="s">
        <v>40</v>
      </c>
      <c r="D12" s="9">
        <v>1</v>
      </c>
      <c r="E12" s="9">
        <v>4</v>
      </c>
      <c r="F12" s="9" t="s">
        <v>36</v>
      </c>
      <c r="G12" s="9" t="s">
        <v>49</v>
      </c>
      <c r="H12" s="9"/>
      <c r="I12" s="9"/>
      <c r="J12" s="9">
        <v>19</v>
      </c>
      <c r="K12" s="9"/>
      <c r="L12" s="9" t="s">
        <v>207</v>
      </c>
      <c r="M12" s="9" t="s">
        <v>703</v>
      </c>
      <c r="N12" s="9">
        <v>2005</v>
      </c>
      <c r="O12" s="9" t="s">
        <v>673</v>
      </c>
      <c r="P12" s="9"/>
      <c r="Q12" s="37"/>
      <c r="R12" s="37" t="s">
        <v>380</v>
      </c>
      <c r="S12" s="37"/>
      <c r="T12" s="37">
        <v>19</v>
      </c>
      <c r="U12" s="37"/>
    </row>
    <row r="13" spans="1:21">
      <c r="A13" s="9" t="s">
        <v>2964</v>
      </c>
      <c r="B13" s="9" t="s">
        <v>2963</v>
      </c>
      <c r="C13" s="9" t="s">
        <v>40</v>
      </c>
      <c r="D13" s="9">
        <v>4</v>
      </c>
      <c r="E13" s="9">
        <v>9</v>
      </c>
      <c r="F13" s="9" t="s">
        <v>36</v>
      </c>
      <c r="G13" s="9" t="s">
        <v>49</v>
      </c>
      <c r="H13" s="9"/>
      <c r="I13" s="9"/>
      <c r="J13" s="9">
        <v>25</v>
      </c>
      <c r="K13" s="9"/>
      <c r="L13" s="9" t="s">
        <v>207</v>
      </c>
      <c r="M13" s="9" t="s">
        <v>703</v>
      </c>
      <c r="N13" s="9">
        <v>2005</v>
      </c>
      <c r="O13" s="9" t="s">
        <v>673</v>
      </c>
      <c r="P13" s="9"/>
      <c r="Q13" s="37"/>
      <c r="R13" s="37" t="s">
        <v>380</v>
      </c>
      <c r="S13" s="37"/>
      <c r="T13" s="37">
        <v>25</v>
      </c>
      <c r="U13" s="37"/>
    </row>
    <row r="14" spans="1:21">
      <c r="A14" s="9" t="s">
        <v>2965</v>
      </c>
      <c r="B14" s="9" t="s">
        <v>2963</v>
      </c>
      <c r="C14" s="9" t="s">
        <v>40</v>
      </c>
      <c r="D14" s="9">
        <v>9</v>
      </c>
      <c r="E14" s="9">
        <v>14</v>
      </c>
      <c r="F14" s="9" t="s">
        <v>36</v>
      </c>
      <c r="G14" s="9" t="s">
        <v>49</v>
      </c>
      <c r="H14" s="9"/>
      <c r="I14" s="9"/>
      <c r="J14" s="9">
        <v>26</v>
      </c>
      <c r="K14" s="9"/>
      <c r="L14" s="9" t="s">
        <v>207</v>
      </c>
      <c r="M14" s="9" t="s">
        <v>703</v>
      </c>
      <c r="N14" s="9">
        <v>2005</v>
      </c>
      <c r="O14" s="9" t="s">
        <v>673</v>
      </c>
      <c r="P14" s="9"/>
      <c r="Q14" s="37"/>
      <c r="R14" s="37" t="s">
        <v>380</v>
      </c>
      <c r="S14" s="37"/>
      <c r="T14" s="37">
        <v>26</v>
      </c>
      <c r="U14" s="37"/>
    </row>
    <row r="15" spans="1:21">
      <c r="A15" s="9" t="s">
        <v>2966</v>
      </c>
      <c r="B15" s="9" t="s">
        <v>2963</v>
      </c>
      <c r="C15" s="9" t="s">
        <v>40</v>
      </c>
      <c r="D15" s="9">
        <v>14</v>
      </c>
      <c r="E15" s="9">
        <v>19</v>
      </c>
      <c r="F15" s="9" t="s">
        <v>36</v>
      </c>
      <c r="G15" s="9" t="s">
        <v>49</v>
      </c>
      <c r="H15" s="9"/>
      <c r="I15" s="9"/>
      <c r="J15" s="9">
        <v>26</v>
      </c>
      <c r="K15" s="9"/>
      <c r="L15" s="9" t="s">
        <v>207</v>
      </c>
      <c r="M15" s="9" t="s">
        <v>703</v>
      </c>
      <c r="N15" s="9">
        <v>2005</v>
      </c>
      <c r="O15" s="9" t="s">
        <v>673</v>
      </c>
      <c r="P15" s="9"/>
      <c r="Q15" s="37"/>
      <c r="R15" s="37" t="s">
        <v>380</v>
      </c>
      <c r="S15" s="37"/>
      <c r="T15" s="37">
        <v>26</v>
      </c>
      <c r="U15" s="37"/>
    </row>
    <row r="16" spans="1:21">
      <c r="A16" s="9" t="s">
        <v>2967</v>
      </c>
      <c r="B16" s="9" t="s">
        <v>2963</v>
      </c>
      <c r="C16" s="9" t="s">
        <v>40</v>
      </c>
      <c r="D16" s="9">
        <v>19</v>
      </c>
      <c r="E16" s="9">
        <v>51</v>
      </c>
      <c r="F16" s="9" t="s">
        <v>36</v>
      </c>
      <c r="G16" s="9" t="s">
        <v>49</v>
      </c>
      <c r="H16" s="9"/>
      <c r="I16" s="9"/>
      <c r="J16" s="9">
        <v>25</v>
      </c>
      <c r="K16" s="9"/>
      <c r="L16" s="9" t="s">
        <v>207</v>
      </c>
      <c r="M16" s="9" t="s">
        <v>703</v>
      </c>
      <c r="N16" s="9">
        <v>2005</v>
      </c>
      <c r="O16" s="9" t="s">
        <v>673</v>
      </c>
      <c r="P16" s="9"/>
      <c r="Q16" s="37"/>
      <c r="R16" s="37" t="s">
        <v>380</v>
      </c>
      <c r="S16" s="37"/>
      <c r="T16" s="37">
        <v>25</v>
      </c>
      <c r="U16" s="37"/>
    </row>
    <row r="17" spans="1:21">
      <c r="A17" s="9" t="s">
        <v>2968</v>
      </c>
      <c r="B17" s="9" t="s">
        <v>2963</v>
      </c>
      <c r="C17" s="9" t="s">
        <v>40</v>
      </c>
      <c r="D17" s="9">
        <v>51</v>
      </c>
      <c r="E17" s="9">
        <v>999</v>
      </c>
      <c r="F17" s="9" t="s">
        <v>36</v>
      </c>
      <c r="G17" s="9" t="s">
        <v>49</v>
      </c>
      <c r="H17" s="9"/>
      <c r="I17" s="9"/>
      <c r="J17" s="9">
        <v>21</v>
      </c>
      <c r="K17" s="9"/>
      <c r="L17" s="9" t="s">
        <v>207</v>
      </c>
      <c r="M17" s="9" t="s">
        <v>703</v>
      </c>
      <c r="N17" s="9">
        <v>2005</v>
      </c>
      <c r="O17" s="9" t="s">
        <v>673</v>
      </c>
      <c r="P17" s="9"/>
      <c r="Q17" s="37"/>
      <c r="R17" s="37" t="s">
        <v>380</v>
      </c>
      <c r="S17" s="37"/>
      <c r="T17" s="37">
        <v>21</v>
      </c>
      <c r="U17" s="37"/>
    </row>
    <row r="18" spans="1:21">
      <c r="A18" s="9" t="s">
        <v>2969</v>
      </c>
      <c r="B18" s="9" t="s">
        <v>2970</v>
      </c>
      <c r="C18" s="9" t="s">
        <v>40</v>
      </c>
      <c r="D18" s="9">
        <v>0</v>
      </c>
      <c r="E18" s="9">
        <v>0.5</v>
      </c>
      <c r="F18" s="9" t="s">
        <v>36</v>
      </c>
      <c r="G18" s="9" t="s">
        <v>49</v>
      </c>
      <c r="H18" s="9"/>
      <c r="I18" s="9"/>
      <c r="J18" s="9">
        <v>0.7</v>
      </c>
      <c r="K18" s="9"/>
      <c r="L18" s="9" t="s">
        <v>203</v>
      </c>
      <c r="M18" s="9" t="s">
        <v>703</v>
      </c>
      <c r="N18" s="9">
        <v>2005</v>
      </c>
      <c r="O18" s="9" t="s">
        <v>673</v>
      </c>
      <c r="P18" s="9"/>
      <c r="Q18" s="37"/>
      <c r="R18" s="37" t="s">
        <v>380</v>
      </c>
      <c r="S18" s="37"/>
      <c r="T18" s="37">
        <v>0.7</v>
      </c>
      <c r="U18" s="37"/>
    </row>
    <row r="19" spans="1:21">
      <c r="A19" s="9" t="s">
        <v>2971</v>
      </c>
      <c r="B19" s="9" t="s">
        <v>2970</v>
      </c>
      <c r="C19" s="9" t="s">
        <v>40</v>
      </c>
      <c r="D19" s="9">
        <v>0.5</v>
      </c>
      <c r="E19" s="9">
        <v>1</v>
      </c>
      <c r="F19" s="9" t="s">
        <v>36</v>
      </c>
      <c r="G19" s="9" t="s">
        <v>49</v>
      </c>
      <c r="H19" s="9"/>
      <c r="I19" s="9"/>
      <c r="J19" s="9">
        <v>0.8</v>
      </c>
      <c r="K19" s="9"/>
      <c r="L19" s="9" t="s">
        <v>203</v>
      </c>
      <c r="M19" s="9" t="s">
        <v>703</v>
      </c>
      <c r="N19" s="9">
        <v>2005</v>
      </c>
      <c r="O19" s="9" t="s">
        <v>673</v>
      </c>
      <c r="P19" s="9"/>
      <c r="Q19" s="37"/>
      <c r="R19" s="37" t="s">
        <v>380</v>
      </c>
      <c r="S19" s="37"/>
      <c r="T19" s="37">
        <v>0.8</v>
      </c>
      <c r="U19" s="37"/>
    </row>
    <row r="20" spans="1:21">
      <c r="A20" s="9" t="s">
        <v>2972</v>
      </c>
      <c r="B20" s="9" t="s">
        <v>2970</v>
      </c>
      <c r="C20" s="9" t="s">
        <v>40</v>
      </c>
      <c r="D20" s="9">
        <v>1</v>
      </c>
      <c r="E20" s="9">
        <v>4</v>
      </c>
      <c r="F20" s="9" t="s">
        <v>36</v>
      </c>
      <c r="G20" s="9" t="s">
        <v>49</v>
      </c>
      <c r="H20" s="9"/>
      <c r="I20" s="9"/>
      <c r="J20" s="9">
        <v>1.3</v>
      </c>
      <c r="K20" s="9"/>
      <c r="L20" s="9" t="s">
        <v>203</v>
      </c>
      <c r="M20" s="9" t="s">
        <v>703</v>
      </c>
      <c r="N20" s="9">
        <v>2005</v>
      </c>
      <c r="O20" s="9" t="s">
        <v>673</v>
      </c>
      <c r="P20" s="9"/>
      <c r="Q20" s="37"/>
      <c r="R20" s="37" t="s">
        <v>380</v>
      </c>
      <c r="S20" s="37"/>
      <c r="T20" s="37">
        <v>1.3</v>
      </c>
      <c r="U20" s="37"/>
    </row>
    <row r="21" spans="1:21">
      <c r="A21" s="9" t="s">
        <v>2973</v>
      </c>
      <c r="B21" s="9" t="s">
        <v>2970</v>
      </c>
      <c r="C21" s="9" t="s">
        <v>40</v>
      </c>
      <c r="D21" s="9">
        <v>4</v>
      </c>
      <c r="E21" s="9">
        <v>9</v>
      </c>
      <c r="F21" s="9" t="s">
        <v>36</v>
      </c>
      <c r="G21" s="9" t="s">
        <v>49</v>
      </c>
      <c r="H21" s="9"/>
      <c r="I21" s="9"/>
      <c r="J21" s="9">
        <v>1.7</v>
      </c>
      <c r="K21" s="9"/>
      <c r="L21" s="9" t="s">
        <v>203</v>
      </c>
      <c r="M21" s="9" t="s">
        <v>703</v>
      </c>
      <c r="N21" s="9">
        <v>2005</v>
      </c>
      <c r="O21" s="9" t="s">
        <v>673</v>
      </c>
      <c r="P21" s="9"/>
      <c r="Q21" s="37"/>
      <c r="R21" s="37" t="s">
        <v>380</v>
      </c>
      <c r="S21" s="37"/>
      <c r="T21" s="37">
        <v>1.7</v>
      </c>
      <c r="U21" s="37"/>
    </row>
    <row r="22" spans="1:21">
      <c r="A22" s="9" t="s">
        <v>2974</v>
      </c>
      <c r="B22" s="9" t="s">
        <v>2970</v>
      </c>
      <c r="C22" s="9" t="s">
        <v>40</v>
      </c>
      <c r="D22" s="9">
        <v>9</v>
      </c>
      <c r="E22" s="9">
        <v>14</v>
      </c>
      <c r="F22" s="9" t="s">
        <v>36</v>
      </c>
      <c r="G22" s="9" t="s">
        <v>49</v>
      </c>
      <c r="H22" s="9"/>
      <c r="I22" s="9"/>
      <c r="J22" s="9">
        <v>2.1</v>
      </c>
      <c r="K22" s="9"/>
      <c r="L22" s="9" t="s">
        <v>203</v>
      </c>
      <c r="M22" s="9" t="s">
        <v>703</v>
      </c>
      <c r="N22" s="9">
        <v>2005</v>
      </c>
      <c r="O22" s="9" t="s">
        <v>673</v>
      </c>
      <c r="P22" s="9"/>
      <c r="Q22" s="37"/>
      <c r="R22" s="37" t="s">
        <v>380</v>
      </c>
      <c r="S22" s="37"/>
      <c r="T22" s="37">
        <v>2.1</v>
      </c>
      <c r="U22" s="37"/>
    </row>
    <row r="23" spans="1:21">
      <c r="A23" s="9" t="s">
        <v>2975</v>
      </c>
      <c r="B23" s="9" t="s">
        <v>2970</v>
      </c>
      <c r="C23" s="9" t="s">
        <v>40</v>
      </c>
      <c r="D23" s="9">
        <v>14</v>
      </c>
      <c r="E23" s="9">
        <v>19</v>
      </c>
      <c r="F23" s="9" t="s">
        <v>36</v>
      </c>
      <c r="G23" s="9" t="s">
        <v>49</v>
      </c>
      <c r="H23" s="9"/>
      <c r="I23" s="9"/>
      <c r="J23" s="9">
        <v>2.2999999999999998</v>
      </c>
      <c r="K23" s="9"/>
      <c r="L23" s="9" t="s">
        <v>203</v>
      </c>
      <c r="M23" s="9" t="s">
        <v>703</v>
      </c>
      <c r="N23" s="9">
        <v>2005</v>
      </c>
      <c r="O23" s="9" t="s">
        <v>673</v>
      </c>
      <c r="P23" s="9"/>
      <c r="Q23" s="37"/>
      <c r="R23" s="37" t="s">
        <v>380</v>
      </c>
      <c r="S23" s="37"/>
      <c r="T23" s="37">
        <v>2.2999999999999998</v>
      </c>
      <c r="U23" s="37"/>
    </row>
    <row r="24" spans="1:21">
      <c r="A24" s="9" t="s">
        <v>2976</v>
      </c>
      <c r="B24" s="9" t="s">
        <v>2970</v>
      </c>
      <c r="C24" s="9" t="s">
        <v>40</v>
      </c>
      <c r="D24" s="9">
        <v>19</v>
      </c>
      <c r="E24" s="9">
        <v>999</v>
      </c>
      <c r="F24" s="9" t="s">
        <v>36</v>
      </c>
      <c r="G24" s="9" t="s">
        <v>49</v>
      </c>
      <c r="H24" s="9"/>
      <c r="I24" s="9"/>
      <c r="J24" s="9">
        <v>2.7</v>
      </c>
      <c r="K24" s="9"/>
      <c r="L24" s="9" t="s">
        <v>203</v>
      </c>
      <c r="M24" s="9" t="s">
        <v>703</v>
      </c>
      <c r="N24" s="9">
        <v>2005</v>
      </c>
      <c r="O24" s="9" t="s">
        <v>673</v>
      </c>
      <c r="P24" s="9"/>
      <c r="Q24" s="37"/>
      <c r="R24" s="37" t="s">
        <v>380</v>
      </c>
      <c r="S24" s="37"/>
      <c r="T24" s="37">
        <v>2.7</v>
      </c>
      <c r="U24" s="37"/>
    </row>
    <row r="25" spans="1:21">
      <c r="A25" s="9" t="s">
        <v>2977</v>
      </c>
      <c r="B25" s="9" t="s">
        <v>2951</v>
      </c>
      <c r="C25" s="9" t="s">
        <v>396</v>
      </c>
      <c r="D25" s="9">
        <v>0</v>
      </c>
      <c r="E25" s="9">
        <v>0.5</v>
      </c>
      <c r="F25" s="9" t="s">
        <v>36</v>
      </c>
      <c r="G25" s="9" t="s">
        <v>49</v>
      </c>
      <c r="H25" s="9"/>
      <c r="I25" s="9"/>
      <c r="J25" s="9">
        <v>9.1</v>
      </c>
      <c r="K25" s="9"/>
      <c r="L25" s="9" t="s">
        <v>207</v>
      </c>
      <c r="M25" s="9" t="s">
        <v>703</v>
      </c>
      <c r="N25" s="9">
        <v>2005</v>
      </c>
      <c r="O25" s="9" t="s">
        <v>673</v>
      </c>
      <c r="P25" s="9" t="s">
        <v>2952</v>
      </c>
      <c r="Q25" s="37"/>
      <c r="R25" s="37" t="s">
        <v>380</v>
      </c>
      <c r="S25" s="37"/>
      <c r="T25" s="37">
        <v>9.1</v>
      </c>
      <c r="U25" s="37"/>
    </row>
    <row r="26" spans="1:21">
      <c r="A26" s="9" t="s">
        <v>2978</v>
      </c>
      <c r="B26" s="9" t="s">
        <v>2951</v>
      </c>
      <c r="C26" s="9" t="s">
        <v>396</v>
      </c>
      <c r="D26" s="9">
        <v>0.5</v>
      </c>
      <c r="E26" s="9">
        <v>1</v>
      </c>
      <c r="F26" s="9" t="s">
        <v>36</v>
      </c>
      <c r="G26" s="9" t="s">
        <v>49</v>
      </c>
      <c r="H26" s="9"/>
      <c r="I26" s="9">
        <v>11</v>
      </c>
      <c r="J26" s="9"/>
      <c r="K26" s="9"/>
      <c r="L26" s="9" t="s">
        <v>207</v>
      </c>
      <c r="M26" s="9" t="s">
        <v>703</v>
      </c>
      <c r="N26" s="9">
        <v>2005</v>
      </c>
      <c r="O26" s="9" t="s">
        <v>673</v>
      </c>
      <c r="P26" s="9"/>
      <c r="Q26" s="37"/>
      <c r="R26" s="37" t="s">
        <v>379</v>
      </c>
      <c r="S26" s="37"/>
      <c r="T26" s="37">
        <v>11</v>
      </c>
      <c r="U26" s="37"/>
    </row>
    <row r="27" spans="1:21">
      <c r="A27" s="9" t="s">
        <v>2979</v>
      </c>
      <c r="B27" s="9" t="s">
        <v>2951</v>
      </c>
      <c r="C27" s="9" t="s">
        <v>396</v>
      </c>
      <c r="D27" s="9">
        <v>1</v>
      </c>
      <c r="E27" s="9">
        <v>4</v>
      </c>
      <c r="F27" s="9" t="s">
        <v>36</v>
      </c>
      <c r="G27" s="9" t="s">
        <v>49</v>
      </c>
      <c r="H27" s="9"/>
      <c r="I27" s="9">
        <v>13</v>
      </c>
      <c r="J27" s="9"/>
      <c r="K27" s="9"/>
      <c r="L27" s="9" t="s">
        <v>207</v>
      </c>
      <c r="M27" s="9" t="s">
        <v>703</v>
      </c>
      <c r="N27" s="9">
        <v>2005</v>
      </c>
      <c r="O27" s="9" t="s">
        <v>673</v>
      </c>
      <c r="P27" s="9"/>
      <c r="Q27" s="37"/>
      <c r="R27" s="37" t="s">
        <v>379</v>
      </c>
      <c r="S27" s="37"/>
      <c r="T27" s="37">
        <v>13</v>
      </c>
      <c r="U27" s="37"/>
    </row>
    <row r="28" spans="1:21">
      <c r="A28" s="9" t="s">
        <v>2980</v>
      </c>
      <c r="B28" s="9" t="s">
        <v>2951</v>
      </c>
      <c r="C28" s="9" t="s">
        <v>396</v>
      </c>
      <c r="D28" s="9">
        <v>4</v>
      </c>
      <c r="E28" s="9">
        <v>9</v>
      </c>
      <c r="F28" s="9" t="s">
        <v>36</v>
      </c>
      <c r="G28" s="9" t="s">
        <v>49</v>
      </c>
      <c r="H28" s="9"/>
      <c r="I28" s="9">
        <v>19</v>
      </c>
      <c r="J28" s="9"/>
      <c r="K28" s="9"/>
      <c r="L28" s="9" t="s">
        <v>207</v>
      </c>
      <c r="M28" s="9" t="s">
        <v>703</v>
      </c>
      <c r="N28" s="9">
        <v>2005</v>
      </c>
      <c r="O28" s="9" t="s">
        <v>673</v>
      </c>
      <c r="P28" s="9"/>
      <c r="Q28" s="37"/>
      <c r="R28" s="37" t="s">
        <v>379</v>
      </c>
      <c r="S28" s="37"/>
      <c r="T28" s="37">
        <v>19</v>
      </c>
      <c r="U28" s="37"/>
    </row>
    <row r="29" spans="1:21">
      <c r="A29" s="9" t="s">
        <v>2981</v>
      </c>
      <c r="B29" s="9" t="s">
        <v>2951</v>
      </c>
      <c r="C29" s="9" t="s">
        <v>396</v>
      </c>
      <c r="D29" s="9">
        <v>9</v>
      </c>
      <c r="E29" s="9">
        <v>14</v>
      </c>
      <c r="F29" s="9" t="s">
        <v>36</v>
      </c>
      <c r="G29" s="9" t="s">
        <v>49</v>
      </c>
      <c r="H29" s="9"/>
      <c r="I29" s="9">
        <v>34</v>
      </c>
      <c r="J29" s="9"/>
      <c r="K29" s="9"/>
      <c r="L29" s="9" t="s">
        <v>207</v>
      </c>
      <c r="M29" s="9" t="s">
        <v>703</v>
      </c>
      <c r="N29" s="9">
        <v>2005</v>
      </c>
      <c r="O29" s="9" t="s">
        <v>673</v>
      </c>
      <c r="P29" s="9"/>
      <c r="Q29" s="37"/>
      <c r="R29" s="37" t="s">
        <v>379</v>
      </c>
      <c r="S29" s="37"/>
      <c r="T29" s="37">
        <v>34</v>
      </c>
      <c r="U29" s="37"/>
    </row>
    <row r="30" spans="1:21">
      <c r="A30" s="9" t="s">
        <v>2982</v>
      </c>
      <c r="B30" s="9" t="s">
        <v>2951</v>
      </c>
      <c r="C30" s="9" t="s">
        <v>396</v>
      </c>
      <c r="D30" s="9">
        <v>14</v>
      </c>
      <c r="E30" s="9">
        <v>19</v>
      </c>
      <c r="F30" s="9" t="s">
        <v>36</v>
      </c>
      <c r="G30" s="9" t="s">
        <v>49</v>
      </c>
      <c r="H30" s="9"/>
      <c r="I30" s="9">
        <v>52</v>
      </c>
      <c r="J30" s="9"/>
      <c r="K30" s="9"/>
      <c r="L30" s="9" t="s">
        <v>207</v>
      </c>
      <c r="M30" s="9" t="s">
        <v>703</v>
      </c>
      <c r="N30" s="9">
        <v>2005</v>
      </c>
      <c r="O30" s="9" t="s">
        <v>673</v>
      </c>
      <c r="P30" s="9"/>
      <c r="Q30" s="37"/>
      <c r="R30" s="37" t="s">
        <v>379</v>
      </c>
      <c r="S30" s="37"/>
      <c r="T30" s="37">
        <v>52</v>
      </c>
      <c r="U30" s="37"/>
    </row>
    <row r="31" spans="1:21">
      <c r="A31" s="9" t="s">
        <v>2983</v>
      </c>
      <c r="B31" s="9" t="s">
        <v>2951</v>
      </c>
      <c r="C31" s="9" t="s">
        <v>396</v>
      </c>
      <c r="D31" s="9">
        <v>19</v>
      </c>
      <c r="E31" s="9">
        <v>999</v>
      </c>
      <c r="F31" s="9" t="s">
        <v>36</v>
      </c>
      <c r="G31" s="9" t="s">
        <v>49</v>
      </c>
      <c r="H31" s="9"/>
      <c r="I31" s="9">
        <v>56</v>
      </c>
      <c r="J31" s="9"/>
      <c r="K31" s="9"/>
      <c r="L31" s="9" t="s">
        <v>207</v>
      </c>
      <c r="M31" s="9" t="s">
        <v>703</v>
      </c>
      <c r="N31" s="9">
        <v>2005</v>
      </c>
      <c r="O31" s="9" t="s">
        <v>673</v>
      </c>
      <c r="P31" s="9"/>
      <c r="Q31" s="37"/>
      <c r="R31" s="37" t="s">
        <v>379</v>
      </c>
      <c r="S31" s="37"/>
      <c r="T31" s="37">
        <v>56</v>
      </c>
      <c r="U31" s="37"/>
    </row>
    <row r="32" spans="1:21">
      <c r="A32" s="9" t="s">
        <v>2984</v>
      </c>
      <c r="B32" s="9" t="s">
        <v>138</v>
      </c>
      <c r="C32" s="9" t="s">
        <v>396</v>
      </c>
      <c r="D32" s="9">
        <v>0</v>
      </c>
      <c r="E32" s="9">
        <v>0.5</v>
      </c>
      <c r="F32" s="9" t="s">
        <v>36</v>
      </c>
      <c r="G32" s="9" t="s">
        <v>49</v>
      </c>
      <c r="H32" s="9"/>
      <c r="I32" s="9"/>
      <c r="J32" s="9">
        <v>60</v>
      </c>
      <c r="K32" s="9"/>
      <c r="L32" s="9" t="s">
        <v>207</v>
      </c>
      <c r="M32" s="9" t="s">
        <v>703</v>
      </c>
      <c r="N32" s="9">
        <v>2005</v>
      </c>
      <c r="O32" s="9" t="s">
        <v>673</v>
      </c>
      <c r="P32" s="9" t="s">
        <v>380</v>
      </c>
      <c r="Q32" s="37"/>
      <c r="R32" s="37" t="s">
        <v>380</v>
      </c>
      <c r="S32" s="37"/>
      <c r="T32" s="37">
        <v>60</v>
      </c>
      <c r="U32" s="37"/>
    </row>
    <row r="33" spans="1:21">
      <c r="A33" s="9" t="s">
        <v>2985</v>
      </c>
      <c r="B33" s="9" t="s">
        <v>138</v>
      </c>
      <c r="C33" s="9" t="s">
        <v>396</v>
      </c>
      <c r="D33" s="9">
        <v>0.5</v>
      </c>
      <c r="E33" s="9">
        <v>1</v>
      </c>
      <c r="F33" s="9" t="s">
        <v>36</v>
      </c>
      <c r="G33" s="9" t="s">
        <v>49</v>
      </c>
      <c r="H33" s="9"/>
      <c r="I33" s="9"/>
      <c r="J33" s="9">
        <v>95</v>
      </c>
      <c r="K33" s="9"/>
      <c r="L33" s="9" t="s">
        <v>207</v>
      </c>
      <c r="M33" s="9" t="s">
        <v>703</v>
      </c>
      <c r="N33" s="9">
        <v>2005</v>
      </c>
      <c r="O33" s="9" t="s">
        <v>673</v>
      </c>
      <c r="P33" s="9" t="s">
        <v>380</v>
      </c>
      <c r="Q33" s="37"/>
      <c r="R33" s="37" t="s">
        <v>380</v>
      </c>
      <c r="S33" s="37"/>
      <c r="T33" s="37">
        <v>95</v>
      </c>
      <c r="U33" s="37"/>
    </row>
    <row r="34" spans="1:21">
      <c r="A34" s="9" t="s">
        <v>2986</v>
      </c>
      <c r="B34" s="9" t="s">
        <v>138</v>
      </c>
      <c r="C34" s="9" t="s">
        <v>396</v>
      </c>
      <c r="D34" s="9">
        <v>1</v>
      </c>
      <c r="E34" s="9">
        <v>999</v>
      </c>
      <c r="F34" s="9" t="s">
        <v>36</v>
      </c>
      <c r="G34" s="9" t="s">
        <v>49</v>
      </c>
      <c r="H34" s="9"/>
      <c r="I34" s="9">
        <v>130</v>
      </c>
      <c r="J34" s="9"/>
      <c r="K34" s="9"/>
      <c r="L34" s="9" t="s">
        <v>207</v>
      </c>
      <c r="M34" s="9" t="s">
        <v>703</v>
      </c>
      <c r="N34" s="9">
        <v>2005</v>
      </c>
      <c r="O34" s="9" t="s">
        <v>673</v>
      </c>
      <c r="P34" s="9"/>
      <c r="Q34" s="37"/>
      <c r="R34" s="37" t="s">
        <v>379</v>
      </c>
      <c r="S34" s="37"/>
      <c r="T34" s="37">
        <v>130</v>
      </c>
      <c r="U34" s="37"/>
    </row>
    <row r="35" spans="1:21">
      <c r="A35" s="9" t="s">
        <v>2987</v>
      </c>
      <c r="B35" s="9" t="s">
        <v>2963</v>
      </c>
      <c r="C35" s="9" t="s">
        <v>396</v>
      </c>
      <c r="D35" s="9">
        <v>1</v>
      </c>
      <c r="E35" s="9">
        <v>4</v>
      </c>
      <c r="F35" s="9" t="s">
        <v>36</v>
      </c>
      <c r="G35" s="9" t="s">
        <v>49</v>
      </c>
      <c r="H35" s="9"/>
      <c r="I35" s="9"/>
      <c r="J35" s="9">
        <v>19</v>
      </c>
      <c r="K35" s="9"/>
      <c r="L35" s="9" t="s">
        <v>207</v>
      </c>
      <c r="M35" s="9" t="s">
        <v>703</v>
      </c>
      <c r="N35" s="9">
        <v>2005</v>
      </c>
      <c r="O35" s="9" t="s">
        <v>673</v>
      </c>
      <c r="P35" s="9"/>
      <c r="Q35" s="37"/>
      <c r="R35" s="37" t="s">
        <v>380</v>
      </c>
      <c r="S35" s="37"/>
      <c r="T35" s="37">
        <v>19</v>
      </c>
      <c r="U35" s="37"/>
    </row>
    <row r="36" spans="1:21">
      <c r="A36" s="9" t="s">
        <v>2988</v>
      </c>
      <c r="B36" s="9" t="s">
        <v>2963</v>
      </c>
      <c r="C36" s="9" t="s">
        <v>396</v>
      </c>
      <c r="D36" s="9">
        <v>4</v>
      </c>
      <c r="E36" s="9">
        <v>9</v>
      </c>
      <c r="F36" s="9" t="s">
        <v>36</v>
      </c>
      <c r="G36" s="9" t="s">
        <v>49</v>
      </c>
      <c r="H36" s="9"/>
      <c r="I36" s="9"/>
      <c r="J36" s="9">
        <v>25</v>
      </c>
      <c r="K36" s="9"/>
      <c r="L36" s="9" t="s">
        <v>207</v>
      </c>
      <c r="M36" s="9" t="s">
        <v>703</v>
      </c>
      <c r="N36" s="9">
        <v>2005</v>
      </c>
      <c r="O36" s="9" t="s">
        <v>673</v>
      </c>
      <c r="P36" s="9"/>
      <c r="Q36" s="37"/>
      <c r="R36" s="37" t="s">
        <v>380</v>
      </c>
      <c r="S36" s="37"/>
      <c r="T36" s="37">
        <v>25</v>
      </c>
      <c r="U36" s="37"/>
    </row>
    <row r="37" spans="1:21">
      <c r="A37" s="9" t="s">
        <v>2989</v>
      </c>
      <c r="B37" s="9" t="s">
        <v>2963</v>
      </c>
      <c r="C37" s="9" t="s">
        <v>396</v>
      </c>
      <c r="D37" s="9">
        <v>9</v>
      </c>
      <c r="E37" s="9">
        <v>14</v>
      </c>
      <c r="F37" s="9" t="s">
        <v>36</v>
      </c>
      <c r="G37" s="9" t="s">
        <v>49</v>
      </c>
      <c r="H37" s="9"/>
      <c r="I37" s="9"/>
      <c r="J37" s="9">
        <v>31</v>
      </c>
      <c r="K37" s="9"/>
      <c r="L37" s="9" t="s">
        <v>207</v>
      </c>
      <c r="M37" s="9" t="s">
        <v>703</v>
      </c>
      <c r="N37" s="9">
        <v>2005</v>
      </c>
      <c r="O37" s="9" t="s">
        <v>673</v>
      </c>
      <c r="P37" s="9"/>
      <c r="Q37" s="37"/>
      <c r="R37" s="37" t="s">
        <v>380</v>
      </c>
      <c r="S37" s="37"/>
      <c r="T37" s="37">
        <v>31</v>
      </c>
      <c r="U37" s="37"/>
    </row>
    <row r="38" spans="1:21">
      <c r="A38" s="9" t="s">
        <v>2990</v>
      </c>
      <c r="B38" s="9" t="s">
        <v>2963</v>
      </c>
      <c r="C38" s="9" t="s">
        <v>396</v>
      </c>
      <c r="D38" s="9">
        <v>14</v>
      </c>
      <c r="E38" s="9">
        <v>19</v>
      </c>
      <c r="F38" s="9" t="s">
        <v>36</v>
      </c>
      <c r="G38" s="9" t="s">
        <v>49</v>
      </c>
      <c r="H38" s="9"/>
      <c r="I38" s="9"/>
      <c r="J38" s="9">
        <v>38</v>
      </c>
      <c r="K38" s="9"/>
      <c r="L38" s="9" t="s">
        <v>207</v>
      </c>
      <c r="M38" s="9" t="s">
        <v>703</v>
      </c>
      <c r="N38" s="9">
        <v>2005</v>
      </c>
      <c r="O38" s="9" t="s">
        <v>673</v>
      </c>
      <c r="P38" s="9"/>
      <c r="Q38" s="37"/>
      <c r="R38" s="37" t="s">
        <v>380</v>
      </c>
      <c r="S38" s="37"/>
      <c r="T38" s="37">
        <v>38</v>
      </c>
      <c r="U38" s="37"/>
    </row>
    <row r="39" spans="1:21">
      <c r="A39" s="9" t="s">
        <v>2991</v>
      </c>
      <c r="B39" s="9" t="s">
        <v>2963</v>
      </c>
      <c r="C39" s="9" t="s">
        <v>396</v>
      </c>
      <c r="D39" s="9">
        <v>19</v>
      </c>
      <c r="E39" s="9">
        <v>51</v>
      </c>
      <c r="F39" s="9" t="s">
        <v>36</v>
      </c>
      <c r="G39" s="9" t="s">
        <v>49</v>
      </c>
      <c r="H39" s="9"/>
      <c r="I39" s="9"/>
      <c r="J39" s="9">
        <v>38</v>
      </c>
      <c r="K39" s="9"/>
      <c r="L39" s="9" t="s">
        <v>207</v>
      </c>
      <c r="M39" s="9" t="s">
        <v>703</v>
      </c>
      <c r="N39" s="9">
        <v>2005</v>
      </c>
      <c r="O39" s="9" t="s">
        <v>673</v>
      </c>
      <c r="P39" s="9"/>
      <c r="Q39" s="37"/>
      <c r="R39" s="37" t="s">
        <v>380</v>
      </c>
      <c r="S39" s="37"/>
      <c r="T39" s="37">
        <v>38</v>
      </c>
      <c r="U39" s="37"/>
    </row>
    <row r="40" spans="1:21">
      <c r="A40" s="9" t="s">
        <v>2992</v>
      </c>
      <c r="B40" s="9" t="s">
        <v>2963</v>
      </c>
      <c r="C40" s="9" t="s">
        <v>396</v>
      </c>
      <c r="D40" s="9">
        <v>51</v>
      </c>
      <c r="E40" s="9">
        <v>999</v>
      </c>
      <c r="F40" s="9" t="s">
        <v>36</v>
      </c>
      <c r="G40" s="9" t="s">
        <v>49</v>
      </c>
      <c r="H40" s="9"/>
      <c r="I40" s="9"/>
      <c r="J40" s="9">
        <v>30</v>
      </c>
      <c r="K40" s="9"/>
      <c r="L40" s="9" t="s">
        <v>207</v>
      </c>
      <c r="M40" s="9" t="s">
        <v>703</v>
      </c>
      <c r="N40" s="9">
        <v>2005</v>
      </c>
      <c r="O40" s="9" t="s">
        <v>673</v>
      </c>
      <c r="P40" s="9"/>
      <c r="Q40" s="37"/>
      <c r="R40" s="37" t="s">
        <v>380</v>
      </c>
      <c r="S40" s="37"/>
      <c r="T40" s="37">
        <v>30</v>
      </c>
      <c r="U40" s="37"/>
    </row>
    <row r="41" spans="1:21">
      <c r="A41" s="9" t="s">
        <v>2993</v>
      </c>
      <c r="B41" s="9" t="s">
        <v>2970</v>
      </c>
      <c r="C41" s="9" t="s">
        <v>396</v>
      </c>
      <c r="D41" s="9">
        <v>0</v>
      </c>
      <c r="E41" s="9">
        <v>0.5</v>
      </c>
      <c r="F41" s="9" t="s">
        <v>36</v>
      </c>
      <c r="G41" s="9" t="s">
        <v>49</v>
      </c>
      <c r="H41" s="9"/>
      <c r="I41" s="9"/>
      <c r="J41" s="9">
        <v>0.7</v>
      </c>
      <c r="K41" s="9"/>
      <c r="L41" s="9" t="s">
        <v>203</v>
      </c>
      <c r="M41" s="9" t="s">
        <v>703</v>
      </c>
      <c r="N41" s="9">
        <v>2005</v>
      </c>
      <c r="O41" s="9" t="s">
        <v>673</v>
      </c>
      <c r="P41" s="9"/>
      <c r="Q41" s="37"/>
      <c r="R41" s="37" t="s">
        <v>380</v>
      </c>
      <c r="S41" s="37"/>
      <c r="T41" s="37">
        <v>0.7</v>
      </c>
      <c r="U41" s="37"/>
    </row>
    <row r="42" spans="1:21">
      <c r="A42" s="9" t="s">
        <v>2994</v>
      </c>
      <c r="B42" s="9" t="s">
        <v>2970</v>
      </c>
      <c r="C42" s="9" t="s">
        <v>396</v>
      </c>
      <c r="D42" s="9">
        <v>0.5</v>
      </c>
      <c r="E42" s="9">
        <v>1</v>
      </c>
      <c r="F42" s="9" t="s">
        <v>36</v>
      </c>
      <c r="G42" s="9" t="s">
        <v>49</v>
      </c>
      <c r="H42" s="9"/>
      <c r="I42" s="9"/>
      <c r="J42" s="9">
        <v>0.8</v>
      </c>
      <c r="K42" s="9"/>
      <c r="L42" s="9" t="s">
        <v>203</v>
      </c>
      <c r="M42" s="9" t="s">
        <v>703</v>
      </c>
      <c r="N42" s="9">
        <v>2005</v>
      </c>
      <c r="O42" s="9" t="s">
        <v>673</v>
      </c>
      <c r="P42" s="9"/>
      <c r="Q42" s="37"/>
      <c r="R42" s="37" t="s">
        <v>380</v>
      </c>
      <c r="S42" s="37"/>
      <c r="T42" s="37">
        <v>0.8</v>
      </c>
      <c r="U42" s="37"/>
    </row>
    <row r="43" spans="1:21">
      <c r="A43" s="9" t="s">
        <v>2995</v>
      </c>
      <c r="B43" s="9" t="s">
        <v>2970</v>
      </c>
      <c r="C43" s="9" t="s">
        <v>396</v>
      </c>
      <c r="D43" s="9">
        <v>1</v>
      </c>
      <c r="E43" s="9">
        <v>4</v>
      </c>
      <c r="F43" s="9" t="s">
        <v>36</v>
      </c>
      <c r="G43" s="9" t="s">
        <v>49</v>
      </c>
      <c r="H43" s="9"/>
      <c r="I43" s="9"/>
      <c r="J43" s="9">
        <v>1.3</v>
      </c>
      <c r="K43" s="9"/>
      <c r="L43" s="9" t="s">
        <v>203</v>
      </c>
      <c r="M43" s="9" t="s">
        <v>703</v>
      </c>
      <c r="N43" s="9">
        <v>2005</v>
      </c>
      <c r="O43" s="9" t="s">
        <v>673</v>
      </c>
      <c r="P43" s="9"/>
      <c r="Q43" s="37"/>
      <c r="R43" s="37" t="s">
        <v>380</v>
      </c>
      <c r="S43" s="37"/>
      <c r="T43" s="37">
        <v>1.3</v>
      </c>
      <c r="U43" s="37"/>
    </row>
    <row r="44" spans="1:21">
      <c r="A44" s="9" t="s">
        <v>2996</v>
      </c>
      <c r="B44" s="9" t="s">
        <v>2970</v>
      </c>
      <c r="C44" s="9" t="s">
        <v>396</v>
      </c>
      <c r="D44" s="9">
        <v>4</v>
      </c>
      <c r="E44" s="9">
        <v>9</v>
      </c>
      <c r="F44" s="9" t="s">
        <v>36</v>
      </c>
      <c r="G44" s="9" t="s">
        <v>49</v>
      </c>
      <c r="H44" s="9"/>
      <c r="I44" s="9"/>
      <c r="J44" s="9">
        <v>1.7</v>
      </c>
      <c r="K44" s="9"/>
      <c r="L44" s="9" t="s">
        <v>203</v>
      </c>
      <c r="M44" s="9" t="s">
        <v>703</v>
      </c>
      <c r="N44" s="9">
        <v>2005</v>
      </c>
      <c r="O44" s="9" t="s">
        <v>673</v>
      </c>
      <c r="P44" s="9"/>
      <c r="Q44" s="37"/>
      <c r="R44" s="37" t="s">
        <v>380</v>
      </c>
      <c r="S44" s="37"/>
      <c r="T44" s="37">
        <v>1.7</v>
      </c>
      <c r="U44" s="37"/>
    </row>
    <row r="45" spans="1:21">
      <c r="A45" s="9" t="s">
        <v>2997</v>
      </c>
      <c r="B45" s="9" t="s">
        <v>2970</v>
      </c>
      <c r="C45" s="9" t="s">
        <v>396</v>
      </c>
      <c r="D45" s="9">
        <v>9</v>
      </c>
      <c r="E45" s="9">
        <v>14</v>
      </c>
      <c r="F45" s="9" t="s">
        <v>36</v>
      </c>
      <c r="G45" s="9" t="s">
        <v>49</v>
      </c>
      <c r="H45" s="9"/>
      <c r="I45" s="9"/>
      <c r="J45" s="9">
        <v>2.4</v>
      </c>
      <c r="K45" s="9"/>
      <c r="L45" s="9" t="s">
        <v>203</v>
      </c>
      <c r="M45" s="9" t="s">
        <v>703</v>
      </c>
      <c r="N45" s="9">
        <v>2005</v>
      </c>
      <c r="O45" s="9" t="s">
        <v>673</v>
      </c>
      <c r="P45" s="9"/>
      <c r="Q45" s="37"/>
      <c r="R45" s="37" t="s">
        <v>380</v>
      </c>
      <c r="S45" s="37"/>
      <c r="T45" s="37">
        <v>2.4</v>
      </c>
      <c r="U45" s="37"/>
    </row>
    <row r="46" spans="1:21">
      <c r="A46" s="9" t="s">
        <v>2998</v>
      </c>
      <c r="B46" s="9" t="s">
        <v>2970</v>
      </c>
      <c r="C46" s="9" t="s">
        <v>396</v>
      </c>
      <c r="D46" s="9">
        <v>14</v>
      </c>
      <c r="E46" s="9">
        <v>19</v>
      </c>
      <c r="F46" s="9" t="s">
        <v>36</v>
      </c>
      <c r="G46" s="9" t="s">
        <v>49</v>
      </c>
      <c r="H46" s="9"/>
      <c r="I46" s="9"/>
      <c r="J46" s="9">
        <v>3.3</v>
      </c>
      <c r="K46" s="9"/>
      <c r="L46" s="9" t="s">
        <v>203</v>
      </c>
      <c r="M46" s="9" t="s">
        <v>703</v>
      </c>
      <c r="N46" s="9">
        <v>2005</v>
      </c>
      <c r="O46" s="9" t="s">
        <v>673</v>
      </c>
      <c r="P46" s="9"/>
      <c r="Q46" s="37"/>
      <c r="R46" s="37" t="s">
        <v>380</v>
      </c>
      <c r="S46" s="37"/>
      <c r="T46" s="37">
        <v>3.3</v>
      </c>
      <c r="U46" s="37"/>
    </row>
    <row r="47" spans="1:21">
      <c r="A47" s="9" t="s">
        <v>2999</v>
      </c>
      <c r="B47" s="9" t="s">
        <v>2970</v>
      </c>
      <c r="C47" s="9" t="s">
        <v>396</v>
      </c>
      <c r="D47" s="9">
        <v>19</v>
      </c>
      <c r="E47" s="9">
        <v>999</v>
      </c>
      <c r="F47" s="9" t="s">
        <v>36</v>
      </c>
      <c r="G47" s="9" t="s">
        <v>49</v>
      </c>
      <c r="H47" s="9"/>
      <c r="I47" s="9"/>
      <c r="J47" s="9">
        <v>3.7</v>
      </c>
      <c r="K47" s="9"/>
      <c r="L47" s="9" t="s">
        <v>203</v>
      </c>
      <c r="M47" s="9" t="s">
        <v>703</v>
      </c>
      <c r="N47" s="9">
        <v>2005</v>
      </c>
      <c r="O47" s="9" t="s">
        <v>673</v>
      </c>
      <c r="P47" s="9"/>
      <c r="Q47" s="37"/>
      <c r="R47" s="37" t="s">
        <v>380</v>
      </c>
      <c r="S47" s="37"/>
      <c r="T47" s="37">
        <v>3.7</v>
      </c>
      <c r="U47" s="37"/>
    </row>
    <row r="48" spans="1:21">
      <c r="A48" s="9" t="s">
        <v>3000</v>
      </c>
      <c r="B48" s="9" t="s">
        <v>2951</v>
      </c>
      <c r="C48" s="9" t="s">
        <v>40</v>
      </c>
      <c r="D48" s="9">
        <v>14</v>
      </c>
      <c r="E48" s="9">
        <v>51</v>
      </c>
      <c r="F48" s="9" t="s">
        <v>36</v>
      </c>
      <c r="G48" s="9" t="s">
        <v>414</v>
      </c>
      <c r="H48" s="9"/>
      <c r="I48" s="9">
        <v>71</v>
      </c>
      <c r="J48" s="9"/>
      <c r="K48" s="9"/>
      <c r="L48" s="9" t="s">
        <v>207</v>
      </c>
      <c r="M48" s="9" t="s">
        <v>703</v>
      </c>
      <c r="N48" s="9">
        <v>2005</v>
      </c>
      <c r="O48" s="9" t="s">
        <v>673</v>
      </c>
      <c r="P48" s="9"/>
      <c r="Q48" s="37"/>
      <c r="R48" s="37" t="s">
        <v>379</v>
      </c>
      <c r="S48" s="37"/>
      <c r="T48" s="37">
        <v>71</v>
      </c>
      <c r="U48" s="37"/>
    </row>
    <row r="49" spans="1:21">
      <c r="A49" s="9" t="s">
        <v>3001</v>
      </c>
      <c r="B49" s="9" t="s">
        <v>138</v>
      </c>
      <c r="C49" s="9" t="s">
        <v>40</v>
      </c>
      <c r="D49" s="9">
        <v>14</v>
      </c>
      <c r="E49" s="9">
        <v>51</v>
      </c>
      <c r="F49" s="9" t="s">
        <v>36</v>
      </c>
      <c r="G49" s="9" t="s">
        <v>414</v>
      </c>
      <c r="H49" s="9"/>
      <c r="I49" s="9">
        <v>175</v>
      </c>
      <c r="J49" s="9"/>
      <c r="K49" s="9"/>
      <c r="L49" s="9" t="s">
        <v>207</v>
      </c>
      <c r="M49" s="9" t="s">
        <v>703</v>
      </c>
      <c r="N49" s="9">
        <v>2005</v>
      </c>
      <c r="O49" s="9" t="s">
        <v>673</v>
      </c>
      <c r="P49" s="9"/>
      <c r="Q49" s="37"/>
      <c r="R49" s="37" t="s">
        <v>379</v>
      </c>
      <c r="S49" s="37"/>
      <c r="T49" s="37">
        <v>175</v>
      </c>
      <c r="U49" s="37"/>
    </row>
    <row r="50" spans="1:21">
      <c r="A50" s="9" t="s">
        <v>3002</v>
      </c>
      <c r="B50" s="9" t="s">
        <v>2963</v>
      </c>
      <c r="C50" s="9" t="s">
        <v>40</v>
      </c>
      <c r="D50" s="9">
        <v>14</v>
      </c>
      <c r="E50" s="9">
        <v>51</v>
      </c>
      <c r="F50" s="9" t="s">
        <v>36</v>
      </c>
      <c r="G50" s="9" t="s">
        <v>414</v>
      </c>
      <c r="H50" s="9"/>
      <c r="I50" s="9"/>
      <c r="J50" s="9">
        <v>28</v>
      </c>
      <c r="K50" s="9"/>
      <c r="L50" s="9" t="s">
        <v>207</v>
      </c>
      <c r="M50" s="9" t="s">
        <v>703</v>
      </c>
      <c r="N50" s="9">
        <v>2005</v>
      </c>
      <c r="O50" s="9" t="s">
        <v>673</v>
      </c>
      <c r="P50" s="9"/>
      <c r="Q50" s="37"/>
      <c r="R50" s="37" t="s">
        <v>380</v>
      </c>
      <c r="S50" s="37"/>
      <c r="T50" s="37">
        <v>28</v>
      </c>
      <c r="U50" s="37"/>
    </row>
    <row r="51" spans="1:21">
      <c r="A51" s="9" t="s">
        <v>3003</v>
      </c>
      <c r="B51" s="9" t="s">
        <v>2970</v>
      </c>
      <c r="C51" s="9" t="s">
        <v>40</v>
      </c>
      <c r="D51" s="9">
        <v>14</v>
      </c>
      <c r="E51" s="9">
        <v>51</v>
      </c>
      <c r="F51" s="9" t="s">
        <v>36</v>
      </c>
      <c r="G51" s="9" t="s">
        <v>414</v>
      </c>
      <c r="H51" s="9"/>
      <c r="I51" s="9"/>
      <c r="J51" s="9">
        <v>3</v>
      </c>
      <c r="K51" s="9"/>
      <c r="L51" s="9" t="s">
        <v>203</v>
      </c>
      <c r="M51" s="9" t="s">
        <v>703</v>
      </c>
      <c r="N51" s="9">
        <v>2005</v>
      </c>
      <c r="O51" s="9" t="s">
        <v>673</v>
      </c>
      <c r="P51" s="9"/>
      <c r="Q51" s="37"/>
      <c r="R51" s="37" t="s">
        <v>380</v>
      </c>
      <c r="S51" s="37"/>
      <c r="T51" s="37">
        <v>3</v>
      </c>
      <c r="U51" s="37"/>
    </row>
    <row r="52" spans="1:21">
      <c r="A52" s="9" t="s">
        <v>3004</v>
      </c>
      <c r="B52" s="9" t="s">
        <v>2951</v>
      </c>
      <c r="C52" s="9" t="s">
        <v>40</v>
      </c>
      <c r="D52" s="9">
        <v>14</v>
      </c>
      <c r="E52" s="9">
        <v>51</v>
      </c>
      <c r="F52" s="9" t="s">
        <v>36</v>
      </c>
      <c r="G52" s="9" t="s">
        <v>416</v>
      </c>
      <c r="H52" s="9"/>
      <c r="I52" s="9">
        <v>71</v>
      </c>
      <c r="J52" s="9"/>
      <c r="K52" s="9"/>
      <c r="L52" s="9" t="s">
        <v>207</v>
      </c>
      <c r="M52" s="9" t="s">
        <v>703</v>
      </c>
      <c r="N52" s="9">
        <v>2005</v>
      </c>
      <c r="O52" s="9" t="s">
        <v>673</v>
      </c>
      <c r="P52" s="9"/>
      <c r="Q52" s="37"/>
      <c r="R52" s="37" t="s">
        <v>379</v>
      </c>
      <c r="S52" s="37"/>
      <c r="T52" s="37">
        <v>71</v>
      </c>
      <c r="U52" s="37"/>
    </row>
    <row r="53" spans="1:21">
      <c r="A53" s="9" t="s">
        <v>3005</v>
      </c>
      <c r="B53" s="9" t="s">
        <v>138</v>
      </c>
      <c r="C53" s="9" t="s">
        <v>40</v>
      </c>
      <c r="D53" s="9">
        <v>14</v>
      </c>
      <c r="E53" s="9">
        <v>51</v>
      </c>
      <c r="F53" s="9" t="s">
        <v>36</v>
      </c>
      <c r="G53" s="9" t="s">
        <v>416</v>
      </c>
      <c r="H53" s="9"/>
      <c r="I53" s="9">
        <v>210</v>
      </c>
      <c r="J53" s="9"/>
      <c r="K53" s="9"/>
      <c r="L53" s="9" t="s">
        <v>207</v>
      </c>
      <c r="M53" s="9" t="s">
        <v>703</v>
      </c>
      <c r="N53" s="9">
        <v>2005</v>
      </c>
      <c r="O53" s="9" t="s">
        <v>673</v>
      </c>
      <c r="P53" s="9"/>
      <c r="Q53" s="37"/>
      <c r="R53" s="37" t="s">
        <v>379</v>
      </c>
      <c r="S53" s="37"/>
      <c r="T53" s="37">
        <v>210</v>
      </c>
      <c r="U53" s="37"/>
    </row>
    <row r="54" spans="1:21">
      <c r="A54" s="9" t="s">
        <v>3006</v>
      </c>
      <c r="B54" s="9" t="s">
        <v>2963</v>
      </c>
      <c r="C54" s="9" t="s">
        <v>40</v>
      </c>
      <c r="D54" s="9">
        <v>14</v>
      </c>
      <c r="E54" s="9">
        <v>51</v>
      </c>
      <c r="F54" s="9" t="s">
        <v>36</v>
      </c>
      <c r="G54" s="9" t="s">
        <v>416</v>
      </c>
      <c r="H54" s="9"/>
      <c r="I54" s="9"/>
      <c r="J54" s="9">
        <v>29</v>
      </c>
      <c r="K54" s="9"/>
      <c r="L54" s="9" t="s">
        <v>207</v>
      </c>
      <c r="M54" s="9" t="s">
        <v>703</v>
      </c>
      <c r="N54" s="9">
        <v>2005</v>
      </c>
      <c r="O54" s="9" t="s">
        <v>673</v>
      </c>
      <c r="P54" s="9"/>
      <c r="Q54" s="37"/>
      <c r="R54" s="37" t="s">
        <v>380</v>
      </c>
      <c r="S54" s="37"/>
      <c r="T54" s="37">
        <v>29</v>
      </c>
      <c r="U54" s="37"/>
    </row>
    <row r="55" spans="1:21">
      <c r="A55" s="9" t="s">
        <v>3007</v>
      </c>
      <c r="B55" s="9" t="s">
        <v>2970</v>
      </c>
      <c r="C55" s="9" t="s">
        <v>40</v>
      </c>
      <c r="D55" s="9">
        <v>14</v>
      </c>
      <c r="E55" s="9">
        <v>51</v>
      </c>
      <c r="F55" s="9" t="s">
        <v>36</v>
      </c>
      <c r="G55" s="9" t="s">
        <v>416</v>
      </c>
      <c r="H55" s="9"/>
      <c r="I55" s="9"/>
      <c r="J55" s="9">
        <v>3.8</v>
      </c>
      <c r="K55" s="9"/>
      <c r="L55" s="9" t="s">
        <v>203</v>
      </c>
      <c r="M55" s="9" t="s">
        <v>703</v>
      </c>
      <c r="N55" s="9">
        <v>2005</v>
      </c>
      <c r="O55" s="9" t="s">
        <v>673</v>
      </c>
      <c r="P55" s="9"/>
      <c r="Q55" s="37"/>
      <c r="R55" s="37" t="s">
        <v>380</v>
      </c>
      <c r="S55" s="37"/>
      <c r="T55" s="37">
        <v>3.8</v>
      </c>
      <c r="U55" s="37"/>
    </row>
    <row r="56" spans="1:21" ht="28.5" customHeight="1">
      <c r="A56" s="37" t="s">
        <v>3008</v>
      </c>
      <c r="B56" s="37" t="s">
        <v>266</v>
      </c>
      <c r="C56" s="37" t="s">
        <v>387</v>
      </c>
      <c r="D56" s="37">
        <v>0</v>
      </c>
      <c r="E56" s="37">
        <v>0.5</v>
      </c>
      <c r="F56" s="37" t="s">
        <v>36</v>
      </c>
      <c r="G56" s="37" t="s">
        <v>49</v>
      </c>
      <c r="H56" s="37"/>
      <c r="I56" s="37"/>
      <c r="J56" s="37">
        <v>400</v>
      </c>
      <c r="K56" s="37">
        <v>600</v>
      </c>
      <c r="L56" s="37" t="s">
        <v>271</v>
      </c>
      <c r="M56" s="37" t="s">
        <v>703</v>
      </c>
      <c r="N56" s="37">
        <v>2001</v>
      </c>
      <c r="O56" s="37" t="s">
        <v>232</v>
      </c>
      <c r="P56" s="37" t="s">
        <v>3009</v>
      </c>
      <c r="Q56" s="37"/>
      <c r="R56" s="37" t="s">
        <v>380</v>
      </c>
      <c r="S56" s="37" t="s">
        <v>222</v>
      </c>
      <c r="T56" s="37">
        <v>400</v>
      </c>
      <c r="U56" s="37">
        <v>600</v>
      </c>
    </row>
    <row r="57" spans="1:21" ht="28.5" customHeight="1">
      <c r="A57" s="37" t="s">
        <v>3010</v>
      </c>
      <c r="B57" s="37" t="s">
        <v>266</v>
      </c>
      <c r="C57" s="37" t="s">
        <v>387</v>
      </c>
      <c r="D57" s="37">
        <v>0.5</v>
      </c>
      <c r="E57" s="37">
        <v>1</v>
      </c>
      <c r="F57" s="37" t="s">
        <v>36</v>
      </c>
      <c r="G57" s="37" t="s">
        <v>49</v>
      </c>
      <c r="H57" s="37"/>
      <c r="I57" s="37"/>
      <c r="J57" s="37">
        <v>500</v>
      </c>
      <c r="K57" s="37">
        <v>600</v>
      </c>
      <c r="L57" s="37" t="s">
        <v>271</v>
      </c>
      <c r="M57" s="37" t="s">
        <v>703</v>
      </c>
      <c r="N57" s="37">
        <v>2001</v>
      </c>
      <c r="O57" s="37" t="s">
        <v>232</v>
      </c>
      <c r="P57" s="37" t="s">
        <v>3009</v>
      </c>
      <c r="Q57" s="37"/>
      <c r="R57" s="37" t="s">
        <v>380</v>
      </c>
      <c r="S57" s="37" t="s">
        <v>222</v>
      </c>
      <c r="T57" s="37">
        <v>500</v>
      </c>
      <c r="U57" s="37">
        <v>600</v>
      </c>
    </row>
    <row r="58" spans="1:21" ht="28.5" customHeight="1">
      <c r="A58" s="37" t="s">
        <v>3011</v>
      </c>
      <c r="B58" s="37" t="s">
        <v>266</v>
      </c>
      <c r="C58" s="37" t="s">
        <v>387</v>
      </c>
      <c r="D58" s="37">
        <v>1</v>
      </c>
      <c r="E58" s="37">
        <v>4</v>
      </c>
      <c r="F58" s="37" t="s">
        <v>36</v>
      </c>
      <c r="G58" s="37" t="s">
        <v>49</v>
      </c>
      <c r="H58" s="37"/>
      <c r="I58" s="37">
        <v>300</v>
      </c>
      <c r="J58" s="37"/>
      <c r="K58" s="37">
        <v>600</v>
      </c>
      <c r="L58" s="37" t="s">
        <v>271</v>
      </c>
      <c r="M58" s="37" t="s">
        <v>703</v>
      </c>
      <c r="N58" s="37">
        <v>2001</v>
      </c>
      <c r="O58" s="37" t="s">
        <v>232</v>
      </c>
      <c r="P58" s="37" t="s">
        <v>3009</v>
      </c>
      <c r="Q58" s="37"/>
      <c r="R58" s="37" t="s">
        <v>379</v>
      </c>
      <c r="S58" s="37" t="s">
        <v>222</v>
      </c>
      <c r="T58" s="37">
        <v>300</v>
      </c>
      <c r="U58" s="37">
        <v>600</v>
      </c>
    </row>
    <row r="59" spans="1:21" ht="28.5" customHeight="1">
      <c r="A59" s="37" t="s">
        <v>3012</v>
      </c>
      <c r="B59" s="37" t="s">
        <v>266</v>
      </c>
      <c r="C59" s="37" t="s">
        <v>387</v>
      </c>
      <c r="D59" s="37">
        <v>4</v>
      </c>
      <c r="E59" s="37">
        <v>9</v>
      </c>
      <c r="F59" s="37" t="s">
        <v>36</v>
      </c>
      <c r="G59" s="37" t="s">
        <v>49</v>
      </c>
      <c r="H59" s="37"/>
      <c r="I59" s="37">
        <v>400</v>
      </c>
      <c r="J59" s="37"/>
      <c r="K59" s="37">
        <v>900</v>
      </c>
      <c r="L59" s="37" t="s">
        <v>271</v>
      </c>
      <c r="M59" s="37" t="s">
        <v>703</v>
      </c>
      <c r="N59" s="37">
        <v>2001</v>
      </c>
      <c r="O59" s="37" t="s">
        <v>232</v>
      </c>
      <c r="P59" s="37" t="s">
        <v>3009</v>
      </c>
      <c r="Q59" s="37"/>
      <c r="R59" s="37" t="s">
        <v>379</v>
      </c>
      <c r="S59" s="37" t="s">
        <v>222</v>
      </c>
      <c r="T59" s="37">
        <v>400</v>
      </c>
      <c r="U59" s="37">
        <v>900</v>
      </c>
    </row>
    <row r="60" spans="1:21" ht="28.5" customHeight="1">
      <c r="A60" s="37" t="s">
        <v>3013</v>
      </c>
      <c r="B60" s="37" t="s">
        <v>266</v>
      </c>
      <c r="C60" s="37" t="s">
        <v>396</v>
      </c>
      <c r="D60" s="37">
        <v>9</v>
      </c>
      <c r="E60" s="37">
        <v>14</v>
      </c>
      <c r="F60" s="37" t="s">
        <v>36</v>
      </c>
      <c r="G60" s="37" t="s">
        <v>49</v>
      </c>
      <c r="H60" s="37"/>
      <c r="I60" s="37">
        <v>600</v>
      </c>
      <c r="J60" s="37"/>
      <c r="K60" s="37">
        <v>1700</v>
      </c>
      <c r="L60" s="37" t="s">
        <v>271</v>
      </c>
      <c r="M60" s="37" t="s">
        <v>703</v>
      </c>
      <c r="N60" s="37">
        <v>2001</v>
      </c>
      <c r="O60" s="37" t="s">
        <v>232</v>
      </c>
      <c r="P60" s="37" t="s">
        <v>3009</v>
      </c>
      <c r="Q60" s="37"/>
      <c r="R60" s="37" t="s">
        <v>379</v>
      </c>
      <c r="S60" s="37" t="s">
        <v>222</v>
      </c>
      <c r="T60" s="37">
        <v>600</v>
      </c>
      <c r="U60" s="37">
        <v>1700</v>
      </c>
    </row>
    <row r="61" spans="1:21" ht="28.5" customHeight="1">
      <c r="A61" s="37" t="s">
        <v>3014</v>
      </c>
      <c r="B61" s="37" t="s">
        <v>266</v>
      </c>
      <c r="C61" s="37" t="s">
        <v>40</v>
      </c>
      <c r="D61" s="37">
        <v>9</v>
      </c>
      <c r="E61" s="37">
        <v>14</v>
      </c>
      <c r="F61" s="37" t="s">
        <v>36</v>
      </c>
      <c r="G61" s="37" t="s">
        <v>49</v>
      </c>
      <c r="H61" s="37"/>
      <c r="I61" s="37">
        <v>600</v>
      </c>
      <c r="J61" s="37"/>
      <c r="K61" s="37">
        <v>1700</v>
      </c>
      <c r="L61" s="37" t="s">
        <v>271</v>
      </c>
      <c r="M61" s="37" t="s">
        <v>703</v>
      </c>
      <c r="N61" s="37">
        <v>2001</v>
      </c>
      <c r="O61" s="37" t="s">
        <v>232</v>
      </c>
      <c r="P61" s="37" t="s">
        <v>3009</v>
      </c>
      <c r="Q61" s="37"/>
      <c r="R61" s="37" t="s">
        <v>379</v>
      </c>
      <c r="S61" s="37" t="s">
        <v>222</v>
      </c>
      <c r="T61" s="37">
        <v>600</v>
      </c>
      <c r="U61" s="37">
        <v>1700</v>
      </c>
    </row>
    <row r="62" spans="1:21" ht="28.5" customHeight="1">
      <c r="A62" s="37" t="s">
        <v>3015</v>
      </c>
      <c r="B62" s="37" t="s">
        <v>266</v>
      </c>
      <c r="C62" s="37" t="s">
        <v>396</v>
      </c>
      <c r="D62" s="37">
        <v>14</v>
      </c>
      <c r="E62" s="37">
        <v>19</v>
      </c>
      <c r="F62" s="37" t="s">
        <v>36</v>
      </c>
      <c r="G62" s="37" t="s">
        <v>49</v>
      </c>
      <c r="H62" s="37"/>
      <c r="I62" s="37">
        <v>900</v>
      </c>
      <c r="J62" s="37"/>
      <c r="K62" s="37">
        <v>2800</v>
      </c>
      <c r="L62" s="37" t="s">
        <v>271</v>
      </c>
      <c r="M62" s="37" t="s">
        <v>703</v>
      </c>
      <c r="N62" s="37">
        <v>2001</v>
      </c>
      <c r="O62" s="37" t="s">
        <v>232</v>
      </c>
      <c r="P62" s="37" t="s">
        <v>3009</v>
      </c>
      <c r="Q62" s="37"/>
      <c r="R62" s="37" t="s">
        <v>379</v>
      </c>
      <c r="S62" s="37" t="s">
        <v>222</v>
      </c>
      <c r="T62" s="37">
        <v>900</v>
      </c>
      <c r="U62" s="37">
        <v>2800</v>
      </c>
    </row>
    <row r="63" spans="1:21" ht="28.5" customHeight="1">
      <c r="A63" s="37" t="s">
        <v>3016</v>
      </c>
      <c r="B63" s="37" t="s">
        <v>266</v>
      </c>
      <c r="C63" s="37" t="s">
        <v>40</v>
      </c>
      <c r="D63" s="37">
        <v>14</v>
      </c>
      <c r="E63" s="37">
        <v>19</v>
      </c>
      <c r="F63" s="37" t="s">
        <v>36</v>
      </c>
      <c r="G63" s="37" t="s">
        <v>49</v>
      </c>
      <c r="H63" s="37"/>
      <c r="I63" s="37">
        <v>700</v>
      </c>
      <c r="J63" s="37"/>
      <c r="K63" s="37">
        <v>2800</v>
      </c>
      <c r="L63" s="37" t="s">
        <v>271</v>
      </c>
      <c r="M63" s="37" t="s">
        <v>703</v>
      </c>
      <c r="N63" s="37">
        <v>2001</v>
      </c>
      <c r="O63" s="37" t="s">
        <v>232</v>
      </c>
      <c r="P63" s="37" t="s">
        <v>3009</v>
      </c>
      <c r="Q63" s="37"/>
      <c r="R63" s="37" t="s">
        <v>379</v>
      </c>
      <c r="S63" s="37" t="s">
        <v>222</v>
      </c>
      <c r="T63" s="37">
        <v>700</v>
      </c>
      <c r="U63" s="37">
        <v>2800</v>
      </c>
    </row>
    <row r="64" spans="1:21" ht="28.5" customHeight="1">
      <c r="A64" s="37" t="s">
        <v>3017</v>
      </c>
      <c r="B64" s="37" t="s">
        <v>266</v>
      </c>
      <c r="C64" s="37" t="s">
        <v>396</v>
      </c>
      <c r="D64" s="37">
        <v>19</v>
      </c>
      <c r="E64" s="37">
        <v>31</v>
      </c>
      <c r="F64" s="37" t="s">
        <v>36</v>
      </c>
      <c r="G64" s="37" t="s">
        <v>49</v>
      </c>
      <c r="H64" s="37"/>
      <c r="I64" s="37">
        <v>900</v>
      </c>
      <c r="J64" s="37"/>
      <c r="K64" s="37">
        <v>3000</v>
      </c>
      <c r="L64" s="37" t="s">
        <v>271</v>
      </c>
      <c r="M64" s="37" t="s">
        <v>703</v>
      </c>
      <c r="N64" s="37">
        <v>2001</v>
      </c>
      <c r="O64" s="37" t="s">
        <v>232</v>
      </c>
      <c r="P64" s="37" t="s">
        <v>3009</v>
      </c>
      <c r="Q64" s="37"/>
      <c r="R64" s="37" t="s">
        <v>379</v>
      </c>
      <c r="S64" s="37" t="s">
        <v>222</v>
      </c>
      <c r="T64" s="37">
        <v>900</v>
      </c>
      <c r="U64" s="37">
        <v>3000</v>
      </c>
    </row>
    <row r="65" spans="1:21" ht="28.5" customHeight="1">
      <c r="A65" s="37" t="s">
        <v>3018</v>
      </c>
      <c r="B65" s="37" t="s">
        <v>266</v>
      </c>
      <c r="C65" s="37" t="s">
        <v>40</v>
      </c>
      <c r="D65" s="37">
        <v>19</v>
      </c>
      <c r="E65" s="37">
        <v>31</v>
      </c>
      <c r="F65" s="37" t="s">
        <v>36</v>
      </c>
      <c r="G65" s="37" t="s">
        <v>49</v>
      </c>
      <c r="H65" s="37"/>
      <c r="I65" s="37">
        <v>700</v>
      </c>
      <c r="J65" s="37"/>
      <c r="K65" s="37">
        <v>3000</v>
      </c>
      <c r="L65" s="37" t="s">
        <v>271</v>
      </c>
      <c r="M65" s="37" t="s">
        <v>703</v>
      </c>
      <c r="N65" s="37">
        <v>2001</v>
      </c>
      <c r="O65" s="37" t="s">
        <v>232</v>
      </c>
      <c r="P65" s="37" t="s">
        <v>3009</v>
      </c>
      <c r="Q65" s="37"/>
      <c r="R65" s="37" t="s">
        <v>379</v>
      </c>
      <c r="S65" s="37" t="s">
        <v>222</v>
      </c>
      <c r="T65" s="37">
        <v>700</v>
      </c>
      <c r="U65" s="37">
        <v>3000</v>
      </c>
    </row>
    <row r="66" spans="1:21" ht="28.5" customHeight="1">
      <c r="A66" s="37" t="s">
        <v>3019</v>
      </c>
      <c r="B66" s="37" t="s">
        <v>266</v>
      </c>
      <c r="C66" s="37" t="s">
        <v>396</v>
      </c>
      <c r="D66" s="37">
        <v>31</v>
      </c>
      <c r="E66" s="37">
        <v>51</v>
      </c>
      <c r="F66" s="37" t="s">
        <v>36</v>
      </c>
      <c r="G66" s="37" t="s">
        <v>49</v>
      </c>
      <c r="H66" s="37"/>
      <c r="I66" s="37">
        <v>900</v>
      </c>
      <c r="J66" s="37"/>
      <c r="K66" s="37">
        <v>3000</v>
      </c>
      <c r="L66" s="37" t="s">
        <v>271</v>
      </c>
      <c r="M66" s="37" t="s">
        <v>703</v>
      </c>
      <c r="N66" s="37">
        <v>2001</v>
      </c>
      <c r="O66" s="37" t="s">
        <v>232</v>
      </c>
      <c r="P66" s="37" t="s">
        <v>3009</v>
      </c>
      <c r="Q66" s="37"/>
      <c r="R66" s="37" t="s">
        <v>379</v>
      </c>
      <c r="S66" s="37" t="s">
        <v>222</v>
      </c>
      <c r="T66" s="37">
        <v>900</v>
      </c>
      <c r="U66" s="37">
        <v>3000</v>
      </c>
    </row>
    <row r="67" spans="1:21" ht="28.5" customHeight="1">
      <c r="A67" s="37" t="s">
        <v>3020</v>
      </c>
      <c r="B67" s="37" t="s">
        <v>266</v>
      </c>
      <c r="C67" s="37" t="s">
        <v>40</v>
      </c>
      <c r="D67" s="37">
        <v>31</v>
      </c>
      <c r="E67" s="37">
        <v>51</v>
      </c>
      <c r="F67" s="37" t="s">
        <v>36</v>
      </c>
      <c r="G67" s="37" t="s">
        <v>49</v>
      </c>
      <c r="H67" s="37"/>
      <c r="I67" s="37">
        <v>700</v>
      </c>
      <c r="J67" s="37"/>
      <c r="K67" s="37">
        <v>3000</v>
      </c>
      <c r="L67" s="37" t="s">
        <v>271</v>
      </c>
      <c r="M67" s="37" t="s">
        <v>703</v>
      </c>
      <c r="N67" s="37">
        <v>2001</v>
      </c>
      <c r="O67" s="37" t="s">
        <v>232</v>
      </c>
      <c r="P67" s="37" t="s">
        <v>3009</v>
      </c>
      <c r="Q67" s="37"/>
      <c r="R67" s="37" t="s">
        <v>379</v>
      </c>
      <c r="S67" s="37" t="s">
        <v>222</v>
      </c>
      <c r="T67" s="37">
        <v>700</v>
      </c>
      <c r="U67" s="37">
        <v>3000</v>
      </c>
    </row>
    <row r="68" spans="1:21" ht="28.5" customHeight="1">
      <c r="A68" s="37" t="s">
        <v>3021</v>
      </c>
      <c r="B68" s="37" t="s">
        <v>266</v>
      </c>
      <c r="C68" s="37" t="s">
        <v>396</v>
      </c>
      <c r="D68" s="37">
        <v>51</v>
      </c>
      <c r="E68" s="37">
        <v>71</v>
      </c>
      <c r="F68" s="37" t="s">
        <v>36</v>
      </c>
      <c r="G68" s="37" t="s">
        <v>49</v>
      </c>
      <c r="H68" s="37"/>
      <c r="I68" s="37">
        <v>900</v>
      </c>
      <c r="J68" s="37"/>
      <c r="K68" s="37">
        <v>3000</v>
      </c>
      <c r="L68" s="37" t="s">
        <v>271</v>
      </c>
      <c r="M68" s="37" t="s">
        <v>703</v>
      </c>
      <c r="N68" s="37">
        <v>2001</v>
      </c>
      <c r="O68" s="37" t="s">
        <v>232</v>
      </c>
      <c r="P68" s="37" t="s">
        <v>3009</v>
      </c>
      <c r="Q68" s="37"/>
      <c r="R68" s="37" t="s">
        <v>379</v>
      </c>
      <c r="S68" s="37" t="s">
        <v>222</v>
      </c>
      <c r="T68" s="37">
        <v>900</v>
      </c>
      <c r="U68" s="37">
        <v>3000</v>
      </c>
    </row>
    <row r="69" spans="1:21" ht="28.5" customHeight="1">
      <c r="A69" s="37" t="s">
        <v>3022</v>
      </c>
      <c r="B69" s="37" t="s">
        <v>266</v>
      </c>
      <c r="C69" s="37" t="s">
        <v>40</v>
      </c>
      <c r="D69" s="37">
        <v>51</v>
      </c>
      <c r="E69" s="37">
        <v>71</v>
      </c>
      <c r="F69" s="37" t="s">
        <v>36</v>
      </c>
      <c r="G69" s="37" t="s">
        <v>49</v>
      </c>
      <c r="H69" s="37"/>
      <c r="I69" s="37">
        <v>700</v>
      </c>
      <c r="J69" s="37"/>
      <c r="K69" s="37">
        <v>3000</v>
      </c>
      <c r="L69" s="37" t="s">
        <v>271</v>
      </c>
      <c r="M69" s="37" t="s">
        <v>703</v>
      </c>
      <c r="N69" s="37">
        <v>2001</v>
      </c>
      <c r="O69" s="37" t="s">
        <v>232</v>
      </c>
      <c r="P69" s="37" t="s">
        <v>3009</v>
      </c>
      <c r="Q69" s="37"/>
      <c r="R69" s="37" t="s">
        <v>379</v>
      </c>
      <c r="S69" s="37" t="s">
        <v>222</v>
      </c>
      <c r="T69" s="37">
        <v>700</v>
      </c>
      <c r="U69" s="37">
        <v>3000</v>
      </c>
    </row>
    <row r="70" spans="1:21" ht="28.5" customHeight="1">
      <c r="A70" s="37" t="s">
        <v>3023</v>
      </c>
      <c r="B70" s="37" t="s">
        <v>266</v>
      </c>
      <c r="C70" s="37" t="s">
        <v>396</v>
      </c>
      <c r="D70" s="37">
        <v>71</v>
      </c>
      <c r="E70" s="37">
        <v>999</v>
      </c>
      <c r="F70" s="37" t="s">
        <v>36</v>
      </c>
      <c r="G70" s="37" t="s">
        <v>49</v>
      </c>
      <c r="H70" s="37"/>
      <c r="I70" s="37">
        <v>900</v>
      </c>
      <c r="J70" s="37"/>
      <c r="K70" s="37">
        <v>3000</v>
      </c>
      <c r="L70" s="37" t="s">
        <v>271</v>
      </c>
      <c r="M70" s="37" t="s">
        <v>703</v>
      </c>
      <c r="N70" s="37">
        <v>2001</v>
      </c>
      <c r="O70" s="37" t="s">
        <v>232</v>
      </c>
      <c r="P70" s="37" t="s">
        <v>3009</v>
      </c>
      <c r="Q70" s="37"/>
      <c r="R70" s="37" t="s">
        <v>379</v>
      </c>
      <c r="S70" s="37" t="s">
        <v>222</v>
      </c>
      <c r="T70" s="37">
        <v>900</v>
      </c>
      <c r="U70" s="37">
        <v>3000</v>
      </c>
    </row>
    <row r="71" spans="1:21" ht="28.5" customHeight="1">
      <c r="A71" s="37" t="s">
        <v>3024</v>
      </c>
      <c r="B71" s="37" t="s">
        <v>266</v>
      </c>
      <c r="C71" s="37" t="s">
        <v>40</v>
      </c>
      <c r="D71" s="37">
        <v>71</v>
      </c>
      <c r="E71" s="37">
        <v>999</v>
      </c>
      <c r="F71" s="37" t="s">
        <v>36</v>
      </c>
      <c r="G71" s="37" t="s">
        <v>49</v>
      </c>
      <c r="H71" s="37"/>
      <c r="I71" s="37">
        <v>700</v>
      </c>
      <c r="J71" s="37"/>
      <c r="K71" s="37">
        <v>3000</v>
      </c>
      <c r="L71" s="37" t="s">
        <v>271</v>
      </c>
      <c r="M71" s="37" t="s">
        <v>703</v>
      </c>
      <c r="N71" s="37">
        <v>2001</v>
      </c>
      <c r="O71" s="37" t="s">
        <v>232</v>
      </c>
      <c r="P71" s="37" t="s">
        <v>3009</v>
      </c>
      <c r="Q71" s="37"/>
      <c r="R71" s="37" t="s">
        <v>379</v>
      </c>
      <c r="S71" s="37" t="s">
        <v>222</v>
      </c>
      <c r="T71" s="37">
        <v>700</v>
      </c>
      <c r="U71" s="37">
        <v>3000</v>
      </c>
    </row>
    <row r="72" spans="1:21" ht="28.5" customHeight="1">
      <c r="A72" s="37" t="s">
        <v>3025</v>
      </c>
      <c r="B72" s="37" t="s">
        <v>266</v>
      </c>
      <c r="C72" s="37" t="s">
        <v>40</v>
      </c>
      <c r="D72" s="37">
        <v>14</v>
      </c>
      <c r="E72" s="37">
        <v>51</v>
      </c>
      <c r="F72" s="37" t="s">
        <v>36</v>
      </c>
      <c r="G72" s="37" t="s">
        <v>414</v>
      </c>
      <c r="H72" s="37"/>
      <c r="I72" s="37">
        <v>770</v>
      </c>
      <c r="J72" s="37"/>
      <c r="K72" s="37">
        <v>3000</v>
      </c>
      <c r="L72" s="37" t="s">
        <v>271</v>
      </c>
      <c r="M72" s="37" t="s">
        <v>703</v>
      </c>
      <c r="N72" s="37">
        <v>2001</v>
      </c>
      <c r="O72" s="37" t="s">
        <v>232</v>
      </c>
      <c r="P72" s="37" t="s">
        <v>3009</v>
      </c>
      <c r="Q72" s="37"/>
      <c r="R72" s="37" t="s">
        <v>379</v>
      </c>
      <c r="S72" s="37" t="s">
        <v>222</v>
      </c>
      <c r="T72" s="37">
        <v>770</v>
      </c>
      <c r="U72" s="37">
        <v>3000</v>
      </c>
    </row>
    <row r="73" spans="1:21" ht="28.5" customHeight="1">
      <c r="A73" s="37" t="s">
        <v>3026</v>
      </c>
      <c r="B73" s="37" t="s">
        <v>266</v>
      </c>
      <c r="C73" s="37" t="s">
        <v>40</v>
      </c>
      <c r="D73" s="37">
        <v>14</v>
      </c>
      <c r="E73" s="37">
        <v>51</v>
      </c>
      <c r="F73" s="37" t="s">
        <v>36</v>
      </c>
      <c r="G73" s="37" t="s">
        <v>416</v>
      </c>
      <c r="H73" s="37"/>
      <c r="I73" s="37">
        <v>1300</v>
      </c>
      <c r="J73" s="37"/>
      <c r="K73" s="37">
        <v>3000</v>
      </c>
      <c r="L73" s="37" t="s">
        <v>271</v>
      </c>
      <c r="M73" s="37" t="s">
        <v>703</v>
      </c>
      <c r="N73" s="37">
        <v>2001</v>
      </c>
      <c r="O73" s="37" t="s">
        <v>232</v>
      </c>
      <c r="P73" s="37" t="s">
        <v>3009</v>
      </c>
      <c r="Q73" s="37"/>
      <c r="R73" s="37" t="s">
        <v>379</v>
      </c>
      <c r="S73" s="37" t="s">
        <v>222</v>
      </c>
      <c r="T73" s="37">
        <v>1300</v>
      </c>
      <c r="U73" s="37">
        <v>3000</v>
      </c>
    </row>
    <row r="74" spans="1:21" ht="28.5" customHeight="1">
      <c r="A74" s="37" t="s">
        <v>3027</v>
      </c>
      <c r="B74" s="37" t="s">
        <v>272</v>
      </c>
      <c r="C74" s="37" t="s">
        <v>387</v>
      </c>
      <c r="D74" s="37">
        <v>0</v>
      </c>
      <c r="E74" s="37">
        <v>0.5</v>
      </c>
      <c r="F74" s="37" t="s">
        <v>36</v>
      </c>
      <c r="G74" s="37" t="s">
        <v>49</v>
      </c>
      <c r="H74" s="37"/>
      <c r="I74" s="37"/>
      <c r="J74" s="37">
        <v>10</v>
      </c>
      <c r="K74" s="37">
        <v>25</v>
      </c>
      <c r="L74" s="37" t="s">
        <v>249</v>
      </c>
      <c r="M74" s="37" t="s">
        <v>703</v>
      </c>
      <c r="N74" s="37">
        <v>2011</v>
      </c>
      <c r="O74" s="37" t="s">
        <v>232</v>
      </c>
      <c r="P74" s="37" t="s">
        <v>3009</v>
      </c>
      <c r="Q74" s="37"/>
      <c r="R74" s="37" t="s">
        <v>380</v>
      </c>
      <c r="S74" s="37" t="s">
        <v>222</v>
      </c>
      <c r="T74" s="37">
        <v>10</v>
      </c>
      <c r="U74" s="37">
        <v>25</v>
      </c>
    </row>
    <row r="75" spans="1:21" ht="28.5" customHeight="1">
      <c r="A75" s="37" t="s">
        <v>3028</v>
      </c>
      <c r="B75" s="37" t="s">
        <v>272</v>
      </c>
      <c r="C75" s="37" t="s">
        <v>387</v>
      </c>
      <c r="D75" s="37">
        <v>0.5</v>
      </c>
      <c r="E75" s="37">
        <v>1</v>
      </c>
      <c r="F75" s="37" t="s">
        <v>36</v>
      </c>
      <c r="G75" s="37" t="s">
        <v>49</v>
      </c>
      <c r="H75" s="37"/>
      <c r="I75" s="37"/>
      <c r="J75" s="37">
        <v>10</v>
      </c>
      <c r="K75" s="37">
        <v>38</v>
      </c>
      <c r="L75" s="37" t="s">
        <v>249</v>
      </c>
      <c r="M75" s="37" t="s">
        <v>703</v>
      </c>
      <c r="N75" s="37">
        <v>2011</v>
      </c>
      <c r="O75" s="37" t="s">
        <v>232</v>
      </c>
      <c r="P75" s="37" t="s">
        <v>3009</v>
      </c>
      <c r="Q75" s="37"/>
      <c r="R75" s="37" t="s">
        <v>380</v>
      </c>
      <c r="S75" s="37" t="s">
        <v>222</v>
      </c>
      <c r="T75" s="37">
        <v>10</v>
      </c>
      <c r="U75" s="37">
        <v>38</v>
      </c>
    </row>
    <row r="76" spans="1:21" ht="28.5" customHeight="1">
      <c r="A76" s="37" t="s">
        <v>3029</v>
      </c>
      <c r="B76" s="37" t="s">
        <v>272</v>
      </c>
      <c r="C76" s="37" t="s">
        <v>387</v>
      </c>
      <c r="D76" s="37">
        <v>1</v>
      </c>
      <c r="E76" s="37">
        <v>4</v>
      </c>
      <c r="F76" s="37" t="s">
        <v>36</v>
      </c>
      <c r="G76" s="37" t="s">
        <v>49</v>
      </c>
      <c r="H76" s="37"/>
      <c r="I76" s="37">
        <v>15</v>
      </c>
      <c r="J76" s="37"/>
      <c r="K76" s="37">
        <v>63</v>
      </c>
      <c r="L76" s="37" t="s">
        <v>249</v>
      </c>
      <c r="M76" s="37" t="s">
        <v>703</v>
      </c>
      <c r="N76" s="37">
        <v>2011</v>
      </c>
      <c r="O76" s="37" t="s">
        <v>232</v>
      </c>
      <c r="P76" s="37" t="s">
        <v>3009</v>
      </c>
      <c r="Q76" s="37"/>
      <c r="R76" s="37" t="s">
        <v>379</v>
      </c>
      <c r="S76" s="37" t="s">
        <v>222</v>
      </c>
      <c r="T76" s="37">
        <v>15</v>
      </c>
      <c r="U76" s="37">
        <v>63</v>
      </c>
    </row>
    <row r="77" spans="1:21" ht="28.5" customHeight="1">
      <c r="A77" s="37" t="s">
        <v>3030</v>
      </c>
      <c r="B77" s="37" t="s">
        <v>272</v>
      </c>
      <c r="C77" s="37" t="s">
        <v>387</v>
      </c>
      <c r="D77" s="37">
        <v>4</v>
      </c>
      <c r="E77" s="37">
        <v>9</v>
      </c>
      <c r="F77" s="37" t="s">
        <v>36</v>
      </c>
      <c r="G77" s="37" t="s">
        <v>49</v>
      </c>
      <c r="H77" s="37"/>
      <c r="I77" s="37">
        <v>15</v>
      </c>
      <c r="J77" s="37"/>
      <c r="K77" s="37">
        <v>75</v>
      </c>
      <c r="L77" s="37" t="s">
        <v>249</v>
      </c>
      <c r="M77" s="37" t="s">
        <v>703</v>
      </c>
      <c r="N77" s="37">
        <v>2011</v>
      </c>
      <c r="O77" s="37" t="s">
        <v>232</v>
      </c>
      <c r="P77" s="37" t="s">
        <v>3009</v>
      </c>
      <c r="Q77" s="37"/>
      <c r="R77" s="37" t="s">
        <v>379</v>
      </c>
      <c r="S77" s="37" t="s">
        <v>222</v>
      </c>
      <c r="T77" s="37">
        <v>15</v>
      </c>
      <c r="U77" s="37">
        <v>75</v>
      </c>
    </row>
    <row r="78" spans="1:21" ht="28.5" customHeight="1">
      <c r="A78" s="37" t="s">
        <v>3031</v>
      </c>
      <c r="B78" s="37" t="s">
        <v>272</v>
      </c>
      <c r="C78" s="37" t="s">
        <v>396</v>
      </c>
      <c r="D78" s="37">
        <v>9</v>
      </c>
      <c r="E78" s="37">
        <v>14</v>
      </c>
      <c r="F78" s="37" t="s">
        <v>36</v>
      </c>
      <c r="G78" s="37" t="s">
        <v>49</v>
      </c>
      <c r="H78" s="37"/>
      <c r="I78" s="37">
        <v>15</v>
      </c>
      <c r="J78" s="37"/>
      <c r="K78" s="37">
        <v>100</v>
      </c>
      <c r="L78" s="37" t="s">
        <v>249</v>
      </c>
      <c r="M78" s="37" t="s">
        <v>703</v>
      </c>
      <c r="N78" s="37">
        <v>2011</v>
      </c>
      <c r="O78" s="37" t="s">
        <v>232</v>
      </c>
      <c r="P78" s="37" t="s">
        <v>3009</v>
      </c>
      <c r="Q78" s="37"/>
      <c r="R78" s="37" t="s">
        <v>379</v>
      </c>
      <c r="S78" s="37" t="s">
        <v>222</v>
      </c>
      <c r="T78" s="37">
        <v>15</v>
      </c>
      <c r="U78" s="37">
        <v>100</v>
      </c>
    </row>
    <row r="79" spans="1:21" ht="28.5" customHeight="1">
      <c r="A79" s="37" t="s">
        <v>3032</v>
      </c>
      <c r="B79" s="37" t="s">
        <v>272</v>
      </c>
      <c r="C79" s="37" t="s">
        <v>40</v>
      </c>
      <c r="D79" s="37">
        <v>9</v>
      </c>
      <c r="E79" s="37">
        <v>14</v>
      </c>
      <c r="F79" s="37" t="s">
        <v>36</v>
      </c>
      <c r="G79" s="37" t="s">
        <v>49</v>
      </c>
      <c r="H79" s="37"/>
      <c r="I79" s="37">
        <v>15</v>
      </c>
      <c r="J79" s="37"/>
      <c r="K79" s="37">
        <v>100</v>
      </c>
      <c r="L79" s="37" t="s">
        <v>249</v>
      </c>
      <c r="M79" s="37" t="s">
        <v>703</v>
      </c>
      <c r="N79" s="37">
        <v>2011</v>
      </c>
      <c r="O79" s="37" t="s">
        <v>232</v>
      </c>
      <c r="P79" s="37" t="s">
        <v>3009</v>
      </c>
      <c r="Q79" s="37"/>
      <c r="R79" s="37" t="s">
        <v>379</v>
      </c>
      <c r="S79" s="37" t="s">
        <v>222</v>
      </c>
      <c r="T79" s="37">
        <v>15</v>
      </c>
      <c r="U79" s="37">
        <v>100</v>
      </c>
    </row>
    <row r="80" spans="1:21" ht="28.5" customHeight="1">
      <c r="A80" s="37" t="s">
        <v>3033</v>
      </c>
      <c r="B80" s="37" t="s">
        <v>272</v>
      </c>
      <c r="C80" s="37" t="s">
        <v>396</v>
      </c>
      <c r="D80" s="37">
        <v>14</v>
      </c>
      <c r="E80" s="37">
        <v>19</v>
      </c>
      <c r="F80" s="37" t="s">
        <v>36</v>
      </c>
      <c r="G80" s="37" t="s">
        <v>49</v>
      </c>
      <c r="H80" s="37"/>
      <c r="I80" s="37">
        <v>15</v>
      </c>
      <c r="J80" s="37"/>
      <c r="K80" s="37">
        <v>100</v>
      </c>
      <c r="L80" s="37" t="s">
        <v>249</v>
      </c>
      <c r="M80" s="37" t="s">
        <v>703</v>
      </c>
      <c r="N80" s="37">
        <v>2011</v>
      </c>
      <c r="O80" s="37" t="s">
        <v>232</v>
      </c>
      <c r="P80" s="37" t="s">
        <v>3009</v>
      </c>
      <c r="Q80" s="37"/>
      <c r="R80" s="37" t="s">
        <v>379</v>
      </c>
      <c r="S80" s="37" t="s">
        <v>222</v>
      </c>
      <c r="T80" s="37">
        <v>15</v>
      </c>
      <c r="U80" s="37">
        <v>100</v>
      </c>
    </row>
    <row r="81" spans="1:21" ht="28.5" customHeight="1">
      <c r="A81" s="37" t="s">
        <v>3034</v>
      </c>
      <c r="B81" s="37" t="s">
        <v>272</v>
      </c>
      <c r="C81" s="37" t="s">
        <v>40</v>
      </c>
      <c r="D81" s="37">
        <v>14</v>
      </c>
      <c r="E81" s="37">
        <v>19</v>
      </c>
      <c r="F81" s="37" t="s">
        <v>36</v>
      </c>
      <c r="G81" s="37" t="s">
        <v>49</v>
      </c>
      <c r="H81" s="37"/>
      <c r="I81" s="37">
        <v>15</v>
      </c>
      <c r="J81" s="37"/>
      <c r="K81" s="37">
        <v>100</v>
      </c>
      <c r="L81" s="37" t="s">
        <v>249</v>
      </c>
      <c r="M81" s="37" t="s">
        <v>703</v>
      </c>
      <c r="N81" s="37">
        <v>2011</v>
      </c>
      <c r="O81" s="37" t="s">
        <v>232</v>
      </c>
      <c r="P81" s="37" t="s">
        <v>3009</v>
      </c>
      <c r="Q81" s="37"/>
      <c r="R81" s="37" t="s">
        <v>379</v>
      </c>
      <c r="S81" s="37" t="s">
        <v>222</v>
      </c>
      <c r="T81" s="37">
        <v>15</v>
      </c>
      <c r="U81" s="37">
        <v>100</v>
      </c>
    </row>
    <row r="82" spans="1:21" ht="28.5" customHeight="1">
      <c r="A82" s="37" t="s">
        <v>3035</v>
      </c>
      <c r="B82" s="37" t="s">
        <v>272</v>
      </c>
      <c r="C82" s="37" t="s">
        <v>396</v>
      </c>
      <c r="D82" s="37">
        <v>19</v>
      </c>
      <c r="E82" s="37">
        <v>31</v>
      </c>
      <c r="F82" s="37" t="s">
        <v>36</v>
      </c>
      <c r="G82" s="37" t="s">
        <v>49</v>
      </c>
      <c r="H82" s="37"/>
      <c r="I82" s="37">
        <v>15</v>
      </c>
      <c r="J82" s="37"/>
      <c r="K82" s="37">
        <v>100</v>
      </c>
      <c r="L82" s="37" t="s">
        <v>249</v>
      </c>
      <c r="M82" s="37" t="s">
        <v>703</v>
      </c>
      <c r="N82" s="37">
        <v>2011</v>
      </c>
      <c r="O82" s="37" t="s">
        <v>232</v>
      </c>
      <c r="P82" s="37" t="s">
        <v>3009</v>
      </c>
      <c r="Q82" s="37"/>
      <c r="R82" s="37" t="s">
        <v>379</v>
      </c>
      <c r="S82" s="37" t="s">
        <v>222</v>
      </c>
      <c r="T82" s="37">
        <v>15</v>
      </c>
      <c r="U82" s="37">
        <v>100</v>
      </c>
    </row>
    <row r="83" spans="1:21" ht="28.5" customHeight="1">
      <c r="A83" s="37" t="s">
        <v>3036</v>
      </c>
      <c r="B83" s="37" t="s">
        <v>272</v>
      </c>
      <c r="C83" s="37" t="s">
        <v>40</v>
      </c>
      <c r="D83" s="37">
        <v>19</v>
      </c>
      <c r="E83" s="37">
        <v>31</v>
      </c>
      <c r="F83" s="37" t="s">
        <v>36</v>
      </c>
      <c r="G83" s="37" t="s">
        <v>49</v>
      </c>
      <c r="H83" s="37"/>
      <c r="I83" s="37">
        <v>15</v>
      </c>
      <c r="J83" s="37"/>
      <c r="K83" s="37">
        <v>100</v>
      </c>
      <c r="L83" s="37" t="s">
        <v>249</v>
      </c>
      <c r="M83" s="37" t="s">
        <v>703</v>
      </c>
      <c r="N83" s="37">
        <v>2011</v>
      </c>
      <c r="O83" s="37" t="s">
        <v>232</v>
      </c>
      <c r="P83" s="37" t="s">
        <v>3009</v>
      </c>
      <c r="Q83" s="37"/>
      <c r="R83" s="37" t="s">
        <v>379</v>
      </c>
      <c r="S83" s="37" t="s">
        <v>222</v>
      </c>
      <c r="T83" s="37">
        <v>15</v>
      </c>
      <c r="U83" s="37">
        <v>100</v>
      </c>
    </row>
    <row r="84" spans="1:21" ht="28.5" customHeight="1">
      <c r="A84" s="37" t="s">
        <v>3037</v>
      </c>
      <c r="B84" s="37" t="s">
        <v>272</v>
      </c>
      <c r="C84" s="37" t="s">
        <v>396</v>
      </c>
      <c r="D84" s="37">
        <v>31</v>
      </c>
      <c r="E84" s="37">
        <v>51</v>
      </c>
      <c r="F84" s="37" t="s">
        <v>36</v>
      </c>
      <c r="G84" s="37" t="s">
        <v>49</v>
      </c>
      <c r="H84" s="37"/>
      <c r="I84" s="37">
        <v>15</v>
      </c>
      <c r="J84" s="37"/>
      <c r="K84" s="37">
        <v>100</v>
      </c>
      <c r="L84" s="37" t="s">
        <v>249</v>
      </c>
      <c r="M84" s="37" t="s">
        <v>703</v>
      </c>
      <c r="N84" s="37">
        <v>2011</v>
      </c>
      <c r="O84" s="37" t="s">
        <v>232</v>
      </c>
      <c r="P84" s="37" t="s">
        <v>3009</v>
      </c>
      <c r="Q84" s="37"/>
      <c r="R84" s="37" t="s">
        <v>379</v>
      </c>
      <c r="S84" s="37" t="s">
        <v>222</v>
      </c>
      <c r="T84" s="37">
        <v>15</v>
      </c>
      <c r="U84" s="37">
        <v>100</v>
      </c>
    </row>
    <row r="85" spans="1:21" ht="28.5" customHeight="1">
      <c r="A85" s="37" t="s">
        <v>3038</v>
      </c>
      <c r="B85" s="37" t="s">
        <v>272</v>
      </c>
      <c r="C85" s="37" t="s">
        <v>40</v>
      </c>
      <c r="D85" s="37">
        <v>31</v>
      </c>
      <c r="E85" s="37">
        <v>51</v>
      </c>
      <c r="F85" s="37" t="s">
        <v>36</v>
      </c>
      <c r="G85" s="37" t="s">
        <v>49</v>
      </c>
      <c r="H85" s="37"/>
      <c r="I85" s="37">
        <v>15</v>
      </c>
      <c r="J85" s="37"/>
      <c r="K85" s="37">
        <v>100</v>
      </c>
      <c r="L85" s="37" t="s">
        <v>249</v>
      </c>
      <c r="M85" s="37" t="s">
        <v>703</v>
      </c>
      <c r="N85" s="37">
        <v>2011</v>
      </c>
      <c r="O85" s="37" t="s">
        <v>232</v>
      </c>
      <c r="P85" s="37" t="s">
        <v>3009</v>
      </c>
      <c r="Q85" s="37"/>
      <c r="R85" s="37" t="s">
        <v>379</v>
      </c>
      <c r="S85" s="37" t="s">
        <v>222</v>
      </c>
      <c r="T85" s="37">
        <v>15</v>
      </c>
      <c r="U85" s="37">
        <v>100</v>
      </c>
    </row>
    <row r="86" spans="1:21" ht="28.5" customHeight="1">
      <c r="A86" s="37" t="s">
        <v>3039</v>
      </c>
      <c r="B86" s="37" t="s">
        <v>272</v>
      </c>
      <c r="C86" s="37" t="s">
        <v>396</v>
      </c>
      <c r="D86" s="37">
        <v>51</v>
      </c>
      <c r="E86" s="37">
        <v>71</v>
      </c>
      <c r="F86" s="37" t="s">
        <v>36</v>
      </c>
      <c r="G86" s="37" t="s">
        <v>49</v>
      </c>
      <c r="H86" s="37"/>
      <c r="I86" s="37">
        <v>15</v>
      </c>
      <c r="J86" s="37"/>
      <c r="K86" s="37">
        <v>100</v>
      </c>
      <c r="L86" s="37" t="s">
        <v>249</v>
      </c>
      <c r="M86" s="37" t="s">
        <v>703</v>
      </c>
      <c r="N86" s="37">
        <v>2011</v>
      </c>
      <c r="O86" s="37" t="s">
        <v>232</v>
      </c>
      <c r="P86" s="37" t="s">
        <v>3009</v>
      </c>
      <c r="Q86" s="37"/>
      <c r="R86" s="37" t="s">
        <v>379</v>
      </c>
      <c r="S86" s="37" t="s">
        <v>222</v>
      </c>
      <c r="T86" s="37">
        <v>15</v>
      </c>
      <c r="U86" s="37">
        <v>100</v>
      </c>
    </row>
    <row r="87" spans="1:21" ht="28.5" customHeight="1">
      <c r="A87" s="37" t="s">
        <v>3040</v>
      </c>
      <c r="B87" s="37" t="s">
        <v>272</v>
      </c>
      <c r="C87" s="37" t="s">
        <v>40</v>
      </c>
      <c r="D87" s="37">
        <v>51</v>
      </c>
      <c r="E87" s="37">
        <v>71</v>
      </c>
      <c r="F87" s="37" t="s">
        <v>36</v>
      </c>
      <c r="G87" s="37" t="s">
        <v>49</v>
      </c>
      <c r="H87" s="37"/>
      <c r="I87" s="37">
        <v>15</v>
      </c>
      <c r="J87" s="37"/>
      <c r="K87" s="37">
        <v>100</v>
      </c>
      <c r="L87" s="37" t="s">
        <v>249</v>
      </c>
      <c r="M87" s="37" t="s">
        <v>703</v>
      </c>
      <c r="N87" s="37">
        <v>2011</v>
      </c>
      <c r="O87" s="37" t="s">
        <v>232</v>
      </c>
      <c r="P87" s="37" t="s">
        <v>3009</v>
      </c>
      <c r="Q87" s="37"/>
      <c r="R87" s="37" t="s">
        <v>379</v>
      </c>
      <c r="S87" s="37" t="s">
        <v>222</v>
      </c>
      <c r="T87" s="37">
        <v>15</v>
      </c>
      <c r="U87" s="37">
        <v>100</v>
      </c>
    </row>
    <row r="88" spans="1:21" ht="28.5" customHeight="1">
      <c r="A88" s="37" t="s">
        <v>3041</v>
      </c>
      <c r="B88" s="37" t="s">
        <v>272</v>
      </c>
      <c r="C88" s="37" t="s">
        <v>396</v>
      </c>
      <c r="D88" s="37">
        <v>71</v>
      </c>
      <c r="E88" s="37">
        <v>999</v>
      </c>
      <c r="F88" s="37" t="s">
        <v>36</v>
      </c>
      <c r="G88" s="37" t="s">
        <v>49</v>
      </c>
      <c r="H88" s="37"/>
      <c r="I88" s="37">
        <v>20</v>
      </c>
      <c r="J88" s="37"/>
      <c r="K88" s="37">
        <v>100</v>
      </c>
      <c r="L88" s="37" t="s">
        <v>249</v>
      </c>
      <c r="M88" s="37" t="s">
        <v>703</v>
      </c>
      <c r="N88" s="37">
        <v>2011</v>
      </c>
      <c r="O88" s="37" t="s">
        <v>232</v>
      </c>
      <c r="P88" s="37" t="s">
        <v>3009</v>
      </c>
      <c r="Q88" s="37"/>
      <c r="R88" s="37" t="s">
        <v>379</v>
      </c>
      <c r="S88" s="37" t="s">
        <v>222</v>
      </c>
      <c r="T88" s="37">
        <v>20</v>
      </c>
      <c r="U88" s="37">
        <v>100</v>
      </c>
    </row>
    <row r="89" spans="1:21" ht="28.5" customHeight="1">
      <c r="A89" s="37" t="s">
        <v>3042</v>
      </c>
      <c r="B89" s="37" t="s">
        <v>272</v>
      </c>
      <c r="C89" s="37" t="s">
        <v>40</v>
      </c>
      <c r="D89" s="37">
        <v>71</v>
      </c>
      <c r="E89" s="37">
        <v>999</v>
      </c>
      <c r="F89" s="37" t="s">
        <v>36</v>
      </c>
      <c r="G89" s="37" t="s">
        <v>49</v>
      </c>
      <c r="H89" s="37"/>
      <c r="I89" s="37">
        <v>20</v>
      </c>
      <c r="J89" s="37"/>
      <c r="K89" s="37">
        <v>100</v>
      </c>
      <c r="L89" s="37" t="s">
        <v>249</v>
      </c>
      <c r="M89" s="37" t="s">
        <v>703</v>
      </c>
      <c r="N89" s="37">
        <v>2011</v>
      </c>
      <c r="O89" s="37" t="s">
        <v>232</v>
      </c>
      <c r="P89" s="37" t="s">
        <v>3009</v>
      </c>
      <c r="Q89" s="37"/>
      <c r="R89" s="37" t="s">
        <v>379</v>
      </c>
      <c r="S89" s="37" t="s">
        <v>222</v>
      </c>
      <c r="T89" s="37">
        <v>20</v>
      </c>
      <c r="U89" s="37">
        <v>100</v>
      </c>
    </row>
    <row r="90" spans="1:21" ht="28.5" customHeight="1">
      <c r="A90" s="37" t="s">
        <v>3043</v>
      </c>
      <c r="B90" s="37" t="s">
        <v>272</v>
      </c>
      <c r="C90" s="37" t="s">
        <v>40</v>
      </c>
      <c r="D90" s="37">
        <v>14</v>
      </c>
      <c r="E90" s="37">
        <v>51</v>
      </c>
      <c r="F90" s="37" t="s">
        <v>36</v>
      </c>
      <c r="G90" s="37" t="s">
        <v>414</v>
      </c>
      <c r="H90" s="37"/>
      <c r="I90" s="37">
        <v>15</v>
      </c>
      <c r="J90" s="37"/>
      <c r="K90" s="37">
        <v>100</v>
      </c>
      <c r="L90" s="37" t="s">
        <v>249</v>
      </c>
      <c r="M90" s="37" t="s">
        <v>703</v>
      </c>
      <c r="N90" s="37">
        <v>2011</v>
      </c>
      <c r="O90" s="37" t="s">
        <v>232</v>
      </c>
      <c r="P90" s="37" t="s">
        <v>3009</v>
      </c>
      <c r="Q90" s="37"/>
      <c r="R90" s="37" t="s">
        <v>379</v>
      </c>
      <c r="S90" s="37" t="s">
        <v>222</v>
      </c>
      <c r="T90" s="37">
        <v>15</v>
      </c>
      <c r="U90" s="37">
        <v>100</v>
      </c>
    </row>
    <row r="91" spans="1:21" ht="28.5" customHeight="1">
      <c r="A91" s="37" t="s">
        <v>3044</v>
      </c>
      <c r="B91" s="37" t="s">
        <v>272</v>
      </c>
      <c r="C91" s="37" t="s">
        <v>40</v>
      </c>
      <c r="D91" s="37">
        <v>14</v>
      </c>
      <c r="E91" s="37">
        <v>51</v>
      </c>
      <c r="F91" s="37" t="s">
        <v>36</v>
      </c>
      <c r="G91" s="37" t="s">
        <v>416</v>
      </c>
      <c r="H91" s="37"/>
      <c r="I91" s="37">
        <v>15</v>
      </c>
      <c r="J91" s="37"/>
      <c r="K91" s="37">
        <v>100</v>
      </c>
      <c r="L91" s="37" t="s">
        <v>249</v>
      </c>
      <c r="M91" s="37" t="s">
        <v>703</v>
      </c>
      <c r="N91" s="37">
        <v>2011</v>
      </c>
      <c r="O91" s="37" t="s">
        <v>232</v>
      </c>
      <c r="P91" s="37" t="s">
        <v>3009</v>
      </c>
      <c r="Q91" s="37"/>
      <c r="R91" s="37" t="s">
        <v>379</v>
      </c>
      <c r="S91" s="37" t="s">
        <v>222</v>
      </c>
      <c r="T91" s="37">
        <v>15</v>
      </c>
      <c r="U91" s="37">
        <v>100</v>
      </c>
    </row>
    <row r="92" spans="1:21" ht="28.5" customHeight="1">
      <c r="A92" s="37" t="s">
        <v>3045</v>
      </c>
      <c r="B92" s="37" t="s">
        <v>275</v>
      </c>
      <c r="C92" s="37" t="s">
        <v>387</v>
      </c>
      <c r="D92" s="37">
        <v>0</v>
      </c>
      <c r="E92" s="37">
        <v>0.5</v>
      </c>
      <c r="F92" s="37" t="s">
        <v>36</v>
      </c>
      <c r="G92" s="37" t="s">
        <v>49</v>
      </c>
      <c r="H92" s="37"/>
      <c r="I92" s="37"/>
      <c r="J92" s="37">
        <v>4</v>
      </c>
      <c r="K92" s="37"/>
      <c r="L92" s="37" t="s">
        <v>230</v>
      </c>
      <c r="M92" s="37" t="s">
        <v>703</v>
      </c>
      <c r="N92" s="37">
        <v>2000</v>
      </c>
      <c r="O92" s="37" t="s">
        <v>232</v>
      </c>
      <c r="P92" s="37" t="s">
        <v>3009</v>
      </c>
      <c r="Q92" s="37"/>
      <c r="R92" s="37" t="s">
        <v>380</v>
      </c>
      <c r="S92" s="37"/>
      <c r="T92" s="37">
        <v>4</v>
      </c>
      <c r="U92" s="37"/>
    </row>
    <row r="93" spans="1:21" ht="28.5" customHeight="1">
      <c r="A93" s="37" t="s">
        <v>3046</v>
      </c>
      <c r="B93" s="37" t="s">
        <v>275</v>
      </c>
      <c r="C93" s="37" t="s">
        <v>387</v>
      </c>
      <c r="D93" s="37">
        <v>0.5</v>
      </c>
      <c r="E93" s="37">
        <v>1</v>
      </c>
      <c r="F93" s="37" t="s">
        <v>36</v>
      </c>
      <c r="G93" s="37" t="s">
        <v>49</v>
      </c>
      <c r="H93" s="37"/>
      <c r="I93" s="37"/>
      <c r="J93" s="37">
        <v>5</v>
      </c>
      <c r="K93" s="37"/>
      <c r="L93" s="37" t="s">
        <v>230</v>
      </c>
      <c r="M93" s="37" t="s">
        <v>703</v>
      </c>
      <c r="N93" s="37">
        <v>2000</v>
      </c>
      <c r="O93" s="37" t="s">
        <v>232</v>
      </c>
      <c r="P93" s="37" t="s">
        <v>3009</v>
      </c>
      <c r="Q93" s="37"/>
      <c r="R93" s="37" t="s">
        <v>380</v>
      </c>
      <c r="S93" s="37"/>
      <c r="T93" s="37">
        <v>5</v>
      </c>
      <c r="U93" s="37"/>
    </row>
    <row r="94" spans="1:21" ht="28.5" customHeight="1">
      <c r="A94" s="37" t="s">
        <v>3047</v>
      </c>
      <c r="B94" s="37" t="s">
        <v>275</v>
      </c>
      <c r="C94" s="37" t="s">
        <v>387</v>
      </c>
      <c r="D94" s="37">
        <v>1</v>
      </c>
      <c r="E94" s="37">
        <v>4</v>
      </c>
      <c r="F94" s="37" t="s">
        <v>36</v>
      </c>
      <c r="G94" s="37" t="s">
        <v>49</v>
      </c>
      <c r="H94" s="37"/>
      <c r="I94" s="37">
        <v>6</v>
      </c>
      <c r="J94" s="37"/>
      <c r="K94" s="37">
        <v>200</v>
      </c>
      <c r="L94" s="37" t="s">
        <v>230</v>
      </c>
      <c r="M94" s="37" t="s">
        <v>703</v>
      </c>
      <c r="N94" s="37">
        <v>2000</v>
      </c>
      <c r="O94" s="37" t="s">
        <v>232</v>
      </c>
      <c r="P94" s="37" t="s">
        <v>3009</v>
      </c>
      <c r="Q94" s="37"/>
      <c r="R94" s="37" t="s">
        <v>379</v>
      </c>
      <c r="S94" s="37" t="s">
        <v>222</v>
      </c>
      <c r="T94" s="37">
        <v>6</v>
      </c>
      <c r="U94" s="37">
        <v>200</v>
      </c>
    </row>
    <row r="95" spans="1:21" ht="28.5" customHeight="1">
      <c r="A95" s="37" t="s">
        <v>3048</v>
      </c>
      <c r="B95" s="37" t="s">
        <v>275</v>
      </c>
      <c r="C95" s="37" t="s">
        <v>387</v>
      </c>
      <c r="D95" s="37">
        <v>4</v>
      </c>
      <c r="E95" s="37">
        <v>9</v>
      </c>
      <c r="F95" s="37" t="s">
        <v>36</v>
      </c>
      <c r="G95" s="37" t="s">
        <v>49</v>
      </c>
      <c r="H95" s="37"/>
      <c r="I95" s="37">
        <v>7</v>
      </c>
      <c r="J95" s="37"/>
      <c r="K95" s="37">
        <v>300</v>
      </c>
      <c r="L95" s="37" t="s">
        <v>230</v>
      </c>
      <c r="M95" s="37" t="s">
        <v>703</v>
      </c>
      <c r="N95" s="37">
        <v>2000</v>
      </c>
      <c r="O95" s="37" t="s">
        <v>232</v>
      </c>
      <c r="P95" s="37" t="s">
        <v>3009</v>
      </c>
      <c r="Q95" s="37"/>
      <c r="R95" s="37" t="s">
        <v>379</v>
      </c>
      <c r="S95" s="37" t="s">
        <v>222</v>
      </c>
      <c r="T95" s="37">
        <v>7</v>
      </c>
      <c r="U95" s="37">
        <v>300</v>
      </c>
    </row>
    <row r="96" spans="1:21" ht="28.5" customHeight="1">
      <c r="A96" s="37" t="s">
        <v>3049</v>
      </c>
      <c r="B96" s="37" t="s">
        <v>275</v>
      </c>
      <c r="C96" s="37" t="s">
        <v>396</v>
      </c>
      <c r="D96" s="37">
        <v>9</v>
      </c>
      <c r="E96" s="37">
        <v>14</v>
      </c>
      <c r="F96" s="37" t="s">
        <v>36</v>
      </c>
      <c r="G96" s="37" t="s">
        <v>49</v>
      </c>
      <c r="H96" s="37"/>
      <c r="I96" s="37">
        <v>11</v>
      </c>
      <c r="J96" s="37"/>
      <c r="K96" s="37">
        <v>600</v>
      </c>
      <c r="L96" s="37" t="s">
        <v>230</v>
      </c>
      <c r="M96" s="37" t="s">
        <v>703</v>
      </c>
      <c r="N96" s="37">
        <v>2000</v>
      </c>
      <c r="O96" s="37" t="s">
        <v>232</v>
      </c>
      <c r="P96" s="37" t="s">
        <v>3009</v>
      </c>
      <c r="Q96" s="37"/>
      <c r="R96" s="37" t="s">
        <v>379</v>
      </c>
      <c r="S96" s="37" t="s">
        <v>222</v>
      </c>
      <c r="T96" s="37">
        <v>11</v>
      </c>
      <c r="U96" s="37">
        <v>600</v>
      </c>
    </row>
    <row r="97" spans="1:21" ht="28.5" customHeight="1">
      <c r="A97" s="37" t="s">
        <v>3050</v>
      </c>
      <c r="B97" s="37" t="s">
        <v>275</v>
      </c>
      <c r="C97" s="37" t="s">
        <v>40</v>
      </c>
      <c r="D97" s="37">
        <v>9</v>
      </c>
      <c r="E97" s="37">
        <v>14</v>
      </c>
      <c r="F97" s="37" t="s">
        <v>36</v>
      </c>
      <c r="G97" s="37" t="s">
        <v>49</v>
      </c>
      <c r="H97" s="37"/>
      <c r="I97" s="37">
        <v>11</v>
      </c>
      <c r="J97" s="37"/>
      <c r="K97" s="37">
        <v>600</v>
      </c>
      <c r="L97" s="37" t="s">
        <v>230</v>
      </c>
      <c r="M97" s="37" t="s">
        <v>703</v>
      </c>
      <c r="N97" s="37">
        <v>2000</v>
      </c>
      <c r="O97" s="37" t="s">
        <v>232</v>
      </c>
      <c r="P97" s="37" t="s">
        <v>3009</v>
      </c>
      <c r="Q97" s="37"/>
      <c r="R97" s="37" t="s">
        <v>379</v>
      </c>
      <c r="S97" s="37" t="s">
        <v>222</v>
      </c>
      <c r="T97" s="37">
        <v>11</v>
      </c>
      <c r="U97" s="37">
        <v>600</v>
      </c>
    </row>
    <row r="98" spans="1:21" ht="28.5" customHeight="1">
      <c r="A98" s="37" t="s">
        <v>3051</v>
      </c>
      <c r="B98" s="37" t="s">
        <v>275</v>
      </c>
      <c r="C98" s="37" t="s">
        <v>396</v>
      </c>
      <c r="D98" s="37">
        <v>14</v>
      </c>
      <c r="E98" s="37">
        <v>19</v>
      </c>
      <c r="F98" s="37" t="s">
        <v>36</v>
      </c>
      <c r="G98" s="37" t="s">
        <v>49</v>
      </c>
      <c r="H98" s="37"/>
      <c r="I98" s="37">
        <v>15</v>
      </c>
      <c r="J98" s="37"/>
      <c r="K98" s="37">
        <v>800</v>
      </c>
      <c r="L98" s="37" t="s">
        <v>230</v>
      </c>
      <c r="M98" s="37" t="s">
        <v>703</v>
      </c>
      <c r="N98" s="37">
        <v>2000</v>
      </c>
      <c r="O98" s="37" t="s">
        <v>232</v>
      </c>
      <c r="P98" s="37" t="s">
        <v>3009</v>
      </c>
      <c r="Q98" s="37"/>
      <c r="R98" s="37" t="s">
        <v>379</v>
      </c>
      <c r="S98" s="37" t="s">
        <v>222</v>
      </c>
      <c r="T98" s="37">
        <v>15</v>
      </c>
      <c r="U98" s="37">
        <v>800</v>
      </c>
    </row>
    <row r="99" spans="1:21" ht="28.5" customHeight="1">
      <c r="A99" s="37" t="s">
        <v>3052</v>
      </c>
      <c r="B99" s="37" t="s">
        <v>275</v>
      </c>
      <c r="C99" s="37" t="s">
        <v>40</v>
      </c>
      <c r="D99" s="37">
        <v>14</v>
      </c>
      <c r="E99" s="37">
        <v>19</v>
      </c>
      <c r="F99" s="37" t="s">
        <v>36</v>
      </c>
      <c r="G99" s="37" t="s">
        <v>49</v>
      </c>
      <c r="H99" s="37"/>
      <c r="I99" s="37">
        <v>15</v>
      </c>
      <c r="J99" s="37"/>
      <c r="K99" s="37">
        <v>800</v>
      </c>
      <c r="L99" s="37" t="s">
        <v>230</v>
      </c>
      <c r="M99" s="37" t="s">
        <v>703</v>
      </c>
      <c r="N99" s="37">
        <v>2000</v>
      </c>
      <c r="O99" s="37" t="s">
        <v>232</v>
      </c>
      <c r="P99" s="37" t="s">
        <v>3009</v>
      </c>
      <c r="Q99" s="37"/>
      <c r="R99" s="37" t="s">
        <v>379</v>
      </c>
      <c r="S99" s="37" t="s">
        <v>222</v>
      </c>
      <c r="T99" s="37">
        <v>15</v>
      </c>
      <c r="U99" s="37">
        <v>800</v>
      </c>
    </row>
    <row r="100" spans="1:21" ht="28.5" customHeight="1">
      <c r="A100" s="37" t="s">
        <v>3053</v>
      </c>
      <c r="B100" s="37" t="s">
        <v>275</v>
      </c>
      <c r="C100" s="37" t="s">
        <v>396</v>
      </c>
      <c r="D100" s="37">
        <v>19</v>
      </c>
      <c r="E100" s="37">
        <v>31</v>
      </c>
      <c r="F100" s="37" t="s">
        <v>36</v>
      </c>
      <c r="G100" s="37" t="s">
        <v>49</v>
      </c>
      <c r="H100" s="37"/>
      <c r="I100" s="37">
        <v>15</v>
      </c>
      <c r="J100" s="37"/>
      <c r="K100" s="37">
        <v>1000</v>
      </c>
      <c r="L100" s="37" t="s">
        <v>230</v>
      </c>
      <c r="M100" s="37" t="s">
        <v>703</v>
      </c>
      <c r="N100" s="37">
        <v>2000</v>
      </c>
      <c r="O100" s="37" t="s">
        <v>232</v>
      </c>
      <c r="P100" s="37" t="s">
        <v>3009</v>
      </c>
      <c r="Q100" s="37"/>
      <c r="R100" s="37" t="s">
        <v>379</v>
      </c>
      <c r="S100" s="37" t="s">
        <v>222</v>
      </c>
      <c r="T100" s="37">
        <v>15</v>
      </c>
      <c r="U100" s="37">
        <v>1000</v>
      </c>
    </row>
    <row r="101" spans="1:21" ht="28.5" customHeight="1">
      <c r="A101" s="37" t="s">
        <v>3054</v>
      </c>
      <c r="B101" s="37" t="s">
        <v>275</v>
      </c>
      <c r="C101" s="37" t="s">
        <v>40</v>
      </c>
      <c r="D101" s="37">
        <v>19</v>
      </c>
      <c r="E101" s="37">
        <v>31</v>
      </c>
      <c r="F101" s="37" t="s">
        <v>36</v>
      </c>
      <c r="G101" s="37" t="s">
        <v>49</v>
      </c>
      <c r="H101" s="37"/>
      <c r="I101" s="37">
        <v>15</v>
      </c>
      <c r="J101" s="37"/>
      <c r="K101" s="37">
        <v>1000</v>
      </c>
      <c r="L101" s="37" t="s">
        <v>230</v>
      </c>
      <c r="M101" s="37" t="s">
        <v>703</v>
      </c>
      <c r="N101" s="37">
        <v>2000</v>
      </c>
      <c r="O101" s="37" t="s">
        <v>232</v>
      </c>
      <c r="P101" s="37" t="s">
        <v>3009</v>
      </c>
      <c r="Q101" s="37"/>
      <c r="R101" s="37" t="s">
        <v>379</v>
      </c>
      <c r="S101" s="37" t="s">
        <v>222</v>
      </c>
      <c r="T101" s="37">
        <v>15</v>
      </c>
      <c r="U101" s="37">
        <v>1000</v>
      </c>
    </row>
    <row r="102" spans="1:21" ht="28.5" customHeight="1">
      <c r="A102" s="37" t="s">
        <v>3055</v>
      </c>
      <c r="B102" s="37" t="s">
        <v>275</v>
      </c>
      <c r="C102" s="37" t="s">
        <v>396</v>
      </c>
      <c r="D102" s="37">
        <v>31</v>
      </c>
      <c r="E102" s="37">
        <v>51</v>
      </c>
      <c r="F102" s="37" t="s">
        <v>36</v>
      </c>
      <c r="G102" s="37" t="s">
        <v>49</v>
      </c>
      <c r="H102" s="37"/>
      <c r="I102" s="37">
        <v>15</v>
      </c>
      <c r="J102" s="37"/>
      <c r="K102" s="37">
        <v>1000</v>
      </c>
      <c r="L102" s="37" t="s">
        <v>230</v>
      </c>
      <c r="M102" s="37" t="s">
        <v>703</v>
      </c>
      <c r="N102" s="37">
        <v>2000</v>
      </c>
      <c r="O102" s="37" t="s">
        <v>232</v>
      </c>
      <c r="P102" s="37" t="s">
        <v>3009</v>
      </c>
      <c r="Q102" s="37"/>
      <c r="R102" s="37" t="s">
        <v>379</v>
      </c>
      <c r="S102" s="37" t="s">
        <v>222</v>
      </c>
      <c r="T102" s="37">
        <v>15</v>
      </c>
      <c r="U102" s="37">
        <v>1000</v>
      </c>
    </row>
    <row r="103" spans="1:21" ht="28.5" customHeight="1">
      <c r="A103" s="37" t="s">
        <v>3056</v>
      </c>
      <c r="B103" s="37" t="s">
        <v>275</v>
      </c>
      <c r="C103" s="37" t="s">
        <v>40</v>
      </c>
      <c r="D103" s="37">
        <v>31</v>
      </c>
      <c r="E103" s="37">
        <v>51</v>
      </c>
      <c r="F103" s="37" t="s">
        <v>36</v>
      </c>
      <c r="G103" s="37" t="s">
        <v>49</v>
      </c>
      <c r="H103" s="37"/>
      <c r="I103" s="37">
        <v>15</v>
      </c>
      <c r="J103" s="37"/>
      <c r="K103" s="37">
        <v>1000</v>
      </c>
      <c r="L103" s="37" t="s">
        <v>230</v>
      </c>
      <c r="M103" s="37" t="s">
        <v>703</v>
      </c>
      <c r="N103" s="37">
        <v>2000</v>
      </c>
      <c r="O103" s="37" t="s">
        <v>232</v>
      </c>
      <c r="P103" s="37" t="s">
        <v>3009</v>
      </c>
      <c r="Q103" s="37"/>
      <c r="R103" s="37" t="s">
        <v>379</v>
      </c>
      <c r="S103" s="37" t="s">
        <v>222</v>
      </c>
      <c r="T103" s="37">
        <v>15</v>
      </c>
      <c r="U103" s="37">
        <v>1000</v>
      </c>
    </row>
    <row r="104" spans="1:21" ht="28.5" customHeight="1">
      <c r="A104" s="37" t="s">
        <v>3057</v>
      </c>
      <c r="B104" s="37" t="s">
        <v>275</v>
      </c>
      <c r="C104" s="37" t="s">
        <v>396</v>
      </c>
      <c r="D104" s="37">
        <v>51</v>
      </c>
      <c r="E104" s="37">
        <v>71</v>
      </c>
      <c r="F104" s="37" t="s">
        <v>36</v>
      </c>
      <c r="G104" s="37" t="s">
        <v>49</v>
      </c>
      <c r="H104" s="37"/>
      <c r="I104" s="37">
        <v>15</v>
      </c>
      <c r="J104" s="37"/>
      <c r="K104" s="37">
        <v>1000</v>
      </c>
      <c r="L104" s="37" t="s">
        <v>230</v>
      </c>
      <c r="M104" s="37" t="s">
        <v>703</v>
      </c>
      <c r="N104" s="37">
        <v>2000</v>
      </c>
      <c r="O104" s="37" t="s">
        <v>232</v>
      </c>
      <c r="P104" s="37" t="s">
        <v>3009</v>
      </c>
      <c r="Q104" s="37"/>
      <c r="R104" s="37" t="s">
        <v>379</v>
      </c>
      <c r="S104" s="37" t="s">
        <v>222</v>
      </c>
      <c r="T104" s="37">
        <v>15</v>
      </c>
      <c r="U104" s="37">
        <v>1000</v>
      </c>
    </row>
    <row r="105" spans="1:21" ht="28.5" customHeight="1">
      <c r="A105" s="37" t="s">
        <v>3058</v>
      </c>
      <c r="B105" s="37" t="s">
        <v>275</v>
      </c>
      <c r="C105" s="37" t="s">
        <v>40</v>
      </c>
      <c r="D105" s="37">
        <v>51</v>
      </c>
      <c r="E105" s="37">
        <v>71</v>
      </c>
      <c r="F105" s="37" t="s">
        <v>36</v>
      </c>
      <c r="G105" s="37" t="s">
        <v>49</v>
      </c>
      <c r="H105" s="37"/>
      <c r="I105" s="37">
        <v>15</v>
      </c>
      <c r="J105" s="37"/>
      <c r="K105" s="37">
        <v>1000</v>
      </c>
      <c r="L105" s="37" t="s">
        <v>230</v>
      </c>
      <c r="M105" s="37" t="s">
        <v>703</v>
      </c>
      <c r="N105" s="37">
        <v>2000</v>
      </c>
      <c r="O105" s="37" t="s">
        <v>232</v>
      </c>
      <c r="P105" s="37" t="s">
        <v>3009</v>
      </c>
      <c r="Q105" s="37"/>
      <c r="R105" s="37" t="s">
        <v>379</v>
      </c>
      <c r="S105" s="37" t="s">
        <v>222</v>
      </c>
      <c r="T105" s="37">
        <v>15</v>
      </c>
      <c r="U105" s="37">
        <v>1000</v>
      </c>
    </row>
    <row r="106" spans="1:21" ht="28.5" customHeight="1">
      <c r="A106" s="37" t="s">
        <v>3059</v>
      </c>
      <c r="B106" s="37" t="s">
        <v>275</v>
      </c>
      <c r="C106" s="37" t="s">
        <v>396</v>
      </c>
      <c r="D106" s="37">
        <v>71</v>
      </c>
      <c r="E106" s="37">
        <v>999</v>
      </c>
      <c r="F106" s="37" t="s">
        <v>36</v>
      </c>
      <c r="G106" s="37" t="s">
        <v>49</v>
      </c>
      <c r="H106" s="37"/>
      <c r="I106" s="37">
        <v>15</v>
      </c>
      <c r="J106" s="37"/>
      <c r="K106" s="37">
        <v>1000</v>
      </c>
      <c r="L106" s="37" t="s">
        <v>230</v>
      </c>
      <c r="M106" s="37" t="s">
        <v>703</v>
      </c>
      <c r="N106" s="37">
        <v>2000</v>
      </c>
      <c r="O106" s="37" t="s">
        <v>232</v>
      </c>
      <c r="P106" s="37" t="s">
        <v>3009</v>
      </c>
      <c r="Q106" s="37"/>
      <c r="R106" s="37" t="s">
        <v>379</v>
      </c>
      <c r="S106" s="37" t="s">
        <v>222</v>
      </c>
      <c r="T106" s="37">
        <v>15</v>
      </c>
      <c r="U106" s="37">
        <v>1000</v>
      </c>
    </row>
    <row r="107" spans="1:21" ht="28.5" customHeight="1">
      <c r="A107" s="37" t="s">
        <v>3060</v>
      </c>
      <c r="B107" s="37" t="s">
        <v>275</v>
      </c>
      <c r="C107" s="37" t="s">
        <v>40</v>
      </c>
      <c r="D107" s="37">
        <v>71</v>
      </c>
      <c r="E107" s="37">
        <v>999</v>
      </c>
      <c r="F107" s="37" t="s">
        <v>36</v>
      </c>
      <c r="G107" s="37" t="s">
        <v>49</v>
      </c>
      <c r="H107" s="37"/>
      <c r="I107" s="37">
        <v>15</v>
      </c>
      <c r="J107" s="37"/>
      <c r="K107" s="37">
        <v>1000</v>
      </c>
      <c r="L107" s="37" t="s">
        <v>230</v>
      </c>
      <c r="M107" s="37" t="s">
        <v>703</v>
      </c>
      <c r="N107" s="37">
        <v>2000</v>
      </c>
      <c r="O107" s="37" t="s">
        <v>232</v>
      </c>
      <c r="P107" s="37" t="s">
        <v>3009</v>
      </c>
      <c r="Q107" s="37"/>
      <c r="R107" s="37" t="s">
        <v>379</v>
      </c>
      <c r="S107" s="37" t="s">
        <v>222</v>
      </c>
      <c r="T107" s="37">
        <v>15</v>
      </c>
      <c r="U107" s="37">
        <v>1000</v>
      </c>
    </row>
    <row r="108" spans="1:21" ht="28.5" customHeight="1">
      <c r="A108" s="37" t="s">
        <v>3061</v>
      </c>
      <c r="B108" s="37" t="s">
        <v>275</v>
      </c>
      <c r="C108" s="37" t="s">
        <v>40</v>
      </c>
      <c r="D108" s="37">
        <v>14</v>
      </c>
      <c r="E108" s="37">
        <v>51</v>
      </c>
      <c r="F108" s="37" t="s">
        <v>36</v>
      </c>
      <c r="G108" s="37" t="s">
        <v>414</v>
      </c>
      <c r="H108" s="37"/>
      <c r="I108" s="37">
        <v>15</v>
      </c>
      <c r="J108" s="37"/>
      <c r="K108" s="37">
        <v>1000</v>
      </c>
      <c r="L108" s="37" t="s">
        <v>230</v>
      </c>
      <c r="M108" s="37" t="s">
        <v>703</v>
      </c>
      <c r="N108" s="37">
        <v>2000</v>
      </c>
      <c r="O108" s="37" t="s">
        <v>232</v>
      </c>
      <c r="P108" s="37" t="s">
        <v>3009</v>
      </c>
      <c r="Q108" s="37"/>
      <c r="R108" s="37" t="s">
        <v>379</v>
      </c>
      <c r="S108" s="37" t="s">
        <v>222</v>
      </c>
      <c r="T108" s="37">
        <v>15</v>
      </c>
      <c r="U108" s="37">
        <v>1000</v>
      </c>
    </row>
    <row r="109" spans="1:21" ht="28.5" customHeight="1">
      <c r="A109" s="37" t="s">
        <v>3062</v>
      </c>
      <c r="B109" s="37" t="s">
        <v>275</v>
      </c>
      <c r="C109" s="37" t="s">
        <v>40</v>
      </c>
      <c r="D109" s="37">
        <v>14</v>
      </c>
      <c r="E109" s="37">
        <v>51</v>
      </c>
      <c r="F109" s="37" t="s">
        <v>36</v>
      </c>
      <c r="G109" s="37" t="s">
        <v>416</v>
      </c>
      <c r="H109" s="37"/>
      <c r="I109" s="37">
        <v>19</v>
      </c>
      <c r="J109" s="37"/>
      <c r="K109" s="37">
        <v>1000</v>
      </c>
      <c r="L109" s="37" t="s">
        <v>230</v>
      </c>
      <c r="M109" s="37" t="s">
        <v>703</v>
      </c>
      <c r="N109" s="37">
        <v>2000</v>
      </c>
      <c r="O109" s="37" t="s">
        <v>232</v>
      </c>
      <c r="P109" s="37" t="s">
        <v>3009</v>
      </c>
      <c r="Q109" s="37"/>
      <c r="R109" s="37" t="s">
        <v>379</v>
      </c>
      <c r="S109" s="37" t="s">
        <v>222</v>
      </c>
      <c r="T109" s="37">
        <v>19</v>
      </c>
      <c r="U109" s="37">
        <v>1000</v>
      </c>
    </row>
    <row r="110" spans="1:21" ht="28.5" customHeight="1">
      <c r="A110" s="37" t="s">
        <v>3063</v>
      </c>
      <c r="B110" s="37" t="s">
        <v>278</v>
      </c>
      <c r="C110" s="37" t="s">
        <v>387</v>
      </c>
      <c r="D110" s="37">
        <v>0</v>
      </c>
      <c r="E110" s="37">
        <v>0.5</v>
      </c>
      <c r="F110" s="37" t="s">
        <v>36</v>
      </c>
      <c r="G110" s="37" t="s">
        <v>49</v>
      </c>
      <c r="H110" s="37"/>
      <c r="I110" s="37"/>
      <c r="J110" s="37">
        <v>2</v>
      </c>
      <c r="K110" s="37"/>
      <c r="L110" s="37" t="s">
        <v>249</v>
      </c>
      <c r="M110" s="37" t="s">
        <v>703</v>
      </c>
      <c r="N110" s="37">
        <v>2001</v>
      </c>
      <c r="O110" s="37" t="s">
        <v>232</v>
      </c>
      <c r="P110" s="37" t="s">
        <v>3009</v>
      </c>
      <c r="Q110" s="37"/>
      <c r="R110" s="37" t="s">
        <v>380</v>
      </c>
      <c r="S110" s="37"/>
      <c r="T110" s="37">
        <v>2</v>
      </c>
      <c r="U110" s="37"/>
    </row>
    <row r="111" spans="1:21" ht="28.5" customHeight="1">
      <c r="A111" s="37" t="s">
        <v>3064</v>
      </c>
      <c r="B111" s="37" t="s">
        <v>278</v>
      </c>
      <c r="C111" s="37" t="s">
        <v>387</v>
      </c>
      <c r="D111" s="37">
        <v>0.5</v>
      </c>
      <c r="E111" s="37">
        <v>1</v>
      </c>
      <c r="F111" s="37" t="s">
        <v>36</v>
      </c>
      <c r="G111" s="37" t="s">
        <v>49</v>
      </c>
      <c r="H111" s="37"/>
      <c r="I111" s="37"/>
      <c r="J111" s="37">
        <v>2.5</v>
      </c>
      <c r="K111" s="37"/>
      <c r="L111" s="37" t="s">
        <v>249</v>
      </c>
      <c r="M111" s="37" t="s">
        <v>703</v>
      </c>
      <c r="N111" s="37">
        <v>2001</v>
      </c>
      <c r="O111" s="37" t="s">
        <v>232</v>
      </c>
      <c r="P111" s="37" t="s">
        <v>3009</v>
      </c>
      <c r="Q111" s="37"/>
      <c r="R111" s="37" t="s">
        <v>380</v>
      </c>
      <c r="S111" s="37"/>
      <c r="T111" s="37">
        <v>2.5</v>
      </c>
      <c r="U111" s="37"/>
    </row>
    <row r="112" spans="1:21" ht="28.5" customHeight="1">
      <c r="A112" s="37" t="s">
        <v>3065</v>
      </c>
      <c r="B112" s="37" t="s">
        <v>278</v>
      </c>
      <c r="C112" s="37" t="s">
        <v>387</v>
      </c>
      <c r="D112" s="37">
        <v>1</v>
      </c>
      <c r="E112" s="37">
        <v>4</v>
      </c>
      <c r="F112" s="37" t="s">
        <v>36</v>
      </c>
      <c r="G112" s="37" t="s">
        <v>49</v>
      </c>
      <c r="H112" s="37"/>
      <c r="I112" s="37"/>
      <c r="J112" s="37">
        <v>30</v>
      </c>
      <c r="K112" s="37"/>
      <c r="L112" s="37" t="s">
        <v>249</v>
      </c>
      <c r="M112" s="37" t="s">
        <v>703</v>
      </c>
      <c r="N112" s="37">
        <v>2001</v>
      </c>
      <c r="O112" s="37" t="s">
        <v>232</v>
      </c>
      <c r="P112" s="37" t="s">
        <v>3009</v>
      </c>
      <c r="Q112" s="37"/>
      <c r="R112" s="37" t="s">
        <v>380</v>
      </c>
      <c r="S112" s="37"/>
      <c r="T112" s="37">
        <v>30</v>
      </c>
      <c r="U112" s="37"/>
    </row>
    <row r="113" spans="1:21" ht="28.5" customHeight="1">
      <c r="A113" s="37" t="s">
        <v>3066</v>
      </c>
      <c r="B113" s="37" t="s">
        <v>278</v>
      </c>
      <c r="C113" s="37" t="s">
        <v>387</v>
      </c>
      <c r="D113" s="37">
        <v>4</v>
      </c>
      <c r="E113" s="37">
        <v>9</v>
      </c>
      <c r="F113" s="37" t="s">
        <v>36</v>
      </c>
      <c r="G113" s="37" t="s">
        <v>49</v>
      </c>
      <c r="H113" s="37"/>
      <c r="I113" s="37"/>
      <c r="J113" s="37">
        <v>55</v>
      </c>
      <c r="K113" s="37"/>
      <c r="L113" s="37" t="s">
        <v>249</v>
      </c>
      <c r="M113" s="37" t="s">
        <v>703</v>
      </c>
      <c r="N113" s="37">
        <v>2001</v>
      </c>
      <c r="O113" s="37" t="s">
        <v>232</v>
      </c>
      <c r="P113" s="37" t="s">
        <v>3009</v>
      </c>
      <c r="Q113" s="37"/>
      <c r="R113" s="37" t="s">
        <v>380</v>
      </c>
      <c r="S113" s="37"/>
      <c r="T113" s="37">
        <v>55</v>
      </c>
      <c r="U113" s="37"/>
    </row>
    <row r="114" spans="1:21" ht="28.5" customHeight="1">
      <c r="A114" s="37" t="s">
        <v>3067</v>
      </c>
      <c r="B114" s="37" t="s">
        <v>278</v>
      </c>
      <c r="C114" s="37" t="s">
        <v>396</v>
      </c>
      <c r="D114" s="37">
        <v>9</v>
      </c>
      <c r="E114" s="37">
        <v>14</v>
      </c>
      <c r="F114" s="37" t="s">
        <v>36</v>
      </c>
      <c r="G114" s="37" t="s">
        <v>49</v>
      </c>
      <c r="H114" s="37"/>
      <c r="I114" s="37"/>
      <c r="J114" s="37">
        <v>60</v>
      </c>
      <c r="K114" s="37"/>
      <c r="L114" s="37" t="s">
        <v>249</v>
      </c>
      <c r="M114" s="37" t="s">
        <v>703</v>
      </c>
      <c r="N114" s="37">
        <v>2001</v>
      </c>
      <c r="O114" s="37" t="s">
        <v>232</v>
      </c>
      <c r="P114" s="37" t="s">
        <v>3009</v>
      </c>
      <c r="Q114" s="37"/>
      <c r="R114" s="37" t="s">
        <v>380</v>
      </c>
      <c r="S114" s="37"/>
      <c r="T114" s="37">
        <v>60</v>
      </c>
      <c r="U114" s="37"/>
    </row>
    <row r="115" spans="1:21" ht="28.5" customHeight="1">
      <c r="A115" s="37" t="s">
        <v>3068</v>
      </c>
      <c r="B115" s="37" t="s">
        <v>278</v>
      </c>
      <c r="C115" s="37" t="s">
        <v>40</v>
      </c>
      <c r="D115" s="37">
        <v>9</v>
      </c>
      <c r="E115" s="37">
        <v>14</v>
      </c>
      <c r="F115" s="37" t="s">
        <v>36</v>
      </c>
      <c r="G115" s="37" t="s">
        <v>49</v>
      </c>
      <c r="H115" s="37"/>
      <c r="I115" s="37"/>
      <c r="J115" s="37">
        <v>60</v>
      </c>
      <c r="K115" s="37"/>
      <c r="L115" s="37" t="s">
        <v>249</v>
      </c>
      <c r="M115" s="37" t="s">
        <v>703</v>
      </c>
      <c r="N115" s="37">
        <v>2001</v>
      </c>
      <c r="O115" s="37" t="s">
        <v>232</v>
      </c>
      <c r="P115" s="37" t="s">
        <v>3009</v>
      </c>
      <c r="Q115" s="37"/>
      <c r="R115" s="37" t="s">
        <v>380</v>
      </c>
      <c r="S115" s="37"/>
      <c r="T115" s="37">
        <v>60</v>
      </c>
      <c r="U115" s="37"/>
    </row>
    <row r="116" spans="1:21" ht="28.5" customHeight="1">
      <c r="A116" s="37" t="s">
        <v>3069</v>
      </c>
      <c r="B116" s="37" t="s">
        <v>278</v>
      </c>
      <c r="C116" s="37" t="s">
        <v>396</v>
      </c>
      <c r="D116" s="37">
        <v>14</v>
      </c>
      <c r="E116" s="37">
        <v>19</v>
      </c>
      <c r="F116" s="37" t="s">
        <v>36</v>
      </c>
      <c r="G116" s="37" t="s">
        <v>49</v>
      </c>
      <c r="H116" s="37"/>
      <c r="I116" s="37"/>
      <c r="J116" s="37">
        <v>75</v>
      </c>
      <c r="K116" s="37"/>
      <c r="L116" s="37" t="s">
        <v>249</v>
      </c>
      <c r="M116" s="37" t="s">
        <v>703</v>
      </c>
      <c r="N116" s="37">
        <v>2001</v>
      </c>
      <c r="O116" s="37" t="s">
        <v>232</v>
      </c>
      <c r="P116" s="37" t="s">
        <v>3009</v>
      </c>
      <c r="Q116" s="37"/>
      <c r="R116" s="37" t="s">
        <v>380</v>
      </c>
      <c r="S116" s="37"/>
      <c r="T116" s="37">
        <v>75</v>
      </c>
      <c r="U116" s="37"/>
    </row>
    <row r="117" spans="1:21" ht="28.5" customHeight="1">
      <c r="A117" s="37" t="s">
        <v>3070</v>
      </c>
      <c r="B117" s="37" t="s">
        <v>278</v>
      </c>
      <c r="C117" s="37" t="s">
        <v>40</v>
      </c>
      <c r="D117" s="37">
        <v>14</v>
      </c>
      <c r="E117" s="37">
        <v>19</v>
      </c>
      <c r="F117" s="37" t="s">
        <v>36</v>
      </c>
      <c r="G117" s="37" t="s">
        <v>49</v>
      </c>
      <c r="H117" s="37"/>
      <c r="I117" s="37"/>
      <c r="J117" s="37">
        <v>75</v>
      </c>
      <c r="K117" s="37"/>
      <c r="L117" s="37" t="s">
        <v>249</v>
      </c>
      <c r="M117" s="37" t="s">
        <v>703</v>
      </c>
      <c r="N117" s="37">
        <v>2001</v>
      </c>
      <c r="O117" s="37" t="s">
        <v>232</v>
      </c>
      <c r="P117" s="37" t="s">
        <v>3009</v>
      </c>
      <c r="Q117" s="37"/>
      <c r="R117" s="37" t="s">
        <v>380</v>
      </c>
      <c r="S117" s="37"/>
      <c r="T117" s="37">
        <v>75</v>
      </c>
      <c r="U117" s="37"/>
    </row>
    <row r="118" spans="1:21" ht="28.5" customHeight="1">
      <c r="A118" s="37" t="s">
        <v>3071</v>
      </c>
      <c r="B118" s="37" t="s">
        <v>278</v>
      </c>
      <c r="C118" s="37" t="s">
        <v>396</v>
      </c>
      <c r="D118" s="37">
        <v>19</v>
      </c>
      <c r="E118" s="37">
        <v>31</v>
      </c>
      <c r="F118" s="37" t="s">
        <v>36</v>
      </c>
      <c r="G118" s="37" t="s">
        <v>49</v>
      </c>
      <c r="H118" s="37"/>
      <c r="I118" s="37"/>
      <c r="J118" s="37">
        <v>120</v>
      </c>
      <c r="K118" s="37"/>
      <c r="L118" s="37" t="s">
        <v>249</v>
      </c>
      <c r="M118" s="37" t="s">
        <v>703</v>
      </c>
      <c r="N118" s="37">
        <v>2001</v>
      </c>
      <c r="O118" s="37" t="s">
        <v>232</v>
      </c>
      <c r="P118" s="37" t="s">
        <v>3009</v>
      </c>
      <c r="Q118" s="37"/>
      <c r="R118" s="37" t="s">
        <v>380</v>
      </c>
      <c r="S118" s="37"/>
      <c r="T118" s="37">
        <v>120</v>
      </c>
      <c r="U118" s="37"/>
    </row>
    <row r="119" spans="1:21" ht="28.5" customHeight="1">
      <c r="A119" s="37" t="s">
        <v>3072</v>
      </c>
      <c r="B119" s="37" t="s">
        <v>278</v>
      </c>
      <c r="C119" s="37" t="s">
        <v>40</v>
      </c>
      <c r="D119" s="37">
        <v>19</v>
      </c>
      <c r="E119" s="37">
        <v>31</v>
      </c>
      <c r="F119" s="37" t="s">
        <v>36</v>
      </c>
      <c r="G119" s="37" t="s">
        <v>49</v>
      </c>
      <c r="H119" s="37"/>
      <c r="I119" s="37"/>
      <c r="J119" s="37">
        <v>90</v>
      </c>
      <c r="K119" s="37"/>
      <c r="L119" s="37" t="s">
        <v>249</v>
      </c>
      <c r="M119" s="37" t="s">
        <v>703</v>
      </c>
      <c r="N119" s="37">
        <v>2001</v>
      </c>
      <c r="O119" s="37" t="s">
        <v>232</v>
      </c>
      <c r="P119" s="37" t="s">
        <v>3009</v>
      </c>
      <c r="Q119" s="37"/>
      <c r="R119" s="37" t="s">
        <v>380</v>
      </c>
      <c r="S119" s="37"/>
      <c r="T119" s="37">
        <v>90</v>
      </c>
      <c r="U119" s="37"/>
    </row>
    <row r="120" spans="1:21" ht="28.5" customHeight="1">
      <c r="A120" s="37" t="s">
        <v>3073</v>
      </c>
      <c r="B120" s="37" t="s">
        <v>278</v>
      </c>
      <c r="C120" s="37" t="s">
        <v>396</v>
      </c>
      <c r="D120" s="37">
        <v>31</v>
      </c>
      <c r="E120" s="37">
        <v>51</v>
      </c>
      <c r="F120" s="37" t="s">
        <v>36</v>
      </c>
      <c r="G120" s="37" t="s">
        <v>49</v>
      </c>
      <c r="H120" s="37"/>
      <c r="I120" s="37"/>
      <c r="J120" s="37">
        <v>120</v>
      </c>
      <c r="K120" s="37"/>
      <c r="L120" s="37" t="s">
        <v>249</v>
      </c>
      <c r="M120" s="37" t="s">
        <v>703</v>
      </c>
      <c r="N120" s="37">
        <v>2001</v>
      </c>
      <c r="O120" s="37" t="s">
        <v>232</v>
      </c>
      <c r="P120" s="37" t="s">
        <v>3009</v>
      </c>
      <c r="Q120" s="37"/>
      <c r="R120" s="37" t="s">
        <v>380</v>
      </c>
      <c r="S120" s="37"/>
      <c r="T120" s="37">
        <v>120</v>
      </c>
      <c r="U120" s="37"/>
    </row>
    <row r="121" spans="1:21" ht="28.5" customHeight="1">
      <c r="A121" s="37" t="s">
        <v>3074</v>
      </c>
      <c r="B121" s="37" t="s">
        <v>278</v>
      </c>
      <c r="C121" s="37" t="s">
        <v>40</v>
      </c>
      <c r="D121" s="37">
        <v>31</v>
      </c>
      <c r="E121" s="37">
        <v>51</v>
      </c>
      <c r="F121" s="37" t="s">
        <v>36</v>
      </c>
      <c r="G121" s="37" t="s">
        <v>49</v>
      </c>
      <c r="H121" s="37"/>
      <c r="I121" s="37"/>
      <c r="J121" s="37">
        <v>90</v>
      </c>
      <c r="K121" s="37"/>
      <c r="L121" s="37" t="s">
        <v>249</v>
      </c>
      <c r="M121" s="37" t="s">
        <v>703</v>
      </c>
      <c r="N121" s="37">
        <v>2001</v>
      </c>
      <c r="O121" s="37" t="s">
        <v>232</v>
      </c>
      <c r="P121" s="37" t="s">
        <v>3009</v>
      </c>
      <c r="Q121" s="37"/>
      <c r="R121" s="37" t="s">
        <v>380</v>
      </c>
      <c r="S121" s="37"/>
      <c r="T121" s="37">
        <v>90</v>
      </c>
      <c r="U121" s="37"/>
    </row>
    <row r="122" spans="1:21" ht="28.5" customHeight="1">
      <c r="A122" s="37" t="s">
        <v>3075</v>
      </c>
      <c r="B122" s="37" t="s">
        <v>278</v>
      </c>
      <c r="C122" s="37" t="s">
        <v>396</v>
      </c>
      <c r="D122" s="37">
        <v>51</v>
      </c>
      <c r="E122" s="37">
        <v>71</v>
      </c>
      <c r="F122" s="37" t="s">
        <v>36</v>
      </c>
      <c r="G122" s="37" t="s">
        <v>49</v>
      </c>
      <c r="H122" s="37"/>
      <c r="I122" s="37"/>
      <c r="J122" s="37">
        <v>120</v>
      </c>
      <c r="K122" s="37"/>
      <c r="L122" s="37" t="s">
        <v>249</v>
      </c>
      <c r="M122" s="37" t="s">
        <v>703</v>
      </c>
      <c r="N122" s="37">
        <v>2001</v>
      </c>
      <c r="O122" s="37" t="s">
        <v>232</v>
      </c>
      <c r="P122" s="37" t="s">
        <v>3009</v>
      </c>
      <c r="Q122" s="37"/>
      <c r="R122" s="37" t="s">
        <v>380</v>
      </c>
      <c r="S122" s="37"/>
      <c r="T122" s="37">
        <v>120</v>
      </c>
      <c r="U122" s="37"/>
    </row>
    <row r="123" spans="1:21" ht="28.5" customHeight="1">
      <c r="A123" s="37" t="s">
        <v>3076</v>
      </c>
      <c r="B123" s="37" t="s">
        <v>278</v>
      </c>
      <c r="C123" s="37" t="s">
        <v>40</v>
      </c>
      <c r="D123" s="37">
        <v>51</v>
      </c>
      <c r="E123" s="37">
        <v>71</v>
      </c>
      <c r="F123" s="37" t="s">
        <v>36</v>
      </c>
      <c r="G123" s="37" t="s">
        <v>49</v>
      </c>
      <c r="H123" s="37"/>
      <c r="I123" s="37"/>
      <c r="J123" s="37">
        <v>90</v>
      </c>
      <c r="K123" s="37"/>
      <c r="L123" s="37" t="s">
        <v>249</v>
      </c>
      <c r="M123" s="37" t="s">
        <v>703</v>
      </c>
      <c r="N123" s="37">
        <v>2001</v>
      </c>
      <c r="O123" s="37" t="s">
        <v>232</v>
      </c>
      <c r="P123" s="37" t="s">
        <v>3009</v>
      </c>
      <c r="Q123" s="37"/>
      <c r="R123" s="37" t="s">
        <v>380</v>
      </c>
      <c r="S123" s="37"/>
      <c r="T123" s="37">
        <v>90</v>
      </c>
      <c r="U123" s="37"/>
    </row>
    <row r="124" spans="1:21" ht="28.5" customHeight="1">
      <c r="A124" s="37" t="s">
        <v>3077</v>
      </c>
      <c r="B124" s="37" t="s">
        <v>278</v>
      </c>
      <c r="C124" s="37" t="s">
        <v>396</v>
      </c>
      <c r="D124" s="37">
        <v>71</v>
      </c>
      <c r="E124" s="37">
        <v>999</v>
      </c>
      <c r="F124" s="37" t="s">
        <v>36</v>
      </c>
      <c r="G124" s="37" t="s">
        <v>49</v>
      </c>
      <c r="H124" s="37"/>
      <c r="I124" s="37"/>
      <c r="J124" s="37">
        <v>120</v>
      </c>
      <c r="K124" s="37"/>
      <c r="L124" s="37" t="s">
        <v>249</v>
      </c>
      <c r="M124" s="37" t="s">
        <v>703</v>
      </c>
      <c r="N124" s="37">
        <v>2001</v>
      </c>
      <c r="O124" s="37" t="s">
        <v>232</v>
      </c>
      <c r="P124" s="37" t="s">
        <v>3009</v>
      </c>
      <c r="Q124" s="37"/>
      <c r="R124" s="37" t="s">
        <v>380</v>
      </c>
      <c r="S124" s="37"/>
      <c r="T124" s="37">
        <v>120</v>
      </c>
      <c r="U124" s="37"/>
    </row>
    <row r="125" spans="1:21" ht="28.5" customHeight="1">
      <c r="A125" s="37" t="s">
        <v>3078</v>
      </c>
      <c r="B125" s="37" t="s">
        <v>278</v>
      </c>
      <c r="C125" s="37" t="s">
        <v>40</v>
      </c>
      <c r="D125" s="37">
        <v>71</v>
      </c>
      <c r="E125" s="37">
        <v>999</v>
      </c>
      <c r="F125" s="37" t="s">
        <v>36</v>
      </c>
      <c r="G125" s="37" t="s">
        <v>49</v>
      </c>
      <c r="H125" s="37"/>
      <c r="I125" s="37"/>
      <c r="J125" s="37">
        <v>90</v>
      </c>
      <c r="K125" s="37"/>
      <c r="L125" s="37" t="s">
        <v>249</v>
      </c>
      <c r="M125" s="37" t="s">
        <v>703</v>
      </c>
      <c r="N125" s="37">
        <v>2001</v>
      </c>
      <c r="O125" s="37" t="s">
        <v>232</v>
      </c>
      <c r="P125" s="37" t="s">
        <v>3009</v>
      </c>
      <c r="Q125" s="37"/>
      <c r="R125" s="37" t="s">
        <v>380</v>
      </c>
      <c r="S125" s="37"/>
      <c r="T125" s="37">
        <v>90</v>
      </c>
      <c r="U125" s="37"/>
    </row>
    <row r="126" spans="1:21" ht="28.5" customHeight="1">
      <c r="A126" s="37" t="s">
        <v>3079</v>
      </c>
      <c r="B126" s="37" t="s">
        <v>278</v>
      </c>
      <c r="C126" s="37" t="s">
        <v>40</v>
      </c>
      <c r="D126" s="37">
        <v>14</v>
      </c>
      <c r="E126" s="37">
        <v>51</v>
      </c>
      <c r="F126" s="37" t="s">
        <v>36</v>
      </c>
      <c r="G126" s="37" t="s">
        <v>414</v>
      </c>
      <c r="H126" s="37"/>
      <c r="I126" s="37"/>
      <c r="J126" s="37">
        <v>90</v>
      </c>
      <c r="K126" s="37"/>
      <c r="L126" s="37" t="s">
        <v>249</v>
      </c>
      <c r="M126" s="37" t="s">
        <v>703</v>
      </c>
      <c r="N126" s="37">
        <v>2001</v>
      </c>
      <c r="O126" s="37" t="s">
        <v>232</v>
      </c>
      <c r="P126" s="37" t="s">
        <v>3009</v>
      </c>
      <c r="Q126" s="37"/>
      <c r="R126" s="37" t="s">
        <v>380</v>
      </c>
      <c r="S126" s="37"/>
      <c r="T126" s="37">
        <v>90</v>
      </c>
      <c r="U126" s="37"/>
    </row>
    <row r="127" spans="1:21" ht="28.5" customHeight="1">
      <c r="A127" s="37" t="s">
        <v>3080</v>
      </c>
      <c r="B127" s="37" t="s">
        <v>278</v>
      </c>
      <c r="C127" s="37" t="s">
        <v>40</v>
      </c>
      <c r="D127" s="37">
        <v>14</v>
      </c>
      <c r="E127" s="37">
        <v>51</v>
      </c>
      <c r="F127" s="37" t="s">
        <v>36</v>
      </c>
      <c r="G127" s="37" t="s">
        <v>416</v>
      </c>
      <c r="H127" s="37"/>
      <c r="I127" s="37"/>
      <c r="J127" s="37">
        <v>90</v>
      </c>
      <c r="K127" s="37"/>
      <c r="L127" s="37" t="s">
        <v>249</v>
      </c>
      <c r="M127" s="37" t="s">
        <v>703</v>
      </c>
      <c r="N127" s="37">
        <v>2001</v>
      </c>
      <c r="O127" s="37" t="s">
        <v>232</v>
      </c>
      <c r="P127" s="37" t="s">
        <v>3009</v>
      </c>
      <c r="Q127" s="37"/>
      <c r="R127" s="37" t="s">
        <v>380</v>
      </c>
      <c r="S127" s="37"/>
      <c r="T127" s="37">
        <v>90</v>
      </c>
      <c r="U127" s="37"/>
    </row>
    <row r="128" spans="1:21" ht="28.5" customHeight="1">
      <c r="A128" s="37" t="s">
        <v>3081</v>
      </c>
      <c r="B128" s="37" t="s">
        <v>280</v>
      </c>
      <c r="C128" s="37" t="s">
        <v>387</v>
      </c>
      <c r="D128" s="37">
        <v>0</v>
      </c>
      <c r="E128" s="37">
        <v>0.5</v>
      </c>
      <c r="F128" s="37" t="s">
        <v>36</v>
      </c>
      <c r="G128" s="37" t="s">
        <v>49</v>
      </c>
      <c r="H128" s="37"/>
      <c r="I128" s="37"/>
      <c r="J128" s="37">
        <v>40</v>
      </c>
      <c r="K128" s="37">
        <v>400</v>
      </c>
      <c r="L128" s="37" t="s">
        <v>230</v>
      </c>
      <c r="M128" s="37" t="s">
        <v>703</v>
      </c>
      <c r="N128" s="37">
        <v>2000</v>
      </c>
      <c r="O128" s="37" t="s">
        <v>232</v>
      </c>
      <c r="P128" s="37" t="s">
        <v>3009</v>
      </c>
      <c r="Q128" s="37"/>
      <c r="R128" s="37" t="s">
        <v>380</v>
      </c>
      <c r="S128" s="37" t="s">
        <v>222</v>
      </c>
      <c r="T128" s="37">
        <v>40</v>
      </c>
      <c r="U128" s="37">
        <v>400</v>
      </c>
    </row>
    <row r="129" spans="1:21" ht="28.5" customHeight="1">
      <c r="A129" s="37" t="s">
        <v>3082</v>
      </c>
      <c r="B129" s="37" t="s">
        <v>280</v>
      </c>
      <c r="C129" s="37" t="s">
        <v>387</v>
      </c>
      <c r="D129" s="37">
        <v>0.5</v>
      </c>
      <c r="E129" s="37">
        <v>1</v>
      </c>
      <c r="F129" s="37" t="s">
        <v>36</v>
      </c>
      <c r="G129" s="37" t="s">
        <v>49</v>
      </c>
      <c r="H129" s="37"/>
      <c r="I129" s="37"/>
      <c r="J129" s="37">
        <v>50</v>
      </c>
      <c r="K129" s="37">
        <v>400</v>
      </c>
      <c r="L129" s="37" t="s">
        <v>230</v>
      </c>
      <c r="M129" s="37" t="s">
        <v>703</v>
      </c>
      <c r="N129" s="37">
        <v>2000</v>
      </c>
      <c r="O129" s="37" t="s">
        <v>232</v>
      </c>
      <c r="P129" s="37" t="s">
        <v>3009</v>
      </c>
      <c r="Q129" s="37"/>
      <c r="R129" s="37" t="s">
        <v>380</v>
      </c>
      <c r="S129" s="37" t="s">
        <v>222</v>
      </c>
      <c r="T129" s="37">
        <v>50</v>
      </c>
      <c r="U129" s="37">
        <v>400</v>
      </c>
    </row>
    <row r="130" spans="1:21" ht="28.5" customHeight="1">
      <c r="A130" s="37" t="s">
        <v>3083</v>
      </c>
      <c r="B130" s="37" t="s">
        <v>280</v>
      </c>
      <c r="C130" s="37" t="s">
        <v>387</v>
      </c>
      <c r="D130" s="37">
        <v>1</v>
      </c>
      <c r="E130" s="37">
        <v>4</v>
      </c>
      <c r="F130" s="37" t="s">
        <v>36</v>
      </c>
      <c r="G130" s="37" t="s">
        <v>49</v>
      </c>
      <c r="H130" s="37"/>
      <c r="I130" s="37">
        <v>15</v>
      </c>
      <c r="J130" s="37"/>
      <c r="K130" s="37">
        <v>400</v>
      </c>
      <c r="L130" s="37" t="s">
        <v>230</v>
      </c>
      <c r="M130" s="37" t="s">
        <v>703</v>
      </c>
      <c r="N130" s="37">
        <v>2000</v>
      </c>
      <c r="O130" s="37" t="s">
        <v>232</v>
      </c>
      <c r="P130" s="37" t="s">
        <v>3009</v>
      </c>
      <c r="Q130" s="37"/>
      <c r="R130" s="37" t="s">
        <v>379</v>
      </c>
      <c r="S130" s="37" t="s">
        <v>222</v>
      </c>
      <c r="T130" s="37">
        <v>15</v>
      </c>
      <c r="U130" s="37">
        <v>400</v>
      </c>
    </row>
    <row r="131" spans="1:21" ht="28.5" customHeight="1">
      <c r="A131" s="37" t="s">
        <v>3084</v>
      </c>
      <c r="B131" s="37" t="s">
        <v>280</v>
      </c>
      <c r="C131" s="37" t="s">
        <v>387</v>
      </c>
      <c r="D131" s="37">
        <v>4</v>
      </c>
      <c r="E131" s="37">
        <v>9</v>
      </c>
      <c r="F131" s="37" t="s">
        <v>36</v>
      </c>
      <c r="G131" s="37" t="s">
        <v>49</v>
      </c>
      <c r="H131" s="37"/>
      <c r="I131" s="37">
        <v>25</v>
      </c>
      <c r="J131" s="37"/>
      <c r="K131" s="37">
        <v>650</v>
      </c>
      <c r="L131" s="37" t="s">
        <v>230</v>
      </c>
      <c r="M131" s="37" t="s">
        <v>703</v>
      </c>
      <c r="N131" s="37">
        <v>2000</v>
      </c>
      <c r="O131" s="37" t="s">
        <v>232</v>
      </c>
      <c r="P131" s="37" t="s">
        <v>3009</v>
      </c>
      <c r="Q131" s="37"/>
      <c r="R131" s="37" t="s">
        <v>379</v>
      </c>
      <c r="S131" s="37" t="s">
        <v>222</v>
      </c>
      <c r="T131" s="37">
        <v>25</v>
      </c>
      <c r="U131" s="37">
        <v>650</v>
      </c>
    </row>
    <row r="132" spans="1:21" ht="28.5" customHeight="1">
      <c r="A132" s="37" t="s">
        <v>3085</v>
      </c>
      <c r="B132" s="37" t="s">
        <v>280</v>
      </c>
      <c r="C132" s="37" t="s">
        <v>396</v>
      </c>
      <c r="D132" s="37">
        <v>9</v>
      </c>
      <c r="E132" s="37">
        <v>14</v>
      </c>
      <c r="F132" s="37" t="s">
        <v>36</v>
      </c>
      <c r="G132" s="37" t="s">
        <v>49</v>
      </c>
      <c r="H132" s="37"/>
      <c r="I132" s="37">
        <v>45</v>
      </c>
      <c r="J132" s="37"/>
      <c r="K132" s="37">
        <v>1200</v>
      </c>
      <c r="L132" s="37" t="s">
        <v>230</v>
      </c>
      <c r="M132" s="37" t="s">
        <v>703</v>
      </c>
      <c r="N132" s="37">
        <v>2000</v>
      </c>
      <c r="O132" s="37" t="s">
        <v>232</v>
      </c>
      <c r="P132" s="37" t="s">
        <v>3009</v>
      </c>
      <c r="Q132" s="37"/>
      <c r="R132" s="37" t="s">
        <v>379</v>
      </c>
      <c r="S132" s="37" t="s">
        <v>222</v>
      </c>
      <c r="T132" s="37">
        <v>45</v>
      </c>
      <c r="U132" s="37">
        <v>1200</v>
      </c>
    </row>
    <row r="133" spans="1:21" ht="28.5" customHeight="1">
      <c r="A133" s="37" t="s">
        <v>3086</v>
      </c>
      <c r="B133" s="37" t="s">
        <v>280</v>
      </c>
      <c r="C133" s="37" t="s">
        <v>40</v>
      </c>
      <c r="D133" s="37">
        <v>9</v>
      </c>
      <c r="E133" s="37">
        <v>14</v>
      </c>
      <c r="F133" s="37" t="s">
        <v>36</v>
      </c>
      <c r="G133" s="37" t="s">
        <v>49</v>
      </c>
      <c r="H133" s="37"/>
      <c r="I133" s="37">
        <v>45</v>
      </c>
      <c r="J133" s="37"/>
      <c r="K133" s="37">
        <v>1200</v>
      </c>
      <c r="L133" s="37" t="s">
        <v>230</v>
      </c>
      <c r="M133" s="37" t="s">
        <v>703</v>
      </c>
      <c r="N133" s="37">
        <v>2000</v>
      </c>
      <c r="O133" s="37" t="s">
        <v>232</v>
      </c>
      <c r="P133" s="37" t="s">
        <v>3009</v>
      </c>
      <c r="Q133" s="37"/>
      <c r="R133" s="37" t="s">
        <v>379</v>
      </c>
      <c r="S133" s="37" t="s">
        <v>222</v>
      </c>
      <c r="T133" s="37">
        <v>45</v>
      </c>
      <c r="U133" s="37">
        <v>1200</v>
      </c>
    </row>
    <row r="134" spans="1:21" ht="28.5" customHeight="1">
      <c r="A134" s="37" t="s">
        <v>3087</v>
      </c>
      <c r="B134" s="37" t="s">
        <v>280</v>
      </c>
      <c r="C134" s="37" t="s">
        <v>396</v>
      </c>
      <c r="D134" s="37">
        <v>14</v>
      </c>
      <c r="E134" s="37">
        <v>19</v>
      </c>
      <c r="F134" s="37" t="s">
        <v>36</v>
      </c>
      <c r="G134" s="37" t="s">
        <v>49</v>
      </c>
      <c r="H134" s="37"/>
      <c r="I134" s="37">
        <v>75</v>
      </c>
      <c r="J134" s="37"/>
      <c r="K134" s="37">
        <v>1800</v>
      </c>
      <c r="L134" s="37" t="s">
        <v>230</v>
      </c>
      <c r="M134" s="37" t="s">
        <v>703</v>
      </c>
      <c r="N134" s="37">
        <v>2000</v>
      </c>
      <c r="O134" s="37" t="s">
        <v>232</v>
      </c>
      <c r="P134" s="37" t="s">
        <v>3009</v>
      </c>
      <c r="Q134" s="37"/>
      <c r="R134" s="37" t="s">
        <v>379</v>
      </c>
      <c r="S134" s="37" t="s">
        <v>222</v>
      </c>
      <c r="T134" s="37">
        <v>75</v>
      </c>
      <c r="U134" s="37">
        <v>1800</v>
      </c>
    </row>
    <row r="135" spans="1:21" ht="28.5" customHeight="1">
      <c r="A135" s="37" t="s">
        <v>3088</v>
      </c>
      <c r="B135" s="37" t="s">
        <v>280</v>
      </c>
      <c r="C135" s="37" t="s">
        <v>40</v>
      </c>
      <c r="D135" s="37">
        <v>14</v>
      </c>
      <c r="E135" s="37">
        <v>19</v>
      </c>
      <c r="F135" s="37" t="s">
        <v>36</v>
      </c>
      <c r="G135" s="37" t="s">
        <v>49</v>
      </c>
      <c r="H135" s="37"/>
      <c r="I135" s="37">
        <v>65</v>
      </c>
      <c r="J135" s="37"/>
      <c r="K135" s="37">
        <v>1800</v>
      </c>
      <c r="L135" s="37" t="s">
        <v>230</v>
      </c>
      <c r="M135" s="37" t="s">
        <v>703</v>
      </c>
      <c r="N135" s="37">
        <v>2000</v>
      </c>
      <c r="O135" s="37" t="s">
        <v>232</v>
      </c>
      <c r="P135" s="37" t="s">
        <v>3009</v>
      </c>
      <c r="Q135" s="37"/>
      <c r="R135" s="37" t="s">
        <v>379</v>
      </c>
      <c r="S135" s="37" t="s">
        <v>222</v>
      </c>
      <c r="T135" s="37">
        <v>65</v>
      </c>
      <c r="U135" s="37">
        <v>1800</v>
      </c>
    </row>
    <row r="136" spans="1:21" ht="28.5" customHeight="1">
      <c r="A136" s="37" t="s">
        <v>3089</v>
      </c>
      <c r="B136" s="37" t="s">
        <v>280</v>
      </c>
      <c r="C136" s="37" t="s">
        <v>396</v>
      </c>
      <c r="D136" s="37">
        <v>19</v>
      </c>
      <c r="E136" s="37">
        <v>31</v>
      </c>
      <c r="F136" s="37" t="s">
        <v>36</v>
      </c>
      <c r="G136" s="37" t="s">
        <v>49</v>
      </c>
      <c r="H136" s="37"/>
      <c r="I136" s="37">
        <v>90</v>
      </c>
      <c r="J136" s="37"/>
      <c r="K136" s="37">
        <v>2000</v>
      </c>
      <c r="L136" s="37" t="s">
        <v>230</v>
      </c>
      <c r="M136" s="37" t="s">
        <v>703</v>
      </c>
      <c r="N136" s="37">
        <v>2000</v>
      </c>
      <c r="O136" s="37" t="s">
        <v>232</v>
      </c>
      <c r="P136" s="37" t="s">
        <v>3009</v>
      </c>
      <c r="Q136" s="37"/>
      <c r="R136" s="37" t="s">
        <v>379</v>
      </c>
      <c r="S136" s="37" t="s">
        <v>222</v>
      </c>
      <c r="T136" s="37">
        <v>90</v>
      </c>
      <c r="U136" s="37">
        <v>2000</v>
      </c>
    </row>
    <row r="137" spans="1:21" ht="28.5" customHeight="1">
      <c r="A137" s="37" t="s">
        <v>3090</v>
      </c>
      <c r="B137" s="37" t="s">
        <v>280</v>
      </c>
      <c r="C137" s="37" t="s">
        <v>40</v>
      </c>
      <c r="D137" s="37">
        <v>19</v>
      </c>
      <c r="E137" s="37">
        <v>31</v>
      </c>
      <c r="F137" s="37" t="s">
        <v>36</v>
      </c>
      <c r="G137" s="37" t="s">
        <v>49</v>
      </c>
      <c r="H137" s="37"/>
      <c r="I137" s="37">
        <v>75</v>
      </c>
      <c r="J137" s="37"/>
      <c r="K137" s="37">
        <v>2000</v>
      </c>
      <c r="L137" s="37" t="s">
        <v>230</v>
      </c>
      <c r="M137" s="37" t="s">
        <v>703</v>
      </c>
      <c r="N137" s="37">
        <v>2000</v>
      </c>
      <c r="O137" s="37" t="s">
        <v>232</v>
      </c>
      <c r="P137" s="37" t="s">
        <v>3009</v>
      </c>
      <c r="Q137" s="37"/>
      <c r="R137" s="37" t="s">
        <v>379</v>
      </c>
      <c r="S137" s="37" t="s">
        <v>222</v>
      </c>
      <c r="T137" s="37">
        <v>75</v>
      </c>
      <c r="U137" s="37">
        <v>2000</v>
      </c>
    </row>
    <row r="138" spans="1:21" ht="28.5" customHeight="1">
      <c r="A138" s="37" t="s">
        <v>3091</v>
      </c>
      <c r="B138" s="37" t="s">
        <v>280</v>
      </c>
      <c r="C138" s="37" t="s">
        <v>396</v>
      </c>
      <c r="D138" s="37">
        <v>31</v>
      </c>
      <c r="E138" s="37">
        <v>51</v>
      </c>
      <c r="F138" s="37" t="s">
        <v>36</v>
      </c>
      <c r="G138" s="37" t="s">
        <v>49</v>
      </c>
      <c r="H138" s="37"/>
      <c r="I138" s="37">
        <v>90</v>
      </c>
      <c r="J138" s="37"/>
      <c r="K138" s="37">
        <v>2000</v>
      </c>
      <c r="L138" s="37" t="s">
        <v>230</v>
      </c>
      <c r="M138" s="37" t="s">
        <v>703</v>
      </c>
      <c r="N138" s="37">
        <v>2000</v>
      </c>
      <c r="O138" s="37" t="s">
        <v>232</v>
      </c>
      <c r="P138" s="37" t="s">
        <v>3009</v>
      </c>
      <c r="Q138" s="37"/>
      <c r="R138" s="37" t="s">
        <v>379</v>
      </c>
      <c r="S138" s="37" t="s">
        <v>222</v>
      </c>
      <c r="T138" s="37">
        <v>90</v>
      </c>
      <c r="U138" s="37">
        <v>2000</v>
      </c>
    </row>
    <row r="139" spans="1:21" ht="28.5" customHeight="1">
      <c r="A139" s="37" t="s">
        <v>3092</v>
      </c>
      <c r="B139" s="37" t="s">
        <v>280</v>
      </c>
      <c r="C139" s="37" t="s">
        <v>40</v>
      </c>
      <c r="D139" s="37">
        <v>31</v>
      </c>
      <c r="E139" s="37">
        <v>51</v>
      </c>
      <c r="F139" s="37" t="s">
        <v>36</v>
      </c>
      <c r="G139" s="37" t="s">
        <v>49</v>
      </c>
      <c r="H139" s="37"/>
      <c r="I139" s="37">
        <v>75</v>
      </c>
      <c r="J139" s="37"/>
      <c r="K139" s="37">
        <v>2000</v>
      </c>
      <c r="L139" s="37" t="s">
        <v>230</v>
      </c>
      <c r="M139" s="37" t="s">
        <v>703</v>
      </c>
      <c r="N139" s="37">
        <v>2000</v>
      </c>
      <c r="O139" s="37" t="s">
        <v>232</v>
      </c>
      <c r="P139" s="37" t="s">
        <v>3009</v>
      </c>
      <c r="Q139" s="37"/>
      <c r="R139" s="37" t="s">
        <v>379</v>
      </c>
      <c r="S139" s="37" t="s">
        <v>222</v>
      </c>
      <c r="T139" s="37">
        <v>75</v>
      </c>
      <c r="U139" s="37">
        <v>2000</v>
      </c>
    </row>
    <row r="140" spans="1:21" ht="28.5" customHeight="1">
      <c r="A140" s="37" t="s">
        <v>3093</v>
      </c>
      <c r="B140" s="37" t="s">
        <v>280</v>
      </c>
      <c r="C140" s="37" t="s">
        <v>396</v>
      </c>
      <c r="D140" s="37">
        <v>51</v>
      </c>
      <c r="E140" s="37">
        <v>71</v>
      </c>
      <c r="F140" s="37" t="s">
        <v>36</v>
      </c>
      <c r="G140" s="37" t="s">
        <v>49</v>
      </c>
      <c r="H140" s="37"/>
      <c r="I140" s="37">
        <v>90</v>
      </c>
      <c r="J140" s="37"/>
      <c r="K140" s="37">
        <v>2000</v>
      </c>
      <c r="L140" s="37" t="s">
        <v>230</v>
      </c>
      <c r="M140" s="37" t="s">
        <v>703</v>
      </c>
      <c r="N140" s="37">
        <v>2000</v>
      </c>
      <c r="O140" s="37" t="s">
        <v>232</v>
      </c>
      <c r="P140" s="37" t="s">
        <v>3009</v>
      </c>
      <c r="Q140" s="37"/>
      <c r="R140" s="37" t="s">
        <v>379</v>
      </c>
      <c r="S140" s="37" t="s">
        <v>222</v>
      </c>
      <c r="T140" s="37">
        <v>90</v>
      </c>
      <c r="U140" s="37">
        <v>2000</v>
      </c>
    </row>
    <row r="141" spans="1:21" ht="28.5" customHeight="1">
      <c r="A141" s="37" t="s">
        <v>3094</v>
      </c>
      <c r="B141" s="37" t="s">
        <v>280</v>
      </c>
      <c r="C141" s="37" t="s">
        <v>40</v>
      </c>
      <c r="D141" s="37">
        <v>51</v>
      </c>
      <c r="E141" s="37">
        <v>71</v>
      </c>
      <c r="F141" s="37" t="s">
        <v>36</v>
      </c>
      <c r="G141" s="37" t="s">
        <v>49</v>
      </c>
      <c r="H141" s="37"/>
      <c r="I141" s="37">
        <v>75</v>
      </c>
      <c r="J141" s="37"/>
      <c r="K141" s="37">
        <v>2000</v>
      </c>
      <c r="L141" s="37" t="s">
        <v>230</v>
      </c>
      <c r="M141" s="37" t="s">
        <v>703</v>
      </c>
      <c r="N141" s="37">
        <v>2000</v>
      </c>
      <c r="O141" s="37" t="s">
        <v>232</v>
      </c>
      <c r="P141" s="37" t="s">
        <v>3009</v>
      </c>
      <c r="Q141" s="37"/>
      <c r="R141" s="37" t="s">
        <v>379</v>
      </c>
      <c r="S141" s="37" t="s">
        <v>222</v>
      </c>
      <c r="T141" s="37">
        <v>75</v>
      </c>
      <c r="U141" s="37">
        <v>2000</v>
      </c>
    </row>
    <row r="142" spans="1:21" ht="28.5" customHeight="1">
      <c r="A142" s="37" t="s">
        <v>3095</v>
      </c>
      <c r="B142" s="37" t="s">
        <v>280</v>
      </c>
      <c r="C142" s="37" t="s">
        <v>396</v>
      </c>
      <c r="D142" s="37">
        <v>71</v>
      </c>
      <c r="E142" s="37">
        <v>999</v>
      </c>
      <c r="F142" s="37" t="s">
        <v>36</v>
      </c>
      <c r="G142" s="37" t="s">
        <v>49</v>
      </c>
      <c r="H142" s="37"/>
      <c r="I142" s="37">
        <v>90</v>
      </c>
      <c r="J142" s="37"/>
      <c r="K142" s="37">
        <v>2000</v>
      </c>
      <c r="L142" s="37" t="s">
        <v>230</v>
      </c>
      <c r="M142" s="37" t="s">
        <v>703</v>
      </c>
      <c r="N142" s="37">
        <v>2000</v>
      </c>
      <c r="O142" s="37" t="s">
        <v>232</v>
      </c>
      <c r="P142" s="37" t="s">
        <v>3009</v>
      </c>
      <c r="Q142" s="37"/>
      <c r="R142" s="37" t="s">
        <v>379</v>
      </c>
      <c r="S142" s="37" t="s">
        <v>222</v>
      </c>
      <c r="T142" s="37">
        <v>90</v>
      </c>
      <c r="U142" s="37">
        <v>2000</v>
      </c>
    </row>
    <row r="143" spans="1:21" ht="28.5" customHeight="1">
      <c r="A143" s="37" t="s">
        <v>3096</v>
      </c>
      <c r="B143" s="37" t="s">
        <v>280</v>
      </c>
      <c r="C143" s="37" t="s">
        <v>40</v>
      </c>
      <c r="D143" s="37">
        <v>71</v>
      </c>
      <c r="E143" s="37">
        <v>999</v>
      </c>
      <c r="F143" s="37" t="s">
        <v>36</v>
      </c>
      <c r="G143" s="37" t="s">
        <v>49</v>
      </c>
      <c r="H143" s="37"/>
      <c r="I143" s="37">
        <v>75</v>
      </c>
      <c r="J143" s="37"/>
      <c r="K143" s="37">
        <v>2000</v>
      </c>
      <c r="L143" s="37" t="s">
        <v>230</v>
      </c>
      <c r="M143" s="37" t="s">
        <v>703</v>
      </c>
      <c r="N143" s="37">
        <v>2000</v>
      </c>
      <c r="O143" s="37" t="s">
        <v>232</v>
      </c>
      <c r="P143" s="37" t="s">
        <v>3009</v>
      </c>
      <c r="Q143" s="37"/>
      <c r="R143" s="37" t="s">
        <v>379</v>
      </c>
      <c r="S143" s="37" t="s">
        <v>222</v>
      </c>
      <c r="T143" s="37">
        <v>75</v>
      </c>
      <c r="U143" s="37">
        <v>2000</v>
      </c>
    </row>
    <row r="144" spans="1:21" ht="28.5" customHeight="1">
      <c r="A144" s="37" t="s">
        <v>3097</v>
      </c>
      <c r="B144" s="37" t="s">
        <v>280</v>
      </c>
      <c r="C144" s="37" t="s">
        <v>40</v>
      </c>
      <c r="D144" s="37">
        <v>14</v>
      </c>
      <c r="E144" s="37">
        <v>51</v>
      </c>
      <c r="F144" s="37" t="s">
        <v>36</v>
      </c>
      <c r="G144" s="37" t="s">
        <v>414</v>
      </c>
      <c r="H144" s="37"/>
      <c r="I144" s="37">
        <v>85</v>
      </c>
      <c r="J144" s="37"/>
      <c r="K144" s="37">
        <v>2000</v>
      </c>
      <c r="L144" s="37" t="s">
        <v>230</v>
      </c>
      <c r="M144" s="37" t="s">
        <v>703</v>
      </c>
      <c r="N144" s="37">
        <v>2000</v>
      </c>
      <c r="O144" s="37" t="s">
        <v>232</v>
      </c>
      <c r="P144" s="37" t="s">
        <v>3009</v>
      </c>
      <c r="Q144" s="37"/>
      <c r="R144" s="37" t="s">
        <v>379</v>
      </c>
      <c r="S144" s="37" t="s">
        <v>222</v>
      </c>
      <c r="T144" s="37">
        <v>85</v>
      </c>
      <c r="U144" s="37">
        <v>2000</v>
      </c>
    </row>
    <row r="145" spans="1:21" ht="28.5" customHeight="1">
      <c r="A145" s="37" t="s">
        <v>3098</v>
      </c>
      <c r="B145" s="37" t="s">
        <v>280</v>
      </c>
      <c r="C145" s="37" t="s">
        <v>40</v>
      </c>
      <c r="D145" s="37">
        <v>14</v>
      </c>
      <c r="E145" s="37">
        <v>51</v>
      </c>
      <c r="F145" s="37" t="s">
        <v>36</v>
      </c>
      <c r="G145" s="37" t="s">
        <v>416</v>
      </c>
      <c r="H145" s="37"/>
      <c r="I145" s="37">
        <v>120</v>
      </c>
      <c r="J145" s="37"/>
      <c r="K145" s="37">
        <v>2000</v>
      </c>
      <c r="L145" s="37" t="s">
        <v>230</v>
      </c>
      <c r="M145" s="37" t="s">
        <v>703</v>
      </c>
      <c r="N145" s="37">
        <v>2000</v>
      </c>
      <c r="O145" s="37" t="s">
        <v>232</v>
      </c>
      <c r="P145" s="37" t="s">
        <v>3009</v>
      </c>
      <c r="Q145" s="37"/>
      <c r="R145" s="37" t="s">
        <v>379</v>
      </c>
      <c r="S145" s="37" t="s">
        <v>222</v>
      </c>
      <c r="T145" s="37">
        <v>120</v>
      </c>
      <c r="U145" s="37">
        <v>2000</v>
      </c>
    </row>
    <row r="146" spans="1:21" ht="28.5" customHeight="1">
      <c r="A146" s="37" t="s">
        <v>3099</v>
      </c>
      <c r="B146" s="37" t="s">
        <v>285</v>
      </c>
      <c r="C146" s="37" t="s">
        <v>387</v>
      </c>
      <c r="D146" s="37">
        <v>0</v>
      </c>
      <c r="E146" s="37">
        <v>0.5</v>
      </c>
      <c r="F146" s="37" t="s">
        <v>36</v>
      </c>
      <c r="G146" s="37" t="s">
        <v>49</v>
      </c>
      <c r="H146" s="37"/>
      <c r="I146" s="37"/>
      <c r="J146" s="37">
        <v>0.2</v>
      </c>
      <c r="K146" s="37"/>
      <c r="L146" s="37" t="s">
        <v>230</v>
      </c>
      <c r="M146" s="37" t="s">
        <v>703</v>
      </c>
      <c r="N146" s="37">
        <v>1998</v>
      </c>
      <c r="O146" s="37" t="s">
        <v>232</v>
      </c>
      <c r="P146" s="37" t="s">
        <v>3009</v>
      </c>
      <c r="Q146" s="37"/>
      <c r="R146" s="37" t="s">
        <v>380</v>
      </c>
      <c r="S146" s="37"/>
      <c r="T146" s="37">
        <v>0.2</v>
      </c>
      <c r="U146" s="37"/>
    </row>
    <row r="147" spans="1:21" ht="28.5" customHeight="1">
      <c r="A147" s="37" t="s">
        <v>3100</v>
      </c>
      <c r="B147" s="37" t="s">
        <v>285</v>
      </c>
      <c r="C147" s="37" t="s">
        <v>387</v>
      </c>
      <c r="D147" s="37">
        <v>0.5</v>
      </c>
      <c r="E147" s="37">
        <v>1</v>
      </c>
      <c r="F147" s="37" t="s">
        <v>36</v>
      </c>
      <c r="G147" s="37" t="s">
        <v>49</v>
      </c>
      <c r="H147" s="37"/>
      <c r="I147" s="37"/>
      <c r="J147" s="37">
        <v>0.3</v>
      </c>
      <c r="K147" s="37"/>
      <c r="L147" s="37" t="s">
        <v>230</v>
      </c>
      <c r="M147" s="37" t="s">
        <v>703</v>
      </c>
      <c r="N147" s="37">
        <v>1998</v>
      </c>
      <c r="O147" s="37" t="s">
        <v>232</v>
      </c>
      <c r="P147" s="37" t="s">
        <v>3009</v>
      </c>
      <c r="Q147" s="37"/>
      <c r="R147" s="37" t="s">
        <v>380</v>
      </c>
      <c r="S147" s="37"/>
      <c r="T147" s="37">
        <v>0.3</v>
      </c>
      <c r="U147" s="37"/>
    </row>
    <row r="148" spans="1:21" ht="28.5" customHeight="1">
      <c r="A148" s="37" t="s">
        <v>3101</v>
      </c>
      <c r="B148" s="37" t="s">
        <v>285</v>
      </c>
      <c r="C148" s="37" t="s">
        <v>387</v>
      </c>
      <c r="D148" s="37">
        <v>1</v>
      </c>
      <c r="E148" s="37">
        <v>4</v>
      </c>
      <c r="F148" s="37" t="s">
        <v>36</v>
      </c>
      <c r="G148" s="37" t="s">
        <v>49</v>
      </c>
      <c r="H148" s="37"/>
      <c r="I148" s="37">
        <v>0.5</v>
      </c>
      <c r="J148" s="37"/>
      <c r="K148" s="37"/>
      <c r="L148" s="37" t="s">
        <v>230</v>
      </c>
      <c r="M148" s="37" t="s">
        <v>703</v>
      </c>
      <c r="N148" s="37">
        <v>1998</v>
      </c>
      <c r="O148" s="37" t="s">
        <v>232</v>
      </c>
      <c r="P148" s="37" t="s">
        <v>3009</v>
      </c>
      <c r="Q148" s="37"/>
      <c r="R148" s="37" t="s">
        <v>379</v>
      </c>
      <c r="S148" s="37"/>
      <c r="T148" s="37">
        <v>0.5</v>
      </c>
      <c r="U148" s="37"/>
    </row>
    <row r="149" spans="1:21" ht="28.5" customHeight="1">
      <c r="A149" s="37" t="s">
        <v>3102</v>
      </c>
      <c r="B149" s="37" t="s">
        <v>285</v>
      </c>
      <c r="C149" s="37" t="s">
        <v>387</v>
      </c>
      <c r="D149" s="37">
        <v>4</v>
      </c>
      <c r="E149" s="37">
        <v>9</v>
      </c>
      <c r="F149" s="37" t="s">
        <v>36</v>
      </c>
      <c r="G149" s="37" t="s">
        <v>49</v>
      </c>
      <c r="H149" s="37"/>
      <c r="I149" s="37">
        <v>0.6</v>
      </c>
      <c r="J149" s="37"/>
      <c r="K149" s="37"/>
      <c r="L149" s="37" t="s">
        <v>230</v>
      </c>
      <c r="M149" s="37" t="s">
        <v>703</v>
      </c>
      <c r="N149" s="37">
        <v>1998</v>
      </c>
      <c r="O149" s="37" t="s">
        <v>232</v>
      </c>
      <c r="P149" s="37" t="s">
        <v>3009</v>
      </c>
      <c r="Q149" s="37"/>
      <c r="R149" s="37" t="s">
        <v>379</v>
      </c>
      <c r="S149" s="37"/>
      <c r="T149" s="37">
        <v>0.6</v>
      </c>
      <c r="U149" s="37"/>
    </row>
    <row r="150" spans="1:21" ht="28.5" customHeight="1">
      <c r="A150" s="37" t="s">
        <v>3103</v>
      </c>
      <c r="B150" s="37" t="s">
        <v>285</v>
      </c>
      <c r="C150" s="37" t="s">
        <v>396</v>
      </c>
      <c r="D150" s="37">
        <v>9</v>
      </c>
      <c r="E150" s="37">
        <v>14</v>
      </c>
      <c r="F150" s="37" t="s">
        <v>36</v>
      </c>
      <c r="G150" s="37" t="s">
        <v>49</v>
      </c>
      <c r="H150" s="37"/>
      <c r="I150" s="37">
        <v>0.9</v>
      </c>
      <c r="J150" s="37"/>
      <c r="K150" s="37"/>
      <c r="L150" s="37" t="s">
        <v>230</v>
      </c>
      <c r="M150" s="37" t="s">
        <v>703</v>
      </c>
      <c r="N150" s="37">
        <v>1998</v>
      </c>
      <c r="O150" s="37" t="s">
        <v>232</v>
      </c>
      <c r="P150" s="37" t="s">
        <v>3009</v>
      </c>
      <c r="Q150" s="37"/>
      <c r="R150" s="37" t="s">
        <v>379</v>
      </c>
      <c r="S150" s="37"/>
      <c r="T150" s="37">
        <v>0.9</v>
      </c>
      <c r="U150" s="37"/>
    </row>
    <row r="151" spans="1:21" ht="28.5" customHeight="1">
      <c r="A151" s="37" t="s">
        <v>3104</v>
      </c>
      <c r="B151" s="37" t="s">
        <v>285</v>
      </c>
      <c r="C151" s="37" t="s">
        <v>40</v>
      </c>
      <c r="D151" s="37">
        <v>9</v>
      </c>
      <c r="E151" s="37">
        <v>14</v>
      </c>
      <c r="F151" s="37" t="s">
        <v>36</v>
      </c>
      <c r="G151" s="37" t="s">
        <v>49</v>
      </c>
      <c r="H151" s="37"/>
      <c r="I151" s="37">
        <v>0.9</v>
      </c>
      <c r="J151" s="37"/>
      <c r="K151" s="37"/>
      <c r="L151" s="37" t="s">
        <v>230</v>
      </c>
      <c r="M151" s="37" t="s">
        <v>703</v>
      </c>
      <c r="N151" s="37">
        <v>1998</v>
      </c>
      <c r="O151" s="37" t="s">
        <v>232</v>
      </c>
      <c r="P151" s="37" t="s">
        <v>3009</v>
      </c>
      <c r="Q151" s="37"/>
      <c r="R151" s="37" t="s">
        <v>379</v>
      </c>
      <c r="S151" s="37"/>
      <c r="T151" s="37">
        <v>0.9</v>
      </c>
      <c r="U151" s="37"/>
    </row>
    <row r="152" spans="1:21" ht="28.5" customHeight="1">
      <c r="A152" s="37" t="s">
        <v>3105</v>
      </c>
      <c r="B152" s="37" t="s">
        <v>285</v>
      </c>
      <c r="C152" s="37" t="s">
        <v>396</v>
      </c>
      <c r="D152" s="37">
        <v>14</v>
      </c>
      <c r="E152" s="37">
        <v>19</v>
      </c>
      <c r="F152" s="37" t="s">
        <v>36</v>
      </c>
      <c r="G152" s="37" t="s">
        <v>49</v>
      </c>
      <c r="H152" s="37"/>
      <c r="I152" s="37">
        <v>1.2</v>
      </c>
      <c r="J152" s="37"/>
      <c r="K152" s="37"/>
      <c r="L152" s="37" t="s">
        <v>230</v>
      </c>
      <c r="M152" s="37" t="s">
        <v>703</v>
      </c>
      <c r="N152" s="37">
        <v>1998</v>
      </c>
      <c r="O152" s="37" t="s">
        <v>232</v>
      </c>
      <c r="P152" s="37" t="s">
        <v>3009</v>
      </c>
      <c r="Q152" s="37"/>
      <c r="R152" s="37" t="s">
        <v>379</v>
      </c>
      <c r="S152" s="37"/>
      <c r="T152" s="37">
        <v>1.2</v>
      </c>
      <c r="U152" s="37"/>
    </row>
    <row r="153" spans="1:21" ht="28.5" customHeight="1">
      <c r="A153" s="37" t="s">
        <v>3106</v>
      </c>
      <c r="B153" s="37" t="s">
        <v>285</v>
      </c>
      <c r="C153" s="37" t="s">
        <v>40</v>
      </c>
      <c r="D153" s="37">
        <v>14</v>
      </c>
      <c r="E153" s="37">
        <v>19</v>
      </c>
      <c r="F153" s="37" t="s">
        <v>36</v>
      </c>
      <c r="G153" s="37" t="s">
        <v>49</v>
      </c>
      <c r="H153" s="37"/>
      <c r="I153" s="37">
        <v>1</v>
      </c>
      <c r="J153" s="37"/>
      <c r="K153" s="37"/>
      <c r="L153" s="37" t="s">
        <v>230</v>
      </c>
      <c r="M153" s="37" t="s">
        <v>703</v>
      </c>
      <c r="N153" s="37">
        <v>1998</v>
      </c>
      <c r="O153" s="37" t="s">
        <v>232</v>
      </c>
      <c r="P153" s="37" t="s">
        <v>3009</v>
      </c>
      <c r="Q153" s="37"/>
      <c r="R153" s="37" t="s">
        <v>379</v>
      </c>
      <c r="S153" s="37"/>
      <c r="T153" s="37">
        <v>1</v>
      </c>
      <c r="U153" s="37"/>
    </row>
    <row r="154" spans="1:21" ht="28.5" customHeight="1">
      <c r="A154" s="37" t="s">
        <v>3107</v>
      </c>
      <c r="B154" s="37" t="s">
        <v>285</v>
      </c>
      <c r="C154" s="37" t="s">
        <v>396</v>
      </c>
      <c r="D154" s="37">
        <v>19</v>
      </c>
      <c r="E154" s="37">
        <v>31</v>
      </c>
      <c r="F154" s="37" t="s">
        <v>36</v>
      </c>
      <c r="G154" s="37" t="s">
        <v>49</v>
      </c>
      <c r="H154" s="37"/>
      <c r="I154" s="37">
        <v>1.2</v>
      </c>
      <c r="J154" s="37"/>
      <c r="K154" s="37"/>
      <c r="L154" s="37" t="s">
        <v>230</v>
      </c>
      <c r="M154" s="37" t="s">
        <v>703</v>
      </c>
      <c r="N154" s="37">
        <v>1998</v>
      </c>
      <c r="O154" s="37" t="s">
        <v>232</v>
      </c>
      <c r="P154" s="37" t="s">
        <v>3009</v>
      </c>
      <c r="Q154" s="37"/>
      <c r="R154" s="37" t="s">
        <v>379</v>
      </c>
      <c r="S154" s="37"/>
      <c r="T154" s="37">
        <v>1.2</v>
      </c>
      <c r="U154" s="37"/>
    </row>
    <row r="155" spans="1:21" ht="28.5" customHeight="1">
      <c r="A155" s="37" t="s">
        <v>3108</v>
      </c>
      <c r="B155" s="37" t="s">
        <v>285</v>
      </c>
      <c r="C155" s="37" t="s">
        <v>40</v>
      </c>
      <c r="D155" s="37">
        <v>19</v>
      </c>
      <c r="E155" s="37">
        <v>31</v>
      </c>
      <c r="F155" s="37" t="s">
        <v>36</v>
      </c>
      <c r="G155" s="37" t="s">
        <v>49</v>
      </c>
      <c r="H155" s="37"/>
      <c r="I155" s="37">
        <v>1.1000000000000001</v>
      </c>
      <c r="J155" s="37"/>
      <c r="K155" s="37"/>
      <c r="L155" s="37" t="s">
        <v>230</v>
      </c>
      <c r="M155" s="37" t="s">
        <v>703</v>
      </c>
      <c r="N155" s="37">
        <v>1998</v>
      </c>
      <c r="O155" s="37" t="s">
        <v>232</v>
      </c>
      <c r="P155" s="37" t="s">
        <v>3009</v>
      </c>
      <c r="Q155" s="37"/>
      <c r="R155" s="37" t="s">
        <v>379</v>
      </c>
      <c r="S155" s="37"/>
      <c r="T155" s="37">
        <v>1.1000000000000001</v>
      </c>
      <c r="U155" s="37"/>
    </row>
    <row r="156" spans="1:21" ht="28.5" customHeight="1">
      <c r="A156" s="37" t="s">
        <v>3109</v>
      </c>
      <c r="B156" s="37" t="s">
        <v>285</v>
      </c>
      <c r="C156" s="37" t="s">
        <v>396</v>
      </c>
      <c r="D156" s="37">
        <v>31</v>
      </c>
      <c r="E156" s="37">
        <v>51</v>
      </c>
      <c r="F156" s="37" t="s">
        <v>36</v>
      </c>
      <c r="G156" s="37" t="s">
        <v>49</v>
      </c>
      <c r="H156" s="37"/>
      <c r="I156" s="37">
        <v>1.2</v>
      </c>
      <c r="J156" s="37"/>
      <c r="K156" s="37"/>
      <c r="L156" s="37" t="s">
        <v>230</v>
      </c>
      <c r="M156" s="37" t="s">
        <v>703</v>
      </c>
      <c r="N156" s="37">
        <v>1998</v>
      </c>
      <c r="O156" s="37" t="s">
        <v>232</v>
      </c>
      <c r="P156" s="37" t="s">
        <v>3009</v>
      </c>
      <c r="Q156" s="37"/>
      <c r="R156" s="37" t="s">
        <v>379</v>
      </c>
      <c r="S156" s="37"/>
      <c r="T156" s="37">
        <v>1.2</v>
      </c>
      <c r="U156" s="37"/>
    </row>
    <row r="157" spans="1:21" ht="28.5" customHeight="1">
      <c r="A157" s="37" t="s">
        <v>3110</v>
      </c>
      <c r="B157" s="37" t="s">
        <v>285</v>
      </c>
      <c r="C157" s="37" t="s">
        <v>40</v>
      </c>
      <c r="D157" s="37">
        <v>31</v>
      </c>
      <c r="E157" s="37">
        <v>51</v>
      </c>
      <c r="F157" s="37" t="s">
        <v>36</v>
      </c>
      <c r="G157" s="37" t="s">
        <v>49</v>
      </c>
      <c r="H157" s="37"/>
      <c r="I157" s="37">
        <v>1.1000000000000001</v>
      </c>
      <c r="J157" s="37"/>
      <c r="K157" s="37"/>
      <c r="L157" s="37" t="s">
        <v>230</v>
      </c>
      <c r="M157" s="37" t="s">
        <v>703</v>
      </c>
      <c r="N157" s="37">
        <v>1998</v>
      </c>
      <c r="O157" s="37" t="s">
        <v>232</v>
      </c>
      <c r="P157" s="37" t="s">
        <v>3009</v>
      </c>
      <c r="Q157" s="37"/>
      <c r="R157" s="37" t="s">
        <v>379</v>
      </c>
      <c r="S157" s="37"/>
      <c r="T157" s="37">
        <v>1.1000000000000001</v>
      </c>
      <c r="U157" s="37"/>
    </row>
    <row r="158" spans="1:21" ht="28.5" customHeight="1">
      <c r="A158" s="37" t="s">
        <v>3111</v>
      </c>
      <c r="B158" s="37" t="s">
        <v>285</v>
      </c>
      <c r="C158" s="37" t="s">
        <v>396</v>
      </c>
      <c r="D158" s="37">
        <v>51</v>
      </c>
      <c r="E158" s="37">
        <v>71</v>
      </c>
      <c r="F158" s="37" t="s">
        <v>36</v>
      </c>
      <c r="G158" s="37" t="s">
        <v>49</v>
      </c>
      <c r="H158" s="37"/>
      <c r="I158" s="37">
        <v>1.2</v>
      </c>
      <c r="J158" s="37"/>
      <c r="K158" s="37"/>
      <c r="L158" s="37" t="s">
        <v>230</v>
      </c>
      <c r="M158" s="37" t="s">
        <v>703</v>
      </c>
      <c r="N158" s="37">
        <v>1998</v>
      </c>
      <c r="O158" s="37" t="s">
        <v>232</v>
      </c>
      <c r="P158" s="37" t="s">
        <v>3009</v>
      </c>
      <c r="Q158" s="37"/>
      <c r="R158" s="37" t="s">
        <v>379</v>
      </c>
      <c r="S158" s="37"/>
      <c r="T158" s="37">
        <v>1.2</v>
      </c>
      <c r="U158" s="37"/>
    </row>
    <row r="159" spans="1:21" ht="28.5" customHeight="1">
      <c r="A159" s="37" t="s">
        <v>3112</v>
      </c>
      <c r="B159" s="37" t="s">
        <v>285</v>
      </c>
      <c r="C159" s="37" t="s">
        <v>40</v>
      </c>
      <c r="D159" s="37">
        <v>51</v>
      </c>
      <c r="E159" s="37">
        <v>71</v>
      </c>
      <c r="F159" s="37" t="s">
        <v>36</v>
      </c>
      <c r="G159" s="37" t="s">
        <v>49</v>
      </c>
      <c r="H159" s="37"/>
      <c r="I159" s="37">
        <v>1.1000000000000001</v>
      </c>
      <c r="J159" s="37"/>
      <c r="K159" s="37"/>
      <c r="L159" s="37" t="s">
        <v>230</v>
      </c>
      <c r="M159" s="37" t="s">
        <v>703</v>
      </c>
      <c r="N159" s="37">
        <v>1998</v>
      </c>
      <c r="O159" s="37" t="s">
        <v>232</v>
      </c>
      <c r="P159" s="37" t="s">
        <v>3009</v>
      </c>
      <c r="Q159" s="37"/>
      <c r="R159" s="37" t="s">
        <v>379</v>
      </c>
      <c r="S159" s="37"/>
      <c r="T159" s="37">
        <v>1.1000000000000001</v>
      </c>
      <c r="U159" s="37"/>
    </row>
    <row r="160" spans="1:21" ht="28.5" customHeight="1">
      <c r="A160" s="37" t="s">
        <v>3113</v>
      </c>
      <c r="B160" s="37" t="s">
        <v>285</v>
      </c>
      <c r="C160" s="37" t="s">
        <v>396</v>
      </c>
      <c r="D160" s="37">
        <v>71</v>
      </c>
      <c r="E160" s="37">
        <v>999</v>
      </c>
      <c r="F160" s="37" t="s">
        <v>36</v>
      </c>
      <c r="G160" s="37" t="s">
        <v>49</v>
      </c>
      <c r="H160" s="37"/>
      <c r="I160" s="37">
        <v>1.2</v>
      </c>
      <c r="J160" s="37"/>
      <c r="K160" s="37"/>
      <c r="L160" s="37" t="s">
        <v>230</v>
      </c>
      <c r="M160" s="37" t="s">
        <v>703</v>
      </c>
      <c r="N160" s="37">
        <v>1998</v>
      </c>
      <c r="O160" s="37" t="s">
        <v>232</v>
      </c>
      <c r="P160" s="37" t="s">
        <v>3009</v>
      </c>
      <c r="Q160" s="37"/>
      <c r="R160" s="37" t="s">
        <v>379</v>
      </c>
      <c r="S160" s="37"/>
      <c r="T160" s="37">
        <v>1.2</v>
      </c>
      <c r="U160" s="37"/>
    </row>
    <row r="161" spans="1:21" ht="28.5" customHeight="1">
      <c r="A161" s="37" t="s">
        <v>3114</v>
      </c>
      <c r="B161" s="37" t="s">
        <v>285</v>
      </c>
      <c r="C161" s="37" t="s">
        <v>40</v>
      </c>
      <c r="D161" s="37">
        <v>71</v>
      </c>
      <c r="E161" s="37">
        <v>999</v>
      </c>
      <c r="F161" s="37" t="s">
        <v>36</v>
      </c>
      <c r="G161" s="37" t="s">
        <v>49</v>
      </c>
      <c r="H161" s="37"/>
      <c r="I161" s="37">
        <v>1.1000000000000001</v>
      </c>
      <c r="J161" s="37"/>
      <c r="K161" s="37"/>
      <c r="L161" s="37" t="s">
        <v>230</v>
      </c>
      <c r="M161" s="37" t="s">
        <v>703</v>
      </c>
      <c r="N161" s="37">
        <v>1998</v>
      </c>
      <c r="O161" s="37" t="s">
        <v>232</v>
      </c>
      <c r="P161" s="37" t="s">
        <v>3009</v>
      </c>
      <c r="Q161" s="37"/>
      <c r="R161" s="37" t="s">
        <v>379</v>
      </c>
      <c r="S161" s="37"/>
      <c r="T161" s="37">
        <v>1.1000000000000001</v>
      </c>
      <c r="U161" s="37"/>
    </row>
    <row r="162" spans="1:21" ht="28.5" customHeight="1">
      <c r="A162" s="37" t="s">
        <v>3115</v>
      </c>
      <c r="B162" s="37" t="s">
        <v>285</v>
      </c>
      <c r="C162" s="37" t="s">
        <v>40</v>
      </c>
      <c r="D162" s="37">
        <v>14</v>
      </c>
      <c r="E162" s="37">
        <v>51</v>
      </c>
      <c r="F162" s="37" t="s">
        <v>36</v>
      </c>
      <c r="G162" s="37" t="s">
        <v>414</v>
      </c>
      <c r="H162" s="37"/>
      <c r="I162" s="37">
        <v>1.4</v>
      </c>
      <c r="J162" s="37"/>
      <c r="K162" s="37"/>
      <c r="L162" s="37" t="s">
        <v>230</v>
      </c>
      <c r="M162" s="37" t="s">
        <v>703</v>
      </c>
      <c r="N162" s="37">
        <v>1998</v>
      </c>
      <c r="O162" s="37" t="s">
        <v>232</v>
      </c>
      <c r="P162" s="37" t="s">
        <v>3009</v>
      </c>
      <c r="Q162" s="37"/>
      <c r="R162" s="37" t="s">
        <v>379</v>
      </c>
      <c r="S162" s="37"/>
      <c r="T162" s="37">
        <v>1.4</v>
      </c>
      <c r="U162" s="37"/>
    </row>
    <row r="163" spans="1:21" ht="28.5" customHeight="1">
      <c r="A163" s="37" t="s">
        <v>3116</v>
      </c>
      <c r="B163" s="37" t="s">
        <v>285</v>
      </c>
      <c r="C163" s="37" t="s">
        <v>40</v>
      </c>
      <c r="D163" s="37">
        <v>14</v>
      </c>
      <c r="E163" s="37">
        <v>51</v>
      </c>
      <c r="F163" s="37" t="s">
        <v>36</v>
      </c>
      <c r="G163" s="37" t="s">
        <v>416</v>
      </c>
      <c r="H163" s="37"/>
      <c r="I163" s="37">
        <v>1.4</v>
      </c>
      <c r="J163" s="37"/>
      <c r="K163" s="37"/>
      <c r="L163" s="37" t="s">
        <v>230</v>
      </c>
      <c r="M163" s="37" t="s">
        <v>703</v>
      </c>
      <c r="N163" s="37">
        <v>1998</v>
      </c>
      <c r="O163" s="37" t="s">
        <v>232</v>
      </c>
      <c r="P163" s="37" t="s">
        <v>3009</v>
      </c>
      <c r="Q163" s="37"/>
      <c r="R163" s="37" t="s">
        <v>379</v>
      </c>
      <c r="S163" s="37"/>
      <c r="T163" s="37">
        <v>1.4</v>
      </c>
      <c r="U163" s="37"/>
    </row>
    <row r="164" spans="1:21" ht="28.5" customHeight="1">
      <c r="A164" s="37" t="s">
        <v>3117</v>
      </c>
      <c r="B164" s="37" t="s">
        <v>289</v>
      </c>
      <c r="C164" s="37" t="s">
        <v>387</v>
      </c>
      <c r="D164" s="37">
        <v>0</v>
      </c>
      <c r="E164" s="37">
        <v>0.5</v>
      </c>
      <c r="F164" s="37" t="s">
        <v>36</v>
      </c>
      <c r="G164" s="37" t="s">
        <v>49</v>
      </c>
      <c r="H164" s="37"/>
      <c r="I164" s="37"/>
      <c r="J164" s="37">
        <v>0.3</v>
      </c>
      <c r="K164" s="37"/>
      <c r="L164" s="37" t="s">
        <v>230</v>
      </c>
      <c r="M164" s="37" t="s">
        <v>703</v>
      </c>
      <c r="N164" s="37">
        <v>1998</v>
      </c>
      <c r="O164" s="37" t="s">
        <v>232</v>
      </c>
      <c r="P164" s="37" t="s">
        <v>3009</v>
      </c>
      <c r="Q164" s="37"/>
      <c r="R164" s="37" t="s">
        <v>380</v>
      </c>
      <c r="S164" s="37"/>
      <c r="T164" s="37">
        <v>0.3</v>
      </c>
      <c r="U164" s="37"/>
    </row>
    <row r="165" spans="1:21" ht="28.5" customHeight="1">
      <c r="A165" s="37" t="s">
        <v>3118</v>
      </c>
      <c r="B165" s="37" t="s">
        <v>289</v>
      </c>
      <c r="C165" s="37" t="s">
        <v>387</v>
      </c>
      <c r="D165" s="37">
        <v>0.5</v>
      </c>
      <c r="E165" s="37">
        <v>1</v>
      </c>
      <c r="F165" s="37" t="s">
        <v>36</v>
      </c>
      <c r="G165" s="37" t="s">
        <v>49</v>
      </c>
      <c r="H165" s="37"/>
      <c r="I165" s="37"/>
      <c r="J165" s="37">
        <v>0.4</v>
      </c>
      <c r="K165" s="37"/>
      <c r="L165" s="37" t="s">
        <v>230</v>
      </c>
      <c r="M165" s="37" t="s">
        <v>703</v>
      </c>
      <c r="N165" s="37">
        <v>1998</v>
      </c>
      <c r="O165" s="37" t="s">
        <v>232</v>
      </c>
      <c r="P165" s="37" t="s">
        <v>3009</v>
      </c>
      <c r="Q165" s="37"/>
      <c r="R165" s="37" t="s">
        <v>380</v>
      </c>
      <c r="S165" s="37"/>
      <c r="T165" s="37">
        <v>0.4</v>
      </c>
      <c r="U165" s="37"/>
    </row>
    <row r="166" spans="1:21" ht="28.5" customHeight="1">
      <c r="A166" s="37" t="s">
        <v>3119</v>
      </c>
      <c r="B166" s="37" t="s">
        <v>289</v>
      </c>
      <c r="C166" s="37" t="s">
        <v>387</v>
      </c>
      <c r="D166" s="37">
        <v>1</v>
      </c>
      <c r="E166" s="37">
        <v>4</v>
      </c>
      <c r="F166" s="37" t="s">
        <v>36</v>
      </c>
      <c r="G166" s="37" t="s">
        <v>49</v>
      </c>
      <c r="H166" s="37"/>
      <c r="I166" s="37">
        <v>0.5</v>
      </c>
      <c r="J166" s="37"/>
      <c r="K166" s="37"/>
      <c r="L166" s="37" t="s">
        <v>230</v>
      </c>
      <c r="M166" s="37" t="s">
        <v>703</v>
      </c>
      <c r="N166" s="37">
        <v>1998</v>
      </c>
      <c r="O166" s="37" t="s">
        <v>232</v>
      </c>
      <c r="P166" s="37" t="s">
        <v>3009</v>
      </c>
      <c r="Q166" s="37"/>
      <c r="R166" s="37" t="s">
        <v>379</v>
      </c>
      <c r="S166" s="37"/>
      <c r="T166" s="37">
        <v>0.5</v>
      </c>
      <c r="U166" s="37"/>
    </row>
    <row r="167" spans="1:21" ht="28.5" customHeight="1">
      <c r="A167" s="37" t="s">
        <v>3120</v>
      </c>
      <c r="B167" s="37" t="s">
        <v>289</v>
      </c>
      <c r="C167" s="37" t="s">
        <v>387</v>
      </c>
      <c r="D167" s="37">
        <v>4</v>
      </c>
      <c r="E167" s="37">
        <v>9</v>
      </c>
      <c r="F167" s="37" t="s">
        <v>36</v>
      </c>
      <c r="G167" s="37" t="s">
        <v>49</v>
      </c>
      <c r="H167" s="37"/>
      <c r="I167" s="37">
        <v>0.6</v>
      </c>
      <c r="J167" s="37"/>
      <c r="K167" s="37"/>
      <c r="L167" s="37" t="s">
        <v>230</v>
      </c>
      <c r="M167" s="37" t="s">
        <v>703</v>
      </c>
      <c r="N167" s="37">
        <v>1998</v>
      </c>
      <c r="O167" s="37" t="s">
        <v>232</v>
      </c>
      <c r="P167" s="37" t="s">
        <v>3009</v>
      </c>
      <c r="Q167" s="37"/>
      <c r="R167" s="37" t="s">
        <v>379</v>
      </c>
      <c r="S167" s="37"/>
      <c r="T167" s="37">
        <v>0.6</v>
      </c>
      <c r="U167" s="37"/>
    </row>
    <row r="168" spans="1:21" ht="28.5" customHeight="1">
      <c r="A168" s="37" t="s">
        <v>3121</v>
      </c>
      <c r="B168" s="37" t="s">
        <v>289</v>
      </c>
      <c r="C168" s="37" t="s">
        <v>396</v>
      </c>
      <c r="D168" s="37">
        <v>9</v>
      </c>
      <c r="E168" s="37">
        <v>14</v>
      </c>
      <c r="F168" s="37" t="s">
        <v>36</v>
      </c>
      <c r="G168" s="37" t="s">
        <v>49</v>
      </c>
      <c r="H168" s="37"/>
      <c r="I168" s="37">
        <v>0.9</v>
      </c>
      <c r="J168" s="37"/>
      <c r="K168" s="37"/>
      <c r="L168" s="37" t="s">
        <v>230</v>
      </c>
      <c r="M168" s="37" t="s">
        <v>703</v>
      </c>
      <c r="N168" s="37">
        <v>1998</v>
      </c>
      <c r="O168" s="37" t="s">
        <v>232</v>
      </c>
      <c r="P168" s="37" t="s">
        <v>3009</v>
      </c>
      <c r="Q168" s="37"/>
      <c r="R168" s="37" t="s">
        <v>379</v>
      </c>
      <c r="S168" s="37"/>
      <c r="T168" s="37">
        <v>0.9</v>
      </c>
      <c r="U168" s="37"/>
    </row>
    <row r="169" spans="1:21" ht="28.5" customHeight="1">
      <c r="A169" s="37" t="s">
        <v>3122</v>
      </c>
      <c r="B169" s="37" t="s">
        <v>289</v>
      </c>
      <c r="C169" s="37" t="s">
        <v>40</v>
      </c>
      <c r="D169" s="37">
        <v>9</v>
      </c>
      <c r="E169" s="37">
        <v>14</v>
      </c>
      <c r="F169" s="37" t="s">
        <v>36</v>
      </c>
      <c r="G169" s="37" t="s">
        <v>49</v>
      </c>
      <c r="H169" s="37"/>
      <c r="I169" s="37">
        <v>0.9</v>
      </c>
      <c r="J169" s="37"/>
      <c r="K169" s="37"/>
      <c r="L169" s="37" t="s">
        <v>230</v>
      </c>
      <c r="M169" s="37" t="s">
        <v>703</v>
      </c>
      <c r="N169" s="37">
        <v>1998</v>
      </c>
      <c r="O169" s="37" t="s">
        <v>232</v>
      </c>
      <c r="P169" s="37" t="s">
        <v>3009</v>
      </c>
      <c r="Q169" s="37"/>
      <c r="R169" s="37" t="s">
        <v>379</v>
      </c>
      <c r="S169" s="37"/>
      <c r="T169" s="37">
        <v>0.9</v>
      </c>
      <c r="U169" s="37"/>
    </row>
    <row r="170" spans="1:21" ht="28.5" customHeight="1">
      <c r="A170" s="37" t="s">
        <v>3123</v>
      </c>
      <c r="B170" s="37" t="s">
        <v>289</v>
      </c>
      <c r="C170" s="37" t="s">
        <v>396</v>
      </c>
      <c r="D170" s="37">
        <v>14</v>
      </c>
      <c r="E170" s="37">
        <v>19</v>
      </c>
      <c r="F170" s="37" t="s">
        <v>36</v>
      </c>
      <c r="G170" s="37" t="s">
        <v>49</v>
      </c>
      <c r="H170" s="37"/>
      <c r="I170" s="37">
        <v>1.3</v>
      </c>
      <c r="J170" s="37"/>
      <c r="K170" s="37"/>
      <c r="L170" s="37" t="s">
        <v>230</v>
      </c>
      <c r="M170" s="37" t="s">
        <v>703</v>
      </c>
      <c r="N170" s="37">
        <v>1998</v>
      </c>
      <c r="O170" s="37" t="s">
        <v>232</v>
      </c>
      <c r="P170" s="37" t="s">
        <v>3009</v>
      </c>
      <c r="Q170" s="37"/>
      <c r="R170" s="37" t="s">
        <v>379</v>
      </c>
      <c r="S170" s="37"/>
      <c r="T170" s="37">
        <v>1.3</v>
      </c>
      <c r="U170" s="37"/>
    </row>
    <row r="171" spans="1:21" ht="28.5" customHeight="1">
      <c r="A171" s="37" t="s">
        <v>3124</v>
      </c>
      <c r="B171" s="37" t="s">
        <v>289</v>
      </c>
      <c r="C171" s="37" t="s">
        <v>40</v>
      </c>
      <c r="D171" s="37">
        <v>14</v>
      </c>
      <c r="E171" s="37">
        <v>19</v>
      </c>
      <c r="F171" s="37" t="s">
        <v>36</v>
      </c>
      <c r="G171" s="37" t="s">
        <v>49</v>
      </c>
      <c r="H171" s="37"/>
      <c r="I171" s="37">
        <v>1</v>
      </c>
      <c r="J171" s="37"/>
      <c r="K171" s="37"/>
      <c r="L171" s="37" t="s">
        <v>230</v>
      </c>
      <c r="M171" s="37" t="s">
        <v>703</v>
      </c>
      <c r="N171" s="37">
        <v>1998</v>
      </c>
      <c r="O171" s="37" t="s">
        <v>232</v>
      </c>
      <c r="P171" s="37" t="s">
        <v>3009</v>
      </c>
      <c r="Q171" s="37"/>
      <c r="R171" s="37" t="s">
        <v>379</v>
      </c>
      <c r="S171" s="37"/>
      <c r="T171" s="37">
        <v>1</v>
      </c>
      <c r="U171" s="37"/>
    </row>
    <row r="172" spans="1:21" ht="28.5" customHeight="1">
      <c r="A172" s="37" t="s">
        <v>3125</v>
      </c>
      <c r="B172" s="37" t="s">
        <v>289</v>
      </c>
      <c r="C172" s="37" t="s">
        <v>396</v>
      </c>
      <c r="D172" s="37">
        <v>19</v>
      </c>
      <c r="E172" s="37">
        <v>31</v>
      </c>
      <c r="F172" s="37" t="s">
        <v>36</v>
      </c>
      <c r="G172" s="37" t="s">
        <v>49</v>
      </c>
      <c r="H172" s="37"/>
      <c r="I172" s="37">
        <v>1.3</v>
      </c>
      <c r="J172" s="37"/>
      <c r="K172" s="37"/>
      <c r="L172" s="37" t="s">
        <v>230</v>
      </c>
      <c r="M172" s="37" t="s">
        <v>703</v>
      </c>
      <c r="N172" s="37">
        <v>1998</v>
      </c>
      <c r="O172" s="37" t="s">
        <v>232</v>
      </c>
      <c r="P172" s="37" t="s">
        <v>3009</v>
      </c>
      <c r="Q172" s="37"/>
      <c r="R172" s="37" t="s">
        <v>379</v>
      </c>
      <c r="S172" s="37"/>
      <c r="T172" s="37">
        <v>1.3</v>
      </c>
      <c r="U172" s="37"/>
    </row>
    <row r="173" spans="1:21" ht="28.5" customHeight="1">
      <c r="A173" s="37" t="s">
        <v>3126</v>
      </c>
      <c r="B173" s="37" t="s">
        <v>289</v>
      </c>
      <c r="C173" s="37" t="s">
        <v>40</v>
      </c>
      <c r="D173" s="37">
        <v>19</v>
      </c>
      <c r="E173" s="37">
        <v>31</v>
      </c>
      <c r="F173" s="37" t="s">
        <v>36</v>
      </c>
      <c r="G173" s="37" t="s">
        <v>49</v>
      </c>
      <c r="H173" s="37"/>
      <c r="I173" s="37">
        <v>1.1000000000000001</v>
      </c>
      <c r="J173" s="37"/>
      <c r="K173" s="37"/>
      <c r="L173" s="37" t="s">
        <v>230</v>
      </c>
      <c r="M173" s="37" t="s">
        <v>703</v>
      </c>
      <c r="N173" s="37">
        <v>1998</v>
      </c>
      <c r="O173" s="37" t="s">
        <v>232</v>
      </c>
      <c r="P173" s="37" t="s">
        <v>3009</v>
      </c>
      <c r="Q173" s="37"/>
      <c r="R173" s="37" t="s">
        <v>379</v>
      </c>
      <c r="S173" s="37"/>
      <c r="T173" s="37">
        <v>1.1000000000000001</v>
      </c>
      <c r="U173" s="37"/>
    </row>
    <row r="174" spans="1:21" ht="28.5" customHeight="1">
      <c r="A174" s="37" t="s">
        <v>3127</v>
      </c>
      <c r="B174" s="37" t="s">
        <v>289</v>
      </c>
      <c r="C174" s="37" t="s">
        <v>396</v>
      </c>
      <c r="D174" s="37">
        <v>31</v>
      </c>
      <c r="E174" s="37">
        <v>51</v>
      </c>
      <c r="F174" s="37" t="s">
        <v>36</v>
      </c>
      <c r="G174" s="37" t="s">
        <v>49</v>
      </c>
      <c r="H174" s="37"/>
      <c r="I174" s="37">
        <v>1.3</v>
      </c>
      <c r="J174" s="37"/>
      <c r="K174" s="37"/>
      <c r="L174" s="37" t="s">
        <v>230</v>
      </c>
      <c r="M174" s="37" t="s">
        <v>703</v>
      </c>
      <c r="N174" s="37">
        <v>1998</v>
      </c>
      <c r="O174" s="37" t="s">
        <v>232</v>
      </c>
      <c r="P174" s="37" t="s">
        <v>3009</v>
      </c>
      <c r="Q174" s="37"/>
      <c r="R174" s="37" t="s">
        <v>379</v>
      </c>
      <c r="S174" s="37"/>
      <c r="T174" s="37">
        <v>1.3</v>
      </c>
      <c r="U174" s="37"/>
    </row>
    <row r="175" spans="1:21" ht="28.5" customHeight="1">
      <c r="A175" s="37" t="s">
        <v>3128</v>
      </c>
      <c r="B175" s="37" t="s">
        <v>289</v>
      </c>
      <c r="C175" s="37" t="s">
        <v>40</v>
      </c>
      <c r="D175" s="37">
        <v>31</v>
      </c>
      <c r="E175" s="37">
        <v>51</v>
      </c>
      <c r="F175" s="37" t="s">
        <v>36</v>
      </c>
      <c r="G175" s="37" t="s">
        <v>49</v>
      </c>
      <c r="H175" s="37"/>
      <c r="I175" s="37">
        <v>1.1000000000000001</v>
      </c>
      <c r="J175" s="37"/>
      <c r="K175" s="37"/>
      <c r="L175" s="37" t="s">
        <v>230</v>
      </c>
      <c r="M175" s="37" t="s">
        <v>703</v>
      </c>
      <c r="N175" s="37">
        <v>1998</v>
      </c>
      <c r="O175" s="37" t="s">
        <v>232</v>
      </c>
      <c r="P175" s="37" t="s">
        <v>3009</v>
      </c>
      <c r="Q175" s="37"/>
      <c r="R175" s="37" t="s">
        <v>379</v>
      </c>
      <c r="S175" s="37"/>
      <c r="T175" s="37">
        <v>1.1000000000000001</v>
      </c>
      <c r="U175" s="37"/>
    </row>
    <row r="176" spans="1:21" ht="28.5" customHeight="1">
      <c r="A176" s="37" t="s">
        <v>3129</v>
      </c>
      <c r="B176" s="37" t="s">
        <v>289</v>
      </c>
      <c r="C176" s="37" t="s">
        <v>396</v>
      </c>
      <c r="D176" s="37">
        <v>51</v>
      </c>
      <c r="E176" s="37">
        <v>71</v>
      </c>
      <c r="F176" s="37" t="s">
        <v>36</v>
      </c>
      <c r="G176" s="37" t="s">
        <v>49</v>
      </c>
      <c r="H176" s="37"/>
      <c r="I176" s="37">
        <v>1.3</v>
      </c>
      <c r="J176" s="37"/>
      <c r="K176" s="37"/>
      <c r="L176" s="37" t="s">
        <v>230</v>
      </c>
      <c r="M176" s="37" t="s">
        <v>703</v>
      </c>
      <c r="N176" s="37">
        <v>1998</v>
      </c>
      <c r="O176" s="37" t="s">
        <v>232</v>
      </c>
      <c r="P176" s="37" t="s">
        <v>3009</v>
      </c>
      <c r="Q176" s="37"/>
      <c r="R176" s="37" t="s">
        <v>379</v>
      </c>
      <c r="S176" s="37"/>
      <c r="T176" s="37">
        <v>1.3</v>
      </c>
      <c r="U176" s="37"/>
    </row>
    <row r="177" spans="1:21" ht="28.5" customHeight="1">
      <c r="A177" s="37" t="s">
        <v>3130</v>
      </c>
      <c r="B177" s="37" t="s">
        <v>289</v>
      </c>
      <c r="C177" s="37" t="s">
        <v>40</v>
      </c>
      <c r="D177" s="37">
        <v>51</v>
      </c>
      <c r="E177" s="37">
        <v>71</v>
      </c>
      <c r="F177" s="37" t="s">
        <v>36</v>
      </c>
      <c r="G177" s="37" t="s">
        <v>49</v>
      </c>
      <c r="H177" s="37"/>
      <c r="I177" s="37">
        <v>1.1000000000000001</v>
      </c>
      <c r="J177" s="37"/>
      <c r="K177" s="37"/>
      <c r="L177" s="37" t="s">
        <v>230</v>
      </c>
      <c r="M177" s="37" t="s">
        <v>703</v>
      </c>
      <c r="N177" s="37">
        <v>1998</v>
      </c>
      <c r="O177" s="37" t="s">
        <v>232</v>
      </c>
      <c r="P177" s="37" t="s">
        <v>3009</v>
      </c>
      <c r="Q177" s="37"/>
      <c r="R177" s="37" t="s">
        <v>379</v>
      </c>
      <c r="S177" s="37"/>
      <c r="T177" s="37">
        <v>1.1000000000000001</v>
      </c>
      <c r="U177" s="37"/>
    </row>
    <row r="178" spans="1:21" ht="28.5" customHeight="1">
      <c r="A178" s="37" t="s">
        <v>3131</v>
      </c>
      <c r="B178" s="37" t="s">
        <v>289</v>
      </c>
      <c r="C178" s="37" t="s">
        <v>396</v>
      </c>
      <c r="D178" s="37">
        <v>71</v>
      </c>
      <c r="E178" s="37">
        <v>999</v>
      </c>
      <c r="F178" s="37" t="s">
        <v>36</v>
      </c>
      <c r="G178" s="37" t="s">
        <v>49</v>
      </c>
      <c r="H178" s="37"/>
      <c r="I178" s="37">
        <v>1.3</v>
      </c>
      <c r="J178" s="37"/>
      <c r="K178" s="37"/>
      <c r="L178" s="37" t="s">
        <v>230</v>
      </c>
      <c r="M178" s="37" t="s">
        <v>703</v>
      </c>
      <c r="N178" s="37">
        <v>1998</v>
      </c>
      <c r="O178" s="37" t="s">
        <v>232</v>
      </c>
      <c r="P178" s="37" t="s">
        <v>3009</v>
      </c>
      <c r="Q178" s="37"/>
      <c r="R178" s="37" t="s">
        <v>379</v>
      </c>
      <c r="S178" s="37"/>
      <c r="T178" s="37">
        <v>1.3</v>
      </c>
      <c r="U178" s="37"/>
    </row>
    <row r="179" spans="1:21" ht="28.5" customHeight="1">
      <c r="A179" s="37" t="s">
        <v>3132</v>
      </c>
      <c r="B179" s="37" t="s">
        <v>289</v>
      </c>
      <c r="C179" s="37" t="s">
        <v>40</v>
      </c>
      <c r="D179" s="37">
        <v>71</v>
      </c>
      <c r="E179" s="37">
        <v>999</v>
      </c>
      <c r="F179" s="37" t="s">
        <v>36</v>
      </c>
      <c r="G179" s="37" t="s">
        <v>49</v>
      </c>
      <c r="H179" s="37"/>
      <c r="I179" s="37">
        <v>1.1000000000000001</v>
      </c>
      <c r="J179" s="37"/>
      <c r="K179" s="37"/>
      <c r="L179" s="37" t="s">
        <v>230</v>
      </c>
      <c r="M179" s="37" t="s">
        <v>703</v>
      </c>
      <c r="N179" s="37">
        <v>1998</v>
      </c>
      <c r="O179" s="37" t="s">
        <v>232</v>
      </c>
      <c r="P179" s="37" t="s">
        <v>3009</v>
      </c>
      <c r="Q179" s="37"/>
      <c r="R179" s="37" t="s">
        <v>379</v>
      </c>
      <c r="S179" s="37"/>
      <c r="T179" s="37">
        <v>1.1000000000000001</v>
      </c>
      <c r="U179" s="37"/>
    </row>
    <row r="180" spans="1:21" ht="28.5" customHeight="1">
      <c r="A180" s="37" t="s">
        <v>3133</v>
      </c>
      <c r="B180" s="37" t="s">
        <v>289</v>
      </c>
      <c r="C180" s="37" t="s">
        <v>40</v>
      </c>
      <c r="D180" s="37">
        <v>14</v>
      </c>
      <c r="E180" s="37">
        <v>51</v>
      </c>
      <c r="F180" s="37" t="s">
        <v>36</v>
      </c>
      <c r="G180" s="37" t="s">
        <v>414</v>
      </c>
      <c r="H180" s="37"/>
      <c r="I180" s="37">
        <v>1.4</v>
      </c>
      <c r="J180" s="37"/>
      <c r="K180" s="37"/>
      <c r="L180" s="37" t="s">
        <v>230</v>
      </c>
      <c r="M180" s="37" t="s">
        <v>703</v>
      </c>
      <c r="N180" s="37">
        <v>1998</v>
      </c>
      <c r="O180" s="37" t="s">
        <v>232</v>
      </c>
      <c r="P180" s="37" t="s">
        <v>3009</v>
      </c>
      <c r="Q180" s="37"/>
      <c r="R180" s="37" t="s">
        <v>379</v>
      </c>
      <c r="S180" s="37"/>
      <c r="T180" s="37">
        <v>1.4</v>
      </c>
      <c r="U180" s="37"/>
    </row>
    <row r="181" spans="1:21" ht="28.5" customHeight="1">
      <c r="A181" s="37" t="s">
        <v>3134</v>
      </c>
      <c r="B181" s="37" t="s">
        <v>289</v>
      </c>
      <c r="C181" s="37" t="s">
        <v>40</v>
      </c>
      <c r="D181" s="37">
        <v>14</v>
      </c>
      <c r="E181" s="37">
        <v>51</v>
      </c>
      <c r="F181" s="37" t="s">
        <v>36</v>
      </c>
      <c r="G181" s="37" t="s">
        <v>416</v>
      </c>
      <c r="H181" s="37"/>
      <c r="I181" s="37">
        <v>1.6</v>
      </c>
      <c r="J181" s="37"/>
      <c r="K181" s="37"/>
      <c r="L181" s="37" t="s">
        <v>230</v>
      </c>
      <c r="M181" s="37" t="s">
        <v>703</v>
      </c>
      <c r="N181" s="37">
        <v>1998</v>
      </c>
      <c r="O181" s="37" t="s">
        <v>232</v>
      </c>
      <c r="P181" s="37" t="s">
        <v>3009</v>
      </c>
      <c r="Q181" s="37"/>
      <c r="R181" s="37" t="s">
        <v>379</v>
      </c>
      <c r="S181" s="37"/>
      <c r="T181" s="37">
        <v>1.6</v>
      </c>
      <c r="U181" s="37"/>
    </row>
    <row r="182" spans="1:21" ht="28.5" customHeight="1">
      <c r="A182" s="37" t="s">
        <v>3135</v>
      </c>
      <c r="B182" s="37" t="s">
        <v>292</v>
      </c>
      <c r="C182" s="37" t="s">
        <v>387</v>
      </c>
      <c r="D182" s="37">
        <v>0</v>
      </c>
      <c r="E182" s="37">
        <v>0.5</v>
      </c>
      <c r="F182" s="37" t="s">
        <v>36</v>
      </c>
      <c r="G182" s="37" t="s">
        <v>49</v>
      </c>
      <c r="H182" s="37"/>
      <c r="I182" s="37"/>
      <c r="J182" s="37">
        <v>2</v>
      </c>
      <c r="K182" s="37"/>
      <c r="L182" s="37" t="s">
        <v>295</v>
      </c>
      <c r="M182" s="37" t="s">
        <v>703</v>
      </c>
      <c r="N182" s="37">
        <v>1998</v>
      </c>
      <c r="O182" s="37" t="s">
        <v>232</v>
      </c>
      <c r="P182" s="37" t="s">
        <v>3009</v>
      </c>
      <c r="Q182" s="37"/>
      <c r="R182" s="37" t="s">
        <v>380</v>
      </c>
      <c r="S182" s="37"/>
      <c r="T182" s="37">
        <v>2</v>
      </c>
      <c r="U182" s="37"/>
    </row>
    <row r="183" spans="1:21" ht="28.5" customHeight="1">
      <c r="A183" s="37" t="s">
        <v>3136</v>
      </c>
      <c r="B183" s="37" t="s">
        <v>292</v>
      </c>
      <c r="C183" s="37" t="s">
        <v>387</v>
      </c>
      <c r="D183" s="37">
        <v>0.5</v>
      </c>
      <c r="E183" s="37">
        <v>1</v>
      </c>
      <c r="F183" s="37" t="s">
        <v>36</v>
      </c>
      <c r="G183" s="37" t="s">
        <v>49</v>
      </c>
      <c r="H183" s="37"/>
      <c r="I183" s="37"/>
      <c r="J183" s="37">
        <v>4</v>
      </c>
      <c r="K183" s="37"/>
      <c r="L183" s="37" t="s">
        <v>295</v>
      </c>
      <c r="M183" s="37" t="s">
        <v>703</v>
      </c>
      <c r="N183" s="37">
        <v>1998</v>
      </c>
      <c r="O183" s="37" t="s">
        <v>232</v>
      </c>
      <c r="P183" s="37" t="s">
        <v>3009</v>
      </c>
      <c r="Q183" s="37"/>
      <c r="R183" s="37" t="s">
        <v>380</v>
      </c>
      <c r="S183" s="37"/>
      <c r="T183" s="37">
        <v>4</v>
      </c>
      <c r="U183" s="37"/>
    </row>
    <row r="184" spans="1:21" ht="28.5" customHeight="1">
      <c r="A184" s="37" t="s">
        <v>3137</v>
      </c>
      <c r="B184" s="37" t="s">
        <v>292</v>
      </c>
      <c r="C184" s="37" t="s">
        <v>387</v>
      </c>
      <c r="D184" s="37">
        <v>1</v>
      </c>
      <c r="E184" s="37">
        <v>4</v>
      </c>
      <c r="F184" s="37" t="s">
        <v>36</v>
      </c>
      <c r="G184" s="37" t="s">
        <v>49</v>
      </c>
      <c r="H184" s="37"/>
      <c r="I184" s="37">
        <v>6</v>
      </c>
      <c r="J184" s="37"/>
      <c r="K184" s="37">
        <v>10</v>
      </c>
      <c r="L184" s="37" t="s">
        <v>295</v>
      </c>
      <c r="M184" s="37" t="s">
        <v>703</v>
      </c>
      <c r="N184" s="37">
        <v>1998</v>
      </c>
      <c r="O184" s="37" t="s">
        <v>232</v>
      </c>
      <c r="P184" s="37" t="s">
        <v>3009</v>
      </c>
      <c r="Q184" s="37"/>
      <c r="R184" s="37" t="s">
        <v>379</v>
      </c>
      <c r="S184" s="37" t="s">
        <v>222</v>
      </c>
      <c r="T184" s="37">
        <v>6</v>
      </c>
      <c r="U184" s="37">
        <v>10</v>
      </c>
    </row>
    <row r="185" spans="1:21" ht="28.5" customHeight="1">
      <c r="A185" s="37" t="s">
        <v>3138</v>
      </c>
      <c r="B185" s="37" t="s">
        <v>292</v>
      </c>
      <c r="C185" s="37" t="s">
        <v>387</v>
      </c>
      <c r="D185" s="37">
        <v>4</v>
      </c>
      <c r="E185" s="37">
        <v>9</v>
      </c>
      <c r="F185" s="37" t="s">
        <v>36</v>
      </c>
      <c r="G185" s="37" t="s">
        <v>49</v>
      </c>
      <c r="H185" s="37"/>
      <c r="I185" s="37">
        <v>8</v>
      </c>
      <c r="J185" s="37"/>
      <c r="K185" s="37">
        <v>15</v>
      </c>
      <c r="L185" s="37" t="s">
        <v>295</v>
      </c>
      <c r="M185" s="37" t="s">
        <v>703</v>
      </c>
      <c r="N185" s="37">
        <v>1998</v>
      </c>
      <c r="O185" s="37" t="s">
        <v>232</v>
      </c>
      <c r="P185" s="37" t="s">
        <v>3009</v>
      </c>
      <c r="Q185" s="37"/>
      <c r="R185" s="37" t="s">
        <v>379</v>
      </c>
      <c r="S185" s="37" t="s">
        <v>222</v>
      </c>
      <c r="T185" s="37">
        <v>8</v>
      </c>
      <c r="U185" s="37">
        <v>15</v>
      </c>
    </row>
    <row r="186" spans="1:21" ht="28.5" customHeight="1">
      <c r="A186" s="37" t="s">
        <v>3139</v>
      </c>
      <c r="B186" s="37" t="s">
        <v>292</v>
      </c>
      <c r="C186" s="37" t="s">
        <v>396</v>
      </c>
      <c r="D186" s="37">
        <v>9</v>
      </c>
      <c r="E186" s="37">
        <v>14</v>
      </c>
      <c r="F186" s="37" t="s">
        <v>36</v>
      </c>
      <c r="G186" s="37" t="s">
        <v>49</v>
      </c>
      <c r="H186" s="37"/>
      <c r="I186" s="37">
        <v>12</v>
      </c>
      <c r="J186" s="37"/>
      <c r="K186" s="37">
        <v>20</v>
      </c>
      <c r="L186" s="37" t="s">
        <v>295</v>
      </c>
      <c r="M186" s="37" t="s">
        <v>703</v>
      </c>
      <c r="N186" s="37">
        <v>1998</v>
      </c>
      <c r="O186" s="37" t="s">
        <v>232</v>
      </c>
      <c r="P186" s="37" t="s">
        <v>3009</v>
      </c>
      <c r="Q186" s="37"/>
      <c r="R186" s="37" t="s">
        <v>379</v>
      </c>
      <c r="S186" s="37" t="s">
        <v>222</v>
      </c>
      <c r="T186" s="37">
        <v>12</v>
      </c>
      <c r="U186" s="37">
        <v>20</v>
      </c>
    </row>
    <row r="187" spans="1:21" ht="28.5" customHeight="1">
      <c r="A187" s="37" t="s">
        <v>3140</v>
      </c>
      <c r="B187" s="37" t="s">
        <v>292</v>
      </c>
      <c r="C187" s="37" t="s">
        <v>40</v>
      </c>
      <c r="D187" s="37">
        <v>9</v>
      </c>
      <c r="E187" s="37">
        <v>14</v>
      </c>
      <c r="F187" s="37" t="s">
        <v>36</v>
      </c>
      <c r="G187" s="37" t="s">
        <v>49</v>
      </c>
      <c r="H187" s="37"/>
      <c r="I187" s="37">
        <v>12</v>
      </c>
      <c r="J187" s="37"/>
      <c r="K187" s="37">
        <v>20</v>
      </c>
      <c r="L187" s="37" t="s">
        <v>295</v>
      </c>
      <c r="M187" s="37" t="s">
        <v>703</v>
      </c>
      <c r="N187" s="37">
        <v>1998</v>
      </c>
      <c r="O187" s="37" t="s">
        <v>232</v>
      </c>
      <c r="P187" s="37" t="s">
        <v>3009</v>
      </c>
      <c r="Q187" s="37"/>
      <c r="R187" s="37" t="s">
        <v>379</v>
      </c>
      <c r="S187" s="37" t="s">
        <v>222</v>
      </c>
      <c r="T187" s="37">
        <v>12</v>
      </c>
      <c r="U187" s="37">
        <v>20</v>
      </c>
    </row>
    <row r="188" spans="1:21" ht="28.5" customHeight="1">
      <c r="A188" s="37" t="s">
        <v>3141</v>
      </c>
      <c r="B188" s="37" t="s">
        <v>292</v>
      </c>
      <c r="C188" s="37" t="s">
        <v>396</v>
      </c>
      <c r="D188" s="37">
        <v>14</v>
      </c>
      <c r="E188" s="37">
        <v>19</v>
      </c>
      <c r="F188" s="37" t="s">
        <v>36</v>
      </c>
      <c r="G188" s="37" t="s">
        <v>49</v>
      </c>
      <c r="H188" s="37"/>
      <c r="I188" s="37">
        <v>16</v>
      </c>
      <c r="J188" s="37"/>
      <c r="K188" s="37">
        <v>30</v>
      </c>
      <c r="L188" s="37" t="s">
        <v>295</v>
      </c>
      <c r="M188" s="37" t="s">
        <v>703</v>
      </c>
      <c r="N188" s="37">
        <v>1998</v>
      </c>
      <c r="O188" s="37" t="s">
        <v>232</v>
      </c>
      <c r="P188" s="37" t="s">
        <v>3009</v>
      </c>
      <c r="Q188" s="37"/>
      <c r="R188" s="37" t="s">
        <v>379</v>
      </c>
      <c r="S188" s="37" t="s">
        <v>222</v>
      </c>
      <c r="T188" s="37">
        <v>16</v>
      </c>
      <c r="U188" s="37">
        <v>30</v>
      </c>
    </row>
    <row r="189" spans="1:21" ht="28.5" customHeight="1">
      <c r="A189" s="37" t="s">
        <v>3142</v>
      </c>
      <c r="B189" s="37" t="s">
        <v>292</v>
      </c>
      <c r="C189" s="37" t="s">
        <v>40</v>
      </c>
      <c r="D189" s="37">
        <v>14</v>
      </c>
      <c r="E189" s="37">
        <v>19</v>
      </c>
      <c r="F189" s="37" t="s">
        <v>36</v>
      </c>
      <c r="G189" s="37" t="s">
        <v>49</v>
      </c>
      <c r="H189" s="37"/>
      <c r="I189" s="37">
        <v>14</v>
      </c>
      <c r="J189" s="37"/>
      <c r="K189" s="37">
        <v>30</v>
      </c>
      <c r="L189" s="37" t="s">
        <v>295</v>
      </c>
      <c r="M189" s="37" t="s">
        <v>703</v>
      </c>
      <c r="N189" s="37">
        <v>1998</v>
      </c>
      <c r="O189" s="37" t="s">
        <v>232</v>
      </c>
      <c r="P189" s="37" t="s">
        <v>3009</v>
      </c>
      <c r="Q189" s="37"/>
      <c r="R189" s="37" t="s">
        <v>379</v>
      </c>
      <c r="S189" s="37" t="s">
        <v>222</v>
      </c>
      <c r="T189" s="37">
        <v>14</v>
      </c>
      <c r="U189" s="37">
        <v>30</v>
      </c>
    </row>
    <row r="190" spans="1:21" ht="28.5" customHeight="1">
      <c r="A190" s="37" t="s">
        <v>3143</v>
      </c>
      <c r="B190" s="37" t="s">
        <v>292</v>
      </c>
      <c r="C190" s="37" t="s">
        <v>396</v>
      </c>
      <c r="D190" s="37">
        <v>19</v>
      </c>
      <c r="E190" s="37">
        <v>31</v>
      </c>
      <c r="F190" s="37" t="s">
        <v>36</v>
      </c>
      <c r="G190" s="37" t="s">
        <v>49</v>
      </c>
      <c r="H190" s="37"/>
      <c r="I190" s="37">
        <v>16</v>
      </c>
      <c r="J190" s="37"/>
      <c r="K190" s="37">
        <v>35</v>
      </c>
      <c r="L190" s="37" t="s">
        <v>295</v>
      </c>
      <c r="M190" s="37" t="s">
        <v>703</v>
      </c>
      <c r="N190" s="37">
        <v>1998</v>
      </c>
      <c r="O190" s="37" t="s">
        <v>232</v>
      </c>
      <c r="P190" s="37" t="s">
        <v>3009</v>
      </c>
      <c r="Q190" s="37"/>
      <c r="R190" s="37" t="s">
        <v>379</v>
      </c>
      <c r="S190" s="37" t="s">
        <v>222</v>
      </c>
      <c r="T190" s="37">
        <v>16</v>
      </c>
      <c r="U190" s="37">
        <v>35</v>
      </c>
    </row>
    <row r="191" spans="1:21" ht="28.5" customHeight="1">
      <c r="A191" s="37" t="s">
        <v>3144</v>
      </c>
      <c r="B191" s="37" t="s">
        <v>292</v>
      </c>
      <c r="C191" s="37" t="s">
        <v>40</v>
      </c>
      <c r="D191" s="37">
        <v>19</v>
      </c>
      <c r="E191" s="37">
        <v>31</v>
      </c>
      <c r="F191" s="37" t="s">
        <v>36</v>
      </c>
      <c r="G191" s="37" t="s">
        <v>49</v>
      </c>
      <c r="H191" s="37"/>
      <c r="I191" s="37">
        <v>14</v>
      </c>
      <c r="J191" s="37"/>
      <c r="K191" s="37">
        <v>35</v>
      </c>
      <c r="L191" s="37" t="s">
        <v>295</v>
      </c>
      <c r="M191" s="37" t="s">
        <v>703</v>
      </c>
      <c r="N191" s="37">
        <v>1998</v>
      </c>
      <c r="O191" s="37" t="s">
        <v>232</v>
      </c>
      <c r="P191" s="37" t="s">
        <v>3009</v>
      </c>
      <c r="Q191" s="37"/>
      <c r="R191" s="37" t="s">
        <v>379</v>
      </c>
      <c r="S191" s="37" t="s">
        <v>222</v>
      </c>
      <c r="T191" s="37">
        <v>14</v>
      </c>
      <c r="U191" s="37">
        <v>35</v>
      </c>
    </row>
    <row r="192" spans="1:21" ht="28.5" customHeight="1">
      <c r="A192" s="37" t="s">
        <v>3145</v>
      </c>
      <c r="B192" s="37" t="s">
        <v>292</v>
      </c>
      <c r="C192" s="37" t="s">
        <v>396</v>
      </c>
      <c r="D192" s="37">
        <v>31</v>
      </c>
      <c r="E192" s="37">
        <v>51</v>
      </c>
      <c r="F192" s="37" t="s">
        <v>36</v>
      </c>
      <c r="G192" s="37" t="s">
        <v>49</v>
      </c>
      <c r="H192" s="37"/>
      <c r="I192" s="37">
        <v>16</v>
      </c>
      <c r="J192" s="37"/>
      <c r="K192" s="37">
        <v>35</v>
      </c>
      <c r="L192" s="37" t="s">
        <v>295</v>
      </c>
      <c r="M192" s="37" t="s">
        <v>703</v>
      </c>
      <c r="N192" s="37">
        <v>1998</v>
      </c>
      <c r="O192" s="37" t="s">
        <v>232</v>
      </c>
      <c r="P192" s="37" t="s">
        <v>3009</v>
      </c>
      <c r="Q192" s="37"/>
      <c r="R192" s="37" t="s">
        <v>379</v>
      </c>
      <c r="S192" s="37" t="s">
        <v>222</v>
      </c>
      <c r="T192" s="37">
        <v>16</v>
      </c>
      <c r="U192" s="37">
        <v>35</v>
      </c>
    </row>
    <row r="193" spans="1:21" ht="28.5" customHeight="1">
      <c r="A193" s="37" t="s">
        <v>3146</v>
      </c>
      <c r="B193" s="37" t="s">
        <v>292</v>
      </c>
      <c r="C193" s="37" t="s">
        <v>40</v>
      </c>
      <c r="D193" s="37">
        <v>31</v>
      </c>
      <c r="E193" s="37">
        <v>51</v>
      </c>
      <c r="F193" s="37" t="s">
        <v>36</v>
      </c>
      <c r="G193" s="37" t="s">
        <v>49</v>
      </c>
      <c r="H193" s="37"/>
      <c r="I193" s="37">
        <v>14</v>
      </c>
      <c r="J193" s="37"/>
      <c r="K193" s="37">
        <v>35</v>
      </c>
      <c r="L193" s="37" t="s">
        <v>295</v>
      </c>
      <c r="M193" s="37" t="s">
        <v>703</v>
      </c>
      <c r="N193" s="37">
        <v>1998</v>
      </c>
      <c r="O193" s="37" t="s">
        <v>232</v>
      </c>
      <c r="P193" s="37" t="s">
        <v>3009</v>
      </c>
      <c r="Q193" s="37"/>
      <c r="R193" s="37" t="s">
        <v>379</v>
      </c>
      <c r="S193" s="37" t="s">
        <v>222</v>
      </c>
      <c r="T193" s="37">
        <v>14</v>
      </c>
      <c r="U193" s="37">
        <v>35</v>
      </c>
    </row>
    <row r="194" spans="1:21" ht="28.5" customHeight="1">
      <c r="A194" s="37" t="s">
        <v>3147</v>
      </c>
      <c r="B194" s="37" t="s">
        <v>292</v>
      </c>
      <c r="C194" s="37" t="s">
        <v>396</v>
      </c>
      <c r="D194" s="37">
        <v>51</v>
      </c>
      <c r="E194" s="37">
        <v>71</v>
      </c>
      <c r="F194" s="37" t="s">
        <v>36</v>
      </c>
      <c r="G194" s="37" t="s">
        <v>49</v>
      </c>
      <c r="H194" s="37"/>
      <c r="I194" s="37">
        <v>16</v>
      </c>
      <c r="J194" s="37"/>
      <c r="K194" s="37">
        <v>35</v>
      </c>
      <c r="L194" s="37" t="s">
        <v>295</v>
      </c>
      <c r="M194" s="37" t="s">
        <v>703</v>
      </c>
      <c r="N194" s="37">
        <v>1998</v>
      </c>
      <c r="O194" s="37" t="s">
        <v>232</v>
      </c>
      <c r="P194" s="37" t="s">
        <v>3009</v>
      </c>
      <c r="Q194" s="37"/>
      <c r="R194" s="37" t="s">
        <v>379</v>
      </c>
      <c r="S194" s="37" t="s">
        <v>222</v>
      </c>
      <c r="T194" s="37">
        <v>16</v>
      </c>
      <c r="U194" s="37">
        <v>35</v>
      </c>
    </row>
    <row r="195" spans="1:21" ht="28.5" customHeight="1">
      <c r="A195" s="37" t="s">
        <v>3148</v>
      </c>
      <c r="B195" s="37" t="s">
        <v>292</v>
      </c>
      <c r="C195" s="37" t="s">
        <v>40</v>
      </c>
      <c r="D195" s="37">
        <v>51</v>
      </c>
      <c r="E195" s="37">
        <v>71</v>
      </c>
      <c r="F195" s="37" t="s">
        <v>36</v>
      </c>
      <c r="G195" s="37" t="s">
        <v>49</v>
      </c>
      <c r="H195" s="37"/>
      <c r="I195" s="37">
        <v>14</v>
      </c>
      <c r="J195" s="37"/>
      <c r="K195" s="37">
        <v>35</v>
      </c>
      <c r="L195" s="37" t="s">
        <v>295</v>
      </c>
      <c r="M195" s="37" t="s">
        <v>703</v>
      </c>
      <c r="N195" s="37">
        <v>1998</v>
      </c>
      <c r="O195" s="37" t="s">
        <v>232</v>
      </c>
      <c r="P195" s="37" t="s">
        <v>3009</v>
      </c>
      <c r="Q195" s="37"/>
      <c r="R195" s="37" t="s">
        <v>379</v>
      </c>
      <c r="S195" s="37" t="s">
        <v>222</v>
      </c>
      <c r="T195" s="37">
        <v>14</v>
      </c>
      <c r="U195" s="37">
        <v>35</v>
      </c>
    </row>
    <row r="196" spans="1:21" ht="28.5" customHeight="1">
      <c r="A196" s="37" t="s">
        <v>3149</v>
      </c>
      <c r="B196" s="37" t="s">
        <v>292</v>
      </c>
      <c r="C196" s="37" t="s">
        <v>396</v>
      </c>
      <c r="D196" s="37">
        <v>71</v>
      </c>
      <c r="E196" s="37">
        <v>999</v>
      </c>
      <c r="F196" s="37" t="s">
        <v>36</v>
      </c>
      <c r="G196" s="37" t="s">
        <v>49</v>
      </c>
      <c r="H196" s="37"/>
      <c r="I196" s="37">
        <v>16</v>
      </c>
      <c r="J196" s="37"/>
      <c r="K196" s="37">
        <v>35</v>
      </c>
      <c r="L196" s="37" t="s">
        <v>295</v>
      </c>
      <c r="M196" s="37" t="s">
        <v>703</v>
      </c>
      <c r="N196" s="37">
        <v>1998</v>
      </c>
      <c r="O196" s="37" t="s">
        <v>232</v>
      </c>
      <c r="P196" s="37" t="s">
        <v>3009</v>
      </c>
      <c r="Q196" s="37"/>
      <c r="R196" s="37" t="s">
        <v>379</v>
      </c>
      <c r="S196" s="37" t="s">
        <v>222</v>
      </c>
      <c r="T196" s="37">
        <v>16</v>
      </c>
      <c r="U196" s="37">
        <v>35</v>
      </c>
    </row>
    <row r="197" spans="1:21" ht="28.5" customHeight="1">
      <c r="A197" s="37" t="s">
        <v>3150</v>
      </c>
      <c r="B197" s="37" t="s">
        <v>292</v>
      </c>
      <c r="C197" s="37" t="s">
        <v>40</v>
      </c>
      <c r="D197" s="37">
        <v>71</v>
      </c>
      <c r="E197" s="37">
        <v>999</v>
      </c>
      <c r="F197" s="37" t="s">
        <v>36</v>
      </c>
      <c r="G197" s="37" t="s">
        <v>49</v>
      </c>
      <c r="H197" s="37"/>
      <c r="I197" s="37">
        <v>14</v>
      </c>
      <c r="J197" s="37"/>
      <c r="K197" s="37">
        <v>35</v>
      </c>
      <c r="L197" s="37" t="s">
        <v>295</v>
      </c>
      <c r="M197" s="37" t="s">
        <v>703</v>
      </c>
      <c r="N197" s="37">
        <v>1998</v>
      </c>
      <c r="O197" s="37" t="s">
        <v>232</v>
      </c>
      <c r="P197" s="37" t="s">
        <v>3009</v>
      </c>
      <c r="Q197" s="37"/>
      <c r="R197" s="37" t="s">
        <v>379</v>
      </c>
      <c r="S197" s="37" t="s">
        <v>222</v>
      </c>
      <c r="T197" s="37">
        <v>14</v>
      </c>
      <c r="U197" s="37">
        <v>35</v>
      </c>
    </row>
    <row r="198" spans="1:21" ht="28.5" customHeight="1">
      <c r="A198" s="37" t="s">
        <v>3151</v>
      </c>
      <c r="B198" s="37" t="s">
        <v>292</v>
      </c>
      <c r="C198" s="37" t="s">
        <v>40</v>
      </c>
      <c r="D198" s="37">
        <v>14</v>
      </c>
      <c r="E198" s="37">
        <v>51</v>
      </c>
      <c r="F198" s="37" t="s">
        <v>36</v>
      </c>
      <c r="G198" s="37" t="s">
        <v>414</v>
      </c>
      <c r="H198" s="37"/>
      <c r="I198" s="37">
        <v>18</v>
      </c>
      <c r="J198" s="37"/>
      <c r="K198" s="37">
        <v>35</v>
      </c>
      <c r="L198" s="37" t="s">
        <v>295</v>
      </c>
      <c r="M198" s="37" t="s">
        <v>703</v>
      </c>
      <c r="N198" s="37">
        <v>1998</v>
      </c>
      <c r="O198" s="37" t="s">
        <v>232</v>
      </c>
      <c r="P198" s="37" t="s">
        <v>3009</v>
      </c>
      <c r="Q198" s="37"/>
      <c r="R198" s="37" t="s">
        <v>379</v>
      </c>
      <c r="S198" s="37" t="s">
        <v>222</v>
      </c>
      <c r="T198" s="37">
        <v>18</v>
      </c>
      <c r="U198" s="37">
        <v>35</v>
      </c>
    </row>
    <row r="199" spans="1:21" ht="28.5" customHeight="1">
      <c r="A199" s="37" t="s">
        <v>3152</v>
      </c>
      <c r="B199" s="37" t="s">
        <v>292</v>
      </c>
      <c r="C199" s="37" t="s">
        <v>40</v>
      </c>
      <c r="D199" s="37">
        <v>14</v>
      </c>
      <c r="E199" s="37">
        <v>51</v>
      </c>
      <c r="F199" s="37" t="s">
        <v>36</v>
      </c>
      <c r="G199" s="37" t="s">
        <v>416</v>
      </c>
      <c r="H199" s="37"/>
      <c r="I199" s="37">
        <v>17</v>
      </c>
      <c r="J199" s="37"/>
      <c r="K199" s="37">
        <v>35</v>
      </c>
      <c r="L199" s="37" t="s">
        <v>295</v>
      </c>
      <c r="M199" s="37" t="s">
        <v>703</v>
      </c>
      <c r="N199" s="37">
        <v>1998</v>
      </c>
      <c r="O199" s="37" t="s">
        <v>232</v>
      </c>
      <c r="P199" s="37" t="s">
        <v>3009</v>
      </c>
      <c r="Q199" s="37"/>
      <c r="R199" s="37" t="s">
        <v>379</v>
      </c>
      <c r="S199" s="37" t="s">
        <v>222</v>
      </c>
      <c r="T199" s="37">
        <v>17</v>
      </c>
      <c r="U199" s="37">
        <v>35</v>
      </c>
    </row>
    <row r="200" spans="1:21" ht="28.5" customHeight="1">
      <c r="A200" s="37" t="s">
        <v>3153</v>
      </c>
      <c r="B200" s="37" t="s">
        <v>296</v>
      </c>
      <c r="C200" s="37" t="s">
        <v>387</v>
      </c>
      <c r="D200" s="37">
        <v>0</v>
      </c>
      <c r="E200" s="37">
        <v>0.5</v>
      </c>
      <c r="F200" s="37" t="s">
        <v>36</v>
      </c>
      <c r="G200" s="37" t="s">
        <v>49</v>
      </c>
      <c r="H200" s="37"/>
      <c r="I200" s="37"/>
      <c r="J200" s="37">
        <v>1.7</v>
      </c>
      <c r="K200" s="37"/>
      <c r="L200" s="37" t="s">
        <v>230</v>
      </c>
      <c r="M200" s="37" t="s">
        <v>703</v>
      </c>
      <c r="N200" s="37">
        <v>1998</v>
      </c>
      <c r="O200" s="37" t="s">
        <v>232</v>
      </c>
      <c r="P200" s="37" t="s">
        <v>3009</v>
      </c>
      <c r="Q200" s="37"/>
      <c r="R200" s="37" t="s">
        <v>380</v>
      </c>
      <c r="S200" s="37"/>
      <c r="T200" s="37">
        <v>1.7</v>
      </c>
      <c r="U200" s="37"/>
    </row>
    <row r="201" spans="1:21" ht="28.5" customHeight="1">
      <c r="A201" s="37" t="s">
        <v>3154</v>
      </c>
      <c r="B201" s="37" t="s">
        <v>296</v>
      </c>
      <c r="C201" s="37" t="s">
        <v>387</v>
      </c>
      <c r="D201" s="37">
        <v>0.5</v>
      </c>
      <c r="E201" s="37">
        <v>1</v>
      </c>
      <c r="F201" s="37" t="s">
        <v>36</v>
      </c>
      <c r="G201" s="37" t="s">
        <v>49</v>
      </c>
      <c r="H201" s="37"/>
      <c r="I201" s="37"/>
      <c r="J201" s="37">
        <v>1.8</v>
      </c>
      <c r="K201" s="37"/>
      <c r="L201" s="37" t="s">
        <v>230</v>
      </c>
      <c r="M201" s="37" t="s">
        <v>703</v>
      </c>
      <c r="N201" s="37">
        <v>1998</v>
      </c>
      <c r="O201" s="37" t="s">
        <v>232</v>
      </c>
      <c r="P201" s="37" t="s">
        <v>3009</v>
      </c>
      <c r="Q201" s="37"/>
      <c r="R201" s="37" t="s">
        <v>380</v>
      </c>
      <c r="S201" s="37"/>
      <c r="T201" s="37">
        <v>1.8</v>
      </c>
      <c r="U201" s="37"/>
    </row>
    <row r="202" spans="1:21" ht="28.5" customHeight="1">
      <c r="A202" s="37" t="s">
        <v>3155</v>
      </c>
      <c r="B202" s="37" t="s">
        <v>296</v>
      </c>
      <c r="C202" s="37" t="s">
        <v>387</v>
      </c>
      <c r="D202" s="37">
        <v>1</v>
      </c>
      <c r="E202" s="37">
        <v>4</v>
      </c>
      <c r="F202" s="37" t="s">
        <v>36</v>
      </c>
      <c r="G202" s="37" t="s">
        <v>49</v>
      </c>
      <c r="H202" s="37"/>
      <c r="I202" s="37"/>
      <c r="J202" s="37">
        <v>2</v>
      </c>
      <c r="K202" s="37"/>
      <c r="L202" s="37" t="s">
        <v>230</v>
      </c>
      <c r="M202" s="37" t="s">
        <v>703</v>
      </c>
      <c r="N202" s="37">
        <v>1998</v>
      </c>
      <c r="O202" s="37" t="s">
        <v>232</v>
      </c>
      <c r="P202" s="37" t="s">
        <v>3009</v>
      </c>
      <c r="Q202" s="37"/>
      <c r="R202" s="37" t="s">
        <v>380</v>
      </c>
      <c r="S202" s="37"/>
      <c r="T202" s="37">
        <v>2</v>
      </c>
      <c r="U202" s="37"/>
    </row>
    <row r="203" spans="1:21" ht="28.5" customHeight="1">
      <c r="A203" s="37" t="s">
        <v>3156</v>
      </c>
      <c r="B203" s="37" t="s">
        <v>296</v>
      </c>
      <c r="C203" s="37" t="s">
        <v>387</v>
      </c>
      <c r="D203" s="37">
        <v>4</v>
      </c>
      <c r="E203" s="37">
        <v>9</v>
      </c>
      <c r="F203" s="37" t="s">
        <v>36</v>
      </c>
      <c r="G203" s="37" t="s">
        <v>49</v>
      </c>
      <c r="H203" s="37"/>
      <c r="I203" s="37"/>
      <c r="J203" s="37">
        <v>3</v>
      </c>
      <c r="K203" s="37"/>
      <c r="L203" s="37" t="s">
        <v>230</v>
      </c>
      <c r="M203" s="37" t="s">
        <v>703</v>
      </c>
      <c r="N203" s="37">
        <v>1998</v>
      </c>
      <c r="O203" s="37" t="s">
        <v>232</v>
      </c>
      <c r="P203" s="37" t="s">
        <v>3009</v>
      </c>
      <c r="Q203" s="37"/>
      <c r="R203" s="37" t="s">
        <v>380</v>
      </c>
      <c r="S203" s="37"/>
      <c r="T203" s="37">
        <v>3</v>
      </c>
      <c r="U203" s="37"/>
    </row>
    <row r="204" spans="1:21" ht="28.5" customHeight="1">
      <c r="A204" s="37" t="s">
        <v>3157</v>
      </c>
      <c r="B204" s="37" t="s">
        <v>296</v>
      </c>
      <c r="C204" s="37" t="s">
        <v>396</v>
      </c>
      <c r="D204" s="37">
        <v>9</v>
      </c>
      <c r="E204" s="37">
        <v>14</v>
      </c>
      <c r="F204" s="37" t="s">
        <v>36</v>
      </c>
      <c r="G204" s="37" t="s">
        <v>49</v>
      </c>
      <c r="H204" s="37"/>
      <c r="I204" s="37"/>
      <c r="J204" s="37">
        <v>4</v>
      </c>
      <c r="K204" s="37"/>
      <c r="L204" s="37" t="s">
        <v>230</v>
      </c>
      <c r="M204" s="37" t="s">
        <v>703</v>
      </c>
      <c r="N204" s="37">
        <v>1998</v>
      </c>
      <c r="O204" s="37" t="s">
        <v>232</v>
      </c>
      <c r="P204" s="37" t="s">
        <v>3009</v>
      </c>
      <c r="Q204" s="37"/>
      <c r="R204" s="37" t="s">
        <v>380</v>
      </c>
      <c r="S204" s="37"/>
      <c r="T204" s="37">
        <v>4</v>
      </c>
      <c r="U204" s="37"/>
    </row>
    <row r="205" spans="1:21" ht="28.5" customHeight="1">
      <c r="A205" s="37" t="s">
        <v>3158</v>
      </c>
      <c r="B205" s="37" t="s">
        <v>296</v>
      </c>
      <c r="C205" s="37" t="s">
        <v>40</v>
      </c>
      <c r="D205" s="37">
        <v>9</v>
      </c>
      <c r="E205" s="37">
        <v>14</v>
      </c>
      <c r="F205" s="37" t="s">
        <v>36</v>
      </c>
      <c r="G205" s="37" t="s">
        <v>49</v>
      </c>
      <c r="H205" s="37"/>
      <c r="I205" s="37"/>
      <c r="J205" s="37">
        <v>4</v>
      </c>
      <c r="K205" s="37"/>
      <c r="L205" s="37" t="s">
        <v>230</v>
      </c>
      <c r="M205" s="37" t="s">
        <v>703</v>
      </c>
      <c r="N205" s="37">
        <v>1998</v>
      </c>
      <c r="O205" s="37" t="s">
        <v>232</v>
      </c>
      <c r="P205" s="37" t="s">
        <v>3009</v>
      </c>
      <c r="Q205" s="37"/>
      <c r="R205" s="37" t="s">
        <v>380</v>
      </c>
      <c r="S205" s="37"/>
      <c r="T205" s="37">
        <v>4</v>
      </c>
      <c r="U205" s="37"/>
    </row>
    <row r="206" spans="1:21" ht="28.5" customHeight="1">
      <c r="A206" s="37" t="s">
        <v>3159</v>
      </c>
      <c r="B206" s="37" t="s">
        <v>296</v>
      </c>
      <c r="C206" s="37" t="s">
        <v>396</v>
      </c>
      <c r="D206" s="37">
        <v>14</v>
      </c>
      <c r="E206" s="37">
        <v>19</v>
      </c>
      <c r="F206" s="37" t="s">
        <v>36</v>
      </c>
      <c r="G206" s="37" t="s">
        <v>49</v>
      </c>
      <c r="H206" s="37"/>
      <c r="I206" s="37"/>
      <c r="J206" s="37">
        <v>5</v>
      </c>
      <c r="K206" s="37"/>
      <c r="L206" s="37" t="s">
        <v>230</v>
      </c>
      <c r="M206" s="37" t="s">
        <v>703</v>
      </c>
      <c r="N206" s="37">
        <v>1998</v>
      </c>
      <c r="O206" s="37" t="s">
        <v>232</v>
      </c>
      <c r="P206" s="37" t="s">
        <v>3009</v>
      </c>
      <c r="Q206" s="37"/>
      <c r="R206" s="37" t="s">
        <v>380</v>
      </c>
      <c r="S206" s="37"/>
      <c r="T206" s="37">
        <v>5</v>
      </c>
      <c r="U206" s="37"/>
    </row>
    <row r="207" spans="1:21" ht="28.5" customHeight="1">
      <c r="A207" s="37" t="s">
        <v>3160</v>
      </c>
      <c r="B207" s="37" t="s">
        <v>296</v>
      </c>
      <c r="C207" s="37" t="s">
        <v>40</v>
      </c>
      <c r="D207" s="37">
        <v>14</v>
      </c>
      <c r="E207" s="37">
        <v>19</v>
      </c>
      <c r="F207" s="37" t="s">
        <v>36</v>
      </c>
      <c r="G207" s="37" t="s">
        <v>49</v>
      </c>
      <c r="H207" s="37"/>
      <c r="I207" s="37"/>
      <c r="J207" s="37">
        <v>5</v>
      </c>
      <c r="K207" s="37"/>
      <c r="L207" s="37" t="s">
        <v>230</v>
      </c>
      <c r="M207" s="37" t="s">
        <v>703</v>
      </c>
      <c r="N207" s="37">
        <v>1998</v>
      </c>
      <c r="O207" s="37" t="s">
        <v>232</v>
      </c>
      <c r="P207" s="37" t="s">
        <v>3009</v>
      </c>
      <c r="Q207" s="37"/>
      <c r="R207" s="37" t="s">
        <v>380</v>
      </c>
      <c r="S207" s="37"/>
      <c r="T207" s="37">
        <v>5</v>
      </c>
      <c r="U207" s="37"/>
    </row>
    <row r="208" spans="1:21" ht="28.5" customHeight="1">
      <c r="A208" s="37" t="s">
        <v>3161</v>
      </c>
      <c r="B208" s="37" t="s">
        <v>296</v>
      </c>
      <c r="C208" s="37" t="s">
        <v>396</v>
      </c>
      <c r="D208" s="37">
        <v>19</v>
      </c>
      <c r="E208" s="37">
        <v>31</v>
      </c>
      <c r="F208" s="37" t="s">
        <v>36</v>
      </c>
      <c r="G208" s="37" t="s">
        <v>49</v>
      </c>
      <c r="H208" s="37"/>
      <c r="I208" s="37"/>
      <c r="J208" s="37">
        <v>5</v>
      </c>
      <c r="K208" s="37"/>
      <c r="L208" s="37" t="s">
        <v>230</v>
      </c>
      <c r="M208" s="37" t="s">
        <v>703</v>
      </c>
      <c r="N208" s="37">
        <v>1998</v>
      </c>
      <c r="O208" s="37" t="s">
        <v>232</v>
      </c>
      <c r="P208" s="37" t="s">
        <v>3009</v>
      </c>
      <c r="Q208" s="37"/>
      <c r="R208" s="37" t="s">
        <v>380</v>
      </c>
      <c r="S208" s="37"/>
      <c r="T208" s="37">
        <v>5</v>
      </c>
      <c r="U208" s="37"/>
    </row>
    <row r="209" spans="1:21" ht="28.5" customHeight="1">
      <c r="A209" s="37" t="s">
        <v>3162</v>
      </c>
      <c r="B209" s="37" t="s">
        <v>296</v>
      </c>
      <c r="C209" s="37" t="s">
        <v>40</v>
      </c>
      <c r="D209" s="37">
        <v>19</v>
      </c>
      <c r="E209" s="37">
        <v>31</v>
      </c>
      <c r="F209" s="37" t="s">
        <v>36</v>
      </c>
      <c r="G209" s="37" t="s">
        <v>49</v>
      </c>
      <c r="H209" s="37"/>
      <c r="I209" s="37"/>
      <c r="J209" s="37">
        <v>5</v>
      </c>
      <c r="K209" s="37"/>
      <c r="L209" s="37" t="s">
        <v>230</v>
      </c>
      <c r="M209" s="37" t="s">
        <v>703</v>
      </c>
      <c r="N209" s="37">
        <v>1998</v>
      </c>
      <c r="O209" s="37" t="s">
        <v>232</v>
      </c>
      <c r="P209" s="37" t="s">
        <v>3009</v>
      </c>
      <c r="Q209" s="37"/>
      <c r="R209" s="37" t="s">
        <v>380</v>
      </c>
      <c r="S209" s="37"/>
      <c r="T209" s="37">
        <v>5</v>
      </c>
      <c r="U209" s="37"/>
    </row>
    <row r="210" spans="1:21" ht="28.5" customHeight="1">
      <c r="A210" s="37" t="s">
        <v>3163</v>
      </c>
      <c r="B210" s="37" t="s">
        <v>296</v>
      </c>
      <c r="C210" s="37" t="s">
        <v>396</v>
      </c>
      <c r="D210" s="37">
        <v>31</v>
      </c>
      <c r="E210" s="37">
        <v>51</v>
      </c>
      <c r="F210" s="37" t="s">
        <v>36</v>
      </c>
      <c r="G210" s="37" t="s">
        <v>49</v>
      </c>
      <c r="H210" s="37"/>
      <c r="I210" s="37"/>
      <c r="J210" s="37">
        <v>5</v>
      </c>
      <c r="K210" s="37"/>
      <c r="L210" s="37" t="s">
        <v>230</v>
      </c>
      <c r="M210" s="37" t="s">
        <v>703</v>
      </c>
      <c r="N210" s="37">
        <v>1998</v>
      </c>
      <c r="O210" s="37" t="s">
        <v>232</v>
      </c>
      <c r="P210" s="37" t="s">
        <v>3009</v>
      </c>
      <c r="Q210" s="37"/>
      <c r="R210" s="37" t="s">
        <v>380</v>
      </c>
      <c r="S210" s="37"/>
      <c r="T210" s="37">
        <v>5</v>
      </c>
      <c r="U210" s="37"/>
    </row>
    <row r="211" spans="1:21" ht="28.5" customHeight="1">
      <c r="A211" s="37" t="s">
        <v>3164</v>
      </c>
      <c r="B211" s="37" t="s">
        <v>296</v>
      </c>
      <c r="C211" s="37" t="s">
        <v>40</v>
      </c>
      <c r="D211" s="37">
        <v>31</v>
      </c>
      <c r="E211" s="37">
        <v>51</v>
      </c>
      <c r="F211" s="37" t="s">
        <v>36</v>
      </c>
      <c r="G211" s="37" t="s">
        <v>49</v>
      </c>
      <c r="H211" s="37"/>
      <c r="I211" s="37"/>
      <c r="J211" s="37">
        <v>5</v>
      </c>
      <c r="K211" s="37"/>
      <c r="L211" s="37" t="s">
        <v>230</v>
      </c>
      <c r="M211" s="37" t="s">
        <v>703</v>
      </c>
      <c r="N211" s="37">
        <v>1998</v>
      </c>
      <c r="O211" s="37" t="s">
        <v>232</v>
      </c>
      <c r="P211" s="37" t="s">
        <v>3009</v>
      </c>
      <c r="Q211" s="37"/>
      <c r="R211" s="37" t="s">
        <v>380</v>
      </c>
      <c r="S211" s="37"/>
      <c r="T211" s="37">
        <v>5</v>
      </c>
      <c r="U211" s="37"/>
    </row>
    <row r="212" spans="1:21" ht="28.5" customHeight="1">
      <c r="A212" s="37" t="s">
        <v>3165</v>
      </c>
      <c r="B212" s="37" t="s">
        <v>296</v>
      </c>
      <c r="C212" s="37" t="s">
        <v>396</v>
      </c>
      <c r="D212" s="37">
        <v>51</v>
      </c>
      <c r="E212" s="37">
        <v>71</v>
      </c>
      <c r="F212" s="37" t="s">
        <v>36</v>
      </c>
      <c r="G212" s="37" t="s">
        <v>49</v>
      </c>
      <c r="H212" s="37"/>
      <c r="I212" s="37"/>
      <c r="J212" s="37">
        <v>5</v>
      </c>
      <c r="K212" s="37"/>
      <c r="L212" s="37" t="s">
        <v>230</v>
      </c>
      <c r="M212" s="37" t="s">
        <v>703</v>
      </c>
      <c r="N212" s="37">
        <v>1998</v>
      </c>
      <c r="O212" s="37" t="s">
        <v>232</v>
      </c>
      <c r="P212" s="37" t="s">
        <v>3009</v>
      </c>
      <c r="Q212" s="37"/>
      <c r="R212" s="37" t="s">
        <v>380</v>
      </c>
      <c r="S212" s="37"/>
      <c r="T212" s="37">
        <v>5</v>
      </c>
      <c r="U212" s="37"/>
    </row>
    <row r="213" spans="1:21" ht="28.5" customHeight="1">
      <c r="A213" s="37" t="s">
        <v>3166</v>
      </c>
      <c r="B213" s="37" t="s">
        <v>296</v>
      </c>
      <c r="C213" s="37" t="s">
        <v>40</v>
      </c>
      <c r="D213" s="37">
        <v>51</v>
      </c>
      <c r="E213" s="37">
        <v>71</v>
      </c>
      <c r="F213" s="37" t="s">
        <v>36</v>
      </c>
      <c r="G213" s="37" t="s">
        <v>49</v>
      </c>
      <c r="H213" s="37"/>
      <c r="I213" s="37"/>
      <c r="J213" s="37">
        <v>5</v>
      </c>
      <c r="K213" s="37"/>
      <c r="L213" s="37" t="s">
        <v>230</v>
      </c>
      <c r="M213" s="37" t="s">
        <v>703</v>
      </c>
      <c r="N213" s="37">
        <v>1998</v>
      </c>
      <c r="O213" s="37" t="s">
        <v>232</v>
      </c>
      <c r="P213" s="37" t="s">
        <v>3009</v>
      </c>
      <c r="Q213" s="37"/>
      <c r="R213" s="37" t="s">
        <v>380</v>
      </c>
      <c r="S213" s="37"/>
      <c r="T213" s="37">
        <v>5</v>
      </c>
      <c r="U213" s="37"/>
    </row>
    <row r="214" spans="1:21" ht="28.5" customHeight="1">
      <c r="A214" s="37" t="s">
        <v>3167</v>
      </c>
      <c r="B214" s="37" t="s">
        <v>296</v>
      </c>
      <c r="C214" s="37" t="s">
        <v>396</v>
      </c>
      <c r="D214" s="37">
        <v>71</v>
      </c>
      <c r="E214" s="37">
        <v>999</v>
      </c>
      <c r="F214" s="37" t="s">
        <v>36</v>
      </c>
      <c r="G214" s="37" t="s">
        <v>49</v>
      </c>
      <c r="H214" s="37"/>
      <c r="I214" s="37"/>
      <c r="J214" s="37">
        <v>5</v>
      </c>
      <c r="K214" s="37"/>
      <c r="L214" s="37" t="s">
        <v>230</v>
      </c>
      <c r="M214" s="37" t="s">
        <v>703</v>
      </c>
      <c r="N214" s="37">
        <v>1998</v>
      </c>
      <c r="O214" s="37" t="s">
        <v>232</v>
      </c>
      <c r="P214" s="37" t="s">
        <v>3009</v>
      </c>
      <c r="Q214" s="37"/>
      <c r="R214" s="37" t="s">
        <v>380</v>
      </c>
      <c r="S214" s="37"/>
      <c r="T214" s="37">
        <v>5</v>
      </c>
      <c r="U214" s="37"/>
    </row>
    <row r="215" spans="1:21" ht="28.5" customHeight="1">
      <c r="A215" s="37" t="s">
        <v>3168</v>
      </c>
      <c r="B215" s="37" t="s">
        <v>296</v>
      </c>
      <c r="C215" s="37" t="s">
        <v>40</v>
      </c>
      <c r="D215" s="37">
        <v>71</v>
      </c>
      <c r="E215" s="37">
        <v>999</v>
      </c>
      <c r="F215" s="37" t="s">
        <v>36</v>
      </c>
      <c r="G215" s="37" t="s">
        <v>49</v>
      </c>
      <c r="H215" s="37"/>
      <c r="I215" s="37"/>
      <c r="J215" s="37">
        <v>5</v>
      </c>
      <c r="K215" s="37"/>
      <c r="L215" s="37" t="s">
        <v>230</v>
      </c>
      <c r="M215" s="37" t="s">
        <v>703</v>
      </c>
      <c r="N215" s="37">
        <v>1998</v>
      </c>
      <c r="O215" s="37" t="s">
        <v>232</v>
      </c>
      <c r="P215" s="37" t="s">
        <v>3009</v>
      </c>
      <c r="Q215" s="37"/>
      <c r="R215" s="37" t="s">
        <v>380</v>
      </c>
      <c r="S215" s="37"/>
      <c r="T215" s="37">
        <v>5</v>
      </c>
      <c r="U215" s="37"/>
    </row>
    <row r="216" spans="1:21" ht="28.5" customHeight="1">
      <c r="A216" s="37" t="s">
        <v>3169</v>
      </c>
      <c r="B216" s="37" t="s">
        <v>296</v>
      </c>
      <c r="C216" s="37" t="s">
        <v>40</v>
      </c>
      <c r="D216" s="37">
        <v>14</v>
      </c>
      <c r="E216" s="37">
        <v>51</v>
      </c>
      <c r="F216" s="37" t="s">
        <v>36</v>
      </c>
      <c r="G216" s="37" t="s">
        <v>414</v>
      </c>
      <c r="H216" s="37"/>
      <c r="I216" s="37"/>
      <c r="J216" s="37">
        <v>6</v>
      </c>
      <c r="K216" s="37"/>
      <c r="L216" s="37" t="s">
        <v>230</v>
      </c>
      <c r="M216" s="37" t="s">
        <v>703</v>
      </c>
      <c r="N216" s="37">
        <v>1998</v>
      </c>
      <c r="O216" s="37" t="s">
        <v>232</v>
      </c>
      <c r="P216" s="37" t="s">
        <v>3009</v>
      </c>
      <c r="Q216" s="37"/>
      <c r="R216" s="37" t="s">
        <v>380</v>
      </c>
      <c r="S216" s="37"/>
      <c r="T216" s="37">
        <v>6</v>
      </c>
      <c r="U216" s="37"/>
    </row>
    <row r="217" spans="1:21" ht="28.5" customHeight="1">
      <c r="A217" s="37" t="s">
        <v>3170</v>
      </c>
      <c r="B217" s="37" t="s">
        <v>296</v>
      </c>
      <c r="C217" s="37" t="s">
        <v>40</v>
      </c>
      <c r="D217" s="37">
        <v>14</v>
      </c>
      <c r="E217" s="37">
        <v>51</v>
      </c>
      <c r="F217" s="37" t="s">
        <v>36</v>
      </c>
      <c r="G217" s="37" t="s">
        <v>416</v>
      </c>
      <c r="H217" s="37"/>
      <c r="I217" s="37"/>
      <c r="J217" s="37">
        <v>7</v>
      </c>
      <c r="K217" s="37"/>
      <c r="L217" s="37" t="s">
        <v>230</v>
      </c>
      <c r="M217" s="37" t="s">
        <v>703</v>
      </c>
      <c r="N217" s="37">
        <v>1998</v>
      </c>
      <c r="O217" s="37" t="s">
        <v>232</v>
      </c>
      <c r="P217" s="37" t="s">
        <v>3009</v>
      </c>
      <c r="Q217" s="37"/>
      <c r="R217" s="37" t="s">
        <v>380</v>
      </c>
      <c r="S217" s="37"/>
      <c r="T217" s="37">
        <v>7</v>
      </c>
      <c r="U217" s="37"/>
    </row>
    <row r="218" spans="1:21" ht="28.5" customHeight="1">
      <c r="A218" s="37" t="s">
        <v>3171</v>
      </c>
      <c r="B218" s="37" t="s">
        <v>299</v>
      </c>
      <c r="C218" s="37" t="s">
        <v>387</v>
      </c>
      <c r="D218" s="37">
        <v>0</v>
      </c>
      <c r="E218" s="37">
        <v>0.5</v>
      </c>
      <c r="F218" s="37" t="s">
        <v>36</v>
      </c>
      <c r="G218" s="37" t="s">
        <v>49</v>
      </c>
      <c r="H218" s="37"/>
      <c r="I218" s="37"/>
      <c r="J218" s="37">
        <v>0.1</v>
      </c>
      <c r="K218" s="37"/>
      <c r="L218" s="37" t="s">
        <v>230</v>
      </c>
      <c r="M218" s="37" t="s">
        <v>703</v>
      </c>
      <c r="N218" s="37">
        <v>1998</v>
      </c>
      <c r="O218" s="37" t="s">
        <v>232</v>
      </c>
      <c r="P218" s="37" t="s">
        <v>3009</v>
      </c>
      <c r="Q218" s="37"/>
      <c r="R218" s="37" t="s">
        <v>380</v>
      </c>
      <c r="S218" s="37"/>
      <c r="T218" s="37">
        <v>0.1</v>
      </c>
      <c r="U218" s="37"/>
    </row>
    <row r="219" spans="1:21" ht="28.5" customHeight="1">
      <c r="A219" s="37" t="s">
        <v>3172</v>
      </c>
      <c r="B219" s="37" t="s">
        <v>299</v>
      </c>
      <c r="C219" s="37" t="s">
        <v>387</v>
      </c>
      <c r="D219" s="37">
        <v>0.5</v>
      </c>
      <c r="E219" s="37">
        <v>1</v>
      </c>
      <c r="F219" s="37" t="s">
        <v>36</v>
      </c>
      <c r="G219" s="37" t="s">
        <v>49</v>
      </c>
      <c r="H219" s="37"/>
      <c r="I219" s="37"/>
      <c r="J219" s="37">
        <v>0.3</v>
      </c>
      <c r="K219" s="37"/>
      <c r="L219" s="37" t="s">
        <v>230</v>
      </c>
      <c r="M219" s="37" t="s">
        <v>703</v>
      </c>
      <c r="N219" s="37">
        <v>1998</v>
      </c>
      <c r="O219" s="37" t="s">
        <v>232</v>
      </c>
      <c r="P219" s="37" t="s">
        <v>3009</v>
      </c>
      <c r="Q219" s="37"/>
      <c r="R219" s="37" t="s">
        <v>380</v>
      </c>
      <c r="S219" s="37"/>
      <c r="T219" s="37">
        <v>0.3</v>
      </c>
      <c r="U219" s="37"/>
    </row>
    <row r="220" spans="1:21" ht="28.5" customHeight="1">
      <c r="A220" s="37" t="s">
        <v>3173</v>
      </c>
      <c r="B220" s="37" t="s">
        <v>299</v>
      </c>
      <c r="C220" s="37" t="s">
        <v>387</v>
      </c>
      <c r="D220" s="37">
        <v>1</v>
      </c>
      <c r="E220" s="37">
        <v>4</v>
      </c>
      <c r="F220" s="37" t="s">
        <v>36</v>
      </c>
      <c r="G220" s="37" t="s">
        <v>49</v>
      </c>
      <c r="H220" s="37"/>
      <c r="I220" s="37">
        <v>0.5</v>
      </c>
      <c r="J220" s="37"/>
      <c r="K220" s="37">
        <v>30</v>
      </c>
      <c r="L220" s="37" t="s">
        <v>230</v>
      </c>
      <c r="M220" s="37" t="s">
        <v>703</v>
      </c>
      <c r="N220" s="37">
        <v>1998</v>
      </c>
      <c r="O220" s="37" t="s">
        <v>232</v>
      </c>
      <c r="P220" s="37" t="s">
        <v>3009</v>
      </c>
      <c r="Q220" s="37"/>
      <c r="R220" s="37" t="s">
        <v>379</v>
      </c>
      <c r="S220" s="37" t="s">
        <v>222</v>
      </c>
      <c r="T220" s="37">
        <v>0.5</v>
      </c>
      <c r="U220" s="37">
        <v>30</v>
      </c>
    </row>
    <row r="221" spans="1:21" ht="28.5" customHeight="1">
      <c r="A221" s="37" t="s">
        <v>3174</v>
      </c>
      <c r="B221" s="37" t="s">
        <v>299</v>
      </c>
      <c r="C221" s="37" t="s">
        <v>387</v>
      </c>
      <c r="D221" s="37">
        <v>4</v>
      </c>
      <c r="E221" s="37">
        <v>9</v>
      </c>
      <c r="F221" s="37" t="s">
        <v>36</v>
      </c>
      <c r="G221" s="37" t="s">
        <v>49</v>
      </c>
      <c r="H221" s="37"/>
      <c r="I221" s="37">
        <v>0.6</v>
      </c>
      <c r="J221" s="37"/>
      <c r="K221" s="37">
        <v>40</v>
      </c>
      <c r="L221" s="37" t="s">
        <v>230</v>
      </c>
      <c r="M221" s="37" t="s">
        <v>703</v>
      </c>
      <c r="N221" s="37">
        <v>1998</v>
      </c>
      <c r="O221" s="37" t="s">
        <v>232</v>
      </c>
      <c r="P221" s="37" t="s">
        <v>3009</v>
      </c>
      <c r="Q221" s="37"/>
      <c r="R221" s="37" t="s">
        <v>379</v>
      </c>
      <c r="S221" s="37" t="s">
        <v>222</v>
      </c>
      <c r="T221" s="37">
        <v>0.6</v>
      </c>
      <c r="U221" s="37">
        <v>40</v>
      </c>
    </row>
    <row r="222" spans="1:21" ht="28.5" customHeight="1">
      <c r="A222" s="37" t="s">
        <v>3175</v>
      </c>
      <c r="B222" s="37" t="s">
        <v>299</v>
      </c>
      <c r="C222" s="37" t="s">
        <v>396</v>
      </c>
      <c r="D222" s="37">
        <v>9</v>
      </c>
      <c r="E222" s="37">
        <v>14</v>
      </c>
      <c r="F222" s="37" t="s">
        <v>36</v>
      </c>
      <c r="G222" s="37" t="s">
        <v>49</v>
      </c>
      <c r="H222" s="37"/>
      <c r="I222" s="37">
        <v>1</v>
      </c>
      <c r="J222" s="37"/>
      <c r="K222" s="37">
        <v>60</v>
      </c>
      <c r="L222" s="37" t="s">
        <v>230</v>
      </c>
      <c r="M222" s="37" t="s">
        <v>703</v>
      </c>
      <c r="N222" s="37">
        <v>1998</v>
      </c>
      <c r="O222" s="37" t="s">
        <v>232</v>
      </c>
      <c r="P222" s="37" t="s">
        <v>3009</v>
      </c>
      <c r="Q222" s="37"/>
      <c r="R222" s="37" t="s">
        <v>379</v>
      </c>
      <c r="S222" s="37" t="s">
        <v>222</v>
      </c>
      <c r="T222" s="37">
        <v>1</v>
      </c>
      <c r="U222" s="37">
        <v>60</v>
      </c>
    </row>
    <row r="223" spans="1:21" ht="28.5" customHeight="1">
      <c r="A223" s="37" t="s">
        <v>3176</v>
      </c>
      <c r="B223" s="37" t="s">
        <v>299</v>
      </c>
      <c r="C223" s="37" t="s">
        <v>40</v>
      </c>
      <c r="D223" s="37">
        <v>9</v>
      </c>
      <c r="E223" s="37">
        <v>14</v>
      </c>
      <c r="F223" s="37" t="s">
        <v>36</v>
      </c>
      <c r="G223" s="37" t="s">
        <v>49</v>
      </c>
      <c r="H223" s="37"/>
      <c r="I223" s="37">
        <v>1</v>
      </c>
      <c r="J223" s="37"/>
      <c r="K223" s="37">
        <v>60</v>
      </c>
      <c r="L223" s="37" t="s">
        <v>230</v>
      </c>
      <c r="M223" s="37" t="s">
        <v>703</v>
      </c>
      <c r="N223" s="37">
        <v>1998</v>
      </c>
      <c r="O223" s="37" t="s">
        <v>232</v>
      </c>
      <c r="P223" s="37" t="s">
        <v>3009</v>
      </c>
      <c r="Q223" s="37"/>
      <c r="R223" s="37" t="s">
        <v>379</v>
      </c>
      <c r="S223" s="37" t="s">
        <v>222</v>
      </c>
      <c r="T223" s="37">
        <v>1</v>
      </c>
      <c r="U223" s="37">
        <v>60</v>
      </c>
    </row>
    <row r="224" spans="1:21" ht="28.5" customHeight="1">
      <c r="A224" s="37" t="s">
        <v>3177</v>
      </c>
      <c r="B224" s="37" t="s">
        <v>299</v>
      </c>
      <c r="C224" s="37" t="s">
        <v>396</v>
      </c>
      <c r="D224" s="37">
        <v>14</v>
      </c>
      <c r="E224" s="37">
        <v>19</v>
      </c>
      <c r="F224" s="37" t="s">
        <v>36</v>
      </c>
      <c r="G224" s="37" t="s">
        <v>49</v>
      </c>
      <c r="H224" s="37"/>
      <c r="I224" s="37">
        <v>1.3</v>
      </c>
      <c r="J224" s="37"/>
      <c r="K224" s="37">
        <v>80</v>
      </c>
      <c r="L224" s="37" t="s">
        <v>230</v>
      </c>
      <c r="M224" s="37" t="s">
        <v>703</v>
      </c>
      <c r="N224" s="37">
        <v>1998</v>
      </c>
      <c r="O224" s="37" t="s">
        <v>232</v>
      </c>
      <c r="P224" s="37" t="s">
        <v>3009</v>
      </c>
      <c r="Q224" s="37"/>
      <c r="R224" s="37" t="s">
        <v>379</v>
      </c>
      <c r="S224" s="37" t="s">
        <v>222</v>
      </c>
      <c r="T224" s="37">
        <v>1.3</v>
      </c>
      <c r="U224" s="37">
        <v>80</v>
      </c>
    </row>
    <row r="225" spans="1:21" ht="28.5" customHeight="1">
      <c r="A225" s="37" t="s">
        <v>3178</v>
      </c>
      <c r="B225" s="37" t="s">
        <v>299</v>
      </c>
      <c r="C225" s="37" t="s">
        <v>40</v>
      </c>
      <c r="D225" s="37">
        <v>14</v>
      </c>
      <c r="E225" s="37">
        <v>19</v>
      </c>
      <c r="F225" s="37" t="s">
        <v>36</v>
      </c>
      <c r="G225" s="37" t="s">
        <v>49</v>
      </c>
      <c r="H225" s="37"/>
      <c r="I225" s="37">
        <v>1.2</v>
      </c>
      <c r="J225" s="37"/>
      <c r="K225" s="37">
        <v>80</v>
      </c>
      <c r="L225" s="37" t="s">
        <v>230</v>
      </c>
      <c r="M225" s="37" t="s">
        <v>703</v>
      </c>
      <c r="N225" s="37">
        <v>1998</v>
      </c>
      <c r="O225" s="37" t="s">
        <v>232</v>
      </c>
      <c r="P225" s="37" t="s">
        <v>3009</v>
      </c>
      <c r="Q225" s="37"/>
      <c r="R225" s="37" t="s">
        <v>379</v>
      </c>
      <c r="S225" s="37" t="s">
        <v>222</v>
      </c>
      <c r="T225" s="37">
        <v>1.2</v>
      </c>
      <c r="U225" s="37">
        <v>80</v>
      </c>
    </row>
    <row r="226" spans="1:21" ht="28.5" customHeight="1">
      <c r="A226" s="37" t="s">
        <v>3179</v>
      </c>
      <c r="B226" s="37" t="s">
        <v>299</v>
      </c>
      <c r="C226" s="37" t="s">
        <v>396</v>
      </c>
      <c r="D226" s="37">
        <v>19</v>
      </c>
      <c r="E226" s="37">
        <v>31</v>
      </c>
      <c r="F226" s="37" t="s">
        <v>36</v>
      </c>
      <c r="G226" s="37" t="s">
        <v>49</v>
      </c>
      <c r="H226" s="37"/>
      <c r="I226" s="37">
        <v>1.3</v>
      </c>
      <c r="J226" s="37"/>
      <c r="K226" s="37">
        <v>100</v>
      </c>
      <c r="L226" s="37" t="s">
        <v>230</v>
      </c>
      <c r="M226" s="37" t="s">
        <v>703</v>
      </c>
      <c r="N226" s="37">
        <v>1998</v>
      </c>
      <c r="O226" s="37" t="s">
        <v>232</v>
      </c>
      <c r="P226" s="37" t="s">
        <v>3009</v>
      </c>
      <c r="Q226" s="37"/>
      <c r="R226" s="37" t="s">
        <v>379</v>
      </c>
      <c r="S226" s="37" t="s">
        <v>222</v>
      </c>
      <c r="T226" s="37">
        <v>1.3</v>
      </c>
      <c r="U226" s="37">
        <v>100</v>
      </c>
    </row>
    <row r="227" spans="1:21" ht="28.5" customHeight="1">
      <c r="A227" s="37" t="s">
        <v>3180</v>
      </c>
      <c r="B227" s="37" t="s">
        <v>299</v>
      </c>
      <c r="C227" s="37" t="s">
        <v>40</v>
      </c>
      <c r="D227" s="37">
        <v>19</v>
      </c>
      <c r="E227" s="37">
        <v>31</v>
      </c>
      <c r="F227" s="37" t="s">
        <v>36</v>
      </c>
      <c r="G227" s="37" t="s">
        <v>49</v>
      </c>
      <c r="H227" s="37"/>
      <c r="I227" s="37">
        <v>1.3</v>
      </c>
      <c r="J227" s="37"/>
      <c r="K227" s="37">
        <v>100</v>
      </c>
      <c r="L227" s="37" t="s">
        <v>230</v>
      </c>
      <c r="M227" s="37" t="s">
        <v>703</v>
      </c>
      <c r="N227" s="37">
        <v>1998</v>
      </c>
      <c r="O227" s="37" t="s">
        <v>232</v>
      </c>
      <c r="P227" s="37" t="s">
        <v>3009</v>
      </c>
      <c r="Q227" s="37"/>
      <c r="R227" s="37" t="s">
        <v>379</v>
      </c>
      <c r="S227" s="37" t="s">
        <v>222</v>
      </c>
      <c r="T227" s="37">
        <v>1.3</v>
      </c>
      <c r="U227" s="37">
        <v>100</v>
      </c>
    </row>
    <row r="228" spans="1:21" ht="28.5" customHeight="1">
      <c r="A228" s="37" t="s">
        <v>3181</v>
      </c>
      <c r="B228" s="37" t="s">
        <v>299</v>
      </c>
      <c r="C228" s="37" t="s">
        <v>396</v>
      </c>
      <c r="D228" s="37">
        <v>31</v>
      </c>
      <c r="E228" s="37">
        <v>51</v>
      </c>
      <c r="F228" s="37" t="s">
        <v>36</v>
      </c>
      <c r="G228" s="37" t="s">
        <v>49</v>
      </c>
      <c r="H228" s="37"/>
      <c r="I228" s="37">
        <v>1.3</v>
      </c>
      <c r="J228" s="37"/>
      <c r="K228" s="37">
        <v>100</v>
      </c>
      <c r="L228" s="37" t="s">
        <v>230</v>
      </c>
      <c r="M228" s="37" t="s">
        <v>703</v>
      </c>
      <c r="N228" s="37">
        <v>1998</v>
      </c>
      <c r="O228" s="37" t="s">
        <v>232</v>
      </c>
      <c r="P228" s="37" t="s">
        <v>3009</v>
      </c>
      <c r="Q228" s="37"/>
      <c r="R228" s="37" t="s">
        <v>379</v>
      </c>
      <c r="S228" s="37" t="s">
        <v>222</v>
      </c>
      <c r="T228" s="37">
        <v>1.3</v>
      </c>
      <c r="U228" s="37">
        <v>100</v>
      </c>
    </row>
    <row r="229" spans="1:21" ht="28.5" customHeight="1">
      <c r="A229" s="37" t="s">
        <v>3182</v>
      </c>
      <c r="B229" s="37" t="s">
        <v>299</v>
      </c>
      <c r="C229" s="37" t="s">
        <v>40</v>
      </c>
      <c r="D229" s="37">
        <v>31</v>
      </c>
      <c r="E229" s="37">
        <v>51</v>
      </c>
      <c r="F229" s="37" t="s">
        <v>36</v>
      </c>
      <c r="G229" s="37" t="s">
        <v>49</v>
      </c>
      <c r="H229" s="37"/>
      <c r="I229" s="37">
        <v>1.3</v>
      </c>
      <c r="J229" s="37"/>
      <c r="K229" s="37">
        <v>100</v>
      </c>
      <c r="L229" s="37" t="s">
        <v>230</v>
      </c>
      <c r="M229" s="37" t="s">
        <v>703</v>
      </c>
      <c r="N229" s="37">
        <v>1998</v>
      </c>
      <c r="O229" s="37" t="s">
        <v>232</v>
      </c>
      <c r="P229" s="37" t="s">
        <v>3009</v>
      </c>
      <c r="Q229" s="37"/>
      <c r="R229" s="37" t="s">
        <v>379</v>
      </c>
      <c r="S229" s="37" t="s">
        <v>222</v>
      </c>
      <c r="T229" s="37">
        <v>1.3</v>
      </c>
      <c r="U229" s="37">
        <v>100</v>
      </c>
    </row>
    <row r="230" spans="1:21" ht="28.5" customHeight="1">
      <c r="A230" s="37" t="s">
        <v>3183</v>
      </c>
      <c r="B230" s="37" t="s">
        <v>299</v>
      </c>
      <c r="C230" s="37" t="s">
        <v>396</v>
      </c>
      <c r="D230" s="37">
        <v>51</v>
      </c>
      <c r="E230" s="37">
        <v>71</v>
      </c>
      <c r="F230" s="37" t="s">
        <v>36</v>
      </c>
      <c r="G230" s="37" t="s">
        <v>49</v>
      </c>
      <c r="H230" s="37"/>
      <c r="I230" s="37">
        <v>1.7</v>
      </c>
      <c r="J230" s="37"/>
      <c r="K230" s="37">
        <v>100</v>
      </c>
      <c r="L230" s="37" t="s">
        <v>230</v>
      </c>
      <c r="M230" s="37" t="s">
        <v>703</v>
      </c>
      <c r="N230" s="37">
        <v>1998</v>
      </c>
      <c r="O230" s="37" t="s">
        <v>232</v>
      </c>
      <c r="P230" s="37" t="s">
        <v>3009</v>
      </c>
      <c r="Q230" s="37"/>
      <c r="R230" s="37" t="s">
        <v>379</v>
      </c>
      <c r="S230" s="37" t="s">
        <v>222</v>
      </c>
      <c r="T230" s="37">
        <v>1.7</v>
      </c>
      <c r="U230" s="37">
        <v>100</v>
      </c>
    </row>
    <row r="231" spans="1:21" ht="28.5" customHeight="1">
      <c r="A231" s="37" t="s">
        <v>3184</v>
      </c>
      <c r="B231" s="37" t="s">
        <v>299</v>
      </c>
      <c r="C231" s="37" t="s">
        <v>40</v>
      </c>
      <c r="D231" s="37">
        <v>51</v>
      </c>
      <c r="E231" s="37">
        <v>71</v>
      </c>
      <c r="F231" s="37" t="s">
        <v>36</v>
      </c>
      <c r="G231" s="37" t="s">
        <v>49</v>
      </c>
      <c r="H231" s="37"/>
      <c r="I231" s="37">
        <v>1.5</v>
      </c>
      <c r="J231" s="37"/>
      <c r="K231" s="37">
        <v>100</v>
      </c>
      <c r="L231" s="37" t="s">
        <v>230</v>
      </c>
      <c r="M231" s="37" t="s">
        <v>703</v>
      </c>
      <c r="N231" s="37">
        <v>1998</v>
      </c>
      <c r="O231" s="37" t="s">
        <v>232</v>
      </c>
      <c r="P231" s="37" t="s">
        <v>3009</v>
      </c>
      <c r="Q231" s="37"/>
      <c r="R231" s="37" t="s">
        <v>379</v>
      </c>
      <c r="S231" s="37" t="s">
        <v>222</v>
      </c>
      <c r="T231" s="37">
        <v>1.5</v>
      </c>
      <c r="U231" s="37">
        <v>100</v>
      </c>
    </row>
    <row r="232" spans="1:21" ht="28.5" customHeight="1">
      <c r="A232" s="37" t="s">
        <v>3185</v>
      </c>
      <c r="B232" s="37" t="s">
        <v>299</v>
      </c>
      <c r="C232" s="37" t="s">
        <v>396</v>
      </c>
      <c r="D232" s="37">
        <v>71</v>
      </c>
      <c r="E232" s="37">
        <v>999</v>
      </c>
      <c r="F232" s="37" t="s">
        <v>36</v>
      </c>
      <c r="G232" s="37" t="s">
        <v>49</v>
      </c>
      <c r="H232" s="37"/>
      <c r="I232" s="37">
        <v>1.7</v>
      </c>
      <c r="J232" s="37"/>
      <c r="K232" s="37">
        <v>100</v>
      </c>
      <c r="L232" s="37" t="s">
        <v>230</v>
      </c>
      <c r="M232" s="37" t="s">
        <v>703</v>
      </c>
      <c r="N232" s="37">
        <v>1998</v>
      </c>
      <c r="O232" s="37" t="s">
        <v>232</v>
      </c>
      <c r="P232" s="37" t="s">
        <v>3009</v>
      </c>
      <c r="Q232" s="37"/>
      <c r="R232" s="37" t="s">
        <v>379</v>
      </c>
      <c r="S232" s="37" t="s">
        <v>222</v>
      </c>
      <c r="T232" s="37">
        <v>1.7</v>
      </c>
      <c r="U232" s="37">
        <v>100</v>
      </c>
    </row>
    <row r="233" spans="1:21" ht="28.5" customHeight="1">
      <c r="A233" s="37" t="s">
        <v>3186</v>
      </c>
      <c r="B233" s="37" t="s">
        <v>299</v>
      </c>
      <c r="C233" s="37" t="s">
        <v>40</v>
      </c>
      <c r="D233" s="37">
        <v>71</v>
      </c>
      <c r="E233" s="37">
        <v>999</v>
      </c>
      <c r="F233" s="37" t="s">
        <v>36</v>
      </c>
      <c r="G233" s="37" t="s">
        <v>49</v>
      </c>
      <c r="H233" s="37"/>
      <c r="I233" s="37">
        <v>1.5</v>
      </c>
      <c r="J233" s="37"/>
      <c r="K233" s="37">
        <v>100</v>
      </c>
      <c r="L233" s="37" t="s">
        <v>230</v>
      </c>
      <c r="M233" s="37" t="s">
        <v>703</v>
      </c>
      <c r="N233" s="37">
        <v>1998</v>
      </c>
      <c r="O233" s="37" t="s">
        <v>232</v>
      </c>
      <c r="P233" s="37" t="s">
        <v>3009</v>
      </c>
      <c r="Q233" s="37"/>
      <c r="R233" s="37" t="s">
        <v>379</v>
      </c>
      <c r="S233" s="37" t="s">
        <v>222</v>
      </c>
      <c r="T233" s="37">
        <v>1.5</v>
      </c>
      <c r="U233" s="37">
        <v>100</v>
      </c>
    </row>
    <row r="234" spans="1:21" ht="28.5" customHeight="1">
      <c r="A234" s="37" t="s">
        <v>3187</v>
      </c>
      <c r="B234" s="37" t="s">
        <v>299</v>
      </c>
      <c r="C234" s="37" t="s">
        <v>40</v>
      </c>
      <c r="D234" s="37">
        <v>14</v>
      </c>
      <c r="E234" s="37">
        <v>51</v>
      </c>
      <c r="F234" s="37" t="s">
        <v>36</v>
      </c>
      <c r="G234" s="37" t="s">
        <v>414</v>
      </c>
      <c r="H234" s="37"/>
      <c r="I234" s="37">
        <v>1.9</v>
      </c>
      <c r="J234" s="37"/>
      <c r="K234" s="37">
        <v>100</v>
      </c>
      <c r="L234" s="37" t="s">
        <v>230</v>
      </c>
      <c r="M234" s="37" t="s">
        <v>703</v>
      </c>
      <c r="N234" s="37">
        <v>1998</v>
      </c>
      <c r="O234" s="37" t="s">
        <v>232</v>
      </c>
      <c r="P234" s="37" t="s">
        <v>3009</v>
      </c>
      <c r="Q234" s="37"/>
      <c r="R234" s="37" t="s">
        <v>379</v>
      </c>
      <c r="S234" s="37" t="s">
        <v>222</v>
      </c>
      <c r="T234" s="37">
        <v>1.9</v>
      </c>
      <c r="U234" s="37">
        <v>100</v>
      </c>
    </row>
    <row r="235" spans="1:21" ht="28.5" customHeight="1">
      <c r="A235" s="37" t="s">
        <v>3188</v>
      </c>
      <c r="B235" s="37" t="s">
        <v>299</v>
      </c>
      <c r="C235" s="37" t="s">
        <v>40</v>
      </c>
      <c r="D235" s="37">
        <v>14</v>
      </c>
      <c r="E235" s="37">
        <v>51</v>
      </c>
      <c r="F235" s="37" t="s">
        <v>36</v>
      </c>
      <c r="G235" s="37" t="s">
        <v>416</v>
      </c>
      <c r="H235" s="37"/>
      <c r="I235" s="37">
        <v>2</v>
      </c>
      <c r="J235" s="37"/>
      <c r="K235" s="37">
        <v>100</v>
      </c>
      <c r="L235" s="37" t="s">
        <v>230</v>
      </c>
      <c r="M235" s="37" t="s">
        <v>703</v>
      </c>
      <c r="N235" s="37">
        <v>1998</v>
      </c>
      <c r="O235" s="37" t="s">
        <v>232</v>
      </c>
      <c r="P235" s="37" t="s">
        <v>3009</v>
      </c>
      <c r="Q235" s="37"/>
      <c r="R235" s="37" t="s">
        <v>379</v>
      </c>
      <c r="S235" s="37" t="s">
        <v>222</v>
      </c>
      <c r="T235" s="37">
        <v>2</v>
      </c>
      <c r="U235" s="37">
        <v>100</v>
      </c>
    </row>
    <row r="236" spans="1:21" ht="28.5" customHeight="1">
      <c r="A236" s="37" t="s">
        <v>3189</v>
      </c>
      <c r="B236" s="37" t="s">
        <v>305</v>
      </c>
      <c r="C236" s="37" t="s">
        <v>387</v>
      </c>
      <c r="D236" s="37">
        <v>0</v>
      </c>
      <c r="E236" s="37">
        <v>0.5</v>
      </c>
      <c r="F236" s="37" t="s">
        <v>36</v>
      </c>
      <c r="G236" s="37" t="s">
        <v>49</v>
      </c>
      <c r="H236" s="37"/>
      <c r="I236" s="37"/>
      <c r="J236" s="37">
        <v>65</v>
      </c>
      <c r="K236" s="37"/>
      <c r="L236" s="37" t="s">
        <v>308</v>
      </c>
      <c r="M236" s="37" t="s">
        <v>703</v>
      </c>
      <c r="N236" s="37">
        <v>1998</v>
      </c>
      <c r="O236" s="37" t="s">
        <v>232</v>
      </c>
      <c r="P236" s="37" t="s">
        <v>3009</v>
      </c>
      <c r="Q236" s="37"/>
      <c r="R236" s="37" t="s">
        <v>380</v>
      </c>
      <c r="S236" s="37"/>
      <c r="T236" s="37">
        <v>65</v>
      </c>
      <c r="U236" s="37"/>
    </row>
    <row r="237" spans="1:21" ht="28.5" customHeight="1">
      <c r="A237" s="37" t="s">
        <v>3190</v>
      </c>
      <c r="B237" s="37" t="s">
        <v>305</v>
      </c>
      <c r="C237" s="37" t="s">
        <v>387</v>
      </c>
      <c r="D237" s="37">
        <v>0.5</v>
      </c>
      <c r="E237" s="37">
        <v>1</v>
      </c>
      <c r="F237" s="37" t="s">
        <v>36</v>
      </c>
      <c r="G237" s="37" t="s">
        <v>49</v>
      </c>
      <c r="H237" s="37"/>
      <c r="I237" s="37"/>
      <c r="J237" s="37">
        <v>80</v>
      </c>
      <c r="K237" s="37"/>
      <c r="L237" s="37" t="s">
        <v>308</v>
      </c>
      <c r="M237" s="37" t="s">
        <v>703</v>
      </c>
      <c r="N237" s="37">
        <v>1998</v>
      </c>
      <c r="O237" s="37" t="s">
        <v>232</v>
      </c>
      <c r="P237" s="37" t="s">
        <v>3009</v>
      </c>
      <c r="Q237" s="37"/>
      <c r="R237" s="37" t="s">
        <v>380</v>
      </c>
      <c r="S237" s="37"/>
      <c r="T237" s="37">
        <v>80</v>
      </c>
      <c r="U237" s="37"/>
    </row>
    <row r="238" spans="1:21" ht="28.5" customHeight="1">
      <c r="A238" s="37" t="s">
        <v>3191</v>
      </c>
      <c r="B238" s="37" t="s">
        <v>305</v>
      </c>
      <c r="C238" s="37" t="s">
        <v>387</v>
      </c>
      <c r="D238" s="37">
        <v>1</v>
      </c>
      <c r="E238" s="37">
        <v>4</v>
      </c>
      <c r="F238" s="37" t="s">
        <v>36</v>
      </c>
      <c r="G238" s="37" t="s">
        <v>49</v>
      </c>
      <c r="H238" s="37"/>
      <c r="I238" s="37">
        <v>150</v>
      </c>
      <c r="J238" s="37"/>
      <c r="K238" s="37">
        <v>300</v>
      </c>
      <c r="L238" s="37" t="s">
        <v>308</v>
      </c>
      <c r="M238" s="37" t="s">
        <v>703</v>
      </c>
      <c r="N238" s="37">
        <v>1998</v>
      </c>
      <c r="O238" s="37" t="s">
        <v>232</v>
      </c>
      <c r="P238" s="37" t="s">
        <v>3009</v>
      </c>
      <c r="Q238" s="37"/>
      <c r="R238" s="37" t="s">
        <v>379</v>
      </c>
      <c r="S238" s="37" t="s">
        <v>222</v>
      </c>
      <c r="T238" s="37">
        <v>150</v>
      </c>
      <c r="U238" s="37">
        <v>300</v>
      </c>
    </row>
    <row r="239" spans="1:21" ht="28.5" customHeight="1">
      <c r="A239" s="37" t="s">
        <v>3192</v>
      </c>
      <c r="B239" s="37" t="s">
        <v>305</v>
      </c>
      <c r="C239" s="37" t="s">
        <v>387</v>
      </c>
      <c r="D239" s="37">
        <v>4</v>
      </c>
      <c r="E239" s="37">
        <v>9</v>
      </c>
      <c r="F239" s="37" t="s">
        <v>36</v>
      </c>
      <c r="G239" s="37" t="s">
        <v>49</v>
      </c>
      <c r="H239" s="37"/>
      <c r="I239" s="37">
        <v>200</v>
      </c>
      <c r="J239" s="37"/>
      <c r="K239" s="37">
        <v>400</v>
      </c>
      <c r="L239" s="37" t="s">
        <v>308</v>
      </c>
      <c r="M239" s="37" t="s">
        <v>703</v>
      </c>
      <c r="N239" s="37">
        <v>1998</v>
      </c>
      <c r="O239" s="37" t="s">
        <v>232</v>
      </c>
      <c r="P239" s="37" t="s">
        <v>3009</v>
      </c>
      <c r="Q239" s="37"/>
      <c r="R239" s="37" t="s">
        <v>379</v>
      </c>
      <c r="S239" s="37" t="s">
        <v>222</v>
      </c>
      <c r="T239" s="37">
        <v>200</v>
      </c>
      <c r="U239" s="37">
        <v>400</v>
      </c>
    </row>
    <row r="240" spans="1:21" ht="28.5" customHeight="1">
      <c r="A240" s="37" t="s">
        <v>3193</v>
      </c>
      <c r="B240" s="37" t="s">
        <v>305</v>
      </c>
      <c r="C240" s="37" t="s">
        <v>396</v>
      </c>
      <c r="D240" s="37">
        <v>9</v>
      </c>
      <c r="E240" s="37">
        <v>14</v>
      </c>
      <c r="F240" s="37" t="s">
        <v>36</v>
      </c>
      <c r="G240" s="37" t="s">
        <v>49</v>
      </c>
      <c r="H240" s="37"/>
      <c r="I240" s="37">
        <v>300</v>
      </c>
      <c r="J240" s="37"/>
      <c r="K240" s="37">
        <v>600</v>
      </c>
      <c r="L240" s="37" t="s">
        <v>308</v>
      </c>
      <c r="M240" s="37" t="s">
        <v>703</v>
      </c>
      <c r="N240" s="37">
        <v>1998</v>
      </c>
      <c r="O240" s="37" t="s">
        <v>232</v>
      </c>
      <c r="P240" s="37" t="s">
        <v>3009</v>
      </c>
      <c r="Q240" s="37"/>
      <c r="R240" s="37" t="s">
        <v>379</v>
      </c>
      <c r="S240" s="37" t="s">
        <v>222</v>
      </c>
      <c r="T240" s="37">
        <v>300</v>
      </c>
      <c r="U240" s="37">
        <v>600</v>
      </c>
    </row>
    <row r="241" spans="1:21" ht="28.5" customHeight="1">
      <c r="A241" s="37" t="s">
        <v>3194</v>
      </c>
      <c r="B241" s="37" t="s">
        <v>305</v>
      </c>
      <c r="C241" s="37" t="s">
        <v>40</v>
      </c>
      <c r="D241" s="37">
        <v>9</v>
      </c>
      <c r="E241" s="37">
        <v>14</v>
      </c>
      <c r="F241" s="37" t="s">
        <v>36</v>
      </c>
      <c r="G241" s="37" t="s">
        <v>49</v>
      </c>
      <c r="H241" s="37"/>
      <c r="I241" s="37">
        <v>300</v>
      </c>
      <c r="J241" s="37"/>
      <c r="K241" s="37">
        <v>600</v>
      </c>
      <c r="L241" s="37" t="s">
        <v>308</v>
      </c>
      <c r="M241" s="37" t="s">
        <v>703</v>
      </c>
      <c r="N241" s="37">
        <v>1998</v>
      </c>
      <c r="O241" s="37" t="s">
        <v>232</v>
      </c>
      <c r="P241" s="37" t="s">
        <v>3009</v>
      </c>
      <c r="Q241" s="37"/>
      <c r="R241" s="37" t="s">
        <v>379</v>
      </c>
      <c r="S241" s="37" t="s">
        <v>222</v>
      </c>
      <c r="T241" s="37">
        <v>300</v>
      </c>
      <c r="U241" s="37">
        <v>600</v>
      </c>
    </row>
    <row r="242" spans="1:21" ht="28.5" customHeight="1">
      <c r="A242" s="37" t="s">
        <v>3195</v>
      </c>
      <c r="B242" s="37" t="s">
        <v>305</v>
      </c>
      <c r="C242" s="37" t="s">
        <v>396</v>
      </c>
      <c r="D242" s="37">
        <v>14</v>
      </c>
      <c r="E242" s="37">
        <v>19</v>
      </c>
      <c r="F242" s="37" t="s">
        <v>36</v>
      </c>
      <c r="G242" s="37" t="s">
        <v>49</v>
      </c>
      <c r="H242" s="37"/>
      <c r="I242" s="37">
        <v>400</v>
      </c>
      <c r="J242" s="37"/>
      <c r="K242" s="37">
        <v>800</v>
      </c>
      <c r="L242" s="37" t="s">
        <v>308</v>
      </c>
      <c r="M242" s="37" t="s">
        <v>703</v>
      </c>
      <c r="N242" s="37">
        <v>1998</v>
      </c>
      <c r="O242" s="37" t="s">
        <v>232</v>
      </c>
      <c r="P242" s="37" t="s">
        <v>3009</v>
      </c>
      <c r="Q242" s="37"/>
      <c r="R242" s="37" t="s">
        <v>379</v>
      </c>
      <c r="S242" s="37" t="s">
        <v>222</v>
      </c>
      <c r="T242" s="37">
        <v>400</v>
      </c>
      <c r="U242" s="37">
        <v>800</v>
      </c>
    </row>
    <row r="243" spans="1:21" ht="28.5" customHeight="1">
      <c r="A243" s="37" t="s">
        <v>3196</v>
      </c>
      <c r="B243" s="37" t="s">
        <v>305</v>
      </c>
      <c r="C243" s="37" t="s">
        <v>40</v>
      </c>
      <c r="D243" s="37">
        <v>14</v>
      </c>
      <c r="E243" s="37">
        <v>19</v>
      </c>
      <c r="F243" s="37" t="s">
        <v>36</v>
      </c>
      <c r="G243" s="37" t="s">
        <v>49</v>
      </c>
      <c r="H243" s="37"/>
      <c r="I243" s="37">
        <v>400</v>
      </c>
      <c r="J243" s="37"/>
      <c r="K243" s="37">
        <v>800</v>
      </c>
      <c r="L243" s="37" t="s">
        <v>308</v>
      </c>
      <c r="M243" s="37" t="s">
        <v>703</v>
      </c>
      <c r="N243" s="37">
        <v>1998</v>
      </c>
      <c r="O243" s="37" t="s">
        <v>232</v>
      </c>
      <c r="P243" s="37" t="s">
        <v>3009</v>
      </c>
      <c r="Q243" s="37"/>
      <c r="R243" s="37" t="s">
        <v>379</v>
      </c>
      <c r="S243" s="37" t="s">
        <v>222</v>
      </c>
      <c r="T243" s="37">
        <v>400</v>
      </c>
      <c r="U243" s="37">
        <v>800</v>
      </c>
    </row>
    <row r="244" spans="1:21" ht="28.5" customHeight="1">
      <c r="A244" s="37" t="s">
        <v>3197</v>
      </c>
      <c r="B244" s="37" t="s">
        <v>305</v>
      </c>
      <c r="C244" s="37" t="s">
        <v>396</v>
      </c>
      <c r="D244" s="37">
        <v>19</v>
      </c>
      <c r="E244" s="37">
        <v>31</v>
      </c>
      <c r="F244" s="37" t="s">
        <v>36</v>
      </c>
      <c r="G244" s="37" t="s">
        <v>49</v>
      </c>
      <c r="H244" s="37"/>
      <c r="I244" s="37">
        <v>400</v>
      </c>
      <c r="J244" s="37"/>
      <c r="K244" s="37">
        <v>1000</v>
      </c>
      <c r="L244" s="37" t="s">
        <v>308</v>
      </c>
      <c r="M244" s="37" t="s">
        <v>703</v>
      </c>
      <c r="N244" s="37">
        <v>1998</v>
      </c>
      <c r="O244" s="37" t="s">
        <v>232</v>
      </c>
      <c r="P244" s="37" t="s">
        <v>3009</v>
      </c>
      <c r="Q244" s="37"/>
      <c r="R244" s="37" t="s">
        <v>379</v>
      </c>
      <c r="S244" s="37" t="s">
        <v>222</v>
      </c>
      <c r="T244" s="37">
        <v>400</v>
      </c>
      <c r="U244" s="37">
        <v>1000</v>
      </c>
    </row>
    <row r="245" spans="1:21" ht="28.5" customHeight="1">
      <c r="A245" s="37" t="s">
        <v>3198</v>
      </c>
      <c r="B245" s="37" t="s">
        <v>305</v>
      </c>
      <c r="C245" s="37" t="s">
        <v>40</v>
      </c>
      <c r="D245" s="37">
        <v>19</v>
      </c>
      <c r="E245" s="37">
        <v>31</v>
      </c>
      <c r="F245" s="37" t="s">
        <v>36</v>
      </c>
      <c r="G245" s="37" t="s">
        <v>49</v>
      </c>
      <c r="H245" s="37"/>
      <c r="I245" s="37">
        <v>400</v>
      </c>
      <c r="J245" s="37"/>
      <c r="K245" s="37">
        <v>1000</v>
      </c>
      <c r="L245" s="37" t="s">
        <v>308</v>
      </c>
      <c r="M245" s="37" t="s">
        <v>703</v>
      </c>
      <c r="N245" s="37">
        <v>1998</v>
      </c>
      <c r="O245" s="37" t="s">
        <v>232</v>
      </c>
      <c r="P245" s="37" t="s">
        <v>3009</v>
      </c>
      <c r="Q245" s="37"/>
      <c r="R245" s="37" t="s">
        <v>379</v>
      </c>
      <c r="S245" s="37" t="s">
        <v>222</v>
      </c>
      <c r="T245" s="37">
        <v>400</v>
      </c>
      <c r="U245" s="37">
        <v>1000</v>
      </c>
    </row>
    <row r="246" spans="1:21" ht="28.5" customHeight="1">
      <c r="A246" s="37" t="s">
        <v>3199</v>
      </c>
      <c r="B246" s="37" t="s">
        <v>305</v>
      </c>
      <c r="C246" s="37" t="s">
        <v>396</v>
      </c>
      <c r="D246" s="37">
        <v>31</v>
      </c>
      <c r="E246" s="37">
        <v>51</v>
      </c>
      <c r="F246" s="37" t="s">
        <v>36</v>
      </c>
      <c r="G246" s="37" t="s">
        <v>49</v>
      </c>
      <c r="H246" s="37"/>
      <c r="I246" s="37">
        <v>400</v>
      </c>
      <c r="J246" s="37"/>
      <c r="K246" s="37">
        <v>1000</v>
      </c>
      <c r="L246" s="37" t="s">
        <v>308</v>
      </c>
      <c r="M246" s="37" t="s">
        <v>703</v>
      </c>
      <c r="N246" s="37">
        <v>1998</v>
      </c>
      <c r="O246" s="37" t="s">
        <v>232</v>
      </c>
      <c r="P246" s="37" t="s">
        <v>3009</v>
      </c>
      <c r="Q246" s="37"/>
      <c r="R246" s="37" t="s">
        <v>379</v>
      </c>
      <c r="S246" s="37" t="s">
        <v>222</v>
      </c>
      <c r="T246" s="37">
        <v>400</v>
      </c>
      <c r="U246" s="37">
        <v>1000</v>
      </c>
    </row>
    <row r="247" spans="1:21" ht="28.5" customHeight="1">
      <c r="A247" s="37" t="s">
        <v>3200</v>
      </c>
      <c r="B247" s="37" t="s">
        <v>305</v>
      </c>
      <c r="C247" s="37" t="s">
        <v>40</v>
      </c>
      <c r="D247" s="37">
        <v>31</v>
      </c>
      <c r="E247" s="37">
        <v>51</v>
      </c>
      <c r="F247" s="37" t="s">
        <v>36</v>
      </c>
      <c r="G247" s="37" t="s">
        <v>49</v>
      </c>
      <c r="H247" s="37"/>
      <c r="I247" s="37">
        <v>400</v>
      </c>
      <c r="J247" s="37"/>
      <c r="K247" s="37">
        <v>1000</v>
      </c>
      <c r="L247" s="37" t="s">
        <v>308</v>
      </c>
      <c r="M247" s="37" t="s">
        <v>703</v>
      </c>
      <c r="N247" s="37">
        <v>1998</v>
      </c>
      <c r="O247" s="37" t="s">
        <v>232</v>
      </c>
      <c r="P247" s="37" t="s">
        <v>3009</v>
      </c>
      <c r="Q247" s="37"/>
      <c r="R247" s="37" t="s">
        <v>379</v>
      </c>
      <c r="S247" s="37" t="s">
        <v>222</v>
      </c>
      <c r="T247" s="37">
        <v>400</v>
      </c>
      <c r="U247" s="37">
        <v>1000</v>
      </c>
    </row>
    <row r="248" spans="1:21" ht="28.5" customHeight="1">
      <c r="A248" s="37" t="s">
        <v>3201</v>
      </c>
      <c r="B248" s="37" t="s">
        <v>305</v>
      </c>
      <c r="C248" s="37" t="s">
        <v>396</v>
      </c>
      <c r="D248" s="37">
        <v>51</v>
      </c>
      <c r="E248" s="37">
        <v>71</v>
      </c>
      <c r="F248" s="37" t="s">
        <v>36</v>
      </c>
      <c r="G248" s="37" t="s">
        <v>49</v>
      </c>
      <c r="H248" s="37"/>
      <c r="I248" s="37">
        <v>400</v>
      </c>
      <c r="J248" s="37"/>
      <c r="K248" s="37">
        <v>1000</v>
      </c>
      <c r="L248" s="37" t="s">
        <v>308</v>
      </c>
      <c r="M248" s="37" t="s">
        <v>703</v>
      </c>
      <c r="N248" s="37">
        <v>1998</v>
      </c>
      <c r="O248" s="37" t="s">
        <v>232</v>
      </c>
      <c r="P248" s="37" t="s">
        <v>3009</v>
      </c>
      <c r="Q248" s="37"/>
      <c r="R248" s="37" t="s">
        <v>379</v>
      </c>
      <c r="S248" s="37" t="s">
        <v>222</v>
      </c>
      <c r="T248" s="37">
        <v>400</v>
      </c>
      <c r="U248" s="37">
        <v>1000</v>
      </c>
    </row>
    <row r="249" spans="1:21" ht="28.5" customHeight="1">
      <c r="A249" s="37" t="s">
        <v>3202</v>
      </c>
      <c r="B249" s="37" t="s">
        <v>305</v>
      </c>
      <c r="C249" s="37" t="s">
        <v>40</v>
      </c>
      <c r="D249" s="37">
        <v>51</v>
      </c>
      <c r="E249" s="37">
        <v>71</v>
      </c>
      <c r="F249" s="37" t="s">
        <v>36</v>
      </c>
      <c r="G249" s="37" t="s">
        <v>49</v>
      </c>
      <c r="H249" s="37"/>
      <c r="I249" s="37">
        <v>400</v>
      </c>
      <c r="J249" s="37"/>
      <c r="K249" s="37">
        <v>1000</v>
      </c>
      <c r="L249" s="37" t="s">
        <v>308</v>
      </c>
      <c r="M249" s="37" t="s">
        <v>703</v>
      </c>
      <c r="N249" s="37">
        <v>1998</v>
      </c>
      <c r="O249" s="37" t="s">
        <v>232</v>
      </c>
      <c r="P249" s="37" t="s">
        <v>3009</v>
      </c>
      <c r="Q249" s="37"/>
      <c r="R249" s="37" t="s">
        <v>379</v>
      </c>
      <c r="S249" s="37" t="s">
        <v>222</v>
      </c>
      <c r="T249" s="37">
        <v>400</v>
      </c>
      <c r="U249" s="37">
        <v>1000</v>
      </c>
    </row>
    <row r="250" spans="1:21" ht="28.5" customHeight="1">
      <c r="A250" s="37" t="s">
        <v>3203</v>
      </c>
      <c r="B250" s="37" t="s">
        <v>305</v>
      </c>
      <c r="C250" s="37" t="s">
        <v>396</v>
      </c>
      <c r="D250" s="37">
        <v>71</v>
      </c>
      <c r="E250" s="37">
        <v>999</v>
      </c>
      <c r="F250" s="37" t="s">
        <v>36</v>
      </c>
      <c r="G250" s="37" t="s">
        <v>49</v>
      </c>
      <c r="H250" s="37"/>
      <c r="I250" s="37">
        <v>400</v>
      </c>
      <c r="J250" s="37"/>
      <c r="K250" s="37">
        <v>1000</v>
      </c>
      <c r="L250" s="37" t="s">
        <v>308</v>
      </c>
      <c r="M250" s="37" t="s">
        <v>703</v>
      </c>
      <c r="N250" s="37">
        <v>1998</v>
      </c>
      <c r="O250" s="37" t="s">
        <v>232</v>
      </c>
      <c r="P250" s="37" t="s">
        <v>3009</v>
      </c>
      <c r="Q250" s="37"/>
      <c r="R250" s="37" t="s">
        <v>379</v>
      </c>
      <c r="S250" s="37" t="s">
        <v>222</v>
      </c>
      <c r="T250" s="37">
        <v>400</v>
      </c>
      <c r="U250" s="37">
        <v>1000</v>
      </c>
    </row>
    <row r="251" spans="1:21" ht="28.5" customHeight="1">
      <c r="A251" s="37" t="s">
        <v>3204</v>
      </c>
      <c r="B251" s="37" t="s">
        <v>305</v>
      </c>
      <c r="C251" s="37" t="s">
        <v>40</v>
      </c>
      <c r="D251" s="37">
        <v>71</v>
      </c>
      <c r="E251" s="37">
        <v>999</v>
      </c>
      <c r="F251" s="37" t="s">
        <v>36</v>
      </c>
      <c r="G251" s="37" t="s">
        <v>49</v>
      </c>
      <c r="H251" s="37"/>
      <c r="I251" s="37">
        <v>400</v>
      </c>
      <c r="J251" s="37"/>
      <c r="K251" s="37">
        <v>1000</v>
      </c>
      <c r="L251" s="37" t="s">
        <v>308</v>
      </c>
      <c r="M251" s="37" t="s">
        <v>703</v>
      </c>
      <c r="N251" s="37">
        <v>1998</v>
      </c>
      <c r="O251" s="37" t="s">
        <v>232</v>
      </c>
      <c r="P251" s="37" t="s">
        <v>3009</v>
      </c>
      <c r="Q251" s="37"/>
      <c r="R251" s="37" t="s">
        <v>379</v>
      </c>
      <c r="S251" s="37" t="s">
        <v>222</v>
      </c>
      <c r="T251" s="37">
        <v>400</v>
      </c>
      <c r="U251" s="37">
        <v>1000</v>
      </c>
    </row>
    <row r="252" spans="1:21" ht="28.5" customHeight="1">
      <c r="A252" s="37" t="s">
        <v>3205</v>
      </c>
      <c r="B252" s="37" t="s">
        <v>305</v>
      </c>
      <c r="C252" s="37" t="s">
        <v>40</v>
      </c>
      <c r="D252" s="37">
        <v>14</v>
      </c>
      <c r="E252" s="37">
        <v>51</v>
      </c>
      <c r="F252" s="37" t="s">
        <v>36</v>
      </c>
      <c r="G252" s="37" t="s">
        <v>414</v>
      </c>
      <c r="H252" s="37"/>
      <c r="I252" s="37">
        <v>600</v>
      </c>
      <c r="J252" s="37"/>
      <c r="K252" s="37">
        <v>1000</v>
      </c>
      <c r="L252" s="37" t="s">
        <v>308</v>
      </c>
      <c r="M252" s="37" t="s">
        <v>703</v>
      </c>
      <c r="N252" s="37">
        <v>1998</v>
      </c>
      <c r="O252" s="37" t="s">
        <v>232</v>
      </c>
      <c r="P252" s="37" t="s">
        <v>3009</v>
      </c>
      <c r="Q252" s="37"/>
      <c r="R252" s="37" t="s">
        <v>379</v>
      </c>
      <c r="S252" s="37" t="s">
        <v>222</v>
      </c>
      <c r="T252" s="37">
        <v>600</v>
      </c>
      <c r="U252" s="37">
        <v>1000</v>
      </c>
    </row>
    <row r="253" spans="1:21" ht="28.5" customHeight="1">
      <c r="A253" s="37" t="s">
        <v>3206</v>
      </c>
      <c r="B253" s="37" t="s">
        <v>305</v>
      </c>
      <c r="C253" s="37" t="s">
        <v>40</v>
      </c>
      <c r="D253" s="37">
        <v>14</v>
      </c>
      <c r="E253" s="37">
        <v>51</v>
      </c>
      <c r="F253" s="37" t="s">
        <v>36</v>
      </c>
      <c r="G253" s="37" t="s">
        <v>416</v>
      </c>
      <c r="H253" s="37"/>
      <c r="I253" s="37">
        <v>500</v>
      </c>
      <c r="J253" s="37"/>
      <c r="K253" s="37">
        <v>1000</v>
      </c>
      <c r="L253" s="37" t="s">
        <v>308</v>
      </c>
      <c r="M253" s="37" t="s">
        <v>703</v>
      </c>
      <c r="N253" s="37">
        <v>1998</v>
      </c>
      <c r="O253" s="37" t="s">
        <v>232</v>
      </c>
      <c r="P253" s="37" t="s">
        <v>3009</v>
      </c>
      <c r="Q253" s="37"/>
      <c r="R253" s="37" t="s">
        <v>379</v>
      </c>
      <c r="S253" s="37" t="s">
        <v>222</v>
      </c>
      <c r="T253" s="37">
        <v>500</v>
      </c>
      <c r="U253" s="37">
        <v>1000</v>
      </c>
    </row>
    <row r="254" spans="1:21" ht="28.5" customHeight="1">
      <c r="A254" s="37" t="s">
        <v>3207</v>
      </c>
      <c r="B254" s="37" t="s">
        <v>309</v>
      </c>
      <c r="C254" s="37" t="s">
        <v>387</v>
      </c>
      <c r="D254" s="37">
        <v>0</v>
      </c>
      <c r="E254" s="37">
        <v>0.5</v>
      </c>
      <c r="F254" s="37" t="s">
        <v>36</v>
      </c>
      <c r="G254" s="37" t="s">
        <v>49</v>
      </c>
      <c r="H254" s="37"/>
      <c r="I254" s="37"/>
      <c r="J254" s="37">
        <v>0.4</v>
      </c>
      <c r="K254" s="37"/>
      <c r="L254" s="37" t="s">
        <v>249</v>
      </c>
      <c r="M254" s="37" t="s">
        <v>703</v>
      </c>
      <c r="N254" s="37">
        <v>1998</v>
      </c>
      <c r="O254" s="37" t="s">
        <v>232</v>
      </c>
      <c r="P254" s="37" t="s">
        <v>3009</v>
      </c>
      <c r="Q254" s="37"/>
      <c r="R254" s="37" t="s">
        <v>380</v>
      </c>
      <c r="S254" s="37"/>
      <c r="T254" s="37">
        <v>0.4</v>
      </c>
      <c r="U254" s="37"/>
    </row>
    <row r="255" spans="1:21" ht="28.5" customHeight="1">
      <c r="A255" s="37" t="s">
        <v>3208</v>
      </c>
      <c r="B255" s="37" t="s">
        <v>309</v>
      </c>
      <c r="C255" s="37" t="s">
        <v>387</v>
      </c>
      <c r="D255" s="37">
        <v>0.5</v>
      </c>
      <c r="E255" s="37">
        <v>1</v>
      </c>
      <c r="F255" s="37" t="s">
        <v>36</v>
      </c>
      <c r="G255" s="37" t="s">
        <v>49</v>
      </c>
      <c r="H255" s="37"/>
      <c r="I255" s="37"/>
      <c r="J255" s="37">
        <v>0.5</v>
      </c>
      <c r="K255" s="37"/>
      <c r="L255" s="37" t="s">
        <v>249</v>
      </c>
      <c r="M255" s="37" t="s">
        <v>703</v>
      </c>
      <c r="N255" s="37">
        <v>1998</v>
      </c>
      <c r="O255" s="37" t="s">
        <v>232</v>
      </c>
      <c r="P255" s="37" t="s">
        <v>3009</v>
      </c>
      <c r="Q255" s="37"/>
      <c r="R255" s="37" t="s">
        <v>380</v>
      </c>
      <c r="S255" s="37"/>
      <c r="T255" s="37">
        <v>0.5</v>
      </c>
      <c r="U255" s="37"/>
    </row>
    <row r="256" spans="1:21" ht="28.5" customHeight="1">
      <c r="A256" s="37" t="s">
        <v>3209</v>
      </c>
      <c r="B256" s="37" t="s">
        <v>309</v>
      </c>
      <c r="C256" s="37" t="s">
        <v>387</v>
      </c>
      <c r="D256" s="37">
        <v>1</v>
      </c>
      <c r="E256" s="37">
        <v>4</v>
      </c>
      <c r="F256" s="37" t="s">
        <v>36</v>
      </c>
      <c r="G256" s="37" t="s">
        <v>49</v>
      </c>
      <c r="H256" s="37"/>
      <c r="I256" s="37">
        <v>0.9</v>
      </c>
      <c r="J256" s="37"/>
      <c r="K256" s="37"/>
      <c r="L256" s="37" t="s">
        <v>249</v>
      </c>
      <c r="M256" s="37" t="s">
        <v>703</v>
      </c>
      <c r="N256" s="37">
        <v>1998</v>
      </c>
      <c r="O256" s="37" t="s">
        <v>232</v>
      </c>
      <c r="P256" s="37" t="s">
        <v>3009</v>
      </c>
      <c r="Q256" s="37"/>
      <c r="R256" s="37" t="s">
        <v>379</v>
      </c>
      <c r="S256" s="37"/>
      <c r="T256" s="37">
        <v>0.9</v>
      </c>
      <c r="U256" s="37"/>
    </row>
    <row r="257" spans="1:21" ht="28.5" customHeight="1">
      <c r="A257" s="37" t="s">
        <v>3210</v>
      </c>
      <c r="B257" s="37" t="s">
        <v>309</v>
      </c>
      <c r="C257" s="37" t="s">
        <v>387</v>
      </c>
      <c r="D257" s="37">
        <v>4</v>
      </c>
      <c r="E257" s="37">
        <v>9</v>
      </c>
      <c r="F257" s="37" t="s">
        <v>36</v>
      </c>
      <c r="G257" s="37" t="s">
        <v>49</v>
      </c>
      <c r="H257" s="37"/>
      <c r="I257" s="37">
        <v>1.2</v>
      </c>
      <c r="J257" s="37"/>
      <c r="K257" s="37"/>
      <c r="L257" s="37" t="s">
        <v>249</v>
      </c>
      <c r="M257" s="37" t="s">
        <v>703</v>
      </c>
      <c r="N257" s="37">
        <v>1998</v>
      </c>
      <c r="O257" s="37" t="s">
        <v>232</v>
      </c>
      <c r="P257" s="37" t="s">
        <v>3009</v>
      </c>
      <c r="Q257" s="37"/>
      <c r="R257" s="37" t="s">
        <v>379</v>
      </c>
      <c r="S257" s="37"/>
      <c r="T257" s="37">
        <v>1.2</v>
      </c>
      <c r="U257" s="37"/>
    </row>
    <row r="258" spans="1:21" ht="28.5" customHeight="1">
      <c r="A258" s="37" t="s">
        <v>3211</v>
      </c>
      <c r="B258" s="37" t="s">
        <v>309</v>
      </c>
      <c r="C258" s="37" t="s">
        <v>396</v>
      </c>
      <c r="D258" s="37">
        <v>9</v>
      </c>
      <c r="E258" s="37">
        <v>14</v>
      </c>
      <c r="F258" s="37" t="s">
        <v>36</v>
      </c>
      <c r="G258" s="37" t="s">
        <v>49</v>
      </c>
      <c r="H258" s="37"/>
      <c r="I258" s="37">
        <v>1.8</v>
      </c>
      <c r="J258" s="37"/>
      <c r="K258" s="37"/>
      <c r="L258" s="37" t="s">
        <v>249</v>
      </c>
      <c r="M258" s="37" t="s">
        <v>703</v>
      </c>
      <c r="N258" s="37">
        <v>1998</v>
      </c>
      <c r="O258" s="37" t="s">
        <v>232</v>
      </c>
      <c r="P258" s="37" t="s">
        <v>3009</v>
      </c>
      <c r="Q258" s="37"/>
      <c r="R258" s="37" t="s">
        <v>379</v>
      </c>
      <c r="S258" s="37"/>
      <c r="T258" s="37">
        <v>1.8</v>
      </c>
      <c r="U258" s="37"/>
    </row>
    <row r="259" spans="1:21" ht="28.5" customHeight="1">
      <c r="A259" s="37" t="s">
        <v>3212</v>
      </c>
      <c r="B259" s="37" t="s">
        <v>309</v>
      </c>
      <c r="C259" s="37" t="s">
        <v>40</v>
      </c>
      <c r="D259" s="37">
        <v>9</v>
      </c>
      <c r="E259" s="37">
        <v>14</v>
      </c>
      <c r="F259" s="37" t="s">
        <v>36</v>
      </c>
      <c r="G259" s="37" t="s">
        <v>49</v>
      </c>
      <c r="H259" s="37"/>
      <c r="I259" s="37">
        <v>1.8</v>
      </c>
      <c r="J259" s="37"/>
      <c r="K259" s="37"/>
      <c r="L259" s="37" t="s">
        <v>249</v>
      </c>
      <c r="M259" s="37" t="s">
        <v>703</v>
      </c>
      <c r="N259" s="37">
        <v>1998</v>
      </c>
      <c r="O259" s="37" t="s">
        <v>232</v>
      </c>
      <c r="P259" s="37" t="s">
        <v>3009</v>
      </c>
      <c r="Q259" s="37"/>
      <c r="R259" s="37" t="s">
        <v>379</v>
      </c>
      <c r="S259" s="37"/>
      <c r="T259" s="37">
        <v>1.8</v>
      </c>
      <c r="U259" s="37"/>
    </row>
    <row r="260" spans="1:21" ht="28.5" customHeight="1">
      <c r="A260" s="37" t="s">
        <v>3213</v>
      </c>
      <c r="B260" s="37" t="s">
        <v>309</v>
      </c>
      <c r="C260" s="37" t="s">
        <v>396</v>
      </c>
      <c r="D260" s="37">
        <v>14</v>
      </c>
      <c r="E260" s="37">
        <v>19</v>
      </c>
      <c r="F260" s="37" t="s">
        <v>36</v>
      </c>
      <c r="G260" s="37" t="s">
        <v>49</v>
      </c>
      <c r="H260" s="37"/>
      <c r="I260" s="37">
        <v>2.4</v>
      </c>
      <c r="J260" s="37"/>
      <c r="K260" s="37"/>
      <c r="L260" s="37" t="s">
        <v>249</v>
      </c>
      <c r="M260" s="37" t="s">
        <v>703</v>
      </c>
      <c r="N260" s="37">
        <v>1998</v>
      </c>
      <c r="O260" s="37" t="s">
        <v>232</v>
      </c>
      <c r="P260" s="37" t="s">
        <v>3009</v>
      </c>
      <c r="Q260" s="37"/>
      <c r="R260" s="37" t="s">
        <v>379</v>
      </c>
      <c r="S260" s="37"/>
      <c r="T260" s="37">
        <v>2.4</v>
      </c>
      <c r="U260" s="37"/>
    </row>
    <row r="261" spans="1:21" ht="28.5" customHeight="1">
      <c r="A261" s="37" t="s">
        <v>3214</v>
      </c>
      <c r="B261" s="37" t="s">
        <v>309</v>
      </c>
      <c r="C261" s="37" t="s">
        <v>40</v>
      </c>
      <c r="D261" s="37">
        <v>14</v>
      </c>
      <c r="E261" s="37">
        <v>19</v>
      </c>
      <c r="F261" s="37" t="s">
        <v>36</v>
      </c>
      <c r="G261" s="37" t="s">
        <v>49</v>
      </c>
      <c r="H261" s="37"/>
      <c r="I261" s="37">
        <v>2.4</v>
      </c>
      <c r="J261" s="37"/>
      <c r="K261" s="37"/>
      <c r="L261" s="37" t="s">
        <v>249</v>
      </c>
      <c r="M261" s="37" t="s">
        <v>703</v>
      </c>
      <c r="N261" s="37">
        <v>1998</v>
      </c>
      <c r="O261" s="37" t="s">
        <v>232</v>
      </c>
      <c r="P261" s="37" t="s">
        <v>3009</v>
      </c>
      <c r="Q261" s="37"/>
      <c r="R261" s="37" t="s">
        <v>379</v>
      </c>
      <c r="S261" s="37"/>
      <c r="T261" s="37">
        <v>2.4</v>
      </c>
      <c r="U261" s="37"/>
    </row>
    <row r="262" spans="1:21" ht="28.5" customHeight="1">
      <c r="A262" s="37" t="s">
        <v>3215</v>
      </c>
      <c r="B262" s="37" t="s">
        <v>309</v>
      </c>
      <c r="C262" s="37" t="s">
        <v>396</v>
      </c>
      <c r="D262" s="37">
        <v>19</v>
      </c>
      <c r="E262" s="37">
        <v>31</v>
      </c>
      <c r="F262" s="37" t="s">
        <v>36</v>
      </c>
      <c r="G262" s="37" t="s">
        <v>49</v>
      </c>
      <c r="H262" s="37"/>
      <c r="I262" s="37">
        <v>2.4</v>
      </c>
      <c r="J262" s="37"/>
      <c r="K262" s="37"/>
      <c r="L262" s="37" t="s">
        <v>249</v>
      </c>
      <c r="M262" s="37" t="s">
        <v>703</v>
      </c>
      <c r="N262" s="37">
        <v>1998</v>
      </c>
      <c r="O262" s="37" t="s">
        <v>232</v>
      </c>
      <c r="P262" s="37" t="s">
        <v>3009</v>
      </c>
      <c r="Q262" s="37"/>
      <c r="R262" s="37" t="s">
        <v>379</v>
      </c>
      <c r="S262" s="37"/>
      <c r="T262" s="37">
        <v>2.4</v>
      </c>
      <c r="U262" s="37"/>
    </row>
    <row r="263" spans="1:21" ht="28.5" customHeight="1">
      <c r="A263" s="37" t="s">
        <v>3216</v>
      </c>
      <c r="B263" s="37" t="s">
        <v>309</v>
      </c>
      <c r="C263" s="37" t="s">
        <v>40</v>
      </c>
      <c r="D263" s="37">
        <v>19</v>
      </c>
      <c r="E263" s="37">
        <v>31</v>
      </c>
      <c r="F263" s="37" t="s">
        <v>36</v>
      </c>
      <c r="G263" s="37" t="s">
        <v>49</v>
      </c>
      <c r="H263" s="37"/>
      <c r="I263" s="37">
        <v>2.4</v>
      </c>
      <c r="J263" s="37"/>
      <c r="K263" s="37"/>
      <c r="L263" s="37" t="s">
        <v>249</v>
      </c>
      <c r="M263" s="37" t="s">
        <v>703</v>
      </c>
      <c r="N263" s="37">
        <v>1998</v>
      </c>
      <c r="O263" s="37" t="s">
        <v>232</v>
      </c>
      <c r="P263" s="37" t="s">
        <v>3009</v>
      </c>
      <c r="Q263" s="37"/>
      <c r="R263" s="37" t="s">
        <v>379</v>
      </c>
      <c r="S263" s="37"/>
      <c r="T263" s="37">
        <v>2.4</v>
      </c>
      <c r="U263" s="37"/>
    </row>
    <row r="264" spans="1:21" ht="28.5" customHeight="1">
      <c r="A264" s="37" t="s">
        <v>3217</v>
      </c>
      <c r="B264" s="37" t="s">
        <v>309</v>
      </c>
      <c r="C264" s="37" t="s">
        <v>396</v>
      </c>
      <c r="D264" s="37">
        <v>31</v>
      </c>
      <c r="E264" s="37">
        <v>51</v>
      </c>
      <c r="F264" s="37" t="s">
        <v>36</v>
      </c>
      <c r="G264" s="37" t="s">
        <v>49</v>
      </c>
      <c r="H264" s="37"/>
      <c r="I264" s="37">
        <v>2.4</v>
      </c>
      <c r="J264" s="37"/>
      <c r="K264" s="37"/>
      <c r="L264" s="37" t="s">
        <v>249</v>
      </c>
      <c r="M264" s="37" t="s">
        <v>703</v>
      </c>
      <c r="N264" s="37">
        <v>1998</v>
      </c>
      <c r="O264" s="37" t="s">
        <v>232</v>
      </c>
      <c r="P264" s="37" t="s">
        <v>3009</v>
      </c>
      <c r="Q264" s="37"/>
      <c r="R264" s="37" t="s">
        <v>379</v>
      </c>
      <c r="S264" s="37"/>
      <c r="T264" s="37">
        <v>2.4</v>
      </c>
      <c r="U264" s="37"/>
    </row>
    <row r="265" spans="1:21" ht="28.5" customHeight="1">
      <c r="A265" s="37" t="s">
        <v>3218</v>
      </c>
      <c r="B265" s="37" t="s">
        <v>309</v>
      </c>
      <c r="C265" s="37" t="s">
        <v>40</v>
      </c>
      <c r="D265" s="37">
        <v>31</v>
      </c>
      <c r="E265" s="37">
        <v>51</v>
      </c>
      <c r="F265" s="37" t="s">
        <v>36</v>
      </c>
      <c r="G265" s="37" t="s">
        <v>49</v>
      </c>
      <c r="H265" s="37"/>
      <c r="I265" s="37">
        <v>2.4</v>
      </c>
      <c r="J265" s="37"/>
      <c r="K265" s="37"/>
      <c r="L265" s="37" t="s">
        <v>249</v>
      </c>
      <c r="M265" s="37" t="s">
        <v>703</v>
      </c>
      <c r="N265" s="37">
        <v>1998</v>
      </c>
      <c r="O265" s="37" t="s">
        <v>232</v>
      </c>
      <c r="P265" s="37" t="s">
        <v>3009</v>
      </c>
      <c r="Q265" s="37"/>
      <c r="R265" s="37" t="s">
        <v>379</v>
      </c>
      <c r="S265" s="37"/>
      <c r="T265" s="37">
        <v>2.4</v>
      </c>
      <c r="U265" s="37"/>
    </row>
    <row r="266" spans="1:21" ht="28.5" customHeight="1">
      <c r="A266" s="37" t="s">
        <v>3219</v>
      </c>
      <c r="B266" s="37" t="s">
        <v>309</v>
      </c>
      <c r="C266" s="37" t="s">
        <v>396</v>
      </c>
      <c r="D266" s="37">
        <v>51</v>
      </c>
      <c r="E266" s="37">
        <v>71</v>
      </c>
      <c r="F266" s="37" t="s">
        <v>36</v>
      </c>
      <c r="G266" s="37" t="s">
        <v>49</v>
      </c>
      <c r="H266" s="37"/>
      <c r="I266" s="37">
        <v>2.4</v>
      </c>
      <c r="J266" s="37"/>
      <c r="K266" s="37"/>
      <c r="L266" s="37" t="s">
        <v>249</v>
      </c>
      <c r="M266" s="37" t="s">
        <v>703</v>
      </c>
      <c r="N266" s="37">
        <v>1998</v>
      </c>
      <c r="O266" s="37" t="s">
        <v>232</v>
      </c>
      <c r="P266" s="37" t="s">
        <v>3009</v>
      </c>
      <c r="Q266" s="37"/>
      <c r="R266" s="37" t="s">
        <v>379</v>
      </c>
      <c r="S266" s="37"/>
      <c r="T266" s="37">
        <v>2.4</v>
      </c>
      <c r="U266" s="37"/>
    </row>
    <row r="267" spans="1:21" ht="28.5" customHeight="1">
      <c r="A267" s="37" t="s">
        <v>3220</v>
      </c>
      <c r="B267" s="37" t="s">
        <v>309</v>
      </c>
      <c r="C267" s="37" t="s">
        <v>40</v>
      </c>
      <c r="D267" s="37">
        <v>51</v>
      </c>
      <c r="E267" s="37">
        <v>71</v>
      </c>
      <c r="F267" s="37" t="s">
        <v>36</v>
      </c>
      <c r="G267" s="37" t="s">
        <v>49</v>
      </c>
      <c r="H267" s="37"/>
      <c r="I267" s="37">
        <v>2.4</v>
      </c>
      <c r="J267" s="37"/>
      <c r="K267" s="37"/>
      <c r="L267" s="37" t="s">
        <v>249</v>
      </c>
      <c r="M267" s="37" t="s">
        <v>703</v>
      </c>
      <c r="N267" s="37">
        <v>1998</v>
      </c>
      <c r="O267" s="37" t="s">
        <v>232</v>
      </c>
      <c r="P267" s="37" t="s">
        <v>3009</v>
      </c>
      <c r="Q267" s="37"/>
      <c r="R267" s="37" t="s">
        <v>379</v>
      </c>
      <c r="S267" s="37"/>
      <c r="T267" s="37">
        <v>2.4</v>
      </c>
      <c r="U267" s="37"/>
    </row>
    <row r="268" spans="1:21" ht="28.5" customHeight="1">
      <c r="A268" s="37" t="s">
        <v>3221</v>
      </c>
      <c r="B268" s="37" t="s">
        <v>309</v>
      </c>
      <c r="C268" s="37" t="s">
        <v>396</v>
      </c>
      <c r="D268" s="37">
        <v>71</v>
      </c>
      <c r="E268" s="37">
        <v>999</v>
      </c>
      <c r="F268" s="37" t="s">
        <v>36</v>
      </c>
      <c r="G268" s="37" t="s">
        <v>49</v>
      </c>
      <c r="H268" s="37"/>
      <c r="I268" s="37">
        <v>2.4</v>
      </c>
      <c r="J268" s="37"/>
      <c r="K268" s="37"/>
      <c r="L268" s="37" t="s">
        <v>249</v>
      </c>
      <c r="M268" s="37" t="s">
        <v>703</v>
      </c>
      <c r="N268" s="37">
        <v>1998</v>
      </c>
      <c r="O268" s="37" t="s">
        <v>232</v>
      </c>
      <c r="P268" s="37" t="s">
        <v>3009</v>
      </c>
      <c r="Q268" s="37"/>
      <c r="R268" s="37" t="s">
        <v>379</v>
      </c>
      <c r="S268" s="37"/>
      <c r="T268" s="37">
        <v>2.4</v>
      </c>
      <c r="U268" s="37"/>
    </row>
    <row r="269" spans="1:21" ht="28.5" customHeight="1">
      <c r="A269" s="37" t="s">
        <v>3222</v>
      </c>
      <c r="B269" s="37" t="s">
        <v>309</v>
      </c>
      <c r="C269" s="37" t="s">
        <v>40</v>
      </c>
      <c r="D269" s="37">
        <v>71</v>
      </c>
      <c r="E269" s="37">
        <v>999</v>
      </c>
      <c r="F269" s="37" t="s">
        <v>36</v>
      </c>
      <c r="G269" s="37" t="s">
        <v>49</v>
      </c>
      <c r="H269" s="37"/>
      <c r="I269" s="37">
        <v>2.4</v>
      </c>
      <c r="J269" s="37"/>
      <c r="K269" s="37"/>
      <c r="L269" s="37" t="s">
        <v>249</v>
      </c>
      <c r="M269" s="37" t="s">
        <v>703</v>
      </c>
      <c r="N269" s="37">
        <v>1998</v>
      </c>
      <c r="O269" s="37" t="s">
        <v>232</v>
      </c>
      <c r="P269" s="37" t="s">
        <v>3009</v>
      </c>
      <c r="Q269" s="37"/>
      <c r="R269" s="37" t="s">
        <v>379</v>
      </c>
      <c r="S269" s="37"/>
      <c r="T269" s="37">
        <v>2.4</v>
      </c>
      <c r="U269" s="37"/>
    </row>
    <row r="270" spans="1:21" ht="28.5" customHeight="1">
      <c r="A270" s="37" t="s">
        <v>3223</v>
      </c>
      <c r="B270" s="37" t="s">
        <v>309</v>
      </c>
      <c r="C270" s="37" t="s">
        <v>40</v>
      </c>
      <c r="D270" s="37">
        <v>14</v>
      </c>
      <c r="E270" s="37">
        <v>51</v>
      </c>
      <c r="F270" s="37" t="s">
        <v>36</v>
      </c>
      <c r="G270" s="37" t="s">
        <v>414</v>
      </c>
      <c r="H270" s="37"/>
      <c r="I270" s="37">
        <v>2.6</v>
      </c>
      <c r="J270" s="37"/>
      <c r="K270" s="37"/>
      <c r="L270" s="37" t="s">
        <v>249</v>
      </c>
      <c r="M270" s="37" t="s">
        <v>703</v>
      </c>
      <c r="N270" s="37">
        <v>1998</v>
      </c>
      <c r="O270" s="37" t="s">
        <v>232</v>
      </c>
      <c r="P270" s="37" t="s">
        <v>3009</v>
      </c>
      <c r="Q270" s="37"/>
      <c r="R270" s="37" t="s">
        <v>379</v>
      </c>
      <c r="S270" s="37"/>
      <c r="T270" s="37">
        <v>2.6</v>
      </c>
      <c r="U270" s="37"/>
    </row>
    <row r="271" spans="1:21" ht="28.5" customHeight="1">
      <c r="A271" s="37" t="s">
        <v>3224</v>
      </c>
      <c r="B271" s="37" t="s">
        <v>309</v>
      </c>
      <c r="C271" s="37" t="s">
        <v>40</v>
      </c>
      <c r="D271" s="37">
        <v>14</v>
      </c>
      <c r="E271" s="37">
        <v>51</v>
      </c>
      <c r="F271" s="37" t="s">
        <v>36</v>
      </c>
      <c r="G271" s="37" t="s">
        <v>416</v>
      </c>
      <c r="H271" s="37"/>
      <c r="I271" s="37">
        <v>2.8</v>
      </c>
      <c r="J271" s="37"/>
      <c r="K271" s="37"/>
      <c r="L271" s="37" t="s">
        <v>249</v>
      </c>
      <c r="M271" s="37" t="s">
        <v>703</v>
      </c>
      <c r="N271" s="37">
        <v>1998</v>
      </c>
      <c r="O271" s="37" t="s">
        <v>232</v>
      </c>
      <c r="P271" s="37" t="s">
        <v>3009</v>
      </c>
      <c r="Q271" s="37"/>
      <c r="R271" s="37" t="s">
        <v>379</v>
      </c>
      <c r="S271" s="37"/>
      <c r="T271" s="37">
        <v>2.8</v>
      </c>
      <c r="U271" s="37"/>
    </row>
    <row r="272" spans="1:21" ht="28.5" customHeight="1">
      <c r="A272" s="37" t="s">
        <v>3225</v>
      </c>
      <c r="B272" s="37" t="s">
        <v>239</v>
      </c>
      <c r="C272" s="37" t="s">
        <v>387</v>
      </c>
      <c r="D272" s="37">
        <v>0</v>
      </c>
      <c r="E272" s="37">
        <v>0.5</v>
      </c>
      <c r="F272" s="37" t="s">
        <v>36</v>
      </c>
      <c r="G272" s="37" t="s">
        <v>49</v>
      </c>
      <c r="H272" s="37"/>
      <c r="I272" s="37"/>
      <c r="J272" s="37">
        <v>200</v>
      </c>
      <c r="K272" s="37">
        <v>1000</v>
      </c>
      <c r="L272" s="37" t="s">
        <v>230</v>
      </c>
      <c r="M272" s="37" t="s">
        <v>703</v>
      </c>
      <c r="N272" s="37">
        <v>2011</v>
      </c>
      <c r="O272" s="37" t="s">
        <v>232</v>
      </c>
      <c r="P272" s="37" t="s">
        <v>3009</v>
      </c>
      <c r="Q272" s="37"/>
      <c r="R272" s="37" t="s">
        <v>380</v>
      </c>
      <c r="S272" s="37" t="s">
        <v>222</v>
      </c>
      <c r="T272" s="37">
        <v>200</v>
      </c>
      <c r="U272" s="37">
        <v>1000</v>
      </c>
    </row>
    <row r="273" spans="1:21" ht="28.5" customHeight="1">
      <c r="A273" s="37" t="s">
        <v>3226</v>
      </c>
      <c r="B273" s="37" t="s">
        <v>239</v>
      </c>
      <c r="C273" s="37" t="s">
        <v>387</v>
      </c>
      <c r="D273" s="37">
        <v>0.5</v>
      </c>
      <c r="E273" s="37">
        <v>1</v>
      </c>
      <c r="F273" s="37" t="s">
        <v>36</v>
      </c>
      <c r="G273" s="37" t="s">
        <v>49</v>
      </c>
      <c r="H273" s="37"/>
      <c r="I273" s="37"/>
      <c r="J273" s="37">
        <v>260</v>
      </c>
      <c r="K273" s="37">
        <v>1500</v>
      </c>
      <c r="L273" s="37" t="s">
        <v>230</v>
      </c>
      <c r="M273" s="37" t="s">
        <v>703</v>
      </c>
      <c r="N273" s="37">
        <v>2011</v>
      </c>
      <c r="O273" s="37" t="s">
        <v>232</v>
      </c>
      <c r="P273" s="37" t="s">
        <v>3009</v>
      </c>
      <c r="Q273" s="37"/>
      <c r="R273" s="37" t="s">
        <v>380</v>
      </c>
      <c r="S273" s="37" t="s">
        <v>222</v>
      </c>
      <c r="T273" s="37">
        <v>260</v>
      </c>
      <c r="U273" s="37">
        <v>1500</v>
      </c>
    </row>
    <row r="274" spans="1:21" ht="28.5" customHeight="1">
      <c r="A274" s="37" t="s">
        <v>3227</v>
      </c>
      <c r="B274" s="37" t="s">
        <v>239</v>
      </c>
      <c r="C274" s="37" t="s">
        <v>387</v>
      </c>
      <c r="D274" s="37">
        <v>1</v>
      </c>
      <c r="E274" s="37">
        <v>4</v>
      </c>
      <c r="F274" s="37" t="s">
        <v>36</v>
      </c>
      <c r="G274" s="37" t="s">
        <v>49</v>
      </c>
      <c r="H274" s="37"/>
      <c r="I274" s="37">
        <v>700</v>
      </c>
      <c r="J274" s="37"/>
      <c r="K274" s="37">
        <v>2500</v>
      </c>
      <c r="L274" s="37" t="s">
        <v>230</v>
      </c>
      <c r="M274" s="37" t="s">
        <v>703</v>
      </c>
      <c r="N274" s="37">
        <v>2011</v>
      </c>
      <c r="O274" s="37" t="s">
        <v>232</v>
      </c>
      <c r="P274" s="37" t="s">
        <v>3009</v>
      </c>
      <c r="Q274" s="37"/>
      <c r="R274" s="37" t="s">
        <v>379</v>
      </c>
      <c r="S274" s="37" t="s">
        <v>222</v>
      </c>
      <c r="T274" s="37">
        <v>700</v>
      </c>
      <c r="U274" s="37">
        <v>2500</v>
      </c>
    </row>
    <row r="275" spans="1:21" ht="28.5" customHeight="1">
      <c r="A275" s="37" t="s">
        <v>3228</v>
      </c>
      <c r="B275" s="37" t="s">
        <v>239</v>
      </c>
      <c r="C275" s="37" t="s">
        <v>387</v>
      </c>
      <c r="D275" s="37">
        <v>4</v>
      </c>
      <c r="E275" s="37">
        <v>9</v>
      </c>
      <c r="F275" s="37" t="s">
        <v>36</v>
      </c>
      <c r="G275" s="37" t="s">
        <v>49</v>
      </c>
      <c r="H275" s="37"/>
      <c r="I275" s="37">
        <v>1000</v>
      </c>
      <c r="J275" s="37"/>
      <c r="K275" s="37">
        <v>2500</v>
      </c>
      <c r="L275" s="37" t="s">
        <v>230</v>
      </c>
      <c r="M275" s="37" t="s">
        <v>703</v>
      </c>
      <c r="N275" s="37">
        <v>2011</v>
      </c>
      <c r="O275" s="37" t="s">
        <v>232</v>
      </c>
      <c r="P275" s="37" t="s">
        <v>3009</v>
      </c>
      <c r="Q275" s="37"/>
      <c r="R275" s="37" t="s">
        <v>379</v>
      </c>
      <c r="S275" s="37" t="s">
        <v>222</v>
      </c>
      <c r="T275" s="37">
        <v>1000</v>
      </c>
      <c r="U275" s="37">
        <v>2500</v>
      </c>
    </row>
    <row r="276" spans="1:21" ht="28.5" customHeight="1">
      <c r="A276" s="37" t="s">
        <v>3229</v>
      </c>
      <c r="B276" s="37" t="s">
        <v>239</v>
      </c>
      <c r="C276" s="37" t="s">
        <v>396</v>
      </c>
      <c r="D276" s="37">
        <v>9</v>
      </c>
      <c r="E276" s="37">
        <v>14</v>
      </c>
      <c r="F276" s="37" t="s">
        <v>36</v>
      </c>
      <c r="G276" s="37" t="s">
        <v>49</v>
      </c>
      <c r="H276" s="37"/>
      <c r="I276" s="37">
        <v>1300</v>
      </c>
      <c r="J276" s="37"/>
      <c r="K276" s="37">
        <v>3000</v>
      </c>
      <c r="L276" s="37" t="s">
        <v>230</v>
      </c>
      <c r="M276" s="37" t="s">
        <v>703</v>
      </c>
      <c r="N276" s="37">
        <v>2011</v>
      </c>
      <c r="O276" s="37" t="s">
        <v>232</v>
      </c>
      <c r="P276" s="37" t="s">
        <v>3009</v>
      </c>
      <c r="Q276" s="37"/>
      <c r="R276" s="37" t="s">
        <v>379</v>
      </c>
      <c r="S276" s="37" t="s">
        <v>222</v>
      </c>
      <c r="T276" s="37">
        <v>1300</v>
      </c>
      <c r="U276" s="37">
        <v>3000</v>
      </c>
    </row>
    <row r="277" spans="1:21" ht="28.5" customHeight="1">
      <c r="A277" s="37" t="s">
        <v>3230</v>
      </c>
      <c r="B277" s="37" t="s">
        <v>239</v>
      </c>
      <c r="C277" s="37" t="s">
        <v>40</v>
      </c>
      <c r="D277" s="37">
        <v>9</v>
      </c>
      <c r="E277" s="37">
        <v>14</v>
      </c>
      <c r="F277" s="37" t="s">
        <v>36</v>
      </c>
      <c r="G277" s="37" t="s">
        <v>49</v>
      </c>
      <c r="H277" s="37"/>
      <c r="I277" s="37">
        <v>1300</v>
      </c>
      <c r="J277" s="37"/>
      <c r="K277" s="37">
        <v>3000</v>
      </c>
      <c r="L277" s="37" t="s">
        <v>230</v>
      </c>
      <c r="M277" s="37" t="s">
        <v>703</v>
      </c>
      <c r="N277" s="37">
        <v>2011</v>
      </c>
      <c r="O277" s="37" t="s">
        <v>232</v>
      </c>
      <c r="P277" s="37" t="s">
        <v>3009</v>
      </c>
      <c r="Q277" s="37"/>
      <c r="R277" s="37" t="s">
        <v>379</v>
      </c>
      <c r="S277" s="37" t="s">
        <v>222</v>
      </c>
      <c r="T277" s="37">
        <v>1300</v>
      </c>
      <c r="U277" s="37">
        <v>3000</v>
      </c>
    </row>
    <row r="278" spans="1:21" ht="28.5" customHeight="1">
      <c r="A278" s="37" t="s">
        <v>3231</v>
      </c>
      <c r="B278" s="37" t="s">
        <v>239</v>
      </c>
      <c r="C278" s="37" t="s">
        <v>396</v>
      </c>
      <c r="D278" s="37">
        <v>14</v>
      </c>
      <c r="E278" s="37">
        <v>19</v>
      </c>
      <c r="F278" s="37" t="s">
        <v>36</v>
      </c>
      <c r="G278" s="37" t="s">
        <v>49</v>
      </c>
      <c r="H278" s="37"/>
      <c r="I278" s="37">
        <v>1300</v>
      </c>
      <c r="J278" s="37"/>
      <c r="K278" s="37">
        <v>3000</v>
      </c>
      <c r="L278" s="37" t="s">
        <v>230</v>
      </c>
      <c r="M278" s="37" t="s">
        <v>703</v>
      </c>
      <c r="N278" s="37">
        <v>2011</v>
      </c>
      <c r="O278" s="37" t="s">
        <v>232</v>
      </c>
      <c r="P278" s="37" t="s">
        <v>3009</v>
      </c>
      <c r="Q278" s="37"/>
      <c r="R278" s="37" t="s">
        <v>379</v>
      </c>
      <c r="S278" s="37" t="s">
        <v>222</v>
      </c>
      <c r="T278" s="37">
        <v>1300</v>
      </c>
      <c r="U278" s="37">
        <v>3000</v>
      </c>
    </row>
    <row r="279" spans="1:21" ht="28.5" customHeight="1">
      <c r="A279" s="37" t="s">
        <v>3232</v>
      </c>
      <c r="B279" s="37" t="s">
        <v>239</v>
      </c>
      <c r="C279" s="37" t="s">
        <v>40</v>
      </c>
      <c r="D279" s="37">
        <v>14</v>
      </c>
      <c r="E279" s="37">
        <v>19</v>
      </c>
      <c r="F279" s="37" t="s">
        <v>36</v>
      </c>
      <c r="G279" s="37" t="s">
        <v>49</v>
      </c>
      <c r="H279" s="37"/>
      <c r="I279" s="37">
        <v>1300</v>
      </c>
      <c r="J279" s="37"/>
      <c r="K279" s="37">
        <v>3000</v>
      </c>
      <c r="L279" s="37" t="s">
        <v>230</v>
      </c>
      <c r="M279" s="37" t="s">
        <v>703</v>
      </c>
      <c r="N279" s="37">
        <v>2011</v>
      </c>
      <c r="O279" s="37" t="s">
        <v>232</v>
      </c>
      <c r="P279" s="37" t="s">
        <v>3009</v>
      </c>
      <c r="Q279" s="37"/>
      <c r="R279" s="37" t="s">
        <v>379</v>
      </c>
      <c r="S279" s="37" t="s">
        <v>222</v>
      </c>
      <c r="T279" s="37">
        <v>1300</v>
      </c>
      <c r="U279" s="37">
        <v>3000</v>
      </c>
    </row>
    <row r="280" spans="1:21" ht="28.5" customHeight="1">
      <c r="A280" s="37" t="s">
        <v>3233</v>
      </c>
      <c r="B280" s="37" t="s">
        <v>239</v>
      </c>
      <c r="C280" s="37" t="s">
        <v>396</v>
      </c>
      <c r="D280" s="37">
        <v>19</v>
      </c>
      <c r="E280" s="37">
        <v>31</v>
      </c>
      <c r="F280" s="37" t="s">
        <v>36</v>
      </c>
      <c r="G280" s="37" t="s">
        <v>49</v>
      </c>
      <c r="H280" s="37"/>
      <c r="I280" s="37">
        <v>1000</v>
      </c>
      <c r="J280" s="37"/>
      <c r="K280" s="37">
        <v>2500</v>
      </c>
      <c r="L280" s="37" t="s">
        <v>230</v>
      </c>
      <c r="M280" s="37" t="s">
        <v>703</v>
      </c>
      <c r="N280" s="37">
        <v>2011</v>
      </c>
      <c r="O280" s="37" t="s">
        <v>232</v>
      </c>
      <c r="P280" s="37" t="s">
        <v>3009</v>
      </c>
      <c r="Q280" s="37"/>
      <c r="R280" s="37" t="s">
        <v>379</v>
      </c>
      <c r="S280" s="37" t="s">
        <v>222</v>
      </c>
      <c r="T280" s="37">
        <v>1000</v>
      </c>
      <c r="U280" s="37">
        <v>2500</v>
      </c>
    </row>
    <row r="281" spans="1:21" ht="28.5" customHeight="1">
      <c r="A281" s="37" t="s">
        <v>3234</v>
      </c>
      <c r="B281" s="37" t="s">
        <v>239</v>
      </c>
      <c r="C281" s="37" t="s">
        <v>40</v>
      </c>
      <c r="D281" s="37">
        <v>19</v>
      </c>
      <c r="E281" s="37">
        <v>31</v>
      </c>
      <c r="F281" s="37" t="s">
        <v>36</v>
      </c>
      <c r="G281" s="37" t="s">
        <v>49</v>
      </c>
      <c r="H281" s="37"/>
      <c r="I281" s="37">
        <v>1000</v>
      </c>
      <c r="J281" s="37"/>
      <c r="K281" s="37">
        <v>2500</v>
      </c>
      <c r="L281" s="37" t="s">
        <v>230</v>
      </c>
      <c r="M281" s="37" t="s">
        <v>703</v>
      </c>
      <c r="N281" s="37">
        <v>2011</v>
      </c>
      <c r="O281" s="37" t="s">
        <v>232</v>
      </c>
      <c r="P281" s="37" t="s">
        <v>3009</v>
      </c>
      <c r="Q281" s="37"/>
      <c r="R281" s="37" t="s">
        <v>379</v>
      </c>
      <c r="S281" s="37" t="s">
        <v>222</v>
      </c>
      <c r="T281" s="37">
        <v>1000</v>
      </c>
      <c r="U281" s="37">
        <v>2500</v>
      </c>
    </row>
    <row r="282" spans="1:21" ht="28.5" customHeight="1">
      <c r="A282" s="37" t="s">
        <v>3235</v>
      </c>
      <c r="B282" s="37" t="s">
        <v>239</v>
      </c>
      <c r="C282" s="37" t="s">
        <v>396</v>
      </c>
      <c r="D282" s="37">
        <v>31</v>
      </c>
      <c r="E282" s="37">
        <v>51</v>
      </c>
      <c r="F282" s="37" t="s">
        <v>36</v>
      </c>
      <c r="G282" s="37" t="s">
        <v>49</v>
      </c>
      <c r="H282" s="37"/>
      <c r="I282" s="37">
        <v>1000</v>
      </c>
      <c r="J282" s="37"/>
      <c r="K282" s="37">
        <v>2500</v>
      </c>
      <c r="L282" s="37" t="s">
        <v>230</v>
      </c>
      <c r="M282" s="37" t="s">
        <v>703</v>
      </c>
      <c r="N282" s="37">
        <v>2011</v>
      </c>
      <c r="O282" s="37" t="s">
        <v>232</v>
      </c>
      <c r="P282" s="37" t="s">
        <v>3009</v>
      </c>
      <c r="Q282" s="37"/>
      <c r="R282" s="37" t="s">
        <v>379</v>
      </c>
      <c r="S282" s="37" t="s">
        <v>222</v>
      </c>
      <c r="T282" s="37">
        <v>1000</v>
      </c>
      <c r="U282" s="37">
        <v>2500</v>
      </c>
    </row>
    <row r="283" spans="1:21" ht="28.5" customHeight="1">
      <c r="A283" s="37" t="s">
        <v>3236</v>
      </c>
      <c r="B283" s="37" t="s">
        <v>239</v>
      </c>
      <c r="C283" s="37" t="s">
        <v>40</v>
      </c>
      <c r="D283" s="37">
        <v>31</v>
      </c>
      <c r="E283" s="37">
        <v>51</v>
      </c>
      <c r="F283" s="37" t="s">
        <v>36</v>
      </c>
      <c r="G283" s="37" t="s">
        <v>49</v>
      </c>
      <c r="H283" s="37"/>
      <c r="I283" s="37">
        <v>1000</v>
      </c>
      <c r="J283" s="37"/>
      <c r="K283" s="37">
        <v>2500</v>
      </c>
      <c r="L283" s="37" t="s">
        <v>230</v>
      </c>
      <c r="M283" s="37" t="s">
        <v>703</v>
      </c>
      <c r="N283" s="37">
        <v>2011</v>
      </c>
      <c r="O283" s="37" t="s">
        <v>232</v>
      </c>
      <c r="P283" s="37" t="s">
        <v>3009</v>
      </c>
      <c r="Q283" s="37"/>
      <c r="R283" s="37" t="s">
        <v>379</v>
      </c>
      <c r="S283" s="37" t="s">
        <v>222</v>
      </c>
      <c r="T283" s="37">
        <v>1000</v>
      </c>
      <c r="U283" s="37">
        <v>2500</v>
      </c>
    </row>
    <row r="284" spans="1:21" ht="28.5" customHeight="1">
      <c r="A284" s="37" t="s">
        <v>3237</v>
      </c>
      <c r="B284" s="37" t="s">
        <v>239</v>
      </c>
      <c r="C284" s="37" t="s">
        <v>396</v>
      </c>
      <c r="D284" s="37">
        <v>51</v>
      </c>
      <c r="E284" s="37">
        <v>71</v>
      </c>
      <c r="F284" s="37" t="s">
        <v>36</v>
      </c>
      <c r="G284" s="37" t="s">
        <v>49</v>
      </c>
      <c r="H284" s="37"/>
      <c r="I284" s="37">
        <v>1000</v>
      </c>
      <c r="J284" s="37"/>
      <c r="K284" s="37">
        <v>2000</v>
      </c>
      <c r="L284" s="37" t="s">
        <v>230</v>
      </c>
      <c r="M284" s="37" t="s">
        <v>703</v>
      </c>
      <c r="N284" s="37">
        <v>2011</v>
      </c>
      <c r="O284" s="37" t="s">
        <v>232</v>
      </c>
      <c r="P284" s="37" t="s">
        <v>3009</v>
      </c>
      <c r="Q284" s="37"/>
      <c r="R284" s="37" t="s">
        <v>379</v>
      </c>
      <c r="S284" s="37" t="s">
        <v>222</v>
      </c>
      <c r="T284" s="37">
        <v>1000</v>
      </c>
      <c r="U284" s="37">
        <v>2000</v>
      </c>
    </row>
    <row r="285" spans="1:21" ht="28.5" customHeight="1">
      <c r="A285" s="37" t="s">
        <v>3238</v>
      </c>
      <c r="B285" s="37" t="s">
        <v>239</v>
      </c>
      <c r="C285" s="37" t="s">
        <v>40</v>
      </c>
      <c r="D285" s="37">
        <v>51</v>
      </c>
      <c r="E285" s="37">
        <v>71</v>
      </c>
      <c r="F285" s="37" t="s">
        <v>36</v>
      </c>
      <c r="G285" s="37" t="s">
        <v>49</v>
      </c>
      <c r="H285" s="37"/>
      <c r="I285" s="37">
        <v>1200</v>
      </c>
      <c r="J285" s="37"/>
      <c r="K285" s="37">
        <v>2000</v>
      </c>
      <c r="L285" s="37" t="s">
        <v>230</v>
      </c>
      <c r="M285" s="37" t="s">
        <v>703</v>
      </c>
      <c r="N285" s="37">
        <v>2011</v>
      </c>
      <c r="O285" s="37" t="s">
        <v>232</v>
      </c>
      <c r="P285" s="37" t="s">
        <v>3009</v>
      </c>
      <c r="Q285" s="37"/>
      <c r="R285" s="37" t="s">
        <v>379</v>
      </c>
      <c r="S285" s="37" t="s">
        <v>222</v>
      </c>
      <c r="T285" s="37">
        <v>1200</v>
      </c>
      <c r="U285" s="37">
        <v>2000</v>
      </c>
    </row>
    <row r="286" spans="1:21" ht="28.5" customHeight="1">
      <c r="A286" s="37" t="s">
        <v>3239</v>
      </c>
      <c r="B286" s="37" t="s">
        <v>239</v>
      </c>
      <c r="C286" s="37" t="s">
        <v>396</v>
      </c>
      <c r="D286" s="37">
        <v>71</v>
      </c>
      <c r="E286" s="37">
        <v>999</v>
      </c>
      <c r="F286" s="37" t="s">
        <v>36</v>
      </c>
      <c r="G286" s="37" t="s">
        <v>49</v>
      </c>
      <c r="H286" s="37"/>
      <c r="I286" s="37">
        <v>1200</v>
      </c>
      <c r="J286" s="37"/>
      <c r="K286" s="37">
        <v>2000</v>
      </c>
      <c r="L286" s="37" t="s">
        <v>230</v>
      </c>
      <c r="M286" s="37" t="s">
        <v>703</v>
      </c>
      <c r="N286" s="37">
        <v>2011</v>
      </c>
      <c r="O286" s="37" t="s">
        <v>232</v>
      </c>
      <c r="P286" s="37" t="s">
        <v>3009</v>
      </c>
      <c r="Q286" s="37"/>
      <c r="R286" s="37" t="s">
        <v>379</v>
      </c>
      <c r="S286" s="37" t="s">
        <v>222</v>
      </c>
      <c r="T286" s="37">
        <v>1200</v>
      </c>
      <c r="U286" s="37">
        <v>2000</v>
      </c>
    </row>
    <row r="287" spans="1:21" ht="28.5" customHeight="1">
      <c r="A287" s="37" t="s">
        <v>3240</v>
      </c>
      <c r="B287" s="37" t="s">
        <v>239</v>
      </c>
      <c r="C287" s="37" t="s">
        <v>40</v>
      </c>
      <c r="D287" s="37">
        <v>71</v>
      </c>
      <c r="E287" s="37">
        <v>999</v>
      </c>
      <c r="F287" s="37" t="s">
        <v>36</v>
      </c>
      <c r="G287" s="37" t="s">
        <v>49</v>
      </c>
      <c r="H287" s="37"/>
      <c r="I287" s="37">
        <v>1200</v>
      </c>
      <c r="J287" s="37"/>
      <c r="K287" s="37">
        <v>2000</v>
      </c>
      <c r="L287" s="37" t="s">
        <v>230</v>
      </c>
      <c r="M287" s="37" t="s">
        <v>703</v>
      </c>
      <c r="N287" s="37">
        <v>2011</v>
      </c>
      <c r="O287" s="37" t="s">
        <v>232</v>
      </c>
      <c r="P287" s="37" t="s">
        <v>3009</v>
      </c>
      <c r="Q287" s="37"/>
      <c r="R287" s="37" t="s">
        <v>379</v>
      </c>
      <c r="S287" s="37" t="s">
        <v>222</v>
      </c>
      <c r="T287" s="37">
        <v>1200</v>
      </c>
      <c r="U287" s="37">
        <v>2000</v>
      </c>
    </row>
    <row r="288" spans="1:21" ht="28.5" customHeight="1">
      <c r="A288" s="37" t="s">
        <v>3241</v>
      </c>
      <c r="B288" s="37" t="s">
        <v>239</v>
      </c>
      <c r="C288" s="37" t="s">
        <v>40</v>
      </c>
      <c r="D288" s="37">
        <v>14</v>
      </c>
      <c r="E288" s="37">
        <v>51</v>
      </c>
      <c r="F288" s="37" t="s">
        <v>36</v>
      </c>
      <c r="G288" s="37" t="s">
        <v>414</v>
      </c>
      <c r="H288" s="37"/>
      <c r="I288" s="37">
        <v>1000</v>
      </c>
      <c r="J288" s="37"/>
      <c r="K288" s="37">
        <v>2500</v>
      </c>
      <c r="L288" s="37" t="s">
        <v>230</v>
      </c>
      <c r="M288" s="37" t="s">
        <v>703</v>
      </c>
      <c r="N288" s="37">
        <v>2011</v>
      </c>
      <c r="O288" s="37" t="s">
        <v>232</v>
      </c>
      <c r="P288" s="37" t="s">
        <v>3009</v>
      </c>
      <c r="Q288" s="37"/>
      <c r="R288" s="37" t="s">
        <v>379</v>
      </c>
      <c r="S288" s="37" t="s">
        <v>222</v>
      </c>
      <c r="T288" s="37">
        <v>1000</v>
      </c>
      <c r="U288" s="37">
        <v>2500</v>
      </c>
    </row>
    <row r="289" spans="1:21" ht="28.5" customHeight="1">
      <c r="A289" s="37" t="s">
        <v>3242</v>
      </c>
      <c r="B289" s="37" t="s">
        <v>239</v>
      </c>
      <c r="C289" s="37" t="s">
        <v>40</v>
      </c>
      <c r="D289" s="37">
        <v>14</v>
      </c>
      <c r="E289" s="37">
        <v>51</v>
      </c>
      <c r="F289" s="37" t="s">
        <v>36</v>
      </c>
      <c r="G289" s="37" t="s">
        <v>416</v>
      </c>
      <c r="H289" s="37"/>
      <c r="I289" s="37">
        <v>1000</v>
      </c>
      <c r="J289" s="37"/>
      <c r="K289" s="37">
        <v>2500</v>
      </c>
      <c r="L289" s="37" t="s">
        <v>230</v>
      </c>
      <c r="M289" s="37" t="s">
        <v>703</v>
      </c>
      <c r="N289" s="37">
        <v>2011</v>
      </c>
      <c r="O289" s="37" t="s">
        <v>232</v>
      </c>
      <c r="P289" s="37" t="s">
        <v>3009</v>
      </c>
      <c r="Q289" s="37"/>
      <c r="R289" s="37" t="s">
        <v>379</v>
      </c>
      <c r="S289" s="37" t="s">
        <v>222</v>
      </c>
      <c r="T289" s="37">
        <v>1000</v>
      </c>
      <c r="U289" s="37">
        <v>2500</v>
      </c>
    </row>
    <row r="290" spans="1:21" ht="28.5" customHeight="1">
      <c r="A290" s="37" t="s">
        <v>3243</v>
      </c>
      <c r="B290" s="37" t="s">
        <v>243</v>
      </c>
      <c r="C290" s="37" t="s">
        <v>387</v>
      </c>
      <c r="D290" s="37">
        <v>0</v>
      </c>
      <c r="E290" s="37">
        <v>0.5</v>
      </c>
      <c r="F290" s="37" t="s">
        <v>36</v>
      </c>
      <c r="G290" s="37" t="s">
        <v>49</v>
      </c>
      <c r="H290" s="37"/>
      <c r="I290" s="37"/>
      <c r="J290" s="37">
        <v>100</v>
      </c>
      <c r="K290" s="37"/>
      <c r="L290" s="37" t="s">
        <v>230</v>
      </c>
      <c r="M290" s="37" t="s">
        <v>703</v>
      </c>
      <c r="N290" s="37">
        <v>1997</v>
      </c>
      <c r="O290" s="37" t="s">
        <v>232</v>
      </c>
      <c r="P290" s="37" t="s">
        <v>3009</v>
      </c>
      <c r="Q290" s="37"/>
      <c r="R290" s="37" t="s">
        <v>380</v>
      </c>
      <c r="S290" s="37"/>
      <c r="T290" s="37">
        <v>100</v>
      </c>
      <c r="U290" s="37"/>
    </row>
    <row r="291" spans="1:21" ht="28.5" customHeight="1">
      <c r="A291" s="37" t="s">
        <v>3244</v>
      </c>
      <c r="B291" s="37" t="s">
        <v>243</v>
      </c>
      <c r="C291" s="37" t="s">
        <v>387</v>
      </c>
      <c r="D291" s="37">
        <v>0.5</v>
      </c>
      <c r="E291" s="37">
        <v>1</v>
      </c>
      <c r="F291" s="37" t="s">
        <v>36</v>
      </c>
      <c r="G291" s="37" t="s">
        <v>49</v>
      </c>
      <c r="H291" s="37"/>
      <c r="I291" s="37"/>
      <c r="J291" s="37">
        <v>275</v>
      </c>
      <c r="K291" s="37"/>
      <c r="L291" s="37" t="s">
        <v>230</v>
      </c>
      <c r="M291" s="37" t="s">
        <v>703</v>
      </c>
      <c r="N291" s="37">
        <v>1997</v>
      </c>
      <c r="O291" s="37" t="s">
        <v>232</v>
      </c>
      <c r="P291" s="37" t="s">
        <v>3009</v>
      </c>
      <c r="Q291" s="37"/>
      <c r="R291" s="37" t="s">
        <v>380</v>
      </c>
      <c r="S291" s="37"/>
      <c r="T291" s="37">
        <v>275</v>
      </c>
      <c r="U291" s="37"/>
    </row>
    <row r="292" spans="1:21" ht="28.5" customHeight="1">
      <c r="A292" s="37" t="s">
        <v>3245</v>
      </c>
      <c r="B292" s="37" t="s">
        <v>243</v>
      </c>
      <c r="C292" s="37" t="s">
        <v>387</v>
      </c>
      <c r="D292" s="37">
        <v>1</v>
      </c>
      <c r="E292" s="37">
        <v>4</v>
      </c>
      <c r="F292" s="37" t="s">
        <v>36</v>
      </c>
      <c r="G292" s="37" t="s">
        <v>49</v>
      </c>
      <c r="H292" s="37"/>
      <c r="I292" s="37">
        <v>460</v>
      </c>
      <c r="J292" s="37"/>
      <c r="K292" s="37">
        <v>3000</v>
      </c>
      <c r="L292" s="37" t="s">
        <v>230</v>
      </c>
      <c r="M292" s="37" t="s">
        <v>703</v>
      </c>
      <c r="N292" s="37">
        <v>1997</v>
      </c>
      <c r="O292" s="37" t="s">
        <v>232</v>
      </c>
      <c r="P292" s="37" t="s">
        <v>3009</v>
      </c>
      <c r="Q292" s="37"/>
      <c r="R292" s="37" t="s">
        <v>379</v>
      </c>
      <c r="S292" s="37" t="s">
        <v>222</v>
      </c>
      <c r="T292" s="37">
        <v>460</v>
      </c>
      <c r="U292" s="37">
        <v>3000</v>
      </c>
    </row>
    <row r="293" spans="1:21" ht="28.5" customHeight="1">
      <c r="A293" s="37" t="s">
        <v>3246</v>
      </c>
      <c r="B293" s="37" t="s">
        <v>243</v>
      </c>
      <c r="C293" s="37" t="s">
        <v>387</v>
      </c>
      <c r="D293" s="37">
        <v>4</v>
      </c>
      <c r="E293" s="37">
        <v>9</v>
      </c>
      <c r="F293" s="37" t="s">
        <v>36</v>
      </c>
      <c r="G293" s="37" t="s">
        <v>49</v>
      </c>
      <c r="H293" s="37"/>
      <c r="I293" s="37">
        <v>500</v>
      </c>
      <c r="J293" s="37"/>
      <c r="K293" s="37">
        <v>3000</v>
      </c>
      <c r="L293" s="37" t="s">
        <v>230</v>
      </c>
      <c r="M293" s="37" t="s">
        <v>703</v>
      </c>
      <c r="N293" s="37">
        <v>1997</v>
      </c>
      <c r="O293" s="37" t="s">
        <v>232</v>
      </c>
      <c r="P293" s="37" t="s">
        <v>3009</v>
      </c>
      <c r="Q293" s="37"/>
      <c r="R293" s="37" t="s">
        <v>379</v>
      </c>
      <c r="S293" s="37" t="s">
        <v>222</v>
      </c>
      <c r="T293" s="37">
        <v>500</v>
      </c>
      <c r="U293" s="37">
        <v>3000</v>
      </c>
    </row>
    <row r="294" spans="1:21" ht="28.5" customHeight="1">
      <c r="A294" s="37" t="s">
        <v>3247</v>
      </c>
      <c r="B294" s="37" t="s">
        <v>243</v>
      </c>
      <c r="C294" s="37" t="s">
        <v>396</v>
      </c>
      <c r="D294" s="37">
        <v>9</v>
      </c>
      <c r="E294" s="37">
        <v>14</v>
      </c>
      <c r="F294" s="37" t="s">
        <v>36</v>
      </c>
      <c r="G294" s="37" t="s">
        <v>49</v>
      </c>
      <c r="H294" s="37"/>
      <c r="I294" s="37">
        <v>1250</v>
      </c>
      <c r="J294" s="37"/>
      <c r="K294" s="37">
        <v>4000</v>
      </c>
      <c r="L294" s="37" t="s">
        <v>230</v>
      </c>
      <c r="M294" s="37" t="s">
        <v>703</v>
      </c>
      <c r="N294" s="37">
        <v>1997</v>
      </c>
      <c r="O294" s="37" t="s">
        <v>232</v>
      </c>
      <c r="P294" s="37" t="s">
        <v>3009</v>
      </c>
      <c r="Q294" s="37"/>
      <c r="R294" s="37" t="s">
        <v>379</v>
      </c>
      <c r="S294" s="37" t="s">
        <v>222</v>
      </c>
      <c r="T294" s="37">
        <v>1250</v>
      </c>
      <c r="U294" s="37">
        <v>4000</v>
      </c>
    </row>
    <row r="295" spans="1:21" ht="28.5" customHeight="1">
      <c r="A295" s="37" t="s">
        <v>3248</v>
      </c>
      <c r="B295" s="37" t="s">
        <v>243</v>
      </c>
      <c r="C295" s="37" t="s">
        <v>40</v>
      </c>
      <c r="D295" s="37">
        <v>9</v>
      </c>
      <c r="E295" s="37">
        <v>14</v>
      </c>
      <c r="F295" s="37" t="s">
        <v>36</v>
      </c>
      <c r="G295" s="37" t="s">
        <v>49</v>
      </c>
      <c r="H295" s="37"/>
      <c r="I295" s="37">
        <v>1250</v>
      </c>
      <c r="J295" s="37"/>
      <c r="K295" s="37">
        <v>4000</v>
      </c>
      <c r="L295" s="37" t="s">
        <v>230</v>
      </c>
      <c r="M295" s="37" t="s">
        <v>703</v>
      </c>
      <c r="N295" s="37">
        <v>1997</v>
      </c>
      <c r="O295" s="37" t="s">
        <v>232</v>
      </c>
      <c r="P295" s="37" t="s">
        <v>3009</v>
      </c>
      <c r="Q295" s="37"/>
      <c r="R295" s="37" t="s">
        <v>379</v>
      </c>
      <c r="S295" s="37" t="s">
        <v>222</v>
      </c>
      <c r="T295" s="37">
        <v>1250</v>
      </c>
      <c r="U295" s="37">
        <v>4000</v>
      </c>
    </row>
    <row r="296" spans="1:21" ht="28.5" customHeight="1">
      <c r="A296" s="37" t="s">
        <v>3249</v>
      </c>
      <c r="B296" s="37" t="s">
        <v>243</v>
      </c>
      <c r="C296" s="37" t="s">
        <v>396</v>
      </c>
      <c r="D296" s="37">
        <v>14</v>
      </c>
      <c r="E296" s="37">
        <v>19</v>
      </c>
      <c r="F296" s="37" t="s">
        <v>36</v>
      </c>
      <c r="G296" s="37" t="s">
        <v>49</v>
      </c>
      <c r="H296" s="37"/>
      <c r="I296" s="37">
        <v>1250</v>
      </c>
      <c r="J296" s="37"/>
      <c r="K296" s="37">
        <v>4000</v>
      </c>
      <c r="L296" s="37" t="s">
        <v>230</v>
      </c>
      <c r="M296" s="37" t="s">
        <v>703</v>
      </c>
      <c r="N296" s="37">
        <v>1997</v>
      </c>
      <c r="O296" s="37" t="s">
        <v>232</v>
      </c>
      <c r="P296" s="37" t="s">
        <v>3009</v>
      </c>
      <c r="Q296" s="37"/>
      <c r="R296" s="37" t="s">
        <v>379</v>
      </c>
      <c r="S296" s="37" t="s">
        <v>222</v>
      </c>
      <c r="T296" s="37">
        <v>1250</v>
      </c>
      <c r="U296" s="37">
        <v>4000</v>
      </c>
    </row>
    <row r="297" spans="1:21" ht="28.5" customHeight="1">
      <c r="A297" s="37" t="s">
        <v>3250</v>
      </c>
      <c r="B297" s="37" t="s">
        <v>243</v>
      </c>
      <c r="C297" s="37" t="s">
        <v>40</v>
      </c>
      <c r="D297" s="37">
        <v>14</v>
      </c>
      <c r="E297" s="37">
        <v>19</v>
      </c>
      <c r="F297" s="37" t="s">
        <v>36</v>
      </c>
      <c r="G297" s="37" t="s">
        <v>49</v>
      </c>
      <c r="H297" s="37"/>
      <c r="I297" s="37">
        <v>1250</v>
      </c>
      <c r="J297" s="37"/>
      <c r="K297" s="37">
        <v>4000</v>
      </c>
      <c r="L297" s="37" t="s">
        <v>230</v>
      </c>
      <c r="M297" s="37" t="s">
        <v>703</v>
      </c>
      <c r="N297" s="37">
        <v>1997</v>
      </c>
      <c r="O297" s="37" t="s">
        <v>232</v>
      </c>
      <c r="P297" s="37" t="s">
        <v>3009</v>
      </c>
      <c r="Q297" s="37"/>
      <c r="R297" s="37" t="s">
        <v>379</v>
      </c>
      <c r="S297" s="37" t="s">
        <v>222</v>
      </c>
      <c r="T297" s="37">
        <v>1250</v>
      </c>
      <c r="U297" s="37">
        <v>4000</v>
      </c>
    </row>
    <row r="298" spans="1:21" ht="28.5" customHeight="1">
      <c r="A298" s="37" t="s">
        <v>3251</v>
      </c>
      <c r="B298" s="37" t="s">
        <v>243</v>
      </c>
      <c r="C298" s="37" t="s">
        <v>396</v>
      </c>
      <c r="D298" s="37">
        <v>19</v>
      </c>
      <c r="E298" s="37">
        <v>31</v>
      </c>
      <c r="F298" s="37" t="s">
        <v>36</v>
      </c>
      <c r="G298" s="37" t="s">
        <v>49</v>
      </c>
      <c r="H298" s="37"/>
      <c r="I298" s="37">
        <v>700</v>
      </c>
      <c r="J298" s="37"/>
      <c r="K298" s="37">
        <v>4000</v>
      </c>
      <c r="L298" s="37" t="s">
        <v>230</v>
      </c>
      <c r="M298" s="37" t="s">
        <v>703</v>
      </c>
      <c r="N298" s="37">
        <v>1997</v>
      </c>
      <c r="O298" s="37" t="s">
        <v>232</v>
      </c>
      <c r="P298" s="37" t="s">
        <v>3009</v>
      </c>
      <c r="Q298" s="37"/>
      <c r="R298" s="37" t="s">
        <v>379</v>
      </c>
      <c r="S298" s="37" t="s">
        <v>222</v>
      </c>
      <c r="T298" s="37">
        <v>700</v>
      </c>
      <c r="U298" s="37">
        <v>4000</v>
      </c>
    </row>
    <row r="299" spans="1:21" ht="28.5" customHeight="1">
      <c r="A299" s="37" t="s">
        <v>3252</v>
      </c>
      <c r="B299" s="37" t="s">
        <v>243</v>
      </c>
      <c r="C299" s="37" t="s">
        <v>40</v>
      </c>
      <c r="D299" s="37">
        <v>19</v>
      </c>
      <c r="E299" s="37">
        <v>31</v>
      </c>
      <c r="F299" s="37" t="s">
        <v>36</v>
      </c>
      <c r="G299" s="37" t="s">
        <v>49</v>
      </c>
      <c r="H299" s="37"/>
      <c r="I299" s="37">
        <v>700</v>
      </c>
      <c r="J299" s="37"/>
      <c r="K299" s="37">
        <v>4000</v>
      </c>
      <c r="L299" s="37" t="s">
        <v>230</v>
      </c>
      <c r="M299" s="37" t="s">
        <v>703</v>
      </c>
      <c r="N299" s="37">
        <v>1997</v>
      </c>
      <c r="O299" s="37" t="s">
        <v>232</v>
      </c>
      <c r="P299" s="37" t="s">
        <v>3009</v>
      </c>
      <c r="Q299" s="37"/>
      <c r="R299" s="37" t="s">
        <v>379</v>
      </c>
      <c r="S299" s="37" t="s">
        <v>222</v>
      </c>
      <c r="T299" s="37">
        <v>700</v>
      </c>
      <c r="U299" s="37">
        <v>4000</v>
      </c>
    </row>
    <row r="300" spans="1:21" ht="28.5" customHeight="1">
      <c r="A300" s="37" t="s">
        <v>3253</v>
      </c>
      <c r="B300" s="37" t="s">
        <v>243</v>
      </c>
      <c r="C300" s="37" t="s">
        <v>396</v>
      </c>
      <c r="D300" s="37">
        <v>31</v>
      </c>
      <c r="E300" s="37">
        <v>51</v>
      </c>
      <c r="F300" s="37" t="s">
        <v>36</v>
      </c>
      <c r="G300" s="37" t="s">
        <v>49</v>
      </c>
      <c r="H300" s="37"/>
      <c r="I300" s="37">
        <v>700</v>
      </c>
      <c r="J300" s="37"/>
      <c r="K300" s="37">
        <v>4000</v>
      </c>
      <c r="L300" s="37" t="s">
        <v>230</v>
      </c>
      <c r="M300" s="37" t="s">
        <v>703</v>
      </c>
      <c r="N300" s="37">
        <v>1997</v>
      </c>
      <c r="O300" s="37" t="s">
        <v>232</v>
      </c>
      <c r="P300" s="37" t="s">
        <v>3009</v>
      </c>
      <c r="Q300" s="37"/>
      <c r="R300" s="37" t="s">
        <v>379</v>
      </c>
      <c r="S300" s="37" t="s">
        <v>222</v>
      </c>
      <c r="T300" s="37">
        <v>700</v>
      </c>
      <c r="U300" s="37">
        <v>4000</v>
      </c>
    </row>
    <row r="301" spans="1:21" ht="28.5" customHeight="1">
      <c r="A301" s="37" t="s">
        <v>3254</v>
      </c>
      <c r="B301" s="37" t="s">
        <v>243</v>
      </c>
      <c r="C301" s="37" t="s">
        <v>40</v>
      </c>
      <c r="D301" s="37">
        <v>31</v>
      </c>
      <c r="E301" s="37">
        <v>51</v>
      </c>
      <c r="F301" s="37" t="s">
        <v>36</v>
      </c>
      <c r="G301" s="37" t="s">
        <v>49</v>
      </c>
      <c r="H301" s="37"/>
      <c r="I301" s="37">
        <v>700</v>
      </c>
      <c r="J301" s="37"/>
      <c r="K301" s="37">
        <v>4000</v>
      </c>
      <c r="L301" s="37" t="s">
        <v>230</v>
      </c>
      <c r="M301" s="37" t="s">
        <v>703</v>
      </c>
      <c r="N301" s="37">
        <v>1997</v>
      </c>
      <c r="O301" s="37" t="s">
        <v>232</v>
      </c>
      <c r="P301" s="37" t="s">
        <v>3009</v>
      </c>
      <c r="Q301" s="37"/>
      <c r="R301" s="37" t="s">
        <v>379</v>
      </c>
      <c r="S301" s="37" t="s">
        <v>222</v>
      </c>
      <c r="T301" s="37">
        <v>700</v>
      </c>
      <c r="U301" s="37">
        <v>4000</v>
      </c>
    </row>
    <row r="302" spans="1:21" ht="28.5" customHeight="1">
      <c r="A302" s="37" t="s">
        <v>3255</v>
      </c>
      <c r="B302" s="37" t="s">
        <v>243</v>
      </c>
      <c r="C302" s="37" t="s">
        <v>396</v>
      </c>
      <c r="D302" s="37">
        <v>51</v>
      </c>
      <c r="E302" s="37">
        <v>71</v>
      </c>
      <c r="F302" s="37" t="s">
        <v>36</v>
      </c>
      <c r="G302" s="37" t="s">
        <v>49</v>
      </c>
      <c r="H302" s="37"/>
      <c r="I302" s="37">
        <v>700</v>
      </c>
      <c r="J302" s="37"/>
      <c r="K302" s="37">
        <v>4000</v>
      </c>
      <c r="L302" s="37" t="s">
        <v>230</v>
      </c>
      <c r="M302" s="37" t="s">
        <v>703</v>
      </c>
      <c r="N302" s="37">
        <v>1997</v>
      </c>
      <c r="O302" s="37" t="s">
        <v>232</v>
      </c>
      <c r="P302" s="37" t="s">
        <v>3009</v>
      </c>
      <c r="Q302" s="37"/>
      <c r="R302" s="37" t="s">
        <v>379</v>
      </c>
      <c r="S302" s="37" t="s">
        <v>222</v>
      </c>
      <c r="T302" s="37">
        <v>700</v>
      </c>
      <c r="U302" s="37">
        <v>4000</v>
      </c>
    </row>
    <row r="303" spans="1:21" ht="28.5" customHeight="1">
      <c r="A303" s="37" t="s">
        <v>3256</v>
      </c>
      <c r="B303" s="37" t="s">
        <v>243</v>
      </c>
      <c r="C303" s="37" t="s">
        <v>40</v>
      </c>
      <c r="D303" s="37">
        <v>51</v>
      </c>
      <c r="E303" s="37">
        <v>71</v>
      </c>
      <c r="F303" s="37" t="s">
        <v>36</v>
      </c>
      <c r="G303" s="37" t="s">
        <v>49</v>
      </c>
      <c r="H303" s="37"/>
      <c r="I303" s="37">
        <v>700</v>
      </c>
      <c r="J303" s="37"/>
      <c r="K303" s="37">
        <v>4000</v>
      </c>
      <c r="L303" s="37" t="s">
        <v>230</v>
      </c>
      <c r="M303" s="37" t="s">
        <v>703</v>
      </c>
      <c r="N303" s="37">
        <v>1997</v>
      </c>
      <c r="O303" s="37" t="s">
        <v>232</v>
      </c>
      <c r="P303" s="37" t="s">
        <v>3009</v>
      </c>
      <c r="Q303" s="37"/>
      <c r="R303" s="37" t="s">
        <v>379</v>
      </c>
      <c r="S303" s="37" t="s">
        <v>222</v>
      </c>
      <c r="T303" s="37">
        <v>700</v>
      </c>
      <c r="U303" s="37">
        <v>4000</v>
      </c>
    </row>
    <row r="304" spans="1:21" ht="28.5" customHeight="1">
      <c r="A304" s="37" t="s">
        <v>3257</v>
      </c>
      <c r="B304" s="37" t="s">
        <v>243</v>
      </c>
      <c r="C304" s="37" t="s">
        <v>396</v>
      </c>
      <c r="D304" s="37">
        <v>71</v>
      </c>
      <c r="E304" s="37">
        <v>999</v>
      </c>
      <c r="F304" s="37" t="s">
        <v>36</v>
      </c>
      <c r="G304" s="37" t="s">
        <v>49</v>
      </c>
      <c r="H304" s="37"/>
      <c r="I304" s="37">
        <v>700</v>
      </c>
      <c r="J304" s="37"/>
      <c r="K304" s="37">
        <v>3000</v>
      </c>
      <c r="L304" s="37" t="s">
        <v>230</v>
      </c>
      <c r="M304" s="37" t="s">
        <v>703</v>
      </c>
      <c r="N304" s="37">
        <v>1997</v>
      </c>
      <c r="O304" s="37" t="s">
        <v>232</v>
      </c>
      <c r="P304" s="37" t="s">
        <v>3009</v>
      </c>
      <c r="Q304" s="37"/>
      <c r="R304" s="37" t="s">
        <v>379</v>
      </c>
      <c r="S304" s="37" t="s">
        <v>222</v>
      </c>
      <c r="T304" s="37">
        <v>700</v>
      </c>
      <c r="U304" s="37">
        <v>3000</v>
      </c>
    </row>
    <row r="305" spans="1:21" ht="28.5" customHeight="1">
      <c r="A305" s="37" t="s">
        <v>3258</v>
      </c>
      <c r="B305" s="37" t="s">
        <v>243</v>
      </c>
      <c r="C305" s="37" t="s">
        <v>40</v>
      </c>
      <c r="D305" s="37">
        <v>71</v>
      </c>
      <c r="E305" s="37">
        <v>999</v>
      </c>
      <c r="F305" s="37" t="s">
        <v>36</v>
      </c>
      <c r="G305" s="37" t="s">
        <v>49</v>
      </c>
      <c r="H305" s="37"/>
      <c r="I305" s="37">
        <v>700</v>
      </c>
      <c r="J305" s="37"/>
      <c r="K305" s="37">
        <v>3000</v>
      </c>
      <c r="L305" s="37" t="s">
        <v>230</v>
      </c>
      <c r="M305" s="37" t="s">
        <v>703</v>
      </c>
      <c r="N305" s="37">
        <v>1997</v>
      </c>
      <c r="O305" s="37" t="s">
        <v>232</v>
      </c>
      <c r="P305" s="37" t="s">
        <v>3009</v>
      </c>
      <c r="Q305" s="37"/>
      <c r="R305" s="37" t="s">
        <v>379</v>
      </c>
      <c r="S305" s="37" t="s">
        <v>222</v>
      </c>
      <c r="T305" s="37">
        <v>700</v>
      </c>
      <c r="U305" s="37">
        <v>3000</v>
      </c>
    </row>
    <row r="306" spans="1:21" ht="28.5" customHeight="1">
      <c r="A306" s="37" t="s">
        <v>3259</v>
      </c>
      <c r="B306" s="37" t="s">
        <v>243</v>
      </c>
      <c r="C306" s="37" t="s">
        <v>40</v>
      </c>
      <c r="D306" s="37">
        <v>14</v>
      </c>
      <c r="E306" s="37">
        <v>51</v>
      </c>
      <c r="F306" s="37" t="s">
        <v>36</v>
      </c>
      <c r="G306" s="37" t="s">
        <v>414</v>
      </c>
      <c r="H306" s="37"/>
      <c r="I306" s="37">
        <v>700</v>
      </c>
      <c r="J306" s="37"/>
      <c r="K306" s="37">
        <v>3500</v>
      </c>
      <c r="L306" s="37" t="s">
        <v>230</v>
      </c>
      <c r="M306" s="37" t="s">
        <v>703</v>
      </c>
      <c r="N306" s="37">
        <v>1997</v>
      </c>
      <c r="O306" s="37" t="s">
        <v>232</v>
      </c>
      <c r="P306" s="37" t="s">
        <v>3009</v>
      </c>
      <c r="Q306" s="37"/>
      <c r="R306" s="37" t="s">
        <v>379</v>
      </c>
      <c r="S306" s="37" t="s">
        <v>222</v>
      </c>
      <c r="T306" s="37">
        <v>700</v>
      </c>
      <c r="U306" s="37">
        <v>3500</v>
      </c>
    </row>
    <row r="307" spans="1:21" ht="28.5" customHeight="1">
      <c r="A307" s="37" t="s">
        <v>3260</v>
      </c>
      <c r="B307" s="37" t="s">
        <v>243</v>
      </c>
      <c r="C307" s="37" t="s">
        <v>40</v>
      </c>
      <c r="D307" s="37">
        <v>14</v>
      </c>
      <c r="E307" s="37">
        <v>51</v>
      </c>
      <c r="F307" s="37" t="s">
        <v>36</v>
      </c>
      <c r="G307" s="37" t="s">
        <v>416</v>
      </c>
      <c r="H307" s="37"/>
      <c r="I307" s="37">
        <v>700</v>
      </c>
      <c r="J307" s="37"/>
      <c r="K307" s="37">
        <v>4000</v>
      </c>
      <c r="L307" s="37" t="s">
        <v>230</v>
      </c>
      <c r="M307" s="37" t="s">
        <v>703</v>
      </c>
      <c r="N307" s="37">
        <v>1997</v>
      </c>
      <c r="O307" s="37" t="s">
        <v>232</v>
      </c>
      <c r="P307" s="37" t="s">
        <v>3009</v>
      </c>
      <c r="Q307" s="37"/>
      <c r="R307" s="37" t="s">
        <v>379</v>
      </c>
      <c r="S307" s="37" t="s">
        <v>222</v>
      </c>
      <c r="T307" s="37">
        <v>700</v>
      </c>
      <c r="U307" s="37">
        <v>4000</v>
      </c>
    </row>
    <row r="308" spans="1:21" ht="28.5" customHeight="1">
      <c r="A308" s="37" t="s">
        <v>3261</v>
      </c>
      <c r="B308" s="37" t="s">
        <v>255</v>
      </c>
      <c r="C308" s="37" t="s">
        <v>387</v>
      </c>
      <c r="D308" s="37">
        <v>0</v>
      </c>
      <c r="E308" s="37">
        <v>0.5</v>
      </c>
      <c r="F308" s="37" t="s">
        <v>36</v>
      </c>
      <c r="G308" s="37" t="s">
        <v>49</v>
      </c>
      <c r="H308" s="37"/>
      <c r="I308" s="37"/>
      <c r="J308" s="37">
        <v>30</v>
      </c>
      <c r="K308" s="37"/>
      <c r="L308" s="37" t="s">
        <v>230</v>
      </c>
      <c r="M308" s="37" t="s">
        <v>703</v>
      </c>
      <c r="N308" s="37">
        <v>1997</v>
      </c>
      <c r="O308" s="37" t="s">
        <v>232</v>
      </c>
      <c r="P308" s="37" t="s">
        <v>3009</v>
      </c>
      <c r="Q308" s="37"/>
      <c r="R308" s="37" t="s">
        <v>380</v>
      </c>
      <c r="S308" s="37"/>
      <c r="T308" s="37">
        <v>30</v>
      </c>
      <c r="U308" s="37"/>
    </row>
    <row r="309" spans="1:21" ht="28.5" customHeight="1">
      <c r="A309" s="37" t="s">
        <v>3262</v>
      </c>
      <c r="B309" s="37" t="s">
        <v>255</v>
      </c>
      <c r="C309" s="37" t="s">
        <v>387</v>
      </c>
      <c r="D309" s="37">
        <v>0.5</v>
      </c>
      <c r="E309" s="37">
        <v>1</v>
      </c>
      <c r="F309" s="37" t="s">
        <v>36</v>
      </c>
      <c r="G309" s="37" t="s">
        <v>49</v>
      </c>
      <c r="H309" s="37"/>
      <c r="I309" s="37"/>
      <c r="J309" s="37">
        <v>75</v>
      </c>
      <c r="K309" s="37"/>
      <c r="L309" s="37" t="s">
        <v>230</v>
      </c>
      <c r="M309" s="37" t="s">
        <v>703</v>
      </c>
      <c r="N309" s="37">
        <v>1997</v>
      </c>
      <c r="O309" s="37" t="s">
        <v>232</v>
      </c>
      <c r="P309" s="37" t="s">
        <v>3009</v>
      </c>
      <c r="Q309" s="37"/>
      <c r="R309" s="37" t="s">
        <v>380</v>
      </c>
      <c r="S309" s="37"/>
      <c r="T309" s="37">
        <v>75</v>
      </c>
      <c r="U309" s="37"/>
    </row>
    <row r="310" spans="1:21" ht="28.5" customHeight="1">
      <c r="A310" s="37" t="s">
        <v>3263</v>
      </c>
      <c r="B310" s="37" t="s">
        <v>255</v>
      </c>
      <c r="C310" s="37" t="s">
        <v>387</v>
      </c>
      <c r="D310" s="37">
        <v>1</v>
      </c>
      <c r="E310" s="37">
        <v>4</v>
      </c>
      <c r="F310" s="37" t="s">
        <v>36</v>
      </c>
      <c r="G310" s="37" t="s">
        <v>49</v>
      </c>
      <c r="H310" s="37"/>
      <c r="I310" s="37">
        <v>80</v>
      </c>
      <c r="J310" s="37"/>
      <c r="K310" s="37">
        <v>65</v>
      </c>
      <c r="L310" s="37" t="s">
        <v>230</v>
      </c>
      <c r="M310" s="37" t="s">
        <v>703</v>
      </c>
      <c r="N310" s="37">
        <v>1997</v>
      </c>
      <c r="O310" s="37" t="s">
        <v>232</v>
      </c>
      <c r="P310" s="37" t="s">
        <v>3009</v>
      </c>
      <c r="Q310" s="37"/>
      <c r="R310" s="37" t="s">
        <v>379</v>
      </c>
      <c r="S310" s="37" t="s">
        <v>222</v>
      </c>
      <c r="T310" s="37">
        <v>80</v>
      </c>
      <c r="U310" s="37">
        <v>65</v>
      </c>
    </row>
    <row r="311" spans="1:21" ht="28.5" customHeight="1">
      <c r="A311" s="37" t="s">
        <v>3264</v>
      </c>
      <c r="B311" s="37" t="s">
        <v>255</v>
      </c>
      <c r="C311" s="37" t="s">
        <v>387</v>
      </c>
      <c r="D311" s="37">
        <v>4</v>
      </c>
      <c r="E311" s="37">
        <v>9</v>
      </c>
      <c r="F311" s="37" t="s">
        <v>36</v>
      </c>
      <c r="G311" s="37" t="s">
        <v>49</v>
      </c>
      <c r="H311" s="37"/>
      <c r="I311" s="37">
        <v>130</v>
      </c>
      <c r="J311" s="37"/>
      <c r="K311" s="37">
        <v>110</v>
      </c>
      <c r="L311" s="37" t="s">
        <v>230</v>
      </c>
      <c r="M311" s="37" t="s">
        <v>703</v>
      </c>
      <c r="N311" s="37">
        <v>1997</v>
      </c>
      <c r="O311" s="37" t="s">
        <v>232</v>
      </c>
      <c r="P311" s="37" t="s">
        <v>3009</v>
      </c>
      <c r="Q311" s="37"/>
      <c r="R311" s="37" t="s">
        <v>379</v>
      </c>
      <c r="S311" s="37" t="s">
        <v>222</v>
      </c>
      <c r="T311" s="37">
        <v>130</v>
      </c>
      <c r="U311" s="37">
        <v>110</v>
      </c>
    </row>
    <row r="312" spans="1:21" ht="28.5" customHeight="1">
      <c r="A312" s="37" t="s">
        <v>3265</v>
      </c>
      <c r="B312" s="37" t="s">
        <v>255</v>
      </c>
      <c r="C312" s="37" t="s">
        <v>396</v>
      </c>
      <c r="D312" s="37">
        <v>9</v>
      </c>
      <c r="E312" s="37">
        <v>14</v>
      </c>
      <c r="F312" s="37" t="s">
        <v>36</v>
      </c>
      <c r="G312" s="37" t="s">
        <v>49</v>
      </c>
      <c r="H312" s="37"/>
      <c r="I312" s="37">
        <v>240</v>
      </c>
      <c r="J312" s="37"/>
      <c r="K312" s="37">
        <v>350</v>
      </c>
      <c r="L312" s="37" t="s">
        <v>230</v>
      </c>
      <c r="M312" s="37" t="s">
        <v>703</v>
      </c>
      <c r="N312" s="37">
        <v>1997</v>
      </c>
      <c r="O312" s="37" t="s">
        <v>232</v>
      </c>
      <c r="P312" s="37" t="s">
        <v>3009</v>
      </c>
      <c r="Q312" s="37"/>
      <c r="R312" s="37" t="s">
        <v>379</v>
      </c>
      <c r="S312" s="37" t="s">
        <v>222</v>
      </c>
      <c r="T312" s="37">
        <v>240</v>
      </c>
      <c r="U312" s="37">
        <v>350</v>
      </c>
    </row>
    <row r="313" spans="1:21" ht="28.5" customHeight="1">
      <c r="A313" s="37" t="s">
        <v>3266</v>
      </c>
      <c r="B313" s="37" t="s">
        <v>255</v>
      </c>
      <c r="C313" s="37" t="s">
        <v>40</v>
      </c>
      <c r="D313" s="37">
        <v>9</v>
      </c>
      <c r="E313" s="37">
        <v>14</v>
      </c>
      <c r="F313" s="37" t="s">
        <v>36</v>
      </c>
      <c r="G313" s="37" t="s">
        <v>49</v>
      </c>
      <c r="H313" s="37"/>
      <c r="I313" s="37">
        <v>240</v>
      </c>
      <c r="J313" s="37"/>
      <c r="K313" s="37">
        <v>350</v>
      </c>
      <c r="L313" s="37" t="s">
        <v>230</v>
      </c>
      <c r="M313" s="37" t="s">
        <v>703</v>
      </c>
      <c r="N313" s="37">
        <v>1997</v>
      </c>
      <c r="O313" s="37" t="s">
        <v>232</v>
      </c>
      <c r="P313" s="37" t="s">
        <v>3009</v>
      </c>
      <c r="Q313" s="37"/>
      <c r="R313" s="37" t="s">
        <v>379</v>
      </c>
      <c r="S313" s="37" t="s">
        <v>222</v>
      </c>
      <c r="T313" s="37">
        <v>240</v>
      </c>
      <c r="U313" s="37">
        <v>350</v>
      </c>
    </row>
    <row r="314" spans="1:21" ht="28.5" customHeight="1">
      <c r="A314" s="37" t="s">
        <v>3267</v>
      </c>
      <c r="B314" s="37" t="s">
        <v>255</v>
      </c>
      <c r="C314" s="37" t="s">
        <v>396</v>
      </c>
      <c r="D314" s="37">
        <v>14</v>
      </c>
      <c r="E314" s="37">
        <v>19</v>
      </c>
      <c r="F314" s="37" t="s">
        <v>36</v>
      </c>
      <c r="G314" s="37" t="s">
        <v>49</v>
      </c>
      <c r="H314" s="37"/>
      <c r="I314" s="37">
        <v>410</v>
      </c>
      <c r="J314" s="37"/>
      <c r="K314" s="37">
        <v>350</v>
      </c>
      <c r="L314" s="37" t="s">
        <v>230</v>
      </c>
      <c r="M314" s="37" t="s">
        <v>703</v>
      </c>
      <c r="N314" s="37">
        <v>1997</v>
      </c>
      <c r="O314" s="37" t="s">
        <v>232</v>
      </c>
      <c r="P314" s="37" t="s">
        <v>3009</v>
      </c>
      <c r="Q314" s="37"/>
      <c r="R314" s="37" t="s">
        <v>379</v>
      </c>
      <c r="S314" s="37" t="s">
        <v>222</v>
      </c>
      <c r="T314" s="37">
        <v>410</v>
      </c>
      <c r="U314" s="37">
        <v>350</v>
      </c>
    </row>
    <row r="315" spans="1:21" ht="28.5" customHeight="1">
      <c r="A315" s="37" t="s">
        <v>3268</v>
      </c>
      <c r="B315" s="37" t="s">
        <v>255</v>
      </c>
      <c r="C315" s="37" t="s">
        <v>40</v>
      </c>
      <c r="D315" s="37">
        <v>14</v>
      </c>
      <c r="E315" s="37">
        <v>19</v>
      </c>
      <c r="F315" s="37" t="s">
        <v>36</v>
      </c>
      <c r="G315" s="37" t="s">
        <v>49</v>
      </c>
      <c r="H315" s="37"/>
      <c r="I315" s="37">
        <v>360</v>
      </c>
      <c r="J315" s="37"/>
      <c r="K315" s="37">
        <v>350</v>
      </c>
      <c r="L315" s="37" t="s">
        <v>230</v>
      </c>
      <c r="M315" s="37" t="s">
        <v>703</v>
      </c>
      <c r="N315" s="37">
        <v>1997</v>
      </c>
      <c r="O315" s="37" t="s">
        <v>232</v>
      </c>
      <c r="P315" s="37" t="s">
        <v>3009</v>
      </c>
      <c r="Q315" s="37"/>
      <c r="R315" s="37" t="s">
        <v>379</v>
      </c>
      <c r="S315" s="37" t="s">
        <v>222</v>
      </c>
      <c r="T315" s="37">
        <v>360</v>
      </c>
      <c r="U315" s="37">
        <v>350</v>
      </c>
    </row>
    <row r="316" spans="1:21" ht="28.5" customHeight="1">
      <c r="A316" s="37" t="s">
        <v>3269</v>
      </c>
      <c r="B316" s="37" t="s">
        <v>255</v>
      </c>
      <c r="C316" s="37" t="s">
        <v>396</v>
      </c>
      <c r="D316" s="37">
        <v>19</v>
      </c>
      <c r="E316" s="37">
        <v>31</v>
      </c>
      <c r="F316" s="37" t="s">
        <v>36</v>
      </c>
      <c r="G316" s="37" t="s">
        <v>49</v>
      </c>
      <c r="H316" s="37"/>
      <c r="I316" s="37">
        <v>400</v>
      </c>
      <c r="J316" s="37"/>
      <c r="K316" s="37">
        <v>350</v>
      </c>
      <c r="L316" s="37" t="s">
        <v>230</v>
      </c>
      <c r="M316" s="37" t="s">
        <v>703</v>
      </c>
      <c r="N316" s="37">
        <v>1997</v>
      </c>
      <c r="O316" s="37" t="s">
        <v>232</v>
      </c>
      <c r="P316" s="37" t="s">
        <v>3009</v>
      </c>
      <c r="Q316" s="37"/>
      <c r="R316" s="37" t="s">
        <v>379</v>
      </c>
      <c r="S316" s="37" t="s">
        <v>222</v>
      </c>
      <c r="T316" s="37">
        <v>400</v>
      </c>
      <c r="U316" s="37">
        <v>350</v>
      </c>
    </row>
    <row r="317" spans="1:21" ht="28.5" customHeight="1">
      <c r="A317" s="37" t="s">
        <v>3270</v>
      </c>
      <c r="B317" s="37" t="s">
        <v>255</v>
      </c>
      <c r="C317" s="37" t="s">
        <v>40</v>
      </c>
      <c r="D317" s="37">
        <v>19</v>
      </c>
      <c r="E317" s="37">
        <v>31</v>
      </c>
      <c r="F317" s="37" t="s">
        <v>36</v>
      </c>
      <c r="G317" s="37" t="s">
        <v>49</v>
      </c>
      <c r="H317" s="37"/>
      <c r="I317" s="37">
        <v>310</v>
      </c>
      <c r="J317" s="37"/>
      <c r="K317" s="37">
        <v>350</v>
      </c>
      <c r="L317" s="37" t="s">
        <v>230</v>
      </c>
      <c r="M317" s="37" t="s">
        <v>703</v>
      </c>
      <c r="N317" s="37">
        <v>1997</v>
      </c>
      <c r="O317" s="37" t="s">
        <v>232</v>
      </c>
      <c r="P317" s="37" t="s">
        <v>3009</v>
      </c>
      <c r="Q317" s="37"/>
      <c r="R317" s="37" t="s">
        <v>379</v>
      </c>
      <c r="S317" s="37" t="s">
        <v>222</v>
      </c>
      <c r="T317" s="37">
        <v>310</v>
      </c>
      <c r="U317" s="37">
        <v>350</v>
      </c>
    </row>
    <row r="318" spans="1:21" ht="28.5" customHeight="1">
      <c r="A318" s="37" t="s">
        <v>3271</v>
      </c>
      <c r="B318" s="37" t="s">
        <v>255</v>
      </c>
      <c r="C318" s="37" t="s">
        <v>396</v>
      </c>
      <c r="D318" s="37">
        <v>31</v>
      </c>
      <c r="E318" s="37">
        <v>51</v>
      </c>
      <c r="F318" s="37" t="s">
        <v>36</v>
      </c>
      <c r="G318" s="37" t="s">
        <v>49</v>
      </c>
      <c r="H318" s="37"/>
      <c r="I318" s="37">
        <v>420</v>
      </c>
      <c r="J318" s="37"/>
      <c r="K318" s="37">
        <v>350</v>
      </c>
      <c r="L318" s="37" t="s">
        <v>230</v>
      </c>
      <c r="M318" s="37" t="s">
        <v>703</v>
      </c>
      <c r="N318" s="37">
        <v>1997</v>
      </c>
      <c r="O318" s="37" t="s">
        <v>232</v>
      </c>
      <c r="P318" s="37" t="s">
        <v>3009</v>
      </c>
      <c r="Q318" s="37"/>
      <c r="R318" s="37" t="s">
        <v>379</v>
      </c>
      <c r="S318" s="37" t="s">
        <v>222</v>
      </c>
      <c r="T318" s="37">
        <v>420</v>
      </c>
      <c r="U318" s="37">
        <v>350</v>
      </c>
    </row>
    <row r="319" spans="1:21" ht="28.5" customHeight="1">
      <c r="A319" s="37" t="s">
        <v>3272</v>
      </c>
      <c r="B319" s="37" t="s">
        <v>255</v>
      </c>
      <c r="C319" s="37" t="s">
        <v>40</v>
      </c>
      <c r="D319" s="37">
        <v>31</v>
      </c>
      <c r="E319" s="37">
        <v>51</v>
      </c>
      <c r="F319" s="37" t="s">
        <v>36</v>
      </c>
      <c r="G319" s="37" t="s">
        <v>49</v>
      </c>
      <c r="H319" s="37"/>
      <c r="I319" s="37">
        <v>320</v>
      </c>
      <c r="J319" s="37"/>
      <c r="K319" s="37">
        <v>350</v>
      </c>
      <c r="L319" s="37" t="s">
        <v>230</v>
      </c>
      <c r="M319" s="37" t="s">
        <v>703</v>
      </c>
      <c r="N319" s="37">
        <v>1997</v>
      </c>
      <c r="O319" s="37" t="s">
        <v>232</v>
      </c>
      <c r="P319" s="37" t="s">
        <v>3009</v>
      </c>
      <c r="Q319" s="37"/>
      <c r="R319" s="37" t="s">
        <v>379</v>
      </c>
      <c r="S319" s="37" t="s">
        <v>222</v>
      </c>
      <c r="T319" s="37">
        <v>320</v>
      </c>
      <c r="U319" s="37">
        <v>350</v>
      </c>
    </row>
    <row r="320" spans="1:21" ht="28.5" customHeight="1">
      <c r="A320" s="37" t="s">
        <v>3273</v>
      </c>
      <c r="B320" s="37" t="s">
        <v>255</v>
      </c>
      <c r="C320" s="37" t="s">
        <v>396</v>
      </c>
      <c r="D320" s="37">
        <v>51</v>
      </c>
      <c r="E320" s="37">
        <v>71</v>
      </c>
      <c r="F320" s="37" t="s">
        <v>36</v>
      </c>
      <c r="G320" s="37" t="s">
        <v>49</v>
      </c>
      <c r="H320" s="37"/>
      <c r="I320" s="37">
        <v>420</v>
      </c>
      <c r="J320" s="37"/>
      <c r="K320" s="37">
        <v>350</v>
      </c>
      <c r="L320" s="37" t="s">
        <v>230</v>
      </c>
      <c r="M320" s="37" t="s">
        <v>703</v>
      </c>
      <c r="N320" s="37">
        <v>1997</v>
      </c>
      <c r="O320" s="37" t="s">
        <v>232</v>
      </c>
      <c r="P320" s="37" t="s">
        <v>3009</v>
      </c>
      <c r="Q320" s="37"/>
      <c r="R320" s="37" t="s">
        <v>379</v>
      </c>
      <c r="S320" s="37" t="s">
        <v>222</v>
      </c>
      <c r="T320" s="37">
        <v>420</v>
      </c>
      <c r="U320" s="37">
        <v>350</v>
      </c>
    </row>
    <row r="321" spans="1:21" ht="28.5" customHeight="1">
      <c r="A321" s="37" t="s">
        <v>3274</v>
      </c>
      <c r="B321" s="37" t="s">
        <v>255</v>
      </c>
      <c r="C321" s="37" t="s">
        <v>40</v>
      </c>
      <c r="D321" s="37">
        <v>51</v>
      </c>
      <c r="E321" s="37">
        <v>71</v>
      </c>
      <c r="F321" s="37" t="s">
        <v>36</v>
      </c>
      <c r="G321" s="37" t="s">
        <v>49</v>
      </c>
      <c r="H321" s="37"/>
      <c r="I321" s="37">
        <v>320</v>
      </c>
      <c r="J321" s="37"/>
      <c r="K321" s="37">
        <v>350</v>
      </c>
      <c r="L321" s="37" t="s">
        <v>230</v>
      </c>
      <c r="M321" s="37" t="s">
        <v>703</v>
      </c>
      <c r="N321" s="37">
        <v>1997</v>
      </c>
      <c r="O321" s="37" t="s">
        <v>232</v>
      </c>
      <c r="P321" s="37" t="s">
        <v>3009</v>
      </c>
      <c r="Q321" s="37"/>
      <c r="R321" s="37" t="s">
        <v>379</v>
      </c>
      <c r="S321" s="37" t="s">
        <v>222</v>
      </c>
      <c r="T321" s="37">
        <v>320</v>
      </c>
      <c r="U321" s="37">
        <v>350</v>
      </c>
    </row>
    <row r="322" spans="1:21" ht="28.5" customHeight="1">
      <c r="A322" s="37" t="s">
        <v>3275</v>
      </c>
      <c r="B322" s="37" t="s">
        <v>255</v>
      </c>
      <c r="C322" s="37" t="s">
        <v>396</v>
      </c>
      <c r="D322" s="37">
        <v>71</v>
      </c>
      <c r="E322" s="37">
        <v>999</v>
      </c>
      <c r="F322" s="37" t="s">
        <v>36</v>
      </c>
      <c r="G322" s="37" t="s">
        <v>49</v>
      </c>
      <c r="H322" s="37"/>
      <c r="I322" s="37">
        <v>420</v>
      </c>
      <c r="J322" s="37"/>
      <c r="K322" s="37">
        <v>350</v>
      </c>
      <c r="L322" s="37" t="s">
        <v>230</v>
      </c>
      <c r="M322" s="37" t="s">
        <v>703</v>
      </c>
      <c r="N322" s="37">
        <v>1997</v>
      </c>
      <c r="O322" s="37" t="s">
        <v>232</v>
      </c>
      <c r="P322" s="37" t="s">
        <v>3009</v>
      </c>
      <c r="Q322" s="37"/>
      <c r="R322" s="37" t="s">
        <v>379</v>
      </c>
      <c r="S322" s="37" t="s">
        <v>222</v>
      </c>
      <c r="T322" s="37">
        <v>420</v>
      </c>
      <c r="U322" s="37">
        <v>350</v>
      </c>
    </row>
    <row r="323" spans="1:21" ht="28.5" customHeight="1">
      <c r="A323" s="37" t="s">
        <v>3276</v>
      </c>
      <c r="B323" s="37" t="s">
        <v>255</v>
      </c>
      <c r="C323" s="37" t="s">
        <v>40</v>
      </c>
      <c r="D323" s="37">
        <v>71</v>
      </c>
      <c r="E323" s="37">
        <v>999</v>
      </c>
      <c r="F323" s="37" t="s">
        <v>36</v>
      </c>
      <c r="G323" s="37" t="s">
        <v>49</v>
      </c>
      <c r="H323" s="37"/>
      <c r="I323" s="37">
        <v>320</v>
      </c>
      <c r="J323" s="37"/>
      <c r="K323" s="37">
        <v>350</v>
      </c>
      <c r="L323" s="37" t="s">
        <v>230</v>
      </c>
      <c r="M323" s="37" t="s">
        <v>703</v>
      </c>
      <c r="N323" s="37">
        <v>1997</v>
      </c>
      <c r="O323" s="37" t="s">
        <v>232</v>
      </c>
      <c r="P323" s="37" t="s">
        <v>3009</v>
      </c>
      <c r="Q323" s="37"/>
      <c r="R323" s="37" t="s">
        <v>379</v>
      </c>
      <c r="S323" s="37" t="s">
        <v>222</v>
      </c>
      <c r="T323" s="37">
        <v>320</v>
      </c>
      <c r="U323" s="37">
        <v>350</v>
      </c>
    </row>
    <row r="324" spans="1:21" ht="28.5" customHeight="1">
      <c r="A324" s="37" t="s">
        <v>3277</v>
      </c>
      <c r="B324" s="37" t="s">
        <v>255</v>
      </c>
      <c r="C324" s="37" t="s">
        <v>40</v>
      </c>
      <c r="D324" s="37">
        <v>14</v>
      </c>
      <c r="E324" s="37">
        <v>51</v>
      </c>
      <c r="F324" s="37" t="s">
        <v>36</v>
      </c>
      <c r="G324" s="37" t="s">
        <v>414</v>
      </c>
      <c r="H324" s="37"/>
      <c r="I324" s="37">
        <v>350</v>
      </c>
      <c r="J324" s="37"/>
      <c r="K324" s="37">
        <v>350</v>
      </c>
      <c r="L324" s="37" t="s">
        <v>230</v>
      </c>
      <c r="M324" s="37" t="s">
        <v>703</v>
      </c>
      <c r="N324" s="37">
        <v>1997</v>
      </c>
      <c r="O324" s="37" t="s">
        <v>232</v>
      </c>
      <c r="P324" s="37" t="s">
        <v>3009</v>
      </c>
      <c r="Q324" s="37"/>
      <c r="R324" s="37" t="s">
        <v>379</v>
      </c>
      <c r="S324" s="37" t="s">
        <v>222</v>
      </c>
      <c r="T324" s="37">
        <v>350</v>
      </c>
      <c r="U324" s="37">
        <v>350</v>
      </c>
    </row>
    <row r="325" spans="1:21" ht="28.5" customHeight="1">
      <c r="A325" s="37" t="s">
        <v>3278</v>
      </c>
      <c r="B325" s="37" t="s">
        <v>255</v>
      </c>
      <c r="C325" s="37" t="s">
        <v>40</v>
      </c>
      <c r="D325" s="37">
        <v>14</v>
      </c>
      <c r="E325" s="37">
        <v>51</v>
      </c>
      <c r="F325" s="37" t="s">
        <v>36</v>
      </c>
      <c r="G325" s="37" t="s">
        <v>416</v>
      </c>
      <c r="H325" s="37"/>
      <c r="I325" s="37">
        <v>310</v>
      </c>
      <c r="J325" s="37"/>
      <c r="K325" s="37">
        <v>350</v>
      </c>
      <c r="L325" s="37" t="s">
        <v>230</v>
      </c>
      <c r="M325" s="37" t="s">
        <v>703</v>
      </c>
      <c r="N325" s="37">
        <v>1997</v>
      </c>
      <c r="O325" s="37" t="s">
        <v>232</v>
      </c>
      <c r="P325" s="37" t="s">
        <v>3009</v>
      </c>
      <c r="Q325" s="37"/>
      <c r="R325" s="37" t="s">
        <v>379</v>
      </c>
      <c r="S325" s="37" t="s">
        <v>222</v>
      </c>
      <c r="T325" s="37">
        <v>310</v>
      </c>
      <c r="U325" s="37">
        <v>350</v>
      </c>
    </row>
    <row r="326" spans="1:21" ht="28.5" customHeight="1">
      <c r="A326" s="37" t="s">
        <v>3279</v>
      </c>
      <c r="B326" s="37" t="s">
        <v>225</v>
      </c>
      <c r="C326" s="37" t="s">
        <v>387</v>
      </c>
      <c r="D326" s="37">
        <v>0</v>
      </c>
      <c r="E326" s="37">
        <v>0.5</v>
      </c>
      <c r="F326" s="37" t="s">
        <v>36</v>
      </c>
      <c r="G326" s="37" t="s">
        <v>49</v>
      </c>
      <c r="H326" s="37"/>
      <c r="I326" s="37"/>
      <c r="J326" s="37">
        <v>0.27</v>
      </c>
      <c r="K326" s="37">
        <v>40</v>
      </c>
      <c r="L326" s="37" t="s">
        <v>230</v>
      </c>
      <c r="M326" s="37" t="s">
        <v>703</v>
      </c>
      <c r="N326" s="37">
        <v>2001</v>
      </c>
      <c r="O326" s="37" t="s">
        <v>232</v>
      </c>
      <c r="P326" s="37" t="s">
        <v>3009</v>
      </c>
      <c r="Q326" s="37"/>
      <c r="R326" s="37" t="s">
        <v>380</v>
      </c>
      <c r="S326" s="37" t="s">
        <v>222</v>
      </c>
      <c r="T326" s="37">
        <v>0.27</v>
      </c>
      <c r="U326" s="37">
        <v>40</v>
      </c>
    </row>
    <row r="327" spans="1:21" ht="28.5" customHeight="1">
      <c r="A327" s="37" t="s">
        <v>3280</v>
      </c>
      <c r="B327" s="37" t="s">
        <v>225</v>
      </c>
      <c r="C327" s="37" t="s">
        <v>387</v>
      </c>
      <c r="D327" s="37">
        <v>0.5</v>
      </c>
      <c r="E327" s="37">
        <v>1</v>
      </c>
      <c r="F327" s="37" t="s">
        <v>36</v>
      </c>
      <c r="G327" s="37" t="s">
        <v>49</v>
      </c>
      <c r="H327" s="37"/>
      <c r="I327" s="37"/>
      <c r="J327" s="37">
        <v>11</v>
      </c>
      <c r="K327" s="37">
        <v>40</v>
      </c>
      <c r="L327" s="37" t="s">
        <v>230</v>
      </c>
      <c r="M327" s="37" t="s">
        <v>703</v>
      </c>
      <c r="N327" s="37">
        <v>2001</v>
      </c>
      <c r="O327" s="37" t="s">
        <v>232</v>
      </c>
      <c r="P327" s="37" t="s">
        <v>3009</v>
      </c>
      <c r="Q327" s="37"/>
      <c r="R327" s="37" t="s">
        <v>380</v>
      </c>
      <c r="S327" s="37" t="s">
        <v>222</v>
      </c>
      <c r="T327" s="37">
        <v>11</v>
      </c>
      <c r="U327" s="37">
        <v>40</v>
      </c>
    </row>
    <row r="328" spans="1:21" ht="28.5" customHeight="1">
      <c r="A328" s="37" t="s">
        <v>3281</v>
      </c>
      <c r="B328" s="37" t="s">
        <v>225</v>
      </c>
      <c r="C328" s="37" t="s">
        <v>387</v>
      </c>
      <c r="D328" s="37">
        <v>1</v>
      </c>
      <c r="E328" s="37">
        <v>4</v>
      </c>
      <c r="F328" s="37" t="s">
        <v>36</v>
      </c>
      <c r="G328" s="37" t="s">
        <v>49</v>
      </c>
      <c r="H328" s="37"/>
      <c r="I328" s="37">
        <v>7</v>
      </c>
      <c r="J328" s="37"/>
      <c r="K328" s="37">
        <v>40</v>
      </c>
      <c r="L328" s="37" t="s">
        <v>230</v>
      </c>
      <c r="M328" s="37" t="s">
        <v>703</v>
      </c>
      <c r="N328" s="37">
        <v>2001</v>
      </c>
      <c r="O328" s="37" t="s">
        <v>232</v>
      </c>
      <c r="P328" s="37" t="s">
        <v>3009</v>
      </c>
      <c r="Q328" s="37"/>
      <c r="R328" s="37" t="s">
        <v>379</v>
      </c>
      <c r="S328" s="37" t="s">
        <v>222</v>
      </c>
      <c r="T328" s="37">
        <v>7</v>
      </c>
      <c r="U328" s="37">
        <v>40</v>
      </c>
    </row>
    <row r="329" spans="1:21" ht="28.5" customHeight="1">
      <c r="A329" s="37" t="s">
        <v>3282</v>
      </c>
      <c r="B329" s="37" t="s">
        <v>225</v>
      </c>
      <c r="C329" s="37" t="s">
        <v>387</v>
      </c>
      <c r="D329" s="37">
        <v>4</v>
      </c>
      <c r="E329" s="37">
        <v>9</v>
      </c>
      <c r="F329" s="37" t="s">
        <v>36</v>
      </c>
      <c r="G329" s="37" t="s">
        <v>49</v>
      </c>
      <c r="H329" s="37"/>
      <c r="I329" s="37">
        <v>10</v>
      </c>
      <c r="J329" s="37"/>
      <c r="K329" s="37">
        <v>40</v>
      </c>
      <c r="L329" s="37" t="s">
        <v>230</v>
      </c>
      <c r="M329" s="37" t="s">
        <v>703</v>
      </c>
      <c r="N329" s="37">
        <v>2001</v>
      </c>
      <c r="O329" s="37" t="s">
        <v>232</v>
      </c>
      <c r="P329" s="37" t="s">
        <v>3009</v>
      </c>
      <c r="Q329" s="37"/>
      <c r="R329" s="37" t="s">
        <v>379</v>
      </c>
      <c r="S329" s="37" t="s">
        <v>222</v>
      </c>
      <c r="T329" s="37">
        <v>10</v>
      </c>
      <c r="U329" s="37">
        <v>40</v>
      </c>
    </row>
    <row r="330" spans="1:21" ht="28.5" customHeight="1">
      <c r="A330" s="37" t="s">
        <v>3283</v>
      </c>
      <c r="B330" s="37" t="s">
        <v>225</v>
      </c>
      <c r="C330" s="37" t="s">
        <v>396</v>
      </c>
      <c r="D330" s="37">
        <v>9</v>
      </c>
      <c r="E330" s="37">
        <v>14</v>
      </c>
      <c r="F330" s="37" t="s">
        <v>36</v>
      </c>
      <c r="G330" s="37" t="s">
        <v>49</v>
      </c>
      <c r="H330" s="37"/>
      <c r="I330" s="37">
        <v>8</v>
      </c>
      <c r="J330" s="37"/>
      <c r="K330" s="37">
        <v>40</v>
      </c>
      <c r="L330" s="37" t="s">
        <v>230</v>
      </c>
      <c r="M330" s="37" t="s">
        <v>703</v>
      </c>
      <c r="N330" s="37">
        <v>2001</v>
      </c>
      <c r="O330" s="37" t="s">
        <v>232</v>
      </c>
      <c r="P330" s="37" t="s">
        <v>3009</v>
      </c>
      <c r="Q330" s="37"/>
      <c r="R330" s="37" t="s">
        <v>379</v>
      </c>
      <c r="S330" s="37" t="s">
        <v>222</v>
      </c>
      <c r="T330" s="37">
        <v>8</v>
      </c>
      <c r="U330" s="37">
        <v>40</v>
      </c>
    </row>
    <row r="331" spans="1:21" ht="28.5" customHeight="1">
      <c r="A331" s="37" t="s">
        <v>3284</v>
      </c>
      <c r="B331" s="37" t="s">
        <v>225</v>
      </c>
      <c r="C331" s="37" t="s">
        <v>40</v>
      </c>
      <c r="D331" s="37">
        <v>9</v>
      </c>
      <c r="E331" s="37">
        <v>14</v>
      </c>
      <c r="F331" s="37" t="s">
        <v>36</v>
      </c>
      <c r="G331" s="37" t="s">
        <v>49</v>
      </c>
      <c r="H331" s="37"/>
      <c r="I331" s="37">
        <v>8</v>
      </c>
      <c r="J331" s="37"/>
      <c r="K331" s="37">
        <v>40</v>
      </c>
      <c r="L331" s="37" t="s">
        <v>230</v>
      </c>
      <c r="M331" s="37" t="s">
        <v>703</v>
      </c>
      <c r="N331" s="37">
        <v>2001</v>
      </c>
      <c r="O331" s="37" t="s">
        <v>232</v>
      </c>
      <c r="P331" s="37" t="s">
        <v>3009</v>
      </c>
      <c r="Q331" s="37"/>
      <c r="R331" s="37" t="s">
        <v>379</v>
      </c>
      <c r="S331" s="37" t="s">
        <v>222</v>
      </c>
      <c r="T331" s="37">
        <v>8</v>
      </c>
      <c r="U331" s="37">
        <v>40</v>
      </c>
    </row>
    <row r="332" spans="1:21" ht="28.5" customHeight="1">
      <c r="A332" s="37" t="s">
        <v>3285</v>
      </c>
      <c r="B332" s="37" t="s">
        <v>225</v>
      </c>
      <c r="C332" s="37" t="s">
        <v>396</v>
      </c>
      <c r="D332" s="37">
        <v>14</v>
      </c>
      <c r="E332" s="37">
        <v>19</v>
      </c>
      <c r="F332" s="37" t="s">
        <v>36</v>
      </c>
      <c r="G332" s="37" t="s">
        <v>49</v>
      </c>
      <c r="H332" s="37"/>
      <c r="I332" s="37">
        <v>11</v>
      </c>
      <c r="J332" s="37"/>
      <c r="K332" s="37">
        <v>45</v>
      </c>
      <c r="L332" s="37" t="s">
        <v>230</v>
      </c>
      <c r="M332" s="37" t="s">
        <v>703</v>
      </c>
      <c r="N332" s="37">
        <v>2001</v>
      </c>
      <c r="O332" s="37" t="s">
        <v>232</v>
      </c>
      <c r="P332" s="37" t="s">
        <v>3009</v>
      </c>
      <c r="Q332" s="37"/>
      <c r="R332" s="37" t="s">
        <v>379</v>
      </c>
      <c r="S332" s="37" t="s">
        <v>222</v>
      </c>
      <c r="T332" s="37">
        <v>11</v>
      </c>
      <c r="U332" s="37">
        <v>45</v>
      </c>
    </row>
    <row r="333" spans="1:21" ht="28.5" customHeight="1">
      <c r="A333" s="37" t="s">
        <v>3286</v>
      </c>
      <c r="B333" s="37" t="s">
        <v>225</v>
      </c>
      <c r="C333" s="37" t="s">
        <v>40</v>
      </c>
      <c r="D333" s="37">
        <v>14</v>
      </c>
      <c r="E333" s="37">
        <v>19</v>
      </c>
      <c r="F333" s="37" t="s">
        <v>36</v>
      </c>
      <c r="G333" s="37" t="s">
        <v>49</v>
      </c>
      <c r="H333" s="37"/>
      <c r="I333" s="37">
        <v>15</v>
      </c>
      <c r="J333" s="37"/>
      <c r="K333" s="37">
        <v>45</v>
      </c>
      <c r="L333" s="37" t="s">
        <v>230</v>
      </c>
      <c r="M333" s="37" t="s">
        <v>703</v>
      </c>
      <c r="N333" s="37">
        <v>2001</v>
      </c>
      <c r="O333" s="37" t="s">
        <v>232</v>
      </c>
      <c r="P333" s="37" t="s">
        <v>3009</v>
      </c>
      <c r="Q333" s="37"/>
      <c r="R333" s="37" t="s">
        <v>379</v>
      </c>
      <c r="S333" s="37" t="s">
        <v>222</v>
      </c>
      <c r="T333" s="37">
        <v>15</v>
      </c>
      <c r="U333" s="37">
        <v>45</v>
      </c>
    </row>
    <row r="334" spans="1:21" ht="28.5" customHeight="1">
      <c r="A334" s="37" t="s">
        <v>3287</v>
      </c>
      <c r="B334" s="37" t="s">
        <v>225</v>
      </c>
      <c r="C334" s="37" t="s">
        <v>396</v>
      </c>
      <c r="D334" s="37">
        <v>19</v>
      </c>
      <c r="E334" s="37">
        <v>31</v>
      </c>
      <c r="F334" s="37" t="s">
        <v>36</v>
      </c>
      <c r="G334" s="37" t="s">
        <v>49</v>
      </c>
      <c r="H334" s="37"/>
      <c r="I334" s="37">
        <v>8</v>
      </c>
      <c r="J334" s="37"/>
      <c r="K334" s="37">
        <v>45</v>
      </c>
      <c r="L334" s="37" t="s">
        <v>230</v>
      </c>
      <c r="M334" s="37" t="s">
        <v>703</v>
      </c>
      <c r="N334" s="37">
        <v>2001</v>
      </c>
      <c r="O334" s="37" t="s">
        <v>232</v>
      </c>
      <c r="P334" s="37" t="s">
        <v>3009</v>
      </c>
      <c r="Q334" s="37"/>
      <c r="R334" s="37" t="s">
        <v>379</v>
      </c>
      <c r="S334" s="37" t="s">
        <v>222</v>
      </c>
      <c r="T334" s="37">
        <v>8</v>
      </c>
      <c r="U334" s="37">
        <v>45</v>
      </c>
    </row>
    <row r="335" spans="1:21" ht="28.5" customHeight="1">
      <c r="A335" s="37" t="s">
        <v>3288</v>
      </c>
      <c r="B335" s="37" t="s">
        <v>225</v>
      </c>
      <c r="C335" s="37" t="s">
        <v>40</v>
      </c>
      <c r="D335" s="37">
        <v>19</v>
      </c>
      <c r="E335" s="37">
        <v>31</v>
      </c>
      <c r="F335" s="37" t="s">
        <v>36</v>
      </c>
      <c r="G335" s="37" t="s">
        <v>49</v>
      </c>
      <c r="H335" s="37"/>
      <c r="I335" s="37">
        <v>18</v>
      </c>
      <c r="J335" s="37"/>
      <c r="K335" s="37">
        <v>45</v>
      </c>
      <c r="L335" s="37" t="s">
        <v>230</v>
      </c>
      <c r="M335" s="37" t="s">
        <v>703</v>
      </c>
      <c r="N335" s="37">
        <v>2001</v>
      </c>
      <c r="O335" s="37" t="s">
        <v>232</v>
      </c>
      <c r="P335" s="37" t="s">
        <v>3009</v>
      </c>
      <c r="Q335" s="37"/>
      <c r="R335" s="37" t="s">
        <v>379</v>
      </c>
      <c r="S335" s="37" t="s">
        <v>222</v>
      </c>
      <c r="T335" s="37">
        <v>18</v>
      </c>
      <c r="U335" s="37">
        <v>45</v>
      </c>
    </row>
    <row r="336" spans="1:21" ht="28.5" customHeight="1">
      <c r="A336" s="37" t="s">
        <v>3289</v>
      </c>
      <c r="B336" s="37" t="s">
        <v>225</v>
      </c>
      <c r="C336" s="37" t="s">
        <v>396</v>
      </c>
      <c r="D336" s="37">
        <v>31</v>
      </c>
      <c r="E336" s="37">
        <v>51</v>
      </c>
      <c r="F336" s="37" t="s">
        <v>36</v>
      </c>
      <c r="G336" s="37" t="s">
        <v>49</v>
      </c>
      <c r="H336" s="37"/>
      <c r="I336" s="37">
        <v>8</v>
      </c>
      <c r="J336" s="37"/>
      <c r="K336" s="37">
        <v>45</v>
      </c>
      <c r="L336" s="37" t="s">
        <v>230</v>
      </c>
      <c r="M336" s="37" t="s">
        <v>703</v>
      </c>
      <c r="N336" s="37">
        <v>2001</v>
      </c>
      <c r="O336" s="37" t="s">
        <v>232</v>
      </c>
      <c r="P336" s="37" t="s">
        <v>3009</v>
      </c>
      <c r="Q336" s="37"/>
      <c r="R336" s="37" t="s">
        <v>379</v>
      </c>
      <c r="S336" s="37" t="s">
        <v>222</v>
      </c>
      <c r="T336" s="37">
        <v>8</v>
      </c>
      <c r="U336" s="37">
        <v>45</v>
      </c>
    </row>
    <row r="337" spans="1:21" ht="28.5" customHeight="1">
      <c r="A337" s="37" t="s">
        <v>3290</v>
      </c>
      <c r="B337" s="37" t="s">
        <v>225</v>
      </c>
      <c r="C337" s="37" t="s">
        <v>40</v>
      </c>
      <c r="D337" s="37">
        <v>31</v>
      </c>
      <c r="E337" s="37">
        <v>51</v>
      </c>
      <c r="F337" s="37" t="s">
        <v>36</v>
      </c>
      <c r="G337" s="37" t="s">
        <v>49</v>
      </c>
      <c r="H337" s="37"/>
      <c r="I337" s="37">
        <v>18</v>
      </c>
      <c r="J337" s="37"/>
      <c r="K337" s="37">
        <v>45</v>
      </c>
      <c r="L337" s="37" t="s">
        <v>230</v>
      </c>
      <c r="M337" s="37" t="s">
        <v>703</v>
      </c>
      <c r="N337" s="37">
        <v>2001</v>
      </c>
      <c r="O337" s="37" t="s">
        <v>232</v>
      </c>
      <c r="P337" s="37" t="s">
        <v>3009</v>
      </c>
      <c r="Q337" s="37"/>
      <c r="R337" s="37" t="s">
        <v>379</v>
      </c>
      <c r="S337" s="37" t="s">
        <v>222</v>
      </c>
      <c r="T337" s="37">
        <v>18</v>
      </c>
      <c r="U337" s="37">
        <v>45</v>
      </c>
    </row>
    <row r="338" spans="1:21" ht="28.5" customHeight="1">
      <c r="A338" s="37" t="s">
        <v>3291</v>
      </c>
      <c r="B338" s="37" t="s">
        <v>225</v>
      </c>
      <c r="C338" s="37" t="s">
        <v>396</v>
      </c>
      <c r="D338" s="37">
        <v>51</v>
      </c>
      <c r="E338" s="37">
        <v>71</v>
      </c>
      <c r="F338" s="37" t="s">
        <v>36</v>
      </c>
      <c r="G338" s="37" t="s">
        <v>49</v>
      </c>
      <c r="H338" s="37"/>
      <c r="I338" s="37">
        <v>8</v>
      </c>
      <c r="J338" s="37"/>
      <c r="K338" s="37">
        <v>45</v>
      </c>
      <c r="L338" s="37" t="s">
        <v>230</v>
      </c>
      <c r="M338" s="37" t="s">
        <v>703</v>
      </c>
      <c r="N338" s="37">
        <v>2001</v>
      </c>
      <c r="O338" s="37" t="s">
        <v>232</v>
      </c>
      <c r="P338" s="37" t="s">
        <v>3009</v>
      </c>
      <c r="Q338" s="37"/>
      <c r="R338" s="37" t="s">
        <v>379</v>
      </c>
      <c r="S338" s="37" t="s">
        <v>222</v>
      </c>
      <c r="T338" s="37">
        <v>8</v>
      </c>
      <c r="U338" s="37">
        <v>45</v>
      </c>
    </row>
    <row r="339" spans="1:21" ht="28.5" customHeight="1">
      <c r="A339" s="37" t="s">
        <v>3292</v>
      </c>
      <c r="B339" s="37" t="s">
        <v>225</v>
      </c>
      <c r="C339" s="37" t="s">
        <v>40</v>
      </c>
      <c r="D339" s="37">
        <v>51</v>
      </c>
      <c r="E339" s="37">
        <v>71</v>
      </c>
      <c r="F339" s="37" t="s">
        <v>36</v>
      </c>
      <c r="G339" s="37" t="s">
        <v>49</v>
      </c>
      <c r="H339" s="37"/>
      <c r="I339" s="37">
        <v>8</v>
      </c>
      <c r="J339" s="37"/>
      <c r="K339" s="37">
        <v>45</v>
      </c>
      <c r="L339" s="37" t="s">
        <v>230</v>
      </c>
      <c r="M339" s="37" t="s">
        <v>703</v>
      </c>
      <c r="N339" s="37">
        <v>2001</v>
      </c>
      <c r="O339" s="37" t="s">
        <v>232</v>
      </c>
      <c r="P339" s="37" t="s">
        <v>3009</v>
      </c>
      <c r="Q339" s="37"/>
      <c r="R339" s="37" t="s">
        <v>379</v>
      </c>
      <c r="S339" s="37" t="s">
        <v>222</v>
      </c>
      <c r="T339" s="37">
        <v>8</v>
      </c>
      <c r="U339" s="37">
        <v>45</v>
      </c>
    </row>
    <row r="340" spans="1:21" ht="28.5" customHeight="1">
      <c r="A340" s="37" t="s">
        <v>3293</v>
      </c>
      <c r="B340" s="37" t="s">
        <v>225</v>
      </c>
      <c r="C340" s="37" t="s">
        <v>396</v>
      </c>
      <c r="D340" s="37">
        <v>71</v>
      </c>
      <c r="E340" s="37">
        <v>999</v>
      </c>
      <c r="F340" s="37" t="s">
        <v>36</v>
      </c>
      <c r="G340" s="37" t="s">
        <v>49</v>
      </c>
      <c r="H340" s="37"/>
      <c r="I340" s="37">
        <v>8</v>
      </c>
      <c r="J340" s="37"/>
      <c r="K340" s="37">
        <v>45</v>
      </c>
      <c r="L340" s="37" t="s">
        <v>230</v>
      </c>
      <c r="M340" s="37" t="s">
        <v>703</v>
      </c>
      <c r="N340" s="37">
        <v>2001</v>
      </c>
      <c r="O340" s="37" t="s">
        <v>232</v>
      </c>
      <c r="P340" s="37" t="s">
        <v>3009</v>
      </c>
      <c r="Q340" s="37"/>
      <c r="R340" s="37" t="s">
        <v>379</v>
      </c>
      <c r="S340" s="37" t="s">
        <v>222</v>
      </c>
      <c r="T340" s="37">
        <v>8</v>
      </c>
      <c r="U340" s="37">
        <v>45</v>
      </c>
    </row>
    <row r="341" spans="1:21" ht="28.5" customHeight="1">
      <c r="A341" s="37" t="s">
        <v>3294</v>
      </c>
      <c r="B341" s="37" t="s">
        <v>225</v>
      </c>
      <c r="C341" s="37" t="s">
        <v>40</v>
      </c>
      <c r="D341" s="37">
        <v>71</v>
      </c>
      <c r="E341" s="37">
        <v>999</v>
      </c>
      <c r="F341" s="37" t="s">
        <v>36</v>
      </c>
      <c r="G341" s="37" t="s">
        <v>49</v>
      </c>
      <c r="H341" s="37"/>
      <c r="I341" s="37">
        <v>8</v>
      </c>
      <c r="J341" s="37"/>
      <c r="K341" s="37">
        <v>45</v>
      </c>
      <c r="L341" s="37" t="s">
        <v>230</v>
      </c>
      <c r="M341" s="37" t="s">
        <v>703</v>
      </c>
      <c r="N341" s="37">
        <v>2001</v>
      </c>
      <c r="O341" s="37" t="s">
        <v>232</v>
      </c>
      <c r="P341" s="37" t="s">
        <v>3009</v>
      </c>
      <c r="Q341" s="37"/>
      <c r="R341" s="37" t="s">
        <v>379</v>
      </c>
      <c r="S341" s="37" t="s">
        <v>222</v>
      </c>
      <c r="T341" s="37">
        <v>8</v>
      </c>
      <c r="U341" s="37">
        <v>45</v>
      </c>
    </row>
    <row r="342" spans="1:21" ht="28.5" customHeight="1">
      <c r="A342" s="37" t="s">
        <v>3295</v>
      </c>
      <c r="B342" s="37" t="s">
        <v>225</v>
      </c>
      <c r="C342" s="37" t="s">
        <v>40</v>
      </c>
      <c r="D342" s="37">
        <v>14</v>
      </c>
      <c r="E342" s="37">
        <v>51</v>
      </c>
      <c r="F342" s="37" t="s">
        <v>36</v>
      </c>
      <c r="G342" s="37" t="s">
        <v>414</v>
      </c>
      <c r="H342" s="37"/>
      <c r="I342" s="37">
        <v>27</v>
      </c>
      <c r="J342" s="37"/>
      <c r="K342" s="37">
        <v>45</v>
      </c>
      <c r="L342" s="37" t="s">
        <v>230</v>
      </c>
      <c r="M342" s="37" t="s">
        <v>703</v>
      </c>
      <c r="N342" s="37">
        <v>2001</v>
      </c>
      <c r="O342" s="37" t="s">
        <v>232</v>
      </c>
      <c r="P342" s="37" t="s">
        <v>3009</v>
      </c>
      <c r="Q342" s="37"/>
      <c r="R342" s="37" t="s">
        <v>379</v>
      </c>
      <c r="S342" s="37" t="s">
        <v>222</v>
      </c>
      <c r="T342" s="37">
        <v>27</v>
      </c>
      <c r="U342" s="37">
        <v>45</v>
      </c>
    </row>
    <row r="343" spans="1:21" ht="28.5" customHeight="1">
      <c r="A343" s="37" t="s">
        <v>3296</v>
      </c>
      <c r="B343" s="37" t="s">
        <v>225</v>
      </c>
      <c r="C343" s="37" t="s">
        <v>40</v>
      </c>
      <c r="D343" s="37">
        <v>14</v>
      </c>
      <c r="E343" s="37">
        <v>51</v>
      </c>
      <c r="F343" s="37" t="s">
        <v>36</v>
      </c>
      <c r="G343" s="37" t="s">
        <v>416</v>
      </c>
      <c r="H343" s="37"/>
      <c r="I343" s="37">
        <v>9</v>
      </c>
      <c r="J343" s="37"/>
      <c r="K343" s="37">
        <v>45</v>
      </c>
      <c r="L343" s="37" t="s">
        <v>230</v>
      </c>
      <c r="M343" s="37" t="s">
        <v>703</v>
      </c>
      <c r="N343" s="37">
        <v>2001</v>
      </c>
      <c r="O343" s="37" t="s">
        <v>232</v>
      </c>
      <c r="P343" s="37" t="s">
        <v>3009</v>
      </c>
      <c r="Q343" s="37"/>
      <c r="R343" s="37" t="s">
        <v>379</v>
      </c>
      <c r="S343" s="37" t="s">
        <v>222</v>
      </c>
      <c r="T343" s="37">
        <v>9</v>
      </c>
      <c r="U343" s="37">
        <v>45</v>
      </c>
    </row>
    <row r="344" spans="1:21" ht="28.5" customHeight="1">
      <c r="A344" s="37" t="s">
        <v>3297</v>
      </c>
      <c r="B344" s="37" t="s">
        <v>233</v>
      </c>
      <c r="C344" s="37" t="s">
        <v>387</v>
      </c>
      <c r="D344" s="37">
        <v>0</v>
      </c>
      <c r="E344" s="37">
        <v>0.5</v>
      </c>
      <c r="F344" s="37" t="s">
        <v>36</v>
      </c>
      <c r="G344" s="37" t="s">
        <v>49</v>
      </c>
      <c r="H344" s="37"/>
      <c r="I344" s="37"/>
      <c r="J344" s="37">
        <v>2</v>
      </c>
      <c r="K344" s="37">
        <v>4</v>
      </c>
      <c r="L344" s="37" t="s">
        <v>230</v>
      </c>
      <c r="M344" s="37" t="s">
        <v>703</v>
      </c>
      <c r="N344" s="37">
        <v>2001</v>
      </c>
      <c r="O344" s="37" t="s">
        <v>232</v>
      </c>
      <c r="P344" s="37" t="s">
        <v>3009</v>
      </c>
      <c r="Q344" s="37"/>
      <c r="R344" s="37" t="s">
        <v>380</v>
      </c>
      <c r="S344" s="37" t="s">
        <v>222</v>
      </c>
      <c r="T344" s="37">
        <v>2</v>
      </c>
      <c r="U344" s="37">
        <v>4</v>
      </c>
    </row>
    <row r="345" spans="1:21" ht="28.5" customHeight="1">
      <c r="A345" s="37" t="s">
        <v>3298</v>
      </c>
      <c r="B345" s="37" t="s">
        <v>233</v>
      </c>
      <c r="C345" s="37" t="s">
        <v>387</v>
      </c>
      <c r="D345" s="37">
        <v>0.5</v>
      </c>
      <c r="E345" s="37">
        <v>1</v>
      </c>
      <c r="F345" s="37" t="s">
        <v>36</v>
      </c>
      <c r="G345" s="37" t="s">
        <v>49</v>
      </c>
      <c r="H345" s="37"/>
      <c r="I345" s="37"/>
      <c r="J345" s="37">
        <v>3</v>
      </c>
      <c r="K345" s="37">
        <v>5</v>
      </c>
      <c r="L345" s="37" t="s">
        <v>230</v>
      </c>
      <c r="M345" s="37" t="s">
        <v>703</v>
      </c>
      <c r="N345" s="37">
        <v>2001</v>
      </c>
      <c r="O345" s="37" t="s">
        <v>232</v>
      </c>
      <c r="P345" s="37" t="s">
        <v>3009</v>
      </c>
      <c r="Q345" s="37"/>
      <c r="R345" s="37" t="s">
        <v>380</v>
      </c>
      <c r="S345" s="37" t="s">
        <v>222</v>
      </c>
      <c r="T345" s="37">
        <v>3</v>
      </c>
      <c r="U345" s="37">
        <v>5</v>
      </c>
    </row>
    <row r="346" spans="1:21" ht="28.5" customHeight="1">
      <c r="A346" s="37" t="s">
        <v>3299</v>
      </c>
      <c r="B346" s="37" t="s">
        <v>233</v>
      </c>
      <c r="C346" s="37" t="s">
        <v>387</v>
      </c>
      <c r="D346" s="37">
        <v>1</v>
      </c>
      <c r="E346" s="37">
        <v>4</v>
      </c>
      <c r="F346" s="37" t="s">
        <v>36</v>
      </c>
      <c r="G346" s="37" t="s">
        <v>49</v>
      </c>
      <c r="H346" s="37"/>
      <c r="I346" s="37">
        <v>3</v>
      </c>
      <c r="J346" s="37"/>
      <c r="K346" s="37">
        <v>7</v>
      </c>
      <c r="L346" s="37" t="s">
        <v>230</v>
      </c>
      <c r="M346" s="37" t="s">
        <v>703</v>
      </c>
      <c r="N346" s="37">
        <v>2001</v>
      </c>
      <c r="O346" s="37" t="s">
        <v>232</v>
      </c>
      <c r="P346" s="37" t="s">
        <v>3009</v>
      </c>
      <c r="Q346" s="37"/>
      <c r="R346" s="37" t="s">
        <v>379</v>
      </c>
      <c r="S346" s="37" t="s">
        <v>222</v>
      </c>
      <c r="T346" s="37">
        <v>3</v>
      </c>
      <c r="U346" s="37">
        <v>7</v>
      </c>
    </row>
    <row r="347" spans="1:21" ht="28.5" customHeight="1">
      <c r="A347" s="37" t="s">
        <v>3300</v>
      </c>
      <c r="B347" s="37" t="s">
        <v>233</v>
      </c>
      <c r="C347" s="37" t="s">
        <v>387</v>
      </c>
      <c r="D347" s="37">
        <v>4</v>
      </c>
      <c r="E347" s="37">
        <v>9</v>
      </c>
      <c r="F347" s="37" t="s">
        <v>36</v>
      </c>
      <c r="G347" s="37" t="s">
        <v>49</v>
      </c>
      <c r="H347" s="37"/>
      <c r="I347" s="37">
        <v>5</v>
      </c>
      <c r="J347" s="37"/>
      <c r="K347" s="37">
        <v>12</v>
      </c>
      <c r="L347" s="37" t="s">
        <v>230</v>
      </c>
      <c r="M347" s="37" t="s">
        <v>703</v>
      </c>
      <c r="N347" s="37">
        <v>2001</v>
      </c>
      <c r="O347" s="37" t="s">
        <v>232</v>
      </c>
      <c r="P347" s="37" t="s">
        <v>3009</v>
      </c>
      <c r="Q347" s="37"/>
      <c r="R347" s="37" t="s">
        <v>379</v>
      </c>
      <c r="S347" s="37" t="s">
        <v>222</v>
      </c>
      <c r="T347" s="37">
        <v>5</v>
      </c>
      <c r="U347" s="37">
        <v>12</v>
      </c>
    </row>
    <row r="348" spans="1:21" ht="28.5" customHeight="1">
      <c r="A348" s="37" t="s">
        <v>3301</v>
      </c>
      <c r="B348" s="37" t="s">
        <v>233</v>
      </c>
      <c r="C348" s="37" t="s">
        <v>396</v>
      </c>
      <c r="D348" s="37">
        <v>9</v>
      </c>
      <c r="E348" s="37">
        <v>14</v>
      </c>
      <c r="F348" s="37" t="s">
        <v>36</v>
      </c>
      <c r="G348" s="37" t="s">
        <v>49</v>
      </c>
      <c r="H348" s="37"/>
      <c r="I348" s="37">
        <v>8</v>
      </c>
      <c r="J348" s="37"/>
      <c r="K348" s="37">
        <v>23</v>
      </c>
      <c r="L348" s="37" t="s">
        <v>230</v>
      </c>
      <c r="M348" s="37" t="s">
        <v>703</v>
      </c>
      <c r="N348" s="37">
        <v>2001</v>
      </c>
      <c r="O348" s="37" t="s">
        <v>232</v>
      </c>
      <c r="P348" s="37" t="s">
        <v>3009</v>
      </c>
      <c r="Q348" s="37"/>
      <c r="R348" s="37" t="s">
        <v>379</v>
      </c>
      <c r="S348" s="37" t="s">
        <v>222</v>
      </c>
      <c r="T348" s="37">
        <v>8</v>
      </c>
      <c r="U348" s="37">
        <v>23</v>
      </c>
    </row>
    <row r="349" spans="1:21" ht="28.5" customHeight="1">
      <c r="A349" s="37" t="s">
        <v>3302</v>
      </c>
      <c r="B349" s="37" t="s">
        <v>233</v>
      </c>
      <c r="C349" s="37" t="s">
        <v>40</v>
      </c>
      <c r="D349" s="37">
        <v>9</v>
      </c>
      <c r="E349" s="37">
        <v>14</v>
      </c>
      <c r="F349" s="37" t="s">
        <v>36</v>
      </c>
      <c r="G349" s="37" t="s">
        <v>49</v>
      </c>
      <c r="H349" s="37"/>
      <c r="I349" s="37">
        <v>8</v>
      </c>
      <c r="J349" s="37"/>
      <c r="K349" s="37">
        <v>23</v>
      </c>
      <c r="L349" s="37" t="s">
        <v>230</v>
      </c>
      <c r="M349" s="37" t="s">
        <v>703</v>
      </c>
      <c r="N349" s="37">
        <v>2001</v>
      </c>
      <c r="O349" s="37" t="s">
        <v>232</v>
      </c>
      <c r="P349" s="37" t="s">
        <v>3009</v>
      </c>
      <c r="Q349" s="37"/>
      <c r="R349" s="37" t="s">
        <v>379</v>
      </c>
      <c r="S349" s="37" t="s">
        <v>222</v>
      </c>
      <c r="T349" s="37">
        <v>8</v>
      </c>
      <c r="U349" s="37">
        <v>23</v>
      </c>
    </row>
    <row r="350" spans="1:21" ht="28.5" customHeight="1">
      <c r="A350" s="37" t="s">
        <v>3303</v>
      </c>
      <c r="B350" s="37" t="s">
        <v>233</v>
      </c>
      <c r="C350" s="37" t="s">
        <v>396</v>
      </c>
      <c r="D350" s="37">
        <v>14</v>
      </c>
      <c r="E350" s="37">
        <v>19</v>
      </c>
      <c r="F350" s="37" t="s">
        <v>36</v>
      </c>
      <c r="G350" s="37" t="s">
        <v>49</v>
      </c>
      <c r="H350" s="37"/>
      <c r="I350" s="37">
        <v>11</v>
      </c>
      <c r="J350" s="37"/>
      <c r="K350" s="37">
        <v>34</v>
      </c>
      <c r="L350" s="37" t="s">
        <v>230</v>
      </c>
      <c r="M350" s="37" t="s">
        <v>703</v>
      </c>
      <c r="N350" s="37">
        <v>2001</v>
      </c>
      <c r="O350" s="37" t="s">
        <v>232</v>
      </c>
      <c r="P350" s="37" t="s">
        <v>3009</v>
      </c>
      <c r="Q350" s="37"/>
      <c r="R350" s="37" t="s">
        <v>379</v>
      </c>
      <c r="S350" s="37" t="s">
        <v>222</v>
      </c>
      <c r="T350" s="37">
        <v>11</v>
      </c>
      <c r="U350" s="37">
        <v>34</v>
      </c>
    </row>
    <row r="351" spans="1:21" ht="28.5" customHeight="1">
      <c r="A351" s="37" t="s">
        <v>3304</v>
      </c>
      <c r="B351" s="37" t="s">
        <v>233</v>
      </c>
      <c r="C351" s="37" t="s">
        <v>40</v>
      </c>
      <c r="D351" s="37">
        <v>14</v>
      </c>
      <c r="E351" s="37">
        <v>19</v>
      </c>
      <c r="F351" s="37" t="s">
        <v>36</v>
      </c>
      <c r="G351" s="37" t="s">
        <v>49</v>
      </c>
      <c r="H351" s="37"/>
      <c r="I351" s="37">
        <v>9</v>
      </c>
      <c r="J351" s="37"/>
      <c r="K351" s="37">
        <v>34</v>
      </c>
      <c r="L351" s="37" t="s">
        <v>230</v>
      </c>
      <c r="M351" s="37" t="s">
        <v>703</v>
      </c>
      <c r="N351" s="37">
        <v>2001</v>
      </c>
      <c r="O351" s="37" t="s">
        <v>232</v>
      </c>
      <c r="P351" s="37" t="s">
        <v>3009</v>
      </c>
      <c r="Q351" s="37"/>
      <c r="R351" s="37" t="s">
        <v>379</v>
      </c>
      <c r="S351" s="37" t="s">
        <v>222</v>
      </c>
      <c r="T351" s="37">
        <v>9</v>
      </c>
      <c r="U351" s="37">
        <v>34</v>
      </c>
    </row>
    <row r="352" spans="1:21" ht="28.5" customHeight="1">
      <c r="A352" s="37" t="s">
        <v>3305</v>
      </c>
      <c r="B352" s="37" t="s">
        <v>233</v>
      </c>
      <c r="C352" s="37" t="s">
        <v>396</v>
      </c>
      <c r="D352" s="37">
        <v>19</v>
      </c>
      <c r="E352" s="37">
        <v>31</v>
      </c>
      <c r="F352" s="37" t="s">
        <v>36</v>
      </c>
      <c r="G352" s="37" t="s">
        <v>49</v>
      </c>
      <c r="H352" s="37"/>
      <c r="I352" s="37">
        <v>11</v>
      </c>
      <c r="J352" s="37"/>
      <c r="K352" s="37">
        <v>40</v>
      </c>
      <c r="L352" s="37" t="s">
        <v>230</v>
      </c>
      <c r="M352" s="37" t="s">
        <v>703</v>
      </c>
      <c r="N352" s="37">
        <v>2001</v>
      </c>
      <c r="O352" s="37" t="s">
        <v>232</v>
      </c>
      <c r="P352" s="37" t="s">
        <v>3009</v>
      </c>
      <c r="Q352" s="37"/>
      <c r="R352" s="37" t="s">
        <v>379</v>
      </c>
      <c r="S352" s="37" t="s">
        <v>222</v>
      </c>
      <c r="T352" s="37">
        <v>11</v>
      </c>
      <c r="U352" s="37">
        <v>40</v>
      </c>
    </row>
    <row r="353" spans="1:21" ht="28.5" customHeight="1">
      <c r="A353" s="37" t="s">
        <v>3306</v>
      </c>
      <c r="B353" s="37" t="s">
        <v>233</v>
      </c>
      <c r="C353" s="37" t="s">
        <v>40</v>
      </c>
      <c r="D353" s="37">
        <v>19</v>
      </c>
      <c r="E353" s="37">
        <v>31</v>
      </c>
      <c r="F353" s="37" t="s">
        <v>36</v>
      </c>
      <c r="G353" s="37" t="s">
        <v>49</v>
      </c>
      <c r="H353" s="37"/>
      <c r="I353" s="37">
        <v>8</v>
      </c>
      <c r="J353" s="37"/>
      <c r="K353" s="37">
        <v>40</v>
      </c>
      <c r="L353" s="37" t="s">
        <v>230</v>
      </c>
      <c r="M353" s="37" t="s">
        <v>703</v>
      </c>
      <c r="N353" s="37">
        <v>2001</v>
      </c>
      <c r="O353" s="37" t="s">
        <v>232</v>
      </c>
      <c r="P353" s="37" t="s">
        <v>3009</v>
      </c>
      <c r="Q353" s="37"/>
      <c r="R353" s="37" t="s">
        <v>379</v>
      </c>
      <c r="S353" s="37" t="s">
        <v>222</v>
      </c>
      <c r="T353" s="37">
        <v>8</v>
      </c>
      <c r="U353" s="37">
        <v>40</v>
      </c>
    </row>
    <row r="354" spans="1:21" ht="28.5" customHeight="1">
      <c r="A354" s="37" t="s">
        <v>3307</v>
      </c>
      <c r="B354" s="37" t="s">
        <v>233</v>
      </c>
      <c r="C354" s="37" t="s">
        <v>396</v>
      </c>
      <c r="D354" s="37">
        <v>31</v>
      </c>
      <c r="E354" s="37">
        <v>51</v>
      </c>
      <c r="F354" s="37" t="s">
        <v>36</v>
      </c>
      <c r="G354" s="37" t="s">
        <v>49</v>
      </c>
      <c r="H354" s="37"/>
      <c r="I354" s="37">
        <v>11</v>
      </c>
      <c r="J354" s="37"/>
      <c r="K354" s="37">
        <v>40</v>
      </c>
      <c r="L354" s="37" t="s">
        <v>230</v>
      </c>
      <c r="M354" s="37" t="s">
        <v>703</v>
      </c>
      <c r="N354" s="37">
        <v>2001</v>
      </c>
      <c r="O354" s="37" t="s">
        <v>232</v>
      </c>
      <c r="P354" s="37" t="s">
        <v>3009</v>
      </c>
      <c r="Q354" s="37"/>
      <c r="R354" s="37" t="s">
        <v>379</v>
      </c>
      <c r="S354" s="37" t="s">
        <v>222</v>
      </c>
      <c r="T354" s="37">
        <v>11</v>
      </c>
      <c r="U354" s="37">
        <v>40</v>
      </c>
    </row>
    <row r="355" spans="1:21" ht="28.5" customHeight="1">
      <c r="A355" s="37" t="s">
        <v>3308</v>
      </c>
      <c r="B355" s="37" t="s">
        <v>233</v>
      </c>
      <c r="C355" s="37" t="s">
        <v>40</v>
      </c>
      <c r="D355" s="37">
        <v>31</v>
      </c>
      <c r="E355" s="37">
        <v>51</v>
      </c>
      <c r="F355" s="37" t="s">
        <v>36</v>
      </c>
      <c r="G355" s="37" t="s">
        <v>49</v>
      </c>
      <c r="H355" s="37"/>
      <c r="I355" s="37">
        <v>8</v>
      </c>
      <c r="J355" s="37"/>
      <c r="K355" s="37">
        <v>40</v>
      </c>
      <c r="L355" s="37" t="s">
        <v>230</v>
      </c>
      <c r="M355" s="37" t="s">
        <v>703</v>
      </c>
      <c r="N355" s="37">
        <v>2001</v>
      </c>
      <c r="O355" s="37" t="s">
        <v>232</v>
      </c>
      <c r="P355" s="37" t="s">
        <v>3009</v>
      </c>
      <c r="Q355" s="37"/>
      <c r="R355" s="37" t="s">
        <v>379</v>
      </c>
      <c r="S355" s="37" t="s">
        <v>222</v>
      </c>
      <c r="T355" s="37">
        <v>8</v>
      </c>
      <c r="U355" s="37">
        <v>40</v>
      </c>
    </row>
    <row r="356" spans="1:21" ht="28.5" customHeight="1">
      <c r="A356" s="37" t="s">
        <v>3309</v>
      </c>
      <c r="B356" s="37" t="s">
        <v>233</v>
      </c>
      <c r="C356" s="37" t="s">
        <v>396</v>
      </c>
      <c r="D356" s="37">
        <v>51</v>
      </c>
      <c r="E356" s="37">
        <v>71</v>
      </c>
      <c r="F356" s="37" t="s">
        <v>36</v>
      </c>
      <c r="G356" s="37" t="s">
        <v>49</v>
      </c>
      <c r="H356" s="37"/>
      <c r="I356" s="37">
        <v>11</v>
      </c>
      <c r="J356" s="37"/>
      <c r="K356" s="37">
        <v>40</v>
      </c>
      <c r="L356" s="37" t="s">
        <v>230</v>
      </c>
      <c r="M356" s="37" t="s">
        <v>703</v>
      </c>
      <c r="N356" s="37">
        <v>2001</v>
      </c>
      <c r="O356" s="37" t="s">
        <v>232</v>
      </c>
      <c r="P356" s="37" t="s">
        <v>3009</v>
      </c>
      <c r="Q356" s="37"/>
      <c r="R356" s="37" t="s">
        <v>379</v>
      </c>
      <c r="S356" s="37" t="s">
        <v>222</v>
      </c>
      <c r="T356" s="37">
        <v>11</v>
      </c>
      <c r="U356" s="37">
        <v>40</v>
      </c>
    </row>
    <row r="357" spans="1:21" ht="28.5" customHeight="1">
      <c r="A357" s="37" t="s">
        <v>3310</v>
      </c>
      <c r="B357" s="37" t="s">
        <v>233</v>
      </c>
      <c r="C357" s="37" t="s">
        <v>40</v>
      </c>
      <c r="D357" s="37">
        <v>51</v>
      </c>
      <c r="E357" s="37">
        <v>71</v>
      </c>
      <c r="F357" s="37" t="s">
        <v>36</v>
      </c>
      <c r="G357" s="37" t="s">
        <v>49</v>
      </c>
      <c r="H357" s="37"/>
      <c r="I357" s="37">
        <v>8</v>
      </c>
      <c r="J357" s="37"/>
      <c r="K357" s="37">
        <v>40</v>
      </c>
      <c r="L357" s="37" t="s">
        <v>230</v>
      </c>
      <c r="M357" s="37" t="s">
        <v>703</v>
      </c>
      <c r="N357" s="37">
        <v>2001</v>
      </c>
      <c r="O357" s="37" t="s">
        <v>232</v>
      </c>
      <c r="P357" s="37" t="s">
        <v>3009</v>
      </c>
      <c r="Q357" s="37"/>
      <c r="R357" s="37" t="s">
        <v>379</v>
      </c>
      <c r="S357" s="37" t="s">
        <v>222</v>
      </c>
      <c r="T357" s="37">
        <v>8</v>
      </c>
      <c r="U357" s="37">
        <v>40</v>
      </c>
    </row>
    <row r="358" spans="1:21" ht="28.5" customHeight="1">
      <c r="A358" s="37" t="s">
        <v>3311</v>
      </c>
      <c r="B358" s="37" t="s">
        <v>233</v>
      </c>
      <c r="C358" s="37" t="s">
        <v>396</v>
      </c>
      <c r="D358" s="37">
        <v>71</v>
      </c>
      <c r="E358" s="37">
        <v>999</v>
      </c>
      <c r="F358" s="37" t="s">
        <v>36</v>
      </c>
      <c r="G358" s="37" t="s">
        <v>49</v>
      </c>
      <c r="H358" s="37"/>
      <c r="I358" s="37">
        <v>11</v>
      </c>
      <c r="J358" s="37"/>
      <c r="K358" s="37">
        <v>40</v>
      </c>
      <c r="L358" s="37" t="s">
        <v>230</v>
      </c>
      <c r="M358" s="37" t="s">
        <v>703</v>
      </c>
      <c r="N358" s="37">
        <v>2001</v>
      </c>
      <c r="O358" s="37" t="s">
        <v>232</v>
      </c>
      <c r="P358" s="37" t="s">
        <v>3009</v>
      </c>
      <c r="Q358" s="37"/>
      <c r="R358" s="37" t="s">
        <v>379</v>
      </c>
      <c r="S358" s="37" t="s">
        <v>222</v>
      </c>
      <c r="T358" s="37">
        <v>11</v>
      </c>
      <c r="U358" s="37">
        <v>40</v>
      </c>
    </row>
    <row r="359" spans="1:21" ht="28.5" customHeight="1">
      <c r="A359" s="37" t="s">
        <v>3312</v>
      </c>
      <c r="B359" s="37" t="s">
        <v>233</v>
      </c>
      <c r="C359" s="37" t="s">
        <v>40</v>
      </c>
      <c r="D359" s="37">
        <v>71</v>
      </c>
      <c r="E359" s="37">
        <v>999</v>
      </c>
      <c r="F359" s="37" t="s">
        <v>36</v>
      </c>
      <c r="G359" s="37" t="s">
        <v>49</v>
      </c>
      <c r="H359" s="37"/>
      <c r="I359" s="37">
        <v>8</v>
      </c>
      <c r="J359" s="37"/>
      <c r="K359" s="37">
        <v>40</v>
      </c>
      <c r="L359" s="37" t="s">
        <v>230</v>
      </c>
      <c r="M359" s="37" t="s">
        <v>703</v>
      </c>
      <c r="N359" s="37">
        <v>2001</v>
      </c>
      <c r="O359" s="37" t="s">
        <v>232</v>
      </c>
      <c r="P359" s="37" t="s">
        <v>3009</v>
      </c>
      <c r="Q359" s="37"/>
      <c r="R359" s="37" t="s">
        <v>379</v>
      </c>
      <c r="S359" s="37" t="s">
        <v>222</v>
      </c>
      <c r="T359" s="37">
        <v>8</v>
      </c>
      <c r="U359" s="37">
        <v>40</v>
      </c>
    </row>
    <row r="360" spans="1:21" ht="28.5" customHeight="1">
      <c r="A360" s="37" t="s">
        <v>3313</v>
      </c>
      <c r="B360" s="37" t="s">
        <v>233</v>
      </c>
      <c r="C360" s="37" t="s">
        <v>40</v>
      </c>
      <c r="D360" s="37">
        <v>14</v>
      </c>
      <c r="E360" s="37">
        <v>51</v>
      </c>
      <c r="F360" s="37" t="s">
        <v>36</v>
      </c>
      <c r="G360" s="37" t="s">
        <v>414</v>
      </c>
      <c r="H360" s="37"/>
      <c r="I360" s="37">
        <v>11</v>
      </c>
      <c r="J360" s="37"/>
      <c r="K360" s="37">
        <v>40</v>
      </c>
      <c r="L360" s="37" t="s">
        <v>230</v>
      </c>
      <c r="M360" s="37" t="s">
        <v>703</v>
      </c>
      <c r="N360" s="37">
        <v>2001</v>
      </c>
      <c r="O360" s="37" t="s">
        <v>232</v>
      </c>
      <c r="P360" s="37" t="s">
        <v>3009</v>
      </c>
      <c r="Q360" s="37"/>
      <c r="R360" s="37" t="s">
        <v>379</v>
      </c>
      <c r="S360" s="37" t="s">
        <v>222</v>
      </c>
      <c r="T360" s="37">
        <v>11</v>
      </c>
      <c r="U360" s="37">
        <v>40</v>
      </c>
    </row>
    <row r="361" spans="1:21" ht="28.5" customHeight="1">
      <c r="A361" s="37" t="s">
        <v>3314</v>
      </c>
      <c r="B361" s="37" t="s">
        <v>233</v>
      </c>
      <c r="C361" s="37" t="s">
        <v>40</v>
      </c>
      <c r="D361" s="37">
        <v>14</v>
      </c>
      <c r="E361" s="37">
        <v>51</v>
      </c>
      <c r="F361" s="37" t="s">
        <v>36</v>
      </c>
      <c r="G361" s="37" t="s">
        <v>416</v>
      </c>
      <c r="H361" s="37"/>
      <c r="I361" s="37">
        <v>12</v>
      </c>
      <c r="J361" s="37"/>
      <c r="K361" s="37">
        <v>40</v>
      </c>
      <c r="L361" s="37" t="s">
        <v>230</v>
      </c>
      <c r="M361" s="37" t="s">
        <v>703</v>
      </c>
      <c r="N361" s="37">
        <v>2001</v>
      </c>
      <c r="O361" s="37" t="s">
        <v>232</v>
      </c>
      <c r="P361" s="37" t="s">
        <v>3009</v>
      </c>
      <c r="Q361" s="37"/>
      <c r="R361" s="37" t="s">
        <v>379</v>
      </c>
      <c r="S361" s="37" t="s">
        <v>222</v>
      </c>
      <c r="T361" s="37">
        <v>12</v>
      </c>
      <c r="U361" s="37">
        <v>40</v>
      </c>
    </row>
    <row r="362" spans="1:21" ht="28.5" customHeight="1">
      <c r="A362" s="37" t="s">
        <v>3315</v>
      </c>
      <c r="B362" s="37" t="s">
        <v>236</v>
      </c>
      <c r="C362" s="37" t="s">
        <v>387</v>
      </c>
      <c r="D362" s="37">
        <v>0</v>
      </c>
      <c r="E362" s="37">
        <v>0.5</v>
      </c>
      <c r="F362" s="37" t="s">
        <v>36</v>
      </c>
      <c r="G362" s="37" t="s">
        <v>49</v>
      </c>
      <c r="H362" s="37"/>
      <c r="I362" s="37"/>
      <c r="J362" s="37">
        <v>0.2</v>
      </c>
      <c r="K362" s="37"/>
      <c r="L362" s="37" t="s">
        <v>230</v>
      </c>
      <c r="M362" s="37" t="s">
        <v>703</v>
      </c>
      <c r="N362" s="37">
        <v>2001</v>
      </c>
      <c r="O362" s="37" t="s">
        <v>232</v>
      </c>
      <c r="P362" s="37" t="s">
        <v>3009</v>
      </c>
      <c r="Q362" s="37"/>
      <c r="R362" s="37" t="s">
        <v>380</v>
      </c>
      <c r="S362" s="37"/>
      <c r="T362" s="37">
        <v>0.2</v>
      </c>
      <c r="U362" s="37"/>
    </row>
    <row r="363" spans="1:21" ht="28.5" customHeight="1">
      <c r="A363" s="37" t="s">
        <v>3316</v>
      </c>
      <c r="B363" s="37" t="s">
        <v>236</v>
      </c>
      <c r="C363" s="37" t="s">
        <v>387</v>
      </c>
      <c r="D363" s="37">
        <v>0.5</v>
      </c>
      <c r="E363" s="37">
        <v>1</v>
      </c>
      <c r="F363" s="37" t="s">
        <v>36</v>
      </c>
      <c r="G363" s="37" t="s">
        <v>49</v>
      </c>
      <c r="H363" s="37"/>
      <c r="I363" s="37"/>
      <c r="J363" s="37">
        <v>0.22</v>
      </c>
      <c r="K363" s="37"/>
      <c r="L363" s="37" t="s">
        <v>230</v>
      </c>
      <c r="M363" s="37" t="s">
        <v>703</v>
      </c>
      <c r="N363" s="37">
        <v>2001</v>
      </c>
      <c r="O363" s="37" t="s">
        <v>232</v>
      </c>
      <c r="P363" s="37" t="s">
        <v>3009</v>
      </c>
      <c r="Q363" s="37"/>
      <c r="R363" s="37" t="s">
        <v>380</v>
      </c>
      <c r="S363" s="37"/>
      <c r="T363" s="37">
        <v>0.22</v>
      </c>
      <c r="U363" s="37"/>
    </row>
    <row r="364" spans="1:21" ht="28.5" customHeight="1">
      <c r="A364" s="37" t="s">
        <v>3317</v>
      </c>
      <c r="B364" s="37" t="s">
        <v>236</v>
      </c>
      <c r="C364" s="37" t="s">
        <v>387</v>
      </c>
      <c r="D364" s="37">
        <v>1</v>
      </c>
      <c r="E364" s="37">
        <v>4</v>
      </c>
      <c r="F364" s="37" t="s">
        <v>36</v>
      </c>
      <c r="G364" s="37" t="s">
        <v>49</v>
      </c>
      <c r="H364" s="37"/>
      <c r="I364" s="37">
        <v>0.34</v>
      </c>
      <c r="J364" s="37"/>
      <c r="K364" s="37">
        <v>1</v>
      </c>
      <c r="L364" s="37" t="s">
        <v>230</v>
      </c>
      <c r="M364" s="37" t="s">
        <v>703</v>
      </c>
      <c r="N364" s="37">
        <v>2001</v>
      </c>
      <c r="O364" s="37" t="s">
        <v>232</v>
      </c>
      <c r="P364" s="37" t="s">
        <v>3009</v>
      </c>
      <c r="Q364" s="37"/>
      <c r="R364" s="37" t="s">
        <v>379</v>
      </c>
      <c r="S364" s="37" t="s">
        <v>222</v>
      </c>
      <c r="T364" s="37">
        <v>0.34</v>
      </c>
      <c r="U364" s="37">
        <v>1</v>
      </c>
    </row>
    <row r="365" spans="1:21" ht="28.5" customHeight="1">
      <c r="A365" s="37" t="s">
        <v>3318</v>
      </c>
      <c r="B365" s="37" t="s">
        <v>236</v>
      </c>
      <c r="C365" s="37" t="s">
        <v>387</v>
      </c>
      <c r="D365" s="37">
        <v>4</v>
      </c>
      <c r="E365" s="37">
        <v>9</v>
      </c>
      <c r="F365" s="37" t="s">
        <v>36</v>
      </c>
      <c r="G365" s="37" t="s">
        <v>49</v>
      </c>
      <c r="H365" s="37"/>
      <c r="I365" s="37">
        <v>0.44</v>
      </c>
      <c r="J365" s="37"/>
      <c r="K365" s="37">
        <v>3</v>
      </c>
      <c r="L365" s="37" t="s">
        <v>230</v>
      </c>
      <c r="M365" s="37" t="s">
        <v>703</v>
      </c>
      <c r="N365" s="37">
        <v>2001</v>
      </c>
      <c r="O365" s="37" t="s">
        <v>232</v>
      </c>
      <c r="P365" s="37" t="s">
        <v>3009</v>
      </c>
      <c r="Q365" s="37"/>
      <c r="R365" s="37" t="s">
        <v>379</v>
      </c>
      <c r="S365" s="37" t="s">
        <v>222</v>
      </c>
      <c r="T365" s="37">
        <v>0.44</v>
      </c>
      <c r="U365" s="37">
        <v>3</v>
      </c>
    </row>
    <row r="366" spans="1:21" ht="28.5" customHeight="1">
      <c r="A366" s="37" t="s">
        <v>3319</v>
      </c>
      <c r="B366" s="37" t="s">
        <v>236</v>
      </c>
      <c r="C366" s="37" t="s">
        <v>396</v>
      </c>
      <c r="D366" s="37">
        <v>9</v>
      </c>
      <c r="E366" s="37">
        <v>14</v>
      </c>
      <c r="F366" s="37" t="s">
        <v>36</v>
      </c>
      <c r="G366" s="37" t="s">
        <v>49</v>
      </c>
      <c r="H366" s="37"/>
      <c r="I366" s="37">
        <v>0.7</v>
      </c>
      <c r="J366" s="37"/>
      <c r="K366" s="37">
        <v>5</v>
      </c>
      <c r="L366" s="37" t="s">
        <v>230</v>
      </c>
      <c r="M366" s="37" t="s">
        <v>703</v>
      </c>
      <c r="N366" s="37">
        <v>2001</v>
      </c>
      <c r="O366" s="37" t="s">
        <v>232</v>
      </c>
      <c r="P366" s="37" t="s">
        <v>3009</v>
      </c>
      <c r="Q366" s="37"/>
      <c r="R366" s="37" t="s">
        <v>379</v>
      </c>
      <c r="S366" s="37" t="s">
        <v>222</v>
      </c>
      <c r="T366" s="37">
        <v>0.7</v>
      </c>
      <c r="U366" s="37">
        <v>5</v>
      </c>
    </row>
    <row r="367" spans="1:21" ht="28.5" customHeight="1">
      <c r="A367" s="37" t="s">
        <v>3320</v>
      </c>
      <c r="B367" s="37" t="s">
        <v>236</v>
      </c>
      <c r="C367" s="37" t="s">
        <v>40</v>
      </c>
      <c r="D367" s="37">
        <v>9</v>
      </c>
      <c r="E367" s="37">
        <v>14</v>
      </c>
      <c r="F367" s="37" t="s">
        <v>36</v>
      </c>
      <c r="G367" s="37" t="s">
        <v>49</v>
      </c>
      <c r="H367" s="37"/>
      <c r="I367" s="37">
        <v>0.7</v>
      </c>
      <c r="J367" s="37"/>
      <c r="K367" s="37">
        <v>5</v>
      </c>
      <c r="L367" s="37" t="s">
        <v>230</v>
      </c>
      <c r="M367" s="37" t="s">
        <v>703</v>
      </c>
      <c r="N367" s="37">
        <v>2001</v>
      </c>
      <c r="O367" s="37" t="s">
        <v>232</v>
      </c>
      <c r="P367" s="37" t="s">
        <v>3009</v>
      </c>
      <c r="Q367" s="37"/>
      <c r="R367" s="37" t="s">
        <v>379</v>
      </c>
      <c r="S367" s="37" t="s">
        <v>222</v>
      </c>
      <c r="T367" s="37">
        <v>0.7</v>
      </c>
      <c r="U367" s="37">
        <v>5</v>
      </c>
    </row>
    <row r="368" spans="1:21" ht="28.5" customHeight="1">
      <c r="A368" s="37" t="s">
        <v>3321</v>
      </c>
      <c r="B368" s="37" t="s">
        <v>236</v>
      </c>
      <c r="C368" s="37" t="s">
        <v>396</v>
      </c>
      <c r="D368" s="37">
        <v>14</v>
      </c>
      <c r="E368" s="37">
        <v>19</v>
      </c>
      <c r="F368" s="37" t="s">
        <v>36</v>
      </c>
      <c r="G368" s="37" t="s">
        <v>49</v>
      </c>
      <c r="H368" s="37"/>
      <c r="I368" s="37">
        <v>0.89</v>
      </c>
      <c r="J368" s="37"/>
      <c r="K368" s="37">
        <v>8</v>
      </c>
      <c r="L368" s="37" t="s">
        <v>230</v>
      </c>
      <c r="M368" s="37" t="s">
        <v>703</v>
      </c>
      <c r="N368" s="37">
        <v>2001</v>
      </c>
      <c r="O368" s="37" t="s">
        <v>232</v>
      </c>
      <c r="P368" s="37" t="s">
        <v>3009</v>
      </c>
      <c r="Q368" s="37"/>
      <c r="R368" s="37" t="s">
        <v>379</v>
      </c>
      <c r="S368" s="37" t="s">
        <v>222</v>
      </c>
      <c r="T368" s="37">
        <v>0.89</v>
      </c>
      <c r="U368" s="37">
        <v>8</v>
      </c>
    </row>
    <row r="369" spans="1:21" ht="28.5" customHeight="1">
      <c r="A369" s="37" t="s">
        <v>3322</v>
      </c>
      <c r="B369" s="37" t="s">
        <v>236</v>
      </c>
      <c r="C369" s="37" t="s">
        <v>40</v>
      </c>
      <c r="D369" s="37">
        <v>14</v>
      </c>
      <c r="E369" s="37">
        <v>19</v>
      </c>
      <c r="F369" s="37" t="s">
        <v>36</v>
      </c>
      <c r="G369" s="37" t="s">
        <v>49</v>
      </c>
      <c r="H369" s="37"/>
      <c r="I369" s="37">
        <v>0.89</v>
      </c>
      <c r="J369" s="37"/>
      <c r="K369" s="37">
        <v>8</v>
      </c>
      <c r="L369" s="37" t="s">
        <v>230</v>
      </c>
      <c r="M369" s="37" t="s">
        <v>703</v>
      </c>
      <c r="N369" s="37">
        <v>2001</v>
      </c>
      <c r="O369" s="37" t="s">
        <v>232</v>
      </c>
      <c r="P369" s="37" t="s">
        <v>3009</v>
      </c>
      <c r="Q369" s="37"/>
      <c r="R369" s="37" t="s">
        <v>379</v>
      </c>
      <c r="S369" s="37" t="s">
        <v>222</v>
      </c>
      <c r="T369" s="37">
        <v>0.89</v>
      </c>
      <c r="U369" s="37">
        <v>8</v>
      </c>
    </row>
    <row r="370" spans="1:21" ht="28.5" customHeight="1">
      <c r="A370" s="37" t="s">
        <v>3323</v>
      </c>
      <c r="B370" s="37" t="s">
        <v>236</v>
      </c>
      <c r="C370" s="37" t="s">
        <v>396</v>
      </c>
      <c r="D370" s="37">
        <v>19</v>
      </c>
      <c r="E370" s="37">
        <v>31</v>
      </c>
      <c r="F370" s="37" t="s">
        <v>36</v>
      </c>
      <c r="G370" s="37" t="s">
        <v>49</v>
      </c>
      <c r="H370" s="37"/>
      <c r="I370" s="37">
        <v>0.9</v>
      </c>
      <c r="J370" s="37"/>
      <c r="K370" s="37">
        <v>10</v>
      </c>
      <c r="L370" s="37" t="s">
        <v>230</v>
      </c>
      <c r="M370" s="37" t="s">
        <v>703</v>
      </c>
      <c r="N370" s="37">
        <v>2001</v>
      </c>
      <c r="O370" s="37" t="s">
        <v>232</v>
      </c>
      <c r="P370" s="37" t="s">
        <v>3009</v>
      </c>
      <c r="Q370" s="37"/>
      <c r="R370" s="37" t="s">
        <v>379</v>
      </c>
      <c r="S370" s="37" t="s">
        <v>222</v>
      </c>
      <c r="T370" s="37">
        <v>0.9</v>
      </c>
      <c r="U370" s="37">
        <v>10</v>
      </c>
    </row>
    <row r="371" spans="1:21" ht="28.5" customHeight="1">
      <c r="A371" s="37" t="s">
        <v>3324</v>
      </c>
      <c r="B371" s="37" t="s">
        <v>236</v>
      </c>
      <c r="C371" s="37" t="s">
        <v>40</v>
      </c>
      <c r="D371" s="37">
        <v>19</v>
      </c>
      <c r="E371" s="37">
        <v>31</v>
      </c>
      <c r="F371" s="37" t="s">
        <v>36</v>
      </c>
      <c r="G371" s="37" t="s">
        <v>49</v>
      </c>
      <c r="H371" s="37"/>
      <c r="I371" s="37">
        <v>0.9</v>
      </c>
      <c r="J371" s="37"/>
      <c r="K371" s="37">
        <v>10</v>
      </c>
      <c r="L371" s="37" t="s">
        <v>230</v>
      </c>
      <c r="M371" s="37" t="s">
        <v>703</v>
      </c>
      <c r="N371" s="37">
        <v>2001</v>
      </c>
      <c r="O371" s="37" t="s">
        <v>232</v>
      </c>
      <c r="P371" s="37" t="s">
        <v>3009</v>
      </c>
      <c r="Q371" s="37"/>
      <c r="R371" s="37" t="s">
        <v>379</v>
      </c>
      <c r="S371" s="37" t="s">
        <v>222</v>
      </c>
      <c r="T371" s="37">
        <v>0.9</v>
      </c>
      <c r="U371" s="37">
        <v>10</v>
      </c>
    </row>
    <row r="372" spans="1:21" ht="28.5" customHeight="1">
      <c r="A372" s="37" t="s">
        <v>3325</v>
      </c>
      <c r="B372" s="37" t="s">
        <v>236</v>
      </c>
      <c r="C372" s="37" t="s">
        <v>396</v>
      </c>
      <c r="D372" s="37">
        <v>31</v>
      </c>
      <c r="E372" s="37">
        <v>51</v>
      </c>
      <c r="F372" s="37" t="s">
        <v>36</v>
      </c>
      <c r="G372" s="37" t="s">
        <v>49</v>
      </c>
      <c r="H372" s="37"/>
      <c r="I372" s="37">
        <v>0.9</v>
      </c>
      <c r="J372" s="37"/>
      <c r="K372" s="37">
        <v>10</v>
      </c>
      <c r="L372" s="37" t="s">
        <v>230</v>
      </c>
      <c r="M372" s="37" t="s">
        <v>703</v>
      </c>
      <c r="N372" s="37">
        <v>2001</v>
      </c>
      <c r="O372" s="37" t="s">
        <v>232</v>
      </c>
      <c r="P372" s="37" t="s">
        <v>3009</v>
      </c>
      <c r="Q372" s="37"/>
      <c r="R372" s="37" t="s">
        <v>379</v>
      </c>
      <c r="S372" s="37" t="s">
        <v>222</v>
      </c>
      <c r="T372" s="37">
        <v>0.9</v>
      </c>
      <c r="U372" s="37">
        <v>10</v>
      </c>
    </row>
    <row r="373" spans="1:21" ht="28.5" customHeight="1">
      <c r="A373" s="37" t="s">
        <v>3326</v>
      </c>
      <c r="B373" s="37" t="s">
        <v>236</v>
      </c>
      <c r="C373" s="37" t="s">
        <v>40</v>
      </c>
      <c r="D373" s="37">
        <v>31</v>
      </c>
      <c r="E373" s="37">
        <v>51</v>
      </c>
      <c r="F373" s="37" t="s">
        <v>36</v>
      </c>
      <c r="G373" s="37" t="s">
        <v>49</v>
      </c>
      <c r="H373" s="37"/>
      <c r="I373" s="37">
        <v>0.9</v>
      </c>
      <c r="J373" s="37"/>
      <c r="K373" s="37">
        <v>10</v>
      </c>
      <c r="L373" s="37" t="s">
        <v>230</v>
      </c>
      <c r="M373" s="37" t="s">
        <v>703</v>
      </c>
      <c r="N373" s="37">
        <v>2001</v>
      </c>
      <c r="O373" s="37" t="s">
        <v>232</v>
      </c>
      <c r="P373" s="37" t="s">
        <v>3009</v>
      </c>
      <c r="Q373" s="37"/>
      <c r="R373" s="37" t="s">
        <v>379</v>
      </c>
      <c r="S373" s="37" t="s">
        <v>222</v>
      </c>
      <c r="T373" s="37">
        <v>0.9</v>
      </c>
      <c r="U373" s="37">
        <v>10</v>
      </c>
    </row>
    <row r="374" spans="1:21" ht="28.5" customHeight="1">
      <c r="A374" s="37" t="s">
        <v>3327</v>
      </c>
      <c r="B374" s="37" t="s">
        <v>236</v>
      </c>
      <c r="C374" s="37" t="s">
        <v>396</v>
      </c>
      <c r="D374" s="37">
        <v>51</v>
      </c>
      <c r="E374" s="37">
        <v>71</v>
      </c>
      <c r="F374" s="37" t="s">
        <v>36</v>
      </c>
      <c r="G374" s="37" t="s">
        <v>49</v>
      </c>
      <c r="H374" s="37"/>
      <c r="I374" s="37">
        <v>0.9</v>
      </c>
      <c r="J374" s="37"/>
      <c r="K374" s="37">
        <v>10</v>
      </c>
      <c r="L374" s="37" t="s">
        <v>230</v>
      </c>
      <c r="M374" s="37" t="s">
        <v>703</v>
      </c>
      <c r="N374" s="37">
        <v>2001</v>
      </c>
      <c r="O374" s="37" t="s">
        <v>232</v>
      </c>
      <c r="P374" s="37" t="s">
        <v>3009</v>
      </c>
      <c r="Q374" s="37"/>
      <c r="R374" s="37" t="s">
        <v>379</v>
      </c>
      <c r="S374" s="37" t="s">
        <v>222</v>
      </c>
      <c r="T374" s="37">
        <v>0.9</v>
      </c>
      <c r="U374" s="37">
        <v>10</v>
      </c>
    </row>
    <row r="375" spans="1:21" ht="28.5" customHeight="1">
      <c r="A375" s="37" t="s">
        <v>3328</v>
      </c>
      <c r="B375" s="37" t="s">
        <v>236</v>
      </c>
      <c r="C375" s="37" t="s">
        <v>40</v>
      </c>
      <c r="D375" s="37">
        <v>51</v>
      </c>
      <c r="E375" s="37">
        <v>71</v>
      </c>
      <c r="F375" s="37" t="s">
        <v>36</v>
      </c>
      <c r="G375" s="37" t="s">
        <v>49</v>
      </c>
      <c r="H375" s="37"/>
      <c r="I375" s="37">
        <v>0.9</v>
      </c>
      <c r="J375" s="37"/>
      <c r="K375" s="37">
        <v>10</v>
      </c>
      <c r="L375" s="37" t="s">
        <v>230</v>
      </c>
      <c r="M375" s="37" t="s">
        <v>703</v>
      </c>
      <c r="N375" s="37">
        <v>2001</v>
      </c>
      <c r="O375" s="37" t="s">
        <v>232</v>
      </c>
      <c r="P375" s="37" t="s">
        <v>3009</v>
      </c>
      <c r="Q375" s="37"/>
      <c r="R375" s="37" t="s">
        <v>379</v>
      </c>
      <c r="S375" s="37" t="s">
        <v>222</v>
      </c>
      <c r="T375" s="37">
        <v>0.9</v>
      </c>
      <c r="U375" s="37">
        <v>10</v>
      </c>
    </row>
    <row r="376" spans="1:21" ht="28.5" customHeight="1">
      <c r="A376" s="37" t="s">
        <v>3329</v>
      </c>
      <c r="B376" s="37" t="s">
        <v>236</v>
      </c>
      <c r="C376" s="37" t="s">
        <v>396</v>
      </c>
      <c r="D376" s="37">
        <v>71</v>
      </c>
      <c r="E376" s="37">
        <v>999</v>
      </c>
      <c r="F376" s="37" t="s">
        <v>36</v>
      </c>
      <c r="G376" s="37" t="s">
        <v>49</v>
      </c>
      <c r="H376" s="37"/>
      <c r="I376" s="37">
        <v>0.9</v>
      </c>
      <c r="J376" s="37"/>
      <c r="K376" s="37">
        <v>10</v>
      </c>
      <c r="L376" s="37" t="s">
        <v>230</v>
      </c>
      <c r="M376" s="37" t="s">
        <v>703</v>
      </c>
      <c r="N376" s="37">
        <v>2001</v>
      </c>
      <c r="O376" s="37" t="s">
        <v>232</v>
      </c>
      <c r="P376" s="37" t="s">
        <v>3009</v>
      </c>
      <c r="Q376" s="37"/>
      <c r="R376" s="37" t="s">
        <v>379</v>
      </c>
      <c r="S376" s="37" t="s">
        <v>222</v>
      </c>
      <c r="T376" s="37">
        <v>0.9</v>
      </c>
      <c r="U376" s="37">
        <v>10</v>
      </c>
    </row>
    <row r="377" spans="1:21" ht="28.5" customHeight="1">
      <c r="A377" s="37" t="s">
        <v>3330</v>
      </c>
      <c r="B377" s="37" t="s">
        <v>236</v>
      </c>
      <c r="C377" s="37" t="s">
        <v>40</v>
      </c>
      <c r="D377" s="37">
        <v>71</v>
      </c>
      <c r="E377" s="37">
        <v>999</v>
      </c>
      <c r="F377" s="37" t="s">
        <v>36</v>
      </c>
      <c r="G377" s="37" t="s">
        <v>49</v>
      </c>
      <c r="H377" s="37"/>
      <c r="I377" s="37">
        <v>0.9</v>
      </c>
      <c r="J377" s="37"/>
      <c r="K377" s="37">
        <v>10</v>
      </c>
      <c r="L377" s="37" t="s">
        <v>230</v>
      </c>
      <c r="M377" s="37" t="s">
        <v>703</v>
      </c>
      <c r="N377" s="37">
        <v>2001</v>
      </c>
      <c r="O377" s="37" t="s">
        <v>232</v>
      </c>
      <c r="P377" s="37" t="s">
        <v>3009</v>
      </c>
      <c r="Q377" s="37"/>
      <c r="R377" s="37" t="s">
        <v>379</v>
      </c>
      <c r="S377" s="37" t="s">
        <v>222</v>
      </c>
      <c r="T377" s="37">
        <v>0.9</v>
      </c>
      <c r="U377" s="37">
        <v>10</v>
      </c>
    </row>
    <row r="378" spans="1:21" ht="28.5" customHeight="1">
      <c r="A378" s="37" t="s">
        <v>3331</v>
      </c>
      <c r="B378" s="37" t="s">
        <v>236</v>
      </c>
      <c r="C378" s="37" t="s">
        <v>40</v>
      </c>
      <c r="D378" s="37">
        <v>14</v>
      </c>
      <c r="E378" s="37">
        <v>51</v>
      </c>
      <c r="F378" s="37" t="s">
        <v>36</v>
      </c>
      <c r="G378" s="37" t="s">
        <v>414</v>
      </c>
      <c r="H378" s="37"/>
      <c r="I378" s="37">
        <v>1</v>
      </c>
      <c r="J378" s="37"/>
      <c r="K378" s="37">
        <v>10</v>
      </c>
      <c r="L378" s="37" t="s">
        <v>230</v>
      </c>
      <c r="M378" s="37" t="s">
        <v>703</v>
      </c>
      <c r="N378" s="37">
        <v>2001</v>
      </c>
      <c r="O378" s="37" t="s">
        <v>232</v>
      </c>
      <c r="P378" s="37" t="s">
        <v>3009</v>
      </c>
      <c r="Q378" s="37"/>
      <c r="R378" s="37" t="s">
        <v>379</v>
      </c>
      <c r="S378" s="37" t="s">
        <v>222</v>
      </c>
      <c r="T378" s="37">
        <v>1</v>
      </c>
      <c r="U378" s="37">
        <v>10</v>
      </c>
    </row>
    <row r="379" spans="1:21" ht="28.5" customHeight="1">
      <c r="A379" s="37" t="s">
        <v>3332</v>
      </c>
      <c r="B379" s="37" t="s">
        <v>236</v>
      </c>
      <c r="C379" s="37" t="s">
        <v>40</v>
      </c>
      <c r="D379" s="37">
        <v>14</v>
      </c>
      <c r="E379" s="37">
        <v>51</v>
      </c>
      <c r="F379" s="37" t="s">
        <v>36</v>
      </c>
      <c r="G379" s="37" t="s">
        <v>416</v>
      </c>
      <c r="H379" s="37"/>
      <c r="I379" s="37">
        <v>1.3</v>
      </c>
      <c r="J379" s="37"/>
      <c r="K379" s="37">
        <v>10</v>
      </c>
      <c r="L379" s="37" t="s">
        <v>230</v>
      </c>
      <c r="M379" s="37" t="s">
        <v>703</v>
      </c>
      <c r="N379" s="37">
        <v>2001</v>
      </c>
      <c r="O379" s="37" t="s">
        <v>232</v>
      </c>
      <c r="P379" s="37" t="s">
        <v>3009</v>
      </c>
      <c r="Q379" s="37"/>
      <c r="R379" s="37" t="s">
        <v>379</v>
      </c>
      <c r="S379" s="37" t="s">
        <v>222</v>
      </c>
      <c r="T379" s="37">
        <v>1.3</v>
      </c>
      <c r="U379" s="37">
        <v>10</v>
      </c>
    </row>
    <row r="380" spans="1:21" ht="28.5" customHeight="1">
      <c r="A380" s="37" t="s">
        <v>3333</v>
      </c>
      <c r="B380" s="37" t="s">
        <v>246</v>
      </c>
      <c r="C380" s="37" t="s">
        <v>387</v>
      </c>
      <c r="D380" s="37">
        <v>0</v>
      </c>
      <c r="E380" s="37">
        <v>0.5</v>
      </c>
      <c r="F380" s="37" t="s">
        <v>36</v>
      </c>
      <c r="G380" s="37" t="s">
        <v>49</v>
      </c>
      <c r="H380" s="37"/>
      <c r="I380" s="37"/>
      <c r="J380" s="37">
        <v>15</v>
      </c>
      <c r="K380" s="37">
        <v>45</v>
      </c>
      <c r="L380" s="37" t="s">
        <v>249</v>
      </c>
      <c r="M380" s="37" t="s">
        <v>703</v>
      </c>
      <c r="N380" s="37">
        <v>2000</v>
      </c>
      <c r="O380" s="37" t="s">
        <v>232</v>
      </c>
      <c r="P380" s="37" t="s">
        <v>3009</v>
      </c>
      <c r="Q380" s="37"/>
      <c r="R380" s="37" t="s">
        <v>380</v>
      </c>
      <c r="S380" s="37" t="s">
        <v>222</v>
      </c>
      <c r="T380" s="37">
        <v>15</v>
      </c>
      <c r="U380" s="37">
        <v>45</v>
      </c>
    </row>
    <row r="381" spans="1:21" ht="28.5" customHeight="1">
      <c r="A381" s="37" t="s">
        <v>3334</v>
      </c>
      <c r="B381" s="37" t="s">
        <v>246</v>
      </c>
      <c r="C381" s="37" t="s">
        <v>387</v>
      </c>
      <c r="D381" s="37">
        <v>0.5</v>
      </c>
      <c r="E381" s="37">
        <v>1</v>
      </c>
      <c r="F381" s="37" t="s">
        <v>36</v>
      </c>
      <c r="G381" s="37" t="s">
        <v>49</v>
      </c>
      <c r="H381" s="37"/>
      <c r="I381" s="37"/>
      <c r="J381" s="37">
        <v>20</v>
      </c>
      <c r="K381" s="37">
        <v>60</v>
      </c>
      <c r="L381" s="37" t="s">
        <v>249</v>
      </c>
      <c r="M381" s="37" t="s">
        <v>703</v>
      </c>
      <c r="N381" s="37">
        <v>2000</v>
      </c>
      <c r="O381" s="37" t="s">
        <v>232</v>
      </c>
      <c r="P381" s="37" t="s">
        <v>3009</v>
      </c>
      <c r="Q381" s="37"/>
      <c r="R381" s="37" t="s">
        <v>380</v>
      </c>
      <c r="S381" s="37" t="s">
        <v>222</v>
      </c>
      <c r="T381" s="37">
        <v>20</v>
      </c>
      <c r="U381" s="37">
        <v>60</v>
      </c>
    </row>
    <row r="382" spans="1:21" ht="28.5" customHeight="1">
      <c r="A382" s="37" t="s">
        <v>3335</v>
      </c>
      <c r="B382" s="37" t="s">
        <v>246</v>
      </c>
      <c r="C382" s="37" t="s">
        <v>387</v>
      </c>
      <c r="D382" s="37">
        <v>1</v>
      </c>
      <c r="E382" s="37">
        <v>4</v>
      </c>
      <c r="F382" s="37" t="s">
        <v>36</v>
      </c>
      <c r="G382" s="37" t="s">
        <v>49</v>
      </c>
      <c r="H382" s="37"/>
      <c r="I382" s="37">
        <v>20</v>
      </c>
      <c r="J382" s="37"/>
      <c r="K382" s="37">
        <v>90</v>
      </c>
      <c r="L382" s="37" t="s">
        <v>249</v>
      </c>
      <c r="M382" s="37" t="s">
        <v>703</v>
      </c>
      <c r="N382" s="37">
        <v>2000</v>
      </c>
      <c r="O382" s="37" t="s">
        <v>232</v>
      </c>
      <c r="P382" s="37" t="s">
        <v>3009</v>
      </c>
      <c r="Q382" s="37"/>
      <c r="R382" s="37" t="s">
        <v>379</v>
      </c>
      <c r="S382" s="37" t="s">
        <v>222</v>
      </c>
      <c r="T382" s="37">
        <v>20</v>
      </c>
      <c r="U382" s="37">
        <v>90</v>
      </c>
    </row>
    <row r="383" spans="1:21" ht="28.5" customHeight="1">
      <c r="A383" s="37" t="s">
        <v>3336</v>
      </c>
      <c r="B383" s="37" t="s">
        <v>246</v>
      </c>
      <c r="C383" s="37" t="s">
        <v>387</v>
      </c>
      <c r="D383" s="37">
        <v>4</v>
      </c>
      <c r="E383" s="37">
        <v>9</v>
      </c>
      <c r="F383" s="37" t="s">
        <v>36</v>
      </c>
      <c r="G383" s="37" t="s">
        <v>49</v>
      </c>
      <c r="H383" s="37"/>
      <c r="I383" s="37">
        <v>30</v>
      </c>
      <c r="J383" s="37"/>
      <c r="K383" s="37">
        <v>150</v>
      </c>
      <c r="L383" s="37" t="s">
        <v>249</v>
      </c>
      <c r="M383" s="37" t="s">
        <v>703</v>
      </c>
      <c r="N383" s="37">
        <v>2000</v>
      </c>
      <c r="O383" s="37" t="s">
        <v>232</v>
      </c>
      <c r="P383" s="37" t="s">
        <v>3009</v>
      </c>
      <c r="Q383" s="37"/>
      <c r="R383" s="37" t="s">
        <v>379</v>
      </c>
      <c r="S383" s="37" t="s">
        <v>222</v>
      </c>
      <c r="T383" s="37">
        <v>30</v>
      </c>
      <c r="U383" s="37">
        <v>150</v>
      </c>
    </row>
    <row r="384" spans="1:21" ht="28.5" customHeight="1">
      <c r="A384" s="37" t="s">
        <v>3337</v>
      </c>
      <c r="B384" s="37" t="s">
        <v>246</v>
      </c>
      <c r="C384" s="37" t="s">
        <v>396</v>
      </c>
      <c r="D384" s="37">
        <v>9</v>
      </c>
      <c r="E384" s="37">
        <v>14</v>
      </c>
      <c r="F384" s="37" t="s">
        <v>36</v>
      </c>
      <c r="G384" s="37" t="s">
        <v>49</v>
      </c>
      <c r="H384" s="37"/>
      <c r="I384" s="37">
        <v>40</v>
      </c>
      <c r="J384" s="37"/>
      <c r="K384" s="37">
        <v>280</v>
      </c>
      <c r="L384" s="37" t="s">
        <v>249</v>
      </c>
      <c r="M384" s="37" t="s">
        <v>703</v>
      </c>
      <c r="N384" s="37">
        <v>2000</v>
      </c>
      <c r="O384" s="37" t="s">
        <v>232</v>
      </c>
      <c r="P384" s="37" t="s">
        <v>3009</v>
      </c>
      <c r="Q384" s="37"/>
      <c r="R384" s="37" t="s">
        <v>379</v>
      </c>
      <c r="S384" s="37" t="s">
        <v>222</v>
      </c>
      <c r="T384" s="37">
        <v>40</v>
      </c>
      <c r="U384" s="37">
        <v>280</v>
      </c>
    </row>
    <row r="385" spans="1:21" ht="28.5" customHeight="1">
      <c r="A385" s="37" t="s">
        <v>3338</v>
      </c>
      <c r="B385" s="37" t="s">
        <v>246</v>
      </c>
      <c r="C385" s="37" t="s">
        <v>40</v>
      </c>
      <c r="D385" s="37">
        <v>9</v>
      </c>
      <c r="E385" s="37">
        <v>14</v>
      </c>
      <c r="F385" s="37" t="s">
        <v>36</v>
      </c>
      <c r="G385" s="37" t="s">
        <v>49</v>
      </c>
      <c r="H385" s="37"/>
      <c r="I385" s="37">
        <v>40</v>
      </c>
      <c r="J385" s="37"/>
      <c r="K385" s="37">
        <v>280</v>
      </c>
      <c r="L385" s="37" t="s">
        <v>249</v>
      </c>
      <c r="M385" s="37" t="s">
        <v>703</v>
      </c>
      <c r="N385" s="37">
        <v>2000</v>
      </c>
      <c r="O385" s="37" t="s">
        <v>232</v>
      </c>
      <c r="P385" s="37" t="s">
        <v>3009</v>
      </c>
      <c r="Q385" s="37"/>
      <c r="R385" s="37" t="s">
        <v>379</v>
      </c>
      <c r="S385" s="37" t="s">
        <v>222</v>
      </c>
      <c r="T385" s="37">
        <v>40</v>
      </c>
      <c r="U385" s="37">
        <v>280</v>
      </c>
    </row>
    <row r="386" spans="1:21" ht="28.5" customHeight="1">
      <c r="A386" s="37" t="s">
        <v>3339</v>
      </c>
      <c r="B386" s="37" t="s">
        <v>246</v>
      </c>
      <c r="C386" s="37" t="s">
        <v>396</v>
      </c>
      <c r="D386" s="37">
        <v>14</v>
      </c>
      <c r="E386" s="37">
        <v>19</v>
      </c>
      <c r="F386" s="37" t="s">
        <v>36</v>
      </c>
      <c r="G386" s="37" t="s">
        <v>49</v>
      </c>
      <c r="H386" s="37"/>
      <c r="I386" s="37">
        <v>55</v>
      </c>
      <c r="J386" s="37"/>
      <c r="K386" s="37">
        <v>400</v>
      </c>
      <c r="L386" s="37" t="s">
        <v>249</v>
      </c>
      <c r="M386" s="37" t="s">
        <v>703</v>
      </c>
      <c r="N386" s="37">
        <v>2000</v>
      </c>
      <c r="O386" s="37" t="s">
        <v>232</v>
      </c>
      <c r="P386" s="37" t="s">
        <v>3009</v>
      </c>
      <c r="Q386" s="37"/>
      <c r="R386" s="37" t="s">
        <v>379</v>
      </c>
      <c r="S386" s="37" t="s">
        <v>222</v>
      </c>
      <c r="T386" s="37">
        <v>55</v>
      </c>
      <c r="U386" s="37">
        <v>400</v>
      </c>
    </row>
    <row r="387" spans="1:21" ht="28.5" customHeight="1">
      <c r="A387" s="37" t="s">
        <v>3340</v>
      </c>
      <c r="B387" s="37" t="s">
        <v>246</v>
      </c>
      <c r="C387" s="37" t="s">
        <v>40</v>
      </c>
      <c r="D387" s="37">
        <v>14</v>
      </c>
      <c r="E387" s="37">
        <v>19</v>
      </c>
      <c r="F387" s="37" t="s">
        <v>36</v>
      </c>
      <c r="G387" s="37" t="s">
        <v>49</v>
      </c>
      <c r="H387" s="37"/>
      <c r="I387" s="37">
        <v>55</v>
      </c>
      <c r="J387" s="37"/>
      <c r="K387" s="37">
        <v>400</v>
      </c>
      <c r="L387" s="37" t="s">
        <v>249</v>
      </c>
      <c r="M387" s="37" t="s">
        <v>703</v>
      </c>
      <c r="N387" s="37">
        <v>2000</v>
      </c>
      <c r="O387" s="37" t="s">
        <v>232</v>
      </c>
      <c r="P387" s="37" t="s">
        <v>3009</v>
      </c>
      <c r="Q387" s="37"/>
      <c r="R387" s="37" t="s">
        <v>379</v>
      </c>
      <c r="S387" s="37" t="s">
        <v>222</v>
      </c>
      <c r="T387" s="37">
        <v>55</v>
      </c>
      <c r="U387" s="37">
        <v>400</v>
      </c>
    </row>
    <row r="388" spans="1:21" ht="28.5" customHeight="1">
      <c r="A388" s="37" t="s">
        <v>3341</v>
      </c>
      <c r="B388" s="37" t="s">
        <v>246</v>
      </c>
      <c r="C388" s="37" t="s">
        <v>396</v>
      </c>
      <c r="D388" s="37">
        <v>19</v>
      </c>
      <c r="E388" s="37">
        <v>31</v>
      </c>
      <c r="F388" s="37" t="s">
        <v>36</v>
      </c>
      <c r="G388" s="37" t="s">
        <v>49</v>
      </c>
      <c r="H388" s="37"/>
      <c r="I388" s="37">
        <v>55</v>
      </c>
      <c r="J388" s="37"/>
      <c r="K388" s="37">
        <v>400</v>
      </c>
      <c r="L388" s="37" t="s">
        <v>249</v>
      </c>
      <c r="M388" s="37" t="s">
        <v>703</v>
      </c>
      <c r="N388" s="37">
        <v>2000</v>
      </c>
      <c r="O388" s="37" t="s">
        <v>232</v>
      </c>
      <c r="P388" s="37" t="s">
        <v>3009</v>
      </c>
      <c r="Q388" s="37"/>
      <c r="R388" s="37" t="s">
        <v>379</v>
      </c>
      <c r="S388" s="37" t="s">
        <v>222</v>
      </c>
      <c r="T388" s="37">
        <v>55</v>
      </c>
      <c r="U388" s="37">
        <v>400</v>
      </c>
    </row>
    <row r="389" spans="1:21" ht="28.5" customHeight="1">
      <c r="A389" s="37" t="s">
        <v>3342</v>
      </c>
      <c r="B389" s="37" t="s">
        <v>246</v>
      </c>
      <c r="C389" s="37" t="s">
        <v>40</v>
      </c>
      <c r="D389" s="37">
        <v>19</v>
      </c>
      <c r="E389" s="37">
        <v>31</v>
      </c>
      <c r="F389" s="37" t="s">
        <v>36</v>
      </c>
      <c r="G389" s="37" t="s">
        <v>49</v>
      </c>
      <c r="H389" s="37"/>
      <c r="I389" s="37">
        <v>55</v>
      </c>
      <c r="J389" s="37"/>
      <c r="K389" s="37">
        <v>400</v>
      </c>
      <c r="L389" s="37" t="s">
        <v>249</v>
      </c>
      <c r="M389" s="37" t="s">
        <v>703</v>
      </c>
      <c r="N389" s="37">
        <v>2000</v>
      </c>
      <c r="O389" s="37" t="s">
        <v>232</v>
      </c>
      <c r="P389" s="37" t="s">
        <v>3009</v>
      </c>
      <c r="Q389" s="37"/>
      <c r="R389" s="37" t="s">
        <v>379</v>
      </c>
      <c r="S389" s="37" t="s">
        <v>222</v>
      </c>
      <c r="T389" s="37">
        <v>55</v>
      </c>
      <c r="U389" s="37">
        <v>400</v>
      </c>
    </row>
    <row r="390" spans="1:21" ht="28.5" customHeight="1">
      <c r="A390" s="37" t="s">
        <v>3343</v>
      </c>
      <c r="B390" s="37" t="s">
        <v>246</v>
      </c>
      <c r="C390" s="37" t="s">
        <v>396</v>
      </c>
      <c r="D390" s="37">
        <v>31</v>
      </c>
      <c r="E390" s="37">
        <v>51</v>
      </c>
      <c r="F390" s="37" t="s">
        <v>36</v>
      </c>
      <c r="G390" s="37" t="s">
        <v>49</v>
      </c>
      <c r="H390" s="37"/>
      <c r="I390" s="37">
        <v>55</v>
      </c>
      <c r="J390" s="37"/>
      <c r="K390" s="37">
        <v>400</v>
      </c>
      <c r="L390" s="37" t="s">
        <v>249</v>
      </c>
      <c r="M390" s="37" t="s">
        <v>703</v>
      </c>
      <c r="N390" s="37">
        <v>2000</v>
      </c>
      <c r="O390" s="37" t="s">
        <v>232</v>
      </c>
      <c r="P390" s="37" t="s">
        <v>3009</v>
      </c>
      <c r="Q390" s="37"/>
      <c r="R390" s="37" t="s">
        <v>379</v>
      </c>
      <c r="S390" s="37" t="s">
        <v>222</v>
      </c>
      <c r="T390" s="37">
        <v>55</v>
      </c>
      <c r="U390" s="37">
        <v>400</v>
      </c>
    </row>
    <row r="391" spans="1:21" ht="28.5" customHeight="1">
      <c r="A391" s="37" t="s">
        <v>3344</v>
      </c>
      <c r="B391" s="37" t="s">
        <v>246</v>
      </c>
      <c r="C391" s="37" t="s">
        <v>40</v>
      </c>
      <c r="D391" s="37">
        <v>31</v>
      </c>
      <c r="E391" s="37">
        <v>51</v>
      </c>
      <c r="F391" s="37" t="s">
        <v>36</v>
      </c>
      <c r="G391" s="37" t="s">
        <v>49</v>
      </c>
      <c r="H391" s="37"/>
      <c r="I391" s="37">
        <v>55</v>
      </c>
      <c r="J391" s="37"/>
      <c r="K391" s="37">
        <v>400</v>
      </c>
      <c r="L391" s="37" t="s">
        <v>249</v>
      </c>
      <c r="M391" s="37" t="s">
        <v>703</v>
      </c>
      <c r="N391" s="37">
        <v>2000</v>
      </c>
      <c r="O391" s="37" t="s">
        <v>232</v>
      </c>
      <c r="P391" s="37" t="s">
        <v>3009</v>
      </c>
      <c r="Q391" s="37"/>
      <c r="R391" s="37" t="s">
        <v>379</v>
      </c>
      <c r="S391" s="37" t="s">
        <v>222</v>
      </c>
      <c r="T391" s="37">
        <v>55</v>
      </c>
      <c r="U391" s="37">
        <v>400</v>
      </c>
    </row>
    <row r="392" spans="1:21" ht="28.5" customHeight="1">
      <c r="A392" s="37" t="s">
        <v>3345</v>
      </c>
      <c r="B392" s="37" t="s">
        <v>246</v>
      </c>
      <c r="C392" s="37" t="s">
        <v>396</v>
      </c>
      <c r="D392" s="37">
        <v>51</v>
      </c>
      <c r="E392" s="37">
        <v>71</v>
      </c>
      <c r="F392" s="37" t="s">
        <v>36</v>
      </c>
      <c r="G392" s="37" t="s">
        <v>49</v>
      </c>
      <c r="H392" s="37"/>
      <c r="I392" s="37">
        <v>55</v>
      </c>
      <c r="J392" s="37"/>
      <c r="K392" s="37">
        <v>400</v>
      </c>
      <c r="L392" s="37" t="s">
        <v>249</v>
      </c>
      <c r="M392" s="37" t="s">
        <v>703</v>
      </c>
      <c r="N392" s="37">
        <v>2000</v>
      </c>
      <c r="O392" s="37" t="s">
        <v>232</v>
      </c>
      <c r="P392" s="37" t="s">
        <v>3009</v>
      </c>
      <c r="Q392" s="37"/>
      <c r="R392" s="37" t="s">
        <v>379</v>
      </c>
      <c r="S392" s="37" t="s">
        <v>222</v>
      </c>
      <c r="T392" s="37">
        <v>55</v>
      </c>
      <c r="U392" s="37">
        <v>400</v>
      </c>
    </row>
    <row r="393" spans="1:21" ht="28.5" customHeight="1">
      <c r="A393" s="37" t="s">
        <v>3346</v>
      </c>
      <c r="B393" s="37" t="s">
        <v>246</v>
      </c>
      <c r="C393" s="37" t="s">
        <v>40</v>
      </c>
      <c r="D393" s="37">
        <v>51</v>
      </c>
      <c r="E393" s="37">
        <v>71</v>
      </c>
      <c r="F393" s="37" t="s">
        <v>36</v>
      </c>
      <c r="G393" s="37" t="s">
        <v>49</v>
      </c>
      <c r="H393" s="37"/>
      <c r="I393" s="37">
        <v>55</v>
      </c>
      <c r="J393" s="37"/>
      <c r="K393" s="37">
        <v>400</v>
      </c>
      <c r="L393" s="37" t="s">
        <v>249</v>
      </c>
      <c r="M393" s="37" t="s">
        <v>703</v>
      </c>
      <c r="N393" s="37">
        <v>2000</v>
      </c>
      <c r="O393" s="37" t="s">
        <v>232</v>
      </c>
      <c r="P393" s="37" t="s">
        <v>3009</v>
      </c>
      <c r="Q393" s="37"/>
      <c r="R393" s="37" t="s">
        <v>379</v>
      </c>
      <c r="S393" s="37" t="s">
        <v>222</v>
      </c>
      <c r="T393" s="37">
        <v>55</v>
      </c>
      <c r="U393" s="37">
        <v>400</v>
      </c>
    </row>
    <row r="394" spans="1:21" ht="28.5" customHeight="1">
      <c r="A394" s="37" t="s">
        <v>3347</v>
      </c>
      <c r="B394" s="37" t="s">
        <v>246</v>
      </c>
      <c r="C394" s="37" t="s">
        <v>396</v>
      </c>
      <c r="D394" s="37">
        <v>71</v>
      </c>
      <c r="E394" s="37">
        <v>999</v>
      </c>
      <c r="F394" s="37" t="s">
        <v>36</v>
      </c>
      <c r="G394" s="37" t="s">
        <v>49</v>
      </c>
      <c r="H394" s="37"/>
      <c r="I394" s="37">
        <v>55</v>
      </c>
      <c r="J394" s="37"/>
      <c r="K394" s="37">
        <v>400</v>
      </c>
      <c r="L394" s="37" t="s">
        <v>249</v>
      </c>
      <c r="M394" s="37" t="s">
        <v>703</v>
      </c>
      <c r="N394" s="37">
        <v>2000</v>
      </c>
      <c r="O394" s="37" t="s">
        <v>232</v>
      </c>
      <c r="P394" s="37" t="s">
        <v>3009</v>
      </c>
      <c r="Q394" s="37"/>
      <c r="R394" s="37" t="s">
        <v>379</v>
      </c>
      <c r="S394" s="37" t="s">
        <v>222</v>
      </c>
      <c r="T394" s="37">
        <v>55</v>
      </c>
      <c r="U394" s="37">
        <v>400</v>
      </c>
    </row>
    <row r="395" spans="1:21" ht="28.5" customHeight="1">
      <c r="A395" s="37" t="s">
        <v>3348</v>
      </c>
      <c r="B395" s="37" t="s">
        <v>246</v>
      </c>
      <c r="C395" s="37" t="s">
        <v>40</v>
      </c>
      <c r="D395" s="37">
        <v>71</v>
      </c>
      <c r="E395" s="37">
        <v>999</v>
      </c>
      <c r="F395" s="37" t="s">
        <v>36</v>
      </c>
      <c r="G395" s="37" t="s">
        <v>49</v>
      </c>
      <c r="H395" s="37"/>
      <c r="I395" s="37">
        <v>55</v>
      </c>
      <c r="J395" s="37"/>
      <c r="K395" s="37">
        <v>400</v>
      </c>
      <c r="L395" s="37" t="s">
        <v>249</v>
      </c>
      <c r="M395" s="37" t="s">
        <v>703</v>
      </c>
      <c r="N395" s="37">
        <v>2000</v>
      </c>
      <c r="O395" s="37" t="s">
        <v>232</v>
      </c>
      <c r="P395" s="37" t="s">
        <v>3009</v>
      </c>
      <c r="Q395" s="37"/>
      <c r="R395" s="37" t="s">
        <v>379</v>
      </c>
      <c r="S395" s="37" t="s">
        <v>222</v>
      </c>
      <c r="T395" s="37">
        <v>55</v>
      </c>
      <c r="U395" s="37">
        <v>400</v>
      </c>
    </row>
    <row r="396" spans="1:21" ht="28.5" customHeight="1">
      <c r="A396" s="37" t="s">
        <v>3349</v>
      </c>
      <c r="B396" s="37" t="s">
        <v>246</v>
      </c>
      <c r="C396" s="37" t="s">
        <v>40</v>
      </c>
      <c r="D396" s="37">
        <v>14</v>
      </c>
      <c r="E396" s="37">
        <v>51</v>
      </c>
      <c r="F396" s="37" t="s">
        <v>36</v>
      </c>
      <c r="G396" s="37" t="s">
        <v>414</v>
      </c>
      <c r="H396" s="37"/>
      <c r="I396" s="37">
        <v>60</v>
      </c>
      <c r="J396" s="37"/>
      <c r="K396" s="37">
        <v>400</v>
      </c>
      <c r="L396" s="37" t="s">
        <v>249</v>
      </c>
      <c r="M396" s="37" t="s">
        <v>703</v>
      </c>
      <c r="N396" s="37">
        <v>2000</v>
      </c>
      <c r="O396" s="37" t="s">
        <v>232</v>
      </c>
      <c r="P396" s="37" t="s">
        <v>3009</v>
      </c>
      <c r="Q396" s="37"/>
      <c r="R396" s="37" t="s">
        <v>379</v>
      </c>
      <c r="S396" s="37" t="s">
        <v>222</v>
      </c>
      <c r="T396" s="37">
        <v>60</v>
      </c>
      <c r="U396" s="37">
        <v>400</v>
      </c>
    </row>
    <row r="397" spans="1:21" ht="28.5" customHeight="1">
      <c r="A397" s="37" t="s">
        <v>3350</v>
      </c>
      <c r="B397" s="37" t="s">
        <v>246</v>
      </c>
      <c r="C397" s="37" t="s">
        <v>40</v>
      </c>
      <c r="D397" s="37">
        <v>14</v>
      </c>
      <c r="E397" s="37">
        <v>51</v>
      </c>
      <c r="F397" s="37" t="s">
        <v>36</v>
      </c>
      <c r="G397" s="37" t="s">
        <v>416</v>
      </c>
      <c r="H397" s="37"/>
      <c r="I397" s="37">
        <v>70</v>
      </c>
      <c r="J397" s="37"/>
      <c r="K397" s="37">
        <v>400</v>
      </c>
      <c r="L397" s="37" t="s">
        <v>249</v>
      </c>
      <c r="M397" s="37" t="s">
        <v>703</v>
      </c>
      <c r="N397" s="37">
        <v>2000</v>
      </c>
      <c r="O397" s="37" t="s">
        <v>232</v>
      </c>
      <c r="P397" s="37" t="s">
        <v>3009</v>
      </c>
      <c r="Q397" s="37"/>
      <c r="R397" s="37" t="s">
        <v>379</v>
      </c>
      <c r="S397" s="37" t="s">
        <v>222</v>
      </c>
      <c r="T397" s="37">
        <v>70</v>
      </c>
      <c r="U397" s="37">
        <v>400</v>
      </c>
    </row>
    <row r="398" spans="1:21" ht="28.5" customHeight="1">
      <c r="A398" s="37" t="s">
        <v>3351</v>
      </c>
      <c r="B398" s="37" t="s">
        <v>250</v>
      </c>
      <c r="C398" s="37" t="s">
        <v>387</v>
      </c>
      <c r="D398" s="37">
        <v>0</v>
      </c>
      <c r="E398" s="37">
        <v>0.5</v>
      </c>
      <c r="F398" s="37" t="s">
        <v>36</v>
      </c>
      <c r="G398" s="37" t="s">
        <v>49</v>
      </c>
      <c r="H398" s="37"/>
      <c r="I398" s="37"/>
      <c r="J398" s="37">
        <v>400</v>
      </c>
      <c r="K398" s="37"/>
      <c r="L398" s="37" t="s">
        <v>230</v>
      </c>
      <c r="M398" s="37" t="s">
        <v>546</v>
      </c>
      <c r="N398" s="37">
        <v>2019</v>
      </c>
      <c r="O398" s="37" t="s">
        <v>232</v>
      </c>
      <c r="P398" s="37" t="s">
        <v>3009</v>
      </c>
      <c r="Q398" s="37"/>
      <c r="R398" s="37" t="s">
        <v>380</v>
      </c>
      <c r="S398" s="37"/>
      <c r="T398" s="37">
        <v>400</v>
      </c>
      <c r="U398" s="37"/>
    </row>
    <row r="399" spans="1:21" ht="28.5" customHeight="1">
      <c r="A399" s="37" t="s">
        <v>3352</v>
      </c>
      <c r="B399" s="37" t="s">
        <v>250</v>
      </c>
      <c r="C399" s="37" t="s">
        <v>387</v>
      </c>
      <c r="D399" s="37">
        <v>0.5</v>
      </c>
      <c r="E399" s="37">
        <v>1</v>
      </c>
      <c r="F399" s="37" t="s">
        <v>36</v>
      </c>
      <c r="G399" s="37" t="s">
        <v>49</v>
      </c>
      <c r="H399" s="37"/>
      <c r="I399" s="37"/>
      <c r="J399" s="37">
        <v>860</v>
      </c>
      <c r="K399" s="37"/>
      <c r="L399" s="37" t="s">
        <v>230</v>
      </c>
      <c r="M399" s="37" t="s">
        <v>546</v>
      </c>
      <c r="N399" s="37">
        <v>2019</v>
      </c>
      <c r="O399" s="37" t="s">
        <v>232</v>
      </c>
      <c r="P399" s="37" t="s">
        <v>3009</v>
      </c>
      <c r="Q399" s="37"/>
      <c r="R399" s="37" t="s">
        <v>380</v>
      </c>
      <c r="S399" s="37"/>
      <c r="T399" s="37">
        <v>860</v>
      </c>
      <c r="U399" s="37"/>
    </row>
    <row r="400" spans="1:21" ht="28.5" customHeight="1">
      <c r="A400" s="37" t="s">
        <v>3353</v>
      </c>
      <c r="B400" s="37" t="s">
        <v>250</v>
      </c>
      <c r="C400" s="37" t="s">
        <v>387</v>
      </c>
      <c r="D400" s="37">
        <v>1</v>
      </c>
      <c r="E400" s="37">
        <v>4</v>
      </c>
      <c r="F400" s="37" t="s">
        <v>36</v>
      </c>
      <c r="G400" s="37" t="s">
        <v>49</v>
      </c>
      <c r="H400" s="37"/>
      <c r="I400" s="37"/>
      <c r="J400" s="37">
        <v>2000</v>
      </c>
      <c r="K400" s="37"/>
      <c r="L400" s="37" t="s">
        <v>230</v>
      </c>
      <c r="M400" s="37" t="s">
        <v>546</v>
      </c>
      <c r="N400" s="37">
        <v>2019</v>
      </c>
      <c r="O400" s="37" t="s">
        <v>232</v>
      </c>
      <c r="P400" s="37" t="s">
        <v>3009</v>
      </c>
      <c r="Q400" s="37"/>
      <c r="R400" s="37" t="s">
        <v>380</v>
      </c>
      <c r="S400" s="37"/>
      <c r="T400" s="37">
        <v>2000</v>
      </c>
      <c r="U400" s="37"/>
    </row>
    <row r="401" spans="1:21" ht="28.5" customHeight="1">
      <c r="A401" s="37" t="s">
        <v>3354</v>
      </c>
      <c r="B401" s="37" t="s">
        <v>250</v>
      </c>
      <c r="C401" s="37" t="s">
        <v>387</v>
      </c>
      <c r="D401" s="37">
        <v>4</v>
      </c>
      <c r="E401" s="37">
        <v>9</v>
      </c>
      <c r="F401" s="37" t="s">
        <v>36</v>
      </c>
      <c r="G401" s="37" t="s">
        <v>49</v>
      </c>
      <c r="H401" s="37"/>
      <c r="I401" s="37"/>
      <c r="J401" s="37">
        <v>2300</v>
      </c>
      <c r="K401" s="37"/>
      <c r="L401" s="37" t="s">
        <v>230</v>
      </c>
      <c r="M401" s="37" t="s">
        <v>546</v>
      </c>
      <c r="N401" s="37">
        <v>2019</v>
      </c>
      <c r="O401" s="37" t="s">
        <v>232</v>
      </c>
      <c r="P401" s="37" t="s">
        <v>3009</v>
      </c>
      <c r="Q401" s="37"/>
      <c r="R401" s="37" t="s">
        <v>380</v>
      </c>
      <c r="S401" s="37"/>
      <c r="T401" s="37">
        <v>2300</v>
      </c>
      <c r="U401" s="37"/>
    </row>
    <row r="402" spans="1:21" ht="28.5" customHeight="1">
      <c r="A402" s="37" t="s">
        <v>3355</v>
      </c>
      <c r="B402" s="37" t="s">
        <v>250</v>
      </c>
      <c r="C402" s="37" t="s">
        <v>396</v>
      </c>
      <c r="D402" s="37">
        <v>9</v>
      </c>
      <c r="E402" s="37">
        <v>14</v>
      </c>
      <c r="F402" s="37" t="s">
        <v>36</v>
      </c>
      <c r="G402" s="37" t="s">
        <v>49</v>
      </c>
      <c r="H402" s="37"/>
      <c r="I402" s="37"/>
      <c r="J402" s="37">
        <v>2500</v>
      </c>
      <c r="K402" s="37"/>
      <c r="L402" s="37" t="s">
        <v>230</v>
      </c>
      <c r="M402" s="37" t="s">
        <v>546</v>
      </c>
      <c r="N402" s="37">
        <v>2019</v>
      </c>
      <c r="O402" s="37" t="s">
        <v>232</v>
      </c>
      <c r="P402" s="37" t="s">
        <v>3009</v>
      </c>
      <c r="Q402" s="37"/>
      <c r="R402" s="37" t="s">
        <v>380</v>
      </c>
      <c r="S402" s="37"/>
      <c r="T402" s="37">
        <v>2500</v>
      </c>
      <c r="U402" s="37"/>
    </row>
    <row r="403" spans="1:21" ht="28.5" customHeight="1">
      <c r="A403" s="37" t="s">
        <v>3356</v>
      </c>
      <c r="B403" s="37" t="s">
        <v>250</v>
      </c>
      <c r="C403" s="37" t="s">
        <v>40</v>
      </c>
      <c r="D403" s="37">
        <v>9</v>
      </c>
      <c r="E403" s="37">
        <v>14</v>
      </c>
      <c r="F403" s="37" t="s">
        <v>36</v>
      </c>
      <c r="G403" s="37" t="s">
        <v>49</v>
      </c>
      <c r="H403" s="37"/>
      <c r="I403" s="37"/>
      <c r="J403" s="37">
        <v>2300</v>
      </c>
      <c r="K403" s="37"/>
      <c r="L403" s="37" t="s">
        <v>230</v>
      </c>
      <c r="M403" s="37" t="s">
        <v>546</v>
      </c>
      <c r="N403" s="37">
        <v>2019</v>
      </c>
      <c r="O403" s="37" t="s">
        <v>232</v>
      </c>
      <c r="P403" s="37" t="s">
        <v>3009</v>
      </c>
      <c r="Q403" s="37"/>
      <c r="R403" s="37" t="s">
        <v>380</v>
      </c>
      <c r="S403" s="37"/>
      <c r="T403" s="37">
        <v>2300</v>
      </c>
      <c r="U403" s="37"/>
    </row>
    <row r="404" spans="1:21" ht="28.5" customHeight="1">
      <c r="A404" s="37" t="s">
        <v>3357</v>
      </c>
      <c r="B404" s="37" t="s">
        <v>250</v>
      </c>
      <c r="C404" s="37" t="s">
        <v>396</v>
      </c>
      <c r="D404" s="37">
        <v>14</v>
      </c>
      <c r="E404" s="37">
        <v>19</v>
      </c>
      <c r="F404" s="37" t="s">
        <v>36</v>
      </c>
      <c r="G404" s="37" t="s">
        <v>49</v>
      </c>
      <c r="H404" s="37"/>
      <c r="I404" s="37"/>
      <c r="J404" s="37">
        <v>3000</v>
      </c>
      <c r="K404" s="37"/>
      <c r="L404" s="37" t="s">
        <v>230</v>
      </c>
      <c r="M404" s="37" t="s">
        <v>546</v>
      </c>
      <c r="N404" s="37">
        <v>2019</v>
      </c>
      <c r="O404" s="37" t="s">
        <v>232</v>
      </c>
      <c r="P404" s="37" t="s">
        <v>3009</v>
      </c>
      <c r="Q404" s="37"/>
      <c r="R404" s="37" t="s">
        <v>380</v>
      </c>
      <c r="S404" s="37"/>
      <c r="T404" s="37">
        <v>3000</v>
      </c>
      <c r="U404" s="37"/>
    </row>
    <row r="405" spans="1:21" ht="28.5" customHeight="1">
      <c r="A405" s="37" t="s">
        <v>3358</v>
      </c>
      <c r="B405" s="37" t="s">
        <v>250</v>
      </c>
      <c r="C405" s="37" t="s">
        <v>40</v>
      </c>
      <c r="D405" s="37">
        <v>14</v>
      </c>
      <c r="E405" s="37">
        <v>19</v>
      </c>
      <c r="F405" s="37" t="s">
        <v>36</v>
      </c>
      <c r="G405" s="37" t="s">
        <v>49</v>
      </c>
      <c r="H405" s="37"/>
      <c r="I405" s="37"/>
      <c r="J405" s="37">
        <v>2300</v>
      </c>
      <c r="K405" s="37"/>
      <c r="L405" s="37" t="s">
        <v>230</v>
      </c>
      <c r="M405" s="37" t="s">
        <v>546</v>
      </c>
      <c r="N405" s="37">
        <v>2019</v>
      </c>
      <c r="O405" s="37" t="s">
        <v>232</v>
      </c>
      <c r="P405" s="37" t="s">
        <v>3009</v>
      </c>
      <c r="Q405" s="37"/>
      <c r="R405" s="37" t="s">
        <v>380</v>
      </c>
      <c r="S405" s="37"/>
      <c r="T405" s="37">
        <v>2300</v>
      </c>
      <c r="U405" s="37"/>
    </row>
    <row r="406" spans="1:21" ht="28.5" customHeight="1">
      <c r="A406" s="37" t="s">
        <v>3359</v>
      </c>
      <c r="B406" s="37" t="s">
        <v>250</v>
      </c>
      <c r="C406" s="37" t="s">
        <v>396</v>
      </c>
      <c r="D406" s="37">
        <v>19</v>
      </c>
      <c r="E406" s="37">
        <v>31</v>
      </c>
      <c r="F406" s="37" t="s">
        <v>36</v>
      </c>
      <c r="G406" s="37" t="s">
        <v>49</v>
      </c>
      <c r="H406" s="37"/>
      <c r="I406" s="37"/>
      <c r="J406" s="37">
        <v>3400</v>
      </c>
      <c r="K406" s="37"/>
      <c r="L406" s="37" t="s">
        <v>230</v>
      </c>
      <c r="M406" s="37" t="s">
        <v>546</v>
      </c>
      <c r="N406" s="37">
        <v>2019</v>
      </c>
      <c r="O406" s="37" t="s">
        <v>232</v>
      </c>
      <c r="P406" s="37" t="s">
        <v>3009</v>
      </c>
      <c r="Q406" s="37"/>
      <c r="R406" s="37" t="s">
        <v>380</v>
      </c>
      <c r="S406" s="37"/>
      <c r="T406" s="37">
        <v>3400</v>
      </c>
      <c r="U406" s="37"/>
    </row>
    <row r="407" spans="1:21" ht="28.5" customHeight="1">
      <c r="A407" s="37" t="s">
        <v>3360</v>
      </c>
      <c r="B407" s="37" t="s">
        <v>250</v>
      </c>
      <c r="C407" s="37" t="s">
        <v>40</v>
      </c>
      <c r="D407" s="37">
        <v>19</v>
      </c>
      <c r="E407" s="37">
        <v>31</v>
      </c>
      <c r="F407" s="37" t="s">
        <v>36</v>
      </c>
      <c r="G407" s="37" t="s">
        <v>49</v>
      </c>
      <c r="H407" s="37"/>
      <c r="I407" s="37"/>
      <c r="J407" s="37">
        <v>2600</v>
      </c>
      <c r="K407" s="37"/>
      <c r="L407" s="37" t="s">
        <v>230</v>
      </c>
      <c r="M407" s="37" t="s">
        <v>546</v>
      </c>
      <c r="N407" s="37">
        <v>2019</v>
      </c>
      <c r="O407" s="37" t="s">
        <v>232</v>
      </c>
      <c r="P407" s="37" t="s">
        <v>3009</v>
      </c>
      <c r="Q407" s="37"/>
      <c r="R407" s="37" t="s">
        <v>380</v>
      </c>
      <c r="S407" s="37"/>
      <c r="T407" s="37">
        <v>2600</v>
      </c>
      <c r="U407" s="37"/>
    </row>
    <row r="408" spans="1:21" ht="28.5" customHeight="1">
      <c r="A408" s="37" t="s">
        <v>3361</v>
      </c>
      <c r="B408" s="37" t="s">
        <v>250</v>
      </c>
      <c r="C408" s="37" t="s">
        <v>396</v>
      </c>
      <c r="D408" s="37">
        <v>31</v>
      </c>
      <c r="E408" s="37">
        <v>51</v>
      </c>
      <c r="F408" s="37" t="s">
        <v>36</v>
      </c>
      <c r="G408" s="37" t="s">
        <v>49</v>
      </c>
      <c r="H408" s="37"/>
      <c r="I408" s="37"/>
      <c r="J408" s="37">
        <v>3400</v>
      </c>
      <c r="K408" s="37"/>
      <c r="L408" s="37" t="s">
        <v>230</v>
      </c>
      <c r="M408" s="37" t="s">
        <v>546</v>
      </c>
      <c r="N408" s="37">
        <v>2019</v>
      </c>
      <c r="O408" s="37" t="s">
        <v>232</v>
      </c>
      <c r="P408" s="37" t="s">
        <v>3009</v>
      </c>
      <c r="Q408" s="37"/>
      <c r="R408" s="37" t="s">
        <v>380</v>
      </c>
      <c r="S408" s="37"/>
      <c r="T408" s="37">
        <v>3400</v>
      </c>
      <c r="U408" s="37"/>
    </row>
    <row r="409" spans="1:21" ht="28.5" customHeight="1">
      <c r="A409" s="37" t="s">
        <v>3362</v>
      </c>
      <c r="B409" s="37" t="s">
        <v>250</v>
      </c>
      <c r="C409" s="37" t="s">
        <v>40</v>
      </c>
      <c r="D409" s="37">
        <v>31</v>
      </c>
      <c r="E409" s="37">
        <v>51</v>
      </c>
      <c r="F409" s="37" t="s">
        <v>36</v>
      </c>
      <c r="G409" s="37" t="s">
        <v>49</v>
      </c>
      <c r="H409" s="37"/>
      <c r="I409" s="37"/>
      <c r="J409" s="37">
        <v>2600</v>
      </c>
      <c r="K409" s="37"/>
      <c r="L409" s="37" t="s">
        <v>230</v>
      </c>
      <c r="M409" s="37" t="s">
        <v>546</v>
      </c>
      <c r="N409" s="37">
        <v>2019</v>
      </c>
      <c r="O409" s="37" t="s">
        <v>232</v>
      </c>
      <c r="P409" s="37" t="s">
        <v>3009</v>
      </c>
      <c r="Q409" s="37"/>
      <c r="R409" s="37" t="s">
        <v>380</v>
      </c>
      <c r="S409" s="37"/>
      <c r="T409" s="37">
        <v>2600</v>
      </c>
      <c r="U409" s="37"/>
    </row>
    <row r="410" spans="1:21" ht="28.5" customHeight="1">
      <c r="A410" s="37" t="s">
        <v>3363</v>
      </c>
      <c r="B410" s="37" t="s">
        <v>250</v>
      </c>
      <c r="C410" s="37" t="s">
        <v>396</v>
      </c>
      <c r="D410" s="37">
        <v>51</v>
      </c>
      <c r="E410" s="37">
        <v>71</v>
      </c>
      <c r="F410" s="37" t="s">
        <v>36</v>
      </c>
      <c r="G410" s="37" t="s">
        <v>49</v>
      </c>
      <c r="H410" s="37"/>
      <c r="I410" s="37"/>
      <c r="J410" s="37">
        <v>3400</v>
      </c>
      <c r="K410" s="37"/>
      <c r="L410" s="37" t="s">
        <v>230</v>
      </c>
      <c r="M410" s="37" t="s">
        <v>546</v>
      </c>
      <c r="N410" s="37">
        <v>2019</v>
      </c>
      <c r="O410" s="37" t="s">
        <v>232</v>
      </c>
      <c r="P410" s="37" t="s">
        <v>3009</v>
      </c>
      <c r="Q410" s="37"/>
      <c r="R410" s="37" t="s">
        <v>380</v>
      </c>
      <c r="S410" s="37"/>
      <c r="T410" s="37">
        <v>3400</v>
      </c>
      <c r="U410" s="37"/>
    </row>
    <row r="411" spans="1:21" ht="28.5" customHeight="1">
      <c r="A411" s="37" t="s">
        <v>3364</v>
      </c>
      <c r="B411" s="37" t="s">
        <v>250</v>
      </c>
      <c r="C411" s="37" t="s">
        <v>40</v>
      </c>
      <c r="D411" s="37">
        <v>51</v>
      </c>
      <c r="E411" s="37">
        <v>71</v>
      </c>
      <c r="F411" s="37" t="s">
        <v>36</v>
      </c>
      <c r="G411" s="37" t="s">
        <v>49</v>
      </c>
      <c r="H411" s="37"/>
      <c r="I411" s="37"/>
      <c r="J411" s="37">
        <v>2600</v>
      </c>
      <c r="K411" s="37"/>
      <c r="L411" s="37" t="s">
        <v>230</v>
      </c>
      <c r="M411" s="37" t="s">
        <v>546</v>
      </c>
      <c r="N411" s="37">
        <v>2019</v>
      </c>
      <c r="O411" s="37" t="s">
        <v>232</v>
      </c>
      <c r="P411" s="37" t="s">
        <v>3009</v>
      </c>
      <c r="Q411" s="37"/>
      <c r="R411" s="37" t="s">
        <v>380</v>
      </c>
      <c r="S411" s="37"/>
      <c r="T411" s="37">
        <v>2600</v>
      </c>
      <c r="U411" s="37"/>
    </row>
    <row r="412" spans="1:21" ht="28.5" customHeight="1">
      <c r="A412" s="37" t="s">
        <v>3365</v>
      </c>
      <c r="B412" s="37" t="s">
        <v>250</v>
      </c>
      <c r="C412" s="37" t="s">
        <v>396</v>
      </c>
      <c r="D412" s="37">
        <v>71</v>
      </c>
      <c r="E412" s="37">
        <v>999</v>
      </c>
      <c r="F412" s="37" t="s">
        <v>36</v>
      </c>
      <c r="G412" s="37" t="s">
        <v>49</v>
      </c>
      <c r="H412" s="37"/>
      <c r="I412" s="37"/>
      <c r="J412" s="37">
        <v>3400</v>
      </c>
      <c r="K412" s="37"/>
      <c r="L412" s="37" t="s">
        <v>230</v>
      </c>
      <c r="M412" s="37" t="s">
        <v>546</v>
      </c>
      <c r="N412" s="37">
        <v>2019</v>
      </c>
      <c r="O412" s="37" t="s">
        <v>232</v>
      </c>
      <c r="P412" s="37" t="s">
        <v>3009</v>
      </c>
      <c r="Q412" s="37"/>
      <c r="R412" s="37" t="s">
        <v>380</v>
      </c>
      <c r="S412" s="37"/>
      <c r="T412" s="37">
        <v>3400</v>
      </c>
      <c r="U412" s="37"/>
    </row>
    <row r="413" spans="1:21" ht="28.5" customHeight="1">
      <c r="A413" s="37" t="s">
        <v>3366</v>
      </c>
      <c r="B413" s="37" t="s">
        <v>250</v>
      </c>
      <c r="C413" s="37" t="s">
        <v>40</v>
      </c>
      <c r="D413" s="37">
        <v>71</v>
      </c>
      <c r="E413" s="37">
        <v>999</v>
      </c>
      <c r="F413" s="37" t="s">
        <v>36</v>
      </c>
      <c r="G413" s="37" t="s">
        <v>49</v>
      </c>
      <c r="H413" s="37"/>
      <c r="I413" s="37"/>
      <c r="J413" s="37">
        <v>2600</v>
      </c>
      <c r="K413" s="37"/>
      <c r="L413" s="37" t="s">
        <v>230</v>
      </c>
      <c r="M413" s="37" t="s">
        <v>546</v>
      </c>
      <c r="N413" s="37">
        <v>2019</v>
      </c>
      <c r="O413" s="37" t="s">
        <v>232</v>
      </c>
      <c r="P413" s="37" t="s">
        <v>3009</v>
      </c>
      <c r="Q413" s="37"/>
      <c r="R413" s="37" t="s">
        <v>380</v>
      </c>
      <c r="S413" s="37"/>
      <c r="T413" s="37">
        <v>2600</v>
      </c>
      <c r="U413" s="37"/>
    </row>
    <row r="414" spans="1:21" ht="28.5" customHeight="1">
      <c r="A414" s="37" t="s">
        <v>3367</v>
      </c>
      <c r="B414" s="37" t="s">
        <v>250</v>
      </c>
      <c r="C414" s="37" t="s">
        <v>40</v>
      </c>
      <c r="D414" s="37">
        <v>14</v>
      </c>
      <c r="E414" s="37">
        <v>51</v>
      </c>
      <c r="F414" s="37" t="s">
        <v>36</v>
      </c>
      <c r="G414" s="37" t="s">
        <v>414</v>
      </c>
      <c r="H414" s="37"/>
      <c r="I414" s="37"/>
      <c r="J414" s="37">
        <v>2900</v>
      </c>
      <c r="K414" s="37"/>
      <c r="L414" s="37" t="s">
        <v>230</v>
      </c>
      <c r="M414" s="37" t="s">
        <v>546</v>
      </c>
      <c r="N414" s="37">
        <v>2019</v>
      </c>
      <c r="O414" s="37" t="s">
        <v>232</v>
      </c>
      <c r="P414" s="37" t="s">
        <v>3009</v>
      </c>
      <c r="Q414" s="37"/>
      <c r="R414" s="37" t="s">
        <v>380</v>
      </c>
      <c r="S414" s="37"/>
      <c r="T414" s="37">
        <v>2900</v>
      </c>
      <c r="U414" s="37"/>
    </row>
    <row r="415" spans="1:21" ht="28.5" customHeight="1">
      <c r="A415" s="37" t="s">
        <v>3368</v>
      </c>
      <c r="B415" s="37" t="s">
        <v>250</v>
      </c>
      <c r="C415" s="37" t="s">
        <v>40</v>
      </c>
      <c r="D415" s="37">
        <v>14</v>
      </c>
      <c r="E415" s="37">
        <v>51</v>
      </c>
      <c r="F415" s="37" t="s">
        <v>36</v>
      </c>
      <c r="G415" s="37" t="s">
        <v>416</v>
      </c>
      <c r="H415" s="37"/>
      <c r="I415" s="37"/>
      <c r="J415" s="37">
        <v>2800</v>
      </c>
      <c r="K415" s="37"/>
      <c r="L415" s="37" t="s">
        <v>230</v>
      </c>
      <c r="M415" s="37" t="s">
        <v>546</v>
      </c>
      <c r="N415" s="37">
        <v>2019</v>
      </c>
      <c r="O415" s="37" t="s">
        <v>232</v>
      </c>
      <c r="P415" s="37" t="s">
        <v>3009</v>
      </c>
      <c r="Q415" s="37"/>
      <c r="R415" s="37" t="s">
        <v>380</v>
      </c>
      <c r="S415" s="37"/>
      <c r="T415" s="37">
        <v>2800</v>
      </c>
      <c r="U415" s="37"/>
    </row>
    <row r="416" spans="1:21" ht="28.5" customHeight="1">
      <c r="A416" s="37" t="s">
        <v>3369</v>
      </c>
      <c r="B416" s="37" t="s">
        <v>258</v>
      </c>
      <c r="C416" s="37" t="s">
        <v>387</v>
      </c>
      <c r="D416" s="37">
        <v>0</v>
      </c>
      <c r="E416" s="37">
        <v>0.5</v>
      </c>
      <c r="F416" s="37" t="s">
        <v>36</v>
      </c>
      <c r="G416" s="37" t="s">
        <v>49</v>
      </c>
      <c r="H416" s="37"/>
      <c r="I416" s="37"/>
      <c r="J416" s="37">
        <v>110</v>
      </c>
      <c r="K416" s="37"/>
      <c r="L416" s="37" t="s">
        <v>230</v>
      </c>
      <c r="M416" s="37" t="s">
        <v>546</v>
      </c>
      <c r="N416" s="37">
        <v>2019</v>
      </c>
      <c r="O416" s="37" t="s">
        <v>232</v>
      </c>
      <c r="P416" s="37" t="s">
        <v>3009</v>
      </c>
      <c r="Q416" s="37"/>
      <c r="R416" s="37" t="s">
        <v>380</v>
      </c>
      <c r="S416" s="37"/>
      <c r="T416" s="37">
        <v>110</v>
      </c>
      <c r="U416" s="37"/>
    </row>
    <row r="417" spans="1:21" ht="28.5" customHeight="1">
      <c r="A417" s="37" t="s">
        <v>3370</v>
      </c>
      <c r="B417" s="37" t="s">
        <v>258</v>
      </c>
      <c r="C417" s="37" t="s">
        <v>387</v>
      </c>
      <c r="D417" s="37">
        <v>0.5</v>
      </c>
      <c r="E417" s="37">
        <v>1</v>
      </c>
      <c r="F417" s="37" t="s">
        <v>36</v>
      </c>
      <c r="G417" s="37" t="s">
        <v>49</v>
      </c>
      <c r="H417" s="37"/>
      <c r="I417" s="37"/>
      <c r="J417" s="37">
        <v>370</v>
      </c>
      <c r="K417" s="37"/>
      <c r="L417" s="37" t="s">
        <v>230</v>
      </c>
      <c r="M417" s="37" t="s">
        <v>546</v>
      </c>
      <c r="N417" s="37">
        <v>2019</v>
      </c>
      <c r="O417" s="37" t="s">
        <v>232</v>
      </c>
      <c r="P417" s="37" t="s">
        <v>3009</v>
      </c>
      <c r="Q417" s="37"/>
      <c r="R417" s="37" t="s">
        <v>380</v>
      </c>
      <c r="S417" s="37"/>
      <c r="T417" s="37">
        <v>370</v>
      </c>
      <c r="U417" s="37"/>
    </row>
    <row r="418" spans="1:21" ht="28.5" customHeight="1">
      <c r="A418" s="37" t="s">
        <v>3371</v>
      </c>
      <c r="B418" s="37" t="s">
        <v>258</v>
      </c>
      <c r="C418" s="37" t="s">
        <v>387</v>
      </c>
      <c r="D418" s="37">
        <v>1</v>
      </c>
      <c r="E418" s="37">
        <v>4</v>
      </c>
      <c r="F418" s="37" t="s">
        <v>36</v>
      </c>
      <c r="G418" s="37" t="s">
        <v>49</v>
      </c>
      <c r="H418" s="37"/>
      <c r="I418" s="37"/>
      <c r="J418" s="37">
        <v>800</v>
      </c>
      <c r="K418" s="37"/>
      <c r="L418" s="37" t="s">
        <v>230</v>
      </c>
      <c r="M418" s="37" t="s">
        <v>546</v>
      </c>
      <c r="N418" s="37">
        <v>2019</v>
      </c>
      <c r="O418" s="37" t="s">
        <v>232</v>
      </c>
      <c r="P418" s="37" t="s">
        <v>3009</v>
      </c>
      <c r="Q418" s="37">
        <v>1200</v>
      </c>
      <c r="R418" s="37" t="s">
        <v>380</v>
      </c>
      <c r="S418" s="37" t="s">
        <v>383</v>
      </c>
      <c r="T418" s="37">
        <v>800</v>
      </c>
      <c r="U418" s="37">
        <v>1200</v>
      </c>
    </row>
    <row r="419" spans="1:21" ht="28.5" customHeight="1">
      <c r="A419" s="37" t="s">
        <v>3372</v>
      </c>
      <c r="B419" s="37" t="s">
        <v>258</v>
      </c>
      <c r="C419" s="37" t="s">
        <v>387</v>
      </c>
      <c r="D419" s="37">
        <v>4</v>
      </c>
      <c r="E419" s="37">
        <v>9</v>
      </c>
      <c r="F419" s="37" t="s">
        <v>36</v>
      </c>
      <c r="G419" s="37" t="s">
        <v>49</v>
      </c>
      <c r="H419" s="37"/>
      <c r="I419" s="37"/>
      <c r="J419" s="37">
        <v>1000</v>
      </c>
      <c r="K419" s="37"/>
      <c r="L419" s="37" t="s">
        <v>230</v>
      </c>
      <c r="M419" s="37" t="s">
        <v>546</v>
      </c>
      <c r="N419" s="37">
        <v>2019</v>
      </c>
      <c r="O419" s="37" t="s">
        <v>232</v>
      </c>
      <c r="P419" s="37" t="s">
        <v>3009</v>
      </c>
      <c r="Q419" s="37">
        <v>1500</v>
      </c>
      <c r="R419" s="37" t="s">
        <v>380</v>
      </c>
      <c r="S419" s="37" t="s">
        <v>383</v>
      </c>
      <c r="T419" s="37">
        <v>1000</v>
      </c>
      <c r="U419" s="37">
        <v>1500</v>
      </c>
    </row>
    <row r="420" spans="1:21" ht="28.5" customHeight="1">
      <c r="A420" s="37" t="s">
        <v>3373</v>
      </c>
      <c r="B420" s="37" t="s">
        <v>258</v>
      </c>
      <c r="C420" s="37" t="s">
        <v>396</v>
      </c>
      <c r="D420" s="37">
        <v>9</v>
      </c>
      <c r="E420" s="37">
        <v>14</v>
      </c>
      <c r="F420" s="37" t="s">
        <v>36</v>
      </c>
      <c r="G420" s="37" t="s">
        <v>49</v>
      </c>
      <c r="H420" s="37"/>
      <c r="I420" s="37"/>
      <c r="J420" s="37">
        <v>1200</v>
      </c>
      <c r="K420" s="37"/>
      <c r="L420" s="37" t="s">
        <v>230</v>
      </c>
      <c r="M420" s="37" t="s">
        <v>546</v>
      </c>
      <c r="N420" s="37">
        <v>2019</v>
      </c>
      <c r="O420" s="37" t="s">
        <v>232</v>
      </c>
      <c r="P420" s="37" t="s">
        <v>3009</v>
      </c>
      <c r="Q420" s="37">
        <v>1800</v>
      </c>
      <c r="R420" s="37" t="s">
        <v>380</v>
      </c>
      <c r="S420" s="37" t="s">
        <v>383</v>
      </c>
      <c r="T420" s="37">
        <v>1200</v>
      </c>
      <c r="U420" s="37">
        <v>1800</v>
      </c>
    </row>
    <row r="421" spans="1:21" ht="28.5" customHeight="1">
      <c r="A421" s="37" t="s">
        <v>3374</v>
      </c>
      <c r="B421" s="37" t="s">
        <v>258</v>
      </c>
      <c r="C421" s="37" t="s">
        <v>40</v>
      </c>
      <c r="D421" s="37">
        <v>9</v>
      </c>
      <c r="E421" s="37">
        <v>14</v>
      </c>
      <c r="F421" s="37" t="s">
        <v>36</v>
      </c>
      <c r="G421" s="37" t="s">
        <v>49</v>
      </c>
      <c r="H421" s="37"/>
      <c r="I421" s="37"/>
      <c r="J421" s="37">
        <v>1200</v>
      </c>
      <c r="K421" s="37"/>
      <c r="L421" s="37" t="s">
        <v>230</v>
      </c>
      <c r="M421" s="37" t="s">
        <v>546</v>
      </c>
      <c r="N421" s="37">
        <v>2019</v>
      </c>
      <c r="O421" s="37" t="s">
        <v>232</v>
      </c>
      <c r="P421" s="37" t="s">
        <v>3009</v>
      </c>
      <c r="Q421" s="37">
        <v>1800</v>
      </c>
      <c r="R421" s="37" t="s">
        <v>380</v>
      </c>
      <c r="S421" s="37" t="s">
        <v>383</v>
      </c>
      <c r="T421" s="37">
        <v>1200</v>
      </c>
      <c r="U421" s="37">
        <v>1800</v>
      </c>
    </row>
    <row r="422" spans="1:21" ht="28.5" customHeight="1">
      <c r="A422" s="37" t="s">
        <v>3375</v>
      </c>
      <c r="B422" s="37" t="s">
        <v>258</v>
      </c>
      <c r="C422" s="37" t="s">
        <v>396</v>
      </c>
      <c r="D422" s="37">
        <v>14</v>
      </c>
      <c r="E422" s="37">
        <v>19</v>
      </c>
      <c r="F422" s="37" t="s">
        <v>36</v>
      </c>
      <c r="G422" s="37" t="s">
        <v>49</v>
      </c>
      <c r="H422" s="37"/>
      <c r="I422" s="37"/>
      <c r="J422" s="37">
        <v>1500</v>
      </c>
      <c r="K422" s="37"/>
      <c r="L422" s="37" t="s">
        <v>230</v>
      </c>
      <c r="M422" s="37" t="s">
        <v>546</v>
      </c>
      <c r="N422" s="37">
        <v>2019</v>
      </c>
      <c r="O422" s="37" t="s">
        <v>232</v>
      </c>
      <c r="P422" s="37" t="s">
        <v>3009</v>
      </c>
      <c r="Q422" s="37">
        <v>2300</v>
      </c>
      <c r="R422" s="37" t="s">
        <v>380</v>
      </c>
      <c r="S422" s="37" t="s">
        <v>383</v>
      </c>
      <c r="T422" s="37">
        <v>1500</v>
      </c>
      <c r="U422" s="37">
        <v>2300</v>
      </c>
    </row>
    <row r="423" spans="1:21" ht="28.5" customHeight="1">
      <c r="A423" s="37" t="s">
        <v>3376</v>
      </c>
      <c r="B423" s="37" t="s">
        <v>258</v>
      </c>
      <c r="C423" s="37" t="s">
        <v>40</v>
      </c>
      <c r="D423" s="37">
        <v>14</v>
      </c>
      <c r="E423" s="37">
        <v>19</v>
      </c>
      <c r="F423" s="37" t="s">
        <v>36</v>
      </c>
      <c r="G423" s="37" t="s">
        <v>49</v>
      </c>
      <c r="H423" s="37"/>
      <c r="I423" s="37"/>
      <c r="J423" s="37">
        <v>1500</v>
      </c>
      <c r="K423" s="37"/>
      <c r="L423" s="37" t="s">
        <v>230</v>
      </c>
      <c r="M423" s="37" t="s">
        <v>546</v>
      </c>
      <c r="N423" s="37">
        <v>2019</v>
      </c>
      <c r="O423" s="37" t="s">
        <v>232</v>
      </c>
      <c r="P423" s="37" t="s">
        <v>3009</v>
      </c>
      <c r="Q423" s="37">
        <v>2300</v>
      </c>
      <c r="R423" s="37" t="s">
        <v>380</v>
      </c>
      <c r="S423" s="37" t="s">
        <v>383</v>
      </c>
      <c r="T423" s="37">
        <v>1500</v>
      </c>
      <c r="U423" s="37">
        <v>2300</v>
      </c>
    </row>
    <row r="424" spans="1:21" ht="28.5" customHeight="1">
      <c r="A424" s="37" t="s">
        <v>3377</v>
      </c>
      <c r="B424" s="37" t="s">
        <v>258</v>
      </c>
      <c r="C424" s="37" t="s">
        <v>396</v>
      </c>
      <c r="D424" s="37">
        <v>19</v>
      </c>
      <c r="E424" s="37">
        <v>31</v>
      </c>
      <c r="F424" s="37" t="s">
        <v>36</v>
      </c>
      <c r="G424" s="37" t="s">
        <v>49</v>
      </c>
      <c r="H424" s="37"/>
      <c r="I424" s="37"/>
      <c r="J424" s="37">
        <v>1500</v>
      </c>
      <c r="K424" s="37"/>
      <c r="L424" s="37" t="s">
        <v>230</v>
      </c>
      <c r="M424" s="37" t="s">
        <v>546</v>
      </c>
      <c r="N424" s="37">
        <v>2019</v>
      </c>
      <c r="O424" s="37" t="s">
        <v>232</v>
      </c>
      <c r="P424" s="37" t="s">
        <v>3009</v>
      </c>
      <c r="Q424" s="37">
        <v>2300</v>
      </c>
      <c r="R424" s="37" t="s">
        <v>380</v>
      </c>
      <c r="S424" s="37" t="s">
        <v>383</v>
      </c>
      <c r="T424" s="37">
        <v>1500</v>
      </c>
      <c r="U424" s="37">
        <v>2300</v>
      </c>
    </row>
    <row r="425" spans="1:21" ht="28.5" customHeight="1">
      <c r="A425" s="37" t="s">
        <v>3378</v>
      </c>
      <c r="B425" s="37" t="s">
        <v>258</v>
      </c>
      <c r="C425" s="37" t="s">
        <v>40</v>
      </c>
      <c r="D425" s="37">
        <v>19</v>
      </c>
      <c r="E425" s="37">
        <v>31</v>
      </c>
      <c r="F425" s="37" t="s">
        <v>36</v>
      </c>
      <c r="G425" s="37" t="s">
        <v>49</v>
      </c>
      <c r="H425" s="37"/>
      <c r="I425" s="37"/>
      <c r="J425" s="37">
        <v>1500</v>
      </c>
      <c r="K425" s="37"/>
      <c r="L425" s="37" t="s">
        <v>230</v>
      </c>
      <c r="M425" s="37" t="s">
        <v>546</v>
      </c>
      <c r="N425" s="37">
        <v>2019</v>
      </c>
      <c r="O425" s="37" t="s">
        <v>232</v>
      </c>
      <c r="P425" s="37" t="s">
        <v>3009</v>
      </c>
      <c r="Q425" s="37">
        <v>2300</v>
      </c>
      <c r="R425" s="37" t="s">
        <v>380</v>
      </c>
      <c r="S425" s="37" t="s">
        <v>383</v>
      </c>
      <c r="T425" s="37">
        <v>1500</v>
      </c>
      <c r="U425" s="37">
        <v>2300</v>
      </c>
    </row>
    <row r="426" spans="1:21" ht="28.5" customHeight="1">
      <c r="A426" s="37" t="s">
        <v>3379</v>
      </c>
      <c r="B426" s="37" t="s">
        <v>258</v>
      </c>
      <c r="C426" s="37" t="s">
        <v>396</v>
      </c>
      <c r="D426" s="37">
        <v>31</v>
      </c>
      <c r="E426" s="37">
        <v>51</v>
      </c>
      <c r="F426" s="37" t="s">
        <v>36</v>
      </c>
      <c r="G426" s="37" t="s">
        <v>49</v>
      </c>
      <c r="H426" s="37"/>
      <c r="I426" s="37"/>
      <c r="J426" s="37">
        <v>1500</v>
      </c>
      <c r="K426" s="37"/>
      <c r="L426" s="37" t="s">
        <v>230</v>
      </c>
      <c r="M426" s="37" t="s">
        <v>546</v>
      </c>
      <c r="N426" s="37">
        <v>2019</v>
      </c>
      <c r="O426" s="37" t="s">
        <v>232</v>
      </c>
      <c r="P426" s="37" t="s">
        <v>3009</v>
      </c>
      <c r="Q426" s="37">
        <v>2300</v>
      </c>
      <c r="R426" s="37" t="s">
        <v>380</v>
      </c>
      <c r="S426" s="37" t="s">
        <v>383</v>
      </c>
      <c r="T426" s="37">
        <v>1500</v>
      </c>
      <c r="U426" s="37">
        <v>2300</v>
      </c>
    </row>
    <row r="427" spans="1:21" ht="28.5" customHeight="1">
      <c r="A427" s="37" t="s">
        <v>3380</v>
      </c>
      <c r="B427" s="37" t="s">
        <v>258</v>
      </c>
      <c r="C427" s="37" t="s">
        <v>40</v>
      </c>
      <c r="D427" s="37">
        <v>31</v>
      </c>
      <c r="E427" s="37">
        <v>51</v>
      </c>
      <c r="F427" s="37" t="s">
        <v>36</v>
      </c>
      <c r="G427" s="37" t="s">
        <v>49</v>
      </c>
      <c r="H427" s="37"/>
      <c r="I427" s="37"/>
      <c r="J427" s="37">
        <v>1500</v>
      </c>
      <c r="K427" s="37"/>
      <c r="L427" s="37" t="s">
        <v>230</v>
      </c>
      <c r="M427" s="37" t="s">
        <v>546</v>
      </c>
      <c r="N427" s="37">
        <v>2019</v>
      </c>
      <c r="O427" s="37" t="s">
        <v>232</v>
      </c>
      <c r="P427" s="37" t="s">
        <v>3009</v>
      </c>
      <c r="Q427" s="37">
        <v>2300</v>
      </c>
      <c r="R427" s="37" t="s">
        <v>380</v>
      </c>
      <c r="S427" s="37" t="s">
        <v>383</v>
      </c>
      <c r="T427" s="37">
        <v>1500</v>
      </c>
      <c r="U427" s="37">
        <v>2300</v>
      </c>
    </row>
    <row r="428" spans="1:21" ht="28.5" customHeight="1">
      <c r="A428" s="37" t="s">
        <v>3381</v>
      </c>
      <c r="B428" s="37" t="s">
        <v>258</v>
      </c>
      <c r="C428" s="37" t="s">
        <v>396</v>
      </c>
      <c r="D428" s="37">
        <v>51</v>
      </c>
      <c r="E428" s="37">
        <v>71</v>
      </c>
      <c r="F428" s="37" t="s">
        <v>36</v>
      </c>
      <c r="G428" s="37" t="s">
        <v>49</v>
      </c>
      <c r="H428" s="37"/>
      <c r="I428" s="37"/>
      <c r="J428" s="37">
        <v>1500</v>
      </c>
      <c r="K428" s="37"/>
      <c r="L428" s="37" t="s">
        <v>230</v>
      </c>
      <c r="M428" s="37" t="s">
        <v>546</v>
      </c>
      <c r="N428" s="37">
        <v>2019</v>
      </c>
      <c r="O428" s="37" t="s">
        <v>232</v>
      </c>
      <c r="P428" s="37" t="s">
        <v>3009</v>
      </c>
      <c r="Q428" s="37">
        <v>2300</v>
      </c>
      <c r="R428" s="37" t="s">
        <v>380</v>
      </c>
      <c r="S428" s="37" t="s">
        <v>383</v>
      </c>
      <c r="T428" s="37">
        <v>1500</v>
      </c>
      <c r="U428" s="37">
        <v>2300</v>
      </c>
    </row>
    <row r="429" spans="1:21" ht="28.5" customHeight="1">
      <c r="A429" s="37" t="s">
        <v>3382</v>
      </c>
      <c r="B429" s="37" t="s">
        <v>258</v>
      </c>
      <c r="C429" s="37" t="s">
        <v>40</v>
      </c>
      <c r="D429" s="37">
        <v>51</v>
      </c>
      <c r="E429" s="37">
        <v>71</v>
      </c>
      <c r="F429" s="37" t="s">
        <v>36</v>
      </c>
      <c r="G429" s="37" t="s">
        <v>49</v>
      </c>
      <c r="H429" s="37"/>
      <c r="I429" s="37"/>
      <c r="J429" s="37">
        <v>1500</v>
      </c>
      <c r="K429" s="37"/>
      <c r="L429" s="37" t="s">
        <v>230</v>
      </c>
      <c r="M429" s="37" t="s">
        <v>546</v>
      </c>
      <c r="N429" s="37">
        <v>2019</v>
      </c>
      <c r="O429" s="37" t="s">
        <v>232</v>
      </c>
      <c r="P429" s="37" t="s">
        <v>3009</v>
      </c>
      <c r="Q429" s="37">
        <v>2300</v>
      </c>
      <c r="R429" s="37" t="s">
        <v>380</v>
      </c>
      <c r="S429" s="37" t="s">
        <v>383</v>
      </c>
      <c r="T429" s="37">
        <v>1500</v>
      </c>
      <c r="U429" s="37">
        <v>2300</v>
      </c>
    </row>
    <row r="430" spans="1:21" ht="28.5" customHeight="1">
      <c r="A430" s="37" t="s">
        <v>3383</v>
      </c>
      <c r="B430" s="37" t="s">
        <v>258</v>
      </c>
      <c r="C430" s="37" t="s">
        <v>396</v>
      </c>
      <c r="D430" s="37">
        <v>71</v>
      </c>
      <c r="E430" s="37">
        <v>999</v>
      </c>
      <c r="F430" s="37" t="s">
        <v>36</v>
      </c>
      <c r="G430" s="37" t="s">
        <v>49</v>
      </c>
      <c r="H430" s="37"/>
      <c r="I430" s="37"/>
      <c r="J430" s="37">
        <v>1500</v>
      </c>
      <c r="K430" s="37"/>
      <c r="L430" s="37" t="s">
        <v>230</v>
      </c>
      <c r="M430" s="37" t="s">
        <v>546</v>
      </c>
      <c r="N430" s="37">
        <v>2019</v>
      </c>
      <c r="O430" s="37" t="s">
        <v>232</v>
      </c>
      <c r="P430" s="37" t="s">
        <v>3009</v>
      </c>
      <c r="Q430" s="37">
        <v>2300</v>
      </c>
      <c r="R430" s="37" t="s">
        <v>380</v>
      </c>
      <c r="S430" s="37" t="s">
        <v>383</v>
      </c>
      <c r="T430" s="37">
        <v>1500</v>
      </c>
      <c r="U430" s="37">
        <v>2300</v>
      </c>
    </row>
    <row r="431" spans="1:21" ht="28.5" customHeight="1">
      <c r="A431" s="37" t="s">
        <v>3384</v>
      </c>
      <c r="B431" s="37" t="s">
        <v>258</v>
      </c>
      <c r="C431" s="37" t="s">
        <v>40</v>
      </c>
      <c r="D431" s="37">
        <v>71</v>
      </c>
      <c r="E431" s="37">
        <v>999</v>
      </c>
      <c r="F431" s="37" t="s">
        <v>36</v>
      </c>
      <c r="G431" s="37" t="s">
        <v>49</v>
      </c>
      <c r="H431" s="37"/>
      <c r="I431" s="37"/>
      <c r="J431" s="37">
        <v>1500</v>
      </c>
      <c r="K431" s="37"/>
      <c r="L431" s="37" t="s">
        <v>230</v>
      </c>
      <c r="M431" s="37" t="s">
        <v>546</v>
      </c>
      <c r="N431" s="37">
        <v>2019</v>
      </c>
      <c r="O431" s="37" t="s">
        <v>232</v>
      </c>
      <c r="P431" s="37" t="s">
        <v>3009</v>
      </c>
      <c r="Q431" s="37">
        <v>2300</v>
      </c>
      <c r="R431" s="37" t="s">
        <v>380</v>
      </c>
      <c r="S431" s="37" t="s">
        <v>383</v>
      </c>
      <c r="T431" s="37">
        <v>1500</v>
      </c>
      <c r="U431" s="37">
        <v>2300</v>
      </c>
    </row>
    <row r="432" spans="1:21" ht="28.5" customHeight="1">
      <c r="A432" s="37" t="s">
        <v>3385</v>
      </c>
      <c r="B432" s="37" t="s">
        <v>258</v>
      </c>
      <c r="C432" s="37" t="s">
        <v>40</v>
      </c>
      <c r="D432" s="37">
        <v>14</v>
      </c>
      <c r="E432" s="37">
        <v>51</v>
      </c>
      <c r="F432" s="37" t="s">
        <v>36</v>
      </c>
      <c r="G432" s="37" t="s">
        <v>414</v>
      </c>
      <c r="H432" s="37"/>
      <c r="I432" s="37"/>
      <c r="J432" s="37">
        <v>1500</v>
      </c>
      <c r="K432" s="37"/>
      <c r="L432" s="37" t="s">
        <v>230</v>
      </c>
      <c r="M432" s="37" t="s">
        <v>546</v>
      </c>
      <c r="N432" s="37">
        <v>2019</v>
      </c>
      <c r="O432" s="37" t="s">
        <v>232</v>
      </c>
      <c r="P432" s="37" t="s">
        <v>3009</v>
      </c>
      <c r="Q432" s="37">
        <v>2300</v>
      </c>
      <c r="R432" s="37" t="s">
        <v>380</v>
      </c>
      <c r="S432" s="37" t="s">
        <v>383</v>
      </c>
      <c r="T432" s="37">
        <v>1500</v>
      </c>
      <c r="U432" s="37">
        <v>2300</v>
      </c>
    </row>
    <row r="433" spans="1:21" ht="28.5" customHeight="1">
      <c r="A433" s="37" t="s">
        <v>3386</v>
      </c>
      <c r="B433" s="37" t="s">
        <v>258</v>
      </c>
      <c r="C433" s="37" t="s">
        <v>40</v>
      </c>
      <c r="D433" s="37">
        <v>14</v>
      </c>
      <c r="E433" s="37">
        <v>51</v>
      </c>
      <c r="F433" s="37" t="s">
        <v>36</v>
      </c>
      <c r="G433" s="37" t="s">
        <v>416</v>
      </c>
      <c r="H433" s="37"/>
      <c r="I433" s="37"/>
      <c r="J433" s="37">
        <v>1500</v>
      </c>
      <c r="K433" s="37"/>
      <c r="L433" s="37" t="s">
        <v>230</v>
      </c>
      <c r="M433" s="37" t="s">
        <v>546</v>
      </c>
      <c r="N433" s="37">
        <v>2019</v>
      </c>
      <c r="O433" s="37" t="s">
        <v>232</v>
      </c>
      <c r="P433" s="37" t="s">
        <v>3009</v>
      </c>
      <c r="Q433" s="37">
        <v>2300</v>
      </c>
      <c r="R433" s="37" t="s">
        <v>380</v>
      </c>
      <c r="S433" s="37" t="s">
        <v>383</v>
      </c>
      <c r="T433" s="37">
        <v>1500</v>
      </c>
      <c r="U433" s="37">
        <v>2300</v>
      </c>
    </row>
    <row r="434" spans="1:21">
      <c r="A434" s="37" t="s">
        <v>3387</v>
      </c>
      <c r="B434" s="37" t="s">
        <v>302</v>
      </c>
      <c r="C434" s="37" t="s">
        <v>387</v>
      </c>
      <c r="D434" s="37">
        <v>0</v>
      </c>
      <c r="E434" s="37">
        <v>0.5</v>
      </c>
      <c r="F434" s="37" t="s">
        <v>36</v>
      </c>
      <c r="G434" s="37" t="s">
        <v>49</v>
      </c>
      <c r="H434" s="37"/>
      <c r="I434" s="37"/>
      <c r="J434" s="37">
        <v>5</v>
      </c>
      <c r="K434" s="37"/>
      <c r="L434" s="37" t="s">
        <v>249</v>
      </c>
      <c r="M434" s="37" t="s">
        <v>639</v>
      </c>
      <c r="N434" s="37">
        <v>1998</v>
      </c>
      <c r="O434" s="37" t="s">
        <v>673</v>
      </c>
      <c r="P434" s="37" t="s">
        <v>3388</v>
      </c>
      <c r="Q434" s="37"/>
      <c r="R434" s="37" t="s">
        <v>380</v>
      </c>
      <c r="S434" s="37"/>
      <c r="T434" s="37">
        <v>5</v>
      </c>
      <c r="U434" s="37"/>
    </row>
    <row r="435" spans="1:21">
      <c r="A435" s="37" t="s">
        <v>3389</v>
      </c>
      <c r="B435" s="37" t="s">
        <v>262</v>
      </c>
      <c r="C435" s="37" t="s">
        <v>387</v>
      </c>
      <c r="D435" s="37">
        <v>0</v>
      </c>
      <c r="E435" s="37">
        <v>0.5</v>
      </c>
      <c r="F435" s="37" t="s">
        <v>36</v>
      </c>
      <c r="G435" s="37" t="s">
        <v>49</v>
      </c>
      <c r="H435" s="37"/>
      <c r="I435" s="37"/>
      <c r="J435" s="37">
        <v>180</v>
      </c>
      <c r="K435" s="37"/>
      <c r="L435" s="37" t="s">
        <v>230</v>
      </c>
      <c r="M435" s="37" t="s">
        <v>553</v>
      </c>
      <c r="N435" s="37">
        <v>2005</v>
      </c>
      <c r="O435" s="37" t="s">
        <v>673</v>
      </c>
      <c r="P435" s="37" t="s">
        <v>3390</v>
      </c>
      <c r="Q435" s="37"/>
      <c r="R435" s="37" t="s">
        <v>380</v>
      </c>
      <c r="S435" s="37"/>
      <c r="T435" s="37">
        <v>180</v>
      </c>
      <c r="U435" s="37"/>
    </row>
    <row r="436" spans="1:21">
      <c r="A436" s="37" t="s">
        <v>3391</v>
      </c>
      <c r="B436" s="37" t="s">
        <v>302</v>
      </c>
      <c r="C436" s="37" t="s">
        <v>387</v>
      </c>
      <c r="D436" s="37">
        <v>0.5</v>
      </c>
      <c r="E436" s="37">
        <v>1</v>
      </c>
      <c r="F436" s="37" t="s">
        <v>36</v>
      </c>
      <c r="G436" s="37" t="s">
        <v>49</v>
      </c>
      <c r="H436" s="37"/>
      <c r="I436" s="37"/>
      <c r="J436" s="37">
        <v>6</v>
      </c>
      <c r="K436" s="37"/>
      <c r="L436" s="37" t="s">
        <v>249</v>
      </c>
      <c r="M436" s="37" t="s">
        <v>639</v>
      </c>
      <c r="N436" s="37">
        <v>1998</v>
      </c>
      <c r="O436" s="37" t="s">
        <v>673</v>
      </c>
      <c r="P436" s="37" t="s">
        <v>3388</v>
      </c>
      <c r="Q436" s="37"/>
      <c r="R436" s="37" t="s">
        <v>380</v>
      </c>
      <c r="S436" s="37"/>
      <c r="T436" s="37">
        <v>6</v>
      </c>
      <c r="U436" s="37"/>
    </row>
    <row r="437" spans="1:21">
      <c r="A437" s="37" t="s">
        <v>3392</v>
      </c>
      <c r="B437" s="37" t="s">
        <v>262</v>
      </c>
      <c r="C437" s="37" t="s">
        <v>387</v>
      </c>
      <c r="D437" s="37">
        <v>0.5</v>
      </c>
      <c r="E437" s="37">
        <v>1</v>
      </c>
      <c r="F437" s="37" t="s">
        <v>36</v>
      </c>
      <c r="G437" s="37" t="s">
        <v>49</v>
      </c>
      <c r="H437" s="37"/>
      <c r="I437" s="37"/>
      <c r="J437" s="37">
        <v>570</v>
      </c>
      <c r="K437" s="37"/>
      <c r="L437" s="37" t="s">
        <v>230</v>
      </c>
      <c r="M437" s="37" t="s">
        <v>553</v>
      </c>
      <c r="N437" s="37">
        <v>2005</v>
      </c>
      <c r="O437" s="37" t="s">
        <v>673</v>
      </c>
      <c r="P437" s="37" t="s">
        <v>3390</v>
      </c>
      <c r="Q437" s="37"/>
      <c r="R437" s="37" t="s">
        <v>380</v>
      </c>
      <c r="S437" s="37"/>
      <c r="T437" s="37">
        <v>570</v>
      </c>
      <c r="U437" s="37"/>
    </row>
    <row r="438" spans="1:21">
      <c r="A438" s="37" t="s">
        <v>3393</v>
      </c>
      <c r="B438" s="37" t="s">
        <v>302</v>
      </c>
      <c r="C438" s="37" t="s">
        <v>387</v>
      </c>
      <c r="D438" s="37">
        <v>1</v>
      </c>
      <c r="E438" s="37">
        <v>4</v>
      </c>
      <c r="F438" s="37" t="s">
        <v>36</v>
      </c>
      <c r="G438" s="37" t="s">
        <v>49</v>
      </c>
      <c r="H438" s="37"/>
      <c r="I438" s="37"/>
      <c r="J438" s="37">
        <v>8</v>
      </c>
      <c r="K438" s="37"/>
      <c r="L438" s="37" t="s">
        <v>249</v>
      </c>
      <c r="M438" s="37" t="s">
        <v>639</v>
      </c>
      <c r="N438" s="37">
        <v>1998</v>
      </c>
      <c r="O438" s="37" t="s">
        <v>673</v>
      </c>
      <c r="P438" s="37" t="s">
        <v>3388</v>
      </c>
      <c r="Q438" s="37"/>
      <c r="R438" s="37" t="s">
        <v>380</v>
      </c>
      <c r="S438" s="37"/>
      <c r="T438" s="37">
        <v>8</v>
      </c>
      <c r="U438" s="37"/>
    </row>
    <row r="439" spans="1:21">
      <c r="A439" s="37" t="s">
        <v>3394</v>
      </c>
      <c r="B439" s="37" t="s">
        <v>262</v>
      </c>
      <c r="C439" s="37" t="s">
        <v>387</v>
      </c>
      <c r="D439" s="37">
        <v>1</v>
      </c>
      <c r="E439" s="37">
        <v>4</v>
      </c>
      <c r="F439" s="37" t="s">
        <v>36</v>
      </c>
      <c r="G439" s="37" t="s">
        <v>49</v>
      </c>
      <c r="H439" s="37"/>
      <c r="I439" s="37"/>
      <c r="J439" s="37">
        <v>1500</v>
      </c>
      <c r="K439" s="37"/>
      <c r="L439" s="37" t="s">
        <v>230</v>
      </c>
      <c r="M439" s="37" t="s">
        <v>553</v>
      </c>
      <c r="N439" s="37">
        <v>2005</v>
      </c>
      <c r="O439" s="37" t="s">
        <v>673</v>
      </c>
      <c r="P439" s="37" t="s">
        <v>3390</v>
      </c>
      <c r="Q439" s="37"/>
      <c r="R439" s="37" t="s">
        <v>380</v>
      </c>
      <c r="S439" s="37"/>
      <c r="T439" s="37">
        <v>1500</v>
      </c>
      <c r="U439" s="37"/>
    </row>
    <row r="440" spans="1:21">
      <c r="A440" s="37" t="s">
        <v>3395</v>
      </c>
      <c r="B440" s="37" t="s">
        <v>302</v>
      </c>
      <c r="C440" s="37" t="s">
        <v>387</v>
      </c>
      <c r="D440" s="37">
        <v>4</v>
      </c>
      <c r="E440" s="37">
        <v>9</v>
      </c>
      <c r="F440" s="37" t="s">
        <v>36</v>
      </c>
      <c r="G440" s="37" t="s">
        <v>49</v>
      </c>
      <c r="H440" s="37"/>
      <c r="I440" s="37"/>
      <c r="J440" s="37">
        <v>12</v>
      </c>
      <c r="K440" s="37"/>
      <c r="L440" s="37" t="s">
        <v>249</v>
      </c>
      <c r="M440" s="37" t="s">
        <v>639</v>
      </c>
      <c r="N440" s="37">
        <v>1998</v>
      </c>
      <c r="O440" s="37" t="s">
        <v>673</v>
      </c>
      <c r="P440" s="37" t="s">
        <v>3388</v>
      </c>
      <c r="Q440" s="37"/>
      <c r="R440" s="37" t="s">
        <v>380</v>
      </c>
      <c r="S440" s="37"/>
      <c r="T440" s="37">
        <v>12</v>
      </c>
      <c r="U440" s="37"/>
    </row>
    <row r="441" spans="1:21">
      <c r="A441" s="37" t="s">
        <v>3396</v>
      </c>
      <c r="B441" s="37" t="s">
        <v>262</v>
      </c>
      <c r="C441" s="37" t="s">
        <v>387</v>
      </c>
      <c r="D441" s="37">
        <v>4</v>
      </c>
      <c r="E441" s="37">
        <v>9</v>
      </c>
      <c r="F441" s="37" t="s">
        <v>36</v>
      </c>
      <c r="G441" s="37" t="s">
        <v>49</v>
      </c>
      <c r="H441" s="37"/>
      <c r="I441" s="37"/>
      <c r="J441" s="37">
        <v>1900</v>
      </c>
      <c r="K441" s="37"/>
      <c r="L441" s="37" t="s">
        <v>230</v>
      </c>
      <c r="M441" s="37" t="s">
        <v>553</v>
      </c>
      <c r="N441" s="37">
        <v>2005</v>
      </c>
      <c r="O441" s="37" t="s">
        <v>673</v>
      </c>
      <c r="P441" s="37" t="s">
        <v>3390</v>
      </c>
      <c r="Q441" s="37"/>
      <c r="R441" s="37" t="s">
        <v>380</v>
      </c>
      <c r="S441" s="37"/>
      <c r="T441" s="37">
        <v>1900</v>
      </c>
      <c r="U441" s="37"/>
    </row>
    <row r="442" spans="1:21">
      <c r="A442" s="37" t="s">
        <v>3397</v>
      </c>
      <c r="B442" s="37" t="s">
        <v>302</v>
      </c>
      <c r="C442" s="37" t="s">
        <v>396</v>
      </c>
      <c r="D442" s="37">
        <v>9</v>
      </c>
      <c r="E442" s="37">
        <v>14</v>
      </c>
      <c r="F442" s="37" t="s">
        <v>36</v>
      </c>
      <c r="G442" s="37" t="s">
        <v>49</v>
      </c>
      <c r="H442" s="37"/>
      <c r="I442" s="37"/>
      <c r="J442" s="37">
        <v>20</v>
      </c>
      <c r="K442" s="37"/>
      <c r="L442" s="37" t="s">
        <v>249</v>
      </c>
      <c r="M442" s="37" t="s">
        <v>639</v>
      </c>
      <c r="N442" s="37">
        <v>1998</v>
      </c>
      <c r="O442" s="37" t="s">
        <v>673</v>
      </c>
      <c r="P442" s="37" t="s">
        <v>3388</v>
      </c>
      <c r="Q442" s="37"/>
      <c r="R442" s="37" t="s">
        <v>380</v>
      </c>
      <c r="S442" s="37"/>
      <c r="T442" s="37">
        <v>20</v>
      </c>
      <c r="U442" s="37"/>
    </row>
    <row r="443" spans="1:21">
      <c r="A443" s="37" t="s">
        <v>3398</v>
      </c>
      <c r="B443" s="37" t="s">
        <v>262</v>
      </c>
      <c r="C443" s="37" t="s">
        <v>396</v>
      </c>
      <c r="D443" s="37">
        <v>9</v>
      </c>
      <c r="E443" s="37">
        <v>14</v>
      </c>
      <c r="F443" s="37" t="s">
        <v>36</v>
      </c>
      <c r="G443" s="37" t="s">
        <v>49</v>
      </c>
      <c r="H443" s="37"/>
      <c r="I443" s="37"/>
      <c r="J443" s="37">
        <v>2300</v>
      </c>
      <c r="K443" s="37"/>
      <c r="L443" s="37" t="s">
        <v>230</v>
      </c>
      <c r="M443" s="37" t="s">
        <v>553</v>
      </c>
      <c r="N443" s="37">
        <v>2005</v>
      </c>
      <c r="O443" s="37" t="s">
        <v>673</v>
      </c>
      <c r="P443" s="37" t="s">
        <v>3390</v>
      </c>
      <c r="Q443" s="37"/>
      <c r="R443" s="37" t="s">
        <v>380</v>
      </c>
      <c r="S443" s="37"/>
      <c r="T443" s="37">
        <v>2300</v>
      </c>
      <c r="U443" s="37"/>
    </row>
    <row r="444" spans="1:21">
      <c r="A444" s="37" t="s">
        <v>3399</v>
      </c>
      <c r="B444" s="37" t="s">
        <v>302</v>
      </c>
      <c r="C444" s="37" t="s">
        <v>40</v>
      </c>
      <c r="D444" s="37">
        <v>9</v>
      </c>
      <c r="E444" s="37">
        <v>14</v>
      </c>
      <c r="F444" s="37" t="s">
        <v>36</v>
      </c>
      <c r="G444" s="37" t="s">
        <v>49</v>
      </c>
      <c r="H444" s="37"/>
      <c r="I444" s="37"/>
      <c r="J444" s="37">
        <v>20</v>
      </c>
      <c r="K444" s="37"/>
      <c r="L444" s="37" t="s">
        <v>249</v>
      </c>
      <c r="M444" s="37" t="s">
        <v>639</v>
      </c>
      <c r="N444" s="37">
        <v>1998</v>
      </c>
      <c r="O444" s="37" t="s">
        <v>673</v>
      </c>
      <c r="P444" s="37" t="s">
        <v>3388</v>
      </c>
      <c r="Q444" s="37"/>
      <c r="R444" s="37" t="s">
        <v>380</v>
      </c>
      <c r="S444" s="37"/>
      <c r="T444" s="37">
        <v>20</v>
      </c>
      <c r="U444" s="37"/>
    </row>
    <row r="445" spans="1:21">
      <c r="A445" s="37" t="s">
        <v>3400</v>
      </c>
      <c r="B445" s="37" t="s">
        <v>262</v>
      </c>
      <c r="C445" s="37" t="s">
        <v>40</v>
      </c>
      <c r="D445" s="37">
        <v>9</v>
      </c>
      <c r="E445" s="37">
        <v>14</v>
      </c>
      <c r="F445" s="37" t="s">
        <v>36</v>
      </c>
      <c r="G445" s="37" t="s">
        <v>49</v>
      </c>
      <c r="H445" s="37"/>
      <c r="I445" s="37"/>
      <c r="J445" s="37">
        <v>2300</v>
      </c>
      <c r="K445" s="37"/>
      <c r="L445" s="37" t="s">
        <v>230</v>
      </c>
      <c r="M445" s="37" t="s">
        <v>553</v>
      </c>
      <c r="N445" s="37">
        <v>2005</v>
      </c>
      <c r="O445" s="37" t="s">
        <v>673</v>
      </c>
      <c r="P445" s="37" t="s">
        <v>3390</v>
      </c>
      <c r="Q445" s="37"/>
      <c r="R445" s="37" t="s">
        <v>380</v>
      </c>
      <c r="S445" s="37"/>
      <c r="T445" s="37">
        <v>2300</v>
      </c>
      <c r="U445" s="37"/>
    </row>
    <row r="446" spans="1:21">
      <c r="A446" s="37" t="s">
        <v>3401</v>
      </c>
      <c r="B446" s="37" t="s">
        <v>302</v>
      </c>
      <c r="C446" s="37" t="s">
        <v>396</v>
      </c>
      <c r="D446" s="37">
        <v>14</v>
      </c>
      <c r="E446" s="37">
        <v>19</v>
      </c>
      <c r="F446" s="37" t="s">
        <v>36</v>
      </c>
      <c r="G446" s="37" t="s">
        <v>49</v>
      </c>
      <c r="H446" s="37"/>
      <c r="I446" s="37"/>
      <c r="J446" s="37">
        <v>25</v>
      </c>
      <c r="K446" s="37"/>
      <c r="L446" s="37" t="s">
        <v>249</v>
      </c>
      <c r="M446" s="37" t="s">
        <v>639</v>
      </c>
      <c r="N446" s="37">
        <v>1998</v>
      </c>
      <c r="O446" s="37" t="s">
        <v>673</v>
      </c>
      <c r="P446" s="37" t="s">
        <v>3388</v>
      </c>
      <c r="Q446" s="37"/>
      <c r="R446" s="37" t="s">
        <v>380</v>
      </c>
      <c r="S446" s="37"/>
      <c r="T446" s="37">
        <v>25</v>
      </c>
      <c r="U446" s="37"/>
    </row>
    <row r="447" spans="1:21">
      <c r="A447" s="37" t="s">
        <v>3402</v>
      </c>
      <c r="B447" s="37" t="s">
        <v>262</v>
      </c>
      <c r="C447" s="37" t="s">
        <v>396</v>
      </c>
      <c r="D447" s="37">
        <v>14</v>
      </c>
      <c r="E447" s="37">
        <v>19</v>
      </c>
      <c r="F447" s="37" t="s">
        <v>36</v>
      </c>
      <c r="G447" s="37" t="s">
        <v>49</v>
      </c>
      <c r="H447" s="37"/>
      <c r="I447" s="37"/>
      <c r="J447" s="37">
        <v>2300</v>
      </c>
      <c r="K447" s="37"/>
      <c r="L447" s="37" t="s">
        <v>230</v>
      </c>
      <c r="M447" s="37" t="s">
        <v>553</v>
      </c>
      <c r="N447" s="37">
        <v>2005</v>
      </c>
      <c r="O447" s="37" t="s">
        <v>673</v>
      </c>
      <c r="P447" s="37" t="s">
        <v>3390</v>
      </c>
      <c r="Q447" s="37"/>
      <c r="R447" s="37" t="s">
        <v>380</v>
      </c>
      <c r="S447" s="37"/>
      <c r="T447" s="37">
        <v>2300</v>
      </c>
      <c r="U447" s="37"/>
    </row>
    <row r="448" spans="1:21">
      <c r="A448" s="37" t="s">
        <v>3403</v>
      </c>
      <c r="B448" s="37" t="s">
        <v>302</v>
      </c>
      <c r="C448" s="37" t="s">
        <v>40</v>
      </c>
      <c r="D448" s="37">
        <v>14</v>
      </c>
      <c r="E448" s="37">
        <v>19</v>
      </c>
      <c r="F448" s="37" t="s">
        <v>36</v>
      </c>
      <c r="G448" s="37" t="s">
        <v>49</v>
      </c>
      <c r="H448" s="37"/>
      <c r="I448" s="37"/>
      <c r="J448" s="37">
        <v>25</v>
      </c>
      <c r="K448" s="37"/>
      <c r="L448" s="37" t="s">
        <v>249</v>
      </c>
      <c r="M448" s="37" t="s">
        <v>639</v>
      </c>
      <c r="N448" s="37">
        <v>1998</v>
      </c>
      <c r="O448" s="37" t="s">
        <v>673</v>
      </c>
      <c r="P448" s="37" t="s">
        <v>3388</v>
      </c>
      <c r="Q448" s="37"/>
      <c r="R448" s="37" t="s">
        <v>380</v>
      </c>
      <c r="S448" s="37"/>
      <c r="T448" s="37">
        <v>25</v>
      </c>
      <c r="U448" s="37"/>
    </row>
    <row r="449" spans="1:21">
      <c r="A449" s="37" t="s">
        <v>3404</v>
      </c>
      <c r="B449" s="37" t="s">
        <v>262</v>
      </c>
      <c r="C449" s="37" t="s">
        <v>40</v>
      </c>
      <c r="D449" s="37">
        <v>14</v>
      </c>
      <c r="E449" s="37">
        <v>19</v>
      </c>
      <c r="F449" s="37" t="s">
        <v>36</v>
      </c>
      <c r="G449" s="37" t="s">
        <v>49</v>
      </c>
      <c r="H449" s="37"/>
      <c r="I449" s="37"/>
      <c r="J449" s="37">
        <v>2300</v>
      </c>
      <c r="K449" s="37"/>
      <c r="L449" s="37" t="s">
        <v>230</v>
      </c>
      <c r="M449" s="37" t="s">
        <v>553</v>
      </c>
      <c r="N449" s="37">
        <v>2005</v>
      </c>
      <c r="O449" s="37" t="s">
        <v>673</v>
      </c>
      <c r="P449" s="37" t="s">
        <v>3390</v>
      </c>
      <c r="Q449" s="37"/>
      <c r="R449" s="37" t="s">
        <v>380</v>
      </c>
      <c r="S449" s="37"/>
      <c r="T449" s="37">
        <v>2300</v>
      </c>
      <c r="U449" s="37"/>
    </row>
    <row r="450" spans="1:21">
      <c r="A450" s="37" t="s">
        <v>3405</v>
      </c>
      <c r="B450" s="37" t="s">
        <v>302</v>
      </c>
      <c r="C450" s="37" t="s">
        <v>396</v>
      </c>
      <c r="D450" s="37">
        <v>19</v>
      </c>
      <c r="E450" s="37">
        <v>31</v>
      </c>
      <c r="F450" s="37" t="s">
        <v>36</v>
      </c>
      <c r="G450" s="37" t="s">
        <v>49</v>
      </c>
      <c r="H450" s="37"/>
      <c r="I450" s="37"/>
      <c r="J450" s="37">
        <v>30</v>
      </c>
      <c r="K450" s="37"/>
      <c r="L450" s="37" t="s">
        <v>249</v>
      </c>
      <c r="M450" s="37" t="s">
        <v>639</v>
      </c>
      <c r="N450" s="37">
        <v>1998</v>
      </c>
      <c r="O450" s="37" t="s">
        <v>673</v>
      </c>
      <c r="P450" s="37" t="s">
        <v>3388</v>
      </c>
      <c r="Q450" s="37"/>
      <c r="R450" s="37" t="s">
        <v>380</v>
      </c>
      <c r="S450" s="37"/>
      <c r="T450" s="37">
        <v>30</v>
      </c>
      <c r="U450" s="37"/>
    </row>
    <row r="451" spans="1:21">
      <c r="A451" s="37" t="s">
        <v>3406</v>
      </c>
      <c r="B451" s="37" t="s">
        <v>262</v>
      </c>
      <c r="C451" s="37" t="s">
        <v>396</v>
      </c>
      <c r="D451" s="37">
        <v>19</v>
      </c>
      <c r="E451" s="37">
        <v>31</v>
      </c>
      <c r="F451" s="37" t="s">
        <v>36</v>
      </c>
      <c r="G451" s="37" t="s">
        <v>49</v>
      </c>
      <c r="H451" s="37"/>
      <c r="I451" s="37"/>
      <c r="J451" s="37">
        <v>2300</v>
      </c>
      <c r="K451" s="37"/>
      <c r="L451" s="37" t="s">
        <v>230</v>
      </c>
      <c r="M451" s="37" t="s">
        <v>553</v>
      </c>
      <c r="N451" s="37">
        <v>2005</v>
      </c>
      <c r="O451" s="37" t="s">
        <v>673</v>
      </c>
      <c r="P451" s="37" t="s">
        <v>3390</v>
      </c>
      <c r="Q451" s="37"/>
      <c r="R451" s="37" t="s">
        <v>380</v>
      </c>
      <c r="S451" s="37"/>
      <c r="T451" s="37">
        <v>2300</v>
      </c>
      <c r="U451" s="37"/>
    </row>
    <row r="452" spans="1:21">
      <c r="A452" s="37" t="s">
        <v>3407</v>
      </c>
      <c r="B452" s="37" t="s">
        <v>302</v>
      </c>
      <c r="C452" s="37" t="s">
        <v>40</v>
      </c>
      <c r="D452" s="37">
        <v>19</v>
      </c>
      <c r="E452" s="37">
        <v>31</v>
      </c>
      <c r="F452" s="37" t="s">
        <v>36</v>
      </c>
      <c r="G452" s="37" t="s">
        <v>49</v>
      </c>
      <c r="H452" s="37"/>
      <c r="I452" s="37"/>
      <c r="J452" s="37">
        <v>30</v>
      </c>
      <c r="K452" s="37"/>
      <c r="L452" s="37" t="s">
        <v>249</v>
      </c>
      <c r="M452" s="37" t="s">
        <v>639</v>
      </c>
      <c r="N452" s="37">
        <v>1998</v>
      </c>
      <c r="O452" s="37" t="s">
        <v>673</v>
      </c>
      <c r="P452" s="37" t="s">
        <v>3388</v>
      </c>
      <c r="Q452" s="37"/>
      <c r="R452" s="37" t="s">
        <v>380</v>
      </c>
      <c r="S452" s="37"/>
      <c r="T452" s="37">
        <v>30</v>
      </c>
      <c r="U452" s="37"/>
    </row>
    <row r="453" spans="1:21">
      <c r="A453" s="37" t="s">
        <v>3408</v>
      </c>
      <c r="B453" s="37" t="s">
        <v>262</v>
      </c>
      <c r="C453" s="37" t="s">
        <v>40</v>
      </c>
      <c r="D453" s="37">
        <v>19</v>
      </c>
      <c r="E453" s="37">
        <v>31</v>
      </c>
      <c r="F453" s="37" t="s">
        <v>36</v>
      </c>
      <c r="G453" s="37" t="s">
        <v>49</v>
      </c>
      <c r="H453" s="37"/>
      <c r="I453" s="37"/>
      <c r="J453" s="37">
        <v>2300</v>
      </c>
      <c r="K453" s="37"/>
      <c r="L453" s="37" t="s">
        <v>230</v>
      </c>
      <c r="M453" s="37" t="s">
        <v>553</v>
      </c>
      <c r="N453" s="37">
        <v>2005</v>
      </c>
      <c r="O453" s="37" t="s">
        <v>673</v>
      </c>
      <c r="P453" s="37" t="s">
        <v>3390</v>
      </c>
      <c r="Q453" s="37"/>
      <c r="R453" s="37" t="s">
        <v>380</v>
      </c>
      <c r="S453" s="37"/>
      <c r="T453" s="37">
        <v>2300</v>
      </c>
      <c r="U453" s="37"/>
    </row>
    <row r="454" spans="1:21">
      <c r="A454" s="37" t="s">
        <v>3409</v>
      </c>
      <c r="B454" s="37" t="s">
        <v>302</v>
      </c>
      <c r="C454" s="37" t="s">
        <v>396</v>
      </c>
      <c r="D454" s="37">
        <v>31</v>
      </c>
      <c r="E454" s="37">
        <v>51</v>
      </c>
      <c r="F454" s="37" t="s">
        <v>36</v>
      </c>
      <c r="G454" s="37" t="s">
        <v>49</v>
      </c>
      <c r="H454" s="37"/>
      <c r="I454" s="37"/>
      <c r="J454" s="37">
        <v>30</v>
      </c>
      <c r="K454" s="37"/>
      <c r="L454" s="37" t="s">
        <v>249</v>
      </c>
      <c r="M454" s="37" t="s">
        <v>639</v>
      </c>
      <c r="N454" s="37">
        <v>1998</v>
      </c>
      <c r="O454" s="37" t="s">
        <v>673</v>
      </c>
      <c r="P454" s="37" t="s">
        <v>3388</v>
      </c>
      <c r="Q454" s="37"/>
      <c r="R454" s="37" t="s">
        <v>380</v>
      </c>
      <c r="S454" s="37"/>
      <c r="T454" s="37">
        <v>30</v>
      </c>
      <c r="U454" s="37"/>
    </row>
    <row r="455" spans="1:21">
      <c r="A455" s="37" t="s">
        <v>3410</v>
      </c>
      <c r="B455" s="37" t="s">
        <v>262</v>
      </c>
      <c r="C455" s="37" t="s">
        <v>396</v>
      </c>
      <c r="D455" s="37">
        <v>31</v>
      </c>
      <c r="E455" s="37">
        <v>51</v>
      </c>
      <c r="F455" s="37" t="s">
        <v>36</v>
      </c>
      <c r="G455" s="37" t="s">
        <v>49</v>
      </c>
      <c r="H455" s="37"/>
      <c r="I455" s="37"/>
      <c r="J455" s="37">
        <v>2300</v>
      </c>
      <c r="K455" s="37"/>
      <c r="L455" s="37" t="s">
        <v>230</v>
      </c>
      <c r="M455" s="37" t="s">
        <v>553</v>
      </c>
      <c r="N455" s="37">
        <v>2005</v>
      </c>
      <c r="O455" s="37" t="s">
        <v>673</v>
      </c>
      <c r="P455" s="37" t="s">
        <v>3390</v>
      </c>
      <c r="Q455" s="37"/>
      <c r="R455" s="37" t="s">
        <v>380</v>
      </c>
      <c r="S455" s="37"/>
      <c r="T455" s="37">
        <v>2300</v>
      </c>
      <c r="U455" s="37"/>
    </row>
    <row r="456" spans="1:21">
      <c r="A456" s="37" t="s">
        <v>3411</v>
      </c>
      <c r="B456" s="37" t="s">
        <v>302</v>
      </c>
      <c r="C456" s="37" t="s">
        <v>40</v>
      </c>
      <c r="D456" s="37">
        <v>31</v>
      </c>
      <c r="E456" s="37">
        <v>51</v>
      </c>
      <c r="F456" s="37" t="s">
        <v>36</v>
      </c>
      <c r="G456" s="37" t="s">
        <v>49</v>
      </c>
      <c r="H456" s="37"/>
      <c r="I456" s="37"/>
      <c r="J456" s="37">
        <v>30</v>
      </c>
      <c r="K456" s="37"/>
      <c r="L456" s="37" t="s">
        <v>249</v>
      </c>
      <c r="M456" s="37" t="s">
        <v>639</v>
      </c>
      <c r="N456" s="37">
        <v>1998</v>
      </c>
      <c r="O456" s="37" t="s">
        <v>673</v>
      </c>
      <c r="P456" s="37" t="s">
        <v>3388</v>
      </c>
      <c r="Q456" s="37"/>
      <c r="R456" s="37" t="s">
        <v>380</v>
      </c>
      <c r="S456" s="37"/>
      <c r="T456" s="37">
        <v>30</v>
      </c>
      <c r="U456" s="37"/>
    </row>
    <row r="457" spans="1:21">
      <c r="A457" s="37" t="s">
        <v>3412</v>
      </c>
      <c r="B457" s="37" t="s">
        <v>262</v>
      </c>
      <c r="C457" s="37" t="s">
        <v>40</v>
      </c>
      <c r="D457" s="37">
        <v>31</v>
      </c>
      <c r="E457" s="37">
        <v>51</v>
      </c>
      <c r="F457" s="37" t="s">
        <v>36</v>
      </c>
      <c r="G457" s="37" t="s">
        <v>49</v>
      </c>
      <c r="H457" s="37"/>
      <c r="I457" s="37"/>
      <c r="J457" s="37">
        <v>2300</v>
      </c>
      <c r="K457" s="37"/>
      <c r="L457" s="37" t="s">
        <v>230</v>
      </c>
      <c r="M457" s="37" t="s">
        <v>553</v>
      </c>
      <c r="N457" s="37">
        <v>2005</v>
      </c>
      <c r="O457" s="37" t="s">
        <v>673</v>
      </c>
      <c r="P457" s="37" t="s">
        <v>3390</v>
      </c>
      <c r="Q457" s="37"/>
      <c r="R457" s="37" t="s">
        <v>380</v>
      </c>
      <c r="S457" s="37"/>
      <c r="T457" s="37">
        <v>2300</v>
      </c>
      <c r="U457" s="37"/>
    </row>
    <row r="458" spans="1:21">
      <c r="A458" s="37" t="s">
        <v>3413</v>
      </c>
      <c r="B458" s="37" t="s">
        <v>302</v>
      </c>
      <c r="C458" s="37" t="s">
        <v>396</v>
      </c>
      <c r="D458" s="37">
        <v>51</v>
      </c>
      <c r="E458" s="37">
        <v>71</v>
      </c>
      <c r="F458" s="37" t="s">
        <v>36</v>
      </c>
      <c r="G458" s="37" t="s">
        <v>49</v>
      </c>
      <c r="H458" s="37"/>
      <c r="I458" s="37"/>
      <c r="J458" s="37">
        <v>30</v>
      </c>
      <c r="K458" s="37"/>
      <c r="L458" s="37" t="s">
        <v>249</v>
      </c>
      <c r="M458" s="37" t="s">
        <v>639</v>
      </c>
      <c r="N458" s="37">
        <v>1998</v>
      </c>
      <c r="O458" s="37" t="s">
        <v>673</v>
      </c>
      <c r="P458" s="37" t="s">
        <v>3388</v>
      </c>
      <c r="Q458" s="37"/>
      <c r="R458" s="37" t="s">
        <v>380</v>
      </c>
      <c r="S458" s="37"/>
      <c r="T458" s="37">
        <v>30</v>
      </c>
      <c r="U458" s="37"/>
    </row>
    <row r="459" spans="1:21">
      <c r="A459" s="37" t="s">
        <v>3414</v>
      </c>
      <c r="B459" s="37" t="s">
        <v>262</v>
      </c>
      <c r="C459" s="37" t="s">
        <v>396</v>
      </c>
      <c r="D459" s="37">
        <v>51</v>
      </c>
      <c r="E459" s="37">
        <v>71</v>
      </c>
      <c r="F459" s="37" t="s">
        <v>36</v>
      </c>
      <c r="G459" s="37" t="s">
        <v>49</v>
      </c>
      <c r="H459" s="37"/>
      <c r="I459" s="37"/>
      <c r="J459" s="37">
        <v>2000</v>
      </c>
      <c r="K459" s="37"/>
      <c r="L459" s="37" t="s">
        <v>230</v>
      </c>
      <c r="M459" s="37" t="s">
        <v>553</v>
      </c>
      <c r="N459" s="37">
        <v>2005</v>
      </c>
      <c r="O459" s="37" t="s">
        <v>673</v>
      </c>
      <c r="P459" s="37" t="s">
        <v>3390</v>
      </c>
      <c r="Q459" s="37"/>
      <c r="R459" s="37" t="s">
        <v>380</v>
      </c>
      <c r="S459" s="37"/>
      <c r="T459" s="37">
        <v>2000</v>
      </c>
      <c r="U459" s="37"/>
    </row>
    <row r="460" spans="1:21">
      <c r="A460" s="37" t="s">
        <v>3415</v>
      </c>
      <c r="B460" s="37" t="s">
        <v>302</v>
      </c>
      <c r="C460" s="37" t="s">
        <v>40</v>
      </c>
      <c r="D460" s="37">
        <v>51</v>
      </c>
      <c r="E460" s="37">
        <v>71</v>
      </c>
      <c r="F460" s="37" t="s">
        <v>36</v>
      </c>
      <c r="G460" s="37" t="s">
        <v>49</v>
      </c>
      <c r="H460" s="37"/>
      <c r="I460" s="37"/>
      <c r="J460" s="37">
        <v>30</v>
      </c>
      <c r="K460" s="37"/>
      <c r="L460" s="37" t="s">
        <v>249</v>
      </c>
      <c r="M460" s="37" t="s">
        <v>639</v>
      </c>
      <c r="N460" s="37">
        <v>1998</v>
      </c>
      <c r="O460" s="37" t="s">
        <v>673</v>
      </c>
      <c r="P460" s="37" t="s">
        <v>3388</v>
      </c>
      <c r="Q460" s="37"/>
      <c r="R460" s="37" t="s">
        <v>380</v>
      </c>
      <c r="S460" s="37"/>
      <c r="T460" s="37">
        <v>30</v>
      </c>
      <c r="U460" s="37"/>
    </row>
    <row r="461" spans="1:21">
      <c r="A461" s="37" t="s">
        <v>3416</v>
      </c>
      <c r="B461" s="37" t="s">
        <v>262</v>
      </c>
      <c r="C461" s="37" t="s">
        <v>40</v>
      </c>
      <c r="D461" s="37">
        <v>51</v>
      </c>
      <c r="E461" s="37">
        <v>71</v>
      </c>
      <c r="F461" s="37" t="s">
        <v>36</v>
      </c>
      <c r="G461" s="37" t="s">
        <v>49</v>
      </c>
      <c r="H461" s="37"/>
      <c r="I461" s="37"/>
      <c r="J461" s="37">
        <v>2000</v>
      </c>
      <c r="K461" s="37"/>
      <c r="L461" s="37" t="s">
        <v>230</v>
      </c>
      <c r="M461" s="37" t="s">
        <v>553</v>
      </c>
      <c r="N461" s="37">
        <v>2005</v>
      </c>
      <c r="O461" s="37" t="s">
        <v>673</v>
      </c>
      <c r="P461" s="37" t="s">
        <v>3390</v>
      </c>
      <c r="Q461" s="37"/>
      <c r="R461" s="37" t="s">
        <v>380</v>
      </c>
      <c r="S461" s="37"/>
      <c r="T461" s="37">
        <v>2000</v>
      </c>
      <c r="U461" s="37"/>
    </row>
    <row r="462" spans="1:21">
      <c r="A462" s="37" t="s">
        <v>3417</v>
      </c>
      <c r="B462" s="37" t="s">
        <v>302</v>
      </c>
      <c r="C462" s="37" t="s">
        <v>396</v>
      </c>
      <c r="D462" s="37">
        <v>71</v>
      </c>
      <c r="E462" s="37">
        <v>999</v>
      </c>
      <c r="F462" s="37" t="s">
        <v>36</v>
      </c>
      <c r="G462" s="37" t="s">
        <v>49</v>
      </c>
      <c r="H462" s="37"/>
      <c r="I462" s="37"/>
      <c r="J462" s="37">
        <v>30</v>
      </c>
      <c r="K462" s="37"/>
      <c r="L462" s="37" t="s">
        <v>249</v>
      </c>
      <c r="M462" s="37" t="s">
        <v>639</v>
      </c>
      <c r="N462" s="37">
        <v>1998</v>
      </c>
      <c r="O462" s="37" t="s">
        <v>673</v>
      </c>
      <c r="P462" s="37" t="s">
        <v>3388</v>
      </c>
      <c r="Q462" s="37"/>
      <c r="R462" s="37" t="s">
        <v>380</v>
      </c>
      <c r="S462" s="37"/>
      <c r="T462" s="37">
        <v>30</v>
      </c>
      <c r="U462" s="37"/>
    </row>
    <row r="463" spans="1:21">
      <c r="A463" s="37" t="s">
        <v>3418</v>
      </c>
      <c r="B463" s="37" t="s">
        <v>262</v>
      </c>
      <c r="C463" s="37" t="s">
        <v>396</v>
      </c>
      <c r="D463" s="37">
        <v>71</v>
      </c>
      <c r="E463" s="37">
        <v>999</v>
      </c>
      <c r="F463" s="37" t="s">
        <v>36</v>
      </c>
      <c r="G463" s="37" t="s">
        <v>49</v>
      </c>
      <c r="H463" s="37"/>
      <c r="I463" s="37"/>
      <c r="J463" s="37">
        <v>1800</v>
      </c>
      <c r="K463" s="37"/>
      <c r="L463" s="37" t="s">
        <v>230</v>
      </c>
      <c r="M463" s="37" t="s">
        <v>553</v>
      </c>
      <c r="N463" s="37">
        <v>2005</v>
      </c>
      <c r="O463" s="37" t="s">
        <v>673</v>
      </c>
      <c r="P463" s="37" t="s">
        <v>3390</v>
      </c>
      <c r="Q463" s="37"/>
      <c r="R463" s="37" t="s">
        <v>380</v>
      </c>
      <c r="S463" s="37"/>
      <c r="T463" s="37">
        <v>1800</v>
      </c>
      <c r="U463" s="37"/>
    </row>
    <row r="464" spans="1:21">
      <c r="A464" s="37" t="s">
        <v>3419</v>
      </c>
      <c r="B464" s="37" t="s">
        <v>302</v>
      </c>
      <c r="C464" s="37" t="s">
        <v>40</v>
      </c>
      <c r="D464" s="37">
        <v>71</v>
      </c>
      <c r="E464" s="37">
        <v>999</v>
      </c>
      <c r="F464" s="37" t="s">
        <v>36</v>
      </c>
      <c r="G464" s="37" t="s">
        <v>49</v>
      </c>
      <c r="H464" s="37"/>
      <c r="I464" s="37"/>
      <c r="J464" s="37">
        <v>30</v>
      </c>
      <c r="K464" s="37"/>
      <c r="L464" s="37" t="s">
        <v>249</v>
      </c>
      <c r="M464" s="37" t="s">
        <v>639</v>
      </c>
      <c r="N464" s="37">
        <v>1998</v>
      </c>
      <c r="O464" s="37" t="s">
        <v>673</v>
      </c>
      <c r="P464" s="37" t="s">
        <v>3388</v>
      </c>
      <c r="Q464" s="37"/>
      <c r="R464" s="37" t="s">
        <v>380</v>
      </c>
      <c r="S464" s="37"/>
      <c r="T464" s="37">
        <v>30</v>
      </c>
      <c r="U464" s="37"/>
    </row>
    <row r="465" spans="1:21">
      <c r="A465" s="37" t="s">
        <v>3420</v>
      </c>
      <c r="B465" s="37" t="s">
        <v>262</v>
      </c>
      <c r="C465" s="37" t="s">
        <v>40</v>
      </c>
      <c r="D465" s="37">
        <v>71</v>
      </c>
      <c r="E465" s="37">
        <v>999</v>
      </c>
      <c r="F465" s="37" t="s">
        <v>36</v>
      </c>
      <c r="G465" s="37" t="s">
        <v>49</v>
      </c>
      <c r="H465" s="37"/>
      <c r="I465" s="37"/>
      <c r="J465" s="37">
        <v>1800</v>
      </c>
      <c r="K465" s="37"/>
      <c r="L465" s="37" t="s">
        <v>230</v>
      </c>
      <c r="M465" s="37" t="s">
        <v>553</v>
      </c>
      <c r="N465" s="37">
        <v>2005</v>
      </c>
      <c r="O465" s="37" t="s">
        <v>673</v>
      </c>
      <c r="P465" s="37" t="s">
        <v>3390</v>
      </c>
      <c r="Q465" s="37"/>
      <c r="R465" s="37" t="s">
        <v>380</v>
      </c>
      <c r="S465" s="37"/>
      <c r="T465" s="37">
        <v>1800</v>
      </c>
      <c r="U465" s="37"/>
    </row>
    <row r="466" spans="1:21">
      <c r="A466" s="37" t="s">
        <v>3421</v>
      </c>
      <c r="B466" s="37" t="s">
        <v>302</v>
      </c>
      <c r="C466" s="37" t="s">
        <v>40</v>
      </c>
      <c r="D466" s="37">
        <v>14</v>
      </c>
      <c r="E466" s="37">
        <v>51</v>
      </c>
      <c r="F466" s="37" t="s">
        <v>36</v>
      </c>
      <c r="G466" s="37" t="s">
        <v>414</v>
      </c>
      <c r="H466" s="37"/>
      <c r="I466" s="37"/>
      <c r="J466" s="37">
        <v>30</v>
      </c>
      <c r="K466" s="37"/>
      <c r="L466" s="37" t="s">
        <v>249</v>
      </c>
      <c r="M466" s="37" t="s">
        <v>639</v>
      </c>
      <c r="N466" s="37">
        <v>1998</v>
      </c>
      <c r="O466" s="37" t="s">
        <v>673</v>
      </c>
      <c r="P466" s="37" t="s">
        <v>3388</v>
      </c>
      <c r="Q466" s="37"/>
      <c r="R466" s="37" t="s">
        <v>380</v>
      </c>
      <c r="S466" s="37"/>
      <c r="T466" s="37">
        <v>30</v>
      </c>
      <c r="U466" s="37"/>
    </row>
    <row r="467" spans="1:21">
      <c r="A467" s="37" t="s">
        <v>3422</v>
      </c>
      <c r="B467" s="37" t="s">
        <v>262</v>
      </c>
      <c r="C467" s="37" t="s">
        <v>40</v>
      </c>
      <c r="D467" s="37">
        <v>14</v>
      </c>
      <c r="E467" s="37">
        <v>51</v>
      </c>
      <c r="F467" s="37" t="s">
        <v>36</v>
      </c>
      <c r="G467" s="37" t="s">
        <v>414</v>
      </c>
      <c r="H467" s="37"/>
      <c r="I467" s="37"/>
      <c r="J467" s="37">
        <v>2300</v>
      </c>
      <c r="K467" s="37"/>
      <c r="L467" s="37" t="s">
        <v>230</v>
      </c>
      <c r="M467" s="37" t="s">
        <v>553</v>
      </c>
      <c r="N467" s="37">
        <v>2005</v>
      </c>
      <c r="O467" s="37" t="s">
        <v>673</v>
      </c>
      <c r="P467" s="37" t="s">
        <v>3390</v>
      </c>
      <c r="Q467" s="37"/>
      <c r="R467" s="37" t="s">
        <v>380</v>
      </c>
      <c r="S467" s="37"/>
      <c r="T467" s="37">
        <v>2300</v>
      </c>
      <c r="U467" s="37"/>
    </row>
    <row r="468" spans="1:21">
      <c r="A468" s="37" t="s">
        <v>3423</v>
      </c>
      <c r="B468" s="37" t="s">
        <v>302</v>
      </c>
      <c r="C468" s="37" t="s">
        <v>40</v>
      </c>
      <c r="D468" s="37">
        <v>14</v>
      </c>
      <c r="E468" s="37">
        <v>51</v>
      </c>
      <c r="F468" s="37" t="s">
        <v>36</v>
      </c>
      <c r="G468" s="37" t="s">
        <v>416</v>
      </c>
      <c r="H468" s="37"/>
      <c r="I468" s="37"/>
      <c r="J468" s="37">
        <v>35</v>
      </c>
      <c r="K468" s="37"/>
      <c r="L468" s="37" t="s">
        <v>249</v>
      </c>
      <c r="M468" s="37" t="s">
        <v>639</v>
      </c>
      <c r="N468" s="37">
        <v>1998</v>
      </c>
      <c r="O468" s="37" t="s">
        <v>673</v>
      </c>
      <c r="P468" s="37" t="s">
        <v>3388</v>
      </c>
      <c r="Q468" s="37"/>
      <c r="R468" s="37" t="s">
        <v>380</v>
      </c>
      <c r="S468" s="37"/>
      <c r="T468" s="37">
        <v>35</v>
      </c>
      <c r="U468" s="37"/>
    </row>
    <row r="469" spans="1:21">
      <c r="A469" s="37" t="s">
        <v>3424</v>
      </c>
      <c r="B469" s="37" t="s">
        <v>262</v>
      </c>
      <c r="C469" s="37" t="s">
        <v>40</v>
      </c>
      <c r="D469" s="37">
        <v>14</v>
      </c>
      <c r="E469" s="37">
        <v>51</v>
      </c>
      <c r="F469" s="37" t="s">
        <v>36</v>
      </c>
      <c r="G469" s="37" t="s">
        <v>416</v>
      </c>
      <c r="H469" s="37"/>
      <c r="I469" s="37"/>
      <c r="J469" s="37">
        <v>2300</v>
      </c>
      <c r="K469" s="37"/>
      <c r="L469" s="37" t="s">
        <v>230</v>
      </c>
      <c r="M469" s="37" t="s">
        <v>553</v>
      </c>
      <c r="N469" s="37">
        <v>2005</v>
      </c>
      <c r="O469" s="37" t="s">
        <v>673</v>
      </c>
      <c r="P469" s="37" t="s">
        <v>3390</v>
      </c>
      <c r="Q469" s="37"/>
      <c r="R469" s="37" t="s">
        <v>380</v>
      </c>
      <c r="S469" s="37"/>
      <c r="T469" s="37">
        <v>2300</v>
      </c>
      <c r="U469" s="37"/>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461"/>
  <sheetViews>
    <sheetView workbookViewId="0"/>
  </sheetViews>
  <sheetFormatPr baseColWidth="10" defaultColWidth="9" defaultRowHeight="14.25"/>
  <cols>
    <col min="1" max="1" width="15" style="30" customWidth="1"/>
    <col min="2" max="2" width="28" style="30" customWidth="1"/>
    <col min="3" max="3" width="8" style="30" customWidth="1"/>
    <col min="4" max="4" width="72" style="30" customWidth="1"/>
    <col min="5" max="6" width="24" style="30" customWidth="1"/>
    <col min="7" max="7" width="14" style="30" customWidth="1"/>
    <col min="8" max="8" width="20.125" customWidth="1"/>
  </cols>
  <sheetData>
    <row r="1" spans="1:8" ht="30" customHeight="1">
      <c r="A1" s="119" t="s">
        <v>2893</v>
      </c>
      <c r="B1" s="119" t="s">
        <v>3425</v>
      </c>
      <c r="C1" s="119" t="s">
        <v>3426</v>
      </c>
      <c r="D1" s="119" t="s">
        <v>3427</v>
      </c>
      <c r="E1" s="119" t="s">
        <v>158</v>
      </c>
      <c r="F1" s="119" t="s">
        <v>2947</v>
      </c>
      <c r="G1" s="119" t="s">
        <v>3428</v>
      </c>
      <c r="H1" s="119" t="s">
        <v>3429</v>
      </c>
    </row>
    <row r="2" spans="1:8" ht="57" customHeight="1">
      <c r="A2" s="120" t="s">
        <v>225</v>
      </c>
      <c r="B2" s="120" t="s">
        <v>3430</v>
      </c>
      <c r="C2" s="120">
        <v>1</v>
      </c>
      <c r="D2" s="120" t="s">
        <v>3431</v>
      </c>
      <c r="E2" s="120" t="s">
        <v>483</v>
      </c>
      <c r="F2" s="120" t="s">
        <v>232</v>
      </c>
      <c r="G2" s="121">
        <v>46237</v>
      </c>
      <c r="H2" s="120" t="s">
        <v>3432</v>
      </c>
    </row>
    <row r="3" spans="1:8" ht="57" customHeight="1">
      <c r="A3" s="120" t="s">
        <v>225</v>
      </c>
      <c r="B3" s="120" t="s">
        <v>3433</v>
      </c>
      <c r="C3" s="120">
        <v>2</v>
      </c>
      <c r="D3" s="120" t="s">
        <v>3434</v>
      </c>
      <c r="E3" s="120" t="s">
        <v>483</v>
      </c>
      <c r="F3" s="120" t="s">
        <v>232</v>
      </c>
      <c r="G3" s="121">
        <v>46237</v>
      </c>
      <c r="H3" s="120" t="s">
        <v>3435</v>
      </c>
    </row>
    <row r="4" spans="1:8" ht="57" customHeight="1">
      <c r="A4" s="120" t="s">
        <v>225</v>
      </c>
      <c r="B4" s="120" t="s">
        <v>3436</v>
      </c>
      <c r="C4" s="120">
        <v>3</v>
      </c>
      <c r="D4" s="120" t="s">
        <v>3437</v>
      </c>
      <c r="E4" s="120" t="s">
        <v>483</v>
      </c>
      <c r="F4" s="120" t="s">
        <v>232</v>
      </c>
      <c r="G4" s="121">
        <v>46237</v>
      </c>
      <c r="H4" s="120" t="s">
        <v>3438</v>
      </c>
    </row>
    <row r="5" spans="1:8" ht="57" customHeight="1">
      <c r="A5" s="120" t="s">
        <v>225</v>
      </c>
      <c r="B5" s="120" t="s">
        <v>3439</v>
      </c>
      <c r="C5" s="120">
        <v>4</v>
      </c>
      <c r="D5" s="120" t="s">
        <v>3440</v>
      </c>
      <c r="E5" s="120" t="s">
        <v>483</v>
      </c>
      <c r="F5" s="120" t="s">
        <v>232</v>
      </c>
      <c r="G5" s="121">
        <v>46237</v>
      </c>
      <c r="H5" s="120" t="s">
        <v>3441</v>
      </c>
    </row>
    <row r="6" spans="1:8" ht="57" customHeight="1">
      <c r="A6" s="120" t="s">
        <v>225</v>
      </c>
      <c r="B6" s="120" t="s">
        <v>3442</v>
      </c>
      <c r="C6" s="120">
        <v>5</v>
      </c>
      <c r="D6" s="120" t="s">
        <v>3443</v>
      </c>
      <c r="E6" s="120" t="s">
        <v>483</v>
      </c>
      <c r="F6" s="120" t="s">
        <v>232</v>
      </c>
      <c r="G6" s="121">
        <v>46237</v>
      </c>
      <c r="H6" s="120" t="s">
        <v>3444</v>
      </c>
    </row>
    <row r="7" spans="1:8" ht="42.75" customHeight="1">
      <c r="A7" s="120" t="s">
        <v>225</v>
      </c>
      <c r="B7" s="120" t="s">
        <v>3445</v>
      </c>
      <c r="C7" s="120">
        <v>6</v>
      </c>
      <c r="D7" s="120" t="s">
        <v>3446</v>
      </c>
      <c r="E7" s="120" t="s">
        <v>483</v>
      </c>
      <c r="F7" s="120" t="s">
        <v>232</v>
      </c>
      <c r="G7" s="121">
        <v>46237</v>
      </c>
      <c r="H7" s="120" t="s">
        <v>3447</v>
      </c>
    </row>
    <row r="8" spans="1:8" ht="42.75" customHeight="1">
      <c r="A8" s="120" t="s">
        <v>225</v>
      </c>
      <c r="B8" s="120" t="s">
        <v>3448</v>
      </c>
      <c r="C8" s="120">
        <v>7</v>
      </c>
      <c r="D8" s="120" t="s">
        <v>3449</v>
      </c>
      <c r="E8" s="120" t="s">
        <v>483</v>
      </c>
      <c r="F8" s="120" t="s">
        <v>232</v>
      </c>
      <c r="G8" s="121">
        <v>46237</v>
      </c>
      <c r="H8" s="120" t="s">
        <v>3450</v>
      </c>
    </row>
    <row r="9" spans="1:8" ht="57" customHeight="1">
      <c r="A9" s="120" t="s">
        <v>225</v>
      </c>
      <c r="B9" s="120" t="s">
        <v>3451</v>
      </c>
      <c r="C9" s="120">
        <v>8</v>
      </c>
      <c r="D9" s="120" t="s">
        <v>3452</v>
      </c>
      <c r="E9" s="120" t="s">
        <v>483</v>
      </c>
      <c r="F9" s="120" t="s">
        <v>232</v>
      </c>
      <c r="G9" s="121">
        <v>46237</v>
      </c>
      <c r="H9" s="120" t="s">
        <v>3453</v>
      </c>
    </row>
    <row r="10" spans="1:8" ht="42.75" customHeight="1">
      <c r="A10" s="120" t="s">
        <v>225</v>
      </c>
      <c r="B10" s="120" t="s">
        <v>3454</v>
      </c>
      <c r="C10" s="120">
        <v>9</v>
      </c>
      <c r="D10" s="120" t="s">
        <v>3455</v>
      </c>
      <c r="E10" s="120" t="s">
        <v>483</v>
      </c>
      <c r="F10" s="120" t="s">
        <v>232</v>
      </c>
      <c r="G10" s="121">
        <v>46237</v>
      </c>
      <c r="H10" s="120" t="s">
        <v>3456</v>
      </c>
    </row>
    <row r="11" spans="1:8" ht="71.25" customHeight="1">
      <c r="A11" s="120" t="s">
        <v>225</v>
      </c>
      <c r="B11" s="120" t="s">
        <v>3457</v>
      </c>
      <c r="C11" s="120">
        <v>10</v>
      </c>
      <c r="D11" s="120" t="s">
        <v>3458</v>
      </c>
      <c r="E11" s="120" t="s">
        <v>483</v>
      </c>
      <c r="F11" s="120" t="s">
        <v>232</v>
      </c>
      <c r="G11" s="121">
        <v>46237</v>
      </c>
      <c r="H11" s="120" t="s">
        <v>3459</v>
      </c>
    </row>
    <row r="12" spans="1:8" ht="71.25" customHeight="1">
      <c r="A12" s="120" t="s">
        <v>225</v>
      </c>
      <c r="B12" s="120" t="s">
        <v>3460</v>
      </c>
      <c r="C12" s="120">
        <v>11</v>
      </c>
      <c r="D12" s="120" t="s">
        <v>3461</v>
      </c>
      <c r="E12" s="120" t="s">
        <v>483</v>
      </c>
      <c r="F12" s="120" t="s">
        <v>232</v>
      </c>
      <c r="G12" s="121">
        <v>46237</v>
      </c>
      <c r="H12" s="120" t="s">
        <v>3462</v>
      </c>
    </row>
    <row r="13" spans="1:8" ht="71.25" customHeight="1">
      <c r="A13" s="120" t="s">
        <v>225</v>
      </c>
      <c r="B13" s="120" t="s">
        <v>3463</v>
      </c>
      <c r="C13" s="120">
        <v>12</v>
      </c>
      <c r="D13" s="120" t="s">
        <v>3464</v>
      </c>
      <c r="E13" s="120" t="s">
        <v>483</v>
      </c>
      <c r="F13" s="120" t="s">
        <v>232</v>
      </c>
      <c r="G13" s="121">
        <v>46237</v>
      </c>
      <c r="H13" s="120" t="s">
        <v>3465</v>
      </c>
    </row>
    <row r="14" spans="1:8" ht="42.75" customHeight="1">
      <c r="A14" s="120" t="s">
        <v>225</v>
      </c>
      <c r="B14" s="120" t="s">
        <v>3466</v>
      </c>
      <c r="C14" s="120">
        <v>13</v>
      </c>
      <c r="D14" s="120" t="s">
        <v>3467</v>
      </c>
      <c r="E14" s="120" t="s">
        <v>483</v>
      </c>
      <c r="F14" s="120" t="s">
        <v>232</v>
      </c>
      <c r="G14" s="121">
        <v>46237</v>
      </c>
      <c r="H14" s="120" t="s">
        <v>3468</v>
      </c>
    </row>
    <row r="15" spans="1:8" ht="42.75" customHeight="1">
      <c r="A15" s="120" t="s">
        <v>225</v>
      </c>
      <c r="B15" s="120" t="s">
        <v>3469</v>
      </c>
      <c r="C15" s="120">
        <v>14</v>
      </c>
      <c r="D15" s="120" t="s">
        <v>3470</v>
      </c>
      <c r="E15" s="120" t="s">
        <v>483</v>
      </c>
      <c r="F15" s="120" t="s">
        <v>232</v>
      </c>
      <c r="G15" s="121">
        <v>46237</v>
      </c>
      <c r="H15" s="120" t="s">
        <v>3471</v>
      </c>
    </row>
    <row r="16" spans="1:8" ht="57" customHeight="1">
      <c r="A16" s="120" t="s">
        <v>225</v>
      </c>
      <c r="B16" s="120" t="s">
        <v>3472</v>
      </c>
      <c r="C16" s="120">
        <v>15</v>
      </c>
      <c r="D16" s="120" t="s">
        <v>3473</v>
      </c>
      <c r="E16" s="120" t="s">
        <v>483</v>
      </c>
      <c r="F16" s="120" t="s">
        <v>232</v>
      </c>
      <c r="G16" s="121">
        <v>46237</v>
      </c>
      <c r="H16" s="120" t="s">
        <v>3474</v>
      </c>
    </row>
    <row r="17" spans="1:8" ht="71.25" customHeight="1">
      <c r="A17" s="120" t="s">
        <v>225</v>
      </c>
      <c r="B17" s="120" t="s">
        <v>3475</v>
      </c>
      <c r="C17" s="120">
        <v>16</v>
      </c>
      <c r="D17" s="120" t="s">
        <v>3476</v>
      </c>
      <c r="E17" s="120" t="s">
        <v>483</v>
      </c>
      <c r="F17" s="120" t="s">
        <v>232</v>
      </c>
      <c r="G17" s="121">
        <v>46237</v>
      </c>
      <c r="H17" s="120" t="s">
        <v>3477</v>
      </c>
    </row>
    <row r="18" spans="1:8" ht="57" customHeight="1">
      <c r="A18" s="120" t="s">
        <v>225</v>
      </c>
      <c r="B18" s="120" t="s">
        <v>3478</v>
      </c>
      <c r="C18" s="120">
        <v>17</v>
      </c>
      <c r="D18" s="120" t="s">
        <v>3479</v>
      </c>
      <c r="E18" s="120" t="s">
        <v>483</v>
      </c>
      <c r="F18" s="120" t="s">
        <v>232</v>
      </c>
      <c r="G18" s="121">
        <v>46237</v>
      </c>
      <c r="H18" s="120" t="s">
        <v>3480</v>
      </c>
    </row>
    <row r="19" spans="1:8" ht="42.75" customHeight="1">
      <c r="A19" s="120" t="s">
        <v>225</v>
      </c>
      <c r="B19" s="120" t="s">
        <v>3481</v>
      </c>
      <c r="C19" s="120">
        <v>18</v>
      </c>
      <c r="D19" s="120" t="s">
        <v>3482</v>
      </c>
      <c r="E19" s="120" t="s">
        <v>483</v>
      </c>
      <c r="F19" s="120" t="s">
        <v>232</v>
      </c>
      <c r="G19" s="121">
        <v>46237</v>
      </c>
      <c r="H19" s="120" t="s">
        <v>3483</v>
      </c>
    </row>
    <row r="20" spans="1:8" ht="57" customHeight="1">
      <c r="A20" s="120" t="s">
        <v>233</v>
      </c>
      <c r="B20" s="120" t="s">
        <v>3430</v>
      </c>
      <c r="C20" s="120">
        <v>1</v>
      </c>
      <c r="D20" s="120" t="s">
        <v>3484</v>
      </c>
      <c r="E20" s="120" t="s">
        <v>491</v>
      </c>
      <c r="F20" s="120" t="s">
        <v>232</v>
      </c>
      <c r="G20" s="121">
        <v>46237</v>
      </c>
      <c r="H20" s="120" t="s">
        <v>3485</v>
      </c>
    </row>
    <row r="21" spans="1:8" ht="57" customHeight="1">
      <c r="A21" s="120" t="s">
        <v>233</v>
      </c>
      <c r="B21" s="120" t="s">
        <v>3433</v>
      </c>
      <c r="C21" s="120">
        <v>2</v>
      </c>
      <c r="D21" s="120" t="s">
        <v>3486</v>
      </c>
      <c r="E21" s="120" t="s">
        <v>491</v>
      </c>
      <c r="F21" s="120" t="s">
        <v>232</v>
      </c>
      <c r="G21" s="121">
        <v>46237</v>
      </c>
      <c r="H21" s="120" t="s">
        <v>3487</v>
      </c>
    </row>
    <row r="22" spans="1:8" ht="57" customHeight="1">
      <c r="A22" s="120" t="s">
        <v>233</v>
      </c>
      <c r="B22" s="120" t="s">
        <v>3436</v>
      </c>
      <c r="C22" s="120">
        <v>3</v>
      </c>
      <c r="D22" s="120" t="s">
        <v>3488</v>
      </c>
      <c r="E22" s="120" t="s">
        <v>491</v>
      </c>
      <c r="F22" s="120" t="s">
        <v>232</v>
      </c>
      <c r="G22" s="121">
        <v>46237</v>
      </c>
      <c r="H22" s="120" t="s">
        <v>3489</v>
      </c>
    </row>
    <row r="23" spans="1:8" ht="57" customHeight="1">
      <c r="A23" s="120" t="s">
        <v>233</v>
      </c>
      <c r="B23" s="120" t="s">
        <v>3439</v>
      </c>
      <c r="C23" s="120">
        <v>4</v>
      </c>
      <c r="D23" s="120" t="s">
        <v>3490</v>
      </c>
      <c r="E23" s="120" t="s">
        <v>491</v>
      </c>
      <c r="F23" s="120" t="s">
        <v>232</v>
      </c>
      <c r="G23" s="121">
        <v>46237</v>
      </c>
      <c r="H23" s="120" t="s">
        <v>3491</v>
      </c>
    </row>
    <row r="24" spans="1:8" ht="57" customHeight="1">
      <c r="A24" s="120" t="s">
        <v>233</v>
      </c>
      <c r="B24" s="120" t="s">
        <v>3442</v>
      </c>
      <c r="C24" s="120">
        <v>5</v>
      </c>
      <c r="D24" s="120" t="s">
        <v>3492</v>
      </c>
      <c r="E24" s="120" t="s">
        <v>491</v>
      </c>
      <c r="F24" s="120" t="s">
        <v>232</v>
      </c>
      <c r="G24" s="121">
        <v>46237</v>
      </c>
      <c r="H24" s="120" t="s">
        <v>3493</v>
      </c>
    </row>
    <row r="25" spans="1:8" ht="42.75" customHeight="1">
      <c r="A25" s="120" t="s">
        <v>233</v>
      </c>
      <c r="B25" s="120" t="s">
        <v>3445</v>
      </c>
      <c r="C25" s="120">
        <v>6</v>
      </c>
      <c r="D25" s="120" t="s">
        <v>3494</v>
      </c>
      <c r="E25" s="120" t="s">
        <v>491</v>
      </c>
      <c r="F25" s="120" t="s">
        <v>232</v>
      </c>
      <c r="G25" s="121">
        <v>46237</v>
      </c>
      <c r="H25" s="120" t="s">
        <v>3495</v>
      </c>
    </row>
    <row r="26" spans="1:8" ht="42.75" customHeight="1">
      <c r="A26" s="120" t="s">
        <v>233</v>
      </c>
      <c r="B26" s="120" t="s">
        <v>3448</v>
      </c>
      <c r="C26" s="120">
        <v>7</v>
      </c>
      <c r="D26" s="120" t="s">
        <v>3496</v>
      </c>
      <c r="E26" s="120" t="s">
        <v>491</v>
      </c>
      <c r="F26" s="120" t="s">
        <v>232</v>
      </c>
      <c r="G26" s="121">
        <v>46237</v>
      </c>
      <c r="H26" s="120" t="s">
        <v>3497</v>
      </c>
    </row>
    <row r="27" spans="1:8" ht="57" customHeight="1">
      <c r="A27" s="120" t="s">
        <v>233</v>
      </c>
      <c r="B27" s="120" t="s">
        <v>3451</v>
      </c>
      <c r="C27" s="120">
        <v>8</v>
      </c>
      <c r="D27" s="120" t="s">
        <v>3498</v>
      </c>
      <c r="E27" s="120" t="s">
        <v>491</v>
      </c>
      <c r="F27" s="120" t="s">
        <v>232</v>
      </c>
      <c r="G27" s="121">
        <v>46237</v>
      </c>
      <c r="H27" s="120" t="s">
        <v>3499</v>
      </c>
    </row>
    <row r="28" spans="1:8" ht="42.75" customHeight="1">
      <c r="A28" s="120" t="s">
        <v>233</v>
      </c>
      <c r="B28" s="120" t="s">
        <v>3454</v>
      </c>
      <c r="C28" s="120">
        <v>9</v>
      </c>
      <c r="D28" s="120" t="s">
        <v>3500</v>
      </c>
      <c r="E28" s="120" t="s">
        <v>491</v>
      </c>
      <c r="F28" s="120" t="s">
        <v>232</v>
      </c>
      <c r="G28" s="121">
        <v>46237</v>
      </c>
      <c r="H28" s="120" t="s">
        <v>3501</v>
      </c>
    </row>
    <row r="29" spans="1:8" ht="71.25" customHeight="1">
      <c r="A29" s="120" t="s">
        <v>233</v>
      </c>
      <c r="B29" s="120" t="s">
        <v>3457</v>
      </c>
      <c r="C29" s="120">
        <v>10</v>
      </c>
      <c r="D29" s="120" t="s">
        <v>3502</v>
      </c>
      <c r="E29" s="120" t="s">
        <v>491</v>
      </c>
      <c r="F29" s="120" t="s">
        <v>232</v>
      </c>
      <c r="G29" s="121">
        <v>46237</v>
      </c>
      <c r="H29" s="120" t="s">
        <v>3503</v>
      </c>
    </row>
    <row r="30" spans="1:8" ht="71.25" customHeight="1">
      <c r="A30" s="120" t="s">
        <v>233</v>
      </c>
      <c r="B30" s="120" t="s">
        <v>3460</v>
      </c>
      <c r="C30" s="120">
        <v>11</v>
      </c>
      <c r="D30" s="120" t="s">
        <v>3504</v>
      </c>
      <c r="E30" s="120" t="s">
        <v>491</v>
      </c>
      <c r="F30" s="120" t="s">
        <v>232</v>
      </c>
      <c r="G30" s="121">
        <v>46237</v>
      </c>
      <c r="H30" s="120" t="s">
        <v>3505</v>
      </c>
    </row>
    <row r="31" spans="1:8" ht="71.25" customHeight="1">
      <c r="A31" s="120" t="s">
        <v>233</v>
      </c>
      <c r="B31" s="120" t="s">
        <v>3463</v>
      </c>
      <c r="C31" s="120">
        <v>12</v>
      </c>
      <c r="D31" s="120" t="s">
        <v>3506</v>
      </c>
      <c r="E31" s="120" t="s">
        <v>491</v>
      </c>
      <c r="F31" s="120" t="s">
        <v>232</v>
      </c>
      <c r="G31" s="121">
        <v>46237</v>
      </c>
      <c r="H31" s="120" t="s">
        <v>3507</v>
      </c>
    </row>
    <row r="32" spans="1:8" ht="42.75" customHeight="1">
      <c r="A32" s="120" t="s">
        <v>233</v>
      </c>
      <c r="B32" s="120" t="s">
        <v>3466</v>
      </c>
      <c r="C32" s="120">
        <v>13</v>
      </c>
      <c r="D32" s="120" t="s">
        <v>3508</v>
      </c>
      <c r="E32" s="120" t="s">
        <v>491</v>
      </c>
      <c r="F32" s="120" t="s">
        <v>232</v>
      </c>
      <c r="G32" s="121">
        <v>46237</v>
      </c>
      <c r="H32" s="120" t="s">
        <v>3509</v>
      </c>
    </row>
    <row r="33" spans="1:8" ht="42.75" customHeight="1">
      <c r="A33" s="120" t="s">
        <v>233</v>
      </c>
      <c r="B33" s="120" t="s">
        <v>3469</v>
      </c>
      <c r="C33" s="120">
        <v>14</v>
      </c>
      <c r="D33" s="120" t="s">
        <v>487</v>
      </c>
      <c r="E33" s="120" t="s">
        <v>491</v>
      </c>
      <c r="F33" s="120" t="s">
        <v>232</v>
      </c>
      <c r="G33" s="121">
        <v>46237</v>
      </c>
      <c r="H33" s="120" t="s">
        <v>3510</v>
      </c>
    </row>
    <row r="34" spans="1:8" ht="57" customHeight="1">
      <c r="A34" s="120" t="s">
        <v>233</v>
      </c>
      <c r="B34" s="120" t="s">
        <v>3472</v>
      </c>
      <c r="C34" s="120">
        <v>15</v>
      </c>
      <c r="D34" s="120" t="s">
        <v>3511</v>
      </c>
      <c r="E34" s="120" t="s">
        <v>491</v>
      </c>
      <c r="F34" s="120" t="s">
        <v>232</v>
      </c>
      <c r="G34" s="121">
        <v>46237</v>
      </c>
      <c r="H34" s="120" t="s">
        <v>3512</v>
      </c>
    </row>
    <row r="35" spans="1:8" ht="57" customHeight="1">
      <c r="A35" s="120" t="s">
        <v>233</v>
      </c>
      <c r="B35" s="120" t="s">
        <v>3475</v>
      </c>
      <c r="C35" s="120">
        <v>16</v>
      </c>
      <c r="D35" s="120" t="s">
        <v>3513</v>
      </c>
      <c r="E35" s="120" t="s">
        <v>491</v>
      </c>
      <c r="F35" s="120" t="s">
        <v>232</v>
      </c>
      <c r="G35" s="121">
        <v>46237</v>
      </c>
      <c r="H35" s="120" t="s">
        <v>3514</v>
      </c>
    </row>
    <row r="36" spans="1:8" ht="57" customHeight="1">
      <c r="A36" s="120" t="s">
        <v>233</v>
      </c>
      <c r="B36" s="120" t="s">
        <v>3478</v>
      </c>
      <c r="C36" s="120">
        <v>17</v>
      </c>
      <c r="D36" s="120" t="s">
        <v>3515</v>
      </c>
      <c r="E36" s="120" t="s">
        <v>491</v>
      </c>
      <c r="F36" s="120" t="s">
        <v>232</v>
      </c>
      <c r="G36" s="121">
        <v>46237</v>
      </c>
      <c r="H36" s="120" t="s">
        <v>3516</v>
      </c>
    </row>
    <row r="37" spans="1:8" ht="42.75" customHeight="1">
      <c r="A37" s="120" t="s">
        <v>233</v>
      </c>
      <c r="B37" s="120" t="s">
        <v>3481</v>
      </c>
      <c r="C37" s="120">
        <v>18</v>
      </c>
      <c r="D37" s="120" t="s">
        <v>3482</v>
      </c>
      <c r="E37" s="120" t="s">
        <v>491</v>
      </c>
      <c r="F37" s="120" t="s">
        <v>232</v>
      </c>
      <c r="G37" s="121">
        <v>46237</v>
      </c>
      <c r="H37" s="120" t="s">
        <v>3517</v>
      </c>
    </row>
    <row r="38" spans="1:8" ht="57" customHeight="1">
      <c r="A38" s="120" t="s">
        <v>236</v>
      </c>
      <c r="B38" s="120" t="s">
        <v>3430</v>
      </c>
      <c r="C38" s="120">
        <v>1</v>
      </c>
      <c r="D38" s="120" t="s">
        <v>3518</v>
      </c>
      <c r="E38" s="120" t="s">
        <v>499</v>
      </c>
      <c r="F38" s="120" t="s">
        <v>232</v>
      </c>
      <c r="G38" s="121">
        <v>46237</v>
      </c>
      <c r="H38" s="120" t="s">
        <v>3519</v>
      </c>
    </row>
    <row r="39" spans="1:8" ht="57" customHeight="1">
      <c r="A39" s="120" t="s">
        <v>236</v>
      </c>
      <c r="B39" s="120" t="s">
        <v>3433</v>
      </c>
      <c r="C39" s="120">
        <v>2</v>
      </c>
      <c r="D39" s="120" t="s">
        <v>3520</v>
      </c>
      <c r="E39" s="120" t="s">
        <v>499</v>
      </c>
      <c r="F39" s="120" t="s">
        <v>232</v>
      </c>
      <c r="G39" s="121">
        <v>46237</v>
      </c>
      <c r="H39" s="120" t="s">
        <v>3521</v>
      </c>
    </row>
    <row r="40" spans="1:8" ht="57" customHeight="1">
      <c r="A40" s="120" t="s">
        <v>236</v>
      </c>
      <c r="B40" s="120" t="s">
        <v>3436</v>
      </c>
      <c r="C40" s="120">
        <v>3</v>
      </c>
      <c r="D40" s="120" t="s">
        <v>3522</v>
      </c>
      <c r="E40" s="120" t="s">
        <v>499</v>
      </c>
      <c r="F40" s="120" t="s">
        <v>232</v>
      </c>
      <c r="G40" s="121">
        <v>46237</v>
      </c>
      <c r="H40" s="120" t="s">
        <v>3523</v>
      </c>
    </row>
    <row r="41" spans="1:8" ht="57" customHeight="1">
      <c r="A41" s="120" t="s">
        <v>236</v>
      </c>
      <c r="B41" s="120" t="s">
        <v>3439</v>
      </c>
      <c r="C41" s="120">
        <v>4</v>
      </c>
      <c r="D41" s="120" t="s">
        <v>3524</v>
      </c>
      <c r="E41" s="120" t="s">
        <v>499</v>
      </c>
      <c r="F41" s="120" t="s">
        <v>232</v>
      </c>
      <c r="G41" s="121">
        <v>46237</v>
      </c>
      <c r="H41" s="120" t="s">
        <v>3525</v>
      </c>
    </row>
    <row r="42" spans="1:8" ht="57" customHeight="1">
      <c r="A42" s="120" t="s">
        <v>236</v>
      </c>
      <c r="B42" s="120" t="s">
        <v>3442</v>
      </c>
      <c r="C42" s="120">
        <v>5</v>
      </c>
      <c r="D42" s="120" t="s">
        <v>3526</v>
      </c>
      <c r="E42" s="120" t="s">
        <v>499</v>
      </c>
      <c r="F42" s="120" t="s">
        <v>232</v>
      </c>
      <c r="G42" s="121">
        <v>46237</v>
      </c>
      <c r="H42" s="120" t="s">
        <v>3527</v>
      </c>
    </row>
    <row r="43" spans="1:8" ht="42.75" customHeight="1">
      <c r="A43" s="120" t="s">
        <v>236</v>
      </c>
      <c r="B43" s="120" t="s">
        <v>3445</v>
      </c>
      <c r="C43" s="120">
        <v>6</v>
      </c>
      <c r="D43" s="120" t="s">
        <v>3528</v>
      </c>
      <c r="E43" s="120" t="s">
        <v>499</v>
      </c>
      <c r="F43" s="120" t="s">
        <v>232</v>
      </c>
      <c r="G43" s="121">
        <v>46237</v>
      </c>
      <c r="H43" s="120" t="s">
        <v>3529</v>
      </c>
    </row>
    <row r="44" spans="1:8" ht="42.75" customHeight="1">
      <c r="A44" s="120" t="s">
        <v>236</v>
      </c>
      <c r="B44" s="120" t="s">
        <v>3448</v>
      </c>
      <c r="C44" s="120">
        <v>7</v>
      </c>
      <c r="D44" s="120" t="s">
        <v>3530</v>
      </c>
      <c r="E44" s="120" t="s">
        <v>499</v>
      </c>
      <c r="F44" s="120" t="s">
        <v>232</v>
      </c>
      <c r="G44" s="121">
        <v>46237</v>
      </c>
      <c r="H44" s="120" t="s">
        <v>3531</v>
      </c>
    </row>
    <row r="45" spans="1:8" ht="57" customHeight="1">
      <c r="A45" s="120" t="s">
        <v>236</v>
      </c>
      <c r="B45" s="120" t="s">
        <v>3451</v>
      </c>
      <c r="C45" s="120">
        <v>8</v>
      </c>
      <c r="D45" s="120" t="s">
        <v>3532</v>
      </c>
      <c r="E45" s="120" t="s">
        <v>499</v>
      </c>
      <c r="F45" s="120" t="s">
        <v>232</v>
      </c>
      <c r="G45" s="121">
        <v>46237</v>
      </c>
      <c r="H45" s="120" t="s">
        <v>3533</v>
      </c>
    </row>
    <row r="46" spans="1:8" ht="42.75" customHeight="1">
      <c r="A46" s="120" t="s">
        <v>236</v>
      </c>
      <c r="B46" s="120" t="s">
        <v>3454</v>
      </c>
      <c r="C46" s="120">
        <v>9</v>
      </c>
      <c r="D46" s="120" t="s">
        <v>3534</v>
      </c>
      <c r="E46" s="120" t="s">
        <v>499</v>
      </c>
      <c r="F46" s="120" t="s">
        <v>232</v>
      </c>
      <c r="G46" s="121">
        <v>46237</v>
      </c>
      <c r="H46" s="120" t="s">
        <v>3535</v>
      </c>
    </row>
    <row r="47" spans="1:8" ht="71.25" customHeight="1">
      <c r="A47" s="120" t="s">
        <v>236</v>
      </c>
      <c r="B47" s="120" t="s">
        <v>3457</v>
      </c>
      <c r="C47" s="120">
        <v>10</v>
      </c>
      <c r="D47" s="120" t="s">
        <v>3536</v>
      </c>
      <c r="E47" s="120" t="s">
        <v>499</v>
      </c>
      <c r="F47" s="120" t="s">
        <v>232</v>
      </c>
      <c r="G47" s="121">
        <v>46237</v>
      </c>
      <c r="H47" s="120" t="s">
        <v>3537</v>
      </c>
    </row>
    <row r="48" spans="1:8" ht="71.25" customHeight="1">
      <c r="A48" s="120" t="s">
        <v>236</v>
      </c>
      <c r="B48" s="120" t="s">
        <v>3460</v>
      </c>
      <c r="C48" s="120">
        <v>11</v>
      </c>
      <c r="D48" s="120" t="s">
        <v>3538</v>
      </c>
      <c r="E48" s="120" t="s">
        <v>499</v>
      </c>
      <c r="F48" s="120" t="s">
        <v>232</v>
      </c>
      <c r="G48" s="121">
        <v>46237</v>
      </c>
      <c r="H48" s="120" t="s">
        <v>3539</v>
      </c>
    </row>
    <row r="49" spans="1:8" ht="71.25" customHeight="1">
      <c r="A49" s="120" t="s">
        <v>236</v>
      </c>
      <c r="B49" s="120" t="s">
        <v>3463</v>
      </c>
      <c r="C49" s="120">
        <v>12</v>
      </c>
      <c r="D49" s="120" t="s">
        <v>3540</v>
      </c>
      <c r="E49" s="120" t="s">
        <v>499</v>
      </c>
      <c r="F49" s="120" t="s">
        <v>232</v>
      </c>
      <c r="G49" s="121">
        <v>46237</v>
      </c>
      <c r="H49" s="120" t="s">
        <v>3541</v>
      </c>
    </row>
    <row r="50" spans="1:8" ht="42.75" customHeight="1">
      <c r="A50" s="120" t="s">
        <v>236</v>
      </c>
      <c r="B50" s="120" t="s">
        <v>3466</v>
      </c>
      <c r="C50" s="120">
        <v>13</v>
      </c>
      <c r="D50" s="120" t="s">
        <v>3542</v>
      </c>
      <c r="E50" s="120" t="s">
        <v>499</v>
      </c>
      <c r="F50" s="120" t="s">
        <v>232</v>
      </c>
      <c r="G50" s="121">
        <v>46237</v>
      </c>
      <c r="H50" s="120" t="s">
        <v>3543</v>
      </c>
    </row>
    <row r="51" spans="1:8" ht="42.75" customHeight="1">
      <c r="A51" s="120" t="s">
        <v>236</v>
      </c>
      <c r="B51" s="120" t="s">
        <v>3469</v>
      </c>
      <c r="C51" s="120">
        <v>14</v>
      </c>
      <c r="D51" s="120" t="s">
        <v>495</v>
      </c>
      <c r="E51" s="120" t="s">
        <v>499</v>
      </c>
      <c r="F51" s="120" t="s">
        <v>232</v>
      </c>
      <c r="G51" s="121">
        <v>46237</v>
      </c>
      <c r="H51" s="120" t="s">
        <v>3544</v>
      </c>
    </row>
    <row r="52" spans="1:8" ht="57" customHeight="1">
      <c r="A52" s="120" t="s">
        <v>236</v>
      </c>
      <c r="B52" s="120" t="s">
        <v>3472</v>
      </c>
      <c r="C52" s="120">
        <v>15</v>
      </c>
      <c r="D52" s="120" t="s">
        <v>3545</v>
      </c>
      <c r="E52" s="120" t="s">
        <v>499</v>
      </c>
      <c r="F52" s="120" t="s">
        <v>232</v>
      </c>
      <c r="G52" s="121">
        <v>46237</v>
      </c>
      <c r="H52" s="120" t="s">
        <v>3546</v>
      </c>
    </row>
    <row r="53" spans="1:8" ht="57" customHeight="1">
      <c r="A53" s="120" t="s">
        <v>236</v>
      </c>
      <c r="B53" s="120" t="s">
        <v>3475</v>
      </c>
      <c r="C53" s="120">
        <v>16</v>
      </c>
      <c r="D53" s="120" t="s">
        <v>3547</v>
      </c>
      <c r="E53" s="120" t="s">
        <v>499</v>
      </c>
      <c r="F53" s="120" t="s">
        <v>232</v>
      </c>
      <c r="G53" s="121">
        <v>46237</v>
      </c>
      <c r="H53" s="120" t="s">
        <v>3548</v>
      </c>
    </row>
    <row r="54" spans="1:8" ht="57" customHeight="1">
      <c r="A54" s="120" t="s">
        <v>236</v>
      </c>
      <c r="B54" s="120" t="s">
        <v>3478</v>
      </c>
      <c r="C54" s="120">
        <v>17</v>
      </c>
      <c r="D54" s="120" t="s">
        <v>3549</v>
      </c>
      <c r="E54" s="120" t="s">
        <v>499</v>
      </c>
      <c r="F54" s="120" t="s">
        <v>232</v>
      </c>
      <c r="G54" s="121">
        <v>46237</v>
      </c>
      <c r="H54" s="120" t="s">
        <v>3550</v>
      </c>
    </row>
    <row r="55" spans="1:8" ht="42.75" customHeight="1">
      <c r="A55" s="120" t="s">
        <v>236</v>
      </c>
      <c r="B55" s="120" t="s">
        <v>3481</v>
      </c>
      <c r="C55" s="120">
        <v>18</v>
      </c>
      <c r="D55" s="120" t="s">
        <v>3482</v>
      </c>
      <c r="E55" s="120" t="s">
        <v>499</v>
      </c>
      <c r="F55" s="120" t="s">
        <v>232</v>
      </c>
      <c r="G55" s="121">
        <v>46237</v>
      </c>
      <c r="H55" s="120" t="s">
        <v>3551</v>
      </c>
    </row>
    <row r="56" spans="1:8" ht="57" customHeight="1">
      <c r="A56" s="120" t="s">
        <v>239</v>
      </c>
      <c r="B56" s="120" t="s">
        <v>3430</v>
      </c>
      <c r="C56" s="120">
        <v>1</v>
      </c>
      <c r="D56" s="120" t="s">
        <v>3552</v>
      </c>
      <c r="E56" s="120" t="s">
        <v>507</v>
      </c>
      <c r="F56" s="120" t="s">
        <v>232</v>
      </c>
      <c r="G56" s="121">
        <v>46237</v>
      </c>
      <c r="H56" s="120" t="s">
        <v>3553</v>
      </c>
    </row>
    <row r="57" spans="1:8" ht="57" customHeight="1">
      <c r="A57" s="120" t="s">
        <v>239</v>
      </c>
      <c r="B57" s="120" t="s">
        <v>3433</v>
      </c>
      <c r="C57" s="120">
        <v>2</v>
      </c>
      <c r="D57" s="120" t="s">
        <v>3554</v>
      </c>
      <c r="E57" s="120" t="s">
        <v>507</v>
      </c>
      <c r="F57" s="120" t="s">
        <v>232</v>
      </c>
      <c r="G57" s="121">
        <v>46237</v>
      </c>
      <c r="H57" s="120" t="s">
        <v>3555</v>
      </c>
    </row>
    <row r="58" spans="1:8" ht="57" customHeight="1">
      <c r="A58" s="120" t="s">
        <v>239</v>
      </c>
      <c r="B58" s="120" t="s">
        <v>3436</v>
      </c>
      <c r="C58" s="120">
        <v>3</v>
      </c>
      <c r="D58" s="120" t="s">
        <v>3556</v>
      </c>
      <c r="E58" s="120" t="s">
        <v>507</v>
      </c>
      <c r="F58" s="120" t="s">
        <v>232</v>
      </c>
      <c r="G58" s="121">
        <v>46237</v>
      </c>
      <c r="H58" s="120" t="s">
        <v>3557</v>
      </c>
    </row>
    <row r="59" spans="1:8" ht="57" customHeight="1">
      <c r="A59" s="120" t="s">
        <v>239</v>
      </c>
      <c r="B59" s="120" t="s">
        <v>3439</v>
      </c>
      <c r="C59" s="120">
        <v>4</v>
      </c>
      <c r="D59" s="120" t="s">
        <v>3558</v>
      </c>
      <c r="E59" s="120" t="s">
        <v>507</v>
      </c>
      <c r="F59" s="120" t="s">
        <v>232</v>
      </c>
      <c r="G59" s="121">
        <v>46237</v>
      </c>
      <c r="H59" s="120" t="s">
        <v>3559</v>
      </c>
    </row>
    <row r="60" spans="1:8" ht="57" customHeight="1">
      <c r="A60" s="120" t="s">
        <v>239</v>
      </c>
      <c r="B60" s="120" t="s">
        <v>3442</v>
      </c>
      <c r="C60" s="120">
        <v>5</v>
      </c>
      <c r="D60" s="120" t="s">
        <v>3560</v>
      </c>
      <c r="E60" s="120" t="s">
        <v>507</v>
      </c>
      <c r="F60" s="120" t="s">
        <v>232</v>
      </c>
      <c r="G60" s="121">
        <v>46237</v>
      </c>
      <c r="H60" s="120" t="s">
        <v>3561</v>
      </c>
    </row>
    <row r="61" spans="1:8" ht="42.75" customHeight="1">
      <c r="A61" s="120" t="s">
        <v>239</v>
      </c>
      <c r="B61" s="120" t="s">
        <v>3445</v>
      </c>
      <c r="C61" s="120">
        <v>6</v>
      </c>
      <c r="D61" s="120" t="s">
        <v>3562</v>
      </c>
      <c r="E61" s="120" t="s">
        <v>507</v>
      </c>
      <c r="F61" s="120" t="s">
        <v>232</v>
      </c>
      <c r="G61" s="121">
        <v>46237</v>
      </c>
      <c r="H61" s="120" t="s">
        <v>3563</v>
      </c>
    </row>
    <row r="62" spans="1:8" ht="42.75" customHeight="1">
      <c r="A62" s="120" t="s">
        <v>239</v>
      </c>
      <c r="B62" s="120" t="s">
        <v>3448</v>
      </c>
      <c r="C62" s="120">
        <v>7</v>
      </c>
      <c r="D62" s="120" t="s">
        <v>3564</v>
      </c>
      <c r="E62" s="120" t="s">
        <v>507</v>
      </c>
      <c r="F62" s="120" t="s">
        <v>232</v>
      </c>
      <c r="G62" s="121">
        <v>46237</v>
      </c>
      <c r="H62" s="120" t="s">
        <v>3565</v>
      </c>
    </row>
    <row r="63" spans="1:8" ht="57" customHeight="1">
      <c r="A63" s="120" t="s">
        <v>239</v>
      </c>
      <c r="B63" s="120" t="s">
        <v>3451</v>
      </c>
      <c r="C63" s="120">
        <v>8</v>
      </c>
      <c r="D63" s="120" t="s">
        <v>3566</v>
      </c>
      <c r="E63" s="120" t="s">
        <v>507</v>
      </c>
      <c r="F63" s="120" t="s">
        <v>232</v>
      </c>
      <c r="G63" s="121">
        <v>46237</v>
      </c>
      <c r="H63" s="120" t="s">
        <v>3567</v>
      </c>
    </row>
    <row r="64" spans="1:8" ht="42.75" customHeight="1">
      <c r="A64" s="120" t="s">
        <v>239</v>
      </c>
      <c r="B64" s="120" t="s">
        <v>3454</v>
      </c>
      <c r="C64" s="120">
        <v>9</v>
      </c>
      <c r="D64" s="120" t="s">
        <v>3568</v>
      </c>
      <c r="E64" s="120" t="s">
        <v>507</v>
      </c>
      <c r="F64" s="120" t="s">
        <v>232</v>
      </c>
      <c r="G64" s="121">
        <v>46237</v>
      </c>
      <c r="H64" s="120" t="s">
        <v>3569</v>
      </c>
    </row>
    <row r="65" spans="1:8" ht="71.25" customHeight="1">
      <c r="A65" s="120" t="s">
        <v>239</v>
      </c>
      <c r="B65" s="120" t="s">
        <v>3457</v>
      </c>
      <c r="C65" s="120">
        <v>10</v>
      </c>
      <c r="D65" s="120" t="s">
        <v>3570</v>
      </c>
      <c r="E65" s="120" t="s">
        <v>507</v>
      </c>
      <c r="F65" s="120" t="s">
        <v>232</v>
      </c>
      <c r="G65" s="121">
        <v>46237</v>
      </c>
      <c r="H65" s="120" t="s">
        <v>3571</v>
      </c>
    </row>
    <row r="66" spans="1:8" ht="71.25" customHeight="1">
      <c r="A66" s="120" t="s">
        <v>239</v>
      </c>
      <c r="B66" s="120" t="s">
        <v>3460</v>
      </c>
      <c r="C66" s="120">
        <v>11</v>
      </c>
      <c r="D66" s="120" t="s">
        <v>3572</v>
      </c>
      <c r="E66" s="120" t="s">
        <v>507</v>
      </c>
      <c r="F66" s="120" t="s">
        <v>232</v>
      </c>
      <c r="G66" s="121">
        <v>46237</v>
      </c>
      <c r="H66" s="120" t="s">
        <v>3573</v>
      </c>
    </row>
    <row r="67" spans="1:8" ht="71.25" customHeight="1">
      <c r="A67" s="120" t="s">
        <v>239</v>
      </c>
      <c r="B67" s="120" t="s">
        <v>3463</v>
      </c>
      <c r="C67" s="120">
        <v>12</v>
      </c>
      <c r="D67" s="120" t="s">
        <v>3574</v>
      </c>
      <c r="E67" s="120" t="s">
        <v>507</v>
      </c>
      <c r="F67" s="120" t="s">
        <v>232</v>
      </c>
      <c r="G67" s="121">
        <v>46237</v>
      </c>
      <c r="H67" s="120" t="s">
        <v>3575</v>
      </c>
    </row>
    <row r="68" spans="1:8" ht="42.75" customHeight="1">
      <c r="A68" s="120" t="s">
        <v>239</v>
      </c>
      <c r="B68" s="120" t="s">
        <v>3466</v>
      </c>
      <c r="C68" s="120">
        <v>13</v>
      </c>
      <c r="D68" s="120" t="s">
        <v>502</v>
      </c>
      <c r="E68" s="120" t="s">
        <v>507</v>
      </c>
      <c r="F68" s="120" t="s">
        <v>232</v>
      </c>
      <c r="G68" s="121">
        <v>46237</v>
      </c>
      <c r="H68" s="120" t="s">
        <v>3576</v>
      </c>
    </row>
    <row r="69" spans="1:8" ht="42.75" customHeight="1">
      <c r="A69" s="120" t="s">
        <v>239</v>
      </c>
      <c r="B69" s="120" t="s">
        <v>3469</v>
      </c>
      <c r="C69" s="120">
        <v>14</v>
      </c>
      <c r="D69" s="120" t="s">
        <v>503</v>
      </c>
      <c r="E69" s="120" t="s">
        <v>507</v>
      </c>
      <c r="F69" s="120" t="s">
        <v>232</v>
      </c>
      <c r="G69" s="121">
        <v>46237</v>
      </c>
      <c r="H69" s="120" t="s">
        <v>3577</v>
      </c>
    </row>
    <row r="70" spans="1:8" ht="57" customHeight="1">
      <c r="A70" s="120" t="s">
        <v>239</v>
      </c>
      <c r="B70" s="120" t="s">
        <v>3472</v>
      </c>
      <c r="C70" s="120">
        <v>15</v>
      </c>
      <c r="D70" s="120" t="s">
        <v>3578</v>
      </c>
      <c r="E70" s="120" t="s">
        <v>507</v>
      </c>
      <c r="F70" s="120" t="s">
        <v>232</v>
      </c>
      <c r="G70" s="121">
        <v>46237</v>
      </c>
      <c r="H70" s="120" t="s">
        <v>3579</v>
      </c>
    </row>
    <row r="71" spans="1:8" ht="57" customHeight="1">
      <c r="A71" s="120" t="s">
        <v>239</v>
      </c>
      <c r="B71" s="120" t="s">
        <v>3475</v>
      </c>
      <c r="C71" s="120">
        <v>16</v>
      </c>
      <c r="D71" s="120" t="s">
        <v>3580</v>
      </c>
      <c r="E71" s="120" t="s">
        <v>507</v>
      </c>
      <c r="F71" s="120" t="s">
        <v>232</v>
      </c>
      <c r="G71" s="121">
        <v>46237</v>
      </c>
      <c r="H71" s="120" t="s">
        <v>3581</v>
      </c>
    </row>
    <row r="72" spans="1:8" ht="57" customHeight="1">
      <c r="A72" s="120" t="s">
        <v>239</v>
      </c>
      <c r="B72" s="120" t="s">
        <v>3478</v>
      </c>
      <c r="C72" s="120">
        <v>17</v>
      </c>
      <c r="D72" s="120" t="s">
        <v>3582</v>
      </c>
      <c r="E72" s="120" t="s">
        <v>507</v>
      </c>
      <c r="F72" s="120" t="s">
        <v>232</v>
      </c>
      <c r="G72" s="121">
        <v>46237</v>
      </c>
      <c r="H72" s="120" t="s">
        <v>3583</v>
      </c>
    </row>
    <row r="73" spans="1:8" ht="42.75" customHeight="1">
      <c r="A73" s="120" t="s">
        <v>239</v>
      </c>
      <c r="B73" s="120" t="s">
        <v>3481</v>
      </c>
      <c r="C73" s="120">
        <v>18</v>
      </c>
      <c r="D73" s="120" t="s">
        <v>3482</v>
      </c>
      <c r="E73" s="120" t="s">
        <v>507</v>
      </c>
      <c r="F73" s="120" t="s">
        <v>232</v>
      </c>
      <c r="G73" s="121">
        <v>46237</v>
      </c>
      <c r="H73" s="120" t="s">
        <v>3584</v>
      </c>
    </row>
    <row r="74" spans="1:8" ht="57" customHeight="1">
      <c r="A74" s="120" t="s">
        <v>243</v>
      </c>
      <c r="B74" s="120" t="s">
        <v>3430</v>
      </c>
      <c r="C74" s="120">
        <v>1</v>
      </c>
      <c r="D74" s="120" t="s">
        <v>3585</v>
      </c>
      <c r="E74" s="120" t="s">
        <v>514</v>
      </c>
      <c r="F74" s="120" t="s">
        <v>232</v>
      </c>
      <c r="G74" s="121">
        <v>46237</v>
      </c>
      <c r="H74" s="120" t="s">
        <v>3586</v>
      </c>
    </row>
    <row r="75" spans="1:8" ht="57" customHeight="1">
      <c r="A75" s="120" t="s">
        <v>243</v>
      </c>
      <c r="B75" s="120" t="s">
        <v>3433</v>
      </c>
      <c r="C75" s="120">
        <v>2</v>
      </c>
      <c r="D75" s="120" t="s">
        <v>3587</v>
      </c>
      <c r="E75" s="120" t="s">
        <v>514</v>
      </c>
      <c r="F75" s="120" t="s">
        <v>232</v>
      </c>
      <c r="G75" s="121">
        <v>46237</v>
      </c>
      <c r="H75" s="120" t="s">
        <v>3588</v>
      </c>
    </row>
    <row r="76" spans="1:8" ht="57" customHeight="1">
      <c r="A76" s="120" t="s">
        <v>243</v>
      </c>
      <c r="B76" s="120" t="s">
        <v>3436</v>
      </c>
      <c r="C76" s="120">
        <v>3</v>
      </c>
      <c r="D76" s="120" t="s">
        <v>3589</v>
      </c>
      <c r="E76" s="120" t="s">
        <v>514</v>
      </c>
      <c r="F76" s="120" t="s">
        <v>232</v>
      </c>
      <c r="G76" s="121">
        <v>46237</v>
      </c>
      <c r="H76" s="120" t="s">
        <v>3590</v>
      </c>
    </row>
    <row r="77" spans="1:8" ht="57" customHeight="1">
      <c r="A77" s="120" t="s">
        <v>243</v>
      </c>
      <c r="B77" s="120" t="s">
        <v>3439</v>
      </c>
      <c r="C77" s="120">
        <v>4</v>
      </c>
      <c r="D77" s="120" t="s">
        <v>3591</v>
      </c>
      <c r="E77" s="120" t="s">
        <v>514</v>
      </c>
      <c r="F77" s="120" t="s">
        <v>232</v>
      </c>
      <c r="G77" s="121">
        <v>46237</v>
      </c>
      <c r="H77" s="120" t="s">
        <v>3592</v>
      </c>
    </row>
    <row r="78" spans="1:8" ht="42.75" customHeight="1">
      <c r="A78" s="120" t="s">
        <v>243</v>
      </c>
      <c r="B78" s="120" t="s">
        <v>3442</v>
      </c>
      <c r="C78" s="120">
        <v>5</v>
      </c>
      <c r="D78" s="120" t="s">
        <v>3593</v>
      </c>
      <c r="E78" s="120" t="s">
        <v>514</v>
      </c>
      <c r="F78" s="120" t="s">
        <v>232</v>
      </c>
      <c r="G78" s="121">
        <v>46237</v>
      </c>
      <c r="H78" s="120" t="s">
        <v>3594</v>
      </c>
    </row>
    <row r="79" spans="1:8" ht="42.75" customHeight="1">
      <c r="A79" s="120" t="s">
        <v>243</v>
      </c>
      <c r="B79" s="120" t="s">
        <v>3445</v>
      </c>
      <c r="C79" s="120">
        <v>6</v>
      </c>
      <c r="D79" s="120" t="s">
        <v>3595</v>
      </c>
      <c r="E79" s="120" t="s">
        <v>514</v>
      </c>
      <c r="F79" s="120" t="s">
        <v>232</v>
      </c>
      <c r="G79" s="121">
        <v>46237</v>
      </c>
      <c r="H79" s="120" t="s">
        <v>3596</v>
      </c>
    </row>
    <row r="80" spans="1:8" ht="42.75" customHeight="1">
      <c r="A80" s="120" t="s">
        <v>243</v>
      </c>
      <c r="B80" s="120" t="s">
        <v>3448</v>
      </c>
      <c r="C80" s="120">
        <v>7</v>
      </c>
      <c r="D80" s="120" t="s">
        <v>3597</v>
      </c>
      <c r="E80" s="120" t="s">
        <v>514</v>
      </c>
      <c r="F80" s="120" t="s">
        <v>232</v>
      </c>
      <c r="G80" s="121">
        <v>46237</v>
      </c>
      <c r="H80" s="120" t="s">
        <v>3598</v>
      </c>
    </row>
    <row r="81" spans="1:8" ht="57" customHeight="1">
      <c r="A81" s="120" t="s">
        <v>243</v>
      </c>
      <c r="B81" s="120" t="s">
        <v>3451</v>
      </c>
      <c r="C81" s="120">
        <v>8</v>
      </c>
      <c r="D81" s="120" t="s">
        <v>3599</v>
      </c>
      <c r="E81" s="120" t="s">
        <v>514</v>
      </c>
      <c r="F81" s="120" t="s">
        <v>232</v>
      </c>
      <c r="G81" s="121">
        <v>46237</v>
      </c>
      <c r="H81" s="120" t="s">
        <v>3600</v>
      </c>
    </row>
    <row r="82" spans="1:8" ht="42.75" customHeight="1">
      <c r="A82" s="120" t="s">
        <v>243</v>
      </c>
      <c r="B82" s="120" t="s">
        <v>3454</v>
      </c>
      <c r="C82" s="120">
        <v>9</v>
      </c>
      <c r="D82" s="120" t="s">
        <v>3601</v>
      </c>
      <c r="E82" s="120" t="s">
        <v>514</v>
      </c>
      <c r="F82" s="120" t="s">
        <v>232</v>
      </c>
      <c r="G82" s="121">
        <v>46237</v>
      </c>
      <c r="H82" s="120" t="s">
        <v>3602</v>
      </c>
    </row>
    <row r="83" spans="1:8" ht="71.25" customHeight="1">
      <c r="A83" s="120" t="s">
        <v>243</v>
      </c>
      <c r="B83" s="120" t="s">
        <v>3457</v>
      </c>
      <c r="C83" s="120">
        <v>10</v>
      </c>
      <c r="D83" s="120" t="s">
        <v>3603</v>
      </c>
      <c r="E83" s="120" t="s">
        <v>514</v>
      </c>
      <c r="F83" s="120" t="s">
        <v>232</v>
      </c>
      <c r="G83" s="121">
        <v>46237</v>
      </c>
      <c r="H83" s="120" t="s">
        <v>3604</v>
      </c>
    </row>
    <row r="84" spans="1:8" ht="71.25" customHeight="1">
      <c r="A84" s="120" t="s">
        <v>243</v>
      </c>
      <c r="B84" s="120" t="s">
        <v>3460</v>
      </c>
      <c r="C84" s="120">
        <v>11</v>
      </c>
      <c r="D84" s="120" t="s">
        <v>3605</v>
      </c>
      <c r="E84" s="120" t="s">
        <v>514</v>
      </c>
      <c r="F84" s="120" t="s">
        <v>232</v>
      </c>
      <c r="G84" s="121">
        <v>46237</v>
      </c>
      <c r="H84" s="120" t="s">
        <v>3606</v>
      </c>
    </row>
    <row r="85" spans="1:8" ht="71.25" customHeight="1">
      <c r="A85" s="120" t="s">
        <v>243</v>
      </c>
      <c r="B85" s="120" t="s">
        <v>3463</v>
      </c>
      <c r="C85" s="120">
        <v>12</v>
      </c>
      <c r="D85" s="120" t="s">
        <v>3607</v>
      </c>
      <c r="E85" s="120" t="s">
        <v>514</v>
      </c>
      <c r="F85" s="120" t="s">
        <v>232</v>
      </c>
      <c r="G85" s="121">
        <v>46237</v>
      </c>
      <c r="H85" s="120" t="s">
        <v>3608</v>
      </c>
    </row>
    <row r="86" spans="1:8" ht="42.75" customHeight="1">
      <c r="A86" s="120" t="s">
        <v>243</v>
      </c>
      <c r="B86" s="120" t="s">
        <v>3466</v>
      </c>
      <c r="C86" s="120">
        <v>13</v>
      </c>
      <c r="D86" s="120" t="s">
        <v>509</v>
      </c>
      <c r="E86" s="120" t="s">
        <v>514</v>
      </c>
      <c r="F86" s="120" t="s">
        <v>232</v>
      </c>
      <c r="G86" s="121">
        <v>46237</v>
      </c>
      <c r="H86" s="120" t="s">
        <v>3609</v>
      </c>
    </row>
    <row r="87" spans="1:8" ht="42.75" customHeight="1">
      <c r="A87" s="120" t="s">
        <v>243</v>
      </c>
      <c r="B87" s="120" t="s">
        <v>3469</v>
      </c>
      <c r="C87" s="120">
        <v>14</v>
      </c>
      <c r="D87" s="120" t="s">
        <v>510</v>
      </c>
      <c r="E87" s="120" t="s">
        <v>514</v>
      </c>
      <c r="F87" s="120" t="s">
        <v>232</v>
      </c>
      <c r="G87" s="121">
        <v>46237</v>
      </c>
      <c r="H87" s="120" t="s">
        <v>3610</v>
      </c>
    </row>
    <row r="88" spans="1:8" ht="57" customHeight="1">
      <c r="A88" s="120" t="s">
        <v>243</v>
      </c>
      <c r="B88" s="120" t="s">
        <v>3472</v>
      </c>
      <c r="C88" s="120">
        <v>15</v>
      </c>
      <c r="D88" s="120" t="s">
        <v>3611</v>
      </c>
      <c r="E88" s="120" t="s">
        <v>514</v>
      </c>
      <c r="F88" s="120" t="s">
        <v>232</v>
      </c>
      <c r="G88" s="121">
        <v>46237</v>
      </c>
      <c r="H88" s="120" t="s">
        <v>3612</v>
      </c>
    </row>
    <row r="89" spans="1:8" ht="57" customHeight="1">
      <c r="A89" s="120" t="s">
        <v>243</v>
      </c>
      <c r="B89" s="120" t="s">
        <v>3475</v>
      </c>
      <c r="C89" s="120">
        <v>16</v>
      </c>
      <c r="D89" s="120" t="s">
        <v>3613</v>
      </c>
      <c r="E89" s="120" t="s">
        <v>514</v>
      </c>
      <c r="F89" s="120" t="s">
        <v>232</v>
      </c>
      <c r="G89" s="121">
        <v>46237</v>
      </c>
      <c r="H89" s="120" t="s">
        <v>3614</v>
      </c>
    </row>
    <row r="90" spans="1:8" ht="57" customHeight="1">
      <c r="A90" s="120" t="s">
        <v>243</v>
      </c>
      <c r="B90" s="120" t="s">
        <v>3478</v>
      </c>
      <c r="C90" s="120">
        <v>17</v>
      </c>
      <c r="D90" s="120" t="s">
        <v>3615</v>
      </c>
      <c r="E90" s="120" t="s">
        <v>514</v>
      </c>
      <c r="F90" s="120" t="s">
        <v>232</v>
      </c>
      <c r="G90" s="121">
        <v>46237</v>
      </c>
      <c r="H90" s="120" t="s">
        <v>3616</v>
      </c>
    </row>
    <row r="91" spans="1:8" ht="42.75" customHeight="1">
      <c r="A91" s="120" t="s">
        <v>243</v>
      </c>
      <c r="B91" s="120" t="s">
        <v>3481</v>
      </c>
      <c r="C91" s="120">
        <v>18</v>
      </c>
      <c r="D91" s="120" t="s">
        <v>3482</v>
      </c>
      <c r="E91" s="120" t="s">
        <v>514</v>
      </c>
      <c r="F91" s="120" t="s">
        <v>232</v>
      </c>
      <c r="G91" s="121">
        <v>46237</v>
      </c>
      <c r="H91" s="120" t="s">
        <v>3617</v>
      </c>
    </row>
    <row r="92" spans="1:8" ht="57" customHeight="1">
      <c r="A92" s="120" t="s">
        <v>246</v>
      </c>
      <c r="B92" s="120" t="s">
        <v>3430</v>
      </c>
      <c r="C92" s="120">
        <v>1</v>
      </c>
      <c r="D92" s="120" t="s">
        <v>3618</v>
      </c>
      <c r="E92" s="120" t="s">
        <v>522</v>
      </c>
      <c r="F92" s="120" t="s">
        <v>232</v>
      </c>
      <c r="G92" s="121">
        <v>46237</v>
      </c>
      <c r="H92" s="120" t="s">
        <v>3619</v>
      </c>
    </row>
    <row r="93" spans="1:8" ht="57" customHeight="1">
      <c r="A93" s="120" t="s">
        <v>246</v>
      </c>
      <c r="B93" s="120" t="s">
        <v>3433</v>
      </c>
      <c r="C93" s="120">
        <v>2</v>
      </c>
      <c r="D93" s="120" t="s">
        <v>3620</v>
      </c>
      <c r="E93" s="120" t="s">
        <v>522</v>
      </c>
      <c r="F93" s="120" t="s">
        <v>232</v>
      </c>
      <c r="G93" s="121">
        <v>46237</v>
      </c>
      <c r="H93" s="120" t="s">
        <v>3621</v>
      </c>
    </row>
    <row r="94" spans="1:8" ht="57" customHeight="1">
      <c r="A94" s="120" t="s">
        <v>246</v>
      </c>
      <c r="B94" s="120" t="s">
        <v>3436</v>
      </c>
      <c r="C94" s="120">
        <v>3</v>
      </c>
      <c r="D94" s="120" t="s">
        <v>3622</v>
      </c>
      <c r="E94" s="120" t="s">
        <v>522</v>
      </c>
      <c r="F94" s="120" t="s">
        <v>232</v>
      </c>
      <c r="G94" s="121">
        <v>46237</v>
      </c>
      <c r="H94" s="120" t="s">
        <v>3623</v>
      </c>
    </row>
    <row r="95" spans="1:8" ht="57" customHeight="1">
      <c r="A95" s="120" t="s">
        <v>246</v>
      </c>
      <c r="B95" s="120" t="s">
        <v>3439</v>
      </c>
      <c r="C95" s="120">
        <v>4</v>
      </c>
      <c r="D95" s="120" t="s">
        <v>3624</v>
      </c>
      <c r="E95" s="120" t="s">
        <v>522</v>
      </c>
      <c r="F95" s="120" t="s">
        <v>232</v>
      </c>
      <c r="G95" s="121">
        <v>46237</v>
      </c>
      <c r="H95" s="120" t="s">
        <v>3625</v>
      </c>
    </row>
    <row r="96" spans="1:8" ht="57" customHeight="1">
      <c r="A96" s="120" t="s">
        <v>246</v>
      </c>
      <c r="B96" s="120" t="s">
        <v>3442</v>
      </c>
      <c r="C96" s="120">
        <v>5</v>
      </c>
      <c r="D96" s="120" t="s">
        <v>3626</v>
      </c>
      <c r="E96" s="120" t="s">
        <v>522</v>
      </c>
      <c r="F96" s="120" t="s">
        <v>232</v>
      </c>
      <c r="G96" s="121">
        <v>46237</v>
      </c>
      <c r="H96" s="120" t="s">
        <v>3627</v>
      </c>
    </row>
    <row r="97" spans="1:8" ht="42.75" customHeight="1">
      <c r="A97" s="120" t="s">
        <v>246</v>
      </c>
      <c r="B97" s="120" t="s">
        <v>3445</v>
      </c>
      <c r="C97" s="120">
        <v>6</v>
      </c>
      <c r="D97" s="120" t="s">
        <v>3628</v>
      </c>
      <c r="E97" s="120" t="s">
        <v>522</v>
      </c>
      <c r="F97" s="120" t="s">
        <v>232</v>
      </c>
      <c r="G97" s="121">
        <v>46237</v>
      </c>
      <c r="H97" s="120" t="s">
        <v>3629</v>
      </c>
    </row>
    <row r="98" spans="1:8" ht="42.75" customHeight="1">
      <c r="A98" s="120" t="s">
        <v>246</v>
      </c>
      <c r="B98" s="120" t="s">
        <v>3448</v>
      </c>
      <c r="C98" s="120">
        <v>7</v>
      </c>
      <c r="D98" s="120" t="s">
        <v>3630</v>
      </c>
      <c r="E98" s="120" t="s">
        <v>522</v>
      </c>
      <c r="F98" s="120" t="s">
        <v>232</v>
      </c>
      <c r="G98" s="121">
        <v>46237</v>
      </c>
      <c r="H98" s="120" t="s">
        <v>3631</v>
      </c>
    </row>
    <row r="99" spans="1:8" ht="57" customHeight="1">
      <c r="A99" s="120" t="s">
        <v>246</v>
      </c>
      <c r="B99" s="120" t="s">
        <v>3451</v>
      </c>
      <c r="C99" s="120">
        <v>8</v>
      </c>
      <c r="D99" s="120" t="s">
        <v>3632</v>
      </c>
      <c r="E99" s="120" t="s">
        <v>522</v>
      </c>
      <c r="F99" s="120" t="s">
        <v>232</v>
      </c>
      <c r="G99" s="121">
        <v>46237</v>
      </c>
      <c r="H99" s="120" t="s">
        <v>3633</v>
      </c>
    </row>
    <row r="100" spans="1:8" ht="42.75" customHeight="1">
      <c r="A100" s="120" t="s">
        <v>246</v>
      </c>
      <c r="B100" s="120" t="s">
        <v>3454</v>
      </c>
      <c r="C100" s="120">
        <v>9</v>
      </c>
      <c r="D100" s="120" t="s">
        <v>3634</v>
      </c>
      <c r="E100" s="120" t="s">
        <v>522</v>
      </c>
      <c r="F100" s="120" t="s">
        <v>232</v>
      </c>
      <c r="G100" s="121">
        <v>46237</v>
      </c>
      <c r="H100" s="120" t="s">
        <v>3635</v>
      </c>
    </row>
    <row r="101" spans="1:8" ht="71.25" customHeight="1">
      <c r="A101" s="120" t="s">
        <v>246</v>
      </c>
      <c r="B101" s="120" t="s">
        <v>3457</v>
      </c>
      <c r="C101" s="120">
        <v>10</v>
      </c>
      <c r="D101" s="120" t="s">
        <v>3636</v>
      </c>
      <c r="E101" s="120" t="s">
        <v>522</v>
      </c>
      <c r="F101" s="120" t="s">
        <v>232</v>
      </c>
      <c r="G101" s="121">
        <v>46237</v>
      </c>
      <c r="H101" s="120" t="s">
        <v>3637</v>
      </c>
    </row>
    <row r="102" spans="1:8" ht="71.25" customHeight="1">
      <c r="A102" s="120" t="s">
        <v>246</v>
      </c>
      <c r="B102" s="120" t="s">
        <v>3460</v>
      </c>
      <c r="C102" s="120">
        <v>11</v>
      </c>
      <c r="D102" s="120" t="s">
        <v>3638</v>
      </c>
      <c r="E102" s="120" t="s">
        <v>522</v>
      </c>
      <c r="F102" s="120" t="s">
        <v>232</v>
      </c>
      <c r="G102" s="121">
        <v>46237</v>
      </c>
      <c r="H102" s="120" t="s">
        <v>3639</v>
      </c>
    </row>
    <row r="103" spans="1:8" ht="71.25" customHeight="1">
      <c r="A103" s="120" t="s">
        <v>246</v>
      </c>
      <c r="B103" s="120" t="s">
        <v>3463</v>
      </c>
      <c r="C103" s="120">
        <v>12</v>
      </c>
      <c r="D103" s="120" t="s">
        <v>3640</v>
      </c>
      <c r="E103" s="120" t="s">
        <v>522</v>
      </c>
      <c r="F103" s="120" t="s">
        <v>232</v>
      </c>
      <c r="G103" s="121">
        <v>46237</v>
      </c>
      <c r="H103" s="120" t="s">
        <v>3641</v>
      </c>
    </row>
    <row r="104" spans="1:8" ht="42.75" customHeight="1">
      <c r="A104" s="120" t="s">
        <v>246</v>
      </c>
      <c r="B104" s="120" t="s">
        <v>3466</v>
      </c>
      <c r="C104" s="120">
        <v>13</v>
      </c>
      <c r="D104" s="120" t="s">
        <v>517</v>
      </c>
      <c r="E104" s="120" t="s">
        <v>522</v>
      </c>
      <c r="F104" s="120" t="s">
        <v>232</v>
      </c>
      <c r="G104" s="121">
        <v>46237</v>
      </c>
      <c r="H104" s="120" t="s">
        <v>3642</v>
      </c>
    </row>
    <row r="105" spans="1:8" ht="42.75" customHeight="1">
      <c r="A105" s="120" t="s">
        <v>246</v>
      </c>
      <c r="B105" s="120" t="s">
        <v>3469</v>
      </c>
      <c r="C105" s="120">
        <v>14</v>
      </c>
      <c r="D105" s="120" t="s">
        <v>518</v>
      </c>
      <c r="E105" s="120" t="s">
        <v>522</v>
      </c>
      <c r="F105" s="120" t="s">
        <v>232</v>
      </c>
      <c r="G105" s="121">
        <v>46237</v>
      </c>
      <c r="H105" s="120" t="s">
        <v>3643</v>
      </c>
    </row>
    <row r="106" spans="1:8" ht="57" customHeight="1">
      <c r="A106" s="120" t="s">
        <v>246</v>
      </c>
      <c r="B106" s="120" t="s">
        <v>3472</v>
      </c>
      <c r="C106" s="120">
        <v>15</v>
      </c>
      <c r="D106" s="120" t="s">
        <v>3644</v>
      </c>
      <c r="E106" s="120" t="s">
        <v>522</v>
      </c>
      <c r="F106" s="120" t="s">
        <v>232</v>
      </c>
      <c r="G106" s="121">
        <v>46237</v>
      </c>
      <c r="H106" s="120" t="s">
        <v>3645</v>
      </c>
    </row>
    <row r="107" spans="1:8" ht="57" customHeight="1">
      <c r="A107" s="120" t="s">
        <v>246</v>
      </c>
      <c r="B107" s="120" t="s">
        <v>3475</v>
      </c>
      <c r="C107" s="120">
        <v>16</v>
      </c>
      <c r="D107" s="120" t="s">
        <v>3646</v>
      </c>
      <c r="E107" s="120" t="s">
        <v>522</v>
      </c>
      <c r="F107" s="120" t="s">
        <v>232</v>
      </c>
      <c r="G107" s="121">
        <v>46237</v>
      </c>
      <c r="H107" s="120" t="s">
        <v>3647</v>
      </c>
    </row>
    <row r="108" spans="1:8" ht="57" customHeight="1">
      <c r="A108" s="120" t="s">
        <v>246</v>
      </c>
      <c r="B108" s="120" t="s">
        <v>3478</v>
      </c>
      <c r="C108" s="120">
        <v>17</v>
      </c>
      <c r="D108" s="120" t="s">
        <v>3648</v>
      </c>
      <c r="E108" s="120" t="s">
        <v>522</v>
      </c>
      <c r="F108" s="120" t="s">
        <v>232</v>
      </c>
      <c r="G108" s="121">
        <v>46237</v>
      </c>
      <c r="H108" s="120" t="s">
        <v>3649</v>
      </c>
    </row>
    <row r="109" spans="1:8" ht="42.75" customHeight="1">
      <c r="A109" s="120" t="s">
        <v>246</v>
      </c>
      <c r="B109" s="120" t="s">
        <v>3481</v>
      </c>
      <c r="C109" s="120">
        <v>18</v>
      </c>
      <c r="D109" s="120" t="s">
        <v>3482</v>
      </c>
      <c r="E109" s="120" t="s">
        <v>522</v>
      </c>
      <c r="F109" s="120" t="s">
        <v>232</v>
      </c>
      <c r="G109" s="121">
        <v>46237</v>
      </c>
      <c r="H109" s="120" t="s">
        <v>3650</v>
      </c>
    </row>
    <row r="110" spans="1:8" ht="57" customHeight="1">
      <c r="A110" s="120" t="s">
        <v>250</v>
      </c>
      <c r="B110" s="120" t="s">
        <v>3430</v>
      </c>
      <c r="C110" s="120">
        <v>1</v>
      </c>
      <c r="D110" s="120" t="s">
        <v>3651</v>
      </c>
      <c r="E110" s="120" t="s">
        <v>530</v>
      </c>
      <c r="F110" s="120" t="s">
        <v>232</v>
      </c>
      <c r="G110" s="121">
        <v>46237</v>
      </c>
      <c r="H110" s="120" t="s">
        <v>3652</v>
      </c>
    </row>
    <row r="111" spans="1:8" ht="57" customHeight="1">
      <c r="A111" s="120" t="s">
        <v>250</v>
      </c>
      <c r="B111" s="120" t="s">
        <v>3433</v>
      </c>
      <c r="C111" s="120">
        <v>2</v>
      </c>
      <c r="D111" s="120" t="s">
        <v>3653</v>
      </c>
      <c r="E111" s="120" t="s">
        <v>530</v>
      </c>
      <c r="F111" s="120" t="s">
        <v>232</v>
      </c>
      <c r="G111" s="121">
        <v>46237</v>
      </c>
      <c r="H111" s="120" t="s">
        <v>3654</v>
      </c>
    </row>
    <row r="112" spans="1:8" ht="57" customHeight="1">
      <c r="A112" s="120" t="s">
        <v>250</v>
      </c>
      <c r="B112" s="120" t="s">
        <v>3436</v>
      </c>
      <c r="C112" s="120">
        <v>3</v>
      </c>
      <c r="D112" s="120" t="s">
        <v>3655</v>
      </c>
      <c r="E112" s="120" t="s">
        <v>530</v>
      </c>
      <c r="F112" s="120" t="s">
        <v>232</v>
      </c>
      <c r="G112" s="121">
        <v>46237</v>
      </c>
      <c r="H112" s="120" t="s">
        <v>3656</v>
      </c>
    </row>
    <row r="113" spans="1:8" ht="57" customHeight="1">
      <c r="A113" s="120" t="s">
        <v>250</v>
      </c>
      <c r="B113" s="120" t="s">
        <v>3439</v>
      </c>
      <c r="C113" s="120">
        <v>4</v>
      </c>
      <c r="D113" s="120" t="s">
        <v>3657</v>
      </c>
      <c r="E113" s="120" t="s">
        <v>530</v>
      </c>
      <c r="F113" s="120" t="s">
        <v>232</v>
      </c>
      <c r="G113" s="121">
        <v>46237</v>
      </c>
      <c r="H113" s="120" t="s">
        <v>3658</v>
      </c>
    </row>
    <row r="114" spans="1:8" ht="42.75" customHeight="1">
      <c r="A114" s="120" t="s">
        <v>250</v>
      </c>
      <c r="B114" s="120" t="s">
        <v>3442</v>
      </c>
      <c r="C114" s="120">
        <v>5</v>
      </c>
      <c r="D114" s="120" t="s">
        <v>3659</v>
      </c>
      <c r="E114" s="120" t="s">
        <v>530</v>
      </c>
      <c r="F114" s="120" t="s">
        <v>232</v>
      </c>
      <c r="G114" s="121">
        <v>46237</v>
      </c>
      <c r="H114" s="120" t="s">
        <v>3660</v>
      </c>
    </row>
    <row r="115" spans="1:8" ht="42.75" customHeight="1">
      <c r="A115" s="120" t="s">
        <v>250</v>
      </c>
      <c r="B115" s="120" t="s">
        <v>3445</v>
      </c>
      <c r="C115" s="120">
        <v>6</v>
      </c>
      <c r="D115" s="120" t="s">
        <v>3661</v>
      </c>
      <c r="E115" s="120" t="s">
        <v>530</v>
      </c>
      <c r="F115" s="120" t="s">
        <v>232</v>
      </c>
      <c r="G115" s="121">
        <v>46237</v>
      </c>
      <c r="H115" s="120" t="s">
        <v>3662</v>
      </c>
    </row>
    <row r="116" spans="1:8" ht="42.75" customHeight="1">
      <c r="A116" s="120" t="s">
        <v>250</v>
      </c>
      <c r="B116" s="120" t="s">
        <v>3448</v>
      </c>
      <c r="C116" s="120">
        <v>7</v>
      </c>
      <c r="D116" s="120" t="s">
        <v>3663</v>
      </c>
      <c r="E116" s="120" t="s">
        <v>530</v>
      </c>
      <c r="F116" s="120" t="s">
        <v>232</v>
      </c>
      <c r="G116" s="121">
        <v>46237</v>
      </c>
      <c r="H116" s="120" t="s">
        <v>3664</v>
      </c>
    </row>
    <row r="117" spans="1:8" ht="57" customHeight="1">
      <c r="A117" s="120" t="s">
        <v>250</v>
      </c>
      <c r="B117" s="120" t="s">
        <v>3451</v>
      </c>
      <c r="C117" s="120">
        <v>8</v>
      </c>
      <c r="D117" s="120" t="s">
        <v>3665</v>
      </c>
      <c r="E117" s="120" t="s">
        <v>530</v>
      </c>
      <c r="F117" s="120" t="s">
        <v>232</v>
      </c>
      <c r="G117" s="121">
        <v>46237</v>
      </c>
      <c r="H117" s="120" t="s">
        <v>3666</v>
      </c>
    </row>
    <row r="118" spans="1:8" ht="42.75" customHeight="1">
      <c r="A118" s="120" t="s">
        <v>250</v>
      </c>
      <c r="B118" s="120" t="s">
        <v>3454</v>
      </c>
      <c r="C118" s="120">
        <v>9</v>
      </c>
      <c r="D118" s="120" t="s">
        <v>3667</v>
      </c>
      <c r="E118" s="120" t="s">
        <v>530</v>
      </c>
      <c r="F118" s="120" t="s">
        <v>232</v>
      </c>
      <c r="G118" s="121">
        <v>46237</v>
      </c>
      <c r="H118" s="120" t="s">
        <v>3668</v>
      </c>
    </row>
    <row r="119" spans="1:8" ht="71.25" customHeight="1">
      <c r="A119" s="120" t="s">
        <v>250</v>
      </c>
      <c r="B119" s="120" t="s">
        <v>3457</v>
      </c>
      <c r="C119" s="120">
        <v>10</v>
      </c>
      <c r="D119" s="120" t="s">
        <v>3669</v>
      </c>
      <c r="E119" s="120" t="s">
        <v>530</v>
      </c>
      <c r="F119" s="120" t="s">
        <v>232</v>
      </c>
      <c r="G119" s="121">
        <v>46237</v>
      </c>
      <c r="H119" s="120" t="s">
        <v>3670</v>
      </c>
    </row>
    <row r="120" spans="1:8" ht="71.25" customHeight="1">
      <c r="A120" s="120" t="s">
        <v>250</v>
      </c>
      <c r="B120" s="120" t="s">
        <v>3460</v>
      </c>
      <c r="C120" s="120">
        <v>11</v>
      </c>
      <c r="D120" s="120" t="s">
        <v>3671</v>
      </c>
      <c r="E120" s="120" t="s">
        <v>530</v>
      </c>
      <c r="F120" s="120" t="s">
        <v>232</v>
      </c>
      <c r="G120" s="121">
        <v>46237</v>
      </c>
      <c r="H120" s="120" t="s">
        <v>3672</v>
      </c>
    </row>
    <row r="121" spans="1:8" ht="71.25" customHeight="1">
      <c r="A121" s="120" t="s">
        <v>250</v>
      </c>
      <c r="B121" s="120" t="s">
        <v>3463</v>
      </c>
      <c r="C121" s="120">
        <v>12</v>
      </c>
      <c r="D121" s="120" t="s">
        <v>3673</v>
      </c>
      <c r="E121" s="120" t="s">
        <v>530</v>
      </c>
      <c r="F121" s="120" t="s">
        <v>232</v>
      </c>
      <c r="G121" s="121">
        <v>46237</v>
      </c>
      <c r="H121" s="120" t="s">
        <v>3674</v>
      </c>
    </row>
    <row r="122" spans="1:8" ht="42.75" customHeight="1">
      <c r="A122" s="120" t="s">
        <v>250</v>
      </c>
      <c r="B122" s="120" t="s">
        <v>3466</v>
      </c>
      <c r="C122" s="120">
        <v>13</v>
      </c>
      <c r="D122" s="120" t="s">
        <v>525</v>
      </c>
      <c r="E122" s="120" t="s">
        <v>530</v>
      </c>
      <c r="F122" s="120" t="s">
        <v>232</v>
      </c>
      <c r="G122" s="121">
        <v>46237</v>
      </c>
      <c r="H122" s="120" t="s">
        <v>3675</v>
      </c>
    </row>
    <row r="123" spans="1:8" ht="42.75" customHeight="1">
      <c r="A123" s="120" t="s">
        <v>250</v>
      </c>
      <c r="B123" s="120" t="s">
        <v>3469</v>
      </c>
      <c r="C123" s="120">
        <v>14</v>
      </c>
      <c r="D123" s="120" t="s">
        <v>526</v>
      </c>
      <c r="E123" s="120" t="s">
        <v>530</v>
      </c>
      <c r="F123" s="120" t="s">
        <v>232</v>
      </c>
      <c r="G123" s="121">
        <v>46237</v>
      </c>
      <c r="H123" s="120" t="s">
        <v>3676</v>
      </c>
    </row>
    <row r="124" spans="1:8" ht="57" customHeight="1">
      <c r="A124" s="120" t="s">
        <v>250</v>
      </c>
      <c r="B124" s="120" t="s">
        <v>3472</v>
      </c>
      <c r="C124" s="120">
        <v>15</v>
      </c>
      <c r="D124" s="120" t="s">
        <v>3677</v>
      </c>
      <c r="E124" s="120" t="s">
        <v>530</v>
      </c>
      <c r="F124" s="120" t="s">
        <v>232</v>
      </c>
      <c r="G124" s="121">
        <v>46237</v>
      </c>
      <c r="H124" s="120" t="s">
        <v>3678</v>
      </c>
    </row>
    <row r="125" spans="1:8" ht="57" customHeight="1">
      <c r="A125" s="120" t="s">
        <v>250</v>
      </c>
      <c r="B125" s="120" t="s">
        <v>3475</v>
      </c>
      <c r="C125" s="120">
        <v>16</v>
      </c>
      <c r="D125" s="120" t="s">
        <v>3679</v>
      </c>
      <c r="E125" s="120" t="s">
        <v>530</v>
      </c>
      <c r="F125" s="120" t="s">
        <v>232</v>
      </c>
      <c r="G125" s="121">
        <v>46237</v>
      </c>
      <c r="H125" s="120" t="s">
        <v>3680</v>
      </c>
    </row>
    <row r="126" spans="1:8" ht="57" customHeight="1">
      <c r="A126" s="120" t="s">
        <v>250</v>
      </c>
      <c r="B126" s="120" t="s">
        <v>3478</v>
      </c>
      <c r="C126" s="120">
        <v>17</v>
      </c>
      <c r="D126" s="120" t="s">
        <v>3681</v>
      </c>
      <c r="E126" s="120" t="s">
        <v>530</v>
      </c>
      <c r="F126" s="120" t="s">
        <v>232</v>
      </c>
      <c r="G126" s="121">
        <v>46237</v>
      </c>
      <c r="H126" s="120" t="s">
        <v>3682</v>
      </c>
    </row>
    <row r="127" spans="1:8" ht="42.75" customHeight="1">
      <c r="A127" s="120" t="s">
        <v>250</v>
      </c>
      <c r="B127" s="120" t="s">
        <v>3481</v>
      </c>
      <c r="C127" s="120">
        <v>18</v>
      </c>
      <c r="D127" s="120" t="s">
        <v>3482</v>
      </c>
      <c r="E127" s="120" t="s">
        <v>530</v>
      </c>
      <c r="F127" s="120" t="s">
        <v>232</v>
      </c>
      <c r="G127" s="121">
        <v>46237</v>
      </c>
      <c r="H127" s="120" t="s">
        <v>3683</v>
      </c>
    </row>
    <row r="128" spans="1:8" ht="57" customHeight="1">
      <c r="A128" s="120" t="s">
        <v>255</v>
      </c>
      <c r="B128" s="120" t="s">
        <v>3430</v>
      </c>
      <c r="C128" s="120">
        <v>1</v>
      </c>
      <c r="D128" s="120" t="s">
        <v>3684</v>
      </c>
      <c r="E128" s="120" t="s">
        <v>538</v>
      </c>
      <c r="F128" s="120" t="s">
        <v>232</v>
      </c>
      <c r="G128" s="121">
        <v>46237</v>
      </c>
      <c r="H128" s="120" t="s">
        <v>3685</v>
      </c>
    </row>
    <row r="129" spans="1:8" ht="57" customHeight="1">
      <c r="A129" s="120" t="s">
        <v>255</v>
      </c>
      <c r="B129" s="120" t="s">
        <v>3433</v>
      </c>
      <c r="C129" s="120">
        <v>2</v>
      </c>
      <c r="D129" s="120" t="s">
        <v>3686</v>
      </c>
      <c r="E129" s="120" t="s">
        <v>538</v>
      </c>
      <c r="F129" s="120" t="s">
        <v>232</v>
      </c>
      <c r="G129" s="121">
        <v>46237</v>
      </c>
      <c r="H129" s="120" t="s">
        <v>3687</v>
      </c>
    </row>
    <row r="130" spans="1:8" ht="57" customHeight="1">
      <c r="A130" s="120" t="s">
        <v>255</v>
      </c>
      <c r="B130" s="120" t="s">
        <v>3436</v>
      </c>
      <c r="C130" s="120">
        <v>3</v>
      </c>
      <c r="D130" s="120" t="s">
        <v>3688</v>
      </c>
      <c r="E130" s="120" t="s">
        <v>538</v>
      </c>
      <c r="F130" s="120" t="s">
        <v>232</v>
      </c>
      <c r="G130" s="121">
        <v>46237</v>
      </c>
      <c r="H130" s="120" t="s">
        <v>3689</v>
      </c>
    </row>
    <row r="131" spans="1:8" ht="57" customHeight="1">
      <c r="A131" s="120" t="s">
        <v>255</v>
      </c>
      <c r="B131" s="120" t="s">
        <v>3439</v>
      </c>
      <c r="C131" s="120">
        <v>4</v>
      </c>
      <c r="D131" s="120" t="s">
        <v>3690</v>
      </c>
      <c r="E131" s="120" t="s">
        <v>538</v>
      </c>
      <c r="F131" s="120" t="s">
        <v>232</v>
      </c>
      <c r="G131" s="121">
        <v>46237</v>
      </c>
      <c r="H131" s="120" t="s">
        <v>3691</v>
      </c>
    </row>
    <row r="132" spans="1:8" ht="57" customHeight="1">
      <c r="A132" s="120" t="s">
        <v>255</v>
      </c>
      <c r="B132" s="120" t="s">
        <v>3442</v>
      </c>
      <c r="C132" s="120">
        <v>5</v>
      </c>
      <c r="D132" s="120" t="s">
        <v>3692</v>
      </c>
      <c r="E132" s="120" t="s">
        <v>538</v>
      </c>
      <c r="F132" s="120" t="s">
        <v>232</v>
      </c>
      <c r="G132" s="121">
        <v>46237</v>
      </c>
      <c r="H132" s="120" t="s">
        <v>3693</v>
      </c>
    </row>
    <row r="133" spans="1:8" ht="42.75" customHeight="1">
      <c r="A133" s="120" t="s">
        <v>255</v>
      </c>
      <c r="B133" s="120" t="s">
        <v>3445</v>
      </c>
      <c r="C133" s="120">
        <v>6</v>
      </c>
      <c r="D133" s="120" t="s">
        <v>3694</v>
      </c>
      <c r="E133" s="120" t="s">
        <v>538</v>
      </c>
      <c r="F133" s="120" t="s">
        <v>232</v>
      </c>
      <c r="G133" s="121">
        <v>46237</v>
      </c>
      <c r="H133" s="120" t="s">
        <v>3695</v>
      </c>
    </row>
    <row r="134" spans="1:8" ht="42.75" customHeight="1">
      <c r="A134" s="120" t="s">
        <v>255</v>
      </c>
      <c r="B134" s="120" t="s">
        <v>3448</v>
      </c>
      <c r="C134" s="120">
        <v>7</v>
      </c>
      <c r="D134" s="120" t="s">
        <v>3696</v>
      </c>
      <c r="E134" s="120" t="s">
        <v>538</v>
      </c>
      <c r="F134" s="120" t="s">
        <v>232</v>
      </c>
      <c r="G134" s="121">
        <v>46237</v>
      </c>
      <c r="H134" s="120" t="s">
        <v>3697</v>
      </c>
    </row>
    <row r="135" spans="1:8" ht="57" customHeight="1">
      <c r="A135" s="120" t="s">
        <v>255</v>
      </c>
      <c r="B135" s="120" t="s">
        <v>3451</v>
      </c>
      <c r="C135" s="120">
        <v>8</v>
      </c>
      <c r="D135" s="120" t="s">
        <v>3698</v>
      </c>
      <c r="E135" s="120" t="s">
        <v>538</v>
      </c>
      <c r="F135" s="120" t="s">
        <v>232</v>
      </c>
      <c r="G135" s="121">
        <v>46237</v>
      </c>
      <c r="H135" s="120" t="s">
        <v>3699</v>
      </c>
    </row>
    <row r="136" spans="1:8" ht="42.75" customHeight="1">
      <c r="A136" s="120" t="s">
        <v>255</v>
      </c>
      <c r="B136" s="120" t="s">
        <v>3454</v>
      </c>
      <c r="C136" s="120">
        <v>9</v>
      </c>
      <c r="D136" s="120" t="s">
        <v>3700</v>
      </c>
      <c r="E136" s="120" t="s">
        <v>538</v>
      </c>
      <c r="F136" s="120" t="s">
        <v>232</v>
      </c>
      <c r="G136" s="121">
        <v>46237</v>
      </c>
      <c r="H136" s="120" t="s">
        <v>3701</v>
      </c>
    </row>
    <row r="137" spans="1:8" ht="71.25" customHeight="1">
      <c r="A137" s="120" t="s">
        <v>255</v>
      </c>
      <c r="B137" s="120" t="s">
        <v>3457</v>
      </c>
      <c r="C137" s="120">
        <v>10</v>
      </c>
      <c r="D137" s="120" t="s">
        <v>3702</v>
      </c>
      <c r="E137" s="120" t="s">
        <v>538</v>
      </c>
      <c r="F137" s="120" t="s">
        <v>232</v>
      </c>
      <c r="G137" s="121">
        <v>46237</v>
      </c>
      <c r="H137" s="120" t="s">
        <v>3703</v>
      </c>
    </row>
    <row r="138" spans="1:8" ht="71.25" customHeight="1">
      <c r="A138" s="120" t="s">
        <v>255</v>
      </c>
      <c r="B138" s="120" t="s">
        <v>3460</v>
      </c>
      <c r="C138" s="120">
        <v>11</v>
      </c>
      <c r="D138" s="120" t="s">
        <v>3704</v>
      </c>
      <c r="E138" s="120" t="s">
        <v>538</v>
      </c>
      <c r="F138" s="120" t="s">
        <v>232</v>
      </c>
      <c r="G138" s="121">
        <v>46237</v>
      </c>
      <c r="H138" s="120" t="s">
        <v>3705</v>
      </c>
    </row>
    <row r="139" spans="1:8" ht="71.25" customHeight="1">
      <c r="A139" s="120" t="s">
        <v>255</v>
      </c>
      <c r="B139" s="120" t="s">
        <v>3463</v>
      </c>
      <c r="C139" s="120">
        <v>12</v>
      </c>
      <c r="D139" s="120" t="s">
        <v>3706</v>
      </c>
      <c r="E139" s="120" t="s">
        <v>538</v>
      </c>
      <c r="F139" s="120" t="s">
        <v>232</v>
      </c>
      <c r="G139" s="121">
        <v>46237</v>
      </c>
      <c r="H139" s="120" t="s">
        <v>3707</v>
      </c>
    </row>
    <row r="140" spans="1:8" ht="42.75" customHeight="1">
      <c r="A140" s="120" t="s">
        <v>255</v>
      </c>
      <c r="B140" s="120" t="s">
        <v>3466</v>
      </c>
      <c r="C140" s="120">
        <v>13</v>
      </c>
      <c r="D140" s="120" t="s">
        <v>533</v>
      </c>
      <c r="E140" s="120" t="s">
        <v>538</v>
      </c>
      <c r="F140" s="120" t="s">
        <v>232</v>
      </c>
      <c r="G140" s="121">
        <v>46237</v>
      </c>
      <c r="H140" s="120" t="s">
        <v>3708</v>
      </c>
    </row>
    <row r="141" spans="1:8" ht="42.75" customHeight="1">
      <c r="A141" s="120" t="s">
        <v>255</v>
      </c>
      <c r="B141" s="120" t="s">
        <v>3469</v>
      </c>
      <c r="C141" s="120">
        <v>14</v>
      </c>
      <c r="D141" s="120" t="s">
        <v>534</v>
      </c>
      <c r="E141" s="120" t="s">
        <v>538</v>
      </c>
      <c r="F141" s="120" t="s">
        <v>232</v>
      </c>
      <c r="G141" s="121">
        <v>46237</v>
      </c>
      <c r="H141" s="120" t="s">
        <v>3709</v>
      </c>
    </row>
    <row r="142" spans="1:8" ht="57" customHeight="1">
      <c r="A142" s="120" t="s">
        <v>255</v>
      </c>
      <c r="B142" s="120" t="s">
        <v>3472</v>
      </c>
      <c r="C142" s="120">
        <v>15</v>
      </c>
      <c r="D142" s="120" t="s">
        <v>3710</v>
      </c>
      <c r="E142" s="120" t="s">
        <v>538</v>
      </c>
      <c r="F142" s="120" t="s">
        <v>232</v>
      </c>
      <c r="G142" s="121">
        <v>46237</v>
      </c>
      <c r="H142" s="120" t="s">
        <v>3711</v>
      </c>
    </row>
    <row r="143" spans="1:8" ht="57" customHeight="1">
      <c r="A143" s="120" t="s">
        <v>255</v>
      </c>
      <c r="B143" s="120" t="s">
        <v>3475</v>
      </c>
      <c r="C143" s="120">
        <v>16</v>
      </c>
      <c r="D143" s="120" t="s">
        <v>3712</v>
      </c>
      <c r="E143" s="120" t="s">
        <v>538</v>
      </c>
      <c r="F143" s="120" t="s">
        <v>232</v>
      </c>
      <c r="G143" s="121">
        <v>46237</v>
      </c>
      <c r="H143" s="120" t="s">
        <v>3713</v>
      </c>
    </row>
    <row r="144" spans="1:8" ht="57" customHeight="1">
      <c r="A144" s="120" t="s">
        <v>255</v>
      </c>
      <c r="B144" s="120" t="s">
        <v>3478</v>
      </c>
      <c r="C144" s="120">
        <v>17</v>
      </c>
      <c r="D144" s="120" t="s">
        <v>3714</v>
      </c>
      <c r="E144" s="120" t="s">
        <v>538</v>
      </c>
      <c r="F144" s="120" t="s">
        <v>232</v>
      </c>
      <c r="G144" s="121">
        <v>46237</v>
      </c>
      <c r="H144" s="120" t="s">
        <v>3715</v>
      </c>
    </row>
    <row r="145" spans="1:8" ht="42.75" customHeight="1">
      <c r="A145" s="120" t="s">
        <v>255</v>
      </c>
      <c r="B145" s="120" t="s">
        <v>3481</v>
      </c>
      <c r="C145" s="120">
        <v>18</v>
      </c>
      <c r="D145" s="120" t="s">
        <v>3482</v>
      </c>
      <c r="E145" s="120" t="s">
        <v>538</v>
      </c>
      <c r="F145" s="120" t="s">
        <v>232</v>
      </c>
      <c r="G145" s="121">
        <v>46237</v>
      </c>
      <c r="H145" s="120" t="s">
        <v>3716</v>
      </c>
    </row>
    <row r="146" spans="1:8" ht="57" customHeight="1">
      <c r="A146" s="120" t="s">
        <v>258</v>
      </c>
      <c r="B146" s="120" t="s">
        <v>3430</v>
      </c>
      <c r="C146" s="120">
        <v>1</v>
      </c>
      <c r="D146" s="120" t="s">
        <v>3717</v>
      </c>
      <c r="E146" s="120" t="s">
        <v>546</v>
      </c>
      <c r="F146" s="120" t="s">
        <v>232</v>
      </c>
      <c r="G146" s="121">
        <v>46237</v>
      </c>
      <c r="H146" s="120" t="s">
        <v>3718</v>
      </c>
    </row>
    <row r="147" spans="1:8" ht="57" customHeight="1">
      <c r="A147" s="120" t="s">
        <v>258</v>
      </c>
      <c r="B147" s="120" t="s">
        <v>3433</v>
      </c>
      <c r="C147" s="120">
        <v>2</v>
      </c>
      <c r="D147" s="120" t="s">
        <v>3719</v>
      </c>
      <c r="E147" s="120" t="s">
        <v>546</v>
      </c>
      <c r="F147" s="120" t="s">
        <v>232</v>
      </c>
      <c r="G147" s="121">
        <v>46237</v>
      </c>
      <c r="H147" s="120" t="s">
        <v>3720</v>
      </c>
    </row>
    <row r="148" spans="1:8" ht="57" customHeight="1">
      <c r="A148" s="120" t="s">
        <v>258</v>
      </c>
      <c r="B148" s="120" t="s">
        <v>3436</v>
      </c>
      <c r="C148" s="120">
        <v>3</v>
      </c>
      <c r="D148" s="120" t="s">
        <v>3721</v>
      </c>
      <c r="E148" s="120" t="s">
        <v>546</v>
      </c>
      <c r="F148" s="120" t="s">
        <v>232</v>
      </c>
      <c r="G148" s="121">
        <v>46237</v>
      </c>
      <c r="H148" s="120" t="s">
        <v>3722</v>
      </c>
    </row>
    <row r="149" spans="1:8" ht="57" customHeight="1">
      <c r="A149" s="120" t="s">
        <v>258</v>
      </c>
      <c r="B149" s="120" t="s">
        <v>3439</v>
      </c>
      <c r="C149" s="120">
        <v>4</v>
      </c>
      <c r="D149" s="120" t="s">
        <v>3723</v>
      </c>
      <c r="E149" s="120" t="s">
        <v>546</v>
      </c>
      <c r="F149" s="120" t="s">
        <v>232</v>
      </c>
      <c r="G149" s="121">
        <v>46237</v>
      </c>
      <c r="H149" s="120" t="s">
        <v>3724</v>
      </c>
    </row>
    <row r="150" spans="1:8" ht="57" customHeight="1">
      <c r="A150" s="120" t="s">
        <v>258</v>
      </c>
      <c r="B150" s="120" t="s">
        <v>3442</v>
      </c>
      <c r="C150" s="120">
        <v>5</v>
      </c>
      <c r="D150" s="120" t="s">
        <v>3725</v>
      </c>
      <c r="E150" s="120" t="s">
        <v>546</v>
      </c>
      <c r="F150" s="120" t="s">
        <v>232</v>
      </c>
      <c r="G150" s="121">
        <v>46237</v>
      </c>
      <c r="H150" s="120" t="s">
        <v>3726</v>
      </c>
    </row>
    <row r="151" spans="1:8" ht="42.75" customHeight="1">
      <c r="A151" s="120" t="s">
        <v>258</v>
      </c>
      <c r="B151" s="120" t="s">
        <v>3445</v>
      </c>
      <c r="C151" s="120">
        <v>6</v>
      </c>
      <c r="D151" s="120" t="s">
        <v>3727</v>
      </c>
      <c r="E151" s="120" t="s">
        <v>546</v>
      </c>
      <c r="F151" s="120" t="s">
        <v>232</v>
      </c>
      <c r="G151" s="121">
        <v>46237</v>
      </c>
      <c r="H151" s="120" t="s">
        <v>3728</v>
      </c>
    </row>
    <row r="152" spans="1:8" ht="42.75" customHeight="1">
      <c r="A152" s="120" t="s">
        <v>258</v>
      </c>
      <c r="B152" s="120" t="s">
        <v>3448</v>
      </c>
      <c r="C152" s="120">
        <v>7</v>
      </c>
      <c r="D152" s="120" t="s">
        <v>3729</v>
      </c>
      <c r="E152" s="120" t="s">
        <v>546</v>
      </c>
      <c r="F152" s="120" t="s">
        <v>232</v>
      </c>
      <c r="G152" s="121">
        <v>46237</v>
      </c>
      <c r="H152" s="120" t="s">
        <v>3730</v>
      </c>
    </row>
    <row r="153" spans="1:8" ht="57" customHeight="1">
      <c r="A153" s="120" t="s">
        <v>258</v>
      </c>
      <c r="B153" s="120" t="s">
        <v>3451</v>
      </c>
      <c r="C153" s="120">
        <v>8</v>
      </c>
      <c r="D153" s="120" t="s">
        <v>3731</v>
      </c>
      <c r="E153" s="120" t="s">
        <v>546</v>
      </c>
      <c r="F153" s="120" t="s">
        <v>232</v>
      </c>
      <c r="G153" s="121">
        <v>46237</v>
      </c>
      <c r="H153" s="120" t="s">
        <v>3732</v>
      </c>
    </row>
    <row r="154" spans="1:8" ht="42.75" customHeight="1">
      <c r="A154" s="120" t="s">
        <v>258</v>
      </c>
      <c r="B154" s="120" t="s">
        <v>3454</v>
      </c>
      <c r="C154" s="120">
        <v>9</v>
      </c>
      <c r="D154" s="120" t="s">
        <v>3733</v>
      </c>
      <c r="E154" s="120" t="s">
        <v>546</v>
      </c>
      <c r="F154" s="120" t="s">
        <v>232</v>
      </c>
      <c r="G154" s="121">
        <v>46237</v>
      </c>
      <c r="H154" s="120" t="s">
        <v>3734</v>
      </c>
    </row>
    <row r="155" spans="1:8" ht="71.25" customHeight="1">
      <c r="A155" s="120" t="s">
        <v>258</v>
      </c>
      <c r="B155" s="120" t="s">
        <v>3457</v>
      </c>
      <c r="C155" s="120">
        <v>10</v>
      </c>
      <c r="D155" s="120" t="s">
        <v>3735</v>
      </c>
      <c r="E155" s="120" t="s">
        <v>546</v>
      </c>
      <c r="F155" s="120" t="s">
        <v>232</v>
      </c>
      <c r="G155" s="121">
        <v>46237</v>
      </c>
      <c r="H155" s="120" t="s">
        <v>3736</v>
      </c>
    </row>
    <row r="156" spans="1:8" ht="71.25" customHeight="1">
      <c r="A156" s="120" t="s">
        <v>258</v>
      </c>
      <c r="B156" s="120" t="s">
        <v>3460</v>
      </c>
      <c r="C156" s="120">
        <v>11</v>
      </c>
      <c r="D156" s="120" t="s">
        <v>3737</v>
      </c>
      <c r="E156" s="120" t="s">
        <v>546</v>
      </c>
      <c r="F156" s="120" t="s">
        <v>232</v>
      </c>
      <c r="G156" s="121">
        <v>46237</v>
      </c>
      <c r="H156" s="120" t="s">
        <v>3738</v>
      </c>
    </row>
    <row r="157" spans="1:8" ht="71.25" customHeight="1">
      <c r="A157" s="120" t="s">
        <v>258</v>
      </c>
      <c r="B157" s="120" t="s">
        <v>3463</v>
      </c>
      <c r="C157" s="120">
        <v>12</v>
      </c>
      <c r="D157" s="120" t="s">
        <v>3739</v>
      </c>
      <c r="E157" s="120" t="s">
        <v>546</v>
      </c>
      <c r="F157" s="120" t="s">
        <v>232</v>
      </c>
      <c r="G157" s="121">
        <v>46237</v>
      </c>
      <c r="H157" s="120" t="s">
        <v>3740</v>
      </c>
    </row>
    <row r="158" spans="1:8" ht="42.75" customHeight="1">
      <c r="A158" s="120" t="s">
        <v>258</v>
      </c>
      <c r="B158" s="120" t="s">
        <v>3466</v>
      </c>
      <c r="C158" s="120">
        <v>13</v>
      </c>
      <c r="D158" s="120" t="s">
        <v>541</v>
      </c>
      <c r="E158" s="120" t="s">
        <v>546</v>
      </c>
      <c r="F158" s="120" t="s">
        <v>232</v>
      </c>
      <c r="G158" s="121">
        <v>46237</v>
      </c>
      <c r="H158" s="120" t="s">
        <v>3741</v>
      </c>
    </row>
    <row r="159" spans="1:8" ht="42.75" customHeight="1">
      <c r="A159" s="120" t="s">
        <v>258</v>
      </c>
      <c r="B159" s="120" t="s">
        <v>3469</v>
      </c>
      <c r="C159" s="120">
        <v>14</v>
      </c>
      <c r="D159" s="120" t="s">
        <v>542</v>
      </c>
      <c r="E159" s="120" t="s">
        <v>546</v>
      </c>
      <c r="F159" s="120" t="s">
        <v>232</v>
      </c>
      <c r="G159" s="121">
        <v>46237</v>
      </c>
      <c r="H159" s="120" t="s">
        <v>3742</v>
      </c>
    </row>
    <row r="160" spans="1:8" ht="57" customHeight="1">
      <c r="A160" s="120" t="s">
        <v>258</v>
      </c>
      <c r="B160" s="120" t="s">
        <v>3472</v>
      </c>
      <c r="C160" s="120">
        <v>15</v>
      </c>
      <c r="D160" s="120" t="s">
        <v>3743</v>
      </c>
      <c r="E160" s="120" t="s">
        <v>546</v>
      </c>
      <c r="F160" s="120" t="s">
        <v>232</v>
      </c>
      <c r="G160" s="121">
        <v>46237</v>
      </c>
      <c r="H160" s="120" t="s">
        <v>3744</v>
      </c>
    </row>
    <row r="161" spans="1:8" ht="71.25" customHeight="1">
      <c r="A161" s="120" t="s">
        <v>258</v>
      </c>
      <c r="B161" s="120" t="s">
        <v>3475</v>
      </c>
      <c r="C161" s="120">
        <v>16</v>
      </c>
      <c r="D161" s="120" t="s">
        <v>3745</v>
      </c>
      <c r="E161" s="120" t="s">
        <v>546</v>
      </c>
      <c r="F161" s="120" t="s">
        <v>232</v>
      </c>
      <c r="G161" s="121">
        <v>46237</v>
      </c>
      <c r="H161" s="120" t="s">
        <v>3746</v>
      </c>
    </row>
    <row r="162" spans="1:8" ht="57" customHeight="1">
      <c r="A162" s="120" t="s">
        <v>258</v>
      </c>
      <c r="B162" s="120" t="s">
        <v>3478</v>
      </c>
      <c r="C162" s="120">
        <v>17</v>
      </c>
      <c r="D162" s="120" t="s">
        <v>3747</v>
      </c>
      <c r="E162" s="120" t="s">
        <v>546</v>
      </c>
      <c r="F162" s="120" t="s">
        <v>232</v>
      </c>
      <c r="G162" s="121">
        <v>46237</v>
      </c>
      <c r="H162" s="120" t="s">
        <v>3748</v>
      </c>
    </row>
    <row r="163" spans="1:8" ht="42.75" customHeight="1">
      <c r="A163" s="120" t="s">
        <v>258</v>
      </c>
      <c r="B163" s="120" t="s">
        <v>3481</v>
      </c>
      <c r="C163" s="120">
        <v>18</v>
      </c>
      <c r="D163" s="120" t="s">
        <v>3482</v>
      </c>
      <c r="E163" s="120" t="s">
        <v>546</v>
      </c>
      <c r="F163" s="120" t="s">
        <v>232</v>
      </c>
      <c r="G163" s="121">
        <v>46237</v>
      </c>
      <c r="H163" s="120" t="s">
        <v>3749</v>
      </c>
    </row>
    <row r="164" spans="1:8" ht="57" customHeight="1">
      <c r="A164" s="120" t="s">
        <v>262</v>
      </c>
      <c r="B164" s="120" t="s">
        <v>3430</v>
      </c>
      <c r="C164" s="120">
        <v>1</v>
      </c>
      <c r="D164" s="120" t="s">
        <v>3750</v>
      </c>
      <c r="E164" s="120" t="s">
        <v>553</v>
      </c>
      <c r="F164" s="120" t="s">
        <v>232</v>
      </c>
      <c r="G164" s="121">
        <v>46237</v>
      </c>
      <c r="H164" s="120" t="s">
        <v>3751</v>
      </c>
    </row>
    <row r="165" spans="1:8" ht="57" customHeight="1">
      <c r="A165" s="120" t="s">
        <v>262</v>
      </c>
      <c r="B165" s="120" t="s">
        <v>3433</v>
      </c>
      <c r="C165" s="120">
        <v>2</v>
      </c>
      <c r="D165" s="120" t="s">
        <v>3752</v>
      </c>
      <c r="E165" s="120" t="s">
        <v>553</v>
      </c>
      <c r="F165" s="120" t="s">
        <v>232</v>
      </c>
      <c r="G165" s="121">
        <v>46237</v>
      </c>
      <c r="H165" s="120" t="s">
        <v>3753</v>
      </c>
    </row>
    <row r="166" spans="1:8" ht="57" customHeight="1">
      <c r="A166" s="120" t="s">
        <v>262</v>
      </c>
      <c r="B166" s="120" t="s">
        <v>3436</v>
      </c>
      <c r="C166" s="120">
        <v>3</v>
      </c>
      <c r="D166" s="120" t="s">
        <v>3754</v>
      </c>
      <c r="E166" s="120" t="s">
        <v>553</v>
      </c>
      <c r="F166" s="120" t="s">
        <v>232</v>
      </c>
      <c r="G166" s="121">
        <v>46237</v>
      </c>
      <c r="H166" s="120" t="s">
        <v>3755</v>
      </c>
    </row>
    <row r="167" spans="1:8" ht="57" customHeight="1">
      <c r="A167" s="120" t="s">
        <v>262</v>
      </c>
      <c r="B167" s="120" t="s">
        <v>3439</v>
      </c>
      <c r="C167" s="120">
        <v>4</v>
      </c>
      <c r="D167" s="120" t="s">
        <v>3756</v>
      </c>
      <c r="E167" s="120" t="s">
        <v>553</v>
      </c>
      <c r="F167" s="120" t="s">
        <v>232</v>
      </c>
      <c r="G167" s="121">
        <v>46237</v>
      </c>
      <c r="H167" s="120" t="s">
        <v>3757</v>
      </c>
    </row>
    <row r="168" spans="1:8" ht="57" customHeight="1">
      <c r="A168" s="120" t="s">
        <v>262</v>
      </c>
      <c r="B168" s="120" t="s">
        <v>3442</v>
      </c>
      <c r="C168" s="120">
        <v>5</v>
      </c>
      <c r="D168" s="120" t="s">
        <v>3758</v>
      </c>
      <c r="E168" s="120" t="s">
        <v>553</v>
      </c>
      <c r="F168" s="120" t="s">
        <v>232</v>
      </c>
      <c r="G168" s="121">
        <v>46237</v>
      </c>
      <c r="H168" s="120" t="s">
        <v>3759</v>
      </c>
    </row>
    <row r="169" spans="1:8" ht="42.75" customHeight="1">
      <c r="A169" s="120" t="s">
        <v>262</v>
      </c>
      <c r="B169" s="120" t="s">
        <v>3445</v>
      </c>
      <c r="C169" s="120">
        <v>6</v>
      </c>
      <c r="D169" s="120" t="s">
        <v>3760</v>
      </c>
      <c r="E169" s="120" t="s">
        <v>553</v>
      </c>
      <c r="F169" s="120" t="s">
        <v>232</v>
      </c>
      <c r="G169" s="121">
        <v>46237</v>
      </c>
      <c r="H169" s="120" t="s">
        <v>3761</v>
      </c>
    </row>
    <row r="170" spans="1:8" ht="42.75" customHeight="1">
      <c r="A170" s="120" t="s">
        <v>262</v>
      </c>
      <c r="B170" s="120" t="s">
        <v>3448</v>
      </c>
      <c r="C170" s="120">
        <v>7</v>
      </c>
      <c r="D170" s="120" t="s">
        <v>3762</v>
      </c>
      <c r="E170" s="120" t="s">
        <v>553</v>
      </c>
      <c r="F170" s="120" t="s">
        <v>232</v>
      </c>
      <c r="G170" s="121">
        <v>46237</v>
      </c>
      <c r="H170" s="120" t="s">
        <v>3763</v>
      </c>
    </row>
    <row r="171" spans="1:8" ht="57" customHeight="1">
      <c r="A171" s="120" t="s">
        <v>262</v>
      </c>
      <c r="B171" s="120" t="s">
        <v>3451</v>
      </c>
      <c r="C171" s="120">
        <v>8</v>
      </c>
      <c r="D171" s="120" t="s">
        <v>3764</v>
      </c>
      <c r="E171" s="120" t="s">
        <v>553</v>
      </c>
      <c r="F171" s="120" t="s">
        <v>232</v>
      </c>
      <c r="G171" s="121">
        <v>46237</v>
      </c>
      <c r="H171" s="120" t="s">
        <v>3765</v>
      </c>
    </row>
    <row r="172" spans="1:8" ht="42.75" customHeight="1">
      <c r="A172" s="120" t="s">
        <v>262</v>
      </c>
      <c r="B172" s="120" t="s">
        <v>3454</v>
      </c>
      <c r="C172" s="120">
        <v>9</v>
      </c>
      <c r="D172" s="120" t="s">
        <v>3766</v>
      </c>
      <c r="E172" s="120" t="s">
        <v>553</v>
      </c>
      <c r="F172" s="120" t="s">
        <v>232</v>
      </c>
      <c r="G172" s="121">
        <v>46237</v>
      </c>
      <c r="H172" s="120" t="s">
        <v>3767</v>
      </c>
    </row>
    <row r="173" spans="1:8" ht="71.25" customHeight="1">
      <c r="A173" s="120" t="s">
        <v>262</v>
      </c>
      <c r="B173" s="120" t="s">
        <v>3457</v>
      </c>
      <c r="C173" s="120">
        <v>10</v>
      </c>
      <c r="D173" s="120" t="s">
        <v>3768</v>
      </c>
      <c r="E173" s="120" t="s">
        <v>553</v>
      </c>
      <c r="F173" s="120" t="s">
        <v>232</v>
      </c>
      <c r="G173" s="121">
        <v>46237</v>
      </c>
      <c r="H173" s="120" t="s">
        <v>3769</v>
      </c>
    </row>
    <row r="174" spans="1:8" ht="71.25" customHeight="1">
      <c r="A174" s="120" t="s">
        <v>262</v>
      </c>
      <c r="B174" s="120" t="s">
        <v>3460</v>
      </c>
      <c r="C174" s="120">
        <v>11</v>
      </c>
      <c r="D174" s="120" t="s">
        <v>3770</v>
      </c>
      <c r="E174" s="120" t="s">
        <v>553</v>
      </c>
      <c r="F174" s="120" t="s">
        <v>232</v>
      </c>
      <c r="G174" s="121">
        <v>46237</v>
      </c>
      <c r="H174" s="120" t="s">
        <v>3771</v>
      </c>
    </row>
    <row r="175" spans="1:8" ht="71.25" customHeight="1">
      <c r="A175" s="120" t="s">
        <v>262</v>
      </c>
      <c r="B175" s="120" t="s">
        <v>3463</v>
      </c>
      <c r="C175" s="120">
        <v>12</v>
      </c>
      <c r="D175" s="120" t="s">
        <v>3772</v>
      </c>
      <c r="E175" s="120" t="s">
        <v>553</v>
      </c>
      <c r="F175" s="120" t="s">
        <v>232</v>
      </c>
      <c r="G175" s="121">
        <v>46237</v>
      </c>
      <c r="H175" s="120" t="s">
        <v>3773</v>
      </c>
    </row>
    <row r="176" spans="1:8" ht="42.75" customHeight="1">
      <c r="A176" s="120" t="s">
        <v>262</v>
      </c>
      <c r="B176" s="120" t="s">
        <v>3466</v>
      </c>
      <c r="C176" s="120">
        <v>13</v>
      </c>
      <c r="D176" s="120" t="s">
        <v>548</v>
      </c>
      <c r="E176" s="120" t="s">
        <v>553</v>
      </c>
      <c r="F176" s="120" t="s">
        <v>232</v>
      </c>
      <c r="G176" s="121">
        <v>46237</v>
      </c>
      <c r="H176" s="120" t="s">
        <v>3774</v>
      </c>
    </row>
    <row r="177" spans="1:8" ht="42.75" customHeight="1">
      <c r="A177" s="120" t="s">
        <v>262</v>
      </c>
      <c r="B177" s="120" t="s">
        <v>3469</v>
      </c>
      <c r="C177" s="120">
        <v>14</v>
      </c>
      <c r="D177" s="120" t="s">
        <v>549</v>
      </c>
      <c r="E177" s="120" t="s">
        <v>553</v>
      </c>
      <c r="F177" s="120" t="s">
        <v>232</v>
      </c>
      <c r="G177" s="121">
        <v>46237</v>
      </c>
      <c r="H177" s="120" t="s">
        <v>3775</v>
      </c>
    </row>
    <row r="178" spans="1:8" ht="57" customHeight="1">
      <c r="A178" s="120" t="s">
        <v>262</v>
      </c>
      <c r="B178" s="120" t="s">
        <v>3472</v>
      </c>
      <c r="C178" s="120">
        <v>15</v>
      </c>
      <c r="D178" s="120" t="s">
        <v>3776</v>
      </c>
      <c r="E178" s="120" t="s">
        <v>553</v>
      </c>
      <c r="F178" s="120" t="s">
        <v>232</v>
      </c>
      <c r="G178" s="121">
        <v>46237</v>
      </c>
      <c r="H178" s="120" t="s">
        <v>3777</v>
      </c>
    </row>
    <row r="179" spans="1:8" ht="57" customHeight="1">
      <c r="A179" s="120" t="s">
        <v>262</v>
      </c>
      <c r="B179" s="120" t="s">
        <v>3475</v>
      </c>
      <c r="C179" s="120">
        <v>16</v>
      </c>
      <c r="D179" s="120" t="s">
        <v>3778</v>
      </c>
      <c r="E179" s="120" t="s">
        <v>553</v>
      </c>
      <c r="F179" s="120" t="s">
        <v>232</v>
      </c>
      <c r="G179" s="121">
        <v>46237</v>
      </c>
      <c r="H179" s="120" t="s">
        <v>3779</v>
      </c>
    </row>
    <row r="180" spans="1:8" ht="57" customHeight="1">
      <c r="A180" s="120" t="s">
        <v>262</v>
      </c>
      <c r="B180" s="120" t="s">
        <v>3478</v>
      </c>
      <c r="C180" s="120">
        <v>17</v>
      </c>
      <c r="D180" s="120" t="s">
        <v>3780</v>
      </c>
      <c r="E180" s="120" t="s">
        <v>553</v>
      </c>
      <c r="F180" s="120" t="s">
        <v>232</v>
      </c>
      <c r="G180" s="121">
        <v>46237</v>
      </c>
      <c r="H180" s="120" t="s">
        <v>3781</v>
      </c>
    </row>
    <row r="181" spans="1:8" ht="42.75" customHeight="1">
      <c r="A181" s="120" t="s">
        <v>262</v>
      </c>
      <c r="B181" s="120" t="s">
        <v>3481</v>
      </c>
      <c r="C181" s="120">
        <v>18</v>
      </c>
      <c r="D181" s="120" t="s">
        <v>3482</v>
      </c>
      <c r="E181" s="120" t="s">
        <v>553</v>
      </c>
      <c r="F181" s="120" t="s">
        <v>232</v>
      </c>
      <c r="G181" s="121">
        <v>46237</v>
      </c>
      <c r="H181" s="120" t="s">
        <v>3782</v>
      </c>
    </row>
    <row r="182" spans="1:8" ht="57" customHeight="1">
      <c r="A182" s="120" t="s">
        <v>266</v>
      </c>
      <c r="B182" s="120" t="s">
        <v>3430</v>
      </c>
      <c r="C182" s="120">
        <v>1</v>
      </c>
      <c r="D182" s="120" t="s">
        <v>3783</v>
      </c>
      <c r="E182" s="120" t="s">
        <v>560</v>
      </c>
      <c r="F182" s="120" t="s">
        <v>232</v>
      </c>
      <c r="G182" s="121">
        <v>46237</v>
      </c>
      <c r="H182" s="120" t="s">
        <v>3784</v>
      </c>
    </row>
    <row r="183" spans="1:8" ht="57" customHeight="1">
      <c r="A183" s="120" t="s">
        <v>266</v>
      </c>
      <c r="B183" s="120" t="s">
        <v>3433</v>
      </c>
      <c r="C183" s="120">
        <v>2</v>
      </c>
      <c r="D183" s="120" t="s">
        <v>3785</v>
      </c>
      <c r="E183" s="120" t="s">
        <v>560</v>
      </c>
      <c r="F183" s="120" t="s">
        <v>232</v>
      </c>
      <c r="G183" s="121">
        <v>46237</v>
      </c>
      <c r="H183" s="120" t="s">
        <v>3786</v>
      </c>
    </row>
    <row r="184" spans="1:8" ht="57" customHeight="1">
      <c r="A184" s="120" t="s">
        <v>266</v>
      </c>
      <c r="B184" s="120" t="s">
        <v>3436</v>
      </c>
      <c r="C184" s="120">
        <v>3</v>
      </c>
      <c r="D184" s="120" t="s">
        <v>3787</v>
      </c>
      <c r="E184" s="120" t="s">
        <v>560</v>
      </c>
      <c r="F184" s="120" t="s">
        <v>232</v>
      </c>
      <c r="G184" s="121">
        <v>46237</v>
      </c>
      <c r="H184" s="120" t="s">
        <v>3788</v>
      </c>
    </row>
    <row r="185" spans="1:8" ht="57" customHeight="1">
      <c r="A185" s="120" t="s">
        <v>266</v>
      </c>
      <c r="B185" s="120" t="s">
        <v>3439</v>
      </c>
      <c r="C185" s="120">
        <v>4</v>
      </c>
      <c r="D185" s="120" t="s">
        <v>3789</v>
      </c>
      <c r="E185" s="120" t="s">
        <v>560</v>
      </c>
      <c r="F185" s="120" t="s">
        <v>232</v>
      </c>
      <c r="G185" s="121">
        <v>46237</v>
      </c>
      <c r="H185" s="120" t="s">
        <v>3790</v>
      </c>
    </row>
    <row r="186" spans="1:8" ht="42.75" customHeight="1">
      <c r="A186" s="120" t="s">
        <v>266</v>
      </c>
      <c r="B186" s="120" t="s">
        <v>3442</v>
      </c>
      <c r="C186" s="120">
        <v>5</v>
      </c>
      <c r="D186" s="120" t="s">
        <v>3791</v>
      </c>
      <c r="E186" s="120" t="s">
        <v>560</v>
      </c>
      <c r="F186" s="120" t="s">
        <v>232</v>
      </c>
      <c r="G186" s="121">
        <v>46237</v>
      </c>
      <c r="H186" s="120" t="s">
        <v>3792</v>
      </c>
    </row>
    <row r="187" spans="1:8" ht="42.75" customHeight="1">
      <c r="A187" s="120" t="s">
        <v>266</v>
      </c>
      <c r="B187" s="120" t="s">
        <v>3445</v>
      </c>
      <c r="C187" s="120">
        <v>6</v>
      </c>
      <c r="D187" s="120" t="s">
        <v>3793</v>
      </c>
      <c r="E187" s="120" t="s">
        <v>560</v>
      </c>
      <c r="F187" s="120" t="s">
        <v>232</v>
      </c>
      <c r="G187" s="121">
        <v>46237</v>
      </c>
      <c r="H187" s="120" t="s">
        <v>3794</v>
      </c>
    </row>
    <row r="188" spans="1:8" ht="42.75" customHeight="1">
      <c r="A188" s="120" t="s">
        <v>266</v>
      </c>
      <c r="B188" s="120" t="s">
        <v>3448</v>
      </c>
      <c r="C188" s="120">
        <v>7</v>
      </c>
      <c r="D188" s="120" t="s">
        <v>3795</v>
      </c>
      <c r="E188" s="120" t="s">
        <v>560</v>
      </c>
      <c r="F188" s="120" t="s">
        <v>232</v>
      </c>
      <c r="G188" s="121">
        <v>46237</v>
      </c>
      <c r="H188" s="120" t="s">
        <v>3796</v>
      </c>
    </row>
    <row r="189" spans="1:8" ht="57" customHeight="1">
      <c r="A189" s="120" t="s">
        <v>266</v>
      </c>
      <c r="B189" s="120" t="s">
        <v>3451</v>
      </c>
      <c r="C189" s="120">
        <v>8</v>
      </c>
      <c r="D189" s="120" t="s">
        <v>3797</v>
      </c>
      <c r="E189" s="120" t="s">
        <v>560</v>
      </c>
      <c r="F189" s="120" t="s">
        <v>232</v>
      </c>
      <c r="G189" s="121">
        <v>46237</v>
      </c>
      <c r="H189" s="120" t="s">
        <v>3798</v>
      </c>
    </row>
    <row r="190" spans="1:8" ht="42.75" customHeight="1">
      <c r="A190" s="120" t="s">
        <v>266</v>
      </c>
      <c r="B190" s="120" t="s">
        <v>3454</v>
      </c>
      <c r="C190" s="120">
        <v>9</v>
      </c>
      <c r="D190" s="120" t="s">
        <v>3799</v>
      </c>
      <c r="E190" s="120" t="s">
        <v>560</v>
      </c>
      <c r="F190" s="120" t="s">
        <v>232</v>
      </c>
      <c r="G190" s="121">
        <v>46237</v>
      </c>
      <c r="H190" s="120" t="s">
        <v>3800</v>
      </c>
    </row>
    <row r="191" spans="1:8" ht="71.25" customHeight="1">
      <c r="A191" s="120" t="s">
        <v>266</v>
      </c>
      <c r="B191" s="120" t="s">
        <v>3457</v>
      </c>
      <c r="C191" s="120">
        <v>10</v>
      </c>
      <c r="D191" s="120" t="s">
        <v>3801</v>
      </c>
      <c r="E191" s="120" t="s">
        <v>560</v>
      </c>
      <c r="F191" s="120" t="s">
        <v>232</v>
      </c>
      <c r="G191" s="121">
        <v>46237</v>
      </c>
      <c r="H191" s="120" t="s">
        <v>3802</v>
      </c>
    </row>
    <row r="192" spans="1:8" ht="71.25" customHeight="1">
      <c r="A192" s="120" t="s">
        <v>266</v>
      </c>
      <c r="B192" s="120" t="s">
        <v>3460</v>
      </c>
      <c r="C192" s="120">
        <v>11</v>
      </c>
      <c r="D192" s="120" t="s">
        <v>3803</v>
      </c>
      <c r="E192" s="120" t="s">
        <v>560</v>
      </c>
      <c r="F192" s="120" t="s">
        <v>232</v>
      </c>
      <c r="G192" s="121">
        <v>46237</v>
      </c>
      <c r="H192" s="120" t="s">
        <v>3804</v>
      </c>
    </row>
    <row r="193" spans="1:8" ht="71.25" customHeight="1">
      <c r="A193" s="120" t="s">
        <v>266</v>
      </c>
      <c r="B193" s="120" t="s">
        <v>3463</v>
      </c>
      <c r="C193" s="120">
        <v>12</v>
      </c>
      <c r="D193" s="120" t="s">
        <v>3805</v>
      </c>
      <c r="E193" s="120" t="s">
        <v>560</v>
      </c>
      <c r="F193" s="120" t="s">
        <v>232</v>
      </c>
      <c r="G193" s="121">
        <v>46237</v>
      </c>
      <c r="H193" s="120" t="s">
        <v>3806</v>
      </c>
    </row>
    <row r="194" spans="1:8" ht="42.75" customHeight="1">
      <c r="A194" s="120" t="s">
        <v>266</v>
      </c>
      <c r="B194" s="120" t="s">
        <v>3466</v>
      </c>
      <c r="C194" s="120">
        <v>13</v>
      </c>
      <c r="D194" s="120" t="s">
        <v>555</v>
      </c>
      <c r="E194" s="120" t="s">
        <v>560</v>
      </c>
      <c r="F194" s="120" t="s">
        <v>232</v>
      </c>
      <c r="G194" s="121">
        <v>46237</v>
      </c>
      <c r="H194" s="120" t="s">
        <v>3807</v>
      </c>
    </row>
    <row r="195" spans="1:8" ht="42.75" customHeight="1">
      <c r="A195" s="120" t="s">
        <v>266</v>
      </c>
      <c r="B195" s="120" t="s">
        <v>3469</v>
      </c>
      <c r="C195" s="120">
        <v>14</v>
      </c>
      <c r="D195" s="120" t="s">
        <v>3808</v>
      </c>
      <c r="E195" s="120" t="s">
        <v>560</v>
      </c>
      <c r="F195" s="120" t="s">
        <v>232</v>
      </c>
      <c r="G195" s="121">
        <v>46237</v>
      </c>
      <c r="H195" s="120" t="s">
        <v>3809</v>
      </c>
    </row>
    <row r="196" spans="1:8" ht="57" customHeight="1">
      <c r="A196" s="120" t="s">
        <v>266</v>
      </c>
      <c r="B196" s="120" t="s">
        <v>3472</v>
      </c>
      <c r="C196" s="120">
        <v>15</v>
      </c>
      <c r="D196" s="120" t="s">
        <v>3810</v>
      </c>
      <c r="E196" s="120" t="s">
        <v>560</v>
      </c>
      <c r="F196" s="120" t="s">
        <v>232</v>
      </c>
      <c r="G196" s="121">
        <v>46237</v>
      </c>
      <c r="H196" s="120" t="s">
        <v>3811</v>
      </c>
    </row>
    <row r="197" spans="1:8" ht="57" customHeight="1">
      <c r="A197" s="120" t="s">
        <v>266</v>
      </c>
      <c r="B197" s="120" t="s">
        <v>3475</v>
      </c>
      <c r="C197" s="120">
        <v>16</v>
      </c>
      <c r="D197" s="120" t="s">
        <v>3812</v>
      </c>
      <c r="E197" s="120" t="s">
        <v>560</v>
      </c>
      <c r="F197" s="120" t="s">
        <v>232</v>
      </c>
      <c r="G197" s="121">
        <v>46237</v>
      </c>
      <c r="H197" s="120" t="s">
        <v>3813</v>
      </c>
    </row>
    <row r="198" spans="1:8" ht="57" customHeight="1">
      <c r="A198" s="120" t="s">
        <v>266</v>
      </c>
      <c r="B198" s="120" t="s">
        <v>3478</v>
      </c>
      <c r="C198" s="120">
        <v>17</v>
      </c>
      <c r="D198" s="120" t="s">
        <v>3814</v>
      </c>
      <c r="E198" s="120" t="s">
        <v>560</v>
      </c>
      <c r="F198" s="120" t="s">
        <v>232</v>
      </c>
      <c r="G198" s="121">
        <v>46237</v>
      </c>
      <c r="H198" s="120" t="s">
        <v>3815</v>
      </c>
    </row>
    <row r="199" spans="1:8" ht="42.75" customHeight="1">
      <c r="A199" s="120" t="s">
        <v>266</v>
      </c>
      <c r="B199" s="120" t="s">
        <v>3481</v>
      </c>
      <c r="C199" s="120">
        <v>18</v>
      </c>
      <c r="D199" s="120" t="s">
        <v>3482</v>
      </c>
      <c r="E199" s="120" t="s">
        <v>560</v>
      </c>
      <c r="F199" s="120" t="s">
        <v>232</v>
      </c>
      <c r="G199" s="121">
        <v>46237</v>
      </c>
      <c r="H199" s="120" t="s">
        <v>3816</v>
      </c>
    </row>
    <row r="200" spans="1:8" ht="57" customHeight="1">
      <c r="A200" s="120" t="s">
        <v>272</v>
      </c>
      <c r="B200" s="120" t="s">
        <v>3430</v>
      </c>
      <c r="C200" s="120">
        <v>1</v>
      </c>
      <c r="D200" s="120" t="s">
        <v>3817</v>
      </c>
      <c r="E200" s="120" t="s">
        <v>568</v>
      </c>
      <c r="F200" s="120" t="s">
        <v>232</v>
      </c>
      <c r="G200" s="121">
        <v>46237</v>
      </c>
      <c r="H200" s="120" t="s">
        <v>3818</v>
      </c>
    </row>
    <row r="201" spans="1:8" ht="57" customHeight="1">
      <c r="A201" s="120" t="s">
        <v>272</v>
      </c>
      <c r="B201" s="120" t="s">
        <v>3433</v>
      </c>
      <c r="C201" s="120">
        <v>2</v>
      </c>
      <c r="D201" s="120" t="s">
        <v>3819</v>
      </c>
      <c r="E201" s="120" t="s">
        <v>568</v>
      </c>
      <c r="F201" s="120" t="s">
        <v>232</v>
      </c>
      <c r="G201" s="121">
        <v>46237</v>
      </c>
      <c r="H201" s="120" t="s">
        <v>3820</v>
      </c>
    </row>
    <row r="202" spans="1:8" ht="57" customHeight="1">
      <c r="A202" s="120" t="s">
        <v>272</v>
      </c>
      <c r="B202" s="120" t="s">
        <v>3436</v>
      </c>
      <c r="C202" s="120">
        <v>3</v>
      </c>
      <c r="D202" s="120" t="s">
        <v>3821</v>
      </c>
      <c r="E202" s="120" t="s">
        <v>568</v>
      </c>
      <c r="F202" s="120" t="s">
        <v>232</v>
      </c>
      <c r="G202" s="121">
        <v>46237</v>
      </c>
      <c r="H202" s="120" t="s">
        <v>3822</v>
      </c>
    </row>
    <row r="203" spans="1:8" ht="57" customHeight="1">
      <c r="A203" s="120" t="s">
        <v>272</v>
      </c>
      <c r="B203" s="120" t="s">
        <v>3439</v>
      </c>
      <c r="C203" s="120">
        <v>4</v>
      </c>
      <c r="D203" s="120" t="s">
        <v>3823</v>
      </c>
      <c r="E203" s="120" t="s">
        <v>568</v>
      </c>
      <c r="F203" s="120" t="s">
        <v>232</v>
      </c>
      <c r="G203" s="121">
        <v>46237</v>
      </c>
      <c r="H203" s="120" t="s">
        <v>3824</v>
      </c>
    </row>
    <row r="204" spans="1:8" ht="42.75" customHeight="1">
      <c r="A204" s="120" t="s">
        <v>272</v>
      </c>
      <c r="B204" s="120" t="s">
        <v>3442</v>
      </c>
      <c r="C204" s="120">
        <v>5</v>
      </c>
      <c r="D204" s="120" t="s">
        <v>3825</v>
      </c>
      <c r="E204" s="120" t="s">
        <v>568</v>
      </c>
      <c r="F204" s="120" t="s">
        <v>232</v>
      </c>
      <c r="G204" s="121">
        <v>46237</v>
      </c>
      <c r="H204" s="120" t="s">
        <v>3826</v>
      </c>
    </row>
    <row r="205" spans="1:8" ht="42.75" customHeight="1">
      <c r="A205" s="120" t="s">
        <v>272</v>
      </c>
      <c r="B205" s="120" t="s">
        <v>3445</v>
      </c>
      <c r="C205" s="120">
        <v>6</v>
      </c>
      <c r="D205" s="120" t="s">
        <v>3827</v>
      </c>
      <c r="E205" s="120" t="s">
        <v>568</v>
      </c>
      <c r="F205" s="120" t="s">
        <v>232</v>
      </c>
      <c r="G205" s="121">
        <v>46237</v>
      </c>
      <c r="H205" s="120" t="s">
        <v>3828</v>
      </c>
    </row>
    <row r="206" spans="1:8" ht="42.75" customHeight="1">
      <c r="A206" s="120" t="s">
        <v>272</v>
      </c>
      <c r="B206" s="120" t="s">
        <v>3448</v>
      </c>
      <c r="C206" s="120">
        <v>7</v>
      </c>
      <c r="D206" s="120" t="s">
        <v>3829</v>
      </c>
      <c r="E206" s="120" t="s">
        <v>568</v>
      </c>
      <c r="F206" s="120" t="s">
        <v>232</v>
      </c>
      <c r="G206" s="121">
        <v>46237</v>
      </c>
      <c r="H206" s="120" t="s">
        <v>3830</v>
      </c>
    </row>
    <row r="207" spans="1:8" ht="57" customHeight="1">
      <c r="A207" s="120" t="s">
        <v>272</v>
      </c>
      <c r="B207" s="120" t="s">
        <v>3451</v>
      </c>
      <c r="C207" s="120">
        <v>8</v>
      </c>
      <c r="D207" s="120" t="s">
        <v>3831</v>
      </c>
      <c r="E207" s="120" t="s">
        <v>568</v>
      </c>
      <c r="F207" s="120" t="s">
        <v>232</v>
      </c>
      <c r="G207" s="121">
        <v>46237</v>
      </c>
      <c r="H207" s="120" t="s">
        <v>3832</v>
      </c>
    </row>
    <row r="208" spans="1:8" ht="42.75" customHeight="1">
      <c r="A208" s="120" t="s">
        <v>272</v>
      </c>
      <c r="B208" s="120" t="s">
        <v>3454</v>
      </c>
      <c r="C208" s="120">
        <v>9</v>
      </c>
      <c r="D208" s="120" t="s">
        <v>3833</v>
      </c>
      <c r="E208" s="120" t="s">
        <v>568</v>
      </c>
      <c r="F208" s="120" t="s">
        <v>232</v>
      </c>
      <c r="G208" s="121">
        <v>46237</v>
      </c>
      <c r="H208" s="120" t="s">
        <v>3834</v>
      </c>
    </row>
    <row r="209" spans="1:8" ht="71.25" customHeight="1">
      <c r="A209" s="120" t="s">
        <v>272</v>
      </c>
      <c r="B209" s="120" t="s">
        <v>3457</v>
      </c>
      <c r="C209" s="120">
        <v>10</v>
      </c>
      <c r="D209" s="120" t="s">
        <v>3835</v>
      </c>
      <c r="E209" s="120" t="s">
        <v>568</v>
      </c>
      <c r="F209" s="120" t="s">
        <v>232</v>
      </c>
      <c r="G209" s="121">
        <v>46237</v>
      </c>
      <c r="H209" s="120" t="s">
        <v>3836</v>
      </c>
    </row>
    <row r="210" spans="1:8" ht="71.25" customHeight="1">
      <c r="A210" s="120" t="s">
        <v>272</v>
      </c>
      <c r="B210" s="120" t="s">
        <v>3460</v>
      </c>
      <c r="C210" s="120">
        <v>11</v>
      </c>
      <c r="D210" s="120" t="s">
        <v>3837</v>
      </c>
      <c r="E210" s="120" t="s">
        <v>568</v>
      </c>
      <c r="F210" s="120" t="s">
        <v>232</v>
      </c>
      <c r="G210" s="121">
        <v>46237</v>
      </c>
      <c r="H210" s="120" t="s">
        <v>3838</v>
      </c>
    </row>
    <row r="211" spans="1:8" ht="71.25" customHeight="1">
      <c r="A211" s="120" t="s">
        <v>272</v>
      </c>
      <c r="B211" s="120" t="s">
        <v>3463</v>
      </c>
      <c r="C211" s="120">
        <v>12</v>
      </c>
      <c r="D211" s="120" t="s">
        <v>3839</v>
      </c>
      <c r="E211" s="120" t="s">
        <v>568</v>
      </c>
      <c r="F211" s="120" t="s">
        <v>232</v>
      </c>
      <c r="G211" s="121">
        <v>46237</v>
      </c>
      <c r="H211" s="120" t="s">
        <v>3840</v>
      </c>
    </row>
    <row r="212" spans="1:8" ht="42.75" customHeight="1">
      <c r="A212" s="120" t="s">
        <v>272</v>
      </c>
      <c r="B212" s="120" t="s">
        <v>3466</v>
      </c>
      <c r="C212" s="120">
        <v>13</v>
      </c>
      <c r="D212" s="120" t="s">
        <v>563</v>
      </c>
      <c r="E212" s="120" t="s">
        <v>568</v>
      </c>
      <c r="F212" s="120" t="s">
        <v>232</v>
      </c>
      <c r="G212" s="121">
        <v>46237</v>
      </c>
      <c r="H212" s="120" t="s">
        <v>3841</v>
      </c>
    </row>
    <row r="213" spans="1:8" ht="42.75" customHeight="1">
      <c r="A213" s="120" t="s">
        <v>272</v>
      </c>
      <c r="B213" s="120" t="s">
        <v>3469</v>
      </c>
      <c r="C213" s="120">
        <v>14</v>
      </c>
      <c r="D213" s="120" t="s">
        <v>564</v>
      </c>
      <c r="E213" s="120" t="s">
        <v>568</v>
      </c>
      <c r="F213" s="120" t="s">
        <v>232</v>
      </c>
      <c r="G213" s="121">
        <v>46237</v>
      </c>
      <c r="H213" s="120" t="s">
        <v>3842</v>
      </c>
    </row>
    <row r="214" spans="1:8" ht="57" customHeight="1">
      <c r="A214" s="120" t="s">
        <v>272</v>
      </c>
      <c r="B214" s="120" t="s">
        <v>3472</v>
      </c>
      <c r="C214" s="120">
        <v>15</v>
      </c>
      <c r="D214" s="120" t="s">
        <v>3843</v>
      </c>
      <c r="E214" s="120" t="s">
        <v>568</v>
      </c>
      <c r="F214" s="120" t="s">
        <v>232</v>
      </c>
      <c r="G214" s="121">
        <v>46237</v>
      </c>
      <c r="H214" s="120" t="s">
        <v>3844</v>
      </c>
    </row>
    <row r="215" spans="1:8" ht="57" customHeight="1">
      <c r="A215" s="120" t="s">
        <v>272</v>
      </c>
      <c r="B215" s="120" t="s">
        <v>3475</v>
      </c>
      <c r="C215" s="120">
        <v>16</v>
      </c>
      <c r="D215" s="120" t="s">
        <v>3845</v>
      </c>
      <c r="E215" s="120" t="s">
        <v>568</v>
      </c>
      <c r="F215" s="120" t="s">
        <v>232</v>
      </c>
      <c r="G215" s="121">
        <v>46237</v>
      </c>
      <c r="H215" s="120" t="s">
        <v>3846</v>
      </c>
    </row>
    <row r="216" spans="1:8" ht="57" customHeight="1">
      <c r="A216" s="120" t="s">
        <v>272</v>
      </c>
      <c r="B216" s="120" t="s">
        <v>3478</v>
      </c>
      <c r="C216" s="120">
        <v>17</v>
      </c>
      <c r="D216" s="120" t="s">
        <v>3847</v>
      </c>
      <c r="E216" s="120" t="s">
        <v>568</v>
      </c>
      <c r="F216" s="120" t="s">
        <v>232</v>
      </c>
      <c r="G216" s="121">
        <v>46237</v>
      </c>
      <c r="H216" s="120" t="s">
        <v>3848</v>
      </c>
    </row>
    <row r="217" spans="1:8" ht="42.75" customHeight="1">
      <c r="A217" s="120" t="s">
        <v>272</v>
      </c>
      <c r="B217" s="120" t="s">
        <v>3481</v>
      </c>
      <c r="C217" s="120">
        <v>18</v>
      </c>
      <c r="D217" s="120" t="s">
        <v>3482</v>
      </c>
      <c r="E217" s="120" t="s">
        <v>568</v>
      </c>
      <c r="F217" s="120" t="s">
        <v>232</v>
      </c>
      <c r="G217" s="121">
        <v>46237</v>
      </c>
      <c r="H217" s="120" t="s">
        <v>3849</v>
      </c>
    </row>
    <row r="218" spans="1:8" ht="57" customHeight="1">
      <c r="A218" s="120" t="s">
        <v>275</v>
      </c>
      <c r="B218" s="120" t="s">
        <v>3430</v>
      </c>
      <c r="C218" s="120">
        <v>1</v>
      </c>
      <c r="D218" s="120" t="s">
        <v>3850</v>
      </c>
      <c r="E218" s="120" t="s">
        <v>576</v>
      </c>
      <c r="F218" s="120" t="s">
        <v>232</v>
      </c>
      <c r="G218" s="121">
        <v>46237</v>
      </c>
      <c r="H218" s="120" t="s">
        <v>3851</v>
      </c>
    </row>
    <row r="219" spans="1:8" ht="57" customHeight="1">
      <c r="A219" s="120" t="s">
        <v>275</v>
      </c>
      <c r="B219" s="120" t="s">
        <v>3433</v>
      </c>
      <c r="C219" s="120">
        <v>2</v>
      </c>
      <c r="D219" s="120" t="s">
        <v>3852</v>
      </c>
      <c r="E219" s="120" t="s">
        <v>576</v>
      </c>
      <c r="F219" s="120" t="s">
        <v>232</v>
      </c>
      <c r="G219" s="121">
        <v>46237</v>
      </c>
      <c r="H219" s="120" t="s">
        <v>3853</v>
      </c>
    </row>
    <row r="220" spans="1:8" ht="57" customHeight="1">
      <c r="A220" s="120" t="s">
        <v>275</v>
      </c>
      <c r="B220" s="120" t="s">
        <v>3436</v>
      </c>
      <c r="C220" s="120">
        <v>3</v>
      </c>
      <c r="D220" s="120" t="s">
        <v>3854</v>
      </c>
      <c r="E220" s="120" t="s">
        <v>576</v>
      </c>
      <c r="F220" s="120" t="s">
        <v>232</v>
      </c>
      <c r="G220" s="121">
        <v>46237</v>
      </c>
      <c r="H220" s="120" t="s">
        <v>3855</v>
      </c>
    </row>
    <row r="221" spans="1:8" ht="57" customHeight="1">
      <c r="A221" s="120" t="s">
        <v>275</v>
      </c>
      <c r="B221" s="120" t="s">
        <v>3439</v>
      </c>
      <c r="C221" s="120">
        <v>4</v>
      </c>
      <c r="D221" s="120" t="s">
        <v>3856</v>
      </c>
      <c r="E221" s="120" t="s">
        <v>576</v>
      </c>
      <c r="F221" s="120" t="s">
        <v>232</v>
      </c>
      <c r="G221" s="121">
        <v>46237</v>
      </c>
      <c r="H221" s="120" t="s">
        <v>3857</v>
      </c>
    </row>
    <row r="222" spans="1:8" ht="42.75" customHeight="1">
      <c r="A222" s="120" t="s">
        <v>275</v>
      </c>
      <c r="B222" s="120" t="s">
        <v>3442</v>
      </c>
      <c r="C222" s="120">
        <v>5</v>
      </c>
      <c r="D222" s="120" t="s">
        <v>3858</v>
      </c>
      <c r="E222" s="120" t="s">
        <v>576</v>
      </c>
      <c r="F222" s="120" t="s">
        <v>232</v>
      </c>
      <c r="G222" s="121">
        <v>46237</v>
      </c>
      <c r="H222" s="120" t="s">
        <v>3859</v>
      </c>
    </row>
    <row r="223" spans="1:8" ht="42.75" customHeight="1">
      <c r="A223" s="120" t="s">
        <v>275</v>
      </c>
      <c r="B223" s="120" t="s">
        <v>3445</v>
      </c>
      <c r="C223" s="120">
        <v>6</v>
      </c>
      <c r="D223" s="120" t="s">
        <v>3860</v>
      </c>
      <c r="E223" s="120" t="s">
        <v>576</v>
      </c>
      <c r="F223" s="120" t="s">
        <v>232</v>
      </c>
      <c r="G223" s="121">
        <v>46237</v>
      </c>
      <c r="H223" s="120" t="s">
        <v>3861</v>
      </c>
    </row>
    <row r="224" spans="1:8" ht="42.75" customHeight="1">
      <c r="A224" s="120" t="s">
        <v>275</v>
      </c>
      <c r="B224" s="120" t="s">
        <v>3448</v>
      </c>
      <c r="C224" s="120">
        <v>7</v>
      </c>
      <c r="D224" s="120" t="s">
        <v>3862</v>
      </c>
      <c r="E224" s="120" t="s">
        <v>576</v>
      </c>
      <c r="F224" s="120" t="s">
        <v>232</v>
      </c>
      <c r="G224" s="121">
        <v>46237</v>
      </c>
      <c r="H224" s="120" t="s">
        <v>3863</v>
      </c>
    </row>
    <row r="225" spans="1:8" ht="57" customHeight="1">
      <c r="A225" s="120" t="s">
        <v>275</v>
      </c>
      <c r="B225" s="120" t="s">
        <v>3451</v>
      </c>
      <c r="C225" s="120">
        <v>8</v>
      </c>
      <c r="D225" s="120" t="s">
        <v>3864</v>
      </c>
      <c r="E225" s="120" t="s">
        <v>576</v>
      </c>
      <c r="F225" s="120" t="s">
        <v>232</v>
      </c>
      <c r="G225" s="121">
        <v>46237</v>
      </c>
      <c r="H225" s="120" t="s">
        <v>3865</v>
      </c>
    </row>
    <row r="226" spans="1:8" ht="42.75" customHeight="1">
      <c r="A226" s="120" t="s">
        <v>275</v>
      </c>
      <c r="B226" s="120" t="s">
        <v>3454</v>
      </c>
      <c r="C226" s="120">
        <v>9</v>
      </c>
      <c r="D226" s="120" t="s">
        <v>3866</v>
      </c>
      <c r="E226" s="120" t="s">
        <v>576</v>
      </c>
      <c r="F226" s="120" t="s">
        <v>232</v>
      </c>
      <c r="G226" s="121">
        <v>46237</v>
      </c>
      <c r="H226" s="120" t="s">
        <v>3867</v>
      </c>
    </row>
    <row r="227" spans="1:8" ht="71.25" customHeight="1">
      <c r="A227" s="120" t="s">
        <v>275</v>
      </c>
      <c r="B227" s="120" t="s">
        <v>3457</v>
      </c>
      <c r="C227" s="120">
        <v>10</v>
      </c>
      <c r="D227" s="120" t="s">
        <v>3868</v>
      </c>
      <c r="E227" s="120" t="s">
        <v>576</v>
      </c>
      <c r="F227" s="120" t="s">
        <v>232</v>
      </c>
      <c r="G227" s="121">
        <v>46237</v>
      </c>
      <c r="H227" s="120" t="s">
        <v>3869</v>
      </c>
    </row>
    <row r="228" spans="1:8" ht="71.25" customHeight="1">
      <c r="A228" s="120" t="s">
        <v>275</v>
      </c>
      <c r="B228" s="120" t="s">
        <v>3460</v>
      </c>
      <c r="C228" s="120">
        <v>11</v>
      </c>
      <c r="D228" s="120" t="s">
        <v>3870</v>
      </c>
      <c r="E228" s="120" t="s">
        <v>576</v>
      </c>
      <c r="F228" s="120" t="s">
        <v>232</v>
      </c>
      <c r="G228" s="121">
        <v>46237</v>
      </c>
      <c r="H228" s="120" t="s">
        <v>3871</v>
      </c>
    </row>
    <row r="229" spans="1:8" ht="71.25" customHeight="1">
      <c r="A229" s="120" t="s">
        <v>275</v>
      </c>
      <c r="B229" s="120" t="s">
        <v>3463</v>
      </c>
      <c r="C229" s="120">
        <v>12</v>
      </c>
      <c r="D229" s="120" t="s">
        <v>3872</v>
      </c>
      <c r="E229" s="120" t="s">
        <v>576</v>
      </c>
      <c r="F229" s="120" t="s">
        <v>232</v>
      </c>
      <c r="G229" s="121">
        <v>46237</v>
      </c>
      <c r="H229" s="120" t="s">
        <v>3873</v>
      </c>
    </row>
    <row r="230" spans="1:8" ht="42.75" customHeight="1">
      <c r="A230" s="120" t="s">
        <v>275</v>
      </c>
      <c r="B230" s="120" t="s">
        <v>3466</v>
      </c>
      <c r="C230" s="120">
        <v>13</v>
      </c>
      <c r="D230" s="120" t="s">
        <v>571</v>
      </c>
      <c r="E230" s="120" t="s">
        <v>576</v>
      </c>
      <c r="F230" s="120" t="s">
        <v>232</v>
      </c>
      <c r="G230" s="121">
        <v>46237</v>
      </c>
      <c r="H230" s="120" t="s">
        <v>3874</v>
      </c>
    </row>
    <row r="231" spans="1:8" ht="42.75" customHeight="1">
      <c r="A231" s="120" t="s">
        <v>275</v>
      </c>
      <c r="B231" s="120" t="s">
        <v>3469</v>
      </c>
      <c r="C231" s="120">
        <v>14</v>
      </c>
      <c r="D231" s="120" t="s">
        <v>572</v>
      </c>
      <c r="E231" s="120" t="s">
        <v>576</v>
      </c>
      <c r="F231" s="120" t="s">
        <v>232</v>
      </c>
      <c r="G231" s="121">
        <v>46237</v>
      </c>
      <c r="H231" s="120" t="s">
        <v>3875</v>
      </c>
    </row>
    <row r="232" spans="1:8" ht="57" customHeight="1">
      <c r="A232" s="120" t="s">
        <v>275</v>
      </c>
      <c r="B232" s="120" t="s">
        <v>3472</v>
      </c>
      <c r="C232" s="120">
        <v>15</v>
      </c>
      <c r="D232" s="120" t="s">
        <v>3876</v>
      </c>
      <c r="E232" s="120" t="s">
        <v>576</v>
      </c>
      <c r="F232" s="120" t="s">
        <v>232</v>
      </c>
      <c r="G232" s="121">
        <v>46237</v>
      </c>
      <c r="H232" s="120" t="s">
        <v>3877</v>
      </c>
    </row>
    <row r="233" spans="1:8" ht="57" customHeight="1">
      <c r="A233" s="120" t="s">
        <v>275</v>
      </c>
      <c r="B233" s="120" t="s">
        <v>3475</v>
      </c>
      <c r="C233" s="120">
        <v>16</v>
      </c>
      <c r="D233" s="120" t="s">
        <v>3878</v>
      </c>
      <c r="E233" s="120" t="s">
        <v>576</v>
      </c>
      <c r="F233" s="120" t="s">
        <v>232</v>
      </c>
      <c r="G233" s="121">
        <v>46237</v>
      </c>
      <c r="H233" s="120" t="s">
        <v>3879</v>
      </c>
    </row>
    <row r="234" spans="1:8" ht="57" customHeight="1">
      <c r="A234" s="120" t="s">
        <v>275</v>
      </c>
      <c r="B234" s="120" t="s">
        <v>3478</v>
      </c>
      <c r="C234" s="120">
        <v>17</v>
      </c>
      <c r="D234" s="120" t="s">
        <v>3880</v>
      </c>
      <c r="E234" s="120" t="s">
        <v>576</v>
      </c>
      <c r="F234" s="120" t="s">
        <v>232</v>
      </c>
      <c r="G234" s="121">
        <v>46237</v>
      </c>
      <c r="H234" s="120" t="s">
        <v>3881</v>
      </c>
    </row>
    <row r="235" spans="1:8" ht="42.75" customHeight="1">
      <c r="A235" s="120" t="s">
        <v>275</v>
      </c>
      <c r="B235" s="120" t="s">
        <v>3481</v>
      </c>
      <c r="C235" s="120">
        <v>18</v>
      </c>
      <c r="D235" s="120" t="s">
        <v>3482</v>
      </c>
      <c r="E235" s="120" t="s">
        <v>576</v>
      </c>
      <c r="F235" s="120" t="s">
        <v>232</v>
      </c>
      <c r="G235" s="121">
        <v>46237</v>
      </c>
      <c r="H235" s="120" t="s">
        <v>3882</v>
      </c>
    </row>
    <row r="236" spans="1:8" ht="57" customHeight="1">
      <c r="A236" s="120" t="s">
        <v>278</v>
      </c>
      <c r="B236" s="120" t="s">
        <v>3430</v>
      </c>
      <c r="C236" s="120">
        <v>1</v>
      </c>
      <c r="D236" s="120" t="s">
        <v>3883</v>
      </c>
      <c r="E236" s="120" t="s">
        <v>584</v>
      </c>
      <c r="F236" s="120" t="s">
        <v>232</v>
      </c>
      <c r="G236" s="121">
        <v>46237</v>
      </c>
      <c r="H236" s="120" t="s">
        <v>3884</v>
      </c>
    </row>
    <row r="237" spans="1:8" ht="57" customHeight="1">
      <c r="A237" s="120" t="s">
        <v>278</v>
      </c>
      <c r="B237" s="120" t="s">
        <v>3433</v>
      </c>
      <c r="C237" s="120">
        <v>2</v>
      </c>
      <c r="D237" s="120" t="s">
        <v>3885</v>
      </c>
      <c r="E237" s="120" t="s">
        <v>584</v>
      </c>
      <c r="F237" s="120" t="s">
        <v>232</v>
      </c>
      <c r="G237" s="121">
        <v>46237</v>
      </c>
      <c r="H237" s="120" t="s">
        <v>3886</v>
      </c>
    </row>
    <row r="238" spans="1:8" ht="57" customHeight="1">
      <c r="A238" s="120" t="s">
        <v>278</v>
      </c>
      <c r="B238" s="120" t="s">
        <v>3436</v>
      </c>
      <c r="C238" s="120">
        <v>3</v>
      </c>
      <c r="D238" s="120" t="s">
        <v>3887</v>
      </c>
      <c r="E238" s="120" t="s">
        <v>584</v>
      </c>
      <c r="F238" s="120" t="s">
        <v>232</v>
      </c>
      <c r="G238" s="121">
        <v>46237</v>
      </c>
      <c r="H238" s="120" t="s">
        <v>3888</v>
      </c>
    </row>
    <row r="239" spans="1:8" ht="57" customHeight="1">
      <c r="A239" s="120" t="s">
        <v>278</v>
      </c>
      <c r="B239" s="120" t="s">
        <v>3439</v>
      </c>
      <c r="C239" s="120">
        <v>4</v>
      </c>
      <c r="D239" s="120" t="s">
        <v>3889</v>
      </c>
      <c r="E239" s="120" t="s">
        <v>584</v>
      </c>
      <c r="F239" s="120" t="s">
        <v>232</v>
      </c>
      <c r="G239" s="121">
        <v>46237</v>
      </c>
      <c r="H239" s="120" t="s">
        <v>3890</v>
      </c>
    </row>
    <row r="240" spans="1:8" ht="42.75" customHeight="1">
      <c r="A240" s="120" t="s">
        <v>278</v>
      </c>
      <c r="B240" s="120" t="s">
        <v>3442</v>
      </c>
      <c r="C240" s="120">
        <v>5</v>
      </c>
      <c r="D240" s="120" t="s">
        <v>3891</v>
      </c>
      <c r="E240" s="120" t="s">
        <v>584</v>
      </c>
      <c r="F240" s="120" t="s">
        <v>232</v>
      </c>
      <c r="G240" s="121">
        <v>46237</v>
      </c>
      <c r="H240" s="120" t="s">
        <v>3892</v>
      </c>
    </row>
    <row r="241" spans="1:8" ht="42.75" customHeight="1">
      <c r="A241" s="120" t="s">
        <v>278</v>
      </c>
      <c r="B241" s="120" t="s">
        <v>3445</v>
      </c>
      <c r="C241" s="120">
        <v>6</v>
      </c>
      <c r="D241" s="120" t="s">
        <v>3893</v>
      </c>
      <c r="E241" s="120" t="s">
        <v>584</v>
      </c>
      <c r="F241" s="120" t="s">
        <v>232</v>
      </c>
      <c r="G241" s="121">
        <v>46237</v>
      </c>
      <c r="H241" s="120" t="s">
        <v>3894</v>
      </c>
    </row>
    <row r="242" spans="1:8" ht="42.75" customHeight="1">
      <c r="A242" s="120" t="s">
        <v>278</v>
      </c>
      <c r="B242" s="120" t="s">
        <v>3448</v>
      </c>
      <c r="C242" s="120">
        <v>7</v>
      </c>
      <c r="D242" s="120" t="s">
        <v>3895</v>
      </c>
      <c r="E242" s="120" t="s">
        <v>584</v>
      </c>
      <c r="F242" s="120" t="s">
        <v>232</v>
      </c>
      <c r="G242" s="121">
        <v>46237</v>
      </c>
      <c r="H242" s="120" t="s">
        <v>3896</v>
      </c>
    </row>
    <row r="243" spans="1:8" ht="57" customHeight="1">
      <c r="A243" s="120" t="s">
        <v>278</v>
      </c>
      <c r="B243" s="120" t="s">
        <v>3451</v>
      </c>
      <c r="C243" s="120">
        <v>8</v>
      </c>
      <c r="D243" s="120" t="s">
        <v>3897</v>
      </c>
      <c r="E243" s="120" t="s">
        <v>584</v>
      </c>
      <c r="F243" s="120" t="s">
        <v>232</v>
      </c>
      <c r="G243" s="121">
        <v>46237</v>
      </c>
      <c r="H243" s="120" t="s">
        <v>3898</v>
      </c>
    </row>
    <row r="244" spans="1:8" ht="42.75" customHeight="1">
      <c r="A244" s="120" t="s">
        <v>278</v>
      </c>
      <c r="B244" s="120" t="s">
        <v>3454</v>
      </c>
      <c r="C244" s="120">
        <v>9</v>
      </c>
      <c r="D244" s="120" t="s">
        <v>3899</v>
      </c>
      <c r="E244" s="120" t="s">
        <v>584</v>
      </c>
      <c r="F244" s="120" t="s">
        <v>232</v>
      </c>
      <c r="G244" s="121">
        <v>46237</v>
      </c>
      <c r="H244" s="120" t="s">
        <v>3900</v>
      </c>
    </row>
    <row r="245" spans="1:8" ht="71.25" customHeight="1">
      <c r="A245" s="120" t="s">
        <v>278</v>
      </c>
      <c r="B245" s="120" t="s">
        <v>3457</v>
      </c>
      <c r="C245" s="120">
        <v>10</v>
      </c>
      <c r="D245" s="120" t="s">
        <v>3901</v>
      </c>
      <c r="E245" s="120" t="s">
        <v>584</v>
      </c>
      <c r="F245" s="120" t="s">
        <v>232</v>
      </c>
      <c r="G245" s="121">
        <v>46237</v>
      </c>
      <c r="H245" s="120" t="s">
        <v>3902</v>
      </c>
    </row>
    <row r="246" spans="1:8" ht="71.25" customHeight="1">
      <c r="A246" s="120" t="s">
        <v>278</v>
      </c>
      <c r="B246" s="120" t="s">
        <v>3460</v>
      </c>
      <c r="C246" s="120">
        <v>11</v>
      </c>
      <c r="D246" s="120" t="s">
        <v>3903</v>
      </c>
      <c r="E246" s="120" t="s">
        <v>584</v>
      </c>
      <c r="F246" s="120" t="s">
        <v>232</v>
      </c>
      <c r="G246" s="121">
        <v>46237</v>
      </c>
      <c r="H246" s="120" t="s">
        <v>3904</v>
      </c>
    </row>
    <row r="247" spans="1:8" ht="71.25" customHeight="1">
      <c r="A247" s="120" t="s">
        <v>278</v>
      </c>
      <c r="B247" s="120" t="s">
        <v>3463</v>
      </c>
      <c r="C247" s="120">
        <v>12</v>
      </c>
      <c r="D247" s="120" t="s">
        <v>3905</v>
      </c>
      <c r="E247" s="120" t="s">
        <v>584</v>
      </c>
      <c r="F247" s="120" t="s">
        <v>232</v>
      </c>
      <c r="G247" s="121">
        <v>46237</v>
      </c>
      <c r="H247" s="120" t="s">
        <v>3906</v>
      </c>
    </row>
    <row r="248" spans="1:8" ht="42.75" customHeight="1">
      <c r="A248" s="120" t="s">
        <v>278</v>
      </c>
      <c r="B248" s="120" t="s">
        <v>3466</v>
      </c>
      <c r="C248" s="120">
        <v>13</v>
      </c>
      <c r="D248" s="120" t="s">
        <v>579</v>
      </c>
      <c r="E248" s="120" t="s">
        <v>584</v>
      </c>
      <c r="F248" s="120" t="s">
        <v>232</v>
      </c>
      <c r="G248" s="121">
        <v>46237</v>
      </c>
      <c r="H248" s="120" t="s">
        <v>3907</v>
      </c>
    </row>
    <row r="249" spans="1:8" ht="42.75" customHeight="1">
      <c r="A249" s="120" t="s">
        <v>278</v>
      </c>
      <c r="B249" s="120" t="s">
        <v>3469</v>
      </c>
      <c r="C249" s="120">
        <v>14</v>
      </c>
      <c r="D249" s="120" t="s">
        <v>580</v>
      </c>
      <c r="E249" s="120" t="s">
        <v>584</v>
      </c>
      <c r="F249" s="120" t="s">
        <v>232</v>
      </c>
      <c r="G249" s="121">
        <v>46237</v>
      </c>
      <c r="H249" s="120" t="s">
        <v>3908</v>
      </c>
    </row>
    <row r="250" spans="1:8" ht="57" customHeight="1">
      <c r="A250" s="120" t="s">
        <v>278</v>
      </c>
      <c r="B250" s="120" t="s">
        <v>3472</v>
      </c>
      <c r="C250" s="120">
        <v>15</v>
      </c>
      <c r="D250" s="120" t="s">
        <v>3909</v>
      </c>
      <c r="E250" s="120" t="s">
        <v>584</v>
      </c>
      <c r="F250" s="120" t="s">
        <v>232</v>
      </c>
      <c r="G250" s="121">
        <v>46237</v>
      </c>
      <c r="H250" s="120" t="s">
        <v>3910</v>
      </c>
    </row>
    <row r="251" spans="1:8" ht="57" customHeight="1">
      <c r="A251" s="120" t="s">
        <v>278</v>
      </c>
      <c r="B251" s="120" t="s">
        <v>3475</v>
      </c>
      <c r="C251" s="120">
        <v>16</v>
      </c>
      <c r="D251" s="120" t="s">
        <v>3911</v>
      </c>
      <c r="E251" s="120" t="s">
        <v>584</v>
      </c>
      <c r="F251" s="120" t="s">
        <v>232</v>
      </c>
      <c r="G251" s="121">
        <v>46237</v>
      </c>
      <c r="H251" s="120" t="s">
        <v>3912</v>
      </c>
    </row>
    <row r="252" spans="1:8" ht="57" customHeight="1">
      <c r="A252" s="120" t="s">
        <v>278</v>
      </c>
      <c r="B252" s="120" t="s">
        <v>3478</v>
      </c>
      <c r="C252" s="120">
        <v>17</v>
      </c>
      <c r="D252" s="120" t="s">
        <v>3913</v>
      </c>
      <c r="E252" s="120" t="s">
        <v>584</v>
      </c>
      <c r="F252" s="120" t="s">
        <v>232</v>
      </c>
      <c r="G252" s="121">
        <v>46237</v>
      </c>
      <c r="H252" s="120" t="s">
        <v>3914</v>
      </c>
    </row>
    <row r="253" spans="1:8" ht="42.75" customHeight="1">
      <c r="A253" s="120" t="s">
        <v>278</v>
      </c>
      <c r="B253" s="120" t="s">
        <v>3481</v>
      </c>
      <c r="C253" s="120">
        <v>18</v>
      </c>
      <c r="D253" s="120" t="s">
        <v>3482</v>
      </c>
      <c r="E253" s="120" t="s">
        <v>584</v>
      </c>
      <c r="F253" s="120" t="s">
        <v>232</v>
      </c>
      <c r="G253" s="121">
        <v>46237</v>
      </c>
      <c r="H253" s="120" t="s">
        <v>3915</v>
      </c>
    </row>
    <row r="254" spans="1:8" ht="57" customHeight="1">
      <c r="A254" s="120" t="s">
        <v>280</v>
      </c>
      <c r="B254" s="120" t="s">
        <v>3430</v>
      </c>
      <c r="C254" s="120">
        <v>1</v>
      </c>
      <c r="D254" s="120" t="s">
        <v>3916</v>
      </c>
      <c r="E254" s="120" t="s">
        <v>592</v>
      </c>
      <c r="F254" s="120" t="s">
        <v>232</v>
      </c>
      <c r="G254" s="121">
        <v>46237</v>
      </c>
      <c r="H254" s="120" t="s">
        <v>3917</v>
      </c>
    </row>
    <row r="255" spans="1:8" ht="57" customHeight="1">
      <c r="A255" s="120" t="s">
        <v>280</v>
      </c>
      <c r="B255" s="120" t="s">
        <v>3433</v>
      </c>
      <c r="C255" s="120">
        <v>2</v>
      </c>
      <c r="D255" s="120" t="s">
        <v>3918</v>
      </c>
      <c r="E255" s="120" t="s">
        <v>592</v>
      </c>
      <c r="F255" s="120" t="s">
        <v>232</v>
      </c>
      <c r="G255" s="121">
        <v>46237</v>
      </c>
      <c r="H255" s="120" t="s">
        <v>3919</v>
      </c>
    </row>
    <row r="256" spans="1:8" ht="57" customHeight="1">
      <c r="A256" s="120" t="s">
        <v>280</v>
      </c>
      <c r="B256" s="120" t="s">
        <v>3436</v>
      </c>
      <c r="C256" s="120">
        <v>3</v>
      </c>
      <c r="D256" s="120" t="s">
        <v>3920</v>
      </c>
      <c r="E256" s="120" t="s">
        <v>592</v>
      </c>
      <c r="F256" s="120" t="s">
        <v>232</v>
      </c>
      <c r="G256" s="121">
        <v>46237</v>
      </c>
      <c r="H256" s="120" t="s">
        <v>3921</v>
      </c>
    </row>
    <row r="257" spans="1:8" ht="57" customHeight="1">
      <c r="A257" s="120" t="s">
        <v>280</v>
      </c>
      <c r="B257" s="120" t="s">
        <v>3439</v>
      </c>
      <c r="C257" s="120">
        <v>4</v>
      </c>
      <c r="D257" s="120" t="s">
        <v>3922</v>
      </c>
      <c r="E257" s="120" t="s">
        <v>592</v>
      </c>
      <c r="F257" s="120" t="s">
        <v>232</v>
      </c>
      <c r="G257" s="121">
        <v>46237</v>
      </c>
      <c r="H257" s="120" t="s">
        <v>3923</v>
      </c>
    </row>
    <row r="258" spans="1:8" ht="42.75" customHeight="1">
      <c r="A258" s="120" t="s">
        <v>280</v>
      </c>
      <c r="B258" s="120" t="s">
        <v>3442</v>
      </c>
      <c r="C258" s="120">
        <v>5</v>
      </c>
      <c r="D258" s="120" t="s">
        <v>3924</v>
      </c>
      <c r="E258" s="120" t="s">
        <v>592</v>
      </c>
      <c r="F258" s="120" t="s">
        <v>232</v>
      </c>
      <c r="G258" s="121">
        <v>46237</v>
      </c>
      <c r="H258" s="120" t="s">
        <v>3925</v>
      </c>
    </row>
    <row r="259" spans="1:8" ht="42.75" customHeight="1">
      <c r="A259" s="120" t="s">
        <v>280</v>
      </c>
      <c r="B259" s="120" t="s">
        <v>3445</v>
      </c>
      <c r="C259" s="120">
        <v>6</v>
      </c>
      <c r="D259" s="120" t="s">
        <v>3926</v>
      </c>
      <c r="E259" s="120" t="s">
        <v>592</v>
      </c>
      <c r="F259" s="120" t="s">
        <v>232</v>
      </c>
      <c r="G259" s="121">
        <v>46237</v>
      </c>
      <c r="H259" s="120" t="s">
        <v>3927</v>
      </c>
    </row>
    <row r="260" spans="1:8" ht="42.75" customHeight="1">
      <c r="A260" s="120" t="s">
        <v>280</v>
      </c>
      <c r="B260" s="120" t="s">
        <v>3448</v>
      </c>
      <c r="C260" s="120">
        <v>7</v>
      </c>
      <c r="D260" s="120" t="s">
        <v>3928</v>
      </c>
      <c r="E260" s="120" t="s">
        <v>592</v>
      </c>
      <c r="F260" s="120" t="s">
        <v>232</v>
      </c>
      <c r="G260" s="121">
        <v>46237</v>
      </c>
      <c r="H260" s="120" t="s">
        <v>3929</v>
      </c>
    </row>
    <row r="261" spans="1:8" ht="57" customHeight="1">
      <c r="A261" s="120" t="s">
        <v>280</v>
      </c>
      <c r="B261" s="120" t="s">
        <v>3451</v>
      </c>
      <c r="C261" s="120">
        <v>8</v>
      </c>
      <c r="D261" s="120" t="s">
        <v>3930</v>
      </c>
      <c r="E261" s="120" t="s">
        <v>592</v>
      </c>
      <c r="F261" s="120" t="s">
        <v>232</v>
      </c>
      <c r="G261" s="121">
        <v>46237</v>
      </c>
      <c r="H261" s="120" t="s">
        <v>3931</v>
      </c>
    </row>
    <row r="262" spans="1:8" ht="42.75" customHeight="1">
      <c r="A262" s="120" t="s">
        <v>280</v>
      </c>
      <c r="B262" s="120" t="s">
        <v>3454</v>
      </c>
      <c r="C262" s="120">
        <v>9</v>
      </c>
      <c r="D262" s="120" t="s">
        <v>3932</v>
      </c>
      <c r="E262" s="120" t="s">
        <v>592</v>
      </c>
      <c r="F262" s="120" t="s">
        <v>232</v>
      </c>
      <c r="G262" s="121">
        <v>46237</v>
      </c>
      <c r="H262" s="120" t="s">
        <v>3933</v>
      </c>
    </row>
    <row r="263" spans="1:8" ht="71.25" customHeight="1">
      <c r="A263" s="120" t="s">
        <v>280</v>
      </c>
      <c r="B263" s="120" t="s">
        <v>3457</v>
      </c>
      <c r="C263" s="120">
        <v>10</v>
      </c>
      <c r="D263" s="120" t="s">
        <v>3934</v>
      </c>
      <c r="E263" s="120" t="s">
        <v>592</v>
      </c>
      <c r="F263" s="120" t="s">
        <v>232</v>
      </c>
      <c r="G263" s="121">
        <v>46237</v>
      </c>
      <c r="H263" s="120" t="s">
        <v>3935</v>
      </c>
    </row>
    <row r="264" spans="1:8" ht="71.25" customHeight="1">
      <c r="A264" s="120" t="s">
        <v>280</v>
      </c>
      <c r="B264" s="120" t="s">
        <v>3460</v>
      </c>
      <c r="C264" s="120">
        <v>11</v>
      </c>
      <c r="D264" s="120" t="s">
        <v>3936</v>
      </c>
      <c r="E264" s="120" t="s">
        <v>592</v>
      </c>
      <c r="F264" s="120" t="s">
        <v>232</v>
      </c>
      <c r="G264" s="121">
        <v>46237</v>
      </c>
      <c r="H264" s="120" t="s">
        <v>3937</v>
      </c>
    </row>
    <row r="265" spans="1:8" ht="71.25" customHeight="1">
      <c r="A265" s="120" t="s">
        <v>280</v>
      </c>
      <c r="B265" s="120" t="s">
        <v>3463</v>
      </c>
      <c r="C265" s="120">
        <v>12</v>
      </c>
      <c r="D265" s="120" t="s">
        <v>3938</v>
      </c>
      <c r="E265" s="120" t="s">
        <v>592</v>
      </c>
      <c r="F265" s="120" t="s">
        <v>232</v>
      </c>
      <c r="G265" s="121">
        <v>46237</v>
      </c>
      <c r="H265" s="120" t="s">
        <v>3939</v>
      </c>
    </row>
    <row r="266" spans="1:8" ht="42.75" customHeight="1">
      <c r="A266" s="120" t="s">
        <v>280</v>
      </c>
      <c r="B266" s="120" t="s">
        <v>3466</v>
      </c>
      <c r="C266" s="120">
        <v>13</v>
      </c>
      <c r="D266" s="120" t="s">
        <v>587</v>
      </c>
      <c r="E266" s="120" t="s">
        <v>592</v>
      </c>
      <c r="F266" s="120" t="s">
        <v>232</v>
      </c>
      <c r="G266" s="121">
        <v>46237</v>
      </c>
      <c r="H266" s="120" t="s">
        <v>3940</v>
      </c>
    </row>
    <row r="267" spans="1:8" ht="42.75" customHeight="1">
      <c r="A267" s="120" t="s">
        <v>280</v>
      </c>
      <c r="B267" s="120" t="s">
        <v>3469</v>
      </c>
      <c r="C267" s="120">
        <v>14</v>
      </c>
      <c r="D267" s="120" t="s">
        <v>588</v>
      </c>
      <c r="E267" s="120" t="s">
        <v>592</v>
      </c>
      <c r="F267" s="120" t="s">
        <v>232</v>
      </c>
      <c r="G267" s="121">
        <v>46237</v>
      </c>
      <c r="H267" s="120" t="s">
        <v>3941</v>
      </c>
    </row>
    <row r="268" spans="1:8" ht="57" customHeight="1">
      <c r="A268" s="120" t="s">
        <v>280</v>
      </c>
      <c r="B268" s="120" t="s">
        <v>3472</v>
      </c>
      <c r="C268" s="120">
        <v>15</v>
      </c>
      <c r="D268" s="120" t="s">
        <v>3942</v>
      </c>
      <c r="E268" s="120" t="s">
        <v>592</v>
      </c>
      <c r="F268" s="120" t="s">
        <v>232</v>
      </c>
      <c r="G268" s="121">
        <v>46237</v>
      </c>
      <c r="H268" s="120" t="s">
        <v>3943</v>
      </c>
    </row>
    <row r="269" spans="1:8" ht="57" customHeight="1">
      <c r="A269" s="120" t="s">
        <v>280</v>
      </c>
      <c r="B269" s="120" t="s">
        <v>3475</v>
      </c>
      <c r="C269" s="120">
        <v>16</v>
      </c>
      <c r="D269" s="120" t="s">
        <v>3944</v>
      </c>
      <c r="E269" s="120" t="s">
        <v>592</v>
      </c>
      <c r="F269" s="120" t="s">
        <v>232</v>
      </c>
      <c r="G269" s="121">
        <v>46237</v>
      </c>
      <c r="H269" s="120" t="s">
        <v>3945</v>
      </c>
    </row>
    <row r="270" spans="1:8" ht="57" customHeight="1">
      <c r="A270" s="120" t="s">
        <v>280</v>
      </c>
      <c r="B270" s="120" t="s">
        <v>3478</v>
      </c>
      <c r="C270" s="120">
        <v>17</v>
      </c>
      <c r="D270" s="120" t="s">
        <v>3946</v>
      </c>
      <c r="E270" s="120" t="s">
        <v>592</v>
      </c>
      <c r="F270" s="120" t="s">
        <v>232</v>
      </c>
      <c r="G270" s="121">
        <v>46237</v>
      </c>
      <c r="H270" s="120" t="s">
        <v>3947</v>
      </c>
    </row>
    <row r="271" spans="1:8" ht="42.75" customHeight="1">
      <c r="A271" s="120" t="s">
        <v>280</v>
      </c>
      <c r="B271" s="120" t="s">
        <v>3481</v>
      </c>
      <c r="C271" s="120">
        <v>18</v>
      </c>
      <c r="D271" s="120" t="s">
        <v>3482</v>
      </c>
      <c r="E271" s="120" t="s">
        <v>592</v>
      </c>
      <c r="F271" s="120" t="s">
        <v>232</v>
      </c>
      <c r="G271" s="121">
        <v>46237</v>
      </c>
      <c r="H271" s="120" t="s">
        <v>3948</v>
      </c>
    </row>
    <row r="272" spans="1:8" ht="57" customHeight="1">
      <c r="A272" s="120" t="s">
        <v>285</v>
      </c>
      <c r="B272" s="120" t="s">
        <v>3430</v>
      </c>
      <c r="C272" s="120">
        <v>1</v>
      </c>
      <c r="D272" s="120" t="s">
        <v>3949</v>
      </c>
      <c r="E272" s="120" t="s">
        <v>600</v>
      </c>
      <c r="F272" s="120" t="s">
        <v>232</v>
      </c>
      <c r="G272" s="121">
        <v>46237</v>
      </c>
      <c r="H272" s="120" t="s">
        <v>3950</v>
      </c>
    </row>
    <row r="273" spans="1:8" ht="57" customHeight="1">
      <c r="A273" s="120" t="s">
        <v>285</v>
      </c>
      <c r="B273" s="120" t="s">
        <v>3433</v>
      </c>
      <c r="C273" s="120">
        <v>2</v>
      </c>
      <c r="D273" s="120" t="s">
        <v>3951</v>
      </c>
      <c r="E273" s="120" t="s">
        <v>600</v>
      </c>
      <c r="F273" s="120" t="s">
        <v>232</v>
      </c>
      <c r="G273" s="121">
        <v>46237</v>
      </c>
      <c r="H273" s="120" t="s">
        <v>3952</v>
      </c>
    </row>
    <row r="274" spans="1:8" ht="57" customHeight="1">
      <c r="A274" s="120" t="s">
        <v>285</v>
      </c>
      <c r="B274" s="120" t="s">
        <v>3436</v>
      </c>
      <c r="C274" s="120">
        <v>3</v>
      </c>
      <c r="D274" s="120" t="s">
        <v>3953</v>
      </c>
      <c r="E274" s="120" t="s">
        <v>600</v>
      </c>
      <c r="F274" s="120" t="s">
        <v>232</v>
      </c>
      <c r="G274" s="121">
        <v>46237</v>
      </c>
      <c r="H274" s="120" t="s">
        <v>3954</v>
      </c>
    </row>
    <row r="275" spans="1:8" ht="57" customHeight="1">
      <c r="A275" s="120" t="s">
        <v>285</v>
      </c>
      <c r="B275" s="120" t="s">
        <v>3439</v>
      </c>
      <c r="C275" s="120">
        <v>4</v>
      </c>
      <c r="D275" s="120" t="s">
        <v>3955</v>
      </c>
      <c r="E275" s="120" t="s">
        <v>600</v>
      </c>
      <c r="F275" s="120" t="s">
        <v>232</v>
      </c>
      <c r="G275" s="121">
        <v>46237</v>
      </c>
      <c r="H275" s="120" t="s">
        <v>3956</v>
      </c>
    </row>
    <row r="276" spans="1:8" ht="57" customHeight="1">
      <c r="A276" s="120" t="s">
        <v>285</v>
      </c>
      <c r="B276" s="120" t="s">
        <v>3442</v>
      </c>
      <c r="C276" s="120">
        <v>5</v>
      </c>
      <c r="D276" s="120" t="s">
        <v>3957</v>
      </c>
      <c r="E276" s="120" t="s">
        <v>600</v>
      </c>
      <c r="F276" s="120" t="s">
        <v>232</v>
      </c>
      <c r="G276" s="121">
        <v>46237</v>
      </c>
      <c r="H276" s="120" t="s">
        <v>3958</v>
      </c>
    </row>
    <row r="277" spans="1:8" ht="42.75" customHeight="1">
      <c r="A277" s="120" t="s">
        <v>285</v>
      </c>
      <c r="B277" s="120" t="s">
        <v>3445</v>
      </c>
      <c r="C277" s="120">
        <v>6</v>
      </c>
      <c r="D277" s="120" t="s">
        <v>3959</v>
      </c>
      <c r="E277" s="120" t="s">
        <v>600</v>
      </c>
      <c r="F277" s="120" t="s">
        <v>232</v>
      </c>
      <c r="G277" s="121">
        <v>46237</v>
      </c>
      <c r="H277" s="120" t="s">
        <v>3960</v>
      </c>
    </row>
    <row r="278" spans="1:8" ht="42.75" customHeight="1">
      <c r="A278" s="120" t="s">
        <v>285</v>
      </c>
      <c r="B278" s="120" t="s">
        <v>3448</v>
      </c>
      <c r="C278" s="120">
        <v>7</v>
      </c>
      <c r="D278" s="120" t="s">
        <v>3961</v>
      </c>
      <c r="E278" s="120" t="s">
        <v>600</v>
      </c>
      <c r="F278" s="120" t="s">
        <v>232</v>
      </c>
      <c r="G278" s="121">
        <v>46237</v>
      </c>
      <c r="H278" s="120" t="s">
        <v>3962</v>
      </c>
    </row>
    <row r="279" spans="1:8" ht="57" customHeight="1">
      <c r="A279" s="120" t="s">
        <v>285</v>
      </c>
      <c r="B279" s="120" t="s">
        <v>3451</v>
      </c>
      <c r="C279" s="120">
        <v>8</v>
      </c>
      <c r="D279" s="120" t="s">
        <v>3963</v>
      </c>
      <c r="E279" s="120" t="s">
        <v>600</v>
      </c>
      <c r="F279" s="120" t="s">
        <v>232</v>
      </c>
      <c r="G279" s="121">
        <v>46237</v>
      </c>
      <c r="H279" s="120" t="s">
        <v>3964</v>
      </c>
    </row>
    <row r="280" spans="1:8" ht="42.75" customHeight="1">
      <c r="A280" s="120" t="s">
        <v>285</v>
      </c>
      <c r="B280" s="120" t="s">
        <v>3454</v>
      </c>
      <c r="C280" s="120">
        <v>9</v>
      </c>
      <c r="D280" s="120" t="s">
        <v>3965</v>
      </c>
      <c r="E280" s="120" t="s">
        <v>600</v>
      </c>
      <c r="F280" s="120" t="s">
        <v>232</v>
      </c>
      <c r="G280" s="121">
        <v>46237</v>
      </c>
      <c r="H280" s="120" t="s">
        <v>3966</v>
      </c>
    </row>
    <row r="281" spans="1:8" ht="71.25" customHeight="1">
      <c r="A281" s="120" t="s">
        <v>285</v>
      </c>
      <c r="B281" s="120" t="s">
        <v>3457</v>
      </c>
      <c r="C281" s="120">
        <v>10</v>
      </c>
      <c r="D281" s="120" t="s">
        <v>3967</v>
      </c>
      <c r="E281" s="120" t="s">
        <v>600</v>
      </c>
      <c r="F281" s="120" t="s">
        <v>232</v>
      </c>
      <c r="G281" s="121">
        <v>46237</v>
      </c>
      <c r="H281" s="120" t="s">
        <v>3968</v>
      </c>
    </row>
    <row r="282" spans="1:8" ht="71.25" customHeight="1">
      <c r="A282" s="120" t="s">
        <v>285</v>
      </c>
      <c r="B282" s="120" t="s">
        <v>3460</v>
      </c>
      <c r="C282" s="120">
        <v>11</v>
      </c>
      <c r="D282" s="120" t="s">
        <v>3969</v>
      </c>
      <c r="E282" s="120" t="s">
        <v>600</v>
      </c>
      <c r="F282" s="120" t="s">
        <v>232</v>
      </c>
      <c r="G282" s="121">
        <v>46237</v>
      </c>
      <c r="H282" s="120" t="s">
        <v>3970</v>
      </c>
    </row>
    <row r="283" spans="1:8" ht="71.25" customHeight="1">
      <c r="A283" s="120" t="s">
        <v>285</v>
      </c>
      <c r="B283" s="120" t="s">
        <v>3463</v>
      </c>
      <c r="C283" s="120">
        <v>12</v>
      </c>
      <c r="D283" s="120" t="s">
        <v>3971</v>
      </c>
      <c r="E283" s="120" t="s">
        <v>600</v>
      </c>
      <c r="F283" s="120" t="s">
        <v>232</v>
      </c>
      <c r="G283" s="121">
        <v>46237</v>
      </c>
      <c r="H283" s="120" t="s">
        <v>3972</v>
      </c>
    </row>
    <row r="284" spans="1:8" ht="42.75" customHeight="1">
      <c r="A284" s="120" t="s">
        <v>285</v>
      </c>
      <c r="B284" s="120" t="s">
        <v>3466</v>
      </c>
      <c r="C284" s="120">
        <v>13</v>
      </c>
      <c r="D284" s="120" t="s">
        <v>595</v>
      </c>
      <c r="E284" s="120" t="s">
        <v>600</v>
      </c>
      <c r="F284" s="120" t="s">
        <v>232</v>
      </c>
      <c r="G284" s="121">
        <v>46237</v>
      </c>
      <c r="H284" s="120" t="s">
        <v>3973</v>
      </c>
    </row>
    <row r="285" spans="1:8" ht="42.75" customHeight="1">
      <c r="A285" s="120" t="s">
        <v>285</v>
      </c>
      <c r="B285" s="120" t="s">
        <v>3469</v>
      </c>
      <c r="C285" s="120">
        <v>14</v>
      </c>
      <c r="D285" s="120" t="s">
        <v>596</v>
      </c>
      <c r="E285" s="120" t="s">
        <v>600</v>
      </c>
      <c r="F285" s="120" t="s">
        <v>232</v>
      </c>
      <c r="G285" s="121">
        <v>46237</v>
      </c>
      <c r="H285" s="120" t="s">
        <v>3974</v>
      </c>
    </row>
    <row r="286" spans="1:8" ht="57" customHeight="1">
      <c r="A286" s="120" t="s">
        <v>285</v>
      </c>
      <c r="B286" s="120" t="s">
        <v>3472</v>
      </c>
      <c r="C286" s="120">
        <v>15</v>
      </c>
      <c r="D286" s="120" t="s">
        <v>3975</v>
      </c>
      <c r="E286" s="120" t="s">
        <v>600</v>
      </c>
      <c r="F286" s="120" t="s">
        <v>232</v>
      </c>
      <c r="G286" s="121">
        <v>46237</v>
      </c>
      <c r="H286" s="120" t="s">
        <v>3976</v>
      </c>
    </row>
    <row r="287" spans="1:8" ht="57" customHeight="1">
      <c r="A287" s="120" t="s">
        <v>285</v>
      </c>
      <c r="B287" s="120" t="s">
        <v>3475</v>
      </c>
      <c r="C287" s="120">
        <v>16</v>
      </c>
      <c r="D287" s="120" t="s">
        <v>3977</v>
      </c>
      <c r="E287" s="120" t="s">
        <v>600</v>
      </c>
      <c r="F287" s="120" t="s">
        <v>232</v>
      </c>
      <c r="G287" s="121">
        <v>46237</v>
      </c>
      <c r="H287" s="120" t="s">
        <v>3978</v>
      </c>
    </row>
    <row r="288" spans="1:8" ht="57" customHeight="1">
      <c r="A288" s="120" t="s">
        <v>285</v>
      </c>
      <c r="B288" s="120" t="s">
        <v>3478</v>
      </c>
      <c r="C288" s="120">
        <v>17</v>
      </c>
      <c r="D288" s="120" t="s">
        <v>3979</v>
      </c>
      <c r="E288" s="120" t="s">
        <v>600</v>
      </c>
      <c r="F288" s="120" t="s">
        <v>232</v>
      </c>
      <c r="G288" s="121">
        <v>46237</v>
      </c>
      <c r="H288" s="120" t="s">
        <v>3980</v>
      </c>
    </row>
    <row r="289" spans="1:8" ht="42.75" customHeight="1">
      <c r="A289" s="120" t="s">
        <v>285</v>
      </c>
      <c r="B289" s="120" t="s">
        <v>3481</v>
      </c>
      <c r="C289" s="120">
        <v>18</v>
      </c>
      <c r="D289" s="120" t="s">
        <v>3482</v>
      </c>
      <c r="E289" s="120" t="s">
        <v>600</v>
      </c>
      <c r="F289" s="120" t="s">
        <v>232</v>
      </c>
      <c r="G289" s="121">
        <v>46237</v>
      </c>
      <c r="H289" s="120" t="s">
        <v>3981</v>
      </c>
    </row>
    <row r="290" spans="1:8" ht="57" customHeight="1">
      <c r="A290" s="120" t="s">
        <v>289</v>
      </c>
      <c r="B290" s="120" t="s">
        <v>3430</v>
      </c>
      <c r="C290" s="120">
        <v>1</v>
      </c>
      <c r="D290" s="120" t="s">
        <v>3982</v>
      </c>
      <c r="E290" s="120" t="s">
        <v>608</v>
      </c>
      <c r="F290" s="120" t="s">
        <v>232</v>
      </c>
      <c r="G290" s="121">
        <v>46237</v>
      </c>
      <c r="H290" s="120" t="s">
        <v>3983</v>
      </c>
    </row>
    <row r="291" spans="1:8" ht="57" customHeight="1">
      <c r="A291" s="120" t="s">
        <v>289</v>
      </c>
      <c r="B291" s="120" t="s">
        <v>3433</v>
      </c>
      <c r="C291" s="120">
        <v>2</v>
      </c>
      <c r="D291" s="120" t="s">
        <v>3984</v>
      </c>
      <c r="E291" s="120" t="s">
        <v>608</v>
      </c>
      <c r="F291" s="120" t="s">
        <v>232</v>
      </c>
      <c r="G291" s="121">
        <v>46237</v>
      </c>
      <c r="H291" s="120" t="s">
        <v>3985</v>
      </c>
    </row>
    <row r="292" spans="1:8" ht="57" customHeight="1">
      <c r="A292" s="120" t="s">
        <v>289</v>
      </c>
      <c r="B292" s="120" t="s">
        <v>3436</v>
      </c>
      <c r="C292" s="120">
        <v>3</v>
      </c>
      <c r="D292" s="120" t="s">
        <v>3986</v>
      </c>
      <c r="E292" s="120" t="s">
        <v>608</v>
      </c>
      <c r="F292" s="120" t="s">
        <v>232</v>
      </c>
      <c r="G292" s="121">
        <v>46237</v>
      </c>
      <c r="H292" s="120" t="s">
        <v>3987</v>
      </c>
    </row>
    <row r="293" spans="1:8" ht="57" customHeight="1">
      <c r="A293" s="120" t="s">
        <v>289</v>
      </c>
      <c r="B293" s="120" t="s">
        <v>3439</v>
      </c>
      <c r="C293" s="120">
        <v>4</v>
      </c>
      <c r="D293" s="120" t="s">
        <v>3988</v>
      </c>
      <c r="E293" s="120" t="s">
        <v>608</v>
      </c>
      <c r="F293" s="120" t="s">
        <v>232</v>
      </c>
      <c r="G293" s="121">
        <v>46237</v>
      </c>
      <c r="H293" s="120" t="s">
        <v>3989</v>
      </c>
    </row>
    <row r="294" spans="1:8" ht="57" customHeight="1">
      <c r="A294" s="120" t="s">
        <v>289</v>
      </c>
      <c r="B294" s="120" t="s">
        <v>3442</v>
      </c>
      <c r="C294" s="120">
        <v>5</v>
      </c>
      <c r="D294" s="120" t="s">
        <v>3990</v>
      </c>
      <c r="E294" s="120" t="s">
        <v>608</v>
      </c>
      <c r="F294" s="120" t="s">
        <v>232</v>
      </c>
      <c r="G294" s="121">
        <v>46237</v>
      </c>
      <c r="H294" s="120" t="s">
        <v>3991</v>
      </c>
    </row>
    <row r="295" spans="1:8" ht="42.75" customHeight="1">
      <c r="A295" s="120" t="s">
        <v>289</v>
      </c>
      <c r="B295" s="120" t="s">
        <v>3445</v>
      </c>
      <c r="C295" s="120">
        <v>6</v>
      </c>
      <c r="D295" s="120" t="s">
        <v>3992</v>
      </c>
      <c r="E295" s="120" t="s">
        <v>608</v>
      </c>
      <c r="F295" s="120" t="s">
        <v>232</v>
      </c>
      <c r="G295" s="121">
        <v>46237</v>
      </c>
      <c r="H295" s="120" t="s">
        <v>3993</v>
      </c>
    </row>
    <row r="296" spans="1:8" ht="42.75" customHeight="1">
      <c r="A296" s="120" t="s">
        <v>289</v>
      </c>
      <c r="B296" s="120" t="s">
        <v>3448</v>
      </c>
      <c r="C296" s="120">
        <v>7</v>
      </c>
      <c r="D296" s="120" t="s">
        <v>3994</v>
      </c>
      <c r="E296" s="120" t="s">
        <v>608</v>
      </c>
      <c r="F296" s="120" t="s">
        <v>232</v>
      </c>
      <c r="G296" s="121">
        <v>46237</v>
      </c>
      <c r="H296" s="120" t="s">
        <v>3995</v>
      </c>
    </row>
    <row r="297" spans="1:8" ht="57" customHeight="1">
      <c r="A297" s="120" t="s">
        <v>289</v>
      </c>
      <c r="B297" s="120" t="s">
        <v>3451</v>
      </c>
      <c r="C297" s="120">
        <v>8</v>
      </c>
      <c r="D297" s="120" t="s">
        <v>3996</v>
      </c>
      <c r="E297" s="120" t="s">
        <v>608</v>
      </c>
      <c r="F297" s="120" t="s">
        <v>232</v>
      </c>
      <c r="G297" s="121">
        <v>46237</v>
      </c>
      <c r="H297" s="120" t="s">
        <v>3997</v>
      </c>
    </row>
    <row r="298" spans="1:8" ht="42.75" customHeight="1">
      <c r="A298" s="120" t="s">
        <v>289</v>
      </c>
      <c r="B298" s="120" t="s">
        <v>3454</v>
      </c>
      <c r="C298" s="120">
        <v>9</v>
      </c>
      <c r="D298" s="120" t="s">
        <v>3998</v>
      </c>
      <c r="E298" s="120" t="s">
        <v>608</v>
      </c>
      <c r="F298" s="120" t="s">
        <v>232</v>
      </c>
      <c r="G298" s="121">
        <v>46237</v>
      </c>
      <c r="H298" s="120" t="s">
        <v>3999</v>
      </c>
    </row>
    <row r="299" spans="1:8" ht="71.25" customHeight="1">
      <c r="A299" s="120" t="s">
        <v>289</v>
      </c>
      <c r="B299" s="120" t="s">
        <v>3457</v>
      </c>
      <c r="C299" s="120">
        <v>10</v>
      </c>
      <c r="D299" s="120" t="s">
        <v>4000</v>
      </c>
      <c r="E299" s="120" t="s">
        <v>608</v>
      </c>
      <c r="F299" s="120" t="s">
        <v>232</v>
      </c>
      <c r="G299" s="121">
        <v>46237</v>
      </c>
      <c r="H299" s="120" t="s">
        <v>4001</v>
      </c>
    </row>
    <row r="300" spans="1:8" ht="71.25" customHeight="1">
      <c r="A300" s="120" t="s">
        <v>289</v>
      </c>
      <c r="B300" s="120" t="s">
        <v>3460</v>
      </c>
      <c r="C300" s="120">
        <v>11</v>
      </c>
      <c r="D300" s="120" t="s">
        <v>4002</v>
      </c>
      <c r="E300" s="120" t="s">
        <v>608</v>
      </c>
      <c r="F300" s="120" t="s">
        <v>232</v>
      </c>
      <c r="G300" s="121">
        <v>46237</v>
      </c>
      <c r="H300" s="120" t="s">
        <v>4003</v>
      </c>
    </row>
    <row r="301" spans="1:8" ht="71.25" customHeight="1">
      <c r="A301" s="120" t="s">
        <v>289</v>
      </c>
      <c r="B301" s="120" t="s">
        <v>3463</v>
      </c>
      <c r="C301" s="120">
        <v>12</v>
      </c>
      <c r="D301" s="120" t="s">
        <v>4004</v>
      </c>
      <c r="E301" s="120" t="s">
        <v>608</v>
      </c>
      <c r="F301" s="120" t="s">
        <v>232</v>
      </c>
      <c r="G301" s="121">
        <v>46237</v>
      </c>
      <c r="H301" s="120" t="s">
        <v>4005</v>
      </c>
    </row>
    <row r="302" spans="1:8" ht="42.75" customHeight="1">
      <c r="A302" s="120" t="s">
        <v>289</v>
      </c>
      <c r="B302" s="120" t="s">
        <v>3466</v>
      </c>
      <c r="C302" s="120">
        <v>13</v>
      </c>
      <c r="D302" s="120" t="s">
        <v>603</v>
      </c>
      <c r="E302" s="120" t="s">
        <v>608</v>
      </c>
      <c r="F302" s="120" t="s">
        <v>232</v>
      </c>
      <c r="G302" s="121">
        <v>46237</v>
      </c>
      <c r="H302" s="120" t="s">
        <v>4006</v>
      </c>
    </row>
    <row r="303" spans="1:8" ht="42.75" customHeight="1">
      <c r="A303" s="120" t="s">
        <v>289</v>
      </c>
      <c r="B303" s="120" t="s">
        <v>3469</v>
      </c>
      <c r="C303" s="120">
        <v>14</v>
      </c>
      <c r="D303" s="120" t="s">
        <v>604</v>
      </c>
      <c r="E303" s="120" t="s">
        <v>608</v>
      </c>
      <c r="F303" s="120" t="s">
        <v>232</v>
      </c>
      <c r="G303" s="121">
        <v>46237</v>
      </c>
      <c r="H303" s="120" t="s">
        <v>4007</v>
      </c>
    </row>
    <row r="304" spans="1:8" ht="57" customHeight="1">
      <c r="A304" s="120" t="s">
        <v>289</v>
      </c>
      <c r="B304" s="120" t="s">
        <v>3472</v>
      </c>
      <c r="C304" s="120">
        <v>15</v>
      </c>
      <c r="D304" s="120" t="s">
        <v>4008</v>
      </c>
      <c r="E304" s="120" t="s">
        <v>608</v>
      </c>
      <c r="F304" s="120" t="s">
        <v>232</v>
      </c>
      <c r="G304" s="121">
        <v>46237</v>
      </c>
      <c r="H304" s="120" t="s">
        <v>4009</v>
      </c>
    </row>
    <row r="305" spans="1:8" ht="57" customHeight="1">
      <c r="A305" s="120" t="s">
        <v>289</v>
      </c>
      <c r="B305" s="120" t="s">
        <v>3475</v>
      </c>
      <c r="C305" s="120">
        <v>16</v>
      </c>
      <c r="D305" s="120" t="s">
        <v>4010</v>
      </c>
      <c r="E305" s="120" t="s">
        <v>608</v>
      </c>
      <c r="F305" s="120" t="s">
        <v>232</v>
      </c>
      <c r="G305" s="121">
        <v>46237</v>
      </c>
      <c r="H305" s="120" t="s">
        <v>4011</v>
      </c>
    </row>
    <row r="306" spans="1:8" ht="57" customHeight="1">
      <c r="A306" s="120" t="s">
        <v>289</v>
      </c>
      <c r="B306" s="120" t="s">
        <v>3478</v>
      </c>
      <c r="C306" s="120">
        <v>17</v>
      </c>
      <c r="D306" s="120" t="s">
        <v>4012</v>
      </c>
      <c r="E306" s="120" t="s">
        <v>608</v>
      </c>
      <c r="F306" s="120" t="s">
        <v>232</v>
      </c>
      <c r="G306" s="121">
        <v>46237</v>
      </c>
      <c r="H306" s="120" t="s">
        <v>4013</v>
      </c>
    </row>
    <row r="307" spans="1:8" ht="42.75" customHeight="1">
      <c r="A307" s="120" t="s">
        <v>289</v>
      </c>
      <c r="B307" s="120" t="s">
        <v>3481</v>
      </c>
      <c r="C307" s="120">
        <v>18</v>
      </c>
      <c r="D307" s="120" t="s">
        <v>3482</v>
      </c>
      <c r="E307" s="120" t="s">
        <v>608</v>
      </c>
      <c r="F307" s="120" t="s">
        <v>232</v>
      </c>
      <c r="G307" s="121">
        <v>46237</v>
      </c>
      <c r="H307" s="120" t="s">
        <v>4014</v>
      </c>
    </row>
    <row r="308" spans="1:8" ht="57" customHeight="1">
      <c r="A308" s="120" t="s">
        <v>292</v>
      </c>
      <c r="B308" s="120" t="s">
        <v>3430</v>
      </c>
      <c r="C308" s="120">
        <v>1</v>
      </c>
      <c r="D308" s="120" t="s">
        <v>4015</v>
      </c>
      <c r="E308" s="120" t="s">
        <v>616</v>
      </c>
      <c r="F308" s="120" t="s">
        <v>232</v>
      </c>
      <c r="G308" s="121">
        <v>46237</v>
      </c>
      <c r="H308" s="120" t="s">
        <v>4016</v>
      </c>
    </row>
    <row r="309" spans="1:8" ht="57" customHeight="1">
      <c r="A309" s="120" t="s">
        <v>292</v>
      </c>
      <c r="B309" s="120" t="s">
        <v>3433</v>
      </c>
      <c r="C309" s="120">
        <v>2</v>
      </c>
      <c r="D309" s="120" t="s">
        <v>4017</v>
      </c>
      <c r="E309" s="120" t="s">
        <v>616</v>
      </c>
      <c r="F309" s="120" t="s">
        <v>232</v>
      </c>
      <c r="G309" s="121">
        <v>46237</v>
      </c>
      <c r="H309" s="120" t="s">
        <v>4018</v>
      </c>
    </row>
    <row r="310" spans="1:8" ht="57" customHeight="1">
      <c r="A310" s="120" t="s">
        <v>292</v>
      </c>
      <c r="B310" s="120" t="s">
        <v>3436</v>
      </c>
      <c r="C310" s="120">
        <v>3</v>
      </c>
      <c r="D310" s="120" t="s">
        <v>4019</v>
      </c>
      <c r="E310" s="120" t="s">
        <v>616</v>
      </c>
      <c r="F310" s="120" t="s">
        <v>232</v>
      </c>
      <c r="G310" s="121">
        <v>46237</v>
      </c>
      <c r="H310" s="120" t="s">
        <v>4020</v>
      </c>
    </row>
    <row r="311" spans="1:8" ht="57" customHeight="1">
      <c r="A311" s="120" t="s">
        <v>292</v>
      </c>
      <c r="B311" s="120" t="s">
        <v>3439</v>
      </c>
      <c r="C311" s="120">
        <v>4</v>
      </c>
      <c r="D311" s="120" t="s">
        <v>4021</v>
      </c>
      <c r="E311" s="120" t="s">
        <v>616</v>
      </c>
      <c r="F311" s="120" t="s">
        <v>232</v>
      </c>
      <c r="G311" s="121">
        <v>46237</v>
      </c>
      <c r="H311" s="120" t="s">
        <v>4022</v>
      </c>
    </row>
    <row r="312" spans="1:8" ht="57" customHeight="1">
      <c r="A312" s="120" t="s">
        <v>292</v>
      </c>
      <c r="B312" s="120" t="s">
        <v>3442</v>
      </c>
      <c r="C312" s="120">
        <v>5</v>
      </c>
      <c r="D312" s="120" t="s">
        <v>4023</v>
      </c>
      <c r="E312" s="120" t="s">
        <v>616</v>
      </c>
      <c r="F312" s="120" t="s">
        <v>232</v>
      </c>
      <c r="G312" s="121">
        <v>46237</v>
      </c>
      <c r="H312" s="120" t="s">
        <v>4024</v>
      </c>
    </row>
    <row r="313" spans="1:8" ht="42.75" customHeight="1">
      <c r="A313" s="120" t="s">
        <v>292</v>
      </c>
      <c r="B313" s="120" t="s">
        <v>3445</v>
      </c>
      <c r="C313" s="120">
        <v>6</v>
      </c>
      <c r="D313" s="120" t="s">
        <v>4025</v>
      </c>
      <c r="E313" s="120" t="s">
        <v>616</v>
      </c>
      <c r="F313" s="120" t="s">
        <v>232</v>
      </c>
      <c r="G313" s="121">
        <v>46237</v>
      </c>
      <c r="H313" s="120" t="s">
        <v>4026</v>
      </c>
    </row>
    <row r="314" spans="1:8" ht="42.75" customHeight="1">
      <c r="A314" s="120" t="s">
        <v>292</v>
      </c>
      <c r="B314" s="120" t="s">
        <v>3448</v>
      </c>
      <c r="C314" s="120">
        <v>7</v>
      </c>
      <c r="D314" s="120" t="s">
        <v>4027</v>
      </c>
      <c r="E314" s="120" t="s">
        <v>616</v>
      </c>
      <c r="F314" s="120" t="s">
        <v>232</v>
      </c>
      <c r="G314" s="121">
        <v>46237</v>
      </c>
      <c r="H314" s="120" t="s">
        <v>4028</v>
      </c>
    </row>
    <row r="315" spans="1:8" ht="57" customHeight="1">
      <c r="A315" s="120" t="s">
        <v>292</v>
      </c>
      <c r="B315" s="120" t="s">
        <v>3451</v>
      </c>
      <c r="C315" s="120">
        <v>8</v>
      </c>
      <c r="D315" s="120" t="s">
        <v>4029</v>
      </c>
      <c r="E315" s="120" t="s">
        <v>616</v>
      </c>
      <c r="F315" s="120" t="s">
        <v>232</v>
      </c>
      <c r="G315" s="121">
        <v>46237</v>
      </c>
      <c r="H315" s="120" t="s">
        <v>4030</v>
      </c>
    </row>
    <row r="316" spans="1:8" ht="42.75" customHeight="1">
      <c r="A316" s="120" t="s">
        <v>292</v>
      </c>
      <c r="B316" s="120" t="s">
        <v>3454</v>
      </c>
      <c r="C316" s="120">
        <v>9</v>
      </c>
      <c r="D316" s="120" t="s">
        <v>4031</v>
      </c>
      <c r="E316" s="120" t="s">
        <v>616</v>
      </c>
      <c r="F316" s="120" t="s">
        <v>232</v>
      </c>
      <c r="G316" s="121">
        <v>46237</v>
      </c>
      <c r="H316" s="120" t="s">
        <v>4032</v>
      </c>
    </row>
    <row r="317" spans="1:8" ht="71.25" customHeight="1">
      <c r="A317" s="120" t="s">
        <v>292</v>
      </c>
      <c r="B317" s="120" t="s">
        <v>3457</v>
      </c>
      <c r="C317" s="120">
        <v>10</v>
      </c>
      <c r="D317" s="120" t="s">
        <v>4033</v>
      </c>
      <c r="E317" s="120" t="s">
        <v>616</v>
      </c>
      <c r="F317" s="120" t="s">
        <v>232</v>
      </c>
      <c r="G317" s="121">
        <v>46237</v>
      </c>
      <c r="H317" s="120" t="s">
        <v>4034</v>
      </c>
    </row>
    <row r="318" spans="1:8" ht="71.25" customHeight="1">
      <c r="A318" s="120" t="s">
        <v>292</v>
      </c>
      <c r="B318" s="120" t="s">
        <v>3460</v>
      </c>
      <c r="C318" s="120">
        <v>11</v>
      </c>
      <c r="D318" s="120" t="s">
        <v>4035</v>
      </c>
      <c r="E318" s="120" t="s">
        <v>616</v>
      </c>
      <c r="F318" s="120" t="s">
        <v>232</v>
      </c>
      <c r="G318" s="121">
        <v>46237</v>
      </c>
      <c r="H318" s="120" t="s">
        <v>4036</v>
      </c>
    </row>
    <row r="319" spans="1:8" ht="71.25" customHeight="1">
      <c r="A319" s="120" t="s">
        <v>292</v>
      </c>
      <c r="B319" s="120" t="s">
        <v>3463</v>
      </c>
      <c r="C319" s="120">
        <v>12</v>
      </c>
      <c r="D319" s="120" t="s">
        <v>4037</v>
      </c>
      <c r="E319" s="120" t="s">
        <v>616</v>
      </c>
      <c r="F319" s="120" t="s">
        <v>232</v>
      </c>
      <c r="G319" s="121">
        <v>46237</v>
      </c>
      <c r="H319" s="120" t="s">
        <v>4038</v>
      </c>
    </row>
    <row r="320" spans="1:8" ht="42.75" customHeight="1">
      <c r="A320" s="120" t="s">
        <v>292</v>
      </c>
      <c r="B320" s="120" t="s">
        <v>3466</v>
      </c>
      <c r="C320" s="120">
        <v>13</v>
      </c>
      <c r="D320" s="120" t="s">
        <v>611</v>
      </c>
      <c r="E320" s="120" t="s">
        <v>616</v>
      </c>
      <c r="F320" s="120" t="s">
        <v>232</v>
      </c>
      <c r="G320" s="121">
        <v>46237</v>
      </c>
      <c r="H320" s="120" t="s">
        <v>4039</v>
      </c>
    </row>
    <row r="321" spans="1:8" ht="42.75" customHeight="1">
      <c r="A321" s="120" t="s">
        <v>292</v>
      </c>
      <c r="B321" s="120" t="s">
        <v>3469</v>
      </c>
      <c r="C321" s="120">
        <v>14</v>
      </c>
      <c r="D321" s="120" t="s">
        <v>4040</v>
      </c>
      <c r="E321" s="120" t="s">
        <v>616</v>
      </c>
      <c r="F321" s="120" t="s">
        <v>232</v>
      </c>
      <c r="G321" s="121">
        <v>46237</v>
      </c>
      <c r="H321" s="120" t="s">
        <v>4041</v>
      </c>
    </row>
    <row r="322" spans="1:8" ht="57" customHeight="1">
      <c r="A322" s="120" t="s">
        <v>292</v>
      </c>
      <c r="B322" s="120" t="s">
        <v>3472</v>
      </c>
      <c r="C322" s="120">
        <v>15</v>
      </c>
      <c r="D322" s="120" t="s">
        <v>4042</v>
      </c>
      <c r="E322" s="120" t="s">
        <v>616</v>
      </c>
      <c r="F322" s="120" t="s">
        <v>232</v>
      </c>
      <c r="G322" s="121">
        <v>46237</v>
      </c>
      <c r="H322" s="120" t="s">
        <v>4043</v>
      </c>
    </row>
    <row r="323" spans="1:8" ht="57" customHeight="1">
      <c r="A323" s="120" t="s">
        <v>292</v>
      </c>
      <c r="B323" s="120" t="s">
        <v>3475</v>
      </c>
      <c r="C323" s="120">
        <v>16</v>
      </c>
      <c r="D323" s="120" t="s">
        <v>4044</v>
      </c>
      <c r="E323" s="120" t="s">
        <v>616</v>
      </c>
      <c r="F323" s="120" t="s">
        <v>232</v>
      </c>
      <c r="G323" s="121">
        <v>46237</v>
      </c>
      <c r="H323" s="120" t="s">
        <v>4045</v>
      </c>
    </row>
    <row r="324" spans="1:8" ht="57" customHeight="1">
      <c r="A324" s="120" t="s">
        <v>292</v>
      </c>
      <c r="B324" s="120" t="s">
        <v>3478</v>
      </c>
      <c r="C324" s="120">
        <v>17</v>
      </c>
      <c r="D324" s="120" t="s">
        <v>4046</v>
      </c>
      <c r="E324" s="120" t="s">
        <v>616</v>
      </c>
      <c r="F324" s="120" t="s">
        <v>232</v>
      </c>
      <c r="G324" s="121">
        <v>46237</v>
      </c>
      <c r="H324" s="120" t="s">
        <v>4047</v>
      </c>
    </row>
    <row r="325" spans="1:8" ht="42.75" customHeight="1">
      <c r="A325" s="120" t="s">
        <v>292</v>
      </c>
      <c r="B325" s="120" t="s">
        <v>3481</v>
      </c>
      <c r="C325" s="120">
        <v>18</v>
      </c>
      <c r="D325" s="120" t="s">
        <v>3482</v>
      </c>
      <c r="E325" s="120" t="s">
        <v>616</v>
      </c>
      <c r="F325" s="120" t="s">
        <v>232</v>
      </c>
      <c r="G325" s="121">
        <v>46237</v>
      </c>
      <c r="H325" s="120" t="s">
        <v>4048</v>
      </c>
    </row>
    <row r="326" spans="1:8" ht="57" customHeight="1">
      <c r="A326" s="120" t="s">
        <v>296</v>
      </c>
      <c r="B326" s="120" t="s">
        <v>3430</v>
      </c>
      <c r="C326" s="120">
        <v>1</v>
      </c>
      <c r="D326" s="120" t="s">
        <v>4049</v>
      </c>
      <c r="E326" s="120" t="s">
        <v>624</v>
      </c>
      <c r="F326" s="120" t="s">
        <v>232</v>
      </c>
      <c r="G326" s="121">
        <v>46237</v>
      </c>
      <c r="H326" s="120" t="s">
        <v>4050</v>
      </c>
    </row>
    <row r="327" spans="1:8" ht="57" customHeight="1">
      <c r="A327" s="120" t="s">
        <v>296</v>
      </c>
      <c r="B327" s="120" t="s">
        <v>3433</v>
      </c>
      <c r="C327" s="120">
        <v>2</v>
      </c>
      <c r="D327" s="120" t="s">
        <v>4051</v>
      </c>
      <c r="E327" s="120" t="s">
        <v>624</v>
      </c>
      <c r="F327" s="120" t="s">
        <v>232</v>
      </c>
      <c r="G327" s="121">
        <v>46237</v>
      </c>
      <c r="H327" s="120" t="s">
        <v>4052</v>
      </c>
    </row>
    <row r="328" spans="1:8" ht="57" customHeight="1">
      <c r="A328" s="120" t="s">
        <v>296</v>
      </c>
      <c r="B328" s="120" t="s">
        <v>3436</v>
      </c>
      <c r="C328" s="120">
        <v>3</v>
      </c>
      <c r="D328" s="120" t="s">
        <v>4053</v>
      </c>
      <c r="E328" s="120" t="s">
        <v>624</v>
      </c>
      <c r="F328" s="120" t="s">
        <v>232</v>
      </c>
      <c r="G328" s="121">
        <v>46237</v>
      </c>
      <c r="H328" s="120" t="s">
        <v>4054</v>
      </c>
    </row>
    <row r="329" spans="1:8" ht="57" customHeight="1">
      <c r="A329" s="120" t="s">
        <v>296</v>
      </c>
      <c r="B329" s="120" t="s">
        <v>3439</v>
      </c>
      <c r="C329" s="120">
        <v>4</v>
      </c>
      <c r="D329" s="120" t="s">
        <v>4055</v>
      </c>
      <c r="E329" s="120" t="s">
        <v>624</v>
      </c>
      <c r="F329" s="120" t="s">
        <v>232</v>
      </c>
      <c r="G329" s="121">
        <v>46237</v>
      </c>
      <c r="H329" s="120" t="s">
        <v>4056</v>
      </c>
    </row>
    <row r="330" spans="1:8" ht="57" customHeight="1">
      <c r="A330" s="120" t="s">
        <v>296</v>
      </c>
      <c r="B330" s="120" t="s">
        <v>3442</v>
      </c>
      <c r="C330" s="120">
        <v>5</v>
      </c>
      <c r="D330" s="120" t="s">
        <v>4057</v>
      </c>
      <c r="E330" s="120" t="s">
        <v>624</v>
      </c>
      <c r="F330" s="120" t="s">
        <v>232</v>
      </c>
      <c r="G330" s="121">
        <v>46237</v>
      </c>
      <c r="H330" s="120" t="s">
        <v>4058</v>
      </c>
    </row>
    <row r="331" spans="1:8" ht="42.75" customHeight="1">
      <c r="A331" s="120" t="s">
        <v>296</v>
      </c>
      <c r="B331" s="120" t="s">
        <v>3445</v>
      </c>
      <c r="C331" s="120">
        <v>6</v>
      </c>
      <c r="D331" s="120" t="s">
        <v>4059</v>
      </c>
      <c r="E331" s="120" t="s">
        <v>624</v>
      </c>
      <c r="F331" s="120" t="s">
        <v>232</v>
      </c>
      <c r="G331" s="121">
        <v>46237</v>
      </c>
      <c r="H331" s="120" t="s">
        <v>4060</v>
      </c>
    </row>
    <row r="332" spans="1:8" ht="42.75" customHeight="1">
      <c r="A332" s="120" t="s">
        <v>296</v>
      </c>
      <c r="B332" s="120" t="s">
        <v>3448</v>
      </c>
      <c r="C332" s="120">
        <v>7</v>
      </c>
      <c r="D332" s="120" t="s">
        <v>4061</v>
      </c>
      <c r="E332" s="120" t="s">
        <v>624</v>
      </c>
      <c r="F332" s="120" t="s">
        <v>232</v>
      </c>
      <c r="G332" s="121">
        <v>46237</v>
      </c>
      <c r="H332" s="120" t="s">
        <v>4062</v>
      </c>
    </row>
    <row r="333" spans="1:8" ht="57" customHeight="1">
      <c r="A333" s="120" t="s">
        <v>296</v>
      </c>
      <c r="B333" s="120" t="s">
        <v>3451</v>
      </c>
      <c r="C333" s="120">
        <v>8</v>
      </c>
      <c r="D333" s="120" t="s">
        <v>4063</v>
      </c>
      <c r="E333" s="120" t="s">
        <v>624</v>
      </c>
      <c r="F333" s="120" t="s">
        <v>232</v>
      </c>
      <c r="G333" s="121">
        <v>46237</v>
      </c>
      <c r="H333" s="120" t="s">
        <v>4064</v>
      </c>
    </row>
    <row r="334" spans="1:8" ht="42.75" customHeight="1">
      <c r="A334" s="120" t="s">
        <v>296</v>
      </c>
      <c r="B334" s="120" t="s">
        <v>3454</v>
      </c>
      <c r="C334" s="120">
        <v>9</v>
      </c>
      <c r="D334" s="120" t="s">
        <v>4065</v>
      </c>
      <c r="E334" s="120" t="s">
        <v>624</v>
      </c>
      <c r="F334" s="120" t="s">
        <v>232</v>
      </c>
      <c r="G334" s="121">
        <v>46237</v>
      </c>
      <c r="H334" s="120" t="s">
        <v>4066</v>
      </c>
    </row>
    <row r="335" spans="1:8" ht="71.25" customHeight="1">
      <c r="A335" s="120" t="s">
        <v>296</v>
      </c>
      <c r="B335" s="120" t="s">
        <v>3457</v>
      </c>
      <c r="C335" s="120">
        <v>10</v>
      </c>
      <c r="D335" s="120" t="s">
        <v>4067</v>
      </c>
      <c r="E335" s="120" t="s">
        <v>624</v>
      </c>
      <c r="F335" s="120" t="s">
        <v>232</v>
      </c>
      <c r="G335" s="121">
        <v>46237</v>
      </c>
      <c r="H335" s="120" t="s">
        <v>4068</v>
      </c>
    </row>
    <row r="336" spans="1:8" ht="71.25" customHeight="1">
      <c r="A336" s="120" t="s">
        <v>296</v>
      </c>
      <c r="B336" s="120" t="s">
        <v>3460</v>
      </c>
      <c r="C336" s="120">
        <v>11</v>
      </c>
      <c r="D336" s="120" t="s">
        <v>4069</v>
      </c>
      <c r="E336" s="120" t="s">
        <v>624</v>
      </c>
      <c r="F336" s="120" t="s">
        <v>232</v>
      </c>
      <c r="G336" s="121">
        <v>46237</v>
      </c>
      <c r="H336" s="120" t="s">
        <v>4070</v>
      </c>
    </row>
    <row r="337" spans="1:8" ht="71.25" customHeight="1">
      <c r="A337" s="120" t="s">
        <v>296</v>
      </c>
      <c r="B337" s="120" t="s">
        <v>3463</v>
      </c>
      <c r="C337" s="120">
        <v>12</v>
      </c>
      <c r="D337" s="120" t="s">
        <v>4071</v>
      </c>
      <c r="E337" s="120" t="s">
        <v>624</v>
      </c>
      <c r="F337" s="120" t="s">
        <v>232</v>
      </c>
      <c r="G337" s="121">
        <v>46237</v>
      </c>
      <c r="H337" s="120" t="s">
        <v>4072</v>
      </c>
    </row>
    <row r="338" spans="1:8" ht="42.75" customHeight="1">
      <c r="A338" s="120" t="s">
        <v>296</v>
      </c>
      <c r="B338" s="120" t="s">
        <v>3466</v>
      </c>
      <c r="C338" s="120">
        <v>13</v>
      </c>
      <c r="D338" s="120" t="s">
        <v>619</v>
      </c>
      <c r="E338" s="120" t="s">
        <v>624</v>
      </c>
      <c r="F338" s="120" t="s">
        <v>232</v>
      </c>
      <c r="G338" s="121">
        <v>46237</v>
      </c>
      <c r="H338" s="120" t="s">
        <v>4073</v>
      </c>
    </row>
    <row r="339" spans="1:8" ht="42.75" customHeight="1">
      <c r="A339" s="120" t="s">
        <v>296</v>
      </c>
      <c r="B339" s="120" t="s">
        <v>3469</v>
      </c>
      <c r="C339" s="120">
        <v>14</v>
      </c>
      <c r="D339" s="120" t="s">
        <v>620</v>
      </c>
      <c r="E339" s="120" t="s">
        <v>624</v>
      </c>
      <c r="F339" s="120" t="s">
        <v>232</v>
      </c>
      <c r="G339" s="121">
        <v>46237</v>
      </c>
      <c r="H339" s="120" t="s">
        <v>4074</v>
      </c>
    </row>
    <row r="340" spans="1:8" ht="57" customHeight="1">
      <c r="A340" s="120" t="s">
        <v>296</v>
      </c>
      <c r="B340" s="120" t="s">
        <v>3472</v>
      </c>
      <c r="C340" s="120">
        <v>15</v>
      </c>
      <c r="D340" s="120" t="s">
        <v>4075</v>
      </c>
      <c r="E340" s="120" t="s">
        <v>624</v>
      </c>
      <c r="F340" s="120" t="s">
        <v>232</v>
      </c>
      <c r="G340" s="121">
        <v>46237</v>
      </c>
      <c r="H340" s="120" t="s">
        <v>4076</v>
      </c>
    </row>
    <row r="341" spans="1:8" ht="57" customHeight="1">
      <c r="A341" s="120" t="s">
        <v>296</v>
      </c>
      <c r="B341" s="120" t="s">
        <v>3475</v>
      </c>
      <c r="C341" s="120">
        <v>16</v>
      </c>
      <c r="D341" s="120" t="s">
        <v>4077</v>
      </c>
      <c r="E341" s="120" t="s">
        <v>624</v>
      </c>
      <c r="F341" s="120" t="s">
        <v>232</v>
      </c>
      <c r="G341" s="121">
        <v>46237</v>
      </c>
      <c r="H341" s="120" t="s">
        <v>4078</v>
      </c>
    </row>
    <row r="342" spans="1:8" ht="57" customHeight="1">
      <c r="A342" s="120" t="s">
        <v>296</v>
      </c>
      <c r="B342" s="120" t="s">
        <v>3478</v>
      </c>
      <c r="C342" s="120">
        <v>17</v>
      </c>
      <c r="D342" s="120" t="s">
        <v>4079</v>
      </c>
      <c r="E342" s="120" t="s">
        <v>624</v>
      </c>
      <c r="F342" s="120" t="s">
        <v>232</v>
      </c>
      <c r="G342" s="121">
        <v>46237</v>
      </c>
      <c r="H342" s="120" t="s">
        <v>4080</v>
      </c>
    </row>
    <row r="343" spans="1:8" ht="42.75" customHeight="1">
      <c r="A343" s="120" t="s">
        <v>296</v>
      </c>
      <c r="B343" s="120" t="s">
        <v>3481</v>
      </c>
      <c r="C343" s="120">
        <v>18</v>
      </c>
      <c r="D343" s="120" t="s">
        <v>3482</v>
      </c>
      <c r="E343" s="120" t="s">
        <v>624</v>
      </c>
      <c r="F343" s="120" t="s">
        <v>232</v>
      </c>
      <c r="G343" s="121">
        <v>46237</v>
      </c>
      <c r="H343" s="120" t="s">
        <v>4081</v>
      </c>
    </row>
    <row r="344" spans="1:8" ht="57" customHeight="1">
      <c r="A344" s="120" t="s">
        <v>299</v>
      </c>
      <c r="B344" s="120" t="s">
        <v>3430</v>
      </c>
      <c r="C344" s="120">
        <v>1</v>
      </c>
      <c r="D344" s="120" t="s">
        <v>4082</v>
      </c>
      <c r="E344" s="120" t="s">
        <v>632</v>
      </c>
      <c r="F344" s="120" t="s">
        <v>232</v>
      </c>
      <c r="G344" s="121">
        <v>46237</v>
      </c>
      <c r="H344" s="120" t="s">
        <v>4083</v>
      </c>
    </row>
    <row r="345" spans="1:8" ht="57" customHeight="1">
      <c r="A345" s="120" t="s">
        <v>299</v>
      </c>
      <c r="B345" s="120" t="s">
        <v>3433</v>
      </c>
      <c r="C345" s="120">
        <v>2</v>
      </c>
      <c r="D345" s="120" t="s">
        <v>4084</v>
      </c>
      <c r="E345" s="120" t="s">
        <v>632</v>
      </c>
      <c r="F345" s="120" t="s">
        <v>232</v>
      </c>
      <c r="G345" s="121">
        <v>46237</v>
      </c>
      <c r="H345" s="120" t="s">
        <v>4085</v>
      </c>
    </row>
    <row r="346" spans="1:8" ht="57" customHeight="1">
      <c r="A346" s="120" t="s">
        <v>299</v>
      </c>
      <c r="B346" s="120" t="s">
        <v>3436</v>
      </c>
      <c r="C346" s="120">
        <v>3</v>
      </c>
      <c r="D346" s="120" t="s">
        <v>4086</v>
      </c>
      <c r="E346" s="120" t="s">
        <v>632</v>
      </c>
      <c r="F346" s="120" t="s">
        <v>232</v>
      </c>
      <c r="G346" s="121">
        <v>46237</v>
      </c>
      <c r="H346" s="120" t="s">
        <v>4087</v>
      </c>
    </row>
    <row r="347" spans="1:8" ht="57" customHeight="1">
      <c r="A347" s="120" t="s">
        <v>299</v>
      </c>
      <c r="B347" s="120" t="s">
        <v>3439</v>
      </c>
      <c r="C347" s="120">
        <v>4</v>
      </c>
      <c r="D347" s="120" t="s">
        <v>4088</v>
      </c>
      <c r="E347" s="120" t="s">
        <v>632</v>
      </c>
      <c r="F347" s="120" t="s">
        <v>232</v>
      </c>
      <c r="G347" s="121">
        <v>46237</v>
      </c>
      <c r="H347" s="120" t="s">
        <v>4089</v>
      </c>
    </row>
    <row r="348" spans="1:8" ht="57" customHeight="1">
      <c r="A348" s="120" t="s">
        <v>299</v>
      </c>
      <c r="B348" s="120" t="s">
        <v>3442</v>
      </c>
      <c r="C348" s="120">
        <v>5</v>
      </c>
      <c r="D348" s="120" t="s">
        <v>4090</v>
      </c>
      <c r="E348" s="120" t="s">
        <v>632</v>
      </c>
      <c r="F348" s="120" t="s">
        <v>232</v>
      </c>
      <c r="G348" s="121">
        <v>46237</v>
      </c>
      <c r="H348" s="120" t="s">
        <v>4091</v>
      </c>
    </row>
    <row r="349" spans="1:8" ht="42.75" customHeight="1">
      <c r="A349" s="120" t="s">
        <v>299</v>
      </c>
      <c r="B349" s="120" t="s">
        <v>3445</v>
      </c>
      <c r="C349" s="120">
        <v>6</v>
      </c>
      <c r="D349" s="120" t="s">
        <v>4092</v>
      </c>
      <c r="E349" s="120" t="s">
        <v>632</v>
      </c>
      <c r="F349" s="120" t="s">
        <v>232</v>
      </c>
      <c r="G349" s="121">
        <v>46237</v>
      </c>
      <c r="H349" s="120" t="s">
        <v>4093</v>
      </c>
    </row>
    <row r="350" spans="1:8" ht="42.75" customHeight="1">
      <c r="A350" s="120" t="s">
        <v>299</v>
      </c>
      <c r="B350" s="120" t="s">
        <v>3448</v>
      </c>
      <c r="C350" s="120">
        <v>7</v>
      </c>
      <c r="D350" s="120" t="s">
        <v>4094</v>
      </c>
      <c r="E350" s="120" t="s">
        <v>632</v>
      </c>
      <c r="F350" s="120" t="s">
        <v>232</v>
      </c>
      <c r="G350" s="121">
        <v>46237</v>
      </c>
      <c r="H350" s="120" t="s">
        <v>4095</v>
      </c>
    </row>
    <row r="351" spans="1:8" ht="57" customHeight="1">
      <c r="A351" s="120" t="s">
        <v>299</v>
      </c>
      <c r="B351" s="120" t="s">
        <v>3451</v>
      </c>
      <c r="C351" s="120">
        <v>8</v>
      </c>
      <c r="D351" s="120" t="s">
        <v>4096</v>
      </c>
      <c r="E351" s="120" t="s">
        <v>632</v>
      </c>
      <c r="F351" s="120" t="s">
        <v>232</v>
      </c>
      <c r="G351" s="121">
        <v>46237</v>
      </c>
      <c r="H351" s="120" t="s">
        <v>4097</v>
      </c>
    </row>
    <row r="352" spans="1:8" ht="42.75" customHeight="1">
      <c r="A352" s="120" t="s">
        <v>299</v>
      </c>
      <c r="B352" s="120" t="s">
        <v>3454</v>
      </c>
      <c r="C352" s="120">
        <v>9</v>
      </c>
      <c r="D352" s="120" t="s">
        <v>4098</v>
      </c>
      <c r="E352" s="120" t="s">
        <v>632</v>
      </c>
      <c r="F352" s="120" t="s">
        <v>232</v>
      </c>
      <c r="G352" s="121">
        <v>46237</v>
      </c>
      <c r="H352" s="120" t="s">
        <v>4099</v>
      </c>
    </row>
    <row r="353" spans="1:8" ht="71.25" customHeight="1">
      <c r="A353" s="120" t="s">
        <v>299</v>
      </c>
      <c r="B353" s="120" t="s">
        <v>3457</v>
      </c>
      <c r="C353" s="120">
        <v>10</v>
      </c>
      <c r="D353" s="120" t="s">
        <v>4100</v>
      </c>
      <c r="E353" s="120" t="s">
        <v>632</v>
      </c>
      <c r="F353" s="120" t="s">
        <v>232</v>
      </c>
      <c r="G353" s="121">
        <v>46237</v>
      </c>
      <c r="H353" s="120" t="s">
        <v>4101</v>
      </c>
    </row>
    <row r="354" spans="1:8" ht="71.25" customHeight="1">
      <c r="A354" s="120" t="s">
        <v>299</v>
      </c>
      <c r="B354" s="120" t="s">
        <v>3460</v>
      </c>
      <c r="C354" s="120">
        <v>11</v>
      </c>
      <c r="D354" s="120" t="s">
        <v>4102</v>
      </c>
      <c r="E354" s="120" t="s">
        <v>632</v>
      </c>
      <c r="F354" s="120" t="s">
        <v>232</v>
      </c>
      <c r="G354" s="121">
        <v>46237</v>
      </c>
      <c r="H354" s="120" t="s">
        <v>4103</v>
      </c>
    </row>
    <row r="355" spans="1:8" ht="71.25" customHeight="1">
      <c r="A355" s="120" t="s">
        <v>299</v>
      </c>
      <c r="B355" s="120" t="s">
        <v>3463</v>
      </c>
      <c r="C355" s="120">
        <v>12</v>
      </c>
      <c r="D355" s="120" t="s">
        <v>4104</v>
      </c>
      <c r="E355" s="120" t="s">
        <v>632</v>
      </c>
      <c r="F355" s="120" t="s">
        <v>232</v>
      </c>
      <c r="G355" s="121">
        <v>46237</v>
      </c>
      <c r="H355" s="120" t="s">
        <v>4105</v>
      </c>
    </row>
    <row r="356" spans="1:8" ht="42.75" customHeight="1">
      <c r="A356" s="120" t="s">
        <v>299</v>
      </c>
      <c r="B356" s="120" t="s">
        <v>3466</v>
      </c>
      <c r="C356" s="120">
        <v>13</v>
      </c>
      <c r="D356" s="120" t="s">
        <v>627</v>
      </c>
      <c r="E356" s="120" t="s">
        <v>632</v>
      </c>
      <c r="F356" s="120" t="s">
        <v>232</v>
      </c>
      <c r="G356" s="121">
        <v>46237</v>
      </c>
      <c r="H356" s="120" t="s">
        <v>4106</v>
      </c>
    </row>
    <row r="357" spans="1:8" ht="42.75" customHeight="1">
      <c r="A357" s="120" t="s">
        <v>299</v>
      </c>
      <c r="B357" s="120" t="s">
        <v>3469</v>
      </c>
      <c r="C357" s="120">
        <v>14</v>
      </c>
      <c r="D357" s="120" t="s">
        <v>628</v>
      </c>
      <c r="E357" s="120" t="s">
        <v>632</v>
      </c>
      <c r="F357" s="120" t="s">
        <v>232</v>
      </c>
      <c r="G357" s="121">
        <v>46237</v>
      </c>
      <c r="H357" s="120" t="s">
        <v>4107</v>
      </c>
    </row>
    <row r="358" spans="1:8" ht="57" customHeight="1">
      <c r="A358" s="120" t="s">
        <v>299</v>
      </c>
      <c r="B358" s="120" t="s">
        <v>3472</v>
      </c>
      <c r="C358" s="120">
        <v>15</v>
      </c>
      <c r="D358" s="120" t="s">
        <v>4108</v>
      </c>
      <c r="E358" s="120" t="s">
        <v>632</v>
      </c>
      <c r="F358" s="120" t="s">
        <v>232</v>
      </c>
      <c r="G358" s="121">
        <v>46237</v>
      </c>
      <c r="H358" s="120" t="s">
        <v>4109</v>
      </c>
    </row>
    <row r="359" spans="1:8" ht="57" customHeight="1">
      <c r="A359" s="120" t="s">
        <v>299</v>
      </c>
      <c r="B359" s="120" t="s">
        <v>3475</v>
      </c>
      <c r="C359" s="120">
        <v>16</v>
      </c>
      <c r="D359" s="120" t="s">
        <v>4110</v>
      </c>
      <c r="E359" s="120" t="s">
        <v>632</v>
      </c>
      <c r="F359" s="120" t="s">
        <v>232</v>
      </c>
      <c r="G359" s="121">
        <v>46237</v>
      </c>
      <c r="H359" s="120" t="s">
        <v>4111</v>
      </c>
    </row>
    <row r="360" spans="1:8" ht="57" customHeight="1">
      <c r="A360" s="120" t="s">
        <v>299</v>
      </c>
      <c r="B360" s="120" t="s">
        <v>3478</v>
      </c>
      <c r="C360" s="120">
        <v>17</v>
      </c>
      <c r="D360" s="120" t="s">
        <v>4112</v>
      </c>
      <c r="E360" s="120" t="s">
        <v>632</v>
      </c>
      <c r="F360" s="120" t="s">
        <v>232</v>
      </c>
      <c r="G360" s="121">
        <v>46237</v>
      </c>
      <c r="H360" s="120" t="s">
        <v>4113</v>
      </c>
    </row>
    <row r="361" spans="1:8" ht="42.75" customHeight="1">
      <c r="A361" s="120" t="s">
        <v>299</v>
      </c>
      <c r="B361" s="120" t="s">
        <v>3481</v>
      </c>
      <c r="C361" s="120">
        <v>18</v>
      </c>
      <c r="D361" s="120" t="s">
        <v>3482</v>
      </c>
      <c r="E361" s="120" t="s">
        <v>632</v>
      </c>
      <c r="F361" s="120" t="s">
        <v>232</v>
      </c>
      <c r="G361" s="121">
        <v>46237</v>
      </c>
      <c r="H361" s="120" t="s">
        <v>4114</v>
      </c>
    </row>
    <row r="362" spans="1:8" ht="57" customHeight="1">
      <c r="A362" s="120" t="s">
        <v>302</v>
      </c>
      <c r="B362" s="120" t="s">
        <v>3430</v>
      </c>
      <c r="C362" s="120">
        <v>1</v>
      </c>
      <c r="D362" s="120" t="s">
        <v>4115</v>
      </c>
      <c r="E362" s="120" t="s">
        <v>639</v>
      </c>
      <c r="F362" s="120" t="s">
        <v>232</v>
      </c>
      <c r="G362" s="121">
        <v>46237</v>
      </c>
      <c r="H362" s="120" t="s">
        <v>4116</v>
      </c>
    </row>
    <row r="363" spans="1:8" ht="57" customHeight="1">
      <c r="A363" s="120" t="s">
        <v>302</v>
      </c>
      <c r="B363" s="120" t="s">
        <v>3433</v>
      </c>
      <c r="C363" s="120">
        <v>2</v>
      </c>
      <c r="D363" s="120" t="s">
        <v>4117</v>
      </c>
      <c r="E363" s="120" t="s">
        <v>639</v>
      </c>
      <c r="F363" s="120" t="s">
        <v>232</v>
      </c>
      <c r="G363" s="121">
        <v>46237</v>
      </c>
      <c r="H363" s="120" t="s">
        <v>4118</v>
      </c>
    </row>
    <row r="364" spans="1:8" ht="57" customHeight="1">
      <c r="A364" s="120" t="s">
        <v>302</v>
      </c>
      <c r="B364" s="120" t="s">
        <v>3436</v>
      </c>
      <c r="C364" s="120">
        <v>3</v>
      </c>
      <c r="D364" s="120" t="s">
        <v>4119</v>
      </c>
      <c r="E364" s="120" t="s">
        <v>639</v>
      </c>
      <c r="F364" s="120" t="s">
        <v>232</v>
      </c>
      <c r="G364" s="121">
        <v>46237</v>
      </c>
      <c r="H364" s="120" t="s">
        <v>4120</v>
      </c>
    </row>
    <row r="365" spans="1:8" ht="57" customHeight="1">
      <c r="A365" s="120" t="s">
        <v>302</v>
      </c>
      <c r="B365" s="120" t="s">
        <v>3439</v>
      </c>
      <c r="C365" s="120">
        <v>4</v>
      </c>
      <c r="D365" s="120" t="s">
        <v>4121</v>
      </c>
      <c r="E365" s="120" t="s">
        <v>639</v>
      </c>
      <c r="F365" s="120" t="s">
        <v>232</v>
      </c>
      <c r="G365" s="121">
        <v>46237</v>
      </c>
      <c r="H365" s="120" t="s">
        <v>4122</v>
      </c>
    </row>
    <row r="366" spans="1:8" ht="57" customHeight="1">
      <c r="A366" s="120" t="s">
        <v>302</v>
      </c>
      <c r="B366" s="120" t="s">
        <v>3442</v>
      </c>
      <c r="C366" s="120">
        <v>5</v>
      </c>
      <c r="D366" s="120" t="s">
        <v>4123</v>
      </c>
      <c r="E366" s="120" t="s">
        <v>639</v>
      </c>
      <c r="F366" s="120" t="s">
        <v>232</v>
      </c>
      <c r="G366" s="121">
        <v>46237</v>
      </c>
      <c r="H366" s="120" t="s">
        <v>4124</v>
      </c>
    </row>
    <row r="367" spans="1:8" ht="42.75" customHeight="1">
      <c r="A367" s="120" t="s">
        <v>302</v>
      </c>
      <c r="B367" s="120" t="s">
        <v>3445</v>
      </c>
      <c r="C367" s="120">
        <v>6</v>
      </c>
      <c r="D367" s="120" t="s">
        <v>4125</v>
      </c>
      <c r="E367" s="120" t="s">
        <v>639</v>
      </c>
      <c r="F367" s="120" t="s">
        <v>232</v>
      </c>
      <c r="G367" s="121">
        <v>46237</v>
      </c>
      <c r="H367" s="120" t="s">
        <v>4126</v>
      </c>
    </row>
    <row r="368" spans="1:8" ht="42.75" customHeight="1">
      <c r="A368" s="120" t="s">
        <v>302</v>
      </c>
      <c r="B368" s="120" t="s">
        <v>3448</v>
      </c>
      <c r="C368" s="120">
        <v>7</v>
      </c>
      <c r="D368" s="120" t="s">
        <v>4127</v>
      </c>
      <c r="E368" s="120" t="s">
        <v>639</v>
      </c>
      <c r="F368" s="120" t="s">
        <v>232</v>
      </c>
      <c r="G368" s="121">
        <v>46237</v>
      </c>
      <c r="H368" s="120" t="s">
        <v>4128</v>
      </c>
    </row>
    <row r="369" spans="1:8" ht="57" customHeight="1">
      <c r="A369" s="120" t="s">
        <v>302</v>
      </c>
      <c r="B369" s="120" t="s">
        <v>3451</v>
      </c>
      <c r="C369" s="120">
        <v>8</v>
      </c>
      <c r="D369" s="120" t="s">
        <v>4129</v>
      </c>
      <c r="E369" s="120" t="s">
        <v>639</v>
      </c>
      <c r="F369" s="120" t="s">
        <v>232</v>
      </c>
      <c r="G369" s="121">
        <v>46237</v>
      </c>
      <c r="H369" s="120" t="s">
        <v>4130</v>
      </c>
    </row>
    <row r="370" spans="1:8" ht="42.75" customHeight="1">
      <c r="A370" s="120" t="s">
        <v>302</v>
      </c>
      <c r="B370" s="120" t="s">
        <v>3454</v>
      </c>
      <c r="C370" s="120">
        <v>9</v>
      </c>
      <c r="D370" s="120" t="s">
        <v>4131</v>
      </c>
      <c r="E370" s="120" t="s">
        <v>639</v>
      </c>
      <c r="F370" s="120" t="s">
        <v>232</v>
      </c>
      <c r="G370" s="121">
        <v>46237</v>
      </c>
      <c r="H370" s="120" t="s">
        <v>4132</v>
      </c>
    </row>
    <row r="371" spans="1:8" ht="71.25" customHeight="1">
      <c r="A371" s="120" t="s">
        <v>302</v>
      </c>
      <c r="B371" s="120" t="s">
        <v>3457</v>
      </c>
      <c r="C371" s="120">
        <v>10</v>
      </c>
      <c r="D371" s="120" t="s">
        <v>4133</v>
      </c>
      <c r="E371" s="120" t="s">
        <v>639</v>
      </c>
      <c r="F371" s="120" t="s">
        <v>232</v>
      </c>
      <c r="G371" s="121">
        <v>46237</v>
      </c>
      <c r="H371" s="120" t="s">
        <v>4134</v>
      </c>
    </row>
    <row r="372" spans="1:8" ht="71.25" customHeight="1">
      <c r="A372" s="120" t="s">
        <v>302</v>
      </c>
      <c r="B372" s="120" t="s">
        <v>3460</v>
      </c>
      <c r="C372" s="120">
        <v>11</v>
      </c>
      <c r="D372" s="120" t="s">
        <v>4135</v>
      </c>
      <c r="E372" s="120" t="s">
        <v>639</v>
      </c>
      <c r="F372" s="120" t="s">
        <v>232</v>
      </c>
      <c r="G372" s="121">
        <v>46237</v>
      </c>
      <c r="H372" s="120" t="s">
        <v>4136</v>
      </c>
    </row>
    <row r="373" spans="1:8" ht="71.25" customHeight="1">
      <c r="A373" s="120" t="s">
        <v>302</v>
      </c>
      <c r="B373" s="120" t="s">
        <v>3463</v>
      </c>
      <c r="C373" s="120">
        <v>12</v>
      </c>
      <c r="D373" s="120" t="s">
        <v>4137</v>
      </c>
      <c r="E373" s="120" t="s">
        <v>639</v>
      </c>
      <c r="F373" s="120" t="s">
        <v>232</v>
      </c>
      <c r="G373" s="121">
        <v>46237</v>
      </c>
      <c r="H373" s="120" t="s">
        <v>4138</v>
      </c>
    </row>
    <row r="374" spans="1:8" ht="42.75" customHeight="1">
      <c r="A374" s="120" t="s">
        <v>302</v>
      </c>
      <c r="B374" s="120" t="s">
        <v>3466</v>
      </c>
      <c r="C374" s="120">
        <v>13</v>
      </c>
      <c r="D374" s="120" t="s">
        <v>635</v>
      </c>
      <c r="E374" s="120" t="s">
        <v>639</v>
      </c>
      <c r="F374" s="120" t="s">
        <v>232</v>
      </c>
      <c r="G374" s="121">
        <v>46237</v>
      </c>
      <c r="H374" s="120" t="s">
        <v>4139</v>
      </c>
    </row>
    <row r="375" spans="1:8" ht="42.75" customHeight="1">
      <c r="A375" s="120" t="s">
        <v>302</v>
      </c>
      <c r="B375" s="120" t="s">
        <v>3469</v>
      </c>
      <c r="C375" s="120">
        <v>14</v>
      </c>
      <c r="D375" s="120" t="s">
        <v>636</v>
      </c>
      <c r="E375" s="120" t="s">
        <v>639</v>
      </c>
      <c r="F375" s="120" t="s">
        <v>232</v>
      </c>
      <c r="G375" s="121">
        <v>46237</v>
      </c>
      <c r="H375" s="120" t="s">
        <v>4140</v>
      </c>
    </row>
    <row r="376" spans="1:8" ht="57" customHeight="1">
      <c r="A376" s="120" t="s">
        <v>302</v>
      </c>
      <c r="B376" s="120" t="s">
        <v>3472</v>
      </c>
      <c r="C376" s="120">
        <v>15</v>
      </c>
      <c r="D376" s="120" t="s">
        <v>4141</v>
      </c>
      <c r="E376" s="120" t="s">
        <v>639</v>
      </c>
      <c r="F376" s="120" t="s">
        <v>232</v>
      </c>
      <c r="G376" s="121">
        <v>46237</v>
      </c>
      <c r="H376" s="120" t="s">
        <v>4142</v>
      </c>
    </row>
    <row r="377" spans="1:8" ht="57" customHeight="1">
      <c r="A377" s="120" t="s">
        <v>302</v>
      </c>
      <c r="B377" s="120" t="s">
        <v>3475</v>
      </c>
      <c r="C377" s="120">
        <v>16</v>
      </c>
      <c r="D377" s="120" t="s">
        <v>4143</v>
      </c>
      <c r="E377" s="120" t="s">
        <v>639</v>
      </c>
      <c r="F377" s="120" t="s">
        <v>232</v>
      </c>
      <c r="G377" s="121">
        <v>46237</v>
      </c>
      <c r="H377" s="120" t="s">
        <v>4144</v>
      </c>
    </row>
    <row r="378" spans="1:8" ht="57" customHeight="1">
      <c r="A378" s="120" t="s">
        <v>302</v>
      </c>
      <c r="B378" s="120" t="s">
        <v>3478</v>
      </c>
      <c r="C378" s="120">
        <v>17</v>
      </c>
      <c r="D378" s="120" t="s">
        <v>4145</v>
      </c>
      <c r="E378" s="120" t="s">
        <v>639</v>
      </c>
      <c r="F378" s="120" t="s">
        <v>232</v>
      </c>
      <c r="G378" s="121">
        <v>46237</v>
      </c>
      <c r="H378" s="120" t="s">
        <v>4146</v>
      </c>
    </row>
    <row r="379" spans="1:8" ht="42.75" customHeight="1">
      <c r="A379" s="120" t="s">
        <v>302</v>
      </c>
      <c r="B379" s="120" t="s">
        <v>3481</v>
      </c>
      <c r="C379" s="120">
        <v>18</v>
      </c>
      <c r="D379" s="120" t="s">
        <v>3482</v>
      </c>
      <c r="E379" s="120" t="s">
        <v>639</v>
      </c>
      <c r="F379" s="120" t="s">
        <v>232</v>
      </c>
      <c r="G379" s="121">
        <v>46237</v>
      </c>
      <c r="H379" s="120" t="s">
        <v>4147</v>
      </c>
    </row>
    <row r="380" spans="1:8" ht="57" customHeight="1">
      <c r="A380" s="120" t="s">
        <v>305</v>
      </c>
      <c r="B380" s="120" t="s">
        <v>3430</v>
      </c>
      <c r="C380" s="120">
        <v>1</v>
      </c>
      <c r="D380" s="120" t="s">
        <v>4148</v>
      </c>
      <c r="E380" s="120" t="s">
        <v>647</v>
      </c>
      <c r="F380" s="120" t="s">
        <v>232</v>
      </c>
      <c r="G380" s="121">
        <v>46237</v>
      </c>
      <c r="H380" s="120" t="s">
        <v>4149</v>
      </c>
    </row>
    <row r="381" spans="1:8" ht="57" customHeight="1">
      <c r="A381" s="120" t="s">
        <v>305</v>
      </c>
      <c r="B381" s="120" t="s">
        <v>3433</v>
      </c>
      <c r="C381" s="120">
        <v>2</v>
      </c>
      <c r="D381" s="120" t="s">
        <v>4150</v>
      </c>
      <c r="E381" s="120" t="s">
        <v>647</v>
      </c>
      <c r="F381" s="120" t="s">
        <v>232</v>
      </c>
      <c r="G381" s="121">
        <v>46237</v>
      </c>
      <c r="H381" s="120" t="s">
        <v>4151</v>
      </c>
    </row>
    <row r="382" spans="1:8" ht="57" customHeight="1">
      <c r="A382" s="120" t="s">
        <v>305</v>
      </c>
      <c r="B382" s="120" t="s">
        <v>3436</v>
      </c>
      <c r="C382" s="120">
        <v>3</v>
      </c>
      <c r="D382" s="120" t="s">
        <v>4152</v>
      </c>
      <c r="E382" s="120" t="s">
        <v>647</v>
      </c>
      <c r="F382" s="120" t="s">
        <v>232</v>
      </c>
      <c r="G382" s="121">
        <v>46237</v>
      </c>
      <c r="H382" s="120" t="s">
        <v>4153</v>
      </c>
    </row>
    <row r="383" spans="1:8" ht="57" customHeight="1">
      <c r="A383" s="120" t="s">
        <v>305</v>
      </c>
      <c r="B383" s="120" t="s">
        <v>3439</v>
      </c>
      <c r="C383" s="120">
        <v>4</v>
      </c>
      <c r="D383" s="120" t="s">
        <v>4154</v>
      </c>
      <c r="E383" s="120" t="s">
        <v>647</v>
      </c>
      <c r="F383" s="120" t="s">
        <v>232</v>
      </c>
      <c r="G383" s="121">
        <v>46237</v>
      </c>
      <c r="H383" s="120" t="s">
        <v>4155</v>
      </c>
    </row>
    <row r="384" spans="1:8" ht="57" customHeight="1">
      <c r="A384" s="120" t="s">
        <v>305</v>
      </c>
      <c r="B384" s="120" t="s">
        <v>3442</v>
      </c>
      <c r="C384" s="120">
        <v>5</v>
      </c>
      <c r="D384" s="120" t="s">
        <v>4156</v>
      </c>
      <c r="E384" s="120" t="s">
        <v>647</v>
      </c>
      <c r="F384" s="120" t="s">
        <v>232</v>
      </c>
      <c r="G384" s="121">
        <v>46237</v>
      </c>
      <c r="H384" s="120" t="s">
        <v>4157</v>
      </c>
    </row>
    <row r="385" spans="1:8" ht="42.75" customHeight="1">
      <c r="A385" s="120" t="s">
        <v>305</v>
      </c>
      <c r="B385" s="120" t="s">
        <v>3445</v>
      </c>
      <c r="C385" s="120">
        <v>6</v>
      </c>
      <c r="D385" s="120" t="s">
        <v>4158</v>
      </c>
      <c r="E385" s="120" t="s">
        <v>647</v>
      </c>
      <c r="F385" s="120" t="s">
        <v>232</v>
      </c>
      <c r="G385" s="121">
        <v>46237</v>
      </c>
      <c r="H385" s="120" t="s">
        <v>4159</v>
      </c>
    </row>
    <row r="386" spans="1:8" ht="42.75" customHeight="1">
      <c r="A386" s="120" t="s">
        <v>305</v>
      </c>
      <c r="B386" s="120" t="s">
        <v>3448</v>
      </c>
      <c r="C386" s="120">
        <v>7</v>
      </c>
      <c r="D386" s="120" t="s">
        <v>4160</v>
      </c>
      <c r="E386" s="120" t="s">
        <v>647</v>
      </c>
      <c r="F386" s="120" t="s">
        <v>232</v>
      </c>
      <c r="G386" s="121">
        <v>46237</v>
      </c>
      <c r="H386" s="120" t="s">
        <v>4161</v>
      </c>
    </row>
    <row r="387" spans="1:8" ht="57" customHeight="1">
      <c r="A387" s="120" t="s">
        <v>305</v>
      </c>
      <c r="B387" s="120" t="s">
        <v>3451</v>
      </c>
      <c r="C387" s="120">
        <v>8</v>
      </c>
      <c r="D387" s="120" t="s">
        <v>4162</v>
      </c>
      <c r="E387" s="120" t="s">
        <v>647</v>
      </c>
      <c r="F387" s="120" t="s">
        <v>232</v>
      </c>
      <c r="G387" s="121">
        <v>46237</v>
      </c>
      <c r="H387" s="120" t="s">
        <v>4163</v>
      </c>
    </row>
    <row r="388" spans="1:8" ht="42.75" customHeight="1">
      <c r="A388" s="120" t="s">
        <v>305</v>
      </c>
      <c r="B388" s="120" t="s">
        <v>3454</v>
      </c>
      <c r="C388" s="120">
        <v>9</v>
      </c>
      <c r="D388" s="120" t="s">
        <v>4164</v>
      </c>
      <c r="E388" s="120" t="s">
        <v>647</v>
      </c>
      <c r="F388" s="120" t="s">
        <v>232</v>
      </c>
      <c r="G388" s="121">
        <v>46237</v>
      </c>
      <c r="H388" s="120" t="s">
        <v>4165</v>
      </c>
    </row>
    <row r="389" spans="1:8" ht="71.25" customHeight="1">
      <c r="A389" s="120" t="s">
        <v>305</v>
      </c>
      <c r="B389" s="120" t="s">
        <v>3457</v>
      </c>
      <c r="C389" s="120">
        <v>10</v>
      </c>
      <c r="D389" s="120" t="s">
        <v>4166</v>
      </c>
      <c r="E389" s="120" t="s">
        <v>647</v>
      </c>
      <c r="F389" s="120" t="s">
        <v>232</v>
      </c>
      <c r="G389" s="121">
        <v>46237</v>
      </c>
      <c r="H389" s="120" t="s">
        <v>4167</v>
      </c>
    </row>
    <row r="390" spans="1:8" ht="71.25" customHeight="1">
      <c r="A390" s="120" t="s">
        <v>305</v>
      </c>
      <c r="B390" s="120" t="s">
        <v>3460</v>
      </c>
      <c r="C390" s="120">
        <v>11</v>
      </c>
      <c r="D390" s="120" t="s">
        <v>4168</v>
      </c>
      <c r="E390" s="120" t="s">
        <v>647</v>
      </c>
      <c r="F390" s="120" t="s">
        <v>232</v>
      </c>
      <c r="G390" s="121">
        <v>46237</v>
      </c>
      <c r="H390" s="120" t="s">
        <v>4169</v>
      </c>
    </row>
    <row r="391" spans="1:8" ht="71.25" customHeight="1">
      <c r="A391" s="120" t="s">
        <v>305</v>
      </c>
      <c r="B391" s="120" t="s">
        <v>3463</v>
      </c>
      <c r="C391" s="120">
        <v>12</v>
      </c>
      <c r="D391" s="120" t="s">
        <v>4170</v>
      </c>
      <c r="E391" s="120" t="s">
        <v>647</v>
      </c>
      <c r="F391" s="120" t="s">
        <v>232</v>
      </c>
      <c r="G391" s="121">
        <v>46237</v>
      </c>
      <c r="H391" s="120" t="s">
        <v>4171</v>
      </c>
    </row>
    <row r="392" spans="1:8" ht="42.75" customHeight="1">
      <c r="A392" s="120" t="s">
        <v>305</v>
      </c>
      <c r="B392" s="120" t="s">
        <v>3466</v>
      </c>
      <c r="C392" s="120">
        <v>13</v>
      </c>
      <c r="D392" s="120" t="s">
        <v>642</v>
      </c>
      <c r="E392" s="120" t="s">
        <v>647</v>
      </c>
      <c r="F392" s="120" t="s">
        <v>232</v>
      </c>
      <c r="G392" s="121">
        <v>46237</v>
      </c>
      <c r="H392" s="120" t="s">
        <v>4172</v>
      </c>
    </row>
    <row r="393" spans="1:8" ht="42.75" customHeight="1">
      <c r="A393" s="120" t="s">
        <v>305</v>
      </c>
      <c r="B393" s="120" t="s">
        <v>3469</v>
      </c>
      <c r="C393" s="120">
        <v>14</v>
      </c>
      <c r="D393" s="120" t="s">
        <v>643</v>
      </c>
      <c r="E393" s="120" t="s">
        <v>647</v>
      </c>
      <c r="F393" s="120" t="s">
        <v>232</v>
      </c>
      <c r="G393" s="121">
        <v>46237</v>
      </c>
      <c r="H393" s="120" t="s">
        <v>4173</v>
      </c>
    </row>
    <row r="394" spans="1:8" ht="57" customHeight="1">
      <c r="A394" s="120" t="s">
        <v>305</v>
      </c>
      <c r="B394" s="120" t="s">
        <v>3472</v>
      </c>
      <c r="C394" s="120">
        <v>15</v>
      </c>
      <c r="D394" s="120" t="s">
        <v>4174</v>
      </c>
      <c r="E394" s="120" t="s">
        <v>647</v>
      </c>
      <c r="F394" s="120" t="s">
        <v>232</v>
      </c>
      <c r="G394" s="121">
        <v>46237</v>
      </c>
      <c r="H394" s="120" t="s">
        <v>4175</v>
      </c>
    </row>
    <row r="395" spans="1:8" ht="57" customHeight="1">
      <c r="A395" s="120" t="s">
        <v>305</v>
      </c>
      <c r="B395" s="120" t="s">
        <v>3475</v>
      </c>
      <c r="C395" s="120">
        <v>16</v>
      </c>
      <c r="D395" s="120" t="s">
        <v>4176</v>
      </c>
      <c r="E395" s="120" t="s">
        <v>647</v>
      </c>
      <c r="F395" s="120" t="s">
        <v>232</v>
      </c>
      <c r="G395" s="121">
        <v>46237</v>
      </c>
      <c r="H395" s="120" t="s">
        <v>4177</v>
      </c>
    </row>
    <row r="396" spans="1:8" ht="57" customHeight="1">
      <c r="A396" s="120" t="s">
        <v>305</v>
      </c>
      <c r="B396" s="120" t="s">
        <v>3478</v>
      </c>
      <c r="C396" s="120">
        <v>17</v>
      </c>
      <c r="D396" s="120" t="s">
        <v>4178</v>
      </c>
      <c r="E396" s="120" t="s">
        <v>647</v>
      </c>
      <c r="F396" s="120" t="s">
        <v>232</v>
      </c>
      <c r="G396" s="121">
        <v>46237</v>
      </c>
      <c r="H396" s="120" t="s">
        <v>4179</v>
      </c>
    </row>
    <row r="397" spans="1:8" ht="42.75" customHeight="1">
      <c r="A397" s="120" t="s">
        <v>305</v>
      </c>
      <c r="B397" s="120" t="s">
        <v>3481</v>
      </c>
      <c r="C397" s="120">
        <v>18</v>
      </c>
      <c r="D397" s="120" t="s">
        <v>3482</v>
      </c>
      <c r="E397" s="120" t="s">
        <v>647</v>
      </c>
      <c r="F397" s="120" t="s">
        <v>232</v>
      </c>
      <c r="G397" s="121">
        <v>46237</v>
      </c>
      <c r="H397" s="120" t="s">
        <v>4180</v>
      </c>
    </row>
    <row r="398" spans="1:8" ht="57" customHeight="1">
      <c r="A398" s="120" t="s">
        <v>309</v>
      </c>
      <c r="B398" s="120" t="s">
        <v>3430</v>
      </c>
      <c r="C398" s="120">
        <v>1</v>
      </c>
      <c r="D398" s="120" t="s">
        <v>4181</v>
      </c>
      <c r="E398" s="120" t="s">
        <v>655</v>
      </c>
      <c r="F398" s="120" t="s">
        <v>232</v>
      </c>
      <c r="G398" s="121">
        <v>46237</v>
      </c>
      <c r="H398" s="120" t="s">
        <v>4182</v>
      </c>
    </row>
    <row r="399" spans="1:8" ht="57" customHeight="1">
      <c r="A399" s="120" t="s">
        <v>309</v>
      </c>
      <c r="B399" s="120" t="s">
        <v>3433</v>
      </c>
      <c r="C399" s="120">
        <v>2</v>
      </c>
      <c r="D399" s="120" t="s">
        <v>4183</v>
      </c>
      <c r="E399" s="120" t="s">
        <v>655</v>
      </c>
      <c r="F399" s="120" t="s">
        <v>232</v>
      </c>
      <c r="G399" s="121">
        <v>46237</v>
      </c>
      <c r="H399" s="120" t="s">
        <v>4184</v>
      </c>
    </row>
    <row r="400" spans="1:8" ht="57" customHeight="1">
      <c r="A400" s="120" t="s">
        <v>309</v>
      </c>
      <c r="B400" s="120" t="s">
        <v>3436</v>
      </c>
      <c r="C400" s="120">
        <v>3</v>
      </c>
      <c r="D400" s="120" t="s">
        <v>4185</v>
      </c>
      <c r="E400" s="120" t="s">
        <v>655</v>
      </c>
      <c r="F400" s="120" t="s">
        <v>232</v>
      </c>
      <c r="G400" s="121">
        <v>46237</v>
      </c>
      <c r="H400" s="120" t="s">
        <v>4186</v>
      </c>
    </row>
    <row r="401" spans="1:8" ht="57" customHeight="1">
      <c r="A401" s="120" t="s">
        <v>309</v>
      </c>
      <c r="B401" s="120" t="s">
        <v>3439</v>
      </c>
      <c r="C401" s="120">
        <v>4</v>
      </c>
      <c r="D401" s="120" t="s">
        <v>4187</v>
      </c>
      <c r="E401" s="120" t="s">
        <v>655</v>
      </c>
      <c r="F401" s="120" t="s">
        <v>232</v>
      </c>
      <c r="G401" s="121">
        <v>46237</v>
      </c>
      <c r="H401" s="120" t="s">
        <v>4188</v>
      </c>
    </row>
    <row r="402" spans="1:8" ht="57" customHeight="1">
      <c r="A402" s="120" t="s">
        <v>309</v>
      </c>
      <c r="B402" s="120" t="s">
        <v>3442</v>
      </c>
      <c r="C402" s="120">
        <v>5</v>
      </c>
      <c r="D402" s="120" t="s">
        <v>4189</v>
      </c>
      <c r="E402" s="120" t="s">
        <v>655</v>
      </c>
      <c r="F402" s="120" t="s">
        <v>232</v>
      </c>
      <c r="G402" s="121">
        <v>46237</v>
      </c>
      <c r="H402" s="120" t="s">
        <v>4190</v>
      </c>
    </row>
    <row r="403" spans="1:8" ht="42.75" customHeight="1">
      <c r="A403" s="120" t="s">
        <v>309</v>
      </c>
      <c r="B403" s="120" t="s">
        <v>3445</v>
      </c>
      <c r="C403" s="120">
        <v>6</v>
      </c>
      <c r="D403" s="120" t="s">
        <v>4191</v>
      </c>
      <c r="E403" s="120" t="s">
        <v>655</v>
      </c>
      <c r="F403" s="120" t="s">
        <v>232</v>
      </c>
      <c r="G403" s="121">
        <v>46237</v>
      </c>
      <c r="H403" s="120" t="s">
        <v>4192</v>
      </c>
    </row>
    <row r="404" spans="1:8" ht="57" customHeight="1">
      <c r="A404" s="120" t="s">
        <v>309</v>
      </c>
      <c r="B404" s="120" t="s">
        <v>3448</v>
      </c>
      <c r="C404" s="120">
        <v>7</v>
      </c>
      <c r="D404" s="120" t="s">
        <v>4193</v>
      </c>
      <c r="E404" s="120" t="s">
        <v>655</v>
      </c>
      <c r="F404" s="120" t="s">
        <v>232</v>
      </c>
      <c r="G404" s="121">
        <v>46237</v>
      </c>
      <c r="H404" s="120" t="s">
        <v>4194</v>
      </c>
    </row>
    <row r="405" spans="1:8" ht="57" customHeight="1">
      <c r="A405" s="120" t="s">
        <v>309</v>
      </c>
      <c r="B405" s="120" t="s">
        <v>3451</v>
      </c>
      <c r="C405" s="120">
        <v>8</v>
      </c>
      <c r="D405" s="120" t="s">
        <v>4195</v>
      </c>
      <c r="E405" s="120" t="s">
        <v>655</v>
      </c>
      <c r="F405" s="120" t="s">
        <v>232</v>
      </c>
      <c r="G405" s="121">
        <v>46237</v>
      </c>
      <c r="H405" s="120" t="s">
        <v>4196</v>
      </c>
    </row>
    <row r="406" spans="1:8" ht="42.75" customHeight="1">
      <c r="A406" s="120" t="s">
        <v>309</v>
      </c>
      <c r="B406" s="120" t="s">
        <v>3454</v>
      </c>
      <c r="C406" s="120">
        <v>9</v>
      </c>
      <c r="D406" s="120" t="s">
        <v>4197</v>
      </c>
      <c r="E406" s="120" t="s">
        <v>655</v>
      </c>
      <c r="F406" s="120" t="s">
        <v>232</v>
      </c>
      <c r="G406" s="121">
        <v>46237</v>
      </c>
      <c r="H406" s="120" t="s">
        <v>4198</v>
      </c>
    </row>
    <row r="407" spans="1:8" ht="71.25" customHeight="1">
      <c r="A407" s="120" t="s">
        <v>309</v>
      </c>
      <c r="B407" s="120" t="s">
        <v>3457</v>
      </c>
      <c r="C407" s="120">
        <v>10</v>
      </c>
      <c r="D407" s="120" t="s">
        <v>4199</v>
      </c>
      <c r="E407" s="120" t="s">
        <v>655</v>
      </c>
      <c r="F407" s="120" t="s">
        <v>232</v>
      </c>
      <c r="G407" s="121">
        <v>46237</v>
      </c>
      <c r="H407" s="120" t="s">
        <v>4200</v>
      </c>
    </row>
    <row r="408" spans="1:8" ht="71.25" customHeight="1">
      <c r="A408" s="120" t="s">
        <v>309</v>
      </c>
      <c r="B408" s="120" t="s">
        <v>3460</v>
      </c>
      <c r="C408" s="120">
        <v>11</v>
      </c>
      <c r="D408" s="120" t="s">
        <v>4201</v>
      </c>
      <c r="E408" s="120" t="s">
        <v>655</v>
      </c>
      <c r="F408" s="120" t="s">
        <v>232</v>
      </c>
      <c r="G408" s="121">
        <v>46237</v>
      </c>
      <c r="H408" s="120" t="s">
        <v>4202</v>
      </c>
    </row>
    <row r="409" spans="1:8" ht="71.25" customHeight="1">
      <c r="A409" s="120" t="s">
        <v>309</v>
      </c>
      <c r="B409" s="120" t="s">
        <v>3463</v>
      </c>
      <c r="C409" s="120">
        <v>12</v>
      </c>
      <c r="D409" s="120" t="s">
        <v>4203</v>
      </c>
      <c r="E409" s="120" t="s">
        <v>655</v>
      </c>
      <c r="F409" s="120" t="s">
        <v>232</v>
      </c>
      <c r="G409" s="121">
        <v>46237</v>
      </c>
      <c r="H409" s="120" t="s">
        <v>4204</v>
      </c>
    </row>
    <row r="410" spans="1:8" ht="42.75" customHeight="1">
      <c r="A410" s="120" t="s">
        <v>309</v>
      </c>
      <c r="B410" s="120" t="s">
        <v>3466</v>
      </c>
      <c r="C410" s="120">
        <v>13</v>
      </c>
      <c r="D410" s="120" t="s">
        <v>650</v>
      </c>
      <c r="E410" s="120" t="s">
        <v>655</v>
      </c>
      <c r="F410" s="120" t="s">
        <v>232</v>
      </c>
      <c r="G410" s="121">
        <v>46237</v>
      </c>
      <c r="H410" s="120" t="s">
        <v>4205</v>
      </c>
    </row>
    <row r="411" spans="1:8" ht="42.75" customHeight="1">
      <c r="A411" s="120" t="s">
        <v>309</v>
      </c>
      <c r="B411" s="120" t="s">
        <v>3469</v>
      </c>
      <c r="C411" s="120">
        <v>14</v>
      </c>
      <c r="D411" s="120" t="s">
        <v>651</v>
      </c>
      <c r="E411" s="120" t="s">
        <v>655</v>
      </c>
      <c r="F411" s="120" t="s">
        <v>232</v>
      </c>
      <c r="G411" s="121">
        <v>46237</v>
      </c>
      <c r="H411" s="120" t="s">
        <v>4206</v>
      </c>
    </row>
    <row r="412" spans="1:8" ht="57" customHeight="1">
      <c r="A412" s="120" t="s">
        <v>309</v>
      </c>
      <c r="B412" s="120" t="s">
        <v>3472</v>
      </c>
      <c r="C412" s="120">
        <v>15</v>
      </c>
      <c r="D412" s="120" t="s">
        <v>4207</v>
      </c>
      <c r="E412" s="120" t="s">
        <v>655</v>
      </c>
      <c r="F412" s="120" t="s">
        <v>232</v>
      </c>
      <c r="G412" s="121">
        <v>46237</v>
      </c>
      <c r="H412" s="120" t="s">
        <v>4208</v>
      </c>
    </row>
    <row r="413" spans="1:8" ht="57" customHeight="1">
      <c r="A413" s="120" t="s">
        <v>309</v>
      </c>
      <c r="B413" s="120" t="s">
        <v>3475</v>
      </c>
      <c r="C413" s="120">
        <v>16</v>
      </c>
      <c r="D413" s="120" t="s">
        <v>4209</v>
      </c>
      <c r="E413" s="120" t="s">
        <v>655</v>
      </c>
      <c r="F413" s="120" t="s">
        <v>232</v>
      </c>
      <c r="G413" s="121">
        <v>46237</v>
      </c>
      <c r="H413" s="120" t="s">
        <v>4210</v>
      </c>
    </row>
    <row r="414" spans="1:8" ht="57" customHeight="1">
      <c r="A414" s="120" t="s">
        <v>309</v>
      </c>
      <c r="B414" s="120" t="s">
        <v>3478</v>
      </c>
      <c r="C414" s="120">
        <v>17</v>
      </c>
      <c r="D414" s="120" t="s">
        <v>4211</v>
      </c>
      <c r="E414" s="120" t="s">
        <v>655</v>
      </c>
      <c r="F414" s="120" t="s">
        <v>232</v>
      </c>
      <c r="G414" s="121">
        <v>46237</v>
      </c>
      <c r="H414" s="120" t="s">
        <v>4212</v>
      </c>
    </row>
    <row r="415" spans="1:8" ht="57" customHeight="1">
      <c r="A415" s="120" t="s">
        <v>309</v>
      </c>
      <c r="B415" s="120" t="s">
        <v>3481</v>
      </c>
      <c r="C415" s="120">
        <v>18</v>
      </c>
      <c r="D415" s="120" t="s">
        <v>3482</v>
      </c>
      <c r="E415" s="120" t="s">
        <v>655</v>
      </c>
      <c r="F415" s="120" t="s">
        <v>232</v>
      </c>
      <c r="G415" s="121">
        <v>46237</v>
      </c>
      <c r="H415" s="120" t="s">
        <v>4213</v>
      </c>
    </row>
    <row r="416" spans="1:8" ht="71.25" customHeight="1">
      <c r="A416" s="120" t="s">
        <v>225</v>
      </c>
      <c r="B416" s="120" t="s">
        <v>4214</v>
      </c>
      <c r="C416" s="120">
        <v>19</v>
      </c>
      <c r="D416" s="120" t="s">
        <v>4215</v>
      </c>
      <c r="E416" s="120" t="s">
        <v>838</v>
      </c>
      <c r="F416" s="120" t="s">
        <v>232</v>
      </c>
      <c r="G416" s="121">
        <v>46238</v>
      </c>
      <c r="H416" s="120" t="s">
        <v>4216</v>
      </c>
    </row>
    <row r="417" spans="1:8" ht="85.5" customHeight="1">
      <c r="A417" s="120" t="s">
        <v>225</v>
      </c>
      <c r="B417" s="120" t="s">
        <v>4217</v>
      </c>
      <c r="C417" s="120">
        <v>20</v>
      </c>
      <c r="D417" s="120" t="s">
        <v>4218</v>
      </c>
      <c r="E417" s="120" t="s">
        <v>838</v>
      </c>
      <c r="F417" s="120" t="s">
        <v>232</v>
      </c>
      <c r="G417" s="121">
        <v>46238</v>
      </c>
      <c r="H417" s="120" t="s">
        <v>4219</v>
      </c>
    </row>
    <row r="418" spans="1:8" ht="71.25" customHeight="1">
      <c r="A418" s="120" t="s">
        <v>233</v>
      </c>
      <c r="B418" s="120" t="s">
        <v>4214</v>
      </c>
      <c r="C418" s="120">
        <v>19</v>
      </c>
      <c r="D418" s="120" t="s">
        <v>4220</v>
      </c>
      <c r="E418" s="120" t="s">
        <v>838</v>
      </c>
      <c r="F418" s="120" t="s">
        <v>232</v>
      </c>
      <c r="G418" s="121">
        <v>46238</v>
      </c>
      <c r="H418" s="120" t="s">
        <v>4221</v>
      </c>
    </row>
    <row r="419" spans="1:8" ht="71.25" customHeight="1">
      <c r="A419" s="120" t="s">
        <v>233</v>
      </c>
      <c r="B419" s="120" t="s">
        <v>4217</v>
      </c>
      <c r="C419" s="120">
        <v>20</v>
      </c>
      <c r="D419" s="120" t="s">
        <v>4222</v>
      </c>
      <c r="E419" s="120" t="s">
        <v>838</v>
      </c>
      <c r="F419" s="120" t="s">
        <v>232</v>
      </c>
      <c r="G419" s="121">
        <v>46238</v>
      </c>
      <c r="H419" s="120" t="s">
        <v>4223</v>
      </c>
    </row>
    <row r="420" spans="1:8" ht="71.25" customHeight="1">
      <c r="A420" s="120" t="s">
        <v>236</v>
      </c>
      <c r="B420" s="120" t="s">
        <v>4214</v>
      </c>
      <c r="C420" s="120">
        <v>19</v>
      </c>
      <c r="D420" s="120" t="s">
        <v>4224</v>
      </c>
      <c r="E420" s="120" t="s">
        <v>838</v>
      </c>
      <c r="F420" s="120" t="s">
        <v>232</v>
      </c>
      <c r="G420" s="121">
        <v>46238</v>
      </c>
      <c r="H420" s="120" t="s">
        <v>4225</v>
      </c>
    </row>
    <row r="421" spans="1:8" ht="71.25" customHeight="1">
      <c r="A421" s="120" t="s">
        <v>236</v>
      </c>
      <c r="B421" s="120" t="s">
        <v>4217</v>
      </c>
      <c r="C421" s="120">
        <v>20</v>
      </c>
      <c r="D421" s="120" t="s">
        <v>4226</v>
      </c>
      <c r="E421" s="120" t="s">
        <v>838</v>
      </c>
      <c r="F421" s="120" t="s">
        <v>232</v>
      </c>
      <c r="G421" s="121">
        <v>46238</v>
      </c>
      <c r="H421" s="120" t="s">
        <v>4227</v>
      </c>
    </row>
    <row r="422" spans="1:8" ht="128.25" customHeight="1">
      <c r="A422" s="120" t="s">
        <v>239</v>
      </c>
      <c r="B422" s="120" t="s">
        <v>4214</v>
      </c>
      <c r="C422" s="120">
        <v>19</v>
      </c>
      <c r="D422" s="120" t="s">
        <v>4228</v>
      </c>
      <c r="E422" s="120" t="s">
        <v>838</v>
      </c>
      <c r="F422" s="120" t="s">
        <v>232</v>
      </c>
      <c r="G422" s="121">
        <v>46238</v>
      </c>
      <c r="H422" s="120" t="s">
        <v>4229</v>
      </c>
    </row>
    <row r="423" spans="1:8" ht="71.25" customHeight="1">
      <c r="A423" s="120" t="s">
        <v>239</v>
      </c>
      <c r="B423" s="120" t="s">
        <v>4217</v>
      </c>
      <c r="C423" s="120">
        <v>20</v>
      </c>
      <c r="D423" s="120" t="s">
        <v>4230</v>
      </c>
      <c r="E423" s="120" t="s">
        <v>838</v>
      </c>
      <c r="F423" s="120" t="s">
        <v>232</v>
      </c>
      <c r="G423" s="121">
        <v>46238</v>
      </c>
      <c r="H423" s="120" t="s">
        <v>4231</v>
      </c>
    </row>
    <row r="424" spans="1:8" ht="71.25" customHeight="1">
      <c r="A424" s="120" t="s">
        <v>243</v>
      </c>
      <c r="B424" s="120" t="s">
        <v>4214</v>
      </c>
      <c r="C424" s="120">
        <v>19</v>
      </c>
      <c r="D424" s="120" t="s">
        <v>4232</v>
      </c>
      <c r="E424" s="120" t="s">
        <v>838</v>
      </c>
      <c r="F424" s="120" t="s">
        <v>232</v>
      </c>
      <c r="G424" s="121">
        <v>46238</v>
      </c>
      <c r="H424" s="120" t="s">
        <v>4233</v>
      </c>
    </row>
    <row r="425" spans="1:8" ht="71.25" customHeight="1">
      <c r="A425" s="120" t="s">
        <v>243</v>
      </c>
      <c r="B425" s="120" t="s">
        <v>4217</v>
      </c>
      <c r="C425" s="120">
        <v>20</v>
      </c>
      <c r="D425" s="120" t="s">
        <v>4234</v>
      </c>
      <c r="E425" s="120" t="s">
        <v>838</v>
      </c>
      <c r="F425" s="120" t="s">
        <v>232</v>
      </c>
      <c r="G425" s="121">
        <v>46238</v>
      </c>
      <c r="H425" s="120" t="s">
        <v>4235</v>
      </c>
    </row>
    <row r="426" spans="1:8" ht="71.25" customHeight="1">
      <c r="A426" s="120" t="s">
        <v>246</v>
      </c>
      <c r="B426" s="120" t="s">
        <v>4214</v>
      </c>
      <c r="C426" s="120">
        <v>19</v>
      </c>
      <c r="D426" s="120" t="s">
        <v>4236</v>
      </c>
      <c r="E426" s="120" t="s">
        <v>838</v>
      </c>
      <c r="F426" s="120" t="s">
        <v>232</v>
      </c>
      <c r="G426" s="121">
        <v>46238</v>
      </c>
      <c r="H426" s="120" t="s">
        <v>4237</v>
      </c>
    </row>
    <row r="427" spans="1:8" ht="71.25" customHeight="1">
      <c r="A427" s="120" t="s">
        <v>246</v>
      </c>
      <c r="B427" s="120" t="s">
        <v>4217</v>
      </c>
      <c r="C427" s="120">
        <v>20</v>
      </c>
      <c r="D427" s="120" t="s">
        <v>4238</v>
      </c>
      <c r="E427" s="120" t="s">
        <v>838</v>
      </c>
      <c r="F427" s="120" t="s">
        <v>232</v>
      </c>
      <c r="G427" s="121">
        <v>46238</v>
      </c>
      <c r="H427" s="120" t="s">
        <v>4239</v>
      </c>
    </row>
    <row r="428" spans="1:8" ht="71.25" customHeight="1">
      <c r="A428" s="120" t="s">
        <v>250</v>
      </c>
      <c r="B428" s="120" t="s">
        <v>4214</v>
      </c>
      <c r="C428" s="120">
        <v>19</v>
      </c>
      <c r="D428" s="120" t="s">
        <v>4240</v>
      </c>
      <c r="E428" s="120" t="s">
        <v>838</v>
      </c>
      <c r="F428" s="120" t="s">
        <v>232</v>
      </c>
      <c r="G428" s="121">
        <v>46238</v>
      </c>
      <c r="H428" s="120" t="s">
        <v>4241</v>
      </c>
    </row>
    <row r="429" spans="1:8" ht="71.25" customHeight="1">
      <c r="A429" s="120" t="s">
        <v>250</v>
      </c>
      <c r="B429" s="120" t="s">
        <v>4217</v>
      </c>
      <c r="C429" s="120">
        <v>20</v>
      </c>
      <c r="D429" s="120" t="s">
        <v>4242</v>
      </c>
      <c r="E429" s="120" t="s">
        <v>838</v>
      </c>
      <c r="F429" s="120" t="s">
        <v>232</v>
      </c>
      <c r="G429" s="121">
        <v>46238</v>
      </c>
      <c r="H429" s="120" t="s">
        <v>4243</v>
      </c>
    </row>
    <row r="430" spans="1:8" ht="85.5" customHeight="1">
      <c r="A430" s="120" t="s">
        <v>255</v>
      </c>
      <c r="B430" s="120" t="s">
        <v>4214</v>
      </c>
      <c r="C430" s="120">
        <v>19</v>
      </c>
      <c r="D430" s="120" t="s">
        <v>4244</v>
      </c>
      <c r="E430" s="120" t="s">
        <v>838</v>
      </c>
      <c r="F430" s="120" t="s">
        <v>232</v>
      </c>
      <c r="G430" s="121">
        <v>46238</v>
      </c>
      <c r="H430" s="120" t="s">
        <v>4245</v>
      </c>
    </row>
    <row r="431" spans="1:8" ht="71.25" customHeight="1">
      <c r="A431" s="120" t="s">
        <v>255</v>
      </c>
      <c r="B431" s="120" t="s">
        <v>4217</v>
      </c>
      <c r="C431" s="120">
        <v>20</v>
      </c>
      <c r="D431" s="120" t="s">
        <v>4246</v>
      </c>
      <c r="E431" s="120" t="s">
        <v>838</v>
      </c>
      <c r="F431" s="120" t="s">
        <v>232</v>
      </c>
      <c r="G431" s="121">
        <v>46238</v>
      </c>
      <c r="H431" s="120" t="s">
        <v>4247</v>
      </c>
    </row>
    <row r="432" spans="1:8" ht="71.25" customHeight="1">
      <c r="A432" s="120" t="s">
        <v>258</v>
      </c>
      <c r="B432" s="120" t="s">
        <v>4214</v>
      </c>
      <c r="C432" s="120">
        <v>19</v>
      </c>
      <c r="D432" s="120" t="s">
        <v>4248</v>
      </c>
      <c r="E432" s="120" t="s">
        <v>838</v>
      </c>
      <c r="F432" s="120" t="s">
        <v>232</v>
      </c>
      <c r="G432" s="121">
        <v>46238</v>
      </c>
      <c r="H432" s="120" t="s">
        <v>4249</v>
      </c>
    </row>
    <row r="433" spans="1:8" ht="71.25" customHeight="1">
      <c r="A433" s="120" t="s">
        <v>258</v>
      </c>
      <c r="B433" s="120" t="s">
        <v>4217</v>
      </c>
      <c r="C433" s="120">
        <v>20</v>
      </c>
      <c r="D433" s="120" t="s">
        <v>4250</v>
      </c>
      <c r="E433" s="120" t="s">
        <v>838</v>
      </c>
      <c r="F433" s="120" t="s">
        <v>232</v>
      </c>
      <c r="G433" s="121">
        <v>46238</v>
      </c>
      <c r="H433" s="120" t="s">
        <v>4251</v>
      </c>
    </row>
    <row r="434" spans="1:8" ht="71.25" customHeight="1">
      <c r="A434" s="120" t="s">
        <v>262</v>
      </c>
      <c r="B434" s="120" t="s">
        <v>4214</v>
      </c>
      <c r="C434" s="120">
        <v>19</v>
      </c>
      <c r="D434" s="120" t="s">
        <v>4252</v>
      </c>
      <c r="E434" s="120" t="s">
        <v>838</v>
      </c>
      <c r="F434" s="120" t="s">
        <v>232</v>
      </c>
      <c r="G434" s="121">
        <v>46238</v>
      </c>
      <c r="H434" s="120" t="s">
        <v>4253</v>
      </c>
    </row>
    <row r="435" spans="1:8" ht="71.25" customHeight="1">
      <c r="A435" s="120" t="s">
        <v>262</v>
      </c>
      <c r="B435" s="120" t="s">
        <v>4217</v>
      </c>
      <c r="C435" s="120">
        <v>20</v>
      </c>
      <c r="D435" s="120" t="s">
        <v>4254</v>
      </c>
      <c r="E435" s="120" t="s">
        <v>838</v>
      </c>
      <c r="F435" s="120" t="s">
        <v>232</v>
      </c>
      <c r="G435" s="121">
        <v>46238</v>
      </c>
      <c r="H435" s="120" t="s">
        <v>4255</v>
      </c>
    </row>
    <row r="436" spans="1:8" ht="71.25" customHeight="1">
      <c r="A436" s="120" t="s">
        <v>266</v>
      </c>
      <c r="B436" s="120" t="s">
        <v>4214</v>
      </c>
      <c r="C436" s="120">
        <v>19</v>
      </c>
      <c r="D436" s="120" t="s">
        <v>4256</v>
      </c>
      <c r="E436" s="120" t="s">
        <v>838</v>
      </c>
      <c r="F436" s="120" t="s">
        <v>232</v>
      </c>
      <c r="G436" s="121">
        <v>46238</v>
      </c>
      <c r="H436" s="120" t="s">
        <v>4257</v>
      </c>
    </row>
    <row r="437" spans="1:8" ht="71.25" customHeight="1">
      <c r="A437" s="120" t="s">
        <v>266</v>
      </c>
      <c r="B437" s="120" t="s">
        <v>4217</v>
      </c>
      <c r="C437" s="120">
        <v>20</v>
      </c>
      <c r="D437" s="120" t="s">
        <v>4258</v>
      </c>
      <c r="E437" s="120" t="s">
        <v>838</v>
      </c>
      <c r="F437" s="120" t="s">
        <v>232</v>
      </c>
      <c r="G437" s="121">
        <v>46238</v>
      </c>
      <c r="H437" s="120" t="s">
        <v>4259</v>
      </c>
    </row>
    <row r="438" spans="1:8" ht="71.25" customHeight="1">
      <c r="A438" s="120" t="s">
        <v>272</v>
      </c>
      <c r="B438" s="120" t="s">
        <v>4214</v>
      </c>
      <c r="C438" s="120">
        <v>19</v>
      </c>
      <c r="D438" s="120" t="s">
        <v>4260</v>
      </c>
      <c r="E438" s="120" t="s">
        <v>838</v>
      </c>
      <c r="F438" s="120" t="s">
        <v>232</v>
      </c>
      <c r="G438" s="121">
        <v>46238</v>
      </c>
      <c r="H438" s="120" t="s">
        <v>4261</v>
      </c>
    </row>
    <row r="439" spans="1:8" ht="71.25" customHeight="1">
      <c r="A439" s="120" t="s">
        <v>272</v>
      </c>
      <c r="B439" s="120" t="s">
        <v>4217</v>
      </c>
      <c r="C439" s="120">
        <v>20</v>
      </c>
      <c r="D439" s="120" t="s">
        <v>4262</v>
      </c>
      <c r="E439" s="120" t="s">
        <v>838</v>
      </c>
      <c r="F439" s="120" t="s">
        <v>232</v>
      </c>
      <c r="G439" s="121">
        <v>46238</v>
      </c>
      <c r="H439" s="120" t="s">
        <v>4263</v>
      </c>
    </row>
    <row r="440" spans="1:8" ht="71.25" customHeight="1">
      <c r="A440" s="120" t="s">
        <v>275</v>
      </c>
      <c r="B440" s="120" t="s">
        <v>4214</v>
      </c>
      <c r="C440" s="120">
        <v>19</v>
      </c>
      <c r="D440" s="120" t="s">
        <v>4264</v>
      </c>
      <c r="E440" s="120" t="s">
        <v>838</v>
      </c>
      <c r="F440" s="120" t="s">
        <v>232</v>
      </c>
      <c r="G440" s="121">
        <v>46238</v>
      </c>
      <c r="H440" s="120" t="s">
        <v>4265</v>
      </c>
    </row>
    <row r="441" spans="1:8" ht="71.25" customHeight="1">
      <c r="A441" s="120" t="s">
        <v>275</v>
      </c>
      <c r="B441" s="120" t="s">
        <v>4217</v>
      </c>
      <c r="C441" s="120">
        <v>20</v>
      </c>
      <c r="D441" s="120" t="s">
        <v>4266</v>
      </c>
      <c r="E441" s="120" t="s">
        <v>838</v>
      </c>
      <c r="F441" s="120" t="s">
        <v>232</v>
      </c>
      <c r="G441" s="121">
        <v>46238</v>
      </c>
      <c r="H441" s="120" t="s">
        <v>4267</v>
      </c>
    </row>
    <row r="442" spans="1:8" ht="71.25" customHeight="1">
      <c r="A442" s="120" t="s">
        <v>278</v>
      </c>
      <c r="B442" s="120" t="s">
        <v>4214</v>
      </c>
      <c r="C442" s="120">
        <v>19</v>
      </c>
      <c r="D442" s="120" t="s">
        <v>4268</v>
      </c>
      <c r="E442" s="120" t="s">
        <v>838</v>
      </c>
      <c r="F442" s="120" t="s">
        <v>232</v>
      </c>
      <c r="G442" s="121">
        <v>46238</v>
      </c>
      <c r="H442" s="120" t="s">
        <v>4269</v>
      </c>
    </row>
    <row r="443" spans="1:8" ht="71.25" customHeight="1">
      <c r="A443" s="120" t="s">
        <v>278</v>
      </c>
      <c r="B443" s="120" t="s">
        <v>4217</v>
      </c>
      <c r="C443" s="120">
        <v>20</v>
      </c>
      <c r="D443" s="120" t="s">
        <v>4270</v>
      </c>
      <c r="E443" s="120" t="s">
        <v>838</v>
      </c>
      <c r="F443" s="120" t="s">
        <v>232</v>
      </c>
      <c r="G443" s="121">
        <v>46238</v>
      </c>
      <c r="H443" s="120" t="s">
        <v>4271</v>
      </c>
    </row>
    <row r="444" spans="1:8" ht="71.25" customHeight="1">
      <c r="A444" s="120" t="s">
        <v>280</v>
      </c>
      <c r="B444" s="120" t="s">
        <v>4214</v>
      </c>
      <c r="C444" s="120">
        <v>19</v>
      </c>
      <c r="D444" s="120" t="s">
        <v>4272</v>
      </c>
      <c r="E444" s="120" t="s">
        <v>838</v>
      </c>
      <c r="F444" s="120" t="s">
        <v>232</v>
      </c>
      <c r="G444" s="121">
        <v>46238</v>
      </c>
      <c r="H444" s="120" t="s">
        <v>4273</v>
      </c>
    </row>
    <row r="445" spans="1:8" ht="71.25" customHeight="1">
      <c r="A445" s="120" t="s">
        <v>280</v>
      </c>
      <c r="B445" s="120" t="s">
        <v>4217</v>
      </c>
      <c r="C445" s="120">
        <v>20</v>
      </c>
      <c r="D445" s="120" t="s">
        <v>4274</v>
      </c>
      <c r="E445" s="120" t="s">
        <v>838</v>
      </c>
      <c r="F445" s="120" t="s">
        <v>232</v>
      </c>
      <c r="G445" s="121">
        <v>46238</v>
      </c>
      <c r="H445" s="120" t="s">
        <v>4275</v>
      </c>
    </row>
    <row r="446" spans="1:8" ht="71.25" customHeight="1">
      <c r="A446" s="120" t="s">
        <v>285</v>
      </c>
      <c r="B446" s="120" t="s">
        <v>4214</v>
      </c>
      <c r="C446" s="120">
        <v>19</v>
      </c>
      <c r="D446" s="120" t="s">
        <v>4276</v>
      </c>
      <c r="E446" s="120" t="s">
        <v>838</v>
      </c>
      <c r="F446" s="120" t="s">
        <v>232</v>
      </c>
      <c r="G446" s="121">
        <v>46238</v>
      </c>
      <c r="H446" s="120" t="s">
        <v>4277</v>
      </c>
    </row>
    <row r="447" spans="1:8" ht="71.25" customHeight="1">
      <c r="A447" s="120" t="s">
        <v>285</v>
      </c>
      <c r="B447" s="120" t="s">
        <v>4217</v>
      </c>
      <c r="C447" s="120">
        <v>20</v>
      </c>
      <c r="D447" s="120" t="s">
        <v>4278</v>
      </c>
      <c r="E447" s="120" t="s">
        <v>838</v>
      </c>
      <c r="F447" s="120" t="s">
        <v>232</v>
      </c>
      <c r="G447" s="121">
        <v>46238</v>
      </c>
      <c r="H447" s="120" t="s">
        <v>4279</v>
      </c>
    </row>
    <row r="448" spans="1:8" ht="71.25" customHeight="1">
      <c r="A448" s="120" t="s">
        <v>289</v>
      </c>
      <c r="B448" s="120" t="s">
        <v>4214</v>
      </c>
      <c r="C448" s="120">
        <v>19</v>
      </c>
      <c r="D448" s="120" t="s">
        <v>4280</v>
      </c>
      <c r="E448" s="120" t="s">
        <v>838</v>
      </c>
      <c r="F448" s="120" t="s">
        <v>232</v>
      </c>
      <c r="G448" s="121">
        <v>46238</v>
      </c>
      <c r="H448" s="120" t="s">
        <v>4281</v>
      </c>
    </row>
    <row r="449" spans="1:8" ht="71.25" customHeight="1">
      <c r="A449" s="120" t="s">
        <v>289</v>
      </c>
      <c r="B449" s="120" t="s">
        <v>4217</v>
      </c>
      <c r="C449" s="120">
        <v>20</v>
      </c>
      <c r="D449" s="120" t="s">
        <v>4282</v>
      </c>
      <c r="E449" s="120" t="s">
        <v>838</v>
      </c>
      <c r="F449" s="120" t="s">
        <v>232</v>
      </c>
      <c r="G449" s="121">
        <v>46238</v>
      </c>
      <c r="H449" s="120" t="s">
        <v>4283</v>
      </c>
    </row>
    <row r="450" spans="1:8" ht="71.25" customHeight="1">
      <c r="A450" s="120" t="s">
        <v>292</v>
      </c>
      <c r="B450" s="120" t="s">
        <v>4214</v>
      </c>
      <c r="C450" s="120">
        <v>19</v>
      </c>
      <c r="D450" s="120" t="s">
        <v>4284</v>
      </c>
      <c r="E450" s="120" t="s">
        <v>838</v>
      </c>
      <c r="F450" s="120" t="s">
        <v>232</v>
      </c>
      <c r="G450" s="121">
        <v>46238</v>
      </c>
      <c r="H450" s="120" t="s">
        <v>4285</v>
      </c>
    </row>
    <row r="451" spans="1:8" ht="71.25" customHeight="1">
      <c r="A451" s="120" t="s">
        <v>292</v>
      </c>
      <c r="B451" s="120" t="s">
        <v>4217</v>
      </c>
      <c r="C451" s="120">
        <v>20</v>
      </c>
      <c r="D451" s="120" t="s">
        <v>4286</v>
      </c>
      <c r="E451" s="120" t="s">
        <v>838</v>
      </c>
      <c r="F451" s="120" t="s">
        <v>232</v>
      </c>
      <c r="G451" s="121">
        <v>46238</v>
      </c>
      <c r="H451" s="120" t="s">
        <v>4287</v>
      </c>
    </row>
    <row r="452" spans="1:8" ht="71.25" customHeight="1">
      <c r="A452" s="120" t="s">
        <v>296</v>
      </c>
      <c r="B452" s="120" t="s">
        <v>4214</v>
      </c>
      <c r="C452" s="120">
        <v>19</v>
      </c>
      <c r="D452" s="120" t="s">
        <v>4288</v>
      </c>
      <c r="E452" s="120" t="s">
        <v>838</v>
      </c>
      <c r="F452" s="120" t="s">
        <v>232</v>
      </c>
      <c r="G452" s="121">
        <v>46238</v>
      </c>
      <c r="H452" s="120" t="s">
        <v>4289</v>
      </c>
    </row>
    <row r="453" spans="1:8" ht="71.25" customHeight="1">
      <c r="A453" s="120" t="s">
        <v>296</v>
      </c>
      <c r="B453" s="120" t="s">
        <v>4217</v>
      </c>
      <c r="C453" s="120">
        <v>20</v>
      </c>
      <c r="D453" s="120" t="s">
        <v>4290</v>
      </c>
      <c r="E453" s="120" t="s">
        <v>838</v>
      </c>
      <c r="F453" s="120" t="s">
        <v>232</v>
      </c>
      <c r="G453" s="121">
        <v>46238</v>
      </c>
      <c r="H453" s="120" t="s">
        <v>4291</v>
      </c>
    </row>
    <row r="454" spans="1:8" ht="71.25" customHeight="1">
      <c r="A454" s="120" t="s">
        <v>299</v>
      </c>
      <c r="B454" s="120" t="s">
        <v>4214</v>
      </c>
      <c r="C454" s="120">
        <v>19</v>
      </c>
      <c r="D454" s="120" t="s">
        <v>4292</v>
      </c>
      <c r="E454" s="120" t="s">
        <v>838</v>
      </c>
      <c r="F454" s="120" t="s">
        <v>232</v>
      </c>
      <c r="G454" s="121">
        <v>46238</v>
      </c>
      <c r="H454" s="120" t="s">
        <v>4293</v>
      </c>
    </row>
    <row r="455" spans="1:8" ht="71.25" customHeight="1">
      <c r="A455" s="120" t="s">
        <v>299</v>
      </c>
      <c r="B455" s="120" t="s">
        <v>4217</v>
      </c>
      <c r="C455" s="120">
        <v>20</v>
      </c>
      <c r="D455" s="120" t="s">
        <v>4294</v>
      </c>
      <c r="E455" s="120" t="s">
        <v>838</v>
      </c>
      <c r="F455" s="120" t="s">
        <v>232</v>
      </c>
      <c r="G455" s="121">
        <v>46238</v>
      </c>
      <c r="H455" s="120" t="s">
        <v>4295</v>
      </c>
    </row>
    <row r="456" spans="1:8" ht="71.25" customHeight="1">
      <c r="A456" s="120" t="s">
        <v>302</v>
      </c>
      <c r="B456" s="120" t="s">
        <v>4214</v>
      </c>
      <c r="C456" s="120">
        <v>19</v>
      </c>
      <c r="D456" s="120" t="s">
        <v>4296</v>
      </c>
      <c r="E456" s="120" t="s">
        <v>838</v>
      </c>
      <c r="F456" s="120" t="s">
        <v>232</v>
      </c>
      <c r="G456" s="121">
        <v>46238</v>
      </c>
      <c r="H456" s="120" t="s">
        <v>4297</v>
      </c>
    </row>
    <row r="457" spans="1:8" ht="71.25" customHeight="1">
      <c r="A457" s="120" t="s">
        <v>302</v>
      </c>
      <c r="B457" s="120" t="s">
        <v>4217</v>
      </c>
      <c r="C457" s="120">
        <v>20</v>
      </c>
      <c r="D457" s="120" t="s">
        <v>4290</v>
      </c>
      <c r="E457" s="120" t="s">
        <v>838</v>
      </c>
      <c r="F457" s="120" t="s">
        <v>232</v>
      </c>
      <c r="G457" s="121">
        <v>46238</v>
      </c>
      <c r="H457" s="120" t="s">
        <v>4298</v>
      </c>
    </row>
    <row r="458" spans="1:8" ht="71.25" customHeight="1">
      <c r="A458" s="120" t="s">
        <v>305</v>
      </c>
      <c r="B458" s="120" t="s">
        <v>4214</v>
      </c>
      <c r="C458" s="120">
        <v>19</v>
      </c>
      <c r="D458" s="120" t="s">
        <v>4299</v>
      </c>
      <c r="E458" s="120" t="s">
        <v>838</v>
      </c>
      <c r="F458" s="120" t="s">
        <v>232</v>
      </c>
      <c r="G458" s="121">
        <v>46238</v>
      </c>
      <c r="H458" s="120" t="s">
        <v>4300</v>
      </c>
    </row>
    <row r="459" spans="1:8" ht="85.5" customHeight="1">
      <c r="A459" s="120" t="s">
        <v>305</v>
      </c>
      <c r="B459" s="120" t="s">
        <v>4217</v>
      </c>
      <c r="C459" s="120">
        <v>20</v>
      </c>
      <c r="D459" s="120" t="s">
        <v>4301</v>
      </c>
      <c r="E459" s="120" t="s">
        <v>838</v>
      </c>
      <c r="F459" s="120" t="s">
        <v>232</v>
      </c>
      <c r="G459" s="121">
        <v>46238</v>
      </c>
      <c r="H459" s="120" t="s">
        <v>4302</v>
      </c>
    </row>
    <row r="460" spans="1:8" ht="85.5" customHeight="1">
      <c r="A460" s="120" t="s">
        <v>309</v>
      </c>
      <c r="B460" s="120" t="s">
        <v>4214</v>
      </c>
      <c r="C460" s="120">
        <v>19</v>
      </c>
      <c r="D460" s="120" t="s">
        <v>4303</v>
      </c>
      <c r="E460" s="120" t="s">
        <v>838</v>
      </c>
      <c r="F460" s="120" t="s">
        <v>232</v>
      </c>
      <c r="G460" s="121">
        <v>46238</v>
      </c>
      <c r="H460" s="120" t="s">
        <v>4304</v>
      </c>
    </row>
    <row r="461" spans="1:8" ht="128.25" customHeight="1">
      <c r="A461" s="120" t="s">
        <v>309</v>
      </c>
      <c r="B461" s="120" t="s">
        <v>4217</v>
      </c>
      <c r="C461" s="120">
        <v>20</v>
      </c>
      <c r="D461" s="120" t="s">
        <v>4305</v>
      </c>
      <c r="E461" s="120" t="s">
        <v>838</v>
      </c>
      <c r="F461" s="120" t="s">
        <v>232</v>
      </c>
      <c r="G461" s="121">
        <v>46238</v>
      </c>
      <c r="H461" s="120" t="s">
        <v>4306</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6"/>
  <sheetViews>
    <sheetView workbookViewId="0"/>
  </sheetViews>
  <sheetFormatPr baseColWidth="10" defaultColWidth="9" defaultRowHeight="14.25"/>
  <cols>
    <col min="1" max="1" width="20" style="30" customWidth="1"/>
    <col min="2" max="2" width="14" style="30" customWidth="1"/>
    <col min="3" max="3" width="24" style="30" customWidth="1"/>
    <col min="4" max="4" width="23" style="30" customWidth="1"/>
    <col min="5" max="5" width="22" style="30" customWidth="1"/>
    <col min="6" max="7" width="42" style="30" customWidth="1"/>
    <col min="8" max="8" width="14" style="30" customWidth="1"/>
    <col min="9" max="9" width="22" style="30" customWidth="1"/>
    <col min="10" max="10" width="20" style="30" customWidth="1"/>
  </cols>
  <sheetData>
    <row r="1" spans="1:11" ht="15" customHeight="1">
      <c r="A1" s="13" t="s">
        <v>4307</v>
      </c>
      <c r="B1" s="13" t="s">
        <v>2893</v>
      </c>
      <c r="C1" s="13" t="s">
        <v>422</v>
      </c>
      <c r="D1" s="13" t="s">
        <v>382</v>
      </c>
      <c r="E1" s="13" t="s">
        <v>423</v>
      </c>
      <c r="F1" s="13" t="s">
        <v>424</v>
      </c>
      <c r="G1" s="13" t="s">
        <v>4308</v>
      </c>
      <c r="H1" s="13" t="s">
        <v>426</v>
      </c>
      <c r="I1" s="13" t="s">
        <v>158</v>
      </c>
      <c r="J1" s="13" t="s">
        <v>2947</v>
      </c>
      <c r="K1" t="s">
        <v>4309</v>
      </c>
    </row>
    <row r="2" spans="1:11" ht="28.5" customHeight="1">
      <c r="A2" s="37" t="s">
        <v>4310</v>
      </c>
      <c r="B2" s="37" t="s">
        <v>225</v>
      </c>
      <c r="C2" s="37" t="s">
        <v>281</v>
      </c>
      <c r="D2" s="37" t="s">
        <v>4311</v>
      </c>
      <c r="E2" s="37" t="s">
        <v>4312</v>
      </c>
      <c r="F2" s="37" t="s">
        <v>4313</v>
      </c>
      <c r="G2" s="37" t="s">
        <v>4314</v>
      </c>
      <c r="H2" s="37" t="s">
        <v>4315</v>
      </c>
      <c r="I2" s="37" t="s">
        <v>483</v>
      </c>
      <c r="J2" s="37" t="s">
        <v>673</v>
      </c>
      <c r="K2" t="str">
        <f>IF($B2="","",IF($B2=INTERACCIONES!$G$7,COUNTIF($B$2:$B2,INTERACCIONES!$G$7),""))</f>
        <v/>
      </c>
    </row>
    <row r="3" spans="1:11" ht="28.5" customHeight="1">
      <c r="A3" s="37" t="s">
        <v>4316</v>
      </c>
      <c r="B3" s="37" t="s">
        <v>225</v>
      </c>
      <c r="C3" s="37" t="s">
        <v>4317</v>
      </c>
      <c r="D3" s="37" t="s">
        <v>4318</v>
      </c>
      <c r="E3" s="37" t="s">
        <v>4319</v>
      </c>
      <c r="F3" s="37" t="s">
        <v>4320</v>
      </c>
      <c r="G3" s="37" t="s">
        <v>4321</v>
      </c>
      <c r="H3" s="37" t="s">
        <v>4315</v>
      </c>
      <c r="I3" s="37" t="s">
        <v>483</v>
      </c>
      <c r="J3" s="37" t="s">
        <v>673</v>
      </c>
      <c r="K3" t="str">
        <f>IF($B3="","",IF($B3=INTERACCIONES!$G$7,COUNTIF($B$2:$B3,INTERACCIONES!$G$7),""))</f>
        <v/>
      </c>
    </row>
    <row r="4" spans="1:11" ht="28.5" customHeight="1">
      <c r="A4" s="37" t="s">
        <v>4322</v>
      </c>
      <c r="B4" s="37" t="s">
        <v>233</v>
      </c>
      <c r="C4" s="37" t="s">
        <v>237</v>
      </c>
      <c r="D4" s="37" t="s">
        <v>4311</v>
      </c>
      <c r="E4" s="37" t="s">
        <v>4323</v>
      </c>
      <c r="F4" s="37" t="s">
        <v>4324</v>
      </c>
      <c r="G4" s="37" t="s">
        <v>4325</v>
      </c>
      <c r="H4" s="37" t="s">
        <v>4326</v>
      </c>
      <c r="I4" s="37" t="s">
        <v>491</v>
      </c>
      <c r="J4" s="37" t="s">
        <v>673</v>
      </c>
      <c r="K4" t="str">
        <f>IF($B4="","",IF($B4=INTERACCIONES!$G$7,COUNTIF($B$2:$B4,INTERACCIONES!$G$7),""))</f>
        <v/>
      </c>
    </row>
    <row r="5" spans="1:11" ht="28.5" customHeight="1">
      <c r="A5" s="37" t="s">
        <v>4327</v>
      </c>
      <c r="B5" s="37" t="s">
        <v>233</v>
      </c>
      <c r="C5" s="37" t="s">
        <v>4328</v>
      </c>
      <c r="D5" s="37" t="s">
        <v>4329</v>
      </c>
      <c r="E5" s="37" t="s">
        <v>4330</v>
      </c>
      <c r="F5" s="37" t="s">
        <v>4331</v>
      </c>
      <c r="G5" s="37" t="s">
        <v>4332</v>
      </c>
      <c r="H5" s="37" t="s">
        <v>4326</v>
      </c>
      <c r="I5" s="37" t="s">
        <v>491</v>
      </c>
      <c r="J5" s="37" t="s">
        <v>673</v>
      </c>
      <c r="K5" t="str">
        <f>IF($B5="","",IF($B5=INTERACCIONES!$G$7,COUNTIF($B$2:$B5,INTERACCIONES!$G$7),""))</f>
        <v/>
      </c>
    </row>
    <row r="6" spans="1:11" ht="28.5" customHeight="1">
      <c r="A6" s="37" t="s">
        <v>4333</v>
      </c>
      <c r="B6" s="37" t="s">
        <v>236</v>
      </c>
      <c r="C6" s="37" t="s">
        <v>4334</v>
      </c>
      <c r="D6" s="37" t="s">
        <v>4311</v>
      </c>
      <c r="E6" s="37" t="s">
        <v>4335</v>
      </c>
      <c r="F6" s="37" t="s">
        <v>4336</v>
      </c>
      <c r="G6" s="37" t="s">
        <v>4337</v>
      </c>
      <c r="H6" s="37" t="s">
        <v>4326</v>
      </c>
      <c r="I6" s="37" t="s">
        <v>499</v>
      </c>
      <c r="J6" s="37" t="s">
        <v>673</v>
      </c>
      <c r="K6" t="str">
        <f>IF($B6="","",IF($B6=INTERACCIONES!$G$7,COUNTIF($B$2:$B6,INTERACCIONES!$G$7),""))</f>
        <v/>
      </c>
    </row>
    <row r="7" spans="1:11" ht="28.5" customHeight="1">
      <c r="A7" s="37" t="s">
        <v>4338</v>
      </c>
      <c r="B7" s="37" t="s">
        <v>239</v>
      </c>
      <c r="C7" s="37" t="s">
        <v>273</v>
      </c>
      <c r="D7" s="37" t="s">
        <v>4311</v>
      </c>
      <c r="E7" s="37" t="s">
        <v>4339</v>
      </c>
      <c r="F7" s="37" t="s">
        <v>4340</v>
      </c>
      <c r="G7" s="37" t="s">
        <v>4341</v>
      </c>
      <c r="H7" s="37" t="s">
        <v>4326</v>
      </c>
      <c r="I7" s="37" t="s">
        <v>507</v>
      </c>
      <c r="J7" s="37" t="s">
        <v>673</v>
      </c>
      <c r="K7" t="str">
        <f>IF($B7="","",IF($B7=INTERACCIONES!$G$7,COUNTIF($B$2:$B7,INTERACCIONES!$G$7),""))</f>
        <v/>
      </c>
    </row>
    <row r="8" spans="1:11" ht="28.5" customHeight="1">
      <c r="A8" s="37" t="s">
        <v>4342</v>
      </c>
      <c r="B8" s="37" t="s">
        <v>239</v>
      </c>
      <c r="C8" s="37" t="s">
        <v>4343</v>
      </c>
      <c r="D8" s="37" t="s">
        <v>4329</v>
      </c>
      <c r="E8" s="37" t="s">
        <v>4344</v>
      </c>
      <c r="F8" s="37" t="s">
        <v>4345</v>
      </c>
      <c r="G8" s="37" t="s">
        <v>4346</v>
      </c>
      <c r="H8" s="37" t="s">
        <v>4326</v>
      </c>
      <c r="I8" s="37" t="s">
        <v>507</v>
      </c>
      <c r="J8" s="37" t="s">
        <v>673</v>
      </c>
      <c r="K8" t="str">
        <f>IF($B8="","",IF($B8=INTERACCIONES!$G$7,COUNTIF($B$2:$B8,INTERACCIONES!$G$7),""))</f>
        <v/>
      </c>
    </row>
    <row r="9" spans="1:11" ht="28.5" customHeight="1">
      <c r="A9" s="37" t="s">
        <v>4347</v>
      </c>
      <c r="B9" s="37" t="s">
        <v>239</v>
      </c>
      <c r="C9" s="37" t="s">
        <v>4348</v>
      </c>
      <c r="D9" s="37" t="s">
        <v>4329</v>
      </c>
      <c r="E9" s="37" t="s">
        <v>4349</v>
      </c>
      <c r="F9" s="37" t="s">
        <v>4350</v>
      </c>
      <c r="G9" s="37" t="s">
        <v>4351</v>
      </c>
      <c r="H9" s="37" t="s">
        <v>4326</v>
      </c>
      <c r="I9" s="37" t="s">
        <v>507</v>
      </c>
      <c r="J9" s="37" t="s">
        <v>673</v>
      </c>
      <c r="K9" t="str">
        <f>IF($B9="","",IF($B9=INTERACCIONES!$G$7,COUNTIF($B$2:$B9,INTERACCIONES!$G$7),""))</f>
        <v/>
      </c>
    </row>
    <row r="10" spans="1:11" ht="28.5" customHeight="1">
      <c r="A10" s="37" t="s">
        <v>4352</v>
      </c>
      <c r="B10" s="37" t="s">
        <v>243</v>
      </c>
      <c r="C10" s="37" t="s">
        <v>4353</v>
      </c>
      <c r="D10" s="37" t="s">
        <v>4329</v>
      </c>
      <c r="E10" s="37" t="s">
        <v>4354</v>
      </c>
      <c r="F10" s="37" t="s">
        <v>4355</v>
      </c>
      <c r="G10" s="37" t="s">
        <v>4356</v>
      </c>
      <c r="H10" s="37" t="s">
        <v>4315</v>
      </c>
      <c r="I10" s="37" t="s">
        <v>514</v>
      </c>
      <c r="J10" s="37" t="s">
        <v>673</v>
      </c>
      <c r="K10" t="str">
        <f>IF($B10="","",IF($B10=INTERACCIONES!$G$7,COUNTIF($B$2:$B10,INTERACCIONES!$G$7),""))</f>
        <v/>
      </c>
    </row>
    <row r="11" spans="1:11" ht="28.5" customHeight="1">
      <c r="A11" s="37" t="s">
        <v>4357</v>
      </c>
      <c r="B11" s="37" t="s">
        <v>246</v>
      </c>
      <c r="C11" s="37" t="s">
        <v>4358</v>
      </c>
      <c r="D11" s="37" t="s">
        <v>4311</v>
      </c>
      <c r="E11" s="37" t="s">
        <v>4359</v>
      </c>
      <c r="F11" s="37" t="s">
        <v>4360</v>
      </c>
      <c r="G11" s="37" t="s">
        <v>4361</v>
      </c>
      <c r="H11" s="37" t="s">
        <v>4362</v>
      </c>
      <c r="I11" s="37" t="s">
        <v>522</v>
      </c>
      <c r="J11" s="37" t="s">
        <v>673</v>
      </c>
      <c r="K11" t="str">
        <f>IF($B11="","",IF($B11=INTERACCIONES!$G$7,COUNTIF($B$2:$B11,INTERACCIONES!$G$7),""))</f>
        <v/>
      </c>
    </row>
    <row r="12" spans="1:11" ht="28.5" customHeight="1">
      <c r="A12" s="37" t="s">
        <v>4363</v>
      </c>
      <c r="B12" s="37" t="s">
        <v>250</v>
      </c>
      <c r="C12" s="37" t="s">
        <v>4364</v>
      </c>
      <c r="D12" s="37" t="s">
        <v>4329</v>
      </c>
      <c r="E12" s="37" t="s">
        <v>4365</v>
      </c>
      <c r="F12" s="37" t="s">
        <v>4366</v>
      </c>
      <c r="G12" s="37" t="s">
        <v>4367</v>
      </c>
      <c r="H12" s="37" t="s">
        <v>4326</v>
      </c>
      <c r="I12" s="37" t="s">
        <v>530</v>
      </c>
      <c r="J12" s="37" t="s">
        <v>673</v>
      </c>
      <c r="K12" t="str">
        <f>IF($B12="","",IF($B12=INTERACCIONES!$G$7,COUNTIF($B$2:$B12,INTERACCIONES!$G$7),""))</f>
        <v/>
      </c>
    </row>
    <row r="13" spans="1:11" ht="28.5" customHeight="1">
      <c r="A13" s="37" t="s">
        <v>4368</v>
      </c>
      <c r="B13" s="37" t="s">
        <v>250</v>
      </c>
      <c r="C13" s="37" t="s">
        <v>4369</v>
      </c>
      <c r="D13" s="37" t="s">
        <v>4329</v>
      </c>
      <c r="E13" s="37" t="s">
        <v>212</v>
      </c>
      <c r="F13" s="37" t="s">
        <v>4370</v>
      </c>
      <c r="G13" s="37" t="s">
        <v>4371</v>
      </c>
      <c r="H13" s="37" t="s">
        <v>4326</v>
      </c>
      <c r="I13" s="37" t="s">
        <v>530</v>
      </c>
      <c r="J13" s="37" t="s">
        <v>673</v>
      </c>
      <c r="K13" t="str">
        <f>IF($B13="","",IF($B13=INTERACCIONES!$G$7,COUNTIF($B$2:$B13,INTERACCIONES!$G$7),""))</f>
        <v/>
      </c>
    </row>
    <row r="14" spans="1:11" ht="28.5" customHeight="1">
      <c r="A14" s="37" t="s">
        <v>4372</v>
      </c>
      <c r="B14" s="37" t="s">
        <v>255</v>
      </c>
      <c r="C14" s="37" t="s">
        <v>4373</v>
      </c>
      <c r="D14" s="37" t="s">
        <v>4329</v>
      </c>
      <c r="E14" s="37" t="s">
        <v>4374</v>
      </c>
      <c r="F14" s="37" t="s">
        <v>4375</v>
      </c>
      <c r="G14" s="37" t="s">
        <v>4376</v>
      </c>
      <c r="H14" s="37" t="s">
        <v>4326</v>
      </c>
      <c r="I14" s="37" t="s">
        <v>538</v>
      </c>
      <c r="J14" s="37" t="s">
        <v>673</v>
      </c>
      <c r="K14" t="str">
        <f>IF($B14="","",IF($B14=INTERACCIONES!$G$7,COUNTIF($B$2:$B14,INTERACCIONES!$G$7),""))</f>
        <v/>
      </c>
    </row>
    <row r="15" spans="1:11" ht="28.5" customHeight="1">
      <c r="A15" s="37" t="s">
        <v>4377</v>
      </c>
      <c r="B15" s="37" t="s">
        <v>255</v>
      </c>
      <c r="C15" s="37" t="s">
        <v>4348</v>
      </c>
      <c r="D15" s="37" t="s">
        <v>4329</v>
      </c>
      <c r="E15" s="37" t="s">
        <v>4349</v>
      </c>
      <c r="F15" s="37" t="s">
        <v>4378</v>
      </c>
      <c r="G15" s="37" t="s">
        <v>4379</v>
      </c>
      <c r="H15" s="37" t="s">
        <v>4326</v>
      </c>
      <c r="I15" s="37" t="s">
        <v>538</v>
      </c>
      <c r="J15" s="37" t="s">
        <v>673</v>
      </c>
      <c r="K15" t="str">
        <f>IF($B15="","",IF($B15=INTERACCIONES!$G$7,COUNTIF($B$2:$B15,INTERACCIONES!$G$7),""))</f>
        <v/>
      </c>
    </row>
    <row r="16" spans="1:11" ht="28.5" customHeight="1">
      <c r="A16" s="37" t="s">
        <v>4380</v>
      </c>
      <c r="B16" s="37" t="s">
        <v>258</v>
      </c>
      <c r="C16" s="37" t="s">
        <v>4381</v>
      </c>
      <c r="D16" s="37" t="s">
        <v>4382</v>
      </c>
      <c r="E16" s="37" t="s">
        <v>4383</v>
      </c>
      <c r="F16" s="37" t="s">
        <v>4384</v>
      </c>
      <c r="G16" s="37" t="s">
        <v>4385</v>
      </c>
      <c r="H16" s="37" t="s">
        <v>4326</v>
      </c>
      <c r="I16" s="37" t="s">
        <v>546</v>
      </c>
      <c r="J16" s="37" t="s">
        <v>673</v>
      </c>
      <c r="K16" t="str">
        <f>IF($B16="","",IF($B16=INTERACCIONES!$G$7,COUNTIF($B$2:$B16,INTERACCIONES!$G$7),""))</f>
        <v/>
      </c>
    </row>
    <row r="17" spans="1:11" ht="28.5" customHeight="1">
      <c r="A17" s="37" t="s">
        <v>4386</v>
      </c>
      <c r="B17" s="37" t="s">
        <v>262</v>
      </c>
      <c r="C17" s="37" t="s">
        <v>4387</v>
      </c>
      <c r="D17" s="37" t="s">
        <v>4388</v>
      </c>
      <c r="E17" s="37" t="s">
        <v>4389</v>
      </c>
      <c r="F17" s="37" t="s">
        <v>4390</v>
      </c>
      <c r="G17" s="37" t="s">
        <v>4391</v>
      </c>
      <c r="H17" s="37" t="s">
        <v>4326</v>
      </c>
      <c r="I17" s="37" t="s">
        <v>772</v>
      </c>
      <c r="J17" s="37" t="s">
        <v>232</v>
      </c>
      <c r="K17" t="str">
        <f>IF($B17="","",IF($B17=INTERACCIONES!$G$7,COUNTIF($B$2:$B17,INTERACCIONES!$G$7),""))</f>
        <v/>
      </c>
    </row>
    <row r="18" spans="1:11" ht="28.5" customHeight="1">
      <c r="A18" s="37" t="s">
        <v>4392</v>
      </c>
      <c r="B18" s="37" t="s">
        <v>266</v>
      </c>
      <c r="C18" s="37" t="s">
        <v>234</v>
      </c>
      <c r="D18" s="37" t="s">
        <v>4311</v>
      </c>
      <c r="E18" s="37" t="s">
        <v>4359</v>
      </c>
      <c r="F18" s="37" t="s">
        <v>4393</v>
      </c>
      <c r="G18" s="37" t="s">
        <v>4394</v>
      </c>
      <c r="H18" s="37" t="s">
        <v>4362</v>
      </c>
      <c r="I18" s="37" t="s">
        <v>560</v>
      </c>
      <c r="J18" s="37" t="s">
        <v>673</v>
      </c>
      <c r="K18">
        <f>IF($B18="","",IF($B18=INTERACCIONES!$G$7,COUNTIF($B$2:$B18,INTERACCIONES!$G$7),""))</f>
        <v>1</v>
      </c>
    </row>
    <row r="19" spans="1:11" ht="28.5" customHeight="1">
      <c r="A19" s="37" t="s">
        <v>4395</v>
      </c>
      <c r="B19" s="37" t="s">
        <v>266</v>
      </c>
      <c r="C19" s="37" t="s">
        <v>4396</v>
      </c>
      <c r="D19" s="37" t="s">
        <v>4329</v>
      </c>
      <c r="E19" s="37" t="s">
        <v>4397</v>
      </c>
      <c r="F19" s="37" t="s">
        <v>4398</v>
      </c>
      <c r="G19" s="37" t="s">
        <v>4399</v>
      </c>
      <c r="H19" s="37" t="s">
        <v>4326</v>
      </c>
      <c r="I19" s="37" t="s">
        <v>560</v>
      </c>
      <c r="J19" s="37" t="s">
        <v>673</v>
      </c>
      <c r="K19">
        <f>IF($B19="","",IF($B19=INTERACCIONES!$G$7,COUNTIF($B$2:$B19,INTERACCIONES!$G$7),""))</f>
        <v>2</v>
      </c>
    </row>
    <row r="20" spans="1:11" ht="28.5" customHeight="1">
      <c r="A20" s="37" t="s">
        <v>4400</v>
      </c>
      <c r="B20" s="37" t="s">
        <v>272</v>
      </c>
      <c r="C20" s="37" t="s">
        <v>4396</v>
      </c>
      <c r="D20" s="37" t="s">
        <v>4329</v>
      </c>
      <c r="E20" s="37" t="s">
        <v>4397</v>
      </c>
      <c r="F20" s="37" t="s">
        <v>4401</v>
      </c>
      <c r="G20" s="37" t="s">
        <v>4402</v>
      </c>
      <c r="H20" s="37" t="s">
        <v>4326</v>
      </c>
      <c r="I20" s="37" t="s">
        <v>568</v>
      </c>
      <c r="J20" s="37" t="s">
        <v>673</v>
      </c>
      <c r="K20" t="str">
        <f>IF($B20="","",IF($B20=INTERACCIONES!$G$7,COUNTIF($B$2:$B20,INTERACCIONES!$G$7),""))</f>
        <v/>
      </c>
    </row>
    <row r="21" spans="1:11" ht="28.5" customHeight="1">
      <c r="A21" s="37" t="s">
        <v>4403</v>
      </c>
      <c r="B21" s="37" t="s">
        <v>272</v>
      </c>
      <c r="C21" s="37" t="s">
        <v>4404</v>
      </c>
      <c r="D21" s="37" t="s">
        <v>4329</v>
      </c>
      <c r="E21" s="37" t="s">
        <v>4405</v>
      </c>
      <c r="F21" s="37" t="s">
        <v>4406</v>
      </c>
      <c r="G21" s="37" t="s">
        <v>4407</v>
      </c>
      <c r="H21" s="37" t="s">
        <v>4326</v>
      </c>
      <c r="I21" s="37" t="s">
        <v>568</v>
      </c>
      <c r="J21" s="37" t="s">
        <v>673</v>
      </c>
      <c r="K21" t="str">
        <f>IF($B21="","",IF($B21=INTERACCIONES!$G$7,COUNTIF($B$2:$B21,INTERACCIONES!$G$7),""))</f>
        <v/>
      </c>
    </row>
    <row r="22" spans="1:11" ht="28.5" customHeight="1">
      <c r="A22" s="37" t="s">
        <v>4408</v>
      </c>
      <c r="B22" s="37" t="s">
        <v>275</v>
      </c>
      <c r="C22" s="37" t="s">
        <v>4409</v>
      </c>
      <c r="D22" s="37" t="s">
        <v>4329</v>
      </c>
      <c r="E22" s="37" t="s">
        <v>4410</v>
      </c>
      <c r="F22" s="37" t="s">
        <v>4411</v>
      </c>
      <c r="G22" s="37" t="s">
        <v>4412</v>
      </c>
      <c r="H22" s="37" t="s">
        <v>4326</v>
      </c>
      <c r="I22" s="37" t="s">
        <v>576</v>
      </c>
      <c r="J22" s="37" t="s">
        <v>673</v>
      </c>
      <c r="K22" t="str">
        <f>IF($B22="","",IF($B22=INTERACCIONES!$G$7,COUNTIF($B$2:$B22,INTERACCIONES!$G$7),""))</f>
        <v/>
      </c>
    </row>
    <row r="23" spans="1:11" ht="28.5" customHeight="1">
      <c r="A23" s="37" t="s">
        <v>4413</v>
      </c>
      <c r="B23" s="37" t="s">
        <v>278</v>
      </c>
      <c r="C23" s="37" t="s">
        <v>4414</v>
      </c>
      <c r="D23" s="37" t="s">
        <v>4329</v>
      </c>
      <c r="E23" s="37" t="s">
        <v>4415</v>
      </c>
      <c r="F23" s="37" t="s">
        <v>4416</v>
      </c>
      <c r="G23" s="37" t="s">
        <v>4417</v>
      </c>
      <c r="H23" s="37" t="s">
        <v>4326</v>
      </c>
      <c r="I23" s="37" t="s">
        <v>584</v>
      </c>
      <c r="J23" s="37" t="s">
        <v>673</v>
      </c>
      <c r="K23" t="str">
        <f>IF($B23="","",IF($B23=INTERACCIONES!$G$7,COUNTIF($B$2:$B23,INTERACCIONES!$G$7),""))</f>
        <v/>
      </c>
    </row>
    <row r="24" spans="1:11" ht="28.5" customHeight="1">
      <c r="A24" s="37" t="s">
        <v>4418</v>
      </c>
      <c r="B24" s="37" t="s">
        <v>278</v>
      </c>
      <c r="C24" s="37" t="s">
        <v>4419</v>
      </c>
      <c r="D24" s="37" t="s">
        <v>4329</v>
      </c>
      <c r="E24" s="37" t="s">
        <v>4397</v>
      </c>
      <c r="F24" s="37" t="s">
        <v>4420</v>
      </c>
      <c r="G24" s="37" t="s">
        <v>4421</v>
      </c>
      <c r="H24" s="37" t="s">
        <v>4326</v>
      </c>
      <c r="I24" s="37" t="s">
        <v>584</v>
      </c>
      <c r="J24" s="37" t="s">
        <v>673</v>
      </c>
      <c r="K24" t="str">
        <f>IF($B24="","",IF($B24=INTERACCIONES!$G$7,COUNTIF($B$2:$B24,INTERACCIONES!$G$7),""))</f>
        <v/>
      </c>
    </row>
    <row r="25" spans="1:11">
      <c r="A25" s="37" t="s">
        <v>4422</v>
      </c>
      <c r="B25" s="37" t="s">
        <v>280</v>
      </c>
      <c r="C25" s="37" t="s">
        <v>4423</v>
      </c>
      <c r="D25" s="37" t="s">
        <v>4311</v>
      </c>
      <c r="E25" s="37" t="s">
        <v>4312</v>
      </c>
      <c r="F25" s="37" t="s">
        <v>4424</v>
      </c>
      <c r="G25" s="37" t="s">
        <v>4425</v>
      </c>
      <c r="H25" s="37" t="s">
        <v>4326</v>
      </c>
      <c r="I25" s="37" t="s">
        <v>592</v>
      </c>
      <c r="J25" s="37" t="s">
        <v>673</v>
      </c>
      <c r="K25" t="str">
        <f>IF($B25="","",IF($B25=INTERACCIONES!$G$7,COUNTIF($B$2:$B25,INTERACCIONES!$G$7),""))</f>
        <v/>
      </c>
    </row>
    <row r="26" spans="1:11" ht="28.5" customHeight="1">
      <c r="A26" s="37" t="s">
        <v>4426</v>
      </c>
      <c r="B26" s="37" t="s">
        <v>285</v>
      </c>
      <c r="C26" s="37" t="s">
        <v>4427</v>
      </c>
      <c r="D26" s="37" t="s">
        <v>4388</v>
      </c>
      <c r="E26" s="37" t="s">
        <v>4428</v>
      </c>
      <c r="F26" s="37" t="s">
        <v>4429</v>
      </c>
      <c r="G26" s="37" t="s">
        <v>4430</v>
      </c>
      <c r="H26" s="37" t="s">
        <v>4326</v>
      </c>
      <c r="I26" s="37" t="s">
        <v>600</v>
      </c>
      <c r="J26" s="37" t="s">
        <v>673</v>
      </c>
      <c r="K26" t="str">
        <f>IF($B26="","",IF($B26=INTERACCIONES!$G$7,COUNTIF($B$2:$B26,INTERACCIONES!$G$7),""))</f>
        <v/>
      </c>
    </row>
    <row r="27" spans="1:11" ht="28.5" customHeight="1">
      <c r="A27" s="37" t="s">
        <v>4431</v>
      </c>
      <c r="B27" s="37" t="s">
        <v>289</v>
      </c>
      <c r="C27" s="37" t="s">
        <v>4432</v>
      </c>
      <c r="D27" s="37" t="s">
        <v>4433</v>
      </c>
      <c r="E27" s="37" t="s">
        <v>4434</v>
      </c>
      <c r="F27" s="37" t="s">
        <v>4435</v>
      </c>
      <c r="G27" s="37" t="s">
        <v>4436</v>
      </c>
      <c r="H27" s="37" t="s">
        <v>4326</v>
      </c>
      <c r="I27" s="37" t="s">
        <v>608</v>
      </c>
      <c r="J27" s="37" t="s">
        <v>673</v>
      </c>
      <c r="K27" t="str">
        <f>IF($B27="","",IF($B27=INTERACCIONES!$G$7,COUNTIF($B$2:$B27,INTERACCIONES!$G$7),""))</f>
        <v/>
      </c>
    </row>
    <row r="28" spans="1:11" ht="28.5" customHeight="1">
      <c r="A28" s="37" t="s">
        <v>4437</v>
      </c>
      <c r="B28" s="37" t="s">
        <v>292</v>
      </c>
      <c r="C28" s="37" t="s">
        <v>4438</v>
      </c>
      <c r="D28" s="37" t="s">
        <v>4329</v>
      </c>
      <c r="E28" s="37" t="s">
        <v>4439</v>
      </c>
      <c r="F28" s="37" t="s">
        <v>4440</v>
      </c>
      <c r="G28" s="37" t="s">
        <v>4441</v>
      </c>
      <c r="H28" s="37" t="s">
        <v>4326</v>
      </c>
      <c r="I28" s="37" t="s">
        <v>616</v>
      </c>
      <c r="J28" s="37" t="s">
        <v>673</v>
      </c>
      <c r="K28" t="str">
        <f>IF($B28="","",IF($B28=INTERACCIONES!$G$7,COUNTIF($B$2:$B28,INTERACCIONES!$G$7),""))</f>
        <v/>
      </c>
    </row>
    <row r="29" spans="1:11" ht="28.5" customHeight="1">
      <c r="A29" s="37" t="s">
        <v>4442</v>
      </c>
      <c r="B29" s="37" t="s">
        <v>296</v>
      </c>
      <c r="C29" s="37" t="s">
        <v>4443</v>
      </c>
      <c r="D29" s="37" t="s">
        <v>4444</v>
      </c>
      <c r="E29" s="37" t="s">
        <v>4445</v>
      </c>
      <c r="F29" s="37" t="s">
        <v>4446</v>
      </c>
      <c r="G29" s="37" t="s">
        <v>4447</v>
      </c>
      <c r="H29" s="37" t="s">
        <v>4445</v>
      </c>
      <c r="I29" s="37" t="s">
        <v>624</v>
      </c>
      <c r="J29" s="37" t="s">
        <v>673</v>
      </c>
      <c r="K29" t="str">
        <f>IF($B29="","",IF($B29=INTERACCIONES!$G$7,COUNTIF($B$2:$B29,INTERACCIONES!$G$7),""))</f>
        <v/>
      </c>
    </row>
    <row r="30" spans="1:11" ht="28.5" customHeight="1">
      <c r="A30" s="37" t="s">
        <v>4448</v>
      </c>
      <c r="B30" s="37" t="s">
        <v>299</v>
      </c>
      <c r="C30" s="37" t="s">
        <v>4449</v>
      </c>
      <c r="D30" s="37" t="s">
        <v>4329</v>
      </c>
      <c r="E30" s="37" t="s">
        <v>4450</v>
      </c>
      <c r="F30" s="37" t="s">
        <v>4451</v>
      </c>
      <c r="G30" s="37" t="s">
        <v>4452</v>
      </c>
      <c r="H30" s="37" t="s">
        <v>4326</v>
      </c>
      <c r="I30" s="37" t="s">
        <v>632</v>
      </c>
      <c r="J30" s="37" t="s">
        <v>673</v>
      </c>
      <c r="K30" t="str">
        <f>IF($B30="","",IF($B30=INTERACCIONES!$G$7,COUNTIF($B$2:$B30,INTERACCIONES!$G$7),""))</f>
        <v/>
      </c>
    </row>
    <row r="31" spans="1:11" ht="28.5" customHeight="1">
      <c r="A31" s="37" t="s">
        <v>4453</v>
      </c>
      <c r="B31" s="37" t="s">
        <v>299</v>
      </c>
      <c r="C31" s="37" t="s">
        <v>4454</v>
      </c>
      <c r="D31" s="37" t="s">
        <v>4329</v>
      </c>
      <c r="E31" s="37" t="s">
        <v>4455</v>
      </c>
      <c r="F31" s="37" t="s">
        <v>4456</v>
      </c>
      <c r="G31" s="37" t="s">
        <v>4457</v>
      </c>
      <c r="H31" s="37" t="s">
        <v>4326</v>
      </c>
      <c r="I31" s="37" t="s">
        <v>632</v>
      </c>
      <c r="J31" s="37" t="s">
        <v>673</v>
      </c>
      <c r="K31" t="str">
        <f>IF($B31="","",IF($B31=INTERACCIONES!$G$7,COUNTIF($B$2:$B31,INTERACCIONES!$G$7),""))</f>
        <v/>
      </c>
    </row>
    <row r="32" spans="1:11" ht="28.5" customHeight="1">
      <c r="A32" s="37" t="s">
        <v>4458</v>
      </c>
      <c r="B32" s="37" t="s">
        <v>302</v>
      </c>
      <c r="C32" s="37" t="s">
        <v>4459</v>
      </c>
      <c r="D32" s="37" t="s">
        <v>4460</v>
      </c>
      <c r="E32" s="37" t="s">
        <v>4461</v>
      </c>
      <c r="F32" s="37" t="s">
        <v>4462</v>
      </c>
      <c r="G32" s="37" t="s">
        <v>4463</v>
      </c>
      <c r="H32" s="37" t="s">
        <v>4326</v>
      </c>
      <c r="I32" s="37" t="s">
        <v>639</v>
      </c>
      <c r="J32" s="37" t="s">
        <v>673</v>
      </c>
      <c r="K32" t="str">
        <f>IF($B32="","",IF($B32=INTERACCIONES!$G$7,COUNTIF($B$2:$B32,INTERACCIONES!$G$7),""))</f>
        <v/>
      </c>
    </row>
    <row r="33" spans="1:11" ht="42.75" customHeight="1">
      <c r="A33" s="37" t="s">
        <v>4464</v>
      </c>
      <c r="B33" s="37" t="s">
        <v>305</v>
      </c>
      <c r="C33" s="37" t="s">
        <v>818</v>
      </c>
      <c r="D33" s="37" t="s">
        <v>4311</v>
      </c>
      <c r="E33" s="37" t="s">
        <v>4465</v>
      </c>
      <c r="F33" s="37" t="s">
        <v>4466</v>
      </c>
      <c r="G33" s="37" t="s">
        <v>4467</v>
      </c>
      <c r="H33" s="37" t="s">
        <v>4326</v>
      </c>
      <c r="I33" s="37" t="s">
        <v>647</v>
      </c>
      <c r="J33" s="37" t="s">
        <v>673</v>
      </c>
      <c r="K33" t="str">
        <f>IF($B33="","",IF($B33=INTERACCIONES!$G$7,COUNTIF($B$2:$B33,INTERACCIONES!$G$7),""))</f>
        <v/>
      </c>
    </row>
    <row r="34" spans="1:11" ht="28.5" customHeight="1">
      <c r="A34" s="37" t="s">
        <v>4468</v>
      </c>
      <c r="B34" s="37" t="s">
        <v>305</v>
      </c>
      <c r="C34" s="37" t="s">
        <v>4469</v>
      </c>
      <c r="D34" s="37" t="s">
        <v>4329</v>
      </c>
      <c r="E34" s="37" t="s">
        <v>4470</v>
      </c>
      <c r="F34" s="37" t="s">
        <v>4471</v>
      </c>
      <c r="G34" s="37" t="s">
        <v>4472</v>
      </c>
      <c r="H34" s="37" t="s">
        <v>4326</v>
      </c>
      <c r="I34" s="37" t="s">
        <v>647</v>
      </c>
      <c r="J34" s="37" t="s">
        <v>673</v>
      </c>
      <c r="K34" t="str">
        <f>IF($B34="","",IF($B34=INTERACCIONES!$G$7,COUNTIF($B$2:$B34,INTERACCIONES!$G$7),""))</f>
        <v/>
      </c>
    </row>
    <row r="35" spans="1:11" ht="28.5" customHeight="1">
      <c r="A35" s="37" t="s">
        <v>4473</v>
      </c>
      <c r="B35" s="37" t="s">
        <v>309</v>
      </c>
      <c r="C35" s="37" t="s">
        <v>4474</v>
      </c>
      <c r="D35" s="37" t="s">
        <v>4329</v>
      </c>
      <c r="E35" s="37" t="s">
        <v>4475</v>
      </c>
      <c r="F35" s="37" t="s">
        <v>4476</v>
      </c>
      <c r="G35" s="37" t="s">
        <v>4477</v>
      </c>
      <c r="H35" s="37" t="s">
        <v>4326</v>
      </c>
      <c r="I35" s="37" t="s">
        <v>655</v>
      </c>
      <c r="J35" s="37" t="s">
        <v>673</v>
      </c>
      <c r="K35" t="str">
        <f>IF($B35="","",IF($B35=INTERACCIONES!$G$7,COUNTIF($B$2:$B35,INTERACCIONES!$G$7),""))</f>
        <v/>
      </c>
    </row>
    <row r="36" spans="1:11" ht="28.5" customHeight="1">
      <c r="A36" s="37" t="s">
        <v>4478</v>
      </c>
      <c r="B36" s="37" t="s">
        <v>309</v>
      </c>
      <c r="C36" s="37" t="s">
        <v>4479</v>
      </c>
      <c r="D36" s="37" t="s">
        <v>4329</v>
      </c>
      <c r="E36" s="37" t="s">
        <v>4480</v>
      </c>
      <c r="F36" s="37" t="s">
        <v>4481</v>
      </c>
      <c r="G36" s="37" t="s">
        <v>4482</v>
      </c>
      <c r="H36" s="37" t="s">
        <v>4326</v>
      </c>
      <c r="I36" s="37" t="s">
        <v>655</v>
      </c>
      <c r="J36" s="37" t="s">
        <v>673</v>
      </c>
      <c r="K36" t="str">
        <f>IF($B36="","",IF($B36=INTERACCIONES!$G$7,COUNTIF($B$2:$B36,INTERACCIONES!$G$7),""))</f>
        <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7"/>
  <sheetViews>
    <sheetView topLeftCell="D1" zoomScale="85" zoomScaleNormal="85" workbookViewId="0">
      <selection activeCell="L5" sqref="L5:L6"/>
    </sheetView>
  </sheetViews>
  <sheetFormatPr baseColWidth="10" defaultColWidth="9" defaultRowHeight="14.25"/>
  <cols>
    <col min="1" max="1" width="18" style="30" customWidth="1"/>
    <col min="2" max="2" width="14" style="30" customWidth="1"/>
    <col min="3" max="3" width="28" style="30" customWidth="1"/>
    <col min="4" max="4" width="16" style="30" customWidth="1"/>
    <col min="5" max="5" width="30" style="30" customWidth="1"/>
    <col min="6" max="6" width="18" style="30" customWidth="1"/>
    <col min="7" max="7" width="40" style="30" customWidth="1"/>
    <col min="8" max="8" width="45" style="30" customWidth="1"/>
    <col min="9" max="9" width="22" style="30" customWidth="1"/>
    <col min="10" max="10" width="25.875" style="30" customWidth="1"/>
  </cols>
  <sheetData>
    <row r="1" spans="1:11" ht="15" customHeight="1">
      <c r="A1" s="13" t="s">
        <v>4483</v>
      </c>
      <c r="B1" s="13" t="s">
        <v>2893</v>
      </c>
      <c r="C1" s="13" t="s">
        <v>430</v>
      </c>
      <c r="D1" s="13" t="s">
        <v>431</v>
      </c>
      <c r="E1" s="13" t="s">
        <v>4484</v>
      </c>
      <c r="F1" s="13" t="s">
        <v>156</v>
      </c>
      <c r="G1" s="13" t="s">
        <v>4485</v>
      </c>
      <c r="H1" s="13" t="s">
        <v>434</v>
      </c>
      <c r="I1" s="13" t="s">
        <v>158</v>
      </c>
      <c r="J1" s="13" t="s">
        <v>2947</v>
      </c>
      <c r="K1" t="s">
        <v>4309</v>
      </c>
    </row>
    <row r="2" spans="1:11" ht="28.5" customHeight="1">
      <c r="A2" s="37" t="s">
        <v>4486</v>
      </c>
      <c r="B2" s="37" t="s">
        <v>225</v>
      </c>
      <c r="C2" s="37" t="s">
        <v>481</v>
      </c>
      <c r="D2" s="37" t="s">
        <v>4487</v>
      </c>
      <c r="E2" s="37" t="s">
        <v>4488</v>
      </c>
      <c r="F2" s="37" t="s">
        <v>4489</v>
      </c>
      <c r="G2" s="37" t="s">
        <v>4490</v>
      </c>
      <c r="H2" s="37" t="s">
        <v>4491</v>
      </c>
      <c r="I2" s="37" t="s">
        <v>483</v>
      </c>
      <c r="J2" s="37" t="s">
        <v>673</v>
      </c>
      <c r="K2">
        <f>IF($B2="","",IF($B2=BIOMARCADORES!$G$7,COUNTIF($B$2:$B2,BIOMARCADORES!$G$7),""))</f>
        <v>1</v>
      </c>
    </row>
    <row r="3" spans="1:11">
      <c r="A3" s="37" t="s">
        <v>4492</v>
      </c>
      <c r="B3" s="37" t="s">
        <v>225</v>
      </c>
      <c r="C3" s="37" t="s">
        <v>4493</v>
      </c>
      <c r="D3" s="37" t="s">
        <v>4487</v>
      </c>
      <c r="E3" s="37" t="s">
        <v>4494</v>
      </c>
      <c r="F3" s="37" t="s">
        <v>136</v>
      </c>
      <c r="G3" s="37" t="s">
        <v>4495</v>
      </c>
      <c r="H3" s="37" t="s">
        <v>4496</v>
      </c>
      <c r="I3" s="37" t="s">
        <v>483</v>
      </c>
      <c r="J3" s="37" t="s">
        <v>673</v>
      </c>
      <c r="K3">
        <f>IF($B3="","",IF($B3=BIOMARCADORES!$G$7,COUNTIF($B$2:$B3,BIOMARCADORES!$G$7),""))</f>
        <v>2</v>
      </c>
    </row>
    <row r="4" spans="1:11" ht="28.5" customHeight="1">
      <c r="A4" s="37" t="s">
        <v>4497</v>
      </c>
      <c r="B4" s="37" t="s">
        <v>233</v>
      </c>
      <c r="C4" s="37" t="s">
        <v>489</v>
      </c>
      <c r="D4" s="37" t="s">
        <v>4498</v>
      </c>
      <c r="E4" s="37" t="s">
        <v>4499</v>
      </c>
      <c r="F4" s="37" t="s">
        <v>4500</v>
      </c>
      <c r="G4" s="37" t="s">
        <v>4501</v>
      </c>
      <c r="H4" s="37" t="s">
        <v>4502</v>
      </c>
      <c r="I4" s="37" t="s">
        <v>491</v>
      </c>
      <c r="J4" s="37" t="s">
        <v>673</v>
      </c>
      <c r="K4" t="str">
        <f>IF($B4="","",IF($B4=BIOMARCADORES!$G$7,COUNTIF($B$2:$B4,BIOMARCADORES!$G$7),""))</f>
        <v/>
      </c>
    </row>
    <row r="5" spans="1:11" ht="28.5" customHeight="1">
      <c r="A5" s="37" t="s">
        <v>4503</v>
      </c>
      <c r="B5" s="37" t="s">
        <v>236</v>
      </c>
      <c r="C5" s="37" t="s">
        <v>497</v>
      </c>
      <c r="D5" s="37" t="s">
        <v>4487</v>
      </c>
      <c r="E5" s="37" t="s">
        <v>4504</v>
      </c>
      <c r="F5" s="37" t="s">
        <v>4505</v>
      </c>
      <c r="G5" s="37" t="s">
        <v>4506</v>
      </c>
      <c r="H5" s="37" t="s">
        <v>4507</v>
      </c>
      <c r="I5" s="37" t="s">
        <v>499</v>
      </c>
      <c r="J5" s="37" t="s">
        <v>673</v>
      </c>
      <c r="K5" t="str">
        <f>IF($B5="","",IF($B5=BIOMARCADORES!$G$7,COUNTIF($B$2:$B5,BIOMARCADORES!$G$7),""))</f>
        <v/>
      </c>
    </row>
    <row r="6" spans="1:11" ht="28.5" customHeight="1">
      <c r="A6" s="37" t="s">
        <v>4508</v>
      </c>
      <c r="B6" s="37" t="s">
        <v>239</v>
      </c>
      <c r="C6" s="37" t="s">
        <v>505</v>
      </c>
      <c r="D6" s="37" t="s">
        <v>4487</v>
      </c>
      <c r="E6" s="37" t="s">
        <v>4509</v>
      </c>
      <c r="F6" s="37" t="s">
        <v>4510</v>
      </c>
      <c r="G6" s="37" t="s">
        <v>4511</v>
      </c>
      <c r="H6" s="37" t="s">
        <v>4512</v>
      </c>
      <c r="I6" s="37" t="s">
        <v>507</v>
      </c>
      <c r="J6" s="37" t="s">
        <v>673</v>
      </c>
      <c r="K6" t="str">
        <f>IF($B6="","",IF($B6=BIOMARCADORES!$G$7,COUNTIF($B$2:$B6,BIOMARCADORES!$G$7),""))</f>
        <v/>
      </c>
    </row>
    <row r="7" spans="1:11" ht="28.5" customHeight="1">
      <c r="A7" s="37" t="s">
        <v>4513</v>
      </c>
      <c r="B7" s="37" t="s">
        <v>243</v>
      </c>
      <c r="C7" s="37" t="s">
        <v>512</v>
      </c>
      <c r="D7" s="37" t="s">
        <v>4487</v>
      </c>
      <c r="E7" s="37" t="s">
        <v>4514</v>
      </c>
      <c r="F7" s="37" t="s">
        <v>4515</v>
      </c>
      <c r="G7" s="37" t="s">
        <v>4516</v>
      </c>
      <c r="H7" s="37" t="s">
        <v>4517</v>
      </c>
      <c r="I7" s="37" t="s">
        <v>514</v>
      </c>
      <c r="J7" s="37" t="s">
        <v>673</v>
      </c>
      <c r="K7" t="str">
        <f>IF($B7="","",IF($B7=BIOMARCADORES!$G$7,COUNTIF($B$2:$B7,BIOMARCADORES!$G$7),""))</f>
        <v/>
      </c>
    </row>
    <row r="8" spans="1:11" ht="28.5" customHeight="1">
      <c r="A8" s="37" t="s">
        <v>4518</v>
      </c>
      <c r="B8" s="37" t="s">
        <v>246</v>
      </c>
      <c r="C8" s="37" t="s">
        <v>520</v>
      </c>
      <c r="D8" s="37" t="s">
        <v>4519</v>
      </c>
      <c r="E8" s="37" t="s">
        <v>4520</v>
      </c>
      <c r="F8" s="37" t="s">
        <v>4521</v>
      </c>
      <c r="G8" s="37" t="s">
        <v>4522</v>
      </c>
      <c r="H8" s="37" t="s">
        <v>4523</v>
      </c>
      <c r="I8" s="37" t="s">
        <v>522</v>
      </c>
      <c r="J8" s="37" t="s">
        <v>673</v>
      </c>
      <c r="K8" t="str">
        <f>IF($B8="","",IF($B8=BIOMARCADORES!$G$7,COUNTIF($B$2:$B8,BIOMARCADORES!$G$7),""))</f>
        <v/>
      </c>
    </row>
    <row r="9" spans="1:11" ht="28.5" customHeight="1">
      <c r="A9" s="37" t="s">
        <v>4524</v>
      </c>
      <c r="B9" s="37" t="s">
        <v>250</v>
      </c>
      <c r="C9" s="37" t="s">
        <v>528</v>
      </c>
      <c r="D9" s="37" t="s">
        <v>4525</v>
      </c>
      <c r="E9" s="37" t="s">
        <v>4526</v>
      </c>
      <c r="F9" s="37" t="s">
        <v>4527</v>
      </c>
      <c r="G9" s="37" t="s">
        <v>4528</v>
      </c>
      <c r="H9" s="37" t="s">
        <v>4529</v>
      </c>
      <c r="I9" s="37" t="s">
        <v>530</v>
      </c>
      <c r="J9" s="37" t="s">
        <v>673</v>
      </c>
      <c r="K9" t="str">
        <f>IF($B9="","",IF($B9=BIOMARCADORES!$G$7,COUNTIF($B$2:$B9,BIOMARCADORES!$G$7),""))</f>
        <v/>
      </c>
    </row>
    <row r="10" spans="1:11" ht="28.5" customHeight="1">
      <c r="A10" s="37" t="s">
        <v>4530</v>
      </c>
      <c r="B10" s="37" t="s">
        <v>255</v>
      </c>
      <c r="C10" s="37" t="s">
        <v>536</v>
      </c>
      <c r="D10" s="37" t="s">
        <v>4487</v>
      </c>
      <c r="E10" s="37" t="s">
        <v>4531</v>
      </c>
      <c r="F10" s="37" t="s">
        <v>4515</v>
      </c>
      <c r="G10" s="37" t="s">
        <v>4532</v>
      </c>
      <c r="H10" s="37" t="s">
        <v>4533</v>
      </c>
      <c r="I10" s="37" t="s">
        <v>538</v>
      </c>
      <c r="J10" s="37" t="s">
        <v>673</v>
      </c>
      <c r="K10" t="str">
        <f>IF($B10="","",IF($B10=BIOMARCADORES!$G$7,COUNTIF($B$2:$B10,BIOMARCADORES!$G$7),""))</f>
        <v/>
      </c>
    </row>
    <row r="11" spans="1:11" ht="28.5" customHeight="1">
      <c r="A11" s="37" t="s">
        <v>4534</v>
      </c>
      <c r="B11" s="37" t="s">
        <v>258</v>
      </c>
      <c r="C11" s="37" t="s">
        <v>544</v>
      </c>
      <c r="D11" s="37" t="s">
        <v>4525</v>
      </c>
      <c r="E11" s="37" t="s">
        <v>4535</v>
      </c>
      <c r="F11" s="37" t="s">
        <v>4527</v>
      </c>
      <c r="G11" s="37" t="s">
        <v>4536</v>
      </c>
      <c r="H11" s="37" t="s">
        <v>4537</v>
      </c>
      <c r="I11" s="37" t="s">
        <v>546</v>
      </c>
      <c r="J11" s="37" t="s">
        <v>673</v>
      </c>
      <c r="K11" t="str">
        <f>IF($B11="","",IF($B11=BIOMARCADORES!$G$7,COUNTIF($B$2:$B11,BIOMARCADORES!$G$7),""))</f>
        <v/>
      </c>
    </row>
    <row r="12" spans="1:11" ht="28.5" customHeight="1">
      <c r="A12" s="37" t="s">
        <v>4538</v>
      </c>
      <c r="B12" s="37" t="s">
        <v>258</v>
      </c>
      <c r="C12" s="37" t="s">
        <v>4539</v>
      </c>
      <c r="D12" s="37" t="s">
        <v>4540</v>
      </c>
      <c r="E12" s="37" t="s">
        <v>4541</v>
      </c>
      <c r="F12" s="37" t="s">
        <v>4542</v>
      </c>
      <c r="G12" s="37" t="s">
        <v>4543</v>
      </c>
      <c r="H12" s="37" t="s">
        <v>4544</v>
      </c>
      <c r="I12" s="37" t="s">
        <v>546</v>
      </c>
      <c r="J12" s="37" t="s">
        <v>673</v>
      </c>
      <c r="K12" t="str">
        <f>IF($B12="","",IF($B12=BIOMARCADORES!$G$7,COUNTIF($B$2:$B12,BIOMARCADORES!$G$7),""))</f>
        <v/>
      </c>
    </row>
    <row r="13" spans="1:11" ht="28.5" customHeight="1">
      <c r="A13" s="37" t="s">
        <v>4545</v>
      </c>
      <c r="B13" s="37" t="s">
        <v>262</v>
      </c>
      <c r="C13" s="37" t="s">
        <v>551</v>
      </c>
      <c r="D13" s="37" t="s">
        <v>4525</v>
      </c>
      <c r="E13" s="37" t="s">
        <v>4546</v>
      </c>
      <c r="F13" s="37" t="s">
        <v>4527</v>
      </c>
      <c r="G13" s="37" t="s">
        <v>4547</v>
      </c>
      <c r="H13" s="37" t="s">
        <v>4548</v>
      </c>
      <c r="I13" s="37" t="s">
        <v>772</v>
      </c>
      <c r="J13" s="37" t="s">
        <v>232</v>
      </c>
      <c r="K13" t="str">
        <f>IF($B13="","",IF($B13=BIOMARCADORES!$G$7,COUNTIF($B$2:$B13,BIOMARCADORES!$G$7),""))</f>
        <v/>
      </c>
    </row>
    <row r="14" spans="1:11" ht="28.5" customHeight="1">
      <c r="A14" s="37" t="s">
        <v>4549</v>
      </c>
      <c r="B14" s="37" t="s">
        <v>266</v>
      </c>
      <c r="C14" s="37" t="s">
        <v>558</v>
      </c>
      <c r="D14" s="37" t="s">
        <v>4487</v>
      </c>
      <c r="E14" s="37" t="s">
        <v>4550</v>
      </c>
      <c r="F14" s="37" t="s">
        <v>4551</v>
      </c>
      <c r="G14" s="37" t="s">
        <v>4552</v>
      </c>
      <c r="H14" s="37" t="s">
        <v>4553</v>
      </c>
      <c r="I14" s="37" t="s">
        <v>560</v>
      </c>
      <c r="J14" s="37" t="s">
        <v>673</v>
      </c>
      <c r="K14" t="str">
        <f>IF($B14="","",IF($B14=BIOMARCADORES!$G$7,COUNTIF($B$2:$B14,BIOMARCADORES!$G$7),""))</f>
        <v/>
      </c>
    </row>
    <row r="15" spans="1:11" ht="28.5" customHeight="1">
      <c r="A15" s="37" t="s">
        <v>4554</v>
      </c>
      <c r="B15" s="37" t="s">
        <v>272</v>
      </c>
      <c r="C15" s="37" t="s">
        <v>566</v>
      </c>
      <c r="D15" s="37" t="s">
        <v>4487</v>
      </c>
      <c r="E15" s="37" t="s">
        <v>4555</v>
      </c>
      <c r="F15" s="37" t="s">
        <v>4556</v>
      </c>
      <c r="G15" s="37" t="s">
        <v>4557</v>
      </c>
      <c r="H15" s="37" t="s">
        <v>4558</v>
      </c>
      <c r="I15" s="37" t="s">
        <v>568</v>
      </c>
      <c r="J15" s="37" t="s">
        <v>673</v>
      </c>
      <c r="K15" t="str">
        <f>IF($B15="","",IF($B15=BIOMARCADORES!$G$7,COUNTIF($B$2:$B15,BIOMARCADORES!$G$7),""))</f>
        <v/>
      </c>
    </row>
    <row r="16" spans="1:11" ht="28.5" customHeight="1">
      <c r="A16" s="37" t="s">
        <v>4559</v>
      </c>
      <c r="B16" s="37" t="s">
        <v>275</v>
      </c>
      <c r="C16" s="37" t="s">
        <v>574</v>
      </c>
      <c r="D16" s="37" t="s">
        <v>4487</v>
      </c>
      <c r="E16" s="37" t="s">
        <v>4560</v>
      </c>
      <c r="F16" s="37" t="s">
        <v>4561</v>
      </c>
      <c r="G16" s="37" t="s">
        <v>4562</v>
      </c>
      <c r="H16" s="37" t="s">
        <v>4563</v>
      </c>
      <c r="I16" s="37" t="s">
        <v>576</v>
      </c>
      <c r="J16" s="37" t="s">
        <v>673</v>
      </c>
      <c r="K16" t="str">
        <f>IF($B16="","",IF($B16=BIOMARCADORES!$G$7,COUNTIF($B$2:$B16,BIOMARCADORES!$G$7),""))</f>
        <v/>
      </c>
    </row>
    <row r="17" spans="1:11" ht="28.5" customHeight="1">
      <c r="A17" s="37" t="s">
        <v>4564</v>
      </c>
      <c r="B17" s="37" t="s">
        <v>278</v>
      </c>
      <c r="C17" s="37" t="s">
        <v>582</v>
      </c>
      <c r="D17" s="37" t="s">
        <v>4565</v>
      </c>
      <c r="E17" s="37" t="s">
        <v>4566</v>
      </c>
      <c r="F17" s="37" t="s">
        <v>4567</v>
      </c>
      <c r="G17" s="37" t="s">
        <v>4568</v>
      </c>
      <c r="H17" s="37" t="s">
        <v>4569</v>
      </c>
      <c r="I17" s="37" t="s">
        <v>584</v>
      </c>
      <c r="J17" s="37" t="s">
        <v>673</v>
      </c>
      <c r="K17" t="str">
        <f>IF($B17="","",IF($B17=BIOMARCADORES!$G$7,COUNTIF($B$2:$B17,BIOMARCADORES!$G$7),""))</f>
        <v/>
      </c>
    </row>
    <row r="18" spans="1:11" ht="28.5" customHeight="1">
      <c r="A18" s="37" t="s">
        <v>4570</v>
      </c>
      <c r="B18" s="37" t="s">
        <v>280</v>
      </c>
      <c r="C18" s="37" t="s">
        <v>590</v>
      </c>
      <c r="D18" s="37" t="s">
        <v>4565</v>
      </c>
      <c r="E18" s="37" t="s">
        <v>4571</v>
      </c>
      <c r="F18" s="37" t="s">
        <v>4572</v>
      </c>
      <c r="G18" s="37" t="s">
        <v>4573</v>
      </c>
      <c r="H18" s="37" t="s">
        <v>4574</v>
      </c>
      <c r="I18" s="37" t="s">
        <v>592</v>
      </c>
      <c r="J18" s="37" t="s">
        <v>673</v>
      </c>
      <c r="K18" t="str">
        <f>IF($B18="","",IF($B18=BIOMARCADORES!$G$7,COUNTIF($B$2:$B18,BIOMARCADORES!$G$7),""))</f>
        <v/>
      </c>
    </row>
    <row r="19" spans="1:11" ht="28.5" customHeight="1">
      <c r="A19" s="37" t="s">
        <v>4575</v>
      </c>
      <c r="B19" s="37" t="s">
        <v>285</v>
      </c>
      <c r="C19" s="37" t="s">
        <v>598</v>
      </c>
      <c r="D19" s="37" t="s">
        <v>4576</v>
      </c>
      <c r="E19" s="37" t="s">
        <v>4577</v>
      </c>
      <c r="F19" s="37" t="s">
        <v>4578</v>
      </c>
      <c r="G19" s="37" t="s">
        <v>4579</v>
      </c>
      <c r="H19" s="37" t="s">
        <v>4580</v>
      </c>
      <c r="I19" s="37" t="s">
        <v>600</v>
      </c>
      <c r="J19" s="37" t="s">
        <v>673</v>
      </c>
      <c r="K19" t="str">
        <f>IF($B19="","",IF($B19=BIOMARCADORES!$G$7,COUNTIF($B$2:$B19,BIOMARCADORES!$G$7),""))</f>
        <v/>
      </c>
    </row>
    <row r="20" spans="1:11" ht="28.5" customHeight="1">
      <c r="A20" s="37" t="s">
        <v>4581</v>
      </c>
      <c r="B20" s="37" t="s">
        <v>289</v>
      </c>
      <c r="C20" s="37" t="s">
        <v>606</v>
      </c>
      <c r="D20" s="37" t="s">
        <v>4582</v>
      </c>
      <c r="E20" s="37" t="s">
        <v>4583</v>
      </c>
      <c r="F20" s="37" t="s">
        <v>4584</v>
      </c>
      <c r="G20" s="37" t="s">
        <v>4585</v>
      </c>
      <c r="H20" s="37" t="s">
        <v>4586</v>
      </c>
      <c r="I20" s="37" t="s">
        <v>608</v>
      </c>
      <c r="J20" s="37" t="s">
        <v>673</v>
      </c>
      <c r="K20" t="str">
        <f>IF($B20="","",IF($B20=BIOMARCADORES!$G$7,COUNTIF($B$2:$B20,BIOMARCADORES!$G$7),""))</f>
        <v/>
      </c>
    </row>
    <row r="21" spans="1:11" ht="28.5" customHeight="1">
      <c r="A21" s="37" t="s">
        <v>4587</v>
      </c>
      <c r="B21" s="37" t="s">
        <v>292</v>
      </c>
      <c r="C21" s="37" t="s">
        <v>614</v>
      </c>
      <c r="D21" s="37" t="s">
        <v>4588</v>
      </c>
      <c r="E21" s="37" t="s">
        <v>4589</v>
      </c>
      <c r="F21" s="37" t="s">
        <v>212</v>
      </c>
      <c r="G21" s="37" t="s">
        <v>4590</v>
      </c>
      <c r="H21" s="37" t="s">
        <v>4591</v>
      </c>
      <c r="I21" s="37" t="s">
        <v>616</v>
      </c>
      <c r="J21" s="37" t="s">
        <v>673</v>
      </c>
      <c r="K21" t="str">
        <f>IF($B21="","",IF($B21=BIOMARCADORES!$G$7,COUNTIF($B$2:$B21,BIOMARCADORES!$G$7),""))</f>
        <v/>
      </c>
    </row>
    <row r="22" spans="1:11" ht="28.5" customHeight="1">
      <c r="A22" s="37" t="s">
        <v>4592</v>
      </c>
      <c r="B22" s="37" t="s">
        <v>299</v>
      </c>
      <c r="C22" s="37" t="s">
        <v>630</v>
      </c>
      <c r="D22" s="37" t="s">
        <v>4565</v>
      </c>
      <c r="E22" s="37" t="s">
        <v>4593</v>
      </c>
      <c r="F22" s="37" t="s">
        <v>4578</v>
      </c>
      <c r="G22" s="37" t="s">
        <v>4594</v>
      </c>
      <c r="H22" s="37" t="s">
        <v>4595</v>
      </c>
      <c r="I22" s="37" t="s">
        <v>632</v>
      </c>
      <c r="J22" s="37" t="s">
        <v>673</v>
      </c>
      <c r="K22" t="str">
        <f>IF($B22="","",IF($B22=BIOMARCADORES!$G$7,COUNTIF($B$2:$B22,BIOMARCADORES!$G$7),""))</f>
        <v/>
      </c>
    </row>
    <row r="23" spans="1:11" ht="28.5" customHeight="1">
      <c r="A23" s="37" t="s">
        <v>4596</v>
      </c>
      <c r="B23" s="37" t="s">
        <v>305</v>
      </c>
      <c r="C23" s="37" t="s">
        <v>645</v>
      </c>
      <c r="D23" s="37" t="s">
        <v>4487</v>
      </c>
      <c r="E23" s="37" t="s">
        <v>4571</v>
      </c>
      <c r="F23" s="37" t="s">
        <v>4556</v>
      </c>
      <c r="G23" s="37" t="s">
        <v>4597</v>
      </c>
      <c r="H23" s="37" t="s">
        <v>4598</v>
      </c>
      <c r="I23" s="37" t="s">
        <v>647</v>
      </c>
      <c r="J23" s="37" t="s">
        <v>673</v>
      </c>
      <c r="K23" t="str">
        <f>IF($B23="","",IF($B23=BIOMARCADORES!$G$7,COUNTIF($B$2:$B23,BIOMARCADORES!$G$7),""))</f>
        <v/>
      </c>
    </row>
    <row r="24" spans="1:11" ht="28.5" customHeight="1">
      <c r="A24" s="37" t="s">
        <v>4599</v>
      </c>
      <c r="B24" s="37" t="s">
        <v>305</v>
      </c>
      <c r="C24" s="37" t="s">
        <v>4600</v>
      </c>
      <c r="D24" s="37" t="s">
        <v>4582</v>
      </c>
      <c r="E24" s="37" t="s">
        <v>4601</v>
      </c>
      <c r="F24" s="37" t="s">
        <v>4556</v>
      </c>
      <c r="G24" s="37" t="s">
        <v>4602</v>
      </c>
      <c r="H24" s="37" t="s">
        <v>4603</v>
      </c>
      <c r="I24" s="37" t="s">
        <v>647</v>
      </c>
      <c r="J24" s="37" t="s">
        <v>673</v>
      </c>
      <c r="K24" t="str">
        <f>IF($B24="","",IF($B24=BIOMARCADORES!$G$7,COUNTIF($B$2:$B24,BIOMARCADORES!$G$7),""))</f>
        <v/>
      </c>
    </row>
    <row r="25" spans="1:11" ht="28.5" customHeight="1">
      <c r="A25" s="37" t="s">
        <v>4604</v>
      </c>
      <c r="B25" s="37" t="s">
        <v>309</v>
      </c>
      <c r="C25" s="37" t="s">
        <v>653</v>
      </c>
      <c r="D25" s="37" t="s">
        <v>4487</v>
      </c>
      <c r="E25" s="37" t="s">
        <v>4605</v>
      </c>
      <c r="F25" s="37" t="s">
        <v>4606</v>
      </c>
      <c r="G25" s="37" t="s">
        <v>4607</v>
      </c>
      <c r="H25" s="37" t="s">
        <v>4608</v>
      </c>
      <c r="I25" s="37" t="s">
        <v>655</v>
      </c>
      <c r="J25" s="37" t="s">
        <v>673</v>
      </c>
      <c r="K25" t="str">
        <f>IF($B25="","",IF($B25=BIOMARCADORES!$G$7,COUNTIF($B$2:$B25,BIOMARCADORES!$G$7),""))</f>
        <v/>
      </c>
    </row>
    <row r="26" spans="1:11" ht="28.5" customHeight="1">
      <c r="A26" s="37" t="s">
        <v>4609</v>
      </c>
      <c r="B26" s="37" t="s">
        <v>309</v>
      </c>
      <c r="C26" s="37" t="s">
        <v>4610</v>
      </c>
      <c r="D26" s="37" t="s">
        <v>4611</v>
      </c>
      <c r="E26" s="37" t="s">
        <v>4612</v>
      </c>
      <c r="F26" s="37" t="s">
        <v>4613</v>
      </c>
      <c r="G26" s="37" t="s">
        <v>4614</v>
      </c>
      <c r="H26" s="37" t="s">
        <v>4615</v>
      </c>
      <c r="I26" s="37" t="s">
        <v>655</v>
      </c>
      <c r="J26" s="37" t="s">
        <v>673</v>
      </c>
      <c r="K26" t="str">
        <f>IF($B26="","",IF($B26=BIOMARCADORES!$G$7,COUNTIF($B$2:$B26,BIOMARCADORES!$G$7),""))</f>
        <v/>
      </c>
    </row>
    <row r="27" spans="1:11" ht="28.5" customHeight="1">
      <c r="A27" s="37" t="s">
        <v>4616</v>
      </c>
      <c r="B27" s="37" t="s">
        <v>309</v>
      </c>
      <c r="C27" s="37" t="s">
        <v>4617</v>
      </c>
      <c r="D27" s="37" t="s">
        <v>4565</v>
      </c>
      <c r="E27" s="37" t="s">
        <v>4618</v>
      </c>
      <c r="F27" s="37" t="s">
        <v>4572</v>
      </c>
      <c r="G27" s="37" t="s">
        <v>4619</v>
      </c>
      <c r="H27" s="37" t="s">
        <v>4620</v>
      </c>
      <c r="I27" s="37" t="s">
        <v>655</v>
      </c>
      <c r="J27" s="37" t="s">
        <v>673</v>
      </c>
      <c r="K27" t="str">
        <f>IF($B27="","",IF($B27=BIOMARCADORES!$G$7,COUNTIF($B$2:$B27,BIOMARCADORES!$G$7),""))</f>
        <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70"/>
  <sheetViews>
    <sheetView workbookViewId="0"/>
  </sheetViews>
  <sheetFormatPr baseColWidth="10" defaultColWidth="9" defaultRowHeight="14.25"/>
  <cols>
    <col min="1" max="1" width="18" style="30" customWidth="1"/>
    <col min="2" max="3" width="16" style="30" customWidth="1"/>
    <col min="4" max="5" width="42" customWidth="1"/>
    <col min="6" max="10" width="42" style="30" customWidth="1"/>
    <col min="11" max="12" width="24" style="30" customWidth="1"/>
    <col min="13" max="13" width="24" customWidth="1"/>
    <col min="15" max="18" width="19" customWidth="1"/>
  </cols>
  <sheetData>
    <row r="1" spans="1:18" ht="15" customHeight="1">
      <c r="A1" s="142" t="s">
        <v>6128</v>
      </c>
      <c r="B1" s="142" t="s">
        <v>2893</v>
      </c>
      <c r="C1" s="142" t="s">
        <v>661</v>
      </c>
      <c r="D1" s="142" t="s">
        <v>7340</v>
      </c>
      <c r="E1" s="142" t="s">
        <v>7341</v>
      </c>
      <c r="F1" s="142" t="s">
        <v>200</v>
      </c>
      <c r="G1" s="142" t="s">
        <v>7342</v>
      </c>
      <c r="H1" s="142" t="s">
        <v>7343</v>
      </c>
      <c r="I1" s="142" t="s">
        <v>7344</v>
      </c>
      <c r="J1" s="142" t="s">
        <v>7345</v>
      </c>
      <c r="K1" s="142" t="s">
        <v>158</v>
      </c>
      <c r="L1" s="142" t="s">
        <v>2947</v>
      </c>
      <c r="M1" s="142" t="s">
        <v>7346</v>
      </c>
      <c r="O1" s="144" t="s">
        <v>2893</v>
      </c>
      <c r="P1" s="144" t="s">
        <v>6149</v>
      </c>
      <c r="Q1" s="144" t="s">
        <v>6139</v>
      </c>
      <c r="R1" s="144" t="s">
        <v>6201</v>
      </c>
    </row>
    <row r="2" spans="1:18" ht="42.75" customHeight="1">
      <c r="A2" s="129" t="s">
        <v>7271</v>
      </c>
      <c r="B2" s="129" t="s">
        <v>225</v>
      </c>
      <c r="C2" s="129" t="s">
        <v>6149</v>
      </c>
      <c r="D2" s="129" t="s">
        <v>7347</v>
      </c>
      <c r="E2" s="129" t="s">
        <v>7348</v>
      </c>
      <c r="F2" s="129" t="s">
        <v>7349</v>
      </c>
      <c r="G2" s="129" t="s">
        <v>7350</v>
      </c>
      <c r="H2" s="129" t="s">
        <v>7351</v>
      </c>
      <c r="I2" s="129" t="s">
        <v>7352</v>
      </c>
      <c r="J2" s="129" t="s">
        <v>7353</v>
      </c>
      <c r="K2" s="129" t="s">
        <v>483</v>
      </c>
      <c r="L2" s="129" t="s">
        <v>7354</v>
      </c>
      <c r="M2" s="129" t="s">
        <v>7355</v>
      </c>
      <c r="O2" s="143" t="s">
        <v>225</v>
      </c>
      <c r="P2" s="143" t="s">
        <v>7271</v>
      </c>
      <c r="Q2" s="143" t="s">
        <v>7272</v>
      </c>
      <c r="R2" s="143" t="s">
        <v>7273</v>
      </c>
    </row>
    <row r="3" spans="1:18" ht="28.5" customHeight="1">
      <c r="A3" s="129" t="s">
        <v>7272</v>
      </c>
      <c r="B3" s="129" t="s">
        <v>225</v>
      </c>
      <c r="C3" s="129" t="s">
        <v>6139</v>
      </c>
      <c r="D3" s="129" t="s">
        <v>7356</v>
      </c>
      <c r="E3" s="129" t="s">
        <v>7357</v>
      </c>
      <c r="F3" s="129" t="s">
        <v>7358</v>
      </c>
      <c r="G3" s="129" t="s">
        <v>7359</v>
      </c>
      <c r="H3" s="129" t="s">
        <v>7360</v>
      </c>
      <c r="I3" s="129" t="s">
        <v>7361</v>
      </c>
      <c r="J3" s="129" t="s">
        <v>7362</v>
      </c>
      <c r="K3" s="129" t="s">
        <v>483</v>
      </c>
      <c r="L3" s="129" t="s">
        <v>7354</v>
      </c>
      <c r="M3" s="129" t="s">
        <v>7363</v>
      </c>
      <c r="O3" s="143" t="s">
        <v>233</v>
      </c>
      <c r="P3" s="143" t="s">
        <v>7274</v>
      </c>
      <c r="Q3" s="143" t="s">
        <v>7275</v>
      </c>
      <c r="R3" s="143" t="s">
        <v>7276</v>
      </c>
    </row>
    <row r="4" spans="1:18" ht="28.5" customHeight="1">
      <c r="A4" s="129" t="s">
        <v>7273</v>
      </c>
      <c r="B4" s="129" t="s">
        <v>225</v>
      </c>
      <c r="C4" s="129" t="s">
        <v>6201</v>
      </c>
      <c r="D4" s="129" t="s">
        <v>7364</v>
      </c>
      <c r="E4" s="129" t="s">
        <v>7365</v>
      </c>
      <c r="F4" s="129" t="s">
        <v>7366</v>
      </c>
      <c r="G4" s="129" t="s">
        <v>7367</v>
      </c>
      <c r="H4" s="129" t="s">
        <v>7368</v>
      </c>
      <c r="I4" s="129" t="s">
        <v>7369</v>
      </c>
      <c r="J4" s="129" t="s">
        <v>7370</v>
      </c>
      <c r="K4" s="129" t="s">
        <v>483</v>
      </c>
      <c r="L4" s="129" t="s">
        <v>7354</v>
      </c>
      <c r="M4" s="129" t="s">
        <v>7371</v>
      </c>
      <c r="O4" s="143" t="s">
        <v>236</v>
      </c>
      <c r="P4" s="143" t="s">
        <v>7277</v>
      </c>
      <c r="Q4" s="143" t="s">
        <v>7278</v>
      </c>
      <c r="R4" s="143" t="s">
        <v>7279</v>
      </c>
    </row>
    <row r="5" spans="1:18" ht="28.5" customHeight="1">
      <c r="A5" s="129" t="s">
        <v>7274</v>
      </c>
      <c r="B5" s="129" t="s">
        <v>233</v>
      </c>
      <c r="C5" s="129" t="s">
        <v>6149</v>
      </c>
      <c r="D5" s="129" t="s">
        <v>7372</v>
      </c>
      <c r="E5" s="129" t="s">
        <v>7373</v>
      </c>
      <c r="F5" s="129" t="s">
        <v>7374</v>
      </c>
      <c r="G5" s="129" t="s">
        <v>7375</v>
      </c>
      <c r="H5" s="129" t="s">
        <v>7376</v>
      </c>
      <c r="I5" s="129" t="s">
        <v>7377</v>
      </c>
      <c r="J5" s="129" t="s">
        <v>7378</v>
      </c>
      <c r="K5" s="129" t="s">
        <v>491</v>
      </c>
      <c r="L5" s="129" t="s">
        <v>7354</v>
      </c>
      <c r="M5" s="129" t="s">
        <v>7379</v>
      </c>
      <c r="O5" s="143" t="s">
        <v>239</v>
      </c>
      <c r="P5" s="143" t="s">
        <v>7280</v>
      </c>
      <c r="Q5" s="143" t="s">
        <v>7281</v>
      </c>
      <c r="R5" s="143" t="s">
        <v>7282</v>
      </c>
    </row>
    <row r="6" spans="1:18" ht="28.5" customHeight="1">
      <c r="A6" s="129" t="s">
        <v>7275</v>
      </c>
      <c r="B6" s="129" t="s">
        <v>233</v>
      </c>
      <c r="C6" s="129" t="s">
        <v>6139</v>
      </c>
      <c r="D6" s="129" t="s">
        <v>7380</v>
      </c>
      <c r="E6" s="129" t="s">
        <v>7381</v>
      </c>
      <c r="F6" s="129" t="s">
        <v>7382</v>
      </c>
      <c r="G6" s="129" t="s">
        <v>7383</v>
      </c>
      <c r="H6" s="129" t="s">
        <v>7384</v>
      </c>
      <c r="I6" s="129" t="s">
        <v>7385</v>
      </c>
      <c r="J6" s="129" t="s">
        <v>7386</v>
      </c>
      <c r="K6" s="129" t="s">
        <v>491</v>
      </c>
      <c r="L6" s="129" t="s">
        <v>7354</v>
      </c>
      <c r="M6" s="129" t="s">
        <v>7387</v>
      </c>
      <c r="O6" s="143" t="s">
        <v>243</v>
      </c>
      <c r="P6" s="143" t="s">
        <v>7283</v>
      </c>
      <c r="Q6" s="143" t="s">
        <v>7284</v>
      </c>
      <c r="R6" s="143" t="s">
        <v>7285</v>
      </c>
    </row>
    <row r="7" spans="1:18" ht="42.75" customHeight="1">
      <c r="A7" s="129" t="s">
        <v>7276</v>
      </c>
      <c r="B7" s="129" t="s">
        <v>233</v>
      </c>
      <c r="C7" s="129" t="s">
        <v>6201</v>
      </c>
      <c r="D7" s="129" t="s">
        <v>7388</v>
      </c>
      <c r="E7" s="129" t="s">
        <v>7389</v>
      </c>
      <c r="F7" s="129" t="s">
        <v>7390</v>
      </c>
      <c r="G7" s="129" t="s">
        <v>7391</v>
      </c>
      <c r="H7" s="129" t="s">
        <v>7392</v>
      </c>
      <c r="I7" s="129" t="s">
        <v>7393</v>
      </c>
      <c r="J7" s="129" t="s">
        <v>7394</v>
      </c>
      <c r="K7" s="129" t="s">
        <v>491</v>
      </c>
      <c r="L7" s="129" t="s">
        <v>7354</v>
      </c>
      <c r="M7" s="129" t="s">
        <v>7395</v>
      </c>
      <c r="O7" s="143" t="s">
        <v>246</v>
      </c>
      <c r="P7" s="143" t="s">
        <v>7286</v>
      </c>
      <c r="Q7" s="143" t="s">
        <v>7287</v>
      </c>
      <c r="R7" s="143" t="s">
        <v>7288</v>
      </c>
    </row>
    <row r="8" spans="1:18" ht="42.75" customHeight="1">
      <c r="A8" s="129" t="s">
        <v>7277</v>
      </c>
      <c r="B8" s="129" t="s">
        <v>236</v>
      </c>
      <c r="C8" s="129" t="s">
        <v>6149</v>
      </c>
      <c r="D8" s="129" t="s">
        <v>7396</v>
      </c>
      <c r="E8" s="129" t="s">
        <v>7397</v>
      </c>
      <c r="F8" s="129" t="s">
        <v>7398</v>
      </c>
      <c r="G8" s="129" t="s">
        <v>7399</v>
      </c>
      <c r="H8" s="129" t="s">
        <v>7400</v>
      </c>
      <c r="I8" s="129" t="s">
        <v>7401</v>
      </c>
      <c r="J8" s="129" t="s">
        <v>7402</v>
      </c>
      <c r="K8" s="129" t="s">
        <v>499</v>
      </c>
      <c r="L8" s="129" t="s">
        <v>7354</v>
      </c>
      <c r="M8" s="129" t="s">
        <v>7403</v>
      </c>
      <c r="O8" s="143" t="s">
        <v>250</v>
      </c>
      <c r="P8" s="143" t="s">
        <v>7289</v>
      </c>
      <c r="Q8" s="143" t="s">
        <v>7290</v>
      </c>
      <c r="R8" s="143" t="s">
        <v>7291</v>
      </c>
    </row>
    <row r="9" spans="1:18" ht="28.5" customHeight="1">
      <c r="A9" s="129" t="s">
        <v>7278</v>
      </c>
      <c r="B9" s="129" t="s">
        <v>236</v>
      </c>
      <c r="C9" s="129" t="s">
        <v>6139</v>
      </c>
      <c r="D9" s="129" t="s">
        <v>7404</v>
      </c>
      <c r="E9" s="129" t="s">
        <v>7405</v>
      </c>
      <c r="F9" s="129" t="s">
        <v>7406</v>
      </c>
      <c r="G9" s="129" t="s">
        <v>7407</v>
      </c>
      <c r="H9" s="129" t="s">
        <v>7408</v>
      </c>
      <c r="I9" s="129" t="s">
        <v>7409</v>
      </c>
      <c r="J9" s="129" t="s">
        <v>7410</v>
      </c>
      <c r="K9" s="129" t="s">
        <v>499</v>
      </c>
      <c r="L9" s="129" t="s">
        <v>7354</v>
      </c>
      <c r="M9" s="129" t="s">
        <v>7411</v>
      </c>
      <c r="O9" s="143" t="s">
        <v>255</v>
      </c>
      <c r="P9" s="143" t="s">
        <v>7292</v>
      </c>
      <c r="Q9" s="143" t="s">
        <v>7293</v>
      </c>
      <c r="R9" s="143" t="s">
        <v>7294</v>
      </c>
    </row>
    <row r="10" spans="1:18" ht="28.5" customHeight="1">
      <c r="A10" s="129" t="s">
        <v>7279</v>
      </c>
      <c r="B10" s="129" t="s">
        <v>236</v>
      </c>
      <c r="C10" s="129" t="s">
        <v>6201</v>
      </c>
      <c r="D10" s="129" t="s">
        <v>7412</v>
      </c>
      <c r="E10" s="129" t="s">
        <v>7413</v>
      </c>
      <c r="F10" s="129" t="s">
        <v>7414</v>
      </c>
      <c r="G10" s="129" t="s">
        <v>7415</v>
      </c>
      <c r="H10" s="129" t="s">
        <v>7416</v>
      </c>
      <c r="I10" s="129" t="s">
        <v>7417</v>
      </c>
      <c r="J10" s="129" t="s">
        <v>7418</v>
      </c>
      <c r="K10" s="129" t="s">
        <v>499</v>
      </c>
      <c r="L10" s="129" t="s">
        <v>7354</v>
      </c>
      <c r="M10" s="129" t="s">
        <v>7419</v>
      </c>
      <c r="O10" s="143" t="s">
        <v>258</v>
      </c>
      <c r="P10" s="143" t="s">
        <v>7295</v>
      </c>
      <c r="Q10" s="143" t="s">
        <v>7296</v>
      </c>
      <c r="R10" s="143" t="s">
        <v>7297</v>
      </c>
    </row>
    <row r="11" spans="1:18" ht="28.5" customHeight="1">
      <c r="A11" s="129" t="s">
        <v>7280</v>
      </c>
      <c r="B11" s="129" t="s">
        <v>239</v>
      </c>
      <c r="C11" s="129" t="s">
        <v>6149</v>
      </c>
      <c r="D11" s="129" t="s">
        <v>7420</v>
      </c>
      <c r="E11" s="129" t="s">
        <v>7421</v>
      </c>
      <c r="F11" s="129" t="s">
        <v>7422</v>
      </c>
      <c r="G11" s="129" t="s">
        <v>7423</v>
      </c>
      <c r="H11" s="129" t="s">
        <v>7424</v>
      </c>
      <c r="I11" s="129" t="s">
        <v>7425</v>
      </c>
      <c r="J11" s="129" t="s">
        <v>7426</v>
      </c>
      <c r="K11" s="129" t="s">
        <v>507</v>
      </c>
      <c r="L11" s="129" t="s">
        <v>7354</v>
      </c>
      <c r="M11" s="129" t="s">
        <v>7427</v>
      </c>
      <c r="O11" s="143" t="s">
        <v>262</v>
      </c>
      <c r="P11" s="143" t="s">
        <v>7298</v>
      </c>
      <c r="Q11" s="143" t="s">
        <v>7299</v>
      </c>
      <c r="R11" s="143" t="s">
        <v>7300</v>
      </c>
    </row>
    <row r="12" spans="1:18" ht="42.75" customHeight="1">
      <c r="A12" s="129" t="s">
        <v>7281</v>
      </c>
      <c r="B12" s="129" t="s">
        <v>239</v>
      </c>
      <c r="C12" s="129" t="s">
        <v>6139</v>
      </c>
      <c r="D12" s="129" t="s">
        <v>7428</v>
      </c>
      <c r="E12" s="129" t="s">
        <v>7429</v>
      </c>
      <c r="F12" s="129" t="s">
        <v>7430</v>
      </c>
      <c r="G12" s="129" t="s">
        <v>7431</v>
      </c>
      <c r="H12" s="129" t="s">
        <v>7432</v>
      </c>
      <c r="I12" s="129" t="s">
        <v>7433</v>
      </c>
      <c r="J12" s="129" t="s">
        <v>7434</v>
      </c>
      <c r="K12" s="129" t="s">
        <v>507</v>
      </c>
      <c r="L12" s="129" t="s">
        <v>7354</v>
      </c>
      <c r="M12" s="129" t="s">
        <v>7435</v>
      </c>
      <c r="O12" s="143" t="s">
        <v>266</v>
      </c>
      <c r="P12" s="143" t="s">
        <v>7301</v>
      </c>
      <c r="Q12" s="143" t="s">
        <v>7302</v>
      </c>
      <c r="R12" s="143" t="s">
        <v>7303</v>
      </c>
    </row>
    <row r="13" spans="1:18" ht="28.5" customHeight="1">
      <c r="A13" s="129" t="s">
        <v>7282</v>
      </c>
      <c r="B13" s="129" t="s">
        <v>239</v>
      </c>
      <c r="C13" s="129" t="s">
        <v>6201</v>
      </c>
      <c r="D13" s="129" t="s">
        <v>7436</v>
      </c>
      <c r="E13" s="129" t="s">
        <v>7437</v>
      </c>
      <c r="F13" s="129" t="s">
        <v>7438</v>
      </c>
      <c r="G13" s="129" t="s">
        <v>7439</v>
      </c>
      <c r="H13" s="129" t="s">
        <v>7440</v>
      </c>
      <c r="I13" s="129" t="s">
        <v>7441</v>
      </c>
      <c r="J13" s="129" t="s">
        <v>7442</v>
      </c>
      <c r="K13" s="129" t="s">
        <v>507</v>
      </c>
      <c r="L13" s="129" t="s">
        <v>7354</v>
      </c>
      <c r="M13" s="129" t="s">
        <v>7443</v>
      </c>
      <c r="O13" s="143" t="s">
        <v>272</v>
      </c>
      <c r="P13" s="143" t="s">
        <v>7304</v>
      </c>
      <c r="Q13" s="143" t="s">
        <v>7305</v>
      </c>
      <c r="R13" s="143" t="s">
        <v>7306</v>
      </c>
    </row>
    <row r="14" spans="1:18" ht="28.5" customHeight="1">
      <c r="A14" s="129" t="s">
        <v>7283</v>
      </c>
      <c r="B14" s="129" t="s">
        <v>243</v>
      </c>
      <c r="C14" s="129" t="s">
        <v>6149</v>
      </c>
      <c r="D14" s="129" t="s">
        <v>7444</v>
      </c>
      <c r="E14" s="129" t="s">
        <v>7445</v>
      </c>
      <c r="F14" s="129" t="s">
        <v>7446</v>
      </c>
      <c r="G14" s="129" t="s">
        <v>7447</v>
      </c>
      <c r="H14" s="129" t="s">
        <v>7448</v>
      </c>
      <c r="I14" s="129" t="s">
        <v>7449</v>
      </c>
      <c r="J14" s="129" t="s">
        <v>7450</v>
      </c>
      <c r="K14" s="129" t="s">
        <v>514</v>
      </c>
      <c r="L14" s="129" t="s">
        <v>7354</v>
      </c>
      <c r="M14" s="129" t="s">
        <v>7451</v>
      </c>
      <c r="O14" s="143" t="s">
        <v>275</v>
      </c>
      <c r="P14" s="143" t="s">
        <v>7307</v>
      </c>
      <c r="Q14" s="143" t="s">
        <v>7308</v>
      </c>
      <c r="R14" s="143" t="s">
        <v>7309</v>
      </c>
    </row>
    <row r="15" spans="1:18" ht="42.75" customHeight="1">
      <c r="A15" s="129" t="s">
        <v>7284</v>
      </c>
      <c r="B15" s="129" t="s">
        <v>243</v>
      </c>
      <c r="C15" s="129" t="s">
        <v>6139</v>
      </c>
      <c r="D15" s="129" t="s">
        <v>7452</v>
      </c>
      <c r="E15" s="129" t="s">
        <v>7453</v>
      </c>
      <c r="F15" s="129" t="s">
        <v>7454</v>
      </c>
      <c r="G15" s="129" t="s">
        <v>7455</v>
      </c>
      <c r="H15" s="129" t="s">
        <v>7456</v>
      </c>
      <c r="I15" s="129" t="s">
        <v>7457</v>
      </c>
      <c r="J15" s="129" t="s">
        <v>7458</v>
      </c>
      <c r="K15" s="129" t="s">
        <v>514</v>
      </c>
      <c r="L15" s="129" t="s">
        <v>7354</v>
      </c>
      <c r="M15" s="129" t="s">
        <v>7459</v>
      </c>
      <c r="O15" s="143" t="s">
        <v>278</v>
      </c>
      <c r="P15" s="143" t="s">
        <v>7310</v>
      </c>
      <c r="Q15" s="143" t="s">
        <v>7311</v>
      </c>
      <c r="R15" s="143" t="s">
        <v>7312</v>
      </c>
    </row>
    <row r="16" spans="1:18" ht="28.5" customHeight="1">
      <c r="A16" s="129" t="s">
        <v>7285</v>
      </c>
      <c r="B16" s="129" t="s">
        <v>243</v>
      </c>
      <c r="C16" s="129" t="s">
        <v>6201</v>
      </c>
      <c r="D16" s="129" t="s">
        <v>7460</v>
      </c>
      <c r="E16" s="129" t="s">
        <v>7461</v>
      </c>
      <c r="F16" s="129" t="s">
        <v>7462</v>
      </c>
      <c r="G16" s="129" t="s">
        <v>7463</v>
      </c>
      <c r="H16" s="129" t="s">
        <v>7464</v>
      </c>
      <c r="I16" s="129" t="s">
        <v>7465</v>
      </c>
      <c r="J16" s="129" t="s">
        <v>7466</v>
      </c>
      <c r="K16" s="129" t="s">
        <v>514</v>
      </c>
      <c r="L16" s="129" t="s">
        <v>7354</v>
      </c>
      <c r="M16" s="129" t="s">
        <v>7467</v>
      </c>
      <c r="O16" s="143" t="s">
        <v>280</v>
      </c>
      <c r="P16" s="143" t="s">
        <v>7313</v>
      </c>
      <c r="Q16" s="143" t="s">
        <v>7314</v>
      </c>
      <c r="R16" s="143" t="s">
        <v>7315</v>
      </c>
    </row>
    <row r="17" spans="1:18" ht="28.5" customHeight="1">
      <c r="A17" s="129" t="s">
        <v>7286</v>
      </c>
      <c r="B17" s="129" t="s">
        <v>246</v>
      </c>
      <c r="C17" s="129" t="s">
        <v>6149</v>
      </c>
      <c r="D17" s="129" t="s">
        <v>7468</v>
      </c>
      <c r="E17" s="129" t="s">
        <v>7469</v>
      </c>
      <c r="F17" s="129" t="s">
        <v>7470</v>
      </c>
      <c r="G17" s="129" t="s">
        <v>7471</v>
      </c>
      <c r="H17" s="129" t="s">
        <v>7472</v>
      </c>
      <c r="I17" s="129" t="s">
        <v>7473</v>
      </c>
      <c r="J17" s="129" t="s">
        <v>7474</v>
      </c>
      <c r="K17" s="129" t="s">
        <v>522</v>
      </c>
      <c r="L17" s="129" t="s">
        <v>7354</v>
      </c>
      <c r="M17" s="129" t="s">
        <v>7475</v>
      </c>
      <c r="O17" s="143" t="s">
        <v>285</v>
      </c>
      <c r="P17" s="143" t="s">
        <v>7316</v>
      </c>
      <c r="Q17" s="143" t="s">
        <v>7317</v>
      </c>
      <c r="R17" s="143" t="s">
        <v>7318</v>
      </c>
    </row>
    <row r="18" spans="1:18" ht="28.5" customHeight="1">
      <c r="A18" s="129" t="s">
        <v>7287</v>
      </c>
      <c r="B18" s="129" t="s">
        <v>246</v>
      </c>
      <c r="C18" s="129" t="s">
        <v>6139</v>
      </c>
      <c r="D18" s="129" t="s">
        <v>7476</v>
      </c>
      <c r="E18" s="129" t="s">
        <v>7477</v>
      </c>
      <c r="F18" s="129" t="s">
        <v>7478</v>
      </c>
      <c r="G18" s="129" t="s">
        <v>7479</v>
      </c>
      <c r="H18" s="129" t="s">
        <v>7480</v>
      </c>
      <c r="I18" s="129" t="s">
        <v>7481</v>
      </c>
      <c r="J18" s="129" t="s">
        <v>7482</v>
      </c>
      <c r="K18" s="129" t="s">
        <v>522</v>
      </c>
      <c r="L18" s="129" t="s">
        <v>7354</v>
      </c>
      <c r="M18" s="129" t="s">
        <v>7483</v>
      </c>
      <c r="O18" s="143" t="s">
        <v>289</v>
      </c>
      <c r="P18" s="143" t="s">
        <v>7319</v>
      </c>
      <c r="Q18" s="143" t="s">
        <v>7320</v>
      </c>
      <c r="R18" s="143" t="s">
        <v>7321</v>
      </c>
    </row>
    <row r="19" spans="1:18" ht="28.5" customHeight="1">
      <c r="A19" s="129" t="s">
        <v>7288</v>
      </c>
      <c r="B19" s="129" t="s">
        <v>246</v>
      </c>
      <c r="C19" s="129" t="s">
        <v>6201</v>
      </c>
      <c r="D19" s="129" t="s">
        <v>7484</v>
      </c>
      <c r="E19" s="129" t="s">
        <v>7485</v>
      </c>
      <c r="F19" s="129" t="s">
        <v>7486</v>
      </c>
      <c r="G19" s="129" t="s">
        <v>7487</v>
      </c>
      <c r="H19" s="129" t="s">
        <v>7488</v>
      </c>
      <c r="I19" s="129" t="s">
        <v>7489</v>
      </c>
      <c r="J19" s="129" t="s">
        <v>7490</v>
      </c>
      <c r="K19" s="129" t="s">
        <v>522</v>
      </c>
      <c r="L19" s="129" t="s">
        <v>7354</v>
      </c>
      <c r="M19" s="129" t="s">
        <v>7491</v>
      </c>
      <c r="O19" s="143" t="s">
        <v>292</v>
      </c>
      <c r="P19" s="143" t="s">
        <v>7322</v>
      </c>
      <c r="Q19" s="143" t="s">
        <v>7323</v>
      </c>
      <c r="R19" s="143" t="s">
        <v>7324</v>
      </c>
    </row>
    <row r="20" spans="1:18" ht="42.75" customHeight="1">
      <c r="A20" s="129" t="s">
        <v>7289</v>
      </c>
      <c r="B20" s="129" t="s">
        <v>250</v>
      </c>
      <c r="C20" s="129" t="s">
        <v>6149</v>
      </c>
      <c r="D20" s="129" t="s">
        <v>7492</v>
      </c>
      <c r="E20" s="129" t="s">
        <v>7493</v>
      </c>
      <c r="F20" s="129" t="s">
        <v>7494</v>
      </c>
      <c r="G20" s="129" t="s">
        <v>7447</v>
      </c>
      <c r="H20" s="129" t="s">
        <v>7495</v>
      </c>
      <c r="I20" s="129" t="s">
        <v>7496</v>
      </c>
      <c r="J20" s="129" t="s">
        <v>7497</v>
      </c>
      <c r="K20" s="129" t="s">
        <v>530</v>
      </c>
      <c r="L20" s="129" t="s">
        <v>7354</v>
      </c>
      <c r="M20" s="129" t="s">
        <v>7498</v>
      </c>
      <c r="O20" s="143" t="s">
        <v>296</v>
      </c>
      <c r="P20" s="143" t="s">
        <v>7325</v>
      </c>
      <c r="Q20" s="143" t="s">
        <v>7326</v>
      </c>
      <c r="R20" s="143" t="s">
        <v>7327</v>
      </c>
    </row>
    <row r="21" spans="1:18" ht="28.5" customHeight="1">
      <c r="A21" s="129" t="s">
        <v>7290</v>
      </c>
      <c r="B21" s="129" t="s">
        <v>250</v>
      </c>
      <c r="C21" s="129" t="s">
        <v>6139</v>
      </c>
      <c r="D21" s="129" t="s">
        <v>7499</v>
      </c>
      <c r="E21" s="129" t="s">
        <v>7500</v>
      </c>
      <c r="F21" s="129" t="s">
        <v>7501</v>
      </c>
      <c r="G21" s="129" t="s">
        <v>7502</v>
      </c>
      <c r="H21" s="129" t="s">
        <v>7503</v>
      </c>
      <c r="I21" s="129" t="s">
        <v>7504</v>
      </c>
      <c r="J21" s="129" t="s">
        <v>7505</v>
      </c>
      <c r="K21" s="129" t="s">
        <v>530</v>
      </c>
      <c r="L21" s="129" t="s">
        <v>7354</v>
      </c>
      <c r="M21" s="129" t="s">
        <v>7506</v>
      </c>
      <c r="O21" s="143" t="s">
        <v>299</v>
      </c>
      <c r="P21" s="143" t="s">
        <v>7328</v>
      </c>
      <c r="Q21" s="143" t="s">
        <v>7329</v>
      </c>
      <c r="R21" s="143" t="s">
        <v>7330</v>
      </c>
    </row>
    <row r="22" spans="1:18" ht="42.75" customHeight="1">
      <c r="A22" s="129" t="s">
        <v>7291</v>
      </c>
      <c r="B22" s="129" t="s">
        <v>250</v>
      </c>
      <c r="C22" s="129" t="s">
        <v>6201</v>
      </c>
      <c r="D22" s="129" t="s">
        <v>7507</v>
      </c>
      <c r="E22" s="129" t="s">
        <v>7508</v>
      </c>
      <c r="F22" s="129" t="s">
        <v>7509</v>
      </c>
      <c r="G22" s="129" t="s">
        <v>7510</v>
      </c>
      <c r="H22" s="129" t="s">
        <v>7511</v>
      </c>
      <c r="I22" s="129" t="s">
        <v>7512</v>
      </c>
      <c r="J22" s="129" t="s">
        <v>7513</v>
      </c>
      <c r="K22" s="129" t="s">
        <v>530</v>
      </c>
      <c r="L22" s="129" t="s">
        <v>7354</v>
      </c>
      <c r="M22" s="129" t="s">
        <v>7514</v>
      </c>
      <c r="O22" s="143" t="s">
        <v>302</v>
      </c>
      <c r="P22" s="143" t="s">
        <v>7331</v>
      </c>
      <c r="Q22" s="143" t="s">
        <v>7332</v>
      </c>
      <c r="R22" s="143" t="s">
        <v>7333</v>
      </c>
    </row>
    <row r="23" spans="1:18" ht="28.5" customHeight="1">
      <c r="A23" s="129" t="s">
        <v>7292</v>
      </c>
      <c r="B23" s="129" t="s">
        <v>255</v>
      </c>
      <c r="C23" s="129" t="s">
        <v>6149</v>
      </c>
      <c r="D23" s="129" t="s">
        <v>7515</v>
      </c>
      <c r="E23" s="129" t="s">
        <v>7516</v>
      </c>
      <c r="F23" s="129" t="s">
        <v>7517</v>
      </c>
      <c r="G23" s="129" t="s">
        <v>7518</v>
      </c>
      <c r="H23" s="129" t="s">
        <v>7519</v>
      </c>
      <c r="I23" s="129" t="s">
        <v>7520</v>
      </c>
      <c r="J23" s="129" t="s">
        <v>7521</v>
      </c>
      <c r="K23" s="129" t="s">
        <v>538</v>
      </c>
      <c r="L23" s="129" t="s">
        <v>7354</v>
      </c>
      <c r="M23" s="129" t="s">
        <v>7522</v>
      </c>
      <c r="O23" s="143" t="s">
        <v>305</v>
      </c>
      <c r="P23" s="143" t="s">
        <v>7334</v>
      </c>
      <c r="Q23" s="143" t="s">
        <v>7335</v>
      </c>
      <c r="R23" s="143" t="s">
        <v>7254</v>
      </c>
    </row>
    <row r="24" spans="1:18" ht="28.5" customHeight="1">
      <c r="A24" s="129" t="s">
        <v>7293</v>
      </c>
      <c r="B24" s="129" t="s">
        <v>255</v>
      </c>
      <c r="C24" s="129" t="s">
        <v>6139</v>
      </c>
      <c r="D24" s="129" t="s">
        <v>7523</v>
      </c>
      <c r="E24" s="129" t="s">
        <v>7524</v>
      </c>
      <c r="F24" s="129" t="s">
        <v>7525</v>
      </c>
      <c r="G24" s="129" t="s">
        <v>7526</v>
      </c>
      <c r="H24" s="129" t="s">
        <v>7527</v>
      </c>
      <c r="I24" s="129" t="s">
        <v>7528</v>
      </c>
      <c r="J24" s="129" t="s">
        <v>7529</v>
      </c>
      <c r="K24" s="129" t="s">
        <v>538</v>
      </c>
      <c r="L24" s="129" t="s">
        <v>7354</v>
      </c>
      <c r="M24" s="129" t="s">
        <v>7530</v>
      </c>
      <c r="O24" s="143" t="s">
        <v>309</v>
      </c>
      <c r="P24" s="143" t="s">
        <v>7336</v>
      </c>
      <c r="Q24" s="143" t="s">
        <v>7337</v>
      </c>
      <c r="R24" s="143" t="s">
        <v>7338</v>
      </c>
    </row>
    <row r="25" spans="1:18" ht="36">
      <c r="A25" s="129" t="s">
        <v>7294</v>
      </c>
      <c r="B25" s="129" t="s">
        <v>255</v>
      </c>
      <c r="C25" s="129" t="s">
        <v>6201</v>
      </c>
      <c r="D25" s="129" t="s">
        <v>7531</v>
      </c>
      <c r="E25" s="129" t="s">
        <v>7532</v>
      </c>
      <c r="F25" s="129" t="s">
        <v>7533</v>
      </c>
      <c r="G25" s="129" t="s">
        <v>7534</v>
      </c>
      <c r="H25" s="129" t="s">
        <v>7535</v>
      </c>
      <c r="I25" s="129" t="s">
        <v>7536</v>
      </c>
      <c r="J25" s="129" t="s">
        <v>7537</v>
      </c>
      <c r="K25" s="129" t="s">
        <v>538</v>
      </c>
      <c r="L25" s="129" t="s">
        <v>7354</v>
      </c>
      <c r="M25" s="129" t="s">
        <v>7538</v>
      </c>
    </row>
    <row r="26" spans="1:18" ht="36">
      <c r="A26" s="129" t="s">
        <v>7295</v>
      </c>
      <c r="B26" s="129" t="s">
        <v>258</v>
      </c>
      <c r="C26" s="129" t="s">
        <v>6149</v>
      </c>
      <c r="D26" s="129" t="s">
        <v>7539</v>
      </c>
      <c r="E26" s="129" t="s">
        <v>7540</v>
      </c>
      <c r="F26" s="129" t="s">
        <v>7541</v>
      </c>
      <c r="G26" s="129" t="s">
        <v>7447</v>
      </c>
      <c r="H26" s="129" t="s">
        <v>7542</v>
      </c>
      <c r="I26" s="129" t="s">
        <v>7543</v>
      </c>
      <c r="J26" s="129" t="s">
        <v>7544</v>
      </c>
      <c r="K26" s="129" t="s">
        <v>546</v>
      </c>
      <c r="L26" s="129" t="s">
        <v>7354</v>
      </c>
      <c r="M26" s="129" t="s">
        <v>7545</v>
      </c>
    </row>
    <row r="27" spans="1:18" ht="48">
      <c r="A27" s="129" t="s">
        <v>7296</v>
      </c>
      <c r="B27" s="129" t="s">
        <v>258</v>
      </c>
      <c r="C27" s="129" t="s">
        <v>6139</v>
      </c>
      <c r="D27" s="129" t="s">
        <v>7546</v>
      </c>
      <c r="E27" s="129" t="s">
        <v>7547</v>
      </c>
      <c r="F27" s="129" t="s">
        <v>7548</v>
      </c>
      <c r="G27" s="129" t="s">
        <v>7549</v>
      </c>
      <c r="H27" s="129" t="s">
        <v>7550</v>
      </c>
      <c r="I27" s="129" t="s">
        <v>7551</v>
      </c>
      <c r="J27" s="129" t="s">
        <v>7552</v>
      </c>
      <c r="K27" s="129" t="s">
        <v>546</v>
      </c>
      <c r="L27" s="129" t="s">
        <v>7354</v>
      </c>
      <c r="M27" s="129" t="s">
        <v>7553</v>
      </c>
    </row>
    <row r="28" spans="1:18" ht="36">
      <c r="A28" s="129" t="s">
        <v>7297</v>
      </c>
      <c r="B28" s="129" t="s">
        <v>258</v>
      </c>
      <c r="C28" s="129" t="s">
        <v>6201</v>
      </c>
      <c r="D28" s="129" t="s">
        <v>7554</v>
      </c>
      <c r="E28" s="129" t="s">
        <v>7555</v>
      </c>
      <c r="F28" s="129" t="s">
        <v>7556</v>
      </c>
      <c r="G28" s="129" t="s">
        <v>7557</v>
      </c>
      <c r="H28" s="129" t="s">
        <v>7558</v>
      </c>
      <c r="I28" s="129" t="s">
        <v>7559</v>
      </c>
      <c r="J28" s="129" t="s">
        <v>7560</v>
      </c>
      <c r="K28" s="129" t="s">
        <v>546</v>
      </c>
      <c r="L28" s="129" t="s">
        <v>7354</v>
      </c>
      <c r="M28" s="129" t="s">
        <v>7561</v>
      </c>
    </row>
    <row r="29" spans="1:18" ht="36">
      <c r="A29" s="129" t="s">
        <v>7298</v>
      </c>
      <c r="B29" s="129" t="s">
        <v>262</v>
      </c>
      <c r="C29" s="129" t="s">
        <v>6149</v>
      </c>
      <c r="D29" s="129" t="s">
        <v>7562</v>
      </c>
      <c r="E29" s="129" t="s">
        <v>7563</v>
      </c>
      <c r="F29" s="129" t="s">
        <v>7564</v>
      </c>
      <c r="G29" s="129" t="s">
        <v>7565</v>
      </c>
      <c r="H29" s="129" t="s">
        <v>7566</v>
      </c>
      <c r="I29" s="129" t="s">
        <v>7567</v>
      </c>
      <c r="J29" s="129" t="s">
        <v>7568</v>
      </c>
      <c r="K29" s="129" t="s">
        <v>772</v>
      </c>
      <c r="L29" s="129" t="s">
        <v>7354</v>
      </c>
      <c r="M29" s="129" t="s">
        <v>7569</v>
      </c>
    </row>
    <row r="30" spans="1:18" ht="36">
      <c r="A30" s="129" t="s">
        <v>7299</v>
      </c>
      <c r="B30" s="129" t="s">
        <v>262</v>
      </c>
      <c r="C30" s="129" t="s">
        <v>6139</v>
      </c>
      <c r="D30" s="129" t="s">
        <v>7570</v>
      </c>
      <c r="E30" s="129" t="s">
        <v>7571</v>
      </c>
      <c r="F30" s="129" t="s">
        <v>7533</v>
      </c>
      <c r="G30" s="129" t="s">
        <v>7572</v>
      </c>
      <c r="H30" s="129" t="s">
        <v>7573</v>
      </c>
      <c r="I30" s="129" t="s">
        <v>7574</v>
      </c>
      <c r="J30" s="129" t="s">
        <v>7575</v>
      </c>
      <c r="K30" s="129" t="s">
        <v>772</v>
      </c>
      <c r="L30" s="129" t="s">
        <v>7354</v>
      </c>
      <c r="M30" s="129" t="s">
        <v>7576</v>
      </c>
    </row>
    <row r="31" spans="1:18" ht="36">
      <c r="A31" s="129" t="s">
        <v>7300</v>
      </c>
      <c r="B31" s="129" t="s">
        <v>262</v>
      </c>
      <c r="C31" s="129" t="s">
        <v>6201</v>
      </c>
      <c r="D31" s="129" t="s">
        <v>7577</v>
      </c>
      <c r="E31" s="129" t="s">
        <v>7578</v>
      </c>
      <c r="F31" s="129" t="s">
        <v>7579</v>
      </c>
      <c r="G31" s="129" t="s">
        <v>7580</v>
      </c>
      <c r="H31" s="129" t="s">
        <v>7581</v>
      </c>
      <c r="I31" s="129" t="s">
        <v>7582</v>
      </c>
      <c r="J31" s="129" t="s">
        <v>7583</v>
      </c>
      <c r="K31" s="129" t="s">
        <v>772</v>
      </c>
      <c r="L31" s="129" t="s">
        <v>7354</v>
      </c>
      <c r="M31" s="129" t="s">
        <v>7584</v>
      </c>
    </row>
    <row r="32" spans="1:18" ht="36">
      <c r="A32" s="129" t="s">
        <v>7301</v>
      </c>
      <c r="B32" s="129" t="s">
        <v>266</v>
      </c>
      <c r="C32" s="129" t="s">
        <v>6149</v>
      </c>
      <c r="D32" s="129" t="s">
        <v>7585</v>
      </c>
      <c r="E32" s="129" t="s">
        <v>7586</v>
      </c>
      <c r="F32" s="129" t="s">
        <v>7587</v>
      </c>
      <c r="G32" s="129" t="s">
        <v>7588</v>
      </c>
      <c r="H32" s="129" t="s">
        <v>7589</v>
      </c>
      <c r="I32" s="129" t="s">
        <v>7590</v>
      </c>
      <c r="J32" s="129" t="s">
        <v>7591</v>
      </c>
      <c r="K32" s="129" t="s">
        <v>560</v>
      </c>
      <c r="L32" s="129" t="s">
        <v>7354</v>
      </c>
      <c r="M32" s="129" t="s">
        <v>7592</v>
      </c>
    </row>
    <row r="33" spans="1:13" ht="36">
      <c r="A33" s="129" t="s">
        <v>7302</v>
      </c>
      <c r="B33" s="129" t="s">
        <v>266</v>
      </c>
      <c r="C33" s="129" t="s">
        <v>6139</v>
      </c>
      <c r="D33" s="129" t="s">
        <v>7593</v>
      </c>
      <c r="E33" s="129" t="s">
        <v>7594</v>
      </c>
      <c r="F33" s="129" t="s">
        <v>7595</v>
      </c>
      <c r="G33" s="129" t="s">
        <v>7596</v>
      </c>
      <c r="H33" s="129" t="s">
        <v>7597</v>
      </c>
      <c r="I33" s="129" t="s">
        <v>7598</v>
      </c>
      <c r="J33" s="129" t="s">
        <v>7599</v>
      </c>
      <c r="K33" s="129" t="s">
        <v>560</v>
      </c>
      <c r="L33" s="129" t="s">
        <v>7354</v>
      </c>
      <c r="M33" s="129" t="s">
        <v>7600</v>
      </c>
    </row>
    <row r="34" spans="1:13" ht="36">
      <c r="A34" s="129" t="s">
        <v>7303</v>
      </c>
      <c r="B34" s="129" t="s">
        <v>266</v>
      </c>
      <c r="C34" s="129" t="s">
        <v>6201</v>
      </c>
      <c r="D34" s="129" t="s">
        <v>7601</v>
      </c>
      <c r="E34" s="129" t="s">
        <v>7602</v>
      </c>
      <c r="F34" s="129" t="s">
        <v>7603</v>
      </c>
      <c r="G34" s="129" t="s">
        <v>7604</v>
      </c>
      <c r="H34" s="129" t="s">
        <v>7605</v>
      </c>
      <c r="I34" s="129" t="s">
        <v>7606</v>
      </c>
      <c r="J34" s="129" t="s">
        <v>7607</v>
      </c>
      <c r="K34" s="129" t="s">
        <v>560</v>
      </c>
      <c r="L34" s="129" t="s">
        <v>7354</v>
      </c>
      <c r="M34" s="129" t="s">
        <v>7608</v>
      </c>
    </row>
    <row r="35" spans="1:13" ht="36">
      <c r="A35" s="129" t="s">
        <v>7304</v>
      </c>
      <c r="B35" s="129" t="s">
        <v>272</v>
      </c>
      <c r="C35" s="129" t="s">
        <v>6149</v>
      </c>
      <c r="D35" s="129" t="s">
        <v>7609</v>
      </c>
      <c r="E35" s="129" t="s">
        <v>7610</v>
      </c>
      <c r="F35" s="129" t="s">
        <v>7611</v>
      </c>
      <c r="G35" s="129" t="s">
        <v>7612</v>
      </c>
      <c r="H35" s="129" t="s">
        <v>7613</v>
      </c>
      <c r="I35" s="129" t="s">
        <v>7614</v>
      </c>
      <c r="J35" s="129" t="s">
        <v>7615</v>
      </c>
      <c r="K35" s="129" t="s">
        <v>568</v>
      </c>
      <c r="L35" s="129" t="s">
        <v>7354</v>
      </c>
      <c r="M35" s="129" t="s">
        <v>7616</v>
      </c>
    </row>
    <row r="36" spans="1:13" ht="36">
      <c r="A36" s="129" t="s">
        <v>7305</v>
      </c>
      <c r="B36" s="129" t="s">
        <v>272</v>
      </c>
      <c r="C36" s="129" t="s">
        <v>6139</v>
      </c>
      <c r="D36" s="129" t="s">
        <v>7617</v>
      </c>
      <c r="E36" s="129" t="s">
        <v>7618</v>
      </c>
      <c r="F36" s="129" t="s">
        <v>7619</v>
      </c>
      <c r="G36" s="129" t="s">
        <v>7620</v>
      </c>
      <c r="H36" s="129" t="s">
        <v>7621</v>
      </c>
      <c r="I36" s="129" t="s">
        <v>7622</v>
      </c>
      <c r="J36" s="129" t="s">
        <v>7623</v>
      </c>
      <c r="K36" s="129" t="s">
        <v>568</v>
      </c>
      <c r="L36" s="129" t="s">
        <v>7354</v>
      </c>
      <c r="M36" s="129" t="s">
        <v>7624</v>
      </c>
    </row>
    <row r="37" spans="1:13" ht="36">
      <c r="A37" s="129" t="s">
        <v>7306</v>
      </c>
      <c r="B37" s="129" t="s">
        <v>272</v>
      </c>
      <c r="C37" s="129" t="s">
        <v>6201</v>
      </c>
      <c r="D37" s="129" t="s">
        <v>7625</v>
      </c>
      <c r="E37" s="129" t="s">
        <v>7626</v>
      </c>
      <c r="F37" s="129" t="s">
        <v>7627</v>
      </c>
      <c r="G37" s="129" t="s">
        <v>7628</v>
      </c>
      <c r="H37" s="129" t="s">
        <v>7629</v>
      </c>
      <c r="I37" s="129" t="s">
        <v>7630</v>
      </c>
      <c r="J37" s="129" t="s">
        <v>7631</v>
      </c>
      <c r="K37" s="129" t="s">
        <v>568</v>
      </c>
      <c r="L37" s="129" t="s">
        <v>7354</v>
      </c>
      <c r="M37" s="129" t="s">
        <v>7632</v>
      </c>
    </row>
    <row r="38" spans="1:13" ht="36">
      <c r="A38" s="129" t="s">
        <v>7307</v>
      </c>
      <c r="B38" s="129" t="s">
        <v>275</v>
      </c>
      <c r="C38" s="129" t="s">
        <v>6149</v>
      </c>
      <c r="D38" s="129" t="s">
        <v>7633</v>
      </c>
      <c r="E38" s="129" t="s">
        <v>7634</v>
      </c>
      <c r="F38" s="129" t="s">
        <v>7635</v>
      </c>
      <c r="G38" s="129" t="s">
        <v>7636</v>
      </c>
      <c r="H38" s="129" t="s">
        <v>7637</v>
      </c>
      <c r="I38" s="129" t="s">
        <v>7638</v>
      </c>
      <c r="J38" s="129" t="s">
        <v>7639</v>
      </c>
      <c r="K38" s="129" t="s">
        <v>576</v>
      </c>
      <c r="L38" s="129" t="s">
        <v>7354</v>
      </c>
      <c r="M38" s="129" t="s">
        <v>7640</v>
      </c>
    </row>
    <row r="39" spans="1:13" ht="36">
      <c r="A39" s="129" t="s">
        <v>7308</v>
      </c>
      <c r="B39" s="129" t="s">
        <v>275</v>
      </c>
      <c r="C39" s="129" t="s">
        <v>6139</v>
      </c>
      <c r="D39" s="129" t="s">
        <v>7641</v>
      </c>
      <c r="E39" s="129" t="s">
        <v>7642</v>
      </c>
      <c r="F39" s="129" t="s">
        <v>7643</v>
      </c>
      <c r="G39" s="129" t="s">
        <v>7644</v>
      </c>
      <c r="H39" s="129" t="s">
        <v>7645</v>
      </c>
      <c r="I39" s="129" t="s">
        <v>7646</v>
      </c>
      <c r="J39" s="129" t="s">
        <v>7647</v>
      </c>
      <c r="K39" s="129" t="s">
        <v>576</v>
      </c>
      <c r="L39" s="129" t="s">
        <v>7354</v>
      </c>
      <c r="M39" s="129" t="s">
        <v>7648</v>
      </c>
    </row>
    <row r="40" spans="1:13" ht="36">
      <c r="A40" s="129" t="s">
        <v>7309</v>
      </c>
      <c r="B40" s="129" t="s">
        <v>275</v>
      </c>
      <c r="C40" s="129" t="s">
        <v>6201</v>
      </c>
      <c r="D40" s="129" t="s">
        <v>7649</v>
      </c>
      <c r="E40" s="129" t="s">
        <v>7650</v>
      </c>
      <c r="F40" s="129" t="s">
        <v>7651</v>
      </c>
      <c r="G40" s="129" t="s">
        <v>7652</v>
      </c>
      <c r="H40" s="129" t="s">
        <v>7653</v>
      </c>
      <c r="I40" s="129" t="s">
        <v>7654</v>
      </c>
      <c r="J40" s="129" t="s">
        <v>7655</v>
      </c>
      <c r="K40" s="129" t="s">
        <v>576</v>
      </c>
      <c r="L40" s="129" t="s">
        <v>7354</v>
      </c>
      <c r="M40" s="129" t="s">
        <v>7656</v>
      </c>
    </row>
    <row r="41" spans="1:13" ht="36">
      <c r="A41" s="129" t="s">
        <v>7310</v>
      </c>
      <c r="B41" s="129" t="s">
        <v>278</v>
      </c>
      <c r="C41" s="129" t="s">
        <v>6149</v>
      </c>
      <c r="D41" s="129" t="s">
        <v>7657</v>
      </c>
      <c r="E41" s="129" t="s">
        <v>7658</v>
      </c>
      <c r="F41" s="129" t="s">
        <v>7659</v>
      </c>
      <c r="G41" s="129" t="s">
        <v>7660</v>
      </c>
      <c r="H41" s="129" t="s">
        <v>7661</v>
      </c>
      <c r="I41" s="129" t="s">
        <v>7662</v>
      </c>
      <c r="J41" s="129" t="s">
        <v>7663</v>
      </c>
      <c r="K41" s="129" t="s">
        <v>584</v>
      </c>
      <c r="L41" s="129" t="s">
        <v>7354</v>
      </c>
      <c r="M41" s="129" t="s">
        <v>7664</v>
      </c>
    </row>
    <row r="42" spans="1:13" ht="36">
      <c r="A42" s="129" t="s">
        <v>7311</v>
      </c>
      <c r="B42" s="129" t="s">
        <v>278</v>
      </c>
      <c r="C42" s="129" t="s">
        <v>6139</v>
      </c>
      <c r="D42" s="129" t="s">
        <v>7665</v>
      </c>
      <c r="E42" s="129" t="s">
        <v>7666</v>
      </c>
      <c r="F42" s="129" t="s">
        <v>7667</v>
      </c>
      <c r="G42" s="129" t="s">
        <v>7668</v>
      </c>
      <c r="H42" s="129" t="s">
        <v>7669</v>
      </c>
      <c r="I42" s="129" t="s">
        <v>7670</v>
      </c>
      <c r="J42" s="129" t="s">
        <v>7671</v>
      </c>
      <c r="K42" s="129" t="s">
        <v>584</v>
      </c>
      <c r="L42" s="129" t="s">
        <v>7354</v>
      </c>
      <c r="M42" s="129" t="s">
        <v>7672</v>
      </c>
    </row>
    <row r="43" spans="1:13" ht="36">
      <c r="A43" s="129" t="s">
        <v>7312</v>
      </c>
      <c r="B43" s="129" t="s">
        <v>278</v>
      </c>
      <c r="C43" s="129" t="s">
        <v>6201</v>
      </c>
      <c r="D43" s="129" t="s">
        <v>7673</v>
      </c>
      <c r="E43" s="129" t="s">
        <v>7674</v>
      </c>
      <c r="F43" s="129" t="s">
        <v>7675</v>
      </c>
      <c r="G43" s="129" t="s">
        <v>7676</v>
      </c>
      <c r="H43" s="129" t="s">
        <v>7677</v>
      </c>
      <c r="I43" s="129" t="s">
        <v>7678</v>
      </c>
      <c r="J43" s="129" t="s">
        <v>7679</v>
      </c>
      <c r="K43" s="129" t="s">
        <v>584</v>
      </c>
      <c r="L43" s="129" t="s">
        <v>7354</v>
      </c>
      <c r="M43" s="129" t="s">
        <v>7680</v>
      </c>
    </row>
    <row r="44" spans="1:13" ht="36">
      <c r="A44" s="129" t="s">
        <v>7313</v>
      </c>
      <c r="B44" s="129" t="s">
        <v>280</v>
      </c>
      <c r="C44" s="129" t="s">
        <v>6149</v>
      </c>
      <c r="D44" s="129" t="s">
        <v>7681</v>
      </c>
      <c r="E44" s="129" t="s">
        <v>7682</v>
      </c>
      <c r="F44" s="129" t="s">
        <v>7683</v>
      </c>
      <c r="G44" s="129" t="s">
        <v>7684</v>
      </c>
      <c r="H44" s="129" t="s">
        <v>7685</v>
      </c>
      <c r="I44" s="129" t="s">
        <v>7686</v>
      </c>
      <c r="J44" s="129" t="s">
        <v>7687</v>
      </c>
      <c r="K44" s="129" t="s">
        <v>592</v>
      </c>
      <c r="L44" s="129" t="s">
        <v>7354</v>
      </c>
      <c r="M44" s="129" t="s">
        <v>7688</v>
      </c>
    </row>
    <row r="45" spans="1:13" ht="36">
      <c r="A45" s="129" t="s">
        <v>7314</v>
      </c>
      <c r="B45" s="129" t="s">
        <v>280</v>
      </c>
      <c r="C45" s="129" t="s">
        <v>6139</v>
      </c>
      <c r="D45" s="129" t="s">
        <v>7689</v>
      </c>
      <c r="E45" s="129" t="s">
        <v>7690</v>
      </c>
      <c r="F45" s="129" t="s">
        <v>7691</v>
      </c>
      <c r="G45" s="129" t="s">
        <v>7692</v>
      </c>
      <c r="H45" s="129" t="s">
        <v>7693</v>
      </c>
      <c r="I45" s="129" t="s">
        <v>7694</v>
      </c>
      <c r="J45" s="129" t="s">
        <v>7695</v>
      </c>
      <c r="K45" s="129" t="s">
        <v>592</v>
      </c>
      <c r="L45" s="129" t="s">
        <v>7354</v>
      </c>
      <c r="M45" s="129" t="s">
        <v>7696</v>
      </c>
    </row>
    <row r="46" spans="1:13" ht="36">
      <c r="A46" s="129" t="s">
        <v>7315</v>
      </c>
      <c r="B46" s="129" t="s">
        <v>280</v>
      </c>
      <c r="C46" s="129" t="s">
        <v>6201</v>
      </c>
      <c r="D46" s="129" t="s">
        <v>7697</v>
      </c>
      <c r="E46" s="129" t="s">
        <v>7698</v>
      </c>
      <c r="F46" s="129" t="s">
        <v>7699</v>
      </c>
      <c r="G46" s="129" t="s">
        <v>7700</v>
      </c>
      <c r="H46" s="129" t="s">
        <v>7701</v>
      </c>
      <c r="I46" s="129" t="s">
        <v>7702</v>
      </c>
      <c r="J46" s="129" t="s">
        <v>7703</v>
      </c>
      <c r="K46" s="129" t="s">
        <v>592</v>
      </c>
      <c r="L46" s="129" t="s">
        <v>7354</v>
      </c>
      <c r="M46" s="129" t="s">
        <v>7704</v>
      </c>
    </row>
    <row r="47" spans="1:13" ht="36">
      <c r="A47" s="129" t="s">
        <v>7316</v>
      </c>
      <c r="B47" s="129" t="s">
        <v>285</v>
      </c>
      <c r="C47" s="129" t="s">
        <v>6149</v>
      </c>
      <c r="D47" s="129" t="s">
        <v>7705</v>
      </c>
      <c r="E47" s="129" t="s">
        <v>7706</v>
      </c>
      <c r="F47" s="129" t="s">
        <v>7707</v>
      </c>
      <c r="G47" s="129" t="s">
        <v>7708</v>
      </c>
      <c r="H47" s="129" t="s">
        <v>7709</v>
      </c>
      <c r="I47" s="129" t="s">
        <v>7710</v>
      </c>
      <c r="J47" s="129" t="s">
        <v>7711</v>
      </c>
      <c r="K47" s="129" t="s">
        <v>600</v>
      </c>
      <c r="L47" s="129" t="s">
        <v>7354</v>
      </c>
      <c r="M47" s="129" t="s">
        <v>7712</v>
      </c>
    </row>
    <row r="48" spans="1:13" ht="36">
      <c r="A48" s="129" t="s">
        <v>7317</v>
      </c>
      <c r="B48" s="129" t="s">
        <v>285</v>
      </c>
      <c r="C48" s="129" t="s">
        <v>6139</v>
      </c>
      <c r="D48" s="129" t="s">
        <v>7713</v>
      </c>
      <c r="E48" s="129" t="s">
        <v>7714</v>
      </c>
      <c r="F48" s="129" t="s">
        <v>7715</v>
      </c>
      <c r="G48" s="129" t="s">
        <v>7716</v>
      </c>
      <c r="H48" s="129" t="s">
        <v>7717</v>
      </c>
      <c r="I48" s="129" t="s">
        <v>7718</v>
      </c>
      <c r="J48" s="129" t="s">
        <v>7719</v>
      </c>
      <c r="K48" s="129" t="s">
        <v>600</v>
      </c>
      <c r="L48" s="129" t="s">
        <v>7354</v>
      </c>
      <c r="M48" s="129" t="s">
        <v>7720</v>
      </c>
    </row>
    <row r="49" spans="1:13" ht="36">
      <c r="A49" s="129" t="s">
        <v>7318</v>
      </c>
      <c r="B49" s="129" t="s">
        <v>285</v>
      </c>
      <c r="C49" s="129" t="s">
        <v>6201</v>
      </c>
      <c r="D49" s="129" t="s">
        <v>7721</v>
      </c>
      <c r="E49" s="129" t="s">
        <v>7722</v>
      </c>
      <c r="F49" s="129" t="s">
        <v>7723</v>
      </c>
      <c r="G49" s="129" t="s">
        <v>7724</v>
      </c>
      <c r="H49" s="129" t="s">
        <v>7725</v>
      </c>
      <c r="I49" s="129" t="s">
        <v>7726</v>
      </c>
      <c r="J49" s="129" t="s">
        <v>7727</v>
      </c>
      <c r="K49" s="129" t="s">
        <v>600</v>
      </c>
      <c r="L49" s="129" t="s">
        <v>7354</v>
      </c>
      <c r="M49" s="129" t="s">
        <v>7728</v>
      </c>
    </row>
    <row r="50" spans="1:13" ht="36">
      <c r="A50" s="129" t="s">
        <v>7319</v>
      </c>
      <c r="B50" s="129" t="s">
        <v>289</v>
      </c>
      <c r="C50" s="129" t="s">
        <v>6149</v>
      </c>
      <c r="D50" s="129" t="s">
        <v>7729</v>
      </c>
      <c r="E50" s="129" t="s">
        <v>7730</v>
      </c>
      <c r="F50" s="129" t="s">
        <v>7731</v>
      </c>
      <c r="G50" s="129" t="s">
        <v>7732</v>
      </c>
      <c r="H50" s="129" t="s">
        <v>7733</v>
      </c>
      <c r="I50" s="129" t="s">
        <v>7734</v>
      </c>
      <c r="J50" s="129" t="s">
        <v>7735</v>
      </c>
      <c r="K50" s="129" t="s">
        <v>608</v>
      </c>
      <c r="L50" s="129" t="s">
        <v>7354</v>
      </c>
      <c r="M50" s="129" t="s">
        <v>7736</v>
      </c>
    </row>
    <row r="51" spans="1:13" ht="36">
      <c r="A51" s="129" t="s">
        <v>7320</v>
      </c>
      <c r="B51" s="129" t="s">
        <v>289</v>
      </c>
      <c r="C51" s="129" t="s">
        <v>6139</v>
      </c>
      <c r="D51" s="129" t="s">
        <v>7737</v>
      </c>
      <c r="E51" s="129" t="s">
        <v>7738</v>
      </c>
      <c r="F51" s="129" t="s">
        <v>7739</v>
      </c>
      <c r="G51" s="129" t="s">
        <v>7740</v>
      </c>
      <c r="H51" s="129" t="s">
        <v>7741</v>
      </c>
      <c r="I51" s="129" t="s">
        <v>7742</v>
      </c>
      <c r="J51" s="129" t="s">
        <v>7743</v>
      </c>
      <c r="K51" s="129" t="s">
        <v>608</v>
      </c>
      <c r="L51" s="129" t="s">
        <v>7354</v>
      </c>
      <c r="M51" s="129" t="s">
        <v>7744</v>
      </c>
    </row>
    <row r="52" spans="1:13" ht="36">
      <c r="A52" s="129" t="s">
        <v>7321</v>
      </c>
      <c r="B52" s="129" t="s">
        <v>289</v>
      </c>
      <c r="C52" s="129" t="s">
        <v>6201</v>
      </c>
      <c r="D52" s="129" t="s">
        <v>7745</v>
      </c>
      <c r="E52" s="129" t="s">
        <v>7746</v>
      </c>
      <c r="F52" s="129" t="s">
        <v>7747</v>
      </c>
      <c r="G52" s="129" t="s">
        <v>7748</v>
      </c>
      <c r="H52" s="129" t="s">
        <v>7749</v>
      </c>
      <c r="I52" s="129" t="s">
        <v>7750</v>
      </c>
      <c r="J52" s="129" t="s">
        <v>7751</v>
      </c>
      <c r="K52" s="129" t="s">
        <v>608</v>
      </c>
      <c r="L52" s="129" t="s">
        <v>7354</v>
      </c>
      <c r="M52" s="129" t="s">
        <v>7752</v>
      </c>
    </row>
    <row r="53" spans="1:13" ht="36">
      <c r="A53" s="129" t="s">
        <v>7322</v>
      </c>
      <c r="B53" s="129" t="s">
        <v>292</v>
      </c>
      <c r="C53" s="129" t="s">
        <v>6149</v>
      </c>
      <c r="D53" s="129" t="s">
        <v>7753</v>
      </c>
      <c r="E53" s="129" t="s">
        <v>7754</v>
      </c>
      <c r="F53" s="129" t="s">
        <v>7755</v>
      </c>
      <c r="G53" s="129" t="s">
        <v>7756</v>
      </c>
      <c r="H53" s="129" t="s">
        <v>7757</v>
      </c>
      <c r="I53" s="129" t="s">
        <v>7758</v>
      </c>
      <c r="J53" s="129" t="s">
        <v>7759</v>
      </c>
      <c r="K53" s="129" t="s">
        <v>616</v>
      </c>
      <c r="L53" s="129" t="s">
        <v>7354</v>
      </c>
      <c r="M53" s="129" t="s">
        <v>7760</v>
      </c>
    </row>
    <row r="54" spans="1:13" ht="36">
      <c r="A54" s="129" t="s">
        <v>7323</v>
      </c>
      <c r="B54" s="129" t="s">
        <v>292</v>
      </c>
      <c r="C54" s="129" t="s">
        <v>6139</v>
      </c>
      <c r="D54" s="129" t="s">
        <v>7761</v>
      </c>
      <c r="E54" s="129" t="s">
        <v>7762</v>
      </c>
      <c r="F54" s="129" t="s">
        <v>7763</v>
      </c>
      <c r="G54" s="129" t="s">
        <v>7764</v>
      </c>
      <c r="H54" s="129" t="s">
        <v>7765</v>
      </c>
      <c r="I54" s="129" t="s">
        <v>7766</v>
      </c>
      <c r="J54" s="129" t="s">
        <v>7767</v>
      </c>
      <c r="K54" s="129" t="s">
        <v>616</v>
      </c>
      <c r="L54" s="129" t="s">
        <v>7354</v>
      </c>
      <c r="M54" s="129" t="s">
        <v>7768</v>
      </c>
    </row>
    <row r="55" spans="1:13" ht="36">
      <c r="A55" s="129" t="s">
        <v>7324</v>
      </c>
      <c r="B55" s="129" t="s">
        <v>292</v>
      </c>
      <c r="C55" s="129" t="s">
        <v>6201</v>
      </c>
      <c r="D55" s="129" t="s">
        <v>7769</v>
      </c>
      <c r="E55" s="129" t="s">
        <v>7770</v>
      </c>
      <c r="F55" s="129" t="s">
        <v>7771</v>
      </c>
      <c r="G55" s="129" t="s">
        <v>7772</v>
      </c>
      <c r="H55" s="129" t="s">
        <v>7773</v>
      </c>
      <c r="I55" s="129" t="s">
        <v>7774</v>
      </c>
      <c r="J55" s="129" t="s">
        <v>7775</v>
      </c>
      <c r="K55" s="129" t="s">
        <v>616</v>
      </c>
      <c r="L55" s="129" t="s">
        <v>7354</v>
      </c>
      <c r="M55" s="129" t="s">
        <v>7776</v>
      </c>
    </row>
    <row r="56" spans="1:13" ht="36">
      <c r="A56" s="129" t="s">
        <v>7325</v>
      </c>
      <c r="B56" s="129" t="s">
        <v>296</v>
      </c>
      <c r="C56" s="129" t="s">
        <v>6149</v>
      </c>
      <c r="D56" s="129" t="s">
        <v>7777</v>
      </c>
      <c r="E56" s="129" t="s">
        <v>7778</v>
      </c>
      <c r="F56" s="129" t="s">
        <v>7779</v>
      </c>
      <c r="G56" s="129" t="s">
        <v>7780</v>
      </c>
      <c r="H56" s="129" t="s">
        <v>7757</v>
      </c>
      <c r="I56" s="129" t="s">
        <v>7781</v>
      </c>
      <c r="J56" s="129" t="s">
        <v>7782</v>
      </c>
      <c r="K56" s="129" t="s">
        <v>624</v>
      </c>
      <c r="L56" s="129" t="s">
        <v>7354</v>
      </c>
      <c r="M56" s="129" t="s">
        <v>7783</v>
      </c>
    </row>
    <row r="57" spans="1:13" ht="36">
      <c r="A57" s="129" t="s">
        <v>7326</v>
      </c>
      <c r="B57" s="129" t="s">
        <v>296</v>
      </c>
      <c r="C57" s="129" t="s">
        <v>6139</v>
      </c>
      <c r="D57" s="129" t="s">
        <v>7784</v>
      </c>
      <c r="E57" s="129" t="s">
        <v>7785</v>
      </c>
      <c r="F57" s="129" t="s">
        <v>7786</v>
      </c>
      <c r="G57" s="129" t="s">
        <v>7787</v>
      </c>
      <c r="H57" s="129" t="s">
        <v>7788</v>
      </c>
      <c r="I57" s="129" t="s">
        <v>7789</v>
      </c>
      <c r="J57" s="129" t="s">
        <v>7790</v>
      </c>
      <c r="K57" s="129" t="s">
        <v>624</v>
      </c>
      <c r="L57" s="129" t="s">
        <v>7354</v>
      </c>
      <c r="M57" s="129" t="s">
        <v>7791</v>
      </c>
    </row>
    <row r="58" spans="1:13" ht="48">
      <c r="A58" s="129" t="s">
        <v>7327</v>
      </c>
      <c r="B58" s="129" t="s">
        <v>296</v>
      </c>
      <c r="C58" s="129" t="s">
        <v>6201</v>
      </c>
      <c r="D58" s="129" t="s">
        <v>7792</v>
      </c>
      <c r="E58" s="129" t="s">
        <v>7793</v>
      </c>
      <c r="F58" s="129" t="s">
        <v>7794</v>
      </c>
      <c r="G58" s="129" t="s">
        <v>7795</v>
      </c>
      <c r="H58" s="129" t="s">
        <v>7796</v>
      </c>
      <c r="I58" s="129" t="s">
        <v>7797</v>
      </c>
      <c r="J58" s="129" t="s">
        <v>7798</v>
      </c>
      <c r="K58" s="129" t="s">
        <v>624</v>
      </c>
      <c r="L58" s="129" t="s">
        <v>7354</v>
      </c>
      <c r="M58" s="129" t="s">
        <v>7799</v>
      </c>
    </row>
    <row r="59" spans="1:13" ht="36">
      <c r="A59" s="129" t="s">
        <v>7328</v>
      </c>
      <c r="B59" s="129" t="s">
        <v>299</v>
      </c>
      <c r="C59" s="129" t="s">
        <v>6149</v>
      </c>
      <c r="D59" s="129" t="s">
        <v>7800</v>
      </c>
      <c r="E59" s="129" t="s">
        <v>7801</v>
      </c>
      <c r="F59" s="129" t="s">
        <v>7802</v>
      </c>
      <c r="G59" s="129" t="s">
        <v>7803</v>
      </c>
      <c r="H59" s="129" t="s">
        <v>7804</v>
      </c>
      <c r="I59" s="129" t="s">
        <v>7805</v>
      </c>
      <c r="J59" s="129" t="s">
        <v>7806</v>
      </c>
      <c r="K59" s="129" t="s">
        <v>632</v>
      </c>
      <c r="L59" s="129" t="s">
        <v>7354</v>
      </c>
      <c r="M59" s="129" t="s">
        <v>7807</v>
      </c>
    </row>
    <row r="60" spans="1:13" ht="36">
      <c r="A60" s="129" t="s">
        <v>7329</v>
      </c>
      <c r="B60" s="129" t="s">
        <v>299</v>
      </c>
      <c r="C60" s="129" t="s">
        <v>6139</v>
      </c>
      <c r="D60" s="129" t="s">
        <v>7808</v>
      </c>
      <c r="E60" s="129" t="s">
        <v>7809</v>
      </c>
      <c r="F60" s="129" t="s">
        <v>7675</v>
      </c>
      <c r="G60" s="129" t="s">
        <v>7810</v>
      </c>
      <c r="H60" s="129" t="s">
        <v>7811</v>
      </c>
      <c r="I60" s="129" t="s">
        <v>7812</v>
      </c>
      <c r="J60" s="129" t="s">
        <v>7813</v>
      </c>
      <c r="K60" s="129" t="s">
        <v>632</v>
      </c>
      <c r="L60" s="129" t="s">
        <v>7354</v>
      </c>
      <c r="M60" s="129" t="s">
        <v>7814</v>
      </c>
    </row>
    <row r="61" spans="1:13" ht="36">
      <c r="A61" s="129" t="s">
        <v>7330</v>
      </c>
      <c r="B61" s="129" t="s">
        <v>299</v>
      </c>
      <c r="C61" s="129" t="s">
        <v>6201</v>
      </c>
      <c r="D61" s="129" t="s">
        <v>7815</v>
      </c>
      <c r="E61" s="129" t="s">
        <v>7816</v>
      </c>
      <c r="F61" s="129" t="s">
        <v>7817</v>
      </c>
      <c r="G61" s="129" t="s">
        <v>7818</v>
      </c>
      <c r="H61" s="129" t="s">
        <v>7819</v>
      </c>
      <c r="I61" s="129" t="s">
        <v>7820</v>
      </c>
      <c r="J61" s="129" t="s">
        <v>7821</v>
      </c>
      <c r="K61" s="129" t="s">
        <v>632</v>
      </c>
      <c r="L61" s="129" t="s">
        <v>7354</v>
      </c>
      <c r="M61" s="129" t="s">
        <v>7822</v>
      </c>
    </row>
    <row r="62" spans="1:13" ht="36">
      <c r="A62" s="129" t="s">
        <v>7331</v>
      </c>
      <c r="B62" s="129" t="s">
        <v>302</v>
      </c>
      <c r="C62" s="129" t="s">
        <v>6149</v>
      </c>
      <c r="D62" s="129" t="s">
        <v>7823</v>
      </c>
      <c r="E62" s="129" t="s">
        <v>7824</v>
      </c>
      <c r="F62" s="129" t="s">
        <v>7825</v>
      </c>
      <c r="G62" s="129" t="s">
        <v>7826</v>
      </c>
      <c r="H62" s="129" t="s">
        <v>7827</v>
      </c>
      <c r="I62" s="129" t="s">
        <v>7828</v>
      </c>
      <c r="J62" s="129" t="s">
        <v>7829</v>
      </c>
      <c r="K62" s="129" t="s">
        <v>639</v>
      </c>
      <c r="L62" s="129" t="s">
        <v>7354</v>
      </c>
      <c r="M62" s="129" t="s">
        <v>7830</v>
      </c>
    </row>
    <row r="63" spans="1:13" ht="36">
      <c r="A63" s="129" t="s">
        <v>7332</v>
      </c>
      <c r="B63" s="129" t="s">
        <v>302</v>
      </c>
      <c r="C63" s="129" t="s">
        <v>6139</v>
      </c>
      <c r="D63" s="129" t="s">
        <v>7831</v>
      </c>
      <c r="E63" s="129" t="s">
        <v>7832</v>
      </c>
      <c r="F63" s="129" t="s">
        <v>7833</v>
      </c>
      <c r="G63" s="129" t="s">
        <v>7834</v>
      </c>
      <c r="H63" s="129" t="s">
        <v>7835</v>
      </c>
      <c r="I63" s="129" t="s">
        <v>7836</v>
      </c>
      <c r="J63" s="129" t="s">
        <v>7837</v>
      </c>
      <c r="K63" s="129" t="s">
        <v>639</v>
      </c>
      <c r="L63" s="129" t="s">
        <v>7354</v>
      </c>
      <c r="M63" s="129" t="s">
        <v>7838</v>
      </c>
    </row>
    <row r="64" spans="1:13" ht="48">
      <c r="A64" s="129" t="s">
        <v>7333</v>
      </c>
      <c r="B64" s="129" t="s">
        <v>302</v>
      </c>
      <c r="C64" s="129" t="s">
        <v>6201</v>
      </c>
      <c r="D64" s="129" t="s">
        <v>7839</v>
      </c>
      <c r="E64" s="129" t="s">
        <v>7840</v>
      </c>
      <c r="F64" s="129" t="s">
        <v>7841</v>
      </c>
      <c r="G64" s="129" t="s">
        <v>7842</v>
      </c>
      <c r="H64" s="129" t="s">
        <v>7843</v>
      </c>
      <c r="I64" s="129" t="s">
        <v>7844</v>
      </c>
      <c r="J64" s="129" t="s">
        <v>7845</v>
      </c>
      <c r="K64" s="129" t="s">
        <v>639</v>
      </c>
      <c r="L64" s="129" t="s">
        <v>7354</v>
      </c>
      <c r="M64" s="129" t="s">
        <v>7846</v>
      </c>
    </row>
    <row r="65" spans="1:13" ht="36">
      <c r="A65" s="129" t="s">
        <v>7334</v>
      </c>
      <c r="B65" s="129" t="s">
        <v>305</v>
      </c>
      <c r="C65" s="129" t="s">
        <v>6149</v>
      </c>
      <c r="D65" s="129" t="s">
        <v>7847</v>
      </c>
      <c r="E65" s="129" t="s">
        <v>7848</v>
      </c>
      <c r="F65" s="129" t="s">
        <v>7849</v>
      </c>
      <c r="G65" s="129" t="s">
        <v>7399</v>
      </c>
      <c r="H65" s="129" t="s">
        <v>7850</v>
      </c>
      <c r="I65" s="129" t="s">
        <v>7851</v>
      </c>
      <c r="J65" s="129" t="s">
        <v>7852</v>
      </c>
      <c r="K65" s="129" t="s">
        <v>647</v>
      </c>
      <c r="L65" s="129" t="s">
        <v>7354</v>
      </c>
      <c r="M65" s="129" t="s">
        <v>7853</v>
      </c>
    </row>
    <row r="66" spans="1:13" ht="36">
      <c r="A66" s="129" t="s">
        <v>7335</v>
      </c>
      <c r="B66" s="129" t="s">
        <v>305</v>
      </c>
      <c r="C66" s="129" t="s">
        <v>6139</v>
      </c>
      <c r="D66" s="129" t="s">
        <v>7854</v>
      </c>
      <c r="E66" s="129" t="s">
        <v>7855</v>
      </c>
      <c r="F66" s="129" t="s">
        <v>7856</v>
      </c>
      <c r="G66" s="129" t="s">
        <v>7826</v>
      </c>
      <c r="H66" s="129" t="s">
        <v>7857</v>
      </c>
      <c r="I66" s="129" t="s">
        <v>7858</v>
      </c>
      <c r="J66" s="129" t="s">
        <v>7859</v>
      </c>
      <c r="K66" s="129" t="s">
        <v>647</v>
      </c>
      <c r="L66" s="129" t="s">
        <v>7354</v>
      </c>
      <c r="M66" s="129" t="s">
        <v>7860</v>
      </c>
    </row>
    <row r="67" spans="1:13" ht="36">
      <c r="A67" s="129" t="s">
        <v>7254</v>
      </c>
      <c r="B67" s="129" t="s">
        <v>305</v>
      </c>
      <c r="C67" s="129" t="s">
        <v>6201</v>
      </c>
      <c r="D67" s="129" t="s">
        <v>7861</v>
      </c>
      <c r="E67" s="129" t="s">
        <v>7862</v>
      </c>
      <c r="F67" s="129" t="s">
        <v>7863</v>
      </c>
      <c r="G67" s="129" t="s">
        <v>7864</v>
      </c>
      <c r="H67" s="129" t="s">
        <v>7865</v>
      </c>
      <c r="I67" s="129" t="s">
        <v>7866</v>
      </c>
      <c r="J67" s="129" t="s">
        <v>7867</v>
      </c>
      <c r="K67" s="129" t="s">
        <v>647</v>
      </c>
      <c r="L67" s="129" t="s">
        <v>7354</v>
      </c>
      <c r="M67" s="129" t="s">
        <v>7868</v>
      </c>
    </row>
    <row r="68" spans="1:13" ht="36">
      <c r="A68" s="129" t="s">
        <v>7336</v>
      </c>
      <c r="B68" s="129" t="s">
        <v>309</v>
      </c>
      <c r="C68" s="129" t="s">
        <v>6149</v>
      </c>
      <c r="D68" s="129" t="s">
        <v>7869</v>
      </c>
      <c r="E68" s="129" t="s">
        <v>7870</v>
      </c>
      <c r="F68" s="129" t="s">
        <v>7871</v>
      </c>
      <c r="G68" s="129" t="s">
        <v>7872</v>
      </c>
      <c r="H68" s="129" t="s">
        <v>7873</v>
      </c>
      <c r="I68" s="129" t="s">
        <v>7874</v>
      </c>
      <c r="J68" s="129" t="s">
        <v>7875</v>
      </c>
      <c r="K68" s="129" t="s">
        <v>655</v>
      </c>
      <c r="L68" s="129" t="s">
        <v>7354</v>
      </c>
      <c r="M68" s="129" t="s">
        <v>7876</v>
      </c>
    </row>
    <row r="69" spans="1:13" ht="36">
      <c r="A69" s="129" t="s">
        <v>7337</v>
      </c>
      <c r="B69" s="129" t="s">
        <v>309</v>
      </c>
      <c r="C69" s="129" t="s">
        <v>6139</v>
      </c>
      <c r="D69" s="129" t="s">
        <v>7877</v>
      </c>
      <c r="E69" s="129" t="s">
        <v>7878</v>
      </c>
      <c r="F69" s="129" t="s">
        <v>7879</v>
      </c>
      <c r="G69" s="129" t="s">
        <v>7880</v>
      </c>
      <c r="H69" s="129" t="s">
        <v>7881</v>
      </c>
      <c r="I69" s="129" t="s">
        <v>7882</v>
      </c>
      <c r="J69" s="129" t="s">
        <v>7883</v>
      </c>
      <c r="K69" s="129" t="s">
        <v>655</v>
      </c>
      <c r="L69" s="129" t="s">
        <v>7354</v>
      </c>
      <c r="M69" s="129" t="s">
        <v>7884</v>
      </c>
    </row>
    <row r="70" spans="1:13" ht="36">
      <c r="A70" s="129" t="s">
        <v>7338</v>
      </c>
      <c r="B70" s="129" t="s">
        <v>309</v>
      </c>
      <c r="C70" s="129" t="s">
        <v>6201</v>
      </c>
      <c r="D70" s="129" t="s">
        <v>7885</v>
      </c>
      <c r="E70" s="129" t="s">
        <v>7886</v>
      </c>
      <c r="F70" s="129" t="s">
        <v>7887</v>
      </c>
      <c r="G70" s="129" t="s">
        <v>7888</v>
      </c>
      <c r="H70" s="129" t="s">
        <v>7889</v>
      </c>
      <c r="I70" s="129" t="s">
        <v>7890</v>
      </c>
      <c r="J70" s="129" t="s">
        <v>7891</v>
      </c>
      <c r="K70" s="129" t="s">
        <v>655</v>
      </c>
      <c r="L70" s="129" t="s">
        <v>7354</v>
      </c>
      <c r="M70" s="129" t="s">
        <v>7892</v>
      </c>
    </row>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8"/>
  <sheetViews>
    <sheetView workbookViewId="0">
      <selection activeCell="K1" sqref="K1"/>
    </sheetView>
  </sheetViews>
  <sheetFormatPr baseColWidth="10" defaultColWidth="9" defaultRowHeight="14.25"/>
  <cols>
    <col min="1" max="9" width="20" style="30" customWidth="1"/>
    <col min="10" max="10" width="24" style="30" customWidth="1"/>
  </cols>
  <sheetData>
    <row r="1" spans="1:10" ht="15" customHeight="1">
      <c r="A1" s="7" t="s">
        <v>4621</v>
      </c>
      <c r="B1" s="7" t="s">
        <v>4622</v>
      </c>
      <c r="C1" s="7" t="s">
        <v>190</v>
      </c>
      <c r="D1" s="7" t="s">
        <v>4623</v>
      </c>
      <c r="E1" s="7" t="s">
        <v>192</v>
      </c>
      <c r="F1" s="7" t="s">
        <v>193</v>
      </c>
      <c r="G1" s="7" t="s">
        <v>194</v>
      </c>
      <c r="H1" s="7" t="s">
        <v>158</v>
      </c>
      <c r="I1" s="7" t="s">
        <v>195</v>
      </c>
      <c r="J1" s="7" t="s">
        <v>2947</v>
      </c>
    </row>
    <row r="2" spans="1:10" ht="57" customHeight="1">
      <c r="A2" s="37" t="s">
        <v>4624</v>
      </c>
      <c r="B2" s="37" t="s">
        <v>831</v>
      </c>
      <c r="C2" s="37" t="s">
        <v>4625</v>
      </c>
      <c r="D2" s="37" t="s">
        <v>66</v>
      </c>
      <c r="E2" s="37"/>
      <c r="F2" s="37" t="s">
        <v>164</v>
      </c>
      <c r="G2" s="37"/>
      <c r="H2" s="37" t="s">
        <v>830</v>
      </c>
      <c r="I2" s="37" t="s">
        <v>4626</v>
      </c>
      <c r="J2" s="37" t="s">
        <v>836</v>
      </c>
    </row>
    <row r="3" spans="1:10" ht="57" customHeight="1">
      <c r="A3" s="37" t="s">
        <v>4627</v>
      </c>
      <c r="B3" s="37" t="s">
        <v>4628</v>
      </c>
      <c r="C3" s="37" t="s">
        <v>4629</v>
      </c>
      <c r="D3" s="37" t="s">
        <v>4630</v>
      </c>
      <c r="E3" s="37">
        <v>34</v>
      </c>
      <c r="F3" s="37" t="s">
        <v>164</v>
      </c>
      <c r="G3" s="37">
        <v>2021</v>
      </c>
      <c r="H3" s="37" t="s">
        <v>718</v>
      </c>
      <c r="I3" s="37" t="s">
        <v>4631</v>
      </c>
      <c r="J3" s="37" t="s">
        <v>232</v>
      </c>
    </row>
    <row r="4" spans="1:10" ht="57" customHeight="1">
      <c r="A4" s="37" t="s">
        <v>4632</v>
      </c>
      <c r="B4" s="37" t="s">
        <v>160</v>
      </c>
      <c r="C4" s="37" t="s">
        <v>4633</v>
      </c>
      <c r="D4" s="37" t="s">
        <v>4630</v>
      </c>
      <c r="E4" s="37">
        <v>35</v>
      </c>
      <c r="F4" s="37" t="s">
        <v>164</v>
      </c>
      <c r="G4" s="37">
        <v>2021</v>
      </c>
      <c r="H4" s="37" t="s">
        <v>718</v>
      </c>
      <c r="I4" s="37" t="s">
        <v>4634</v>
      </c>
      <c r="J4" s="37" t="s">
        <v>232</v>
      </c>
    </row>
    <row r="5" spans="1:10" ht="42.75" customHeight="1">
      <c r="A5" s="37" t="s">
        <v>4635</v>
      </c>
      <c r="B5" s="37" t="s">
        <v>4636</v>
      </c>
      <c r="C5" s="37" t="s">
        <v>4637</v>
      </c>
      <c r="D5" s="37" t="s">
        <v>4630</v>
      </c>
      <c r="E5" s="37">
        <v>73</v>
      </c>
      <c r="F5" s="37" t="s">
        <v>164</v>
      </c>
      <c r="G5" s="37">
        <v>2021</v>
      </c>
      <c r="H5" s="37" t="s">
        <v>718</v>
      </c>
      <c r="I5" s="37" t="s">
        <v>4638</v>
      </c>
      <c r="J5" s="37" t="s">
        <v>232</v>
      </c>
    </row>
    <row r="6" spans="1:10" ht="57" customHeight="1">
      <c r="A6" s="37" t="s">
        <v>4639</v>
      </c>
      <c r="B6" s="37" t="s">
        <v>4640</v>
      </c>
      <c r="C6" s="37" t="s">
        <v>4637</v>
      </c>
      <c r="D6" s="37" t="s">
        <v>4630</v>
      </c>
      <c r="E6" s="37">
        <v>65</v>
      </c>
      <c r="F6" s="37" t="s">
        <v>164</v>
      </c>
      <c r="G6" s="37">
        <v>2021</v>
      </c>
      <c r="H6" s="37" t="s">
        <v>718</v>
      </c>
      <c r="I6" s="37" t="s">
        <v>4641</v>
      </c>
      <c r="J6" s="37" t="s">
        <v>232</v>
      </c>
    </row>
    <row r="7" spans="1:10" ht="57" customHeight="1">
      <c r="A7" s="37" t="s">
        <v>4642</v>
      </c>
      <c r="B7" s="37" t="s">
        <v>4643</v>
      </c>
      <c r="C7" s="37" t="s">
        <v>4644</v>
      </c>
      <c r="D7" s="37" t="s">
        <v>4630</v>
      </c>
      <c r="E7" s="37">
        <v>55</v>
      </c>
      <c r="F7" s="37" t="s">
        <v>164</v>
      </c>
      <c r="G7" s="37">
        <v>2021</v>
      </c>
      <c r="H7" s="37" t="s">
        <v>718</v>
      </c>
      <c r="I7" s="37" t="s">
        <v>4645</v>
      </c>
      <c r="J7" s="37" t="s">
        <v>232</v>
      </c>
    </row>
    <row r="8" spans="1:10" ht="57" customHeight="1">
      <c r="A8" s="37" t="s">
        <v>4646</v>
      </c>
      <c r="B8" s="37" t="s">
        <v>4647</v>
      </c>
      <c r="C8" s="37" t="s">
        <v>4637</v>
      </c>
      <c r="D8" s="37" t="s">
        <v>4630</v>
      </c>
      <c r="E8" s="37">
        <v>71</v>
      </c>
      <c r="F8" s="37" t="s">
        <v>164</v>
      </c>
      <c r="G8" s="37">
        <v>2021</v>
      </c>
      <c r="H8" s="37" t="s">
        <v>718</v>
      </c>
      <c r="I8" s="37" t="s">
        <v>4648</v>
      </c>
      <c r="J8" s="37" t="s">
        <v>232</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24"/>
  <sheetViews>
    <sheetView workbookViewId="0">
      <selection activeCell="K9" sqref="K9"/>
    </sheetView>
  </sheetViews>
  <sheetFormatPr baseColWidth="10" defaultColWidth="9" defaultRowHeight="14.25"/>
  <cols>
    <col min="1" max="1" width="18" style="30" customWidth="1"/>
    <col min="3" max="3" width="18" style="30" customWidth="1"/>
    <col min="5" max="5" width="18" style="30" customWidth="1"/>
    <col min="7" max="7" width="18" style="30" customWidth="1"/>
    <col min="9" max="9" width="18" style="30" customWidth="1"/>
    <col min="11" max="13" width="18" style="30" customWidth="1"/>
    <col min="15" max="17" width="18" style="30" customWidth="1"/>
    <col min="19" max="21" width="18" style="30" customWidth="1"/>
    <col min="23" max="30" width="18" style="30" customWidth="1"/>
  </cols>
  <sheetData>
    <row r="1" spans="1:37" ht="45" customHeight="1">
      <c r="A1" s="7" t="s">
        <v>39</v>
      </c>
      <c r="C1" s="7" t="s">
        <v>2862</v>
      </c>
      <c r="E1" s="7" t="s">
        <v>2863</v>
      </c>
      <c r="G1" s="7" t="s">
        <v>2864</v>
      </c>
      <c r="I1" s="7" t="s">
        <v>4649</v>
      </c>
      <c r="K1" s="8" t="s">
        <v>108</v>
      </c>
      <c r="L1" s="8" t="s">
        <v>110</v>
      </c>
      <c r="M1" s="8" t="s">
        <v>1343</v>
      </c>
      <c r="O1" s="8" t="s">
        <v>4650</v>
      </c>
      <c r="P1" s="8" t="s">
        <v>4651</v>
      </c>
      <c r="Q1" s="8" t="s">
        <v>4652</v>
      </c>
      <c r="S1" s="8" t="s">
        <v>4653</v>
      </c>
      <c r="T1" s="8" t="s">
        <v>4654</v>
      </c>
      <c r="U1" s="8" t="s">
        <v>4655</v>
      </c>
      <c r="W1" s="8" t="s">
        <v>2944</v>
      </c>
      <c r="X1" s="8" t="s">
        <v>2945</v>
      </c>
      <c r="Y1" s="8" t="s">
        <v>4656</v>
      </c>
      <c r="Z1" s="8" t="s">
        <v>4657</v>
      </c>
      <c r="AA1" s="8" t="s">
        <v>4658</v>
      </c>
      <c r="AB1" s="8" t="s">
        <v>4659</v>
      </c>
      <c r="AC1" s="8" t="s">
        <v>4660</v>
      </c>
      <c r="AD1" s="8" t="s">
        <v>4661</v>
      </c>
      <c r="AF1" s="15" t="s">
        <v>2893</v>
      </c>
      <c r="AG1" s="15" t="s">
        <v>215</v>
      </c>
      <c r="AH1" s="15" t="s">
        <v>4662</v>
      </c>
      <c r="AI1" s="15" t="s">
        <v>156</v>
      </c>
      <c r="AJ1" s="15" t="s">
        <v>4663</v>
      </c>
      <c r="AK1" s="15" t="s">
        <v>4664</v>
      </c>
    </row>
    <row r="2" spans="1:37">
      <c r="A2" t="s">
        <v>40</v>
      </c>
      <c r="C2" t="s">
        <v>49</v>
      </c>
      <c r="E2" t="s">
        <v>4665</v>
      </c>
      <c r="G2" t="s">
        <v>54</v>
      </c>
      <c r="I2" t="s">
        <v>4666</v>
      </c>
      <c r="K2" s="9" t="s">
        <v>114</v>
      </c>
      <c r="L2" s="9">
        <v>1</v>
      </c>
      <c r="M2" s="9" t="s">
        <v>4667</v>
      </c>
      <c r="O2" s="9">
        <v>1</v>
      </c>
      <c r="P2" s="9">
        <v>113</v>
      </c>
      <c r="Q2" s="9">
        <v>107</v>
      </c>
      <c r="S2" s="9">
        <v>1</v>
      </c>
      <c r="T2" s="9">
        <v>6.6</v>
      </c>
      <c r="U2" s="9">
        <v>6.6</v>
      </c>
      <c r="W2" s="9">
        <v>1</v>
      </c>
      <c r="X2" s="9">
        <v>4</v>
      </c>
      <c r="Y2" s="9">
        <v>5</v>
      </c>
      <c r="Z2" s="9">
        <v>20</v>
      </c>
      <c r="AA2" s="9">
        <v>30</v>
      </c>
      <c r="AB2" s="9">
        <v>40</v>
      </c>
      <c r="AC2" s="9">
        <v>45</v>
      </c>
      <c r="AD2" s="9">
        <v>65</v>
      </c>
      <c r="AF2" t="s">
        <v>225</v>
      </c>
      <c r="AG2" t="s">
        <v>226</v>
      </c>
      <c r="AH2" t="s">
        <v>1607</v>
      </c>
      <c r="AI2" t="s">
        <v>230</v>
      </c>
      <c r="AJ2" t="s">
        <v>231</v>
      </c>
      <c r="AK2">
        <v>35</v>
      </c>
    </row>
    <row r="3" spans="1:37">
      <c r="A3" t="s">
        <v>396</v>
      </c>
      <c r="C3" t="s">
        <v>414</v>
      </c>
      <c r="E3" t="s">
        <v>52</v>
      </c>
      <c r="G3" t="s">
        <v>4668</v>
      </c>
      <c r="I3" t="s">
        <v>56</v>
      </c>
      <c r="K3" s="9" t="s">
        <v>115</v>
      </c>
      <c r="L3" s="9">
        <v>2.2999999999999998</v>
      </c>
      <c r="M3" s="9" t="s">
        <v>4669</v>
      </c>
      <c r="O3" s="9">
        <v>2</v>
      </c>
      <c r="P3" s="9">
        <v>104</v>
      </c>
      <c r="Q3" s="9">
        <v>101</v>
      </c>
      <c r="S3" s="9">
        <v>2</v>
      </c>
      <c r="T3" s="9">
        <v>5.5</v>
      </c>
      <c r="U3" s="9">
        <v>6</v>
      </c>
      <c r="W3" s="9">
        <v>4</v>
      </c>
      <c r="X3" s="9">
        <v>19</v>
      </c>
      <c r="Y3" s="9">
        <v>10</v>
      </c>
      <c r="Z3" s="9">
        <v>30</v>
      </c>
      <c r="AA3" s="9">
        <v>25</v>
      </c>
      <c r="AB3" s="9">
        <v>35</v>
      </c>
      <c r="AC3" s="9">
        <v>45</v>
      </c>
      <c r="AD3" s="9">
        <v>65</v>
      </c>
      <c r="AF3" t="s">
        <v>233</v>
      </c>
      <c r="AG3" t="s">
        <v>234</v>
      </c>
      <c r="AH3" t="s">
        <v>1608</v>
      </c>
      <c r="AI3" t="s">
        <v>230</v>
      </c>
      <c r="AJ3" t="s">
        <v>231</v>
      </c>
      <c r="AK3">
        <v>36</v>
      </c>
    </row>
    <row r="4" spans="1:37">
      <c r="A4" t="s">
        <v>4670</v>
      </c>
      <c r="C4" t="s">
        <v>416</v>
      </c>
      <c r="E4" t="s">
        <v>4671</v>
      </c>
      <c r="G4" t="s">
        <v>4672</v>
      </c>
      <c r="I4" t="s">
        <v>4673</v>
      </c>
      <c r="K4" s="9" t="s">
        <v>116</v>
      </c>
      <c r="L4" s="9">
        <v>1.5</v>
      </c>
      <c r="M4" s="9" t="s">
        <v>4674</v>
      </c>
      <c r="O4" s="9">
        <v>3</v>
      </c>
      <c r="P4" s="9">
        <v>95</v>
      </c>
      <c r="Q4" s="9">
        <v>94</v>
      </c>
      <c r="S4" s="9">
        <v>3</v>
      </c>
      <c r="T4" s="9">
        <v>5.8</v>
      </c>
      <c r="U4" s="9">
        <v>5.2</v>
      </c>
      <c r="W4" s="9">
        <v>19</v>
      </c>
      <c r="X4" s="9">
        <v>999</v>
      </c>
      <c r="Y4" s="9">
        <v>10</v>
      </c>
      <c r="Z4" s="9">
        <v>35</v>
      </c>
      <c r="AA4" s="9">
        <v>20</v>
      </c>
      <c r="AB4" s="9">
        <v>35</v>
      </c>
      <c r="AC4" s="9">
        <v>45</v>
      </c>
      <c r="AD4" s="9">
        <v>65</v>
      </c>
      <c r="AF4" t="s">
        <v>236</v>
      </c>
      <c r="AG4" t="s">
        <v>237</v>
      </c>
      <c r="AH4" t="s">
        <v>1609</v>
      </c>
      <c r="AI4" t="s">
        <v>230</v>
      </c>
      <c r="AJ4" t="s">
        <v>231</v>
      </c>
      <c r="AK4">
        <v>37</v>
      </c>
    </row>
    <row r="5" spans="1:37" ht="24" customHeight="1">
      <c r="E5" t="s">
        <v>4675</v>
      </c>
      <c r="I5" t="s">
        <v>4676</v>
      </c>
      <c r="K5" s="9" t="s">
        <v>4677</v>
      </c>
      <c r="L5" s="9">
        <v>2.1</v>
      </c>
      <c r="M5" s="9" t="s">
        <v>4678</v>
      </c>
      <c r="O5" s="9">
        <v>4</v>
      </c>
      <c r="P5" s="9">
        <v>82</v>
      </c>
      <c r="Q5" s="9">
        <v>84</v>
      </c>
      <c r="S5" s="9">
        <v>4</v>
      </c>
      <c r="T5" s="9">
        <v>5.5</v>
      </c>
      <c r="U5" s="9">
        <v>4.7</v>
      </c>
      <c r="AF5" t="s">
        <v>239</v>
      </c>
      <c r="AG5" t="s">
        <v>240</v>
      </c>
      <c r="AH5" t="s">
        <v>1604</v>
      </c>
      <c r="AI5" t="s">
        <v>230</v>
      </c>
      <c r="AJ5" t="s">
        <v>231</v>
      </c>
      <c r="AK5">
        <v>32</v>
      </c>
    </row>
    <row r="6" spans="1:37">
      <c r="I6" t="s">
        <v>4679</v>
      </c>
      <c r="K6" s="9" t="s">
        <v>117</v>
      </c>
      <c r="L6" s="9">
        <v>1.5</v>
      </c>
      <c r="M6" s="9" t="s">
        <v>4680</v>
      </c>
      <c r="O6" s="9">
        <v>5</v>
      </c>
      <c r="P6" s="9">
        <v>81</v>
      </c>
      <c r="Q6" s="9">
        <v>82</v>
      </c>
      <c r="S6" s="9">
        <v>5</v>
      </c>
      <c r="T6" s="9">
        <v>5.5</v>
      </c>
      <c r="U6" s="9">
        <v>4.9000000000000004</v>
      </c>
      <c r="AF6" t="s">
        <v>243</v>
      </c>
      <c r="AG6" t="s">
        <v>244</v>
      </c>
      <c r="AH6" t="s">
        <v>1605</v>
      </c>
      <c r="AI6" t="s">
        <v>230</v>
      </c>
      <c r="AJ6" t="s">
        <v>231</v>
      </c>
      <c r="AK6">
        <v>33</v>
      </c>
    </row>
    <row r="7" spans="1:37" ht="24" customHeight="1">
      <c r="K7" s="9" t="s">
        <v>118</v>
      </c>
      <c r="L7" s="9">
        <v>2.8</v>
      </c>
      <c r="M7" s="9" t="s">
        <v>4681</v>
      </c>
      <c r="O7" s="9">
        <v>6</v>
      </c>
      <c r="P7" s="9">
        <v>81</v>
      </c>
      <c r="Q7" s="9">
        <v>81</v>
      </c>
      <c r="S7" s="9">
        <v>6</v>
      </c>
      <c r="T7" s="9">
        <v>6</v>
      </c>
      <c r="U7" s="9">
        <v>6.3</v>
      </c>
      <c r="AF7" t="s">
        <v>246</v>
      </c>
      <c r="AG7" t="s">
        <v>247</v>
      </c>
      <c r="AH7" t="s">
        <v>1610</v>
      </c>
      <c r="AI7" t="s">
        <v>249</v>
      </c>
      <c r="AJ7" t="s">
        <v>231</v>
      </c>
      <c r="AK7">
        <v>38</v>
      </c>
    </row>
    <row r="8" spans="1:37">
      <c r="K8" s="9" t="s">
        <v>119</v>
      </c>
      <c r="L8" s="9">
        <v>2</v>
      </c>
      <c r="M8" s="9" t="s">
        <v>4682</v>
      </c>
      <c r="O8" s="9">
        <v>7</v>
      </c>
      <c r="P8" s="9">
        <v>79</v>
      </c>
      <c r="Q8" s="9">
        <v>78</v>
      </c>
      <c r="S8" s="9">
        <v>7</v>
      </c>
      <c r="T8" s="9">
        <v>6.6</v>
      </c>
      <c r="U8" s="9">
        <v>8.1999999999999993</v>
      </c>
      <c r="AF8" t="s">
        <v>250</v>
      </c>
      <c r="AG8" t="s">
        <v>251</v>
      </c>
      <c r="AH8" t="s">
        <v>1603</v>
      </c>
      <c r="AI8" t="s">
        <v>230</v>
      </c>
      <c r="AJ8" t="s">
        <v>231</v>
      </c>
      <c r="AK8">
        <v>31</v>
      </c>
    </row>
    <row r="9" spans="1:37">
      <c r="K9" s="9" t="s">
        <v>122</v>
      </c>
      <c r="L9" s="9">
        <v>1.2</v>
      </c>
      <c r="M9" s="9" t="s">
        <v>4683</v>
      </c>
      <c r="O9" s="9">
        <v>8</v>
      </c>
      <c r="P9" s="9">
        <v>79</v>
      </c>
      <c r="Q9" s="9">
        <v>78</v>
      </c>
      <c r="S9" s="9">
        <v>8</v>
      </c>
      <c r="T9" s="9">
        <v>7.7</v>
      </c>
      <c r="U9" s="9">
        <v>10.1</v>
      </c>
      <c r="AF9" t="s">
        <v>255</v>
      </c>
      <c r="AG9" t="s">
        <v>256</v>
      </c>
      <c r="AH9" t="s">
        <v>1606</v>
      </c>
      <c r="AI9" t="s">
        <v>230</v>
      </c>
      <c r="AJ9" t="s">
        <v>231</v>
      </c>
      <c r="AK9">
        <v>34</v>
      </c>
    </row>
    <row r="10" spans="1:37">
      <c r="K10" s="9" t="s">
        <v>4684</v>
      </c>
      <c r="L10" s="9">
        <v>2.2000000000000002</v>
      </c>
      <c r="M10" s="9" t="s">
        <v>4685</v>
      </c>
      <c r="O10" s="9">
        <v>9</v>
      </c>
      <c r="P10" s="9">
        <v>79</v>
      </c>
      <c r="Q10" s="9">
        <v>78</v>
      </c>
      <c r="S10" s="9">
        <v>9</v>
      </c>
      <c r="T10" s="9">
        <v>9</v>
      </c>
      <c r="U10" s="9">
        <v>11</v>
      </c>
      <c r="AF10" t="s">
        <v>258</v>
      </c>
      <c r="AG10" t="s">
        <v>259</v>
      </c>
      <c r="AH10" t="s">
        <v>1602</v>
      </c>
      <c r="AI10" t="s">
        <v>230</v>
      </c>
      <c r="AJ10" t="s">
        <v>231</v>
      </c>
      <c r="AK10">
        <v>30</v>
      </c>
    </row>
    <row r="11" spans="1:37">
      <c r="K11" s="9" t="s">
        <v>120</v>
      </c>
      <c r="L11" s="9">
        <v>3.2</v>
      </c>
      <c r="M11" s="9" t="s">
        <v>4686</v>
      </c>
      <c r="O11" s="9">
        <v>10</v>
      </c>
      <c r="P11" s="9">
        <v>80</v>
      </c>
      <c r="Q11" s="9">
        <v>79</v>
      </c>
      <c r="S11" s="9">
        <v>10</v>
      </c>
      <c r="T11" s="9">
        <v>10.7</v>
      </c>
      <c r="U11" s="9">
        <v>12.3</v>
      </c>
      <c r="AF11" t="s">
        <v>262</v>
      </c>
      <c r="AG11" t="s">
        <v>263</v>
      </c>
      <c r="AI11" t="s">
        <v>230</v>
      </c>
      <c r="AJ11" t="s">
        <v>265</v>
      </c>
    </row>
    <row r="12" spans="1:37">
      <c r="K12" s="9" t="s">
        <v>121</v>
      </c>
      <c r="L12" s="9">
        <v>1.4</v>
      </c>
      <c r="M12" s="9" t="s">
        <v>4687</v>
      </c>
      <c r="O12" s="9">
        <v>11</v>
      </c>
      <c r="P12" s="9">
        <v>80</v>
      </c>
      <c r="Q12" s="9">
        <v>79</v>
      </c>
      <c r="S12" s="9">
        <v>11</v>
      </c>
      <c r="T12" s="9">
        <v>12.3</v>
      </c>
      <c r="U12" s="9">
        <v>12.3</v>
      </c>
      <c r="AF12" t="s">
        <v>266</v>
      </c>
      <c r="AG12" t="s">
        <v>267</v>
      </c>
      <c r="AH12" t="s">
        <v>1590</v>
      </c>
      <c r="AI12" t="s">
        <v>271</v>
      </c>
      <c r="AJ12" t="s">
        <v>231</v>
      </c>
      <c r="AK12">
        <v>18</v>
      </c>
    </row>
    <row r="13" spans="1:37">
      <c r="K13" s="9" t="s">
        <v>4688</v>
      </c>
      <c r="L13" s="9">
        <v>4.2</v>
      </c>
      <c r="M13" s="9" t="s">
        <v>4689</v>
      </c>
      <c r="O13" s="9">
        <v>12</v>
      </c>
      <c r="P13" s="9">
        <v>81</v>
      </c>
      <c r="Q13" s="9">
        <v>79</v>
      </c>
      <c r="S13" s="9">
        <v>12</v>
      </c>
      <c r="T13" s="9">
        <v>14.2</v>
      </c>
      <c r="U13" s="9">
        <v>12.6</v>
      </c>
      <c r="AF13" t="s">
        <v>272</v>
      </c>
      <c r="AG13" t="s">
        <v>273</v>
      </c>
      <c r="AH13" t="s">
        <v>1592</v>
      </c>
      <c r="AI13" t="s">
        <v>249</v>
      </c>
      <c r="AJ13" t="s">
        <v>231</v>
      </c>
      <c r="AK13">
        <v>20</v>
      </c>
    </row>
    <row r="14" spans="1:37" ht="24" customHeight="1">
      <c r="K14" s="9" t="s">
        <v>4690</v>
      </c>
      <c r="L14" s="9">
        <v>4.0999999999999996</v>
      </c>
      <c r="M14" s="9" t="s">
        <v>4691</v>
      </c>
      <c r="S14" s="9">
        <v>13</v>
      </c>
      <c r="T14" s="9">
        <v>15.9</v>
      </c>
      <c r="U14" s="9">
        <v>11.5</v>
      </c>
      <c r="AF14" t="s">
        <v>275</v>
      </c>
      <c r="AG14" t="s">
        <v>276</v>
      </c>
      <c r="AH14" t="s">
        <v>1593</v>
      </c>
      <c r="AI14" t="s">
        <v>230</v>
      </c>
      <c r="AJ14" t="s">
        <v>231</v>
      </c>
      <c r="AK14">
        <v>21</v>
      </c>
    </row>
    <row r="15" spans="1:37">
      <c r="K15" s="9" t="s">
        <v>4692</v>
      </c>
      <c r="L15" s="9">
        <v>4.4000000000000004</v>
      </c>
      <c r="M15" s="9" t="s">
        <v>4691</v>
      </c>
      <c r="S15" s="9">
        <v>14</v>
      </c>
      <c r="T15" s="9">
        <v>16.2</v>
      </c>
      <c r="U15" s="9">
        <v>9.3000000000000007</v>
      </c>
      <c r="AF15" t="s">
        <v>278</v>
      </c>
      <c r="AG15" t="s">
        <v>279</v>
      </c>
      <c r="AH15" t="s">
        <v>1594</v>
      </c>
      <c r="AI15" t="s">
        <v>249</v>
      </c>
      <c r="AJ15" t="s">
        <v>231</v>
      </c>
      <c r="AK15">
        <v>22</v>
      </c>
    </row>
    <row r="16" spans="1:37" ht="24" customHeight="1">
      <c r="K16" s="9" t="s">
        <v>4693</v>
      </c>
      <c r="L16" s="9">
        <v>2.2999999999999998</v>
      </c>
      <c r="M16" s="9" t="s">
        <v>4694</v>
      </c>
      <c r="S16" s="9">
        <v>15</v>
      </c>
      <c r="T16" s="9">
        <v>14.8</v>
      </c>
      <c r="U16" s="9">
        <v>6</v>
      </c>
      <c r="AF16" t="s">
        <v>280</v>
      </c>
      <c r="AG16" t="s">
        <v>281</v>
      </c>
      <c r="AH16" t="s">
        <v>1591</v>
      </c>
      <c r="AI16" t="s">
        <v>230</v>
      </c>
      <c r="AJ16" t="s">
        <v>231</v>
      </c>
      <c r="AK16">
        <v>19</v>
      </c>
    </row>
    <row r="17" spans="19:37">
      <c r="S17" s="9">
        <v>16</v>
      </c>
      <c r="T17" s="9">
        <v>11.5</v>
      </c>
      <c r="U17" s="9">
        <v>2.2000000000000002</v>
      </c>
      <c r="AF17" t="s">
        <v>285</v>
      </c>
      <c r="AG17" t="s">
        <v>286</v>
      </c>
      <c r="AH17" t="s">
        <v>1595</v>
      </c>
      <c r="AI17" t="s">
        <v>230</v>
      </c>
      <c r="AJ17" t="s">
        <v>231</v>
      </c>
      <c r="AK17">
        <v>23</v>
      </c>
    </row>
    <row r="18" spans="19:37">
      <c r="S18" s="9">
        <v>17</v>
      </c>
      <c r="T18" s="9">
        <v>7.1</v>
      </c>
      <c r="U18" s="9">
        <v>0</v>
      </c>
      <c r="AF18" t="s">
        <v>289</v>
      </c>
      <c r="AG18" t="s">
        <v>290</v>
      </c>
      <c r="AH18" t="s">
        <v>1596</v>
      </c>
      <c r="AI18" t="s">
        <v>230</v>
      </c>
      <c r="AJ18" t="s">
        <v>231</v>
      </c>
      <c r="AK18">
        <v>24</v>
      </c>
    </row>
    <row r="19" spans="19:37">
      <c r="AF19" t="s">
        <v>292</v>
      </c>
      <c r="AG19" t="s">
        <v>293</v>
      </c>
      <c r="AH19" t="s">
        <v>1597</v>
      </c>
      <c r="AI19" t="s">
        <v>295</v>
      </c>
      <c r="AJ19" t="s">
        <v>231</v>
      </c>
      <c r="AK19">
        <v>25</v>
      </c>
    </row>
    <row r="20" spans="19:37">
      <c r="AF20" t="s">
        <v>296</v>
      </c>
      <c r="AG20" t="s">
        <v>297</v>
      </c>
      <c r="AH20" t="s">
        <v>1599</v>
      </c>
      <c r="AI20" t="s">
        <v>230</v>
      </c>
      <c r="AJ20" t="s">
        <v>231</v>
      </c>
      <c r="AK20">
        <v>27</v>
      </c>
    </row>
    <row r="21" spans="19:37">
      <c r="AF21" t="s">
        <v>299</v>
      </c>
      <c r="AG21" t="s">
        <v>300</v>
      </c>
      <c r="AH21" t="s">
        <v>1598</v>
      </c>
      <c r="AI21" t="s">
        <v>230</v>
      </c>
      <c r="AJ21" t="s">
        <v>231</v>
      </c>
      <c r="AK21">
        <v>26</v>
      </c>
    </row>
    <row r="22" spans="19:37">
      <c r="AF22" t="s">
        <v>302</v>
      </c>
      <c r="AG22" t="s">
        <v>303</v>
      </c>
      <c r="AI22" t="s">
        <v>249</v>
      </c>
      <c r="AJ22" t="s">
        <v>265</v>
      </c>
    </row>
    <row r="23" spans="19:37">
      <c r="AF23" t="s">
        <v>305</v>
      </c>
      <c r="AG23" t="s">
        <v>306</v>
      </c>
      <c r="AH23" t="s">
        <v>1601</v>
      </c>
      <c r="AI23" t="s">
        <v>308</v>
      </c>
      <c r="AJ23" t="s">
        <v>231</v>
      </c>
      <c r="AK23">
        <v>29</v>
      </c>
    </row>
    <row r="24" spans="19:37">
      <c r="AF24" t="s">
        <v>309</v>
      </c>
      <c r="AG24" t="s">
        <v>310</v>
      </c>
      <c r="AH24" t="s">
        <v>1600</v>
      </c>
      <c r="AI24" t="s">
        <v>249</v>
      </c>
      <c r="AJ24" t="s">
        <v>231</v>
      </c>
      <c r="AK24">
        <v>28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47"/>
  <sheetViews>
    <sheetView showGridLines="0" workbookViewId="0">
      <selection activeCell="E90" sqref="E90"/>
    </sheetView>
  </sheetViews>
  <sheetFormatPr baseColWidth="10" defaultColWidth="9" defaultRowHeight="14.25"/>
  <cols>
    <col min="1" max="1" width="16" style="30" customWidth="1"/>
    <col min="2" max="4" width="34" style="30" customWidth="1"/>
    <col min="5" max="5" width="28" style="30" customWidth="1"/>
    <col min="6" max="6" width="36" style="30" customWidth="1"/>
    <col min="7" max="7" width="38" style="30" customWidth="1"/>
  </cols>
  <sheetData>
    <row r="1" spans="1:14">
      <c r="A1" s="279" t="s">
        <v>4695</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281" t="s">
        <v>4696</v>
      </c>
      <c r="B3" s="152"/>
      <c r="C3" s="152"/>
      <c r="D3" s="152"/>
      <c r="E3" s="152"/>
      <c r="F3" s="152"/>
      <c r="G3" s="152"/>
      <c r="H3" s="152"/>
      <c r="I3" s="152"/>
      <c r="J3" s="152"/>
      <c r="K3" s="152"/>
      <c r="L3" s="152"/>
      <c r="M3" s="152"/>
      <c r="N3" s="152"/>
    </row>
    <row r="5" spans="1:14">
      <c r="A5" s="20" t="str">
        <f>HYPERLINK("#'INICIO'!A1","INICIO")</f>
        <v>INICIO</v>
      </c>
      <c r="B5" s="20" t="str">
        <f>HYPERLINK("#'DATOS'!A1","DATOS")</f>
        <v>DATOS</v>
      </c>
      <c r="C5" s="20" t="str">
        <f>HYPERLINK("#'ENERGÍA'!A1","ENERGÍA")</f>
        <v>ENERGÍA</v>
      </c>
      <c r="D5" s="20" t="str">
        <f>HYPERLINK("#'MACRONUTRIENTES'!A1","MACROS")</f>
        <v>MACROS</v>
      </c>
      <c r="E5" s="20" t="str">
        <f>HYPERLINK("#'AGUA_FIBRA'!A1","AGUA/FIBRA")</f>
        <v>AGUA/FIBRA</v>
      </c>
      <c r="F5" s="20" t="str">
        <f>HYPERLINK("#'FICHA_NUTRIENTE'!A1","FICHA")</f>
        <v>FICHA</v>
      </c>
      <c r="G5" s="20" t="str">
        <f>HYPERLINK("#'RESULTADOS'!A1","RESULTADOS")</f>
        <v>RESULTADOS</v>
      </c>
      <c r="H5" s="21" t="str">
        <f>HYPERLINK("#'DOCUMENTACIÓN'!A1","DOCUMENTACIÓN")</f>
        <v>DOCUMENTACIÓN</v>
      </c>
      <c r="I5" s="20" t="str">
        <f>HYPERLINK("#'COBERTURA'!A1","COBERTURA")</f>
        <v>COBERTURA</v>
      </c>
      <c r="J5" s="26" t="str">
        <f>HYPERLINK("#'AUDITORÍA_FINAL'!A1","AUDITORÍA")</f>
        <v>AUDITORÍA</v>
      </c>
    </row>
    <row r="7" spans="1:14" ht="15.75" customHeight="1">
      <c r="A7" s="280" t="s">
        <v>4697</v>
      </c>
      <c r="B7" s="152"/>
      <c r="C7" s="152"/>
      <c r="D7" s="152"/>
      <c r="E7" s="152"/>
      <c r="F7" s="152"/>
      <c r="G7" s="152"/>
      <c r="H7" s="152"/>
      <c r="I7" s="152"/>
      <c r="J7" s="152"/>
      <c r="K7" s="152"/>
      <c r="L7" s="152"/>
      <c r="M7" s="152"/>
      <c r="N7" s="152"/>
    </row>
    <row r="9" spans="1:14">
      <c r="A9" s="278" t="str">
        <f>"HOJAS"&amp;CHAR(10)&amp;COUNTA(A25:A58)</f>
        <v>HOJAS
34</v>
      </c>
      <c r="B9" s="152"/>
      <c r="C9" s="152"/>
      <c r="E9" s="278" t="str">
        <f>"FUENTES"&amp;CHAR(10)&amp;COUNTA(FUENTES!A8:A100)</f>
        <v>FUENTES
37</v>
      </c>
      <c r="F9" s="152"/>
      <c r="G9" s="152"/>
      <c r="I9" s="278" t="str">
        <f>"PRUEBAS APROBADAS"&amp;CHAR(10)&amp;COUNTIF(PRUEBAS!H8:H100,"APROBADA")</f>
        <v>PRUEBAS APROBADAS
82</v>
      </c>
      <c r="J9" s="152"/>
      <c r="K9" s="152"/>
      <c r="M9" s="278" t="str">
        <f>"COBERTURA"&amp;CHAR(10)&amp;COUNTA(COBERTURA!A14:A100)</f>
        <v>COBERTURA
61</v>
      </c>
      <c r="N9" s="152"/>
    </row>
    <row r="10" spans="1:14">
      <c r="A10" s="152"/>
      <c r="B10" s="152"/>
      <c r="C10" s="152"/>
      <c r="E10" s="152"/>
      <c r="F10" s="152"/>
      <c r="G10" s="152"/>
      <c r="I10" s="152"/>
      <c r="J10" s="152"/>
      <c r="K10" s="152"/>
      <c r="M10" s="152"/>
      <c r="N10" s="152"/>
    </row>
    <row r="11" spans="1:14">
      <c r="A11" s="152"/>
      <c r="B11" s="152"/>
      <c r="C11" s="152"/>
      <c r="E11" s="152"/>
      <c r="F11" s="152"/>
      <c r="G11" s="152"/>
      <c r="I11" s="152"/>
      <c r="J11" s="152"/>
      <c r="K11" s="152"/>
      <c r="M11" s="152"/>
      <c r="N11" s="152"/>
    </row>
    <row r="12" spans="1:14">
      <c r="A12" s="152"/>
      <c r="B12" s="152"/>
      <c r="C12" s="152"/>
      <c r="E12" s="152"/>
      <c r="F12" s="152"/>
      <c r="G12" s="152"/>
      <c r="I12" s="152"/>
      <c r="J12" s="152"/>
      <c r="K12" s="152"/>
      <c r="M12" s="152"/>
      <c r="N12" s="152"/>
    </row>
    <row r="14" spans="1:14" ht="15" customHeight="1">
      <c r="A14" s="277" t="s">
        <v>4698</v>
      </c>
      <c r="B14" s="152"/>
      <c r="C14" s="152"/>
      <c r="D14" s="152"/>
      <c r="E14" s="152"/>
      <c r="F14" s="152"/>
      <c r="G14" s="152"/>
      <c r="H14" s="152"/>
      <c r="I14" s="152"/>
      <c r="J14" s="152"/>
      <c r="K14" s="152"/>
      <c r="L14" s="152"/>
      <c r="M14" s="152"/>
      <c r="N14" s="152"/>
    </row>
    <row r="15" spans="1:14" ht="15" customHeight="1">
      <c r="A15" s="150" t="s">
        <v>4699</v>
      </c>
      <c r="B15" s="150" t="s">
        <v>4700</v>
      </c>
      <c r="C15" s="150"/>
      <c r="D15" s="150"/>
      <c r="E15" s="150"/>
      <c r="F15" s="150"/>
      <c r="G15" s="150"/>
      <c r="H15" s="150"/>
      <c r="I15" s="150"/>
      <c r="J15" s="150"/>
      <c r="K15" s="150"/>
      <c r="L15" s="150"/>
      <c r="M15" s="150"/>
      <c r="N15" s="150"/>
    </row>
    <row r="16" spans="1:14" ht="15" customHeight="1">
      <c r="A16" s="149" t="s">
        <v>4701</v>
      </c>
      <c r="B16" s="149" t="s">
        <v>4702</v>
      </c>
      <c r="C16" s="149"/>
      <c r="D16" s="149"/>
      <c r="E16" s="149"/>
      <c r="F16" s="149"/>
      <c r="G16" s="149"/>
      <c r="H16" s="149"/>
      <c r="I16" s="149"/>
      <c r="J16" s="149"/>
      <c r="K16" s="149"/>
      <c r="L16" s="149"/>
      <c r="M16" s="149"/>
      <c r="N16" s="149"/>
    </row>
    <row r="17" spans="1:14" ht="15" customHeight="1">
      <c r="A17" s="150" t="s">
        <v>4703</v>
      </c>
      <c r="B17" s="150" t="s">
        <v>4704</v>
      </c>
      <c r="C17" s="150"/>
      <c r="D17" s="150"/>
      <c r="E17" s="150"/>
      <c r="F17" s="150"/>
      <c r="G17" s="150"/>
      <c r="H17" s="150"/>
      <c r="I17" s="150"/>
      <c r="J17" s="150"/>
      <c r="K17" s="150"/>
      <c r="L17" s="150"/>
      <c r="M17" s="150"/>
      <c r="N17" s="150"/>
    </row>
    <row r="18" spans="1:14" ht="15" customHeight="1">
      <c r="A18" s="149" t="s">
        <v>4705</v>
      </c>
      <c r="B18" s="149" t="s">
        <v>4706</v>
      </c>
      <c r="C18" s="149"/>
      <c r="D18" s="149"/>
      <c r="E18" s="149"/>
      <c r="F18" s="149"/>
      <c r="G18" s="149"/>
      <c r="H18" s="149"/>
      <c r="I18" s="149"/>
      <c r="J18" s="149"/>
      <c r="K18" s="149"/>
      <c r="L18" s="149"/>
      <c r="M18" s="149"/>
      <c r="N18" s="149"/>
    </row>
    <row r="19" spans="1:14" ht="15" customHeight="1">
      <c r="A19" s="150" t="s">
        <v>4707</v>
      </c>
      <c r="B19" s="150" t="s">
        <v>4708</v>
      </c>
      <c r="C19" s="150"/>
      <c r="D19" s="150"/>
      <c r="E19" s="150"/>
      <c r="F19" s="150"/>
      <c r="G19" s="150"/>
      <c r="H19" s="150"/>
      <c r="I19" s="150"/>
      <c r="J19" s="150"/>
      <c r="K19" s="150"/>
      <c r="L19" s="150"/>
      <c r="M19" s="150"/>
      <c r="N19" s="150"/>
    </row>
    <row r="20" spans="1:14" ht="15" customHeight="1">
      <c r="A20" s="149" t="s">
        <v>4709</v>
      </c>
      <c r="B20" s="149" t="s">
        <v>4710</v>
      </c>
      <c r="C20" s="149"/>
      <c r="D20" s="149"/>
      <c r="E20" s="149"/>
      <c r="F20" s="149"/>
      <c r="G20" s="149"/>
      <c r="H20" s="149"/>
      <c r="I20" s="149"/>
      <c r="J20" s="149"/>
      <c r="K20" s="149"/>
      <c r="L20" s="149"/>
      <c r="M20" s="149"/>
      <c r="N20" s="149"/>
    </row>
    <row r="22" spans="1:14" ht="15" customHeight="1">
      <c r="A22" s="277" t="s">
        <v>4711</v>
      </c>
      <c r="B22" s="152"/>
      <c r="C22" s="152"/>
      <c r="D22" s="152"/>
      <c r="E22" s="152"/>
      <c r="F22" s="152"/>
      <c r="G22" s="152"/>
      <c r="H22" s="152"/>
      <c r="I22" s="152"/>
      <c r="J22" s="152"/>
      <c r="K22" s="152"/>
      <c r="L22" s="152"/>
      <c r="M22" s="152"/>
      <c r="N22" s="152"/>
    </row>
    <row r="24" spans="1:14" ht="15" customHeight="1">
      <c r="A24" s="23" t="s">
        <v>382</v>
      </c>
      <c r="B24" s="23" t="s">
        <v>6</v>
      </c>
      <c r="C24" s="23" t="s">
        <v>7</v>
      </c>
      <c r="D24" s="23" t="s">
        <v>4712</v>
      </c>
      <c r="E24" s="23" t="s">
        <v>4713</v>
      </c>
      <c r="F24" s="23" t="s">
        <v>4714</v>
      </c>
      <c r="G24" s="23" t="s">
        <v>1343</v>
      </c>
    </row>
    <row r="25" spans="1:14">
      <c r="A25" s="37" t="s">
        <v>4715</v>
      </c>
      <c r="B25" s="37" t="s">
        <v>4716</v>
      </c>
      <c r="C25" s="37" t="s">
        <v>4717</v>
      </c>
      <c r="D25" s="37" t="s">
        <v>265</v>
      </c>
      <c r="E25" s="37" t="s">
        <v>4718</v>
      </c>
      <c r="F25" s="37" t="s">
        <v>4719</v>
      </c>
      <c r="G25" s="37" t="s">
        <v>4720</v>
      </c>
    </row>
    <row r="26" spans="1:14" ht="28.5" customHeight="1">
      <c r="A26" s="37" t="s">
        <v>4715</v>
      </c>
      <c r="B26" s="37" t="s">
        <v>204</v>
      </c>
      <c r="C26" s="37" t="s">
        <v>4721</v>
      </c>
      <c r="D26" s="37" t="s">
        <v>231</v>
      </c>
      <c r="E26" s="37" t="s">
        <v>4722</v>
      </c>
      <c r="F26" s="37" t="s">
        <v>4723</v>
      </c>
      <c r="G26" s="37" t="s">
        <v>4724</v>
      </c>
    </row>
    <row r="27" spans="1:14" ht="28.5" customHeight="1">
      <c r="A27" s="37" t="s">
        <v>4715</v>
      </c>
      <c r="B27" s="37" t="s">
        <v>688</v>
      </c>
      <c r="C27" s="37" t="s">
        <v>4725</v>
      </c>
      <c r="D27" s="37" t="s">
        <v>4726</v>
      </c>
      <c r="E27" s="37" t="s">
        <v>4727</v>
      </c>
      <c r="F27" s="37" t="s">
        <v>4728</v>
      </c>
      <c r="G27" s="37" t="s">
        <v>4729</v>
      </c>
    </row>
    <row r="28" spans="1:14" ht="28.5" customHeight="1">
      <c r="A28" s="37" t="s">
        <v>4715</v>
      </c>
      <c r="B28" s="37" t="s">
        <v>881</v>
      </c>
      <c r="C28" s="37" t="s">
        <v>4730</v>
      </c>
      <c r="D28" s="37" t="s">
        <v>4731</v>
      </c>
      <c r="E28" s="37" t="s">
        <v>4732</v>
      </c>
      <c r="F28" s="37" t="s">
        <v>4733</v>
      </c>
      <c r="G28" s="37" t="s">
        <v>4734</v>
      </c>
    </row>
    <row r="29" spans="1:14" ht="28.5" customHeight="1">
      <c r="A29" s="37" t="s">
        <v>4715</v>
      </c>
      <c r="B29" s="37" t="s">
        <v>723</v>
      </c>
      <c r="C29" s="37" t="s">
        <v>4735</v>
      </c>
      <c r="D29" s="37" t="s">
        <v>231</v>
      </c>
      <c r="E29" s="37" t="s">
        <v>4736</v>
      </c>
      <c r="F29" s="37" t="s">
        <v>4737</v>
      </c>
      <c r="G29" s="37" t="s">
        <v>4738</v>
      </c>
    </row>
    <row r="30" spans="1:14">
      <c r="A30" s="37" t="s">
        <v>4715</v>
      </c>
      <c r="B30" s="37" t="s">
        <v>922</v>
      </c>
      <c r="C30" s="37" t="s">
        <v>4739</v>
      </c>
      <c r="D30" s="37" t="s">
        <v>4731</v>
      </c>
      <c r="E30" s="37" t="s">
        <v>4732</v>
      </c>
      <c r="F30" s="37" t="s">
        <v>4740</v>
      </c>
      <c r="G30" s="37" t="s">
        <v>4741</v>
      </c>
    </row>
    <row r="31" spans="1:14">
      <c r="A31" s="37" t="s">
        <v>4742</v>
      </c>
      <c r="B31" s="37" t="s">
        <v>4743</v>
      </c>
      <c r="C31" s="37" t="s">
        <v>4744</v>
      </c>
      <c r="D31" s="37" t="s">
        <v>265</v>
      </c>
      <c r="E31" s="37" t="s">
        <v>4718</v>
      </c>
      <c r="F31" s="37" t="s">
        <v>4745</v>
      </c>
      <c r="G31" s="37" t="s">
        <v>4746</v>
      </c>
    </row>
    <row r="32" spans="1:14" ht="28.5" customHeight="1">
      <c r="A32" s="37" t="s">
        <v>4742</v>
      </c>
      <c r="B32" s="37" t="s">
        <v>4747</v>
      </c>
      <c r="C32" s="37" t="s">
        <v>4748</v>
      </c>
      <c r="D32" s="37" t="s">
        <v>231</v>
      </c>
      <c r="E32" s="37" t="s">
        <v>4749</v>
      </c>
      <c r="F32" s="37" t="s">
        <v>4750</v>
      </c>
      <c r="G32" s="37" t="s">
        <v>4751</v>
      </c>
    </row>
    <row r="33" spans="1:7" ht="28.5" customHeight="1">
      <c r="A33" s="37" t="s">
        <v>4715</v>
      </c>
      <c r="B33" s="37" t="s">
        <v>3463</v>
      </c>
      <c r="C33" s="37" t="s">
        <v>4752</v>
      </c>
      <c r="D33" s="37" t="s">
        <v>231</v>
      </c>
      <c r="E33" s="37" t="s">
        <v>4753</v>
      </c>
      <c r="F33" s="37" t="s">
        <v>4754</v>
      </c>
      <c r="G33" s="37" t="s">
        <v>4755</v>
      </c>
    </row>
    <row r="34" spans="1:7" ht="28.5" customHeight="1">
      <c r="A34" s="37" t="s">
        <v>4742</v>
      </c>
      <c r="B34" s="37" t="s">
        <v>1022</v>
      </c>
      <c r="C34" s="37" t="s">
        <v>4756</v>
      </c>
      <c r="D34" s="37" t="s">
        <v>231</v>
      </c>
      <c r="E34" s="37" t="s">
        <v>4757</v>
      </c>
      <c r="F34" s="37" t="s">
        <v>4758</v>
      </c>
      <c r="G34" s="37" t="s">
        <v>4759</v>
      </c>
    </row>
    <row r="35" spans="1:7">
      <c r="A35" s="37" t="s">
        <v>4742</v>
      </c>
      <c r="B35" s="37" t="s">
        <v>969</v>
      </c>
      <c r="C35" s="37" t="s">
        <v>4760</v>
      </c>
      <c r="D35" s="37" t="s">
        <v>231</v>
      </c>
      <c r="E35" s="37" t="s">
        <v>4749</v>
      </c>
      <c r="F35" s="37" t="s">
        <v>4761</v>
      </c>
      <c r="G35" s="37" t="s">
        <v>4762</v>
      </c>
    </row>
    <row r="36" spans="1:7">
      <c r="A36" s="37" t="s">
        <v>4742</v>
      </c>
      <c r="B36" s="37" t="s">
        <v>974</v>
      </c>
      <c r="C36" s="37" t="s">
        <v>4763</v>
      </c>
      <c r="D36" s="37" t="s">
        <v>231</v>
      </c>
      <c r="E36" s="37" t="s">
        <v>4749</v>
      </c>
      <c r="F36" s="37" t="s">
        <v>4764</v>
      </c>
      <c r="G36" s="37" t="s">
        <v>1285</v>
      </c>
    </row>
    <row r="37" spans="1:7">
      <c r="A37" s="37" t="s">
        <v>4765</v>
      </c>
      <c r="B37" s="37" t="s">
        <v>4766</v>
      </c>
      <c r="C37" s="37" t="s">
        <v>4767</v>
      </c>
      <c r="D37" s="37" t="s">
        <v>231</v>
      </c>
      <c r="E37" s="37" t="s">
        <v>4749</v>
      </c>
      <c r="F37" s="37" t="s">
        <v>4768</v>
      </c>
      <c r="G37" s="37" t="s">
        <v>4769</v>
      </c>
    </row>
    <row r="38" spans="1:7" ht="28.5" customHeight="1">
      <c r="A38" s="37" t="s">
        <v>4770</v>
      </c>
      <c r="B38" s="37" t="s">
        <v>1047</v>
      </c>
      <c r="C38" s="37" t="s">
        <v>4771</v>
      </c>
      <c r="D38" s="37" t="s">
        <v>265</v>
      </c>
      <c r="E38" s="37" t="s">
        <v>4772</v>
      </c>
      <c r="F38" s="37" t="s">
        <v>4773</v>
      </c>
      <c r="G38" s="37" t="s">
        <v>4774</v>
      </c>
    </row>
    <row r="39" spans="1:7">
      <c r="A39" s="37" t="s">
        <v>4765</v>
      </c>
      <c r="B39" s="37" t="s">
        <v>4775</v>
      </c>
      <c r="C39" s="37" t="s">
        <v>4776</v>
      </c>
      <c r="D39" s="37" t="s">
        <v>265</v>
      </c>
      <c r="E39" s="37" t="s">
        <v>4718</v>
      </c>
      <c r="F39" s="37" t="s">
        <v>4777</v>
      </c>
      <c r="G39" s="37" t="s">
        <v>4778</v>
      </c>
    </row>
    <row r="40" spans="1:7">
      <c r="A40" s="37" t="s">
        <v>1261</v>
      </c>
      <c r="B40" s="37" t="s">
        <v>979</v>
      </c>
      <c r="C40" s="37" t="s">
        <v>4779</v>
      </c>
      <c r="D40" s="37" t="s">
        <v>265</v>
      </c>
      <c r="E40" s="37" t="s">
        <v>4718</v>
      </c>
      <c r="F40" s="37" t="s">
        <v>4780</v>
      </c>
      <c r="G40" s="37" t="s">
        <v>4781</v>
      </c>
    </row>
    <row r="41" spans="1:7">
      <c r="A41" s="37" t="s">
        <v>1261</v>
      </c>
      <c r="B41" s="37" t="s">
        <v>1317</v>
      </c>
      <c r="C41" s="37" t="s">
        <v>4782</v>
      </c>
      <c r="D41" s="37" t="s">
        <v>265</v>
      </c>
      <c r="E41" s="37" t="s">
        <v>4718</v>
      </c>
      <c r="F41" s="37" t="s">
        <v>4783</v>
      </c>
      <c r="G41" s="37" t="s">
        <v>4784</v>
      </c>
    </row>
    <row r="42" spans="1:7">
      <c r="A42" s="37" t="s">
        <v>1261</v>
      </c>
      <c r="B42" s="37" t="s">
        <v>4785</v>
      </c>
      <c r="C42" s="37" t="s">
        <v>4786</v>
      </c>
      <c r="D42" s="37" t="s">
        <v>4787</v>
      </c>
      <c r="E42" s="37" t="s">
        <v>4788</v>
      </c>
      <c r="F42" s="37" t="s">
        <v>4789</v>
      </c>
      <c r="G42" s="37" t="s">
        <v>4790</v>
      </c>
    </row>
    <row r="43" spans="1:7">
      <c r="A43" s="37" t="s">
        <v>1261</v>
      </c>
      <c r="B43" s="37" t="s">
        <v>4791</v>
      </c>
      <c r="C43" s="37" t="s">
        <v>4792</v>
      </c>
      <c r="D43" s="37" t="s">
        <v>265</v>
      </c>
      <c r="E43" s="37" t="s">
        <v>4718</v>
      </c>
      <c r="F43" s="37" t="s">
        <v>4793</v>
      </c>
      <c r="G43" s="37" t="s">
        <v>4794</v>
      </c>
    </row>
    <row r="44" spans="1:7">
      <c r="A44" s="37" t="s">
        <v>1261</v>
      </c>
      <c r="B44" s="37" t="s">
        <v>4795</v>
      </c>
      <c r="C44" s="37" t="s">
        <v>4796</v>
      </c>
      <c r="D44" s="37" t="s">
        <v>265</v>
      </c>
      <c r="E44" s="37" t="s">
        <v>4718</v>
      </c>
      <c r="F44" s="37" t="s">
        <v>4797</v>
      </c>
      <c r="G44" s="37" t="s">
        <v>4798</v>
      </c>
    </row>
    <row r="45" spans="1:7">
      <c r="A45" s="37" t="s">
        <v>1261</v>
      </c>
      <c r="B45" s="37" t="s">
        <v>4799</v>
      </c>
      <c r="C45" s="37" t="s">
        <v>4800</v>
      </c>
      <c r="D45" s="37" t="s">
        <v>265</v>
      </c>
      <c r="E45" s="37" t="s">
        <v>4718</v>
      </c>
      <c r="F45" s="37" t="s">
        <v>4801</v>
      </c>
      <c r="G45" s="37" t="s">
        <v>4802</v>
      </c>
    </row>
    <row r="46" spans="1:7" ht="28.5" customHeight="1">
      <c r="A46" s="37" t="s">
        <v>4803</v>
      </c>
      <c r="B46" s="37" t="s">
        <v>1092</v>
      </c>
      <c r="C46" s="37" t="s">
        <v>4804</v>
      </c>
      <c r="D46" s="37" t="s">
        <v>265</v>
      </c>
      <c r="E46" s="37" t="s">
        <v>4718</v>
      </c>
      <c r="F46" s="37" t="s">
        <v>4805</v>
      </c>
      <c r="G46" s="37" t="s">
        <v>4806</v>
      </c>
    </row>
    <row r="47" spans="1:7" ht="28.5" customHeight="1">
      <c r="A47" s="37" t="s">
        <v>4803</v>
      </c>
      <c r="B47" s="37" t="s">
        <v>1100</v>
      </c>
      <c r="C47" s="37" t="s">
        <v>4807</v>
      </c>
      <c r="D47" s="37" t="s">
        <v>265</v>
      </c>
      <c r="E47" s="37" t="s">
        <v>4718</v>
      </c>
      <c r="F47" s="37" t="s">
        <v>4808</v>
      </c>
      <c r="G47" s="37" t="s">
        <v>4806</v>
      </c>
    </row>
    <row r="48" spans="1:7" ht="28.5" customHeight="1">
      <c r="A48" s="37" t="s">
        <v>4809</v>
      </c>
      <c r="B48" s="37" t="s">
        <v>4810</v>
      </c>
      <c r="C48" s="37" t="s">
        <v>4811</v>
      </c>
      <c r="D48" s="37" t="s">
        <v>265</v>
      </c>
      <c r="E48" s="37" t="s">
        <v>4812</v>
      </c>
      <c r="F48" s="37" t="s">
        <v>4813</v>
      </c>
      <c r="G48" s="37" t="s">
        <v>4814</v>
      </c>
    </row>
    <row r="49" spans="1:14">
      <c r="A49" s="37" t="s">
        <v>4809</v>
      </c>
      <c r="B49" s="37" t="s">
        <v>4815</v>
      </c>
      <c r="C49" s="37" t="s">
        <v>4816</v>
      </c>
      <c r="D49" s="37" t="s">
        <v>265</v>
      </c>
      <c r="E49" s="37" t="s">
        <v>4812</v>
      </c>
      <c r="F49" s="37" t="s">
        <v>4817</v>
      </c>
      <c r="G49" s="37" t="s">
        <v>4818</v>
      </c>
    </row>
    <row r="50" spans="1:14">
      <c r="A50" s="37" t="s">
        <v>4809</v>
      </c>
      <c r="B50" s="37" t="s">
        <v>4819</v>
      </c>
      <c r="C50" s="37" t="s">
        <v>4820</v>
      </c>
      <c r="D50" s="37" t="s">
        <v>265</v>
      </c>
      <c r="E50" s="37" t="s">
        <v>4812</v>
      </c>
      <c r="F50" s="37" t="s">
        <v>4821</v>
      </c>
      <c r="G50" s="37" t="s">
        <v>4818</v>
      </c>
    </row>
    <row r="51" spans="1:14">
      <c r="A51" s="37" t="s">
        <v>4809</v>
      </c>
      <c r="B51" s="37" t="s">
        <v>4822</v>
      </c>
      <c r="C51" s="37" t="s">
        <v>4823</v>
      </c>
      <c r="D51" s="37" t="s">
        <v>265</v>
      </c>
      <c r="E51" s="37" t="s">
        <v>4812</v>
      </c>
      <c r="F51" s="37" t="s">
        <v>4824</v>
      </c>
      <c r="G51" s="37" t="s">
        <v>4818</v>
      </c>
    </row>
    <row r="52" spans="1:14">
      <c r="A52" s="37" t="s">
        <v>4809</v>
      </c>
      <c r="B52" s="37" t="s">
        <v>1017</v>
      </c>
      <c r="C52" s="37" t="s">
        <v>4825</v>
      </c>
      <c r="D52" s="37" t="s">
        <v>265</v>
      </c>
      <c r="E52" s="37" t="s">
        <v>4812</v>
      </c>
      <c r="F52" s="37" t="s">
        <v>4826</v>
      </c>
      <c r="G52" s="37" t="s">
        <v>4827</v>
      </c>
    </row>
    <row r="53" spans="1:14">
      <c r="A53" s="37" t="s">
        <v>4809</v>
      </c>
      <c r="B53" s="37" t="s">
        <v>4828</v>
      </c>
      <c r="C53" s="37" t="s">
        <v>4829</v>
      </c>
      <c r="D53" s="37" t="s">
        <v>265</v>
      </c>
      <c r="E53" s="37" t="s">
        <v>4812</v>
      </c>
      <c r="F53" s="37" t="s">
        <v>4830</v>
      </c>
      <c r="G53" s="37" t="s">
        <v>4831</v>
      </c>
    </row>
    <row r="54" spans="1:14">
      <c r="A54" s="37" t="s">
        <v>4809</v>
      </c>
      <c r="B54" s="37" t="s">
        <v>4832</v>
      </c>
      <c r="C54" s="37" t="s">
        <v>4833</v>
      </c>
      <c r="D54" s="37" t="s">
        <v>265</v>
      </c>
      <c r="E54" s="37" t="s">
        <v>4812</v>
      </c>
      <c r="F54" s="37" t="s">
        <v>4834</v>
      </c>
      <c r="G54" s="37" t="s">
        <v>4835</v>
      </c>
    </row>
    <row r="55" spans="1:14">
      <c r="A55" s="37" t="s">
        <v>4809</v>
      </c>
      <c r="B55" s="37" t="s">
        <v>4836</v>
      </c>
      <c r="C55" s="37" t="s">
        <v>4837</v>
      </c>
      <c r="D55" s="37" t="s">
        <v>265</v>
      </c>
      <c r="E55" s="37" t="s">
        <v>4812</v>
      </c>
      <c r="F55" s="37" t="s">
        <v>4838</v>
      </c>
      <c r="G55" s="37" t="s">
        <v>4839</v>
      </c>
    </row>
    <row r="56" spans="1:14">
      <c r="A56" s="37" t="s">
        <v>4809</v>
      </c>
      <c r="B56" s="37" t="s">
        <v>966</v>
      </c>
      <c r="C56" s="37" t="s">
        <v>4840</v>
      </c>
      <c r="D56" s="37" t="s">
        <v>265</v>
      </c>
      <c r="E56" s="37" t="s">
        <v>4812</v>
      </c>
      <c r="F56" s="37" t="s">
        <v>4841</v>
      </c>
      <c r="G56" s="37" t="s">
        <v>4842</v>
      </c>
    </row>
    <row r="57" spans="1:14">
      <c r="A57" s="37" t="s">
        <v>4809</v>
      </c>
      <c r="B57" s="37" t="s">
        <v>161</v>
      </c>
      <c r="C57" s="37" t="s">
        <v>4843</v>
      </c>
      <c r="D57" s="37" t="s">
        <v>4844</v>
      </c>
      <c r="E57" s="37" t="s">
        <v>4845</v>
      </c>
      <c r="F57" s="37" t="s">
        <v>4846</v>
      </c>
      <c r="G57" s="37" t="s">
        <v>4847</v>
      </c>
    </row>
    <row r="58" spans="1:14" ht="28.5" customHeight="1">
      <c r="A58" s="37" t="s">
        <v>4809</v>
      </c>
      <c r="B58" s="37" t="s">
        <v>4848</v>
      </c>
      <c r="C58" s="37" t="s">
        <v>4849</v>
      </c>
      <c r="D58" s="37" t="s">
        <v>265</v>
      </c>
      <c r="E58" s="37" t="s">
        <v>4812</v>
      </c>
      <c r="F58" s="37" t="s">
        <v>4850</v>
      </c>
      <c r="G58" s="37" t="s">
        <v>4818</v>
      </c>
    </row>
    <row r="59" spans="1:14">
      <c r="A59" s="37" t="s">
        <v>4803</v>
      </c>
      <c r="B59" s="37" t="s">
        <v>4851</v>
      </c>
      <c r="C59" s="37" t="s">
        <v>4852</v>
      </c>
      <c r="D59" s="37" t="s">
        <v>265</v>
      </c>
      <c r="E59" s="37" t="s">
        <v>4718</v>
      </c>
      <c r="F59" s="37" t="s">
        <v>4853</v>
      </c>
      <c r="G59" s="37" t="s">
        <v>4854</v>
      </c>
    </row>
    <row r="60" spans="1:14" ht="15" customHeight="1">
      <c r="A60" s="277" t="s">
        <v>4855</v>
      </c>
      <c r="B60" s="152"/>
      <c r="C60" s="152"/>
      <c r="D60" s="152"/>
      <c r="E60" s="152"/>
      <c r="F60" s="152"/>
      <c r="G60" s="152"/>
      <c r="H60" s="152"/>
      <c r="I60" s="152"/>
      <c r="J60" s="152"/>
      <c r="K60" s="152"/>
      <c r="L60" s="152"/>
      <c r="M60" s="152"/>
      <c r="N60" s="152"/>
    </row>
    <row r="62" spans="1:14" ht="15" customHeight="1">
      <c r="A62" s="23" t="s">
        <v>188</v>
      </c>
      <c r="B62" s="23" t="s">
        <v>4856</v>
      </c>
      <c r="C62" s="23" t="s">
        <v>4857</v>
      </c>
      <c r="D62" s="23" t="s">
        <v>4858</v>
      </c>
      <c r="E62" s="23" t="s">
        <v>158</v>
      </c>
      <c r="F62" s="23" t="s">
        <v>4859</v>
      </c>
    </row>
    <row r="63" spans="1:14" ht="28.5" customHeight="1">
      <c r="A63" s="149" t="s">
        <v>4860</v>
      </c>
      <c r="B63" s="149" t="s">
        <v>2872</v>
      </c>
      <c r="C63" s="149" t="s">
        <v>4861</v>
      </c>
      <c r="D63" s="149" t="s">
        <v>4862</v>
      </c>
      <c r="E63" s="149" t="s">
        <v>690</v>
      </c>
      <c r="F63" s="149" t="s">
        <v>4863</v>
      </c>
    </row>
    <row r="64" spans="1:14" ht="28.5" customHeight="1">
      <c r="A64" s="149" t="s">
        <v>4864</v>
      </c>
      <c r="B64" s="149" t="s">
        <v>4865</v>
      </c>
      <c r="C64" s="149" t="s">
        <v>4866</v>
      </c>
      <c r="D64" s="149" t="s">
        <v>4862</v>
      </c>
      <c r="E64" s="149" t="s">
        <v>682</v>
      </c>
      <c r="F64" s="149" t="s">
        <v>4867</v>
      </c>
    </row>
    <row r="65" spans="1:14" ht="28.5" customHeight="1">
      <c r="A65" s="149" t="s">
        <v>4868</v>
      </c>
      <c r="B65" s="149" t="s">
        <v>4673</v>
      </c>
      <c r="C65" s="149" t="s">
        <v>4869</v>
      </c>
      <c r="D65" s="149" t="s">
        <v>688</v>
      </c>
      <c r="E65" s="149" t="s">
        <v>682</v>
      </c>
      <c r="F65" s="149" t="s">
        <v>4870</v>
      </c>
    </row>
    <row r="66" spans="1:14" ht="28.5" customHeight="1">
      <c r="A66" s="149" t="s">
        <v>4871</v>
      </c>
      <c r="B66" s="149" t="s">
        <v>4676</v>
      </c>
      <c r="C66" s="149" t="s">
        <v>4872</v>
      </c>
      <c r="D66" s="149" t="s">
        <v>4862</v>
      </c>
      <c r="E66" s="149" t="s">
        <v>697</v>
      </c>
      <c r="F66" s="149" t="s">
        <v>4873</v>
      </c>
    </row>
    <row r="67" spans="1:14" ht="28.5" customHeight="1">
      <c r="A67" s="149" t="s">
        <v>4874</v>
      </c>
      <c r="B67" s="149" t="s">
        <v>4875</v>
      </c>
      <c r="C67" s="149" t="s">
        <v>4876</v>
      </c>
      <c r="D67" s="149" t="s">
        <v>881</v>
      </c>
      <c r="E67" s="149" t="s">
        <v>711</v>
      </c>
      <c r="F67" s="149" t="s">
        <v>4877</v>
      </c>
    </row>
    <row r="68" spans="1:14" ht="28.5" customHeight="1">
      <c r="A68" s="149" t="s">
        <v>4878</v>
      </c>
      <c r="B68" s="149" t="s">
        <v>166</v>
      </c>
      <c r="C68" s="149" t="s">
        <v>4879</v>
      </c>
      <c r="D68" s="149" t="s">
        <v>723</v>
      </c>
      <c r="E68" s="149" t="s">
        <v>718</v>
      </c>
      <c r="F68" s="149" t="s">
        <v>4880</v>
      </c>
    </row>
    <row r="69" spans="1:14">
      <c r="A69" s="149" t="s">
        <v>4881</v>
      </c>
      <c r="B69" s="149" t="s">
        <v>4882</v>
      </c>
      <c r="C69" s="149" t="s">
        <v>4883</v>
      </c>
      <c r="D69" s="149" t="s">
        <v>3463</v>
      </c>
      <c r="E69" s="149" t="s">
        <v>366</v>
      </c>
      <c r="F69" s="149" t="s">
        <v>4884</v>
      </c>
    </row>
    <row r="70" spans="1:14" ht="28.5" customHeight="1">
      <c r="A70" s="149" t="s">
        <v>4885</v>
      </c>
      <c r="B70" s="149" t="s">
        <v>4886</v>
      </c>
      <c r="C70" s="149" t="s">
        <v>4887</v>
      </c>
      <c r="D70" s="149" t="s">
        <v>4888</v>
      </c>
      <c r="E70" s="149" t="s">
        <v>703</v>
      </c>
      <c r="F70" s="149" t="s">
        <v>4889</v>
      </c>
    </row>
    <row r="71" spans="1:14" ht="28.5" customHeight="1">
      <c r="A71" s="149" t="s">
        <v>4890</v>
      </c>
      <c r="B71" s="149" t="s">
        <v>133</v>
      </c>
      <c r="C71" s="149" t="s">
        <v>4891</v>
      </c>
      <c r="D71" s="149" t="s">
        <v>4892</v>
      </c>
      <c r="E71" s="149" t="s">
        <v>1215</v>
      </c>
      <c r="F71" s="149" t="s">
        <v>4893</v>
      </c>
    </row>
    <row r="72" spans="1:14" ht="28.5" customHeight="1">
      <c r="A72" s="149" t="s">
        <v>4894</v>
      </c>
      <c r="B72" s="149" t="s">
        <v>4895</v>
      </c>
      <c r="C72" s="149" t="s">
        <v>4896</v>
      </c>
      <c r="D72" s="149" t="s">
        <v>4897</v>
      </c>
      <c r="E72" s="149" t="s">
        <v>822</v>
      </c>
      <c r="F72" s="149" t="s">
        <v>4898</v>
      </c>
    </row>
    <row r="75" spans="1:14" ht="15" customHeight="1">
      <c r="A75" s="277" t="s">
        <v>4899</v>
      </c>
      <c r="B75" s="152"/>
      <c r="C75" s="152"/>
      <c r="D75" s="152"/>
      <c r="E75" s="152"/>
      <c r="F75" s="152"/>
      <c r="G75" s="152"/>
      <c r="H75" s="152"/>
      <c r="I75" s="152"/>
      <c r="J75" s="152"/>
      <c r="K75" s="152"/>
      <c r="L75" s="152"/>
      <c r="M75" s="152"/>
      <c r="N75" s="152"/>
    </row>
    <row r="77" spans="1:14" ht="15" customHeight="1">
      <c r="A77" s="23" t="s">
        <v>188</v>
      </c>
      <c r="B77" s="23" t="s">
        <v>4900</v>
      </c>
      <c r="C77" s="23" t="s">
        <v>4901</v>
      </c>
      <c r="D77" s="23" t="s">
        <v>4584</v>
      </c>
    </row>
    <row r="78" spans="1:14" ht="28.5" customHeight="1">
      <c r="A78" s="149" t="s">
        <v>4902</v>
      </c>
      <c r="B78" s="149" t="s">
        <v>4903</v>
      </c>
      <c r="C78" s="149" t="s">
        <v>4904</v>
      </c>
      <c r="D78" s="149" t="s">
        <v>4905</v>
      </c>
    </row>
    <row r="79" spans="1:14">
      <c r="A79" s="149" t="s">
        <v>4906</v>
      </c>
      <c r="B79" s="149" t="s">
        <v>4907</v>
      </c>
      <c r="C79" s="149" t="s">
        <v>4908</v>
      </c>
      <c r="D79" s="149" t="s">
        <v>4909</v>
      </c>
    </row>
    <row r="80" spans="1:14" ht="28.5" customHeight="1">
      <c r="A80" s="149" t="s">
        <v>4910</v>
      </c>
      <c r="B80" s="149" t="s">
        <v>4911</v>
      </c>
      <c r="C80" s="149" t="s">
        <v>4912</v>
      </c>
      <c r="D80" s="149" t="s">
        <v>4913</v>
      </c>
    </row>
    <row r="81" spans="1:14" ht="28.5" customHeight="1">
      <c r="A81" s="149" t="s">
        <v>4914</v>
      </c>
      <c r="B81" s="149" t="s">
        <v>74</v>
      </c>
      <c r="C81" s="149" t="s">
        <v>4915</v>
      </c>
      <c r="D81" s="149" t="s">
        <v>4916</v>
      </c>
    </row>
    <row r="82" spans="1:14">
      <c r="A82" s="149" t="s">
        <v>4917</v>
      </c>
      <c r="B82" s="149" t="s">
        <v>4918</v>
      </c>
      <c r="C82" s="149" t="s">
        <v>4919</v>
      </c>
      <c r="D82" s="149" t="s">
        <v>4920</v>
      </c>
    </row>
    <row r="83" spans="1:14" ht="28.5" customHeight="1">
      <c r="A83" s="149" t="s">
        <v>4921</v>
      </c>
      <c r="B83" s="149" t="s">
        <v>303</v>
      </c>
      <c r="C83" s="149" t="s">
        <v>4922</v>
      </c>
      <c r="D83" s="149" t="s">
        <v>4923</v>
      </c>
    </row>
    <row r="84" spans="1:14">
      <c r="A84" s="149" t="s">
        <v>4924</v>
      </c>
      <c r="B84" s="149" t="s">
        <v>263</v>
      </c>
      <c r="C84" s="149" t="s">
        <v>4925</v>
      </c>
      <c r="D84" s="149" t="s">
        <v>4926</v>
      </c>
    </row>
    <row r="85" spans="1:14" ht="28.5" customHeight="1">
      <c r="A85" s="149" t="s">
        <v>4927</v>
      </c>
      <c r="B85" s="149" t="s">
        <v>378</v>
      </c>
      <c r="C85" s="149" t="s">
        <v>4928</v>
      </c>
      <c r="D85" s="149" t="s">
        <v>4929</v>
      </c>
    </row>
    <row r="86" spans="1:14" ht="28.5" customHeight="1">
      <c r="A86" s="149" t="s">
        <v>4930</v>
      </c>
      <c r="B86" s="149" t="s">
        <v>1448</v>
      </c>
      <c r="C86" s="149" t="s">
        <v>4931</v>
      </c>
      <c r="D86" s="149" t="s">
        <v>4932</v>
      </c>
    </row>
    <row r="87" spans="1:14" ht="28.5" customHeight="1">
      <c r="A87" s="149" t="s">
        <v>4933</v>
      </c>
      <c r="B87" s="149" t="s">
        <v>1428</v>
      </c>
      <c r="C87" s="149" t="s">
        <v>4934</v>
      </c>
      <c r="D87" s="149" t="s">
        <v>4935</v>
      </c>
    </row>
    <row r="88" spans="1:14" ht="28.5" customHeight="1">
      <c r="A88" s="149" t="s">
        <v>4936</v>
      </c>
      <c r="B88" s="149" t="s">
        <v>4937</v>
      </c>
      <c r="C88" s="149" t="s">
        <v>4938</v>
      </c>
      <c r="D88" s="149" t="s">
        <v>4939</v>
      </c>
    </row>
    <row r="89" spans="1:14">
      <c r="A89" s="149" t="s">
        <v>4940</v>
      </c>
      <c r="B89" s="149" t="s">
        <v>4941</v>
      </c>
      <c r="C89" s="149" t="s">
        <v>4942</v>
      </c>
      <c r="D89" s="149" t="s">
        <v>4943</v>
      </c>
    </row>
    <row r="90" spans="1:14">
      <c r="A90" s="149" t="s">
        <v>4944</v>
      </c>
      <c r="B90" s="149" t="s">
        <v>4945</v>
      </c>
      <c r="C90" s="149" t="s">
        <v>4946</v>
      </c>
      <c r="D90" s="149" t="s">
        <v>4947</v>
      </c>
    </row>
    <row r="91" spans="1:14">
      <c r="A91" s="149" t="s">
        <v>4948</v>
      </c>
      <c r="B91" s="149" t="s">
        <v>4949</v>
      </c>
      <c r="C91" s="149" t="s">
        <v>4950</v>
      </c>
      <c r="D91" s="149" t="s">
        <v>4951</v>
      </c>
    </row>
    <row r="92" spans="1:14" ht="28.5" customHeight="1">
      <c r="A92" s="149" t="s">
        <v>4952</v>
      </c>
      <c r="B92" s="149" t="s">
        <v>4953</v>
      </c>
      <c r="C92" s="149" t="s">
        <v>4954</v>
      </c>
      <c r="D92" s="149" t="s">
        <v>4955</v>
      </c>
    </row>
    <row r="95" spans="1:14" ht="15" customHeight="1">
      <c r="A95" s="277" t="s">
        <v>4956</v>
      </c>
      <c r="B95" s="152"/>
      <c r="C95" s="152"/>
      <c r="D95" s="152"/>
      <c r="E95" s="152"/>
      <c r="F95" s="152"/>
      <c r="G95" s="152"/>
      <c r="H95" s="152"/>
      <c r="I95" s="152"/>
      <c r="J95" s="152"/>
      <c r="K95" s="152"/>
      <c r="L95" s="152"/>
      <c r="M95" s="152"/>
      <c r="N95" s="152"/>
    </row>
    <row r="97" spans="1:14" ht="15" customHeight="1">
      <c r="A97" s="23" t="s">
        <v>188</v>
      </c>
      <c r="B97" s="23" t="s">
        <v>658</v>
      </c>
      <c r="C97" s="23" t="s">
        <v>4859</v>
      </c>
      <c r="D97" s="23" t="s">
        <v>113</v>
      </c>
    </row>
    <row r="98" spans="1:14" ht="28.5" customHeight="1">
      <c r="A98" s="149" t="s">
        <v>4957</v>
      </c>
      <c r="B98" s="149" t="s">
        <v>1393</v>
      </c>
      <c r="C98" s="149" t="s">
        <v>4958</v>
      </c>
      <c r="D98" s="149" t="s">
        <v>1396</v>
      </c>
    </row>
    <row r="99" spans="1:14" ht="28.5" customHeight="1">
      <c r="A99" s="149" t="s">
        <v>4959</v>
      </c>
      <c r="B99" s="149" t="s">
        <v>4960</v>
      </c>
      <c r="C99" s="149" t="s">
        <v>4961</v>
      </c>
      <c r="D99" s="149" t="s">
        <v>4962</v>
      </c>
    </row>
    <row r="100" spans="1:14" ht="28.5" customHeight="1">
      <c r="A100" s="149" t="s">
        <v>4963</v>
      </c>
      <c r="B100" s="149" t="s">
        <v>4964</v>
      </c>
      <c r="C100" s="149" t="s">
        <v>4965</v>
      </c>
      <c r="D100" s="149" t="s">
        <v>1400</v>
      </c>
    </row>
    <row r="101" spans="1:14" ht="28.5" customHeight="1">
      <c r="A101" s="149" t="s">
        <v>4966</v>
      </c>
      <c r="B101" s="149" t="s">
        <v>4967</v>
      </c>
      <c r="C101" s="149" t="s">
        <v>4968</v>
      </c>
      <c r="D101" s="149" t="s">
        <v>1400</v>
      </c>
    </row>
    <row r="102" spans="1:14" ht="28.5" customHeight="1">
      <c r="A102" s="149" t="s">
        <v>4969</v>
      </c>
      <c r="B102" s="149" t="s">
        <v>192</v>
      </c>
      <c r="C102" s="149" t="s">
        <v>4970</v>
      </c>
      <c r="D102" s="149" t="s">
        <v>1400</v>
      </c>
    </row>
    <row r="103" spans="1:14">
      <c r="A103" s="149" t="s">
        <v>4971</v>
      </c>
      <c r="B103" s="149" t="s">
        <v>4972</v>
      </c>
      <c r="C103" s="149" t="s">
        <v>4973</v>
      </c>
      <c r="D103" s="149" t="s">
        <v>1400</v>
      </c>
    </row>
    <row r="104" spans="1:14" ht="28.5" customHeight="1">
      <c r="A104" s="149" t="s">
        <v>4974</v>
      </c>
      <c r="B104" s="149" t="s">
        <v>4975</v>
      </c>
      <c r="C104" s="149" t="s">
        <v>4976</v>
      </c>
      <c r="D104" s="149" t="s">
        <v>1400</v>
      </c>
    </row>
    <row r="105" spans="1:14">
      <c r="A105" s="149" t="s">
        <v>4977</v>
      </c>
      <c r="B105" s="149" t="s">
        <v>4978</v>
      </c>
      <c r="C105" s="149" t="s">
        <v>4979</v>
      </c>
      <c r="D105" s="149" t="s">
        <v>1400</v>
      </c>
    </row>
    <row r="106" spans="1:14" ht="42.75" customHeight="1">
      <c r="A106" s="149" t="s">
        <v>4980</v>
      </c>
      <c r="B106" s="149" t="s">
        <v>4981</v>
      </c>
      <c r="C106" s="149" t="s">
        <v>4982</v>
      </c>
      <c r="D106" s="149" t="s">
        <v>1376</v>
      </c>
    </row>
    <row r="107" spans="1:14" ht="28.5" customHeight="1">
      <c r="A107" s="149" t="s">
        <v>4983</v>
      </c>
      <c r="B107" s="149" t="s">
        <v>4984</v>
      </c>
      <c r="C107" s="149" t="s">
        <v>4985</v>
      </c>
      <c r="D107" s="149" t="s">
        <v>1376</v>
      </c>
    </row>
    <row r="108" spans="1:14" ht="28.5" customHeight="1">
      <c r="A108" s="149" t="s">
        <v>4986</v>
      </c>
      <c r="B108" s="149" t="s">
        <v>4987</v>
      </c>
      <c r="C108" s="149" t="s">
        <v>4988</v>
      </c>
      <c r="D108" s="149" t="s">
        <v>1376</v>
      </c>
    </row>
    <row r="109" spans="1:14">
      <c r="A109" s="149" t="s">
        <v>4989</v>
      </c>
      <c r="B109" s="149" t="s">
        <v>4990</v>
      </c>
      <c r="C109" s="149" t="s">
        <v>4991</v>
      </c>
      <c r="D109" s="149" t="s">
        <v>4992</v>
      </c>
    </row>
    <row r="112" spans="1:14" ht="15" customHeight="1">
      <c r="A112" s="277" t="s">
        <v>4993</v>
      </c>
      <c r="B112" s="152"/>
      <c r="C112" s="152"/>
      <c r="D112" s="152"/>
      <c r="E112" s="152"/>
      <c r="F112" s="152"/>
      <c r="G112" s="152"/>
      <c r="H112" s="152"/>
      <c r="I112" s="152"/>
      <c r="J112" s="152"/>
      <c r="K112" s="152"/>
      <c r="L112" s="152"/>
      <c r="M112" s="152"/>
      <c r="N112" s="152"/>
    </row>
    <row r="114" spans="1:14" ht="15" customHeight="1">
      <c r="A114" s="23" t="s">
        <v>188</v>
      </c>
      <c r="B114" s="23" t="s">
        <v>4994</v>
      </c>
      <c r="C114" s="23" t="s">
        <v>4485</v>
      </c>
      <c r="D114" s="23" t="s">
        <v>113</v>
      </c>
    </row>
    <row r="115" spans="1:14" ht="28.5" customHeight="1">
      <c r="A115" s="149" t="s">
        <v>4995</v>
      </c>
      <c r="B115" s="149" t="s">
        <v>4996</v>
      </c>
      <c r="C115" s="149" t="s">
        <v>4997</v>
      </c>
      <c r="D115" s="24" t="s">
        <v>1322</v>
      </c>
    </row>
    <row r="116" spans="1:14" ht="42.75" customHeight="1">
      <c r="A116" s="149" t="s">
        <v>4998</v>
      </c>
      <c r="B116" s="149" t="s">
        <v>4999</v>
      </c>
      <c r="C116" s="149" t="s">
        <v>5000</v>
      </c>
      <c r="D116" s="24" t="s">
        <v>1322</v>
      </c>
    </row>
    <row r="117" spans="1:14" ht="42.75" customHeight="1">
      <c r="A117" s="149" t="s">
        <v>5001</v>
      </c>
      <c r="B117" s="149" t="s">
        <v>5002</v>
      </c>
      <c r="C117" s="149" t="s">
        <v>5003</v>
      </c>
      <c r="D117" s="24" t="s">
        <v>1322</v>
      </c>
    </row>
    <row r="118" spans="1:14" ht="28.5" customHeight="1">
      <c r="A118" s="149" t="s">
        <v>5004</v>
      </c>
      <c r="B118" s="149" t="s">
        <v>5005</v>
      </c>
      <c r="C118" s="149" t="s">
        <v>5006</v>
      </c>
      <c r="D118" s="24" t="s">
        <v>1322</v>
      </c>
    </row>
    <row r="119" spans="1:14" ht="28.5" customHeight="1">
      <c r="A119" s="149" t="s">
        <v>5007</v>
      </c>
      <c r="B119" s="149" t="s">
        <v>5008</v>
      </c>
      <c r="C119" s="149" t="s">
        <v>5009</v>
      </c>
      <c r="D119" s="24" t="s">
        <v>1322</v>
      </c>
    </row>
    <row r="120" spans="1:14" ht="28.5" customHeight="1">
      <c r="A120" s="149" t="s">
        <v>5010</v>
      </c>
      <c r="B120" s="149" t="s">
        <v>5011</v>
      </c>
      <c r="C120" s="149" t="s">
        <v>5012</v>
      </c>
      <c r="D120" s="24" t="s">
        <v>1322</v>
      </c>
    </row>
    <row r="121" spans="1:14">
      <c r="A121" s="149" t="s">
        <v>5013</v>
      </c>
      <c r="B121" s="149" t="s">
        <v>5014</v>
      </c>
      <c r="C121" s="149" t="s">
        <v>5015</v>
      </c>
      <c r="D121" s="24" t="s">
        <v>1322</v>
      </c>
    </row>
    <row r="122" spans="1:14" ht="28.5" customHeight="1">
      <c r="A122" s="149" t="s">
        <v>5016</v>
      </c>
      <c r="B122" s="149" t="s">
        <v>5017</v>
      </c>
      <c r="C122" s="149" t="s">
        <v>5018</v>
      </c>
      <c r="D122" s="24" t="s">
        <v>1322</v>
      </c>
    </row>
    <row r="123" spans="1:14" ht="28.5" customHeight="1">
      <c r="A123" s="149" t="s">
        <v>5019</v>
      </c>
      <c r="B123" s="149" t="s">
        <v>5020</v>
      </c>
      <c r="C123" s="149" t="s">
        <v>5021</v>
      </c>
      <c r="D123" s="24" t="s">
        <v>1322</v>
      </c>
    </row>
    <row r="124" spans="1:14" ht="42.75" customHeight="1">
      <c r="A124" s="149" t="s">
        <v>5022</v>
      </c>
      <c r="B124" s="149" t="s">
        <v>5023</v>
      </c>
      <c r="C124" s="149" t="s">
        <v>5024</v>
      </c>
      <c r="D124" s="24" t="s">
        <v>1322</v>
      </c>
    </row>
    <row r="127" spans="1:14" ht="15" customHeight="1">
      <c r="A127" s="277" t="s">
        <v>5025</v>
      </c>
      <c r="B127" s="152"/>
      <c r="C127" s="152"/>
      <c r="D127" s="152"/>
      <c r="E127" s="152"/>
      <c r="F127" s="152"/>
      <c r="G127" s="152"/>
      <c r="H127" s="152"/>
      <c r="I127" s="152"/>
      <c r="J127" s="152"/>
      <c r="K127" s="152"/>
      <c r="L127" s="152"/>
      <c r="M127" s="152"/>
      <c r="N127" s="152"/>
    </row>
    <row r="129" spans="1:4" ht="15" customHeight="1">
      <c r="A129" s="22" t="s">
        <v>6</v>
      </c>
      <c r="B129" s="22" t="s">
        <v>5026</v>
      </c>
      <c r="C129" s="22" t="s">
        <v>5027</v>
      </c>
      <c r="D129" s="22" t="s">
        <v>5028</v>
      </c>
    </row>
    <row r="130" spans="1:4">
      <c r="A130" s="145" t="s">
        <v>4716</v>
      </c>
      <c r="B130" s="145" t="s">
        <v>5029</v>
      </c>
      <c r="C130" s="145" t="s">
        <v>5030</v>
      </c>
      <c r="D130" s="145" t="s">
        <v>5031</v>
      </c>
    </row>
    <row r="131" spans="1:4">
      <c r="A131" s="145" t="s">
        <v>204</v>
      </c>
      <c r="B131" s="145" t="s">
        <v>5032</v>
      </c>
      <c r="C131" s="145" t="s">
        <v>5033</v>
      </c>
      <c r="D131" s="145" t="s">
        <v>5031</v>
      </c>
    </row>
    <row r="132" spans="1:4">
      <c r="A132" s="145" t="s">
        <v>688</v>
      </c>
      <c r="B132" s="145" t="s">
        <v>5034</v>
      </c>
      <c r="C132" s="145" t="s">
        <v>5030</v>
      </c>
      <c r="D132" s="145" t="s">
        <v>5031</v>
      </c>
    </row>
    <row r="133" spans="1:4" ht="28.5" customHeight="1">
      <c r="A133" s="145" t="s">
        <v>881</v>
      </c>
      <c r="B133" s="145" t="s">
        <v>5035</v>
      </c>
      <c r="C133" s="145" t="s">
        <v>5030</v>
      </c>
      <c r="D133" s="145" t="s">
        <v>5031</v>
      </c>
    </row>
    <row r="134" spans="1:4" ht="28.5" customHeight="1">
      <c r="A134" s="145" t="s">
        <v>723</v>
      </c>
      <c r="B134" s="145" t="s">
        <v>5036</v>
      </c>
      <c r="C134" s="145" t="s">
        <v>5030</v>
      </c>
      <c r="D134" s="145" t="s">
        <v>5031</v>
      </c>
    </row>
    <row r="135" spans="1:4">
      <c r="A135" s="145" t="s">
        <v>922</v>
      </c>
      <c r="B135" s="145" t="s">
        <v>5037</v>
      </c>
      <c r="C135" s="145" t="s">
        <v>5030</v>
      </c>
      <c r="D135" s="145" t="s">
        <v>5031</v>
      </c>
    </row>
    <row r="136" spans="1:4" ht="28.5" customHeight="1">
      <c r="A136" s="145" t="s">
        <v>4747</v>
      </c>
      <c r="B136" s="145" t="s">
        <v>5038</v>
      </c>
      <c r="C136" s="145" t="s">
        <v>5030</v>
      </c>
      <c r="D136" s="145" t="s">
        <v>5031</v>
      </c>
    </row>
    <row r="137" spans="1:4" ht="28.5" customHeight="1">
      <c r="A137" s="145" t="s">
        <v>3463</v>
      </c>
      <c r="B137" s="145" t="s">
        <v>5039</v>
      </c>
      <c r="C137" s="145" t="s">
        <v>5030</v>
      </c>
      <c r="D137" s="145" t="s">
        <v>5031</v>
      </c>
    </row>
    <row r="138" spans="1:4" ht="28.5" customHeight="1">
      <c r="A138" s="145" t="s">
        <v>1022</v>
      </c>
      <c r="B138" s="145" t="s">
        <v>5040</v>
      </c>
      <c r="C138" s="145" t="s">
        <v>5030</v>
      </c>
      <c r="D138" s="145" t="s">
        <v>5031</v>
      </c>
    </row>
    <row r="139" spans="1:4">
      <c r="A139" s="145" t="s">
        <v>969</v>
      </c>
      <c r="B139" s="145" t="s">
        <v>5041</v>
      </c>
      <c r="C139" s="145" t="s">
        <v>5030</v>
      </c>
      <c r="D139" s="145" t="s">
        <v>5031</v>
      </c>
    </row>
    <row r="140" spans="1:4" ht="28.5" customHeight="1">
      <c r="A140" s="145" t="s">
        <v>974</v>
      </c>
      <c r="B140" s="145" t="s">
        <v>5041</v>
      </c>
      <c r="C140" s="145" t="s">
        <v>5030</v>
      </c>
      <c r="D140" s="145" t="s">
        <v>5031</v>
      </c>
    </row>
    <row r="141" spans="1:4" ht="28.5" customHeight="1">
      <c r="A141" s="145" t="s">
        <v>4766</v>
      </c>
      <c r="B141" s="145" t="s">
        <v>5042</v>
      </c>
      <c r="C141" s="145" t="s">
        <v>5030</v>
      </c>
      <c r="D141" s="145" t="s">
        <v>5031</v>
      </c>
    </row>
    <row r="142" spans="1:4">
      <c r="A142" s="145" t="s">
        <v>1047</v>
      </c>
      <c r="B142" s="145" t="s">
        <v>5038</v>
      </c>
      <c r="C142" s="145" t="s">
        <v>5030</v>
      </c>
      <c r="D142" s="145" t="s">
        <v>5031</v>
      </c>
    </row>
    <row r="143" spans="1:4" ht="28.5" customHeight="1">
      <c r="A143" s="145" t="s">
        <v>4775</v>
      </c>
      <c r="B143" s="145" t="s">
        <v>5043</v>
      </c>
      <c r="C143" s="145" t="s">
        <v>5030</v>
      </c>
      <c r="D143" s="145" t="s">
        <v>5031</v>
      </c>
    </row>
    <row r="144" spans="1:4">
      <c r="A144" s="145" t="s">
        <v>979</v>
      </c>
      <c r="B144" s="145" t="s">
        <v>5044</v>
      </c>
      <c r="C144" s="145" t="s">
        <v>5030</v>
      </c>
      <c r="D144" s="145" t="s">
        <v>5045</v>
      </c>
    </row>
    <row r="145" spans="1:4">
      <c r="A145" s="145" t="s">
        <v>1317</v>
      </c>
      <c r="B145" s="145" t="s">
        <v>5046</v>
      </c>
      <c r="C145" s="145" t="s">
        <v>5030</v>
      </c>
      <c r="D145" s="145" t="s">
        <v>5045</v>
      </c>
    </row>
    <row r="146" spans="1:4" ht="28.5" customHeight="1">
      <c r="A146" s="145" t="s">
        <v>1092</v>
      </c>
      <c r="B146" s="145" t="s">
        <v>5047</v>
      </c>
      <c r="C146" s="145" t="s">
        <v>5030</v>
      </c>
      <c r="D146" s="145" t="s">
        <v>5045</v>
      </c>
    </row>
    <row r="147" spans="1:4">
      <c r="A147" s="145" t="s">
        <v>1100</v>
      </c>
      <c r="B147" s="145" t="s">
        <v>5048</v>
      </c>
      <c r="C147" s="145" t="s">
        <v>5030</v>
      </c>
      <c r="D147" s="145" t="s">
        <v>5045</v>
      </c>
    </row>
  </sheetData>
  <mergeCells count="14">
    <mergeCell ref="A1:N2"/>
    <mergeCell ref="A22:N22"/>
    <mergeCell ref="A112:N112"/>
    <mergeCell ref="A7:N7"/>
    <mergeCell ref="A75:N75"/>
    <mergeCell ref="A3:N3"/>
    <mergeCell ref="E9:G12"/>
    <mergeCell ref="M9:N12"/>
    <mergeCell ref="A14:N14"/>
    <mergeCell ref="A127:N127"/>
    <mergeCell ref="A60:N60"/>
    <mergeCell ref="I9:K12"/>
    <mergeCell ref="A9:C12"/>
    <mergeCell ref="A95:N95"/>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76"/>
  <sheetViews>
    <sheetView showGridLines="0" topLeftCell="A58" workbookViewId="0">
      <selection activeCell="K29" sqref="J29:K29"/>
    </sheetView>
  </sheetViews>
  <sheetFormatPr baseColWidth="10" defaultColWidth="9" defaultRowHeight="14.25"/>
  <cols>
    <col min="1" max="1" width="10" style="30" customWidth="1"/>
    <col min="2" max="2" width="34" style="30" customWidth="1"/>
    <col min="3" max="3" width="30" style="30" customWidth="1"/>
    <col min="4" max="4" width="26" style="30" customWidth="1"/>
    <col min="5" max="5" width="28" style="30" customWidth="1"/>
    <col min="6" max="6" width="20" style="30" customWidth="1"/>
    <col min="7" max="7" width="44" style="30" customWidth="1"/>
  </cols>
  <sheetData>
    <row r="1" spans="1:14">
      <c r="A1" s="279" t="s">
        <v>5049</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281" t="s">
        <v>5050</v>
      </c>
      <c r="B3" s="152"/>
      <c r="C3" s="152"/>
      <c r="D3" s="152"/>
      <c r="E3" s="152"/>
      <c r="F3" s="152"/>
      <c r="G3" s="152"/>
      <c r="H3" s="152"/>
      <c r="I3" s="152"/>
      <c r="J3" s="152"/>
      <c r="K3" s="152"/>
      <c r="L3" s="152"/>
      <c r="M3" s="152"/>
      <c r="N3" s="152"/>
    </row>
    <row r="5" spans="1:14">
      <c r="A5" s="20" t="str">
        <f>HYPERLINK("#'INICIO'!A1","INICIO")</f>
        <v>INICIO</v>
      </c>
      <c r="B5" s="20" t="str">
        <f>HYPERLINK("#'DATOS'!A1","DATOS")</f>
        <v>DATOS</v>
      </c>
      <c r="C5" s="20" t="str">
        <f>HYPERLINK("#'ENERGÍA'!A1","ENERGÍA")</f>
        <v>ENERGÍA</v>
      </c>
      <c r="D5" s="20" t="str">
        <f>HYPERLINK("#'MACRONUTRIENTES'!A1","MACROS")</f>
        <v>MACROS</v>
      </c>
      <c r="E5" s="20" t="str">
        <f>HYPERLINK("#'AGUA_FIBRA'!A1","AGUA/FIBRA")</f>
        <v>AGUA/FIBRA</v>
      </c>
      <c r="F5" s="20" t="str">
        <f>HYPERLINK("#'FICHA_NUTRIENTE'!A1","FICHA")</f>
        <v>FICHA</v>
      </c>
      <c r="G5" s="20" t="str">
        <f>HYPERLINK("#'RESULTADOS'!A1","RESULTADOS")</f>
        <v>RESULTADOS</v>
      </c>
      <c r="H5" s="20" t="str">
        <f>HYPERLINK("#'DOCUMENTACIÓN'!A1","DOCUMENTACIÓN")</f>
        <v>DOCUMENTACIÓN</v>
      </c>
      <c r="I5" s="21" t="str">
        <f>HYPERLINK("#'COBERTURA'!A1","COBERTURA")</f>
        <v>COBERTURA</v>
      </c>
      <c r="J5" s="26" t="str">
        <f>HYPERLINK("#'AUDITORÍA_FINAL'!A1","AUDITORÍA")</f>
        <v>AUDITORÍA</v>
      </c>
    </row>
    <row r="7" spans="1:14" ht="15.75" customHeight="1">
      <c r="A7" s="280" t="s">
        <v>5051</v>
      </c>
      <c r="B7" s="152"/>
      <c r="C7" s="152"/>
      <c r="D7" s="152"/>
      <c r="E7" s="152"/>
      <c r="F7" s="152"/>
      <c r="G7" s="152"/>
      <c r="H7" s="152"/>
    </row>
    <row r="9" spans="1:14">
      <c r="A9" s="278" t="str">
        <f>"INCLUIDOS"&amp;CHAR(10)&amp;COUNTIF(F14:F100,"INCLUIDO")</f>
        <v>INCLUIDOS
58</v>
      </c>
      <c r="B9" s="152"/>
      <c r="C9" s="283" t="str">
        <f>"PARCIALES"&amp;CHAR(10)&amp;COUNTIF(F14:F100,"PARCIAL")</f>
        <v>PARCIALES
1</v>
      </c>
      <c r="D9" s="152"/>
      <c r="E9" s="283" t="str">
        <f>"PENDIENTES"&amp;CHAR(10)&amp;COUNTIF(F14:F100,"PENDIENTE*")</f>
        <v>PENDIENTES
0</v>
      </c>
      <c r="F9" s="152"/>
      <c r="G9" s="284" t="str">
        <f>"BLOQUEADOS"&amp;CHAR(10)&amp;COUNTIF(F14:F100,"BLOQUEADO")</f>
        <v>BLOQUEADOS
0</v>
      </c>
      <c r="H9" s="152"/>
    </row>
    <row r="10" spans="1:14">
      <c r="A10" s="152"/>
      <c r="B10" s="152"/>
      <c r="C10" s="152"/>
      <c r="D10" s="152"/>
      <c r="E10" s="152"/>
      <c r="F10" s="152"/>
      <c r="G10" s="152"/>
      <c r="H10" s="152"/>
    </row>
    <row r="11" spans="1:14">
      <c r="A11" s="152"/>
      <c r="B11" s="152"/>
      <c r="C11" s="152"/>
      <c r="D11" s="152"/>
      <c r="E11" s="152"/>
      <c r="F11" s="152"/>
      <c r="G11" s="152"/>
      <c r="H11" s="152"/>
    </row>
    <row r="13" spans="1:14" ht="15" customHeight="1">
      <c r="A13" s="23" t="s">
        <v>188</v>
      </c>
      <c r="B13" s="23" t="s">
        <v>5052</v>
      </c>
      <c r="C13" s="23" t="s">
        <v>5053</v>
      </c>
      <c r="D13" s="23" t="s">
        <v>5054</v>
      </c>
      <c r="E13" s="23" t="s">
        <v>5055</v>
      </c>
      <c r="F13" s="23" t="s">
        <v>113</v>
      </c>
      <c r="G13" s="23" t="s">
        <v>195</v>
      </c>
    </row>
    <row r="14" spans="1:14">
      <c r="A14" s="37" t="s">
        <v>5056</v>
      </c>
      <c r="B14" s="37" t="s">
        <v>5057</v>
      </c>
      <c r="C14" s="37" t="s">
        <v>4862</v>
      </c>
      <c r="D14" s="37" t="s">
        <v>5058</v>
      </c>
      <c r="E14" s="37" t="s">
        <v>682</v>
      </c>
      <c r="F14" s="37" t="s">
        <v>5059</v>
      </c>
      <c r="G14" s="37" t="s">
        <v>5060</v>
      </c>
    </row>
    <row r="15" spans="1:14">
      <c r="A15" s="37" t="s">
        <v>5061</v>
      </c>
      <c r="B15" s="37" t="s">
        <v>2872</v>
      </c>
      <c r="C15" s="37" t="s">
        <v>4862</v>
      </c>
      <c r="D15" s="37" t="s">
        <v>5058</v>
      </c>
      <c r="E15" s="37" t="s">
        <v>690</v>
      </c>
      <c r="F15" s="37" t="s">
        <v>5059</v>
      </c>
      <c r="G15" s="37" t="s">
        <v>5062</v>
      </c>
    </row>
    <row r="16" spans="1:14">
      <c r="A16" s="37" t="s">
        <v>5063</v>
      </c>
      <c r="B16" s="37" t="s">
        <v>4673</v>
      </c>
      <c r="C16" s="37" t="s">
        <v>688</v>
      </c>
      <c r="D16" s="37" t="s">
        <v>5064</v>
      </c>
      <c r="E16" s="37" t="s">
        <v>682</v>
      </c>
      <c r="F16" s="37" t="s">
        <v>5059</v>
      </c>
      <c r="G16" s="37" t="s">
        <v>5065</v>
      </c>
    </row>
    <row r="17" spans="1:7">
      <c r="A17" s="37" t="s">
        <v>5066</v>
      </c>
      <c r="B17" s="37" t="s">
        <v>5067</v>
      </c>
      <c r="C17" s="37" t="s">
        <v>5068</v>
      </c>
      <c r="D17" s="37" t="s">
        <v>5069</v>
      </c>
      <c r="E17" s="37" t="s">
        <v>5070</v>
      </c>
      <c r="F17" s="37" t="s">
        <v>5059</v>
      </c>
      <c r="G17" s="37" t="s">
        <v>5071</v>
      </c>
    </row>
    <row r="18" spans="1:7">
      <c r="A18" s="37" t="s">
        <v>5072</v>
      </c>
      <c r="B18" s="37" t="s">
        <v>5073</v>
      </c>
      <c r="C18" s="37" t="s">
        <v>5074</v>
      </c>
      <c r="D18" s="37" t="s">
        <v>5075</v>
      </c>
      <c r="E18" s="37" t="s">
        <v>703</v>
      </c>
      <c r="F18" s="37" t="s">
        <v>5059</v>
      </c>
      <c r="G18" s="37" t="s">
        <v>5076</v>
      </c>
    </row>
    <row r="19" spans="1:7">
      <c r="A19" s="37" t="s">
        <v>5077</v>
      </c>
      <c r="B19" s="37" t="s">
        <v>5078</v>
      </c>
      <c r="C19" s="37" t="s">
        <v>881</v>
      </c>
      <c r="D19" s="37" t="s">
        <v>5079</v>
      </c>
      <c r="E19" s="37" t="s">
        <v>703</v>
      </c>
      <c r="F19" s="37" t="s">
        <v>5059</v>
      </c>
      <c r="G19" s="37" t="s">
        <v>5080</v>
      </c>
    </row>
    <row r="20" spans="1:7">
      <c r="A20" s="37" t="s">
        <v>5081</v>
      </c>
      <c r="B20" s="37" t="s">
        <v>5082</v>
      </c>
      <c r="C20" s="37" t="s">
        <v>5074</v>
      </c>
      <c r="D20" s="37" t="s">
        <v>5083</v>
      </c>
      <c r="E20" s="37" t="s">
        <v>703</v>
      </c>
      <c r="F20" s="37" t="s">
        <v>5059</v>
      </c>
      <c r="G20" s="37" t="s">
        <v>5084</v>
      </c>
    </row>
    <row r="21" spans="1:7" ht="28.5" customHeight="1">
      <c r="A21" s="37" t="s">
        <v>5085</v>
      </c>
      <c r="B21" s="37" t="s">
        <v>162</v>
      </c>
      <c r="C21" s="37" t="s">
        <v>5086</v>
      </c>
      <c r="D21" s="37" t="s">
        <v>5087</v>
      </c>
      <c r="E21" s="37" t="s">
        <v>718</v>
      </c>
      <c r="F21" s="37" t="s">
        <v>5059</v>
      </c>
      <c r="G21" s="37" t="s">
        <v>5088</v>
      </c>
    </row>
    <row r="22" spans="1:7">
      <c r="A22" s="37" t="s">
        <v>5089</v>
      </c>
      <c r="B22" s="37" t="s">
        <v>166</v>
      </c>
      <c r="C22" s="37" t="s">
        <v>723</v>
      </c>
      <c r="D22" s="37" t="s">
        <v>5090</v>
      </c>
      <c r="E22" s="37" t="s">
        <v>718</v>
      </c>
      <c r="F22" s="37" t="s">
        <v>5059</v>
      </c>
      <c r="G22" s="37" t="s">
        <v>928</v>
      </c>
    </row>
    <row r="23" spans="1:7">
      <c r="A23" s="37" t="s">
        <v>5091</v>
      </c>
      <c r="B23" s="37" t="s">
        <v>208</v>
      </c>
      <c r="C23" s="37" t="s">
        <v>5092</v>
      </c>
      <c r="D23" s="37" t="s">
        <v>5093</v>
      </c>
      <c r="E23" s="37" t="s">
        <v>703</v>
      </c>
      <c r="F23" s="37" t="s">
        <v>5059</v>
      </c>
      <c r="G23" s="37" t="s">
        <v>5094</v>
      </c>
    </row>
    <row r="24" spans="1:7">
      <c r="A24" s="37" t="s">
        <v>5095</v>
      </c>
      <c r="B24" s="37" t="s">
        <v>205</v>
      </c>
      <c r="C24" s="37" t="s">
        <v>5092</v>
      </c>
      <c r="D24" s="37" t="s">
        <v>5093</v>
      </c>
      <c r="E24" s="37" t="s">
        <v>703</v>
      </c>
      <c r="F24" s="37" t="s">
        <v>5059</v>
      </c>
      <c r="G24" s="37" t="s">
        <v>5096</v>
      </c>
    </row>
    <row r="25" spans="1:7">
      <c r="A25" s="37" t="s">
        <v>5097</v>
      </c>
      <c r="B25" s="37" t="s">
        <v>5098</v>
      </c>
      <c r="C25" s="37" t="s">
        <v>4743</v>
      </c>
      <c r="D25" s="37" t="s">
        <v>5099</v>
      </c>
      <c r="E25" s="37" t="s">
        <v>735</v>
      </c>
      <c r="F25" s="37" t="s">
        <v>5059</v>
      </c>
      <c r="G25" s="37" t="s">
        <v>5100</v>
      </c>
    </row>
    <row r="26" spans="1:7" ht="28.5" customHeight="1">
      <c r="A26" s="37" t="s">
        <v>5101</v>
      </c>
      <c r="B26" s="37" t="s">
        <v>5102</v>
      </c>
      <c r="C26" s="37" t="s">
        <v>5103</v>
      </c>
      <c r="D26" s="37" t="s">
        <v>5104</v>
      </c>
      <c r="E26" s="37" t="s">
        <v>735</v>
      </c>
      <c r="F26" s="37" t="s">
        <v>5059</v>
      </c>
      <c r="G26" s="37" t="s">
        <v>5105</v>
      </c>
    </row>
    <row r="27" spans="1:7">
      <c r="A27" s="37" t="s">
        <v>5106</v>
      </c>
      <c r="B27" s="37" t="s">
        <v>5107</v>
      </c>
      <c r="C27" s="37" t="s">
        <v>4747</v>
      </c>
      <c r="D27" s="37" t="s">
        <v>5108</v>
      </c>
      <c r="E27" s="37" t="s">
        <v>5109</v>
      </c>
      <c r="F27" s="37" t="s">
        <v>5059</v>
      </c>
      <c r="G27" s="37" t="s">
        <v>5110</v>
      </c>
    </row>
    <row r="28" spans="1:7">
      <c r="A28" s="37" t="s">
        <v>5111</v>
      </c>
      <c r="B28" s="37" t="s">
        <v>5112</v>
      </c>
      <c r="C28" s="37" t="s">
        <v>4747</v>
      </c>
      <c r="D28" s="37" t="s">
        <v>5113</v>
      </c>
      <c r="E28" s="37" t="s">
        <v>5109</v>
      </c>
      <c r="F28" s="37" t="s">
        <v>5059</v>
      </c>
      <c r="G28" s="37" t="s">
        <v>5114</v>
      </c>
    </row>
    <row r="29" spans="1:7">
      <c r="A29" s="37" t="s">
        <v>5115</v>
      </c>
      <c r="B29" s="37" t="s">
        <v>5116</v>
      </c>
      <c r="C29" s="37" t="s">
        <v>4747</v>
      </c>
      <c r="D29" s="37" t="s">
        <v>5117</v>
      </c>
      <c r="E29" s="37" t="s">
        <v>5109</v>
      </c>
      <c r="F29" s="37" t="s">
        <v>5059</v>
      </c>
      <c r="G29" s="37" t="s">
        <v>5118</v>
      </c>
    </row>
    <row r="30" spans="1:7">
      <c r="A30" s="37" t="s">
        <v>5119</v>
      </c>
      <c r="B30" s="37" t="s">
        <v>5120</v>
      </c>
      <c r="C30" s="37" t="s">
        <v>4747</v>
      </c>
      <c r="D30" s="37" t="s">
        <v>5117</v>
      </c>
      <c r="E30" s="37" t="s">
        <v>5109</v>
      </c>
      <c r="F30" s="37" t="s">
        <v>5059</v>
      </c>
      <c r="G30" s="37" t="s">
        <v>5121</v>
      </c>
    </row>
    <row r="31" spans="1:7">
      <c r="A31" s="37" t="s">
        <v>5122</v>
      </c>
      <c r="B31" s="37" t="s">
        <v>5123</v>
      </c>
      <c r="C31" s="37" t="s">
        <v>4888</v>
      </c>
      <c r="D31" s="37" t="s">
        <v>5124</v>
      </c>
      <c r="E31" s="37" t="s">
        <v>703</v>
      </c>
      <c r="F31" s="37" t="s">
        <v>4962</v>
      </c>
      <c r="G31" s="37" t="s">
        <v>5125</v>
      </c>
    </row>
    <row r="32" spans="1:7">
      <c r="A32" s="37" t="s">
        <v>5126</v>
      </c>
      <c r="B32" s="37" t="s">
        <v>5127</v>
      </c>
      <c r="C32" s="37" t="s">
        <v>1022</v>
      </c>
      <c r="D32" s="37" t="s">
        <v>5128</v>
      </c>
      <c r="E32" s="37" t="s">
        <v>703</v>
      </c>
      <c r="F32" s="37" t="s">
        <v>5059</v>
      </c>
      <c r="G32" s="37" t="s">
        <v>5129</v>
      </c>
    </row>
    <row r="33" spans="1:7">
      <c r="A33" s="37" t="s">
        <v>5130</v>
      </c>
      <c r="B33" s="37" t="s">
        <v>5131</v>
      </c>
      <c r="C33" s="37" t="s">
        <v>4747</v>
      </c>
      <c r="D33" s="37" t="s">
        <v>5132</v>
      </c>
      <c r="E33" s="37" t="s">
        <v>5109</v>
      </c>
      <c r="F33" s="37" t="s">
        <v>5059</v>
      </c>
      <c r="G33" s="37" t="s">
        <v>5133</v>
      </c>
    </row>
    <row r="34" spans="1:7">
      <c r="A34" s="37" t="s">
        <v>5134</v>
      </c>
      <c r="B34" s="37" t="s">
        <v>5135</v>
      </c>
      <c r="C34" s="37" t="s">
        <v>3463</v>
      </c>
      <c r="D34" s="37" t="s">
        <v>5136</v>
      </c>
      <c r="E34" s="37" t="s">
        <v>366</v>
      </c>
      <c r="F34" s="37" t="s">
        <v>5059</v>
      </c>
      <c r="G34" s="37" t="s">
        <v>5137</v>
      </c>
    </row>
    <row r="35" spans="1:7" ht="28.5" customHeight="1">
      <c r="A35" s="37" t="s">
        <v>5138</v>
      </c>
      <c r="B35" s="37" t="s">
        <v>5139</v>
      </c>
      <c r="C35" s="37" t="s">
        <v>4897</v>
      </c>
      <c r="D35" s="37" t="s">
        <v>133</v>
      </c>
      <c r="E35" s="37" t="s">
        <v>1017</v>
      </c>
      <c r="F35" s="37" t="s">
        <v>5059</v>
      </c>
      <c r="G35" s="37" t="s">
        <v>5140</v>
      </c>
    </row>
    <row r="36" spans="1:7">
      <c r="A36" s="37" t="s">
        <v>5141</v>
      </c>
      <c r="B36" s="37" t="s">
        <v>469</v>
      </c>
      <c r="C36" s="37" t="s">
        <v>4747</v>
      </c>
      <c r="D36" s="37" t="s">
        <v>5117</v>
      </c>
      <c r="E36" s="37" t="s">
        <v>5109</v>
      </c>
      <c r="F36" s="37" t="s">
        <v>5059</v>
      </c>
      <c r="G36" s="37" t="s">
        <v>5142</v>
      </c>
    </row>
    <row r="37" spans="1:7">
      <c r="A37" s="37" t="s">
        <v>5143</v>
      </c>
      <c r="B37" s="37" t="s">
        <v>5144</v>
      </c>
      <c r="C37" s="37" t="s">
        <v>4747</v>
      </c>
      <c r="D37" s="37" t="s">
        <v>5117</v>
      </c>
      <c r="E37" s="37" t="s">
        <v>5145</v>
      </c>
      <c r="F37" s="37" t="s">
        <v>5059</v>
      </c>
      <c r="G37" s="37" t="s">
        <v>5146</v>
      </c>
    </row>
    <row r="38" spans="1:7">
      <c r="A38" s="37" t="s">
        <v>5147</v>
      </c>
      <c r="B38" s="37" t="s">
        <v>5148</v>
      </c>
      <c r="C38" s="37" t="s">
        <v>969</v>
      </c>
      <c r="D38" s="37" t="s">
        <v>5149</v>
      </c>
      <c r="E38" s="37" t="s">
        <v>5109</v>
      </c>
      <c r="F38" s="37" t="s">
        <v>5059</v>
      </c>
      <c r="G38" s="37" t="s">
        <v>5150</v>
      </c>
    </row>
    <row r="39" spans="1:7">
      <c r="A39" s="37" t="s">
        <v>5151</v>
      </c>
      <c r="B39" s="37" t="s">
        <v>5152</v>
      </c>
      <c r="C39" s="37" t="s">
        <v>969</v>
      </c>
      <c r="D39" s="37" t="s">
        <v>5149</v>
      </c>
      <c r="E39" s="37" t="s">
        <v>5109</v>
      </c>
      <c r="F39" s="37" t="s">
        <v>5059</v>
      </c>
      <c r="G39" s="37" t="s">
        <v>5153</v>
      </c>
    </row>
    <row r="40" spans="1:7">
      <c r="A40" s="37" t="s">
        <v>5154</v>
      </c>
      <c r="B40" s="37" t="s">
        <v>1428</v>
      </c>
      <c r="C40" s="37" t="s">
        <v>974</v>
      </c>
      <c r="D40" s="37" t="s">
        <v>5149</v>
      </c>
      <c r="E40" s="37" t="s">
        <v>5109</v>
      </c>
      <c r="F40" s="37" t="s">
        <v>5059</v>
      </c>
      <c r="G40" s="37" t="s">
        <v>4839</v>
      </c>
    </row>
    <row r="41" spans="1:7">
      <c r="A41" s="37" t="s">
        <v>5155</v>
      </c>
      <c r="B41" s="37" t="s">
        <v>5156</v>
      </c>
      <c r="C41" s="37" t="s">
        <v>4747</v>
      </c>
      <c r="D41" s="37" t="s">
        <v>5117</v>
      </c>
      <c r="E41" s="37" t="s">
        <v>5109</v>
      </c>
      <c r="F41" s="37" t="s">
        <v>5059</v>
      </c>
      <c r="G41" s="37" t="s">
        <v>4751</v>
      </c>
    </row>
    <row r="42" spans="1:7" ht="28.5" customHeight="1">
      <c r="A42" s="37" t="s">
        <v>5157</v>
      </c>
      <c r="B42" s="37" t="s">
        <v>5158</v>
      </c>
      <c r="C42" s="37" t="s">
        <v>5159</v>
      </c>
      <c r="D42" s="37" t="s">
        <v>5160</v>
      </c>
      <c r="E42" s="37" t="s">
        <v>735</v>
      </c>
      <c r="F42" s="37" t="s">
        <v>5059</v>
      </c>
      <c r="G42" s="37" t="s">
        <v>5161</v>
      </c>
    </row>
    <row r="43" spans="1:7">
      <c r="A43" s="37" t="s">
        <v>5162</v>
      </c>
      <c r="B43" s="37" t="s">
        <v>5163</v>
      </c>
      <c r="C43" s="37" t="s">
        <v>4747</v>
      </c>
      <c r="D43" s="37" t="s">
        <v>5117</v>
      </c>
      <c r="E43" s="37" t="s">
        <v>5109</v>
      </c>
      <c r="F43" s="37" t="s">
        <v>5059</v>
      </c>
      <c r="G43" s="37" t="s">
        <v>5164</v>
      </c>
    </row>
    <row r="44" spans="1:7">
      <c r="A44" s="37" t="s">
        <v>5165</v>
      </c>
      <c r="B44" s="37" t="s">
        <v>5166</v>
      </c>
      <c r="C44" s="37" t="s">
        <v>5167</v>
      </c>
      <c r="D44" s="37" t="s">
        <v>1450</v>
      </c>
      <c r="E44" s="37" t="s">
        <v>5168</v>
      </c>
      <c r="F44" s="37" t="s">
        <v>5059</v>
      </c>
      <c r="G44" s="37" t="s">
        <v>5169</v>
      </c>
    </row>
    <row r="45" spans="1:7" ht="28.5" customHeight="1">
      <c r="A45" s="37" t="s">
        <v>5170</v>
      </c>
      <c r="B45" s="37" t="s">
        <v>5171</v>
      </c>
      <c r="C45" s="37" t="s">
        <v>4897</v>
      </c>
      <c r="D45" s="37" t="s">
        <v>5172</v>
      </c>
      <c r="E45" s="37" t="s">
        <v>366</v>
      </c>
      <c r="F45" s="37" t="s">
        <v>5059</v>
      </c>
      <c r="G45" s="37" t="s">
        <v>5173</v>
      </c>
    </row>
    <row r="46" spans="1:7" ht="28.5" customHeight="1">
      <c r="A46" s="37" t="s">
        <v>5174</v>
      </c>
      <c r="B46" s="37" t="s">
        <v>1445</v>
      </c>
      <c r="C46" s="37" t="s">
        <v>5175</v>
      </c>
      <c r="D46" s="37" t="s">
        <v>5176</v>
      </c>
      <c r="E46" s="37" t="s">
        <v>5177</v>
      </c>
      <c r="F46" s="37" t="s">
        <v>5059</v>
      </c>
      <c r="G46" s="37" t="s">
        <v>5178</v>
      </c>
    </row>
    <row r="47" spans="1:7">
      <c r="A47" s="37" t="s">
        <v>5179</v>
      </c>
      <c r="B47" s="37" t="s">
        <v>5180</v>
      </c>
      <c r="C47" s="37" t="s">
        <v>4775</v>
      </c>
      <c r="D47" s="37" t="s">
        <v>5181</v>
      </c>
      <c r="E47" s="37" t="s">
        <v>5182</v>
      </c>
      <c r="F47" s="37" t="s">
        <v>5059</v>
      </c>
      <c r="G47" s="37" t="s">
        <v>5183</v>
      </c>
    </row>
    <row r="48" spans="1:7">
      <c r="A48" s="37" t="s">
        <v>5184</v>
      </c>
      <c r="B48" s="37" t="s">
        <v>1165</v>
      </c>
      <c r="C48" s="37" t="s">
        <v>979</v>
      </c>
      <c r="D48" s="37" t="s">
        <v>5185</v>
      </c>
      <c r="E48" s="37" t="s">
        <v>5186</v>
      </c>
      <c r="F48" s="37" t="s">
        <v>5059</v>
      </c>
      <c r="G48" s="37" t="s">
        <v>5187</v>
      </c>
    </row>
    <row r="49" spans="1:10">
      <c r="A49" s="37" t="s">
        <v>5188</v>
      </c>
      <c r="B49" s="37" t="s">
        <v>5189</v>
      </c>
      <c r="C49" s="37" t="s">
        <v>1317</v>
      </c>
      <c r="D49" s="37" t="s">
        <v>5190</v>
      </c>
      <c r="E49" s="37" t="s">
        <v>1215</v>
      </c>
      <c r="F49" s="37" t="s">
        <v>5059</v>
      </c>
      <c r="G49" s="37" t="s">
        <v>5191</v>
      </c>
    </row>
    <row r="50" spans="1:10">
      <c r="A50" s="37" t="s">
        <v>5192</v>
      </c>
      <c r="B50" s="37" t="s">
        <v>5193</v>
      </c>
      <c r="C50" s="37" t="s">
        <v>4785</v>
      </c>
      <c r="D50" s="37" t="s">
        <v>5194</v>
      </c>
      <c r="E50" s="37" t="s">
        <v>5195</v>
      </c>
      <c r="F50" s="37" t="s">
        <v>5059</v>
      </c>
      <c r="G50" s="37" t="s">
        <v>5196</v>
      </c>
    </row>
    <row r="51" spans="1:10">
      <c r="A51" s="37" t="s">
        <v>5197</v>
      </c>
      <c r="B51" s="37" t="s">
        <v>5198</v>
      </c>
      <c r="C51" s="37" t="s">
        <v>4791</v>
      </c>
      <c r="D51" s="37" t="s">
        <v>5199</v>
      </c>
      <c r="E51" s="37" t="s">
        <v>1215</v>
      </c>
      <c r="F51" s="37" t="s">
        <v>5059</v>
      </c>
      <c r="G51" s="37" t="s">
        <v>5200</v>
      </c>
    </row>
    <row r="52" spans="1:10">
      <c r="A52" s="37" t="s">
        <v>5201</v>
      </c>
      <c r="B52" s="37" t="s">
        <v>5202</v>
      </c>
      <c r="C52" s="37" t="s">
        <v>4795</v>
      </c>
      <c r="D52" s="37" t="s">
        <v>5203</v>
      </c>
      <c r="E52" s="37" t="s">
        <v>1215</v>
      </c>
      <c r="F52" s="37" t="s">
        <v>5059</v>
      </c>
      <c r="G52" s="37" t="s">
        <v>5204</v>
      </c>
    </row>
    <row r="53" spans="1:10">
      <c r="A53" s="37" t="s">
        <v>5205</v>
      </c>
      <c r="B53" s="37" t="s">
        <v>5206</v>
      </c>
      <c r="C53" s="37" t="s">
        <v>4799</v>
      </c>
      <c r="D53" s="37" t="s">
        <v>5207</v>
      </c>
      <c r="E53" s="37" t="s">
        <v>1215</v>
      </c>
      <c r="F53" s="37" t="s">
        <v>5059</v>
      </c>
      <c r="G53" s="37" t="s">
        <v>5208</v>
      </c>
    </row>
    <row r="54" spans="1:10">
      <c r="A54" s="37" t="s">
        <v>5209</v>
      </c>
      <c r="B54" s="37" t="s">
        <v>5210</v>
      </c>
      <c r="C54" s="37" t="s">
        <v>5211</v>
      </c>
      <c r="D54" s="37" t="s">
        <v>5212</v>
      </c>
      <c r="E54" s="37" t="s">
        <v>5213</v>
      </c>
      <c r="F54" s="37" t="s">
        <v>5059</v>
      </c>
      <c r="G54" s="37" t="s">
        <v>5214</v>
      </c>
    </row>
    <row r="55" spans="1:10">
      <c r="A55" s="37" t="s">
        <v>5215</v>
      </c>
      <c r="B55" s="37" t="s">
        <v>5216</v>
      </c>
      <c r="C55" s="37" t="s">
        <v>5217</v>
      </c>
      <c r="D55" s="37" t="s">
        <v>5218</v>
      </c>
      <c r="E55" s="37" t="s">
        <v>4848</v>
      </c>
      <c r="F55" s="37" t="s">
        <v>5059</v>
      </c>
      <c r="G55" s="37" t="s">
        <v>5219</v>
      </c>
    </row>
    <row r="56" spans="1:10">
      <c r="A56" s="37" t="s">
        <v>5220</v>
      </c>
      <c r="B56" s="37" t="s">
        <v>5221</v>
      </c>
      <c r="C56" s="37" t="s">
        <v>941</v>
      </c>
      <c r="D56" s="37" t="s">
        <v>4981</v>
      </c>
      <c r="E56" s="37" t="s">
        <v>1215</v>
      </c>
      <c r="F56" s="37" t="s">
        <v>5059</v>
      </c>
      <c r="G56" s="37" t="s">
        <v>5222</v>
      </c>
    </row>
    <row r="57" spans="1:10">
      <c r="A57" s="37" t="s">
        <v>5223</v>
      </c>
      <c r="B57" s="37" t="s">
        <v>4984</v>
      </c>
      <c r="C57" s="37" t="s">
        <v>5224</v>
      </c>
      <c r="D57" s="37" t="s">
        <v>5225</v>
      </c>
      <c r="E57" s="37" t="s">
        <v>1215</v>
      </c>
      <c r="F57" s="37" t="s">
        <v>5059</v>
      </c>
      <c r="G57" s="37" t="s">
        <v>5226</v>
      </c>
    </row>
    <row r="58" spans="1:10">
      <c r="A58" s="37" t="s">
        <v>5227</v>
      </c>
      <c r="B58" s="37" t="s">
        <v>5228</v>
      </c>
      <c r="C58" s="37" t="s">
        <v>5229</v>
      </c>
      <c r="D58" s="37" t="s">
        <v>5230</v>
      </c>
      <c r="E58" s="37" t="s">
        <v>1215</v>
      </c>
      <c r="F58" s="37" t="s">
        <v>5059</v>
      </c>
      <c r="G58" s="37" t="s">
        <v>5231</v>
      </c>
    </row>
    <row r="59" spans="1:10">
      <c r="A59" s="37" t="s">
        <v>5232</v>
      </c>
      <c r="B59" s="37" t="s">
        <v>5233</v>
      </c>
      <c r="C59" s="37" t="s">
        <v>5234</v>
      </c>
      <c r="D59" s="37" t="s">
        <v>5235</v>
      </c>
      <c r="E59" s="37" t="s">
        <v>366</v>
      </c>
      <c r="F59" s="37" t="s">
        <v>5059</v>
      </c>
      <c r="G59" s="37" t="s">
        <v>5236</v>
      </c>
    </row>
    <row r="60" spans="1:10">
      <c r="A60" s="37" t="s">
        <v>5237</v>
      </c>
      <c r="B60" s="37" t="s">
        <v>5238</v>
      </c>
      <c r="C60" s="37" t="s">
        <v>1092</v>
      </c>
      <c r="D60" s="37" t="s">
        <v>5239</v>
      </c>
      <c r="E60" s="37" t="s">
        <v>838</v>
      </c>
      <c r="F60" s="37" t="s">
        <v>5059</v>
      </c>
      <c r="G60" s="37" t="s">
        <v>5240</v>
      </c>
    </row>
    <row r="61" spans="1:10">
      <c r="A61" s="37" t="s">
        <v>5241</v>
      </c>
      <c r="B61" s="37" t="s">
        <v>5242</v>
      </c>
      <c r="C61" s="37" t="s">
        <v>1100</v>
      </c>
      <c r="D61" s="37" t="s">
        <v>5243</v>
      </c>
      <c r="E61" s="37" t="s">
        <v>838</v>
      </c>
      <c r="F61" s="37" t="s">
        <v>5059</v>
      </c>
      <c r="G61" s="37" t="s">
        <v>5244</v>
      </c>
    </row>
    <row r="62" spans="1:10" ht="28.5" customHeight="1">
      <c r="A62" s="37" t="s">
        <v>5245</v>
      </c>
      <c r="B62" s="37" t="s">
        <v>5246</v>
      </c>
      <c r="C62" s="37" t="s">
        <v>5247</v>
      </c>
      <c r="D62" s="37" t="s">
        <v>5248</v>
      </c>
      <c r="E62" s="37" t="s">
        <v>838</v>
      </c>
      <c r="F62" s="37" t="s">
        <v>5059</v>
      </c>
      <c r="G62" s="37" t="s">
        <v>5249</v>
      </c>
    </row>
    <row r="64" spans="1:10" ht="15">
      <c r="A64" s="282" t="s">
        <v>5250</v>
      </c>
      <c r="B64" s="282"/>
      <c r="C64" s="282"/>
      <c r="D64" s="282"/>
      <c r="E64" s="282"/>
      <c r="F64" s="282"/>
      <c r="G64" s="282"/>
      <c r="H64" s="282"/>
      <c r="I64" s="282"/>
      <c r="J64" s="282"/>
    </row>
    <row r="66" spans="1:7">
      <c r="A66" s="124" t="s">
        <v>188</v>
      </c>
      <c r="B66" s="124" t="s">
        <v>5052</v>
      </c>
      <c r="C66" s="124" t="s">
        <v>6</v>
      </c>
      <c r="D66" s="124" t="s">
        <v>5054</v>
      </c>
      <c r="E66" s="124" t="s">
        <v>426</v>
      </c>
      <c r="F66" s="124" t="s">
        <v>113</v>
      </c>
      <c r="G66" s="124" t="s">
        <v>351</v>
      </c>
    </row>
    <row r="67" spans="1:7">
      <c r="A67" s="126" t="s">
        <v>5251</v>
      </c>
      <c r="B67" s="126" t="s">
        <v>5252</v>
      </c>
      <c r="C67" s="126" t="s">
        <v>8</v>
      </c>
      <c r="D67" s="126" t="s">
        <v>5253</v>
      </c>
      <c r="E67" s="126" t="s">
        <v>5252</v>
      </c>
      <c r="F67" s="126" t="s">
        <v>5059</v>
      </c>
      <c r="G67" s="126" t="s">
        <v>5254</v>
      </c>
    </row>
    <row r="68" spans="1:7">
      <c r="A68" s="126" t="s">
        <v>5255</v>
      </c>
      <c r="B68" s="126" t="s">
        <v>5256</v>
      </c>
      <c r="C68" s="126" t="s">
        <v>9</v>
      </c>
      <c r="D68" s="126" t="s">
        <v>5257</v>
      </c>
      <c r="E68" s="126" t="s">
        <v>5258</v>
      </c>
      <c r="F68" s="126" t="s">
        <v>5059</v>
      </c>
      <c r="G68" s="126" t="s">
        <v>5259</v>
      </c>
    </row>
    <row r="69" spans="1:7">
      <c r="A69" s="126" t="s">
        <v>5260</v>
      </c>
      <c r="B69" s="126" t="s">
        <v>5261</v>
      </c>
      <c r="C69" s="126" t="s">
        <v>10</v>
      </c>
      <c r="D69" s="126" t="s">
        <v>5262</v>
      </c>
      <c r="E69" s="126" t="s">
        <v>5263</v>
      </c>
      <c r="F69" s="126" t="s">
        <v>5059</v>
      </c>
      <c r="G69" s="126" t="s">
        <v>5264</v>
      </c>
    </row>
    <row r="70" spans="1:7" ht="24">
      <c r="A70" s="126" t="s">
        <v>5265</v>
      </c>
      <c r="B70" s="126" t="s">
        <v>4941</v>
      </c>
      <c r="C70" s="126" t="s">
        <v>11</v>
      </c>
      <c r="D70" s="126" t="s">
        <v>7893</v>
      </c>
      <c r="E70" s="126" t="s">
        <v>7894</v>
      </c>
      <c r="F70" s="126" t="s">
        <v>5059</v>
      </c>
      <c r="G70" s="126" t="s">
        <v>7895</v>
      </c>
    </row>
    <row r="71" spans="1:7">
      <c r="A71" s="126" t="s">
        <v>5266</v>
      </c>
      <c r="B71" s="126" t="s">
        <v>5267</v>
      </c>
      <c r="C71" s="126" t="s">
        <v>12</v>
      </c>
      <c r="D71" s="126" t="s">
        <v>5268</v>
      </c>
      <c r="E71" s="126" t="s">
        <v>5269</v>
      </c>
      <c r="F71" s="126" t="s">
        <v>5059</v>
      </c>
      <c r="G71" s="126" t="s">
        <v>5270</v>
      </c>
    </row>
    <row r="72" spans="1:7">
      <c r="A72" s="126" t="s">
        <v>5271</v>
      </c>
      <c r="B72" s="126" t="s">
        <v>15</v>
      </c>
      <c r="C72" s="126" t="s">
        <v>14</v>
      </c>
      <c r="D72" s="126" t="s">
        <v>5272</v>
      </c>
      <c r="E72" s="126" t="s">
        <v>5273</v>
      </c>
      <c r="F72" s="126" t="s">
        <v>5059</v>
      </c>
      <c r="G72" s="126" t="s">
        <v>5274</v>
      </c>
    </row>
    <row r="73" spans="1:7">
      <c r="A73" s="126" t="s">
        <v>5275</v>
      </c>
      <c r="B73" s="126" t="s">
        <v>1462</v>
      </c>
      <c r="C73" s="126" t="s">
        <v>16</v>
      </c>
      <c r="D73" s="126" t="s">
        <v>5276</v>
      </c>
      <c r="E73" s="126" t="s">
        <v>5277</v>
      </c>
      <c r="F73" s="126" t="s">
        <v>5059</v>
      </c>
      <c r="G73" s="126" t="s">
        <v>5278</v>
      </c>
    </row>
    <row r="74" spans="1:7">
      <c r="A74" s="126" t="s">
        <v>5279</v>
      </c>
      <c r="B74" s="126" t="s">
        <v>1459</v>
      </c>
      <c r="C74" s="126" t="s">
        <v>17</v>
      </c>
      <c r="D74" s="126" t="s">
        <v>5280</v>
      </c>
      <c r="E74" s="126" t="s">
        <v>5281</v>
      </c>
      <c r="F74" s="126" t="s">
        <v>5059</v>
      </c>
      <c r="G74" s="126" t="s">
        <v>5282</v>
      </c>
    </row>
    <row r="75" spans="1:7">
      <c r="A75" s="126" t="s">
        <v>5283</v>
      </c>
      <c r="B75" s="126" t="s">
        <v>5284</v>
      </c>
      <c r="C75" s="126" t="s">
        <v>18</v>
      </c>
      <c r="D75" s="126" t="s">
        <v>5285</v>
      </c>
      <c r="E75" s="126" t="s">
        <v>5286</v>
      </c>
      <c r="F75" s="126" t="s">
        <v>5059</v>
      </c>
      <c r="G75" s="126" t="s">
        <v>5287</v>
      </c>
    </row>
    <row r="76" spans="1:7">
      <c r="A76" t="s">
        <v>5283</v>
      </c>
      <c r="B76" t="s">
        <v>5284</v>
      </c>
      <c r="C76" t="s">
        <v>18</v>
      </c>
      <c r="D76" t="s">
        <v>5285</v>
      </c>
      <c r="E76" t="s">
        <v>5286</v>
      </c>
      <c r="F76" t="s">
        <v>5059</v>
      </c>
      <c r="G76" t="s">
        <v>5287</v>
      </c>
    </row>
  </sheetData>
  <mergeCells count="8">
    <mergeCell ref="A64:J64"/>
    <mergeCell ref="A1:N2"/>
    <mergeCell ref="A3:N3"/>
    <mergeCell ref="A7:H7"/>
    <mergeCell ref="C9:D11"/>
    <mergeCell ref="A9:B11"/>
    <mergeCell ref="E9:F11"/>
    <mergeCell ref="G9:H11"/>
  </mergeCells>
  <conditionalFormatting sqref="F14:F61">
    <cfRule type="expression" dxfId="3" priority="1">
      <formula>F14="INCLUIDO"</formula>
    </cfRule>
    <cfRule type="expression" dxfId="2" priority="2">
      <formula>F14="PARCIAL"</formula>
    </cfRule>
    <cfRule type="expression" dxfId="1" priority="3">
      <formula>LEFT(F14,9)="PENDIENTE"</formula>
    </cfRule>
    <cfRule type="expression" dxfId="0" priority="4">
      <formula>F14="BLOQUEADO"</formula>
    </cfRule>
  </conditionalFormatting>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15"/>
  <sheetViews>
    <sheetView showGridLines="0" topLeftCell="A91" workbookViewId="0">
      <selection activeCell="B39" sqref="B39:N39"/>
    </sheetView>
  </sheetViews>
  <sheetFormatPr baseColWidth="10" defaultColWidth="9" defaultRowHeight="14.25"/>
  <cols>
    <col min="1" max="1" width="19.25" style="30" customWidth="1"/>
    <col min="2" max="2" width="20" style="30" customWidth="1"/>
    <col min="3" max="3" width="40" style="30" customWidth="1"/>
    <col min="4" max="4" width="20" style="30" customWidth="1"/>
    <col min="5" max="5" width="50" style="30" customWidth="1"/>
    <col min="6" max="6" width="16" style="30" customWidth="1"/>
    <col min="7" max="7" width="42" style="30" customWidth="1"/>
  </cols>
  <sheetData>
    <row r="1" spans="1:14">
      <c r="A1" s="286" t="s">
        <v>5288</v>
      </c>
      <c r="B1" s="152"/>
      <c r="C1" s="152"/>
      <c r="D1" s="152"/>
      <c r="E1" s="152"/>
      <c r="F1" s="152"/>
      <c r="G1" s="152"/>
      <c r="H1" s="152"/>
      <c r="I1" s="152"/>
      <c r="J1" s="152"/>
      <c r="K1" s="152"/>
      <c r="L1" s="152"/>
      <c r="M1" s="152"/>
      <c r="N1" s="152"/>
    </row>
    <row r="2" spans="1:14">
      <c r="A2" s="152"/>
      <c r="B2" s="152"/>
      <c r="C2" s="152"/>
      <c r="D2" s="152"/>
      <c r="E2" s="152"/>
      <c r="F2" s="152"/>
      <c r="G2" s="152"/>
      <c r="H2" s="152"/>
      <c r="I2" s="152"/>
      <c r="J2" s="152"/>
      <c r="K2" s="152"/>
      <c r="L2" s="152"/>
      <c r="M2" s="152"/>
      <c r="N2" s="152"/>
    </row>
    <row r="3" spans="1:14" ht="15" customHeight="1">
      <c r="A3" s="291" t="s">
        <v>5289</v>
      </c>
      <c r="B3" s="152"/>
      <c r="C3" s="152"/>
      <c r="D3" s="152"/>
      <c r="E3" s="152"/>
      <c r="F3" s="152"/>
      <c r="G3" s="152"/>
      <c r="H3" s="152"/>
      <c r="I3" s="152"/>
      <c r="J3" s="152"/>
      <c r="K3" s="152"/>
      <c r="L3" s="152"/>
      <c r="M3" s="152"/>
      <c r="N3" s="152"/>
    </row>
    <row r="5" spans="1:14">
      <c r="A5" s="26" t="str">
        <f>HYPERLINK("#'INICIO'!A1","INICIO")</f>
        <v>INICIO</v>
      </c>
      <c r="B5" s="26" t="str">
        <f>HYPERLINK("#'DATOS'!A1","DATOS")</f>
        <v>DATOS</v>
      </c>
      <c r="C5" s="26" t="str">
        <f>HYPERLINK("#'RESULTADOS'!A1","RESULTADOS")</f>
        <v>RESULTADOS</v>
      </c>
      <c r="D5" s="26" t="str">
        <f>HYPERLINK("#'FUENTES'!A1","FUENTES")</f>
        <v>FUENTES</v>
      </c>
      <c r="E5" s="26" t="str">
        <f>HYPERLINK("#'PRUEBAS'!A1","PRUEBAS")</f>
        <v>PRUEBAS</v>
      </c>
      <c r="F5" s="26" t="str">
        <f>HYPERLINK("#'DOCUMENTACIÓN'!A1","DOCUMENTACIÓN")</f>
        <v>DOCUMENTACIÓN</v>
      </c>
      <c r="G5" s="26" t="str">
        <f>HYPERLINK("#'COBERTURA'!A1","COBERTURA")</f>
        <v>COBERTURA</v>
      </c>
      <c r="H5" s="27" t="str">
        <f>HYPERLINK("#'AUDITORÍA_FINAL'!A1","AUDITORÍA FINAL")</f>
        <v>AUDITORÍA FINAL</v>
      </c>
    </row>
    <row r="7" spans="1:14" ht="15.75" customHeight="1">
      <c r="A7" s="290" t="s">
        <v>5290</v>
      </c>
      <c r="B7" s="152"/>
      <c r="C7" s="152"/>
      <c r="D7" s="152"/>
      <c r="E7" s="152"/>
      <c r="F7" s="152"/>
      <c r="G7" s="152"/>
      <c r="H7" s="152"/>
      <c r="I7" s="152"/>
      <c r="J7" s="152"/>
      <c r="K7" s="152"/>
      <c r="L7" s="152"/>
      <c r="M7" s="152"/>
      <c r="N7" s="152"/>
    </row>
    <row r="9" spans="1:14">
      <c r="A9" s="285" t="s">
        <v>5291</v>
      </c>
      <c r="B9" s="152"/>
      <c r="C9" s="152"/>
      <c r="E9" s="285" t="s">
        <v>5292</v>
      </c>
      <c r="F9" s="152"/>
      <c r="G9" s="152"/>
      <c r="I9" s="285" t="s">
        <v>7896</v>
      </c>
      <c r="J9" s="152"/>
      <c r="K9" s="152"/>
      <c r="M9" s="292" t="s">
        <v>5293</v>
      </c>
      <c r="N9" s="152"/>
    </row>
    <row r="10" spans="1:14">
      <c r="A10" s="152"/>
      <c r="B10" s="152"/>
      <c r="C10" s="152"/>
      <c r="E10" s="152"/>
      <c r="F10" s="152"/>
      <c r="G10" s="152"/>
      <c r="I10" s="152"/>
      <c r="J10" s="152"/>
      <c r="K10" s="152"/>
      <c r="M10" s="152"/>
      <c r="N10" s="152"/>
    </row>
    <row r="11" spans="1:14">
      <c r="A11" s="152"/>
      <c r="B11" s="152"/>
      <c r="C11" s="152"/>
      <c r="E11" s="152"/>
      <c r="F11" s="152"/>
      <c r="G11" s="152"/>
      <c r="I11" s="152"/>
      <c r="J11" s="152"/>
      <c r="K11" s="152"/>
      <c r="M11" s="152"/>
      <c r="N11" s="152"/>
    </row>
    <row r="12" spans="1:14">
      <c r="A12" s="152"/>
      <c r="B12" s="152"/>
      <c r="C12" s="152"/>
      <c r="E12" s="152"/>
      <c r="F12" s="152"/>
      <c r="G12" s="152"/>
      <c r="I12" s="152"/>
      <c r="J12" s="152"/>
      <c r="K12" s="152"/>
      <c r="M12" s="152"/>
      <c r="N12" s="152"/>
    </row>
    <row r="14" spans="1:14" ht="15" customHeight="1">
      <c r="A14" s="288" t="s">
        <v>5294</v>
      </c>
      <c r="B14" s="152"/>
      <c r="C14" s="152"/>
      <c r="D14" s="152"/>
      <c r="E14" s="152"/>
      <c r="F14" s="152"/>
      <c r="G14" s="152"/>
      <c r="H14" s="152"/>
      <c r="I14" s="152"/>
      <c r="J14" s="152"/>
      <c r="K14" s="152"/>
      <c r="L14" s="152"/>
      <c r="M14" s="152"/>
      <c r="N14" s="152"/>
    </row>
    <row r="16" spans="1:14" ht="15" customHeight="1">
      <c r="A16" s="28" t="s">
        <v>188</v>
      </c>
      <c r="B16" s="28" t="s">
        <v>5295</v>
      </c>
      <c r="C16" s="28" t="s">
        <v>1214</v>
      </c>
      <c r="D16" s="28" t="s">
        <v>5296</v>
      </c>
      <c r="E16" s="28" t="s">
        <v>5297</v>
      </c>
      <c r="F16" s="28" t="s">
        <v>113</v>
      </c>
      <c r="G16" s="28" t="s">
        <v>351</v>
      </c>
    </row>
    <row r="17" spans="1:14">
      <c r="A17" s="90" t="s">
        <v>1146</v>
      </c>
      <c r="B17" s="90" t="s">
        <v>1147</v>
      </c>
      <c r="C17" s="90" t="s">
        <v>1148</v>
      </c>
      <c r="D17" s="90">
        <v>35</v>
      </c>
      <c r="E17" s="90">
        <v>35</v>
      </c>
      <c r="F17" s="90" t="s">
        <v>853</v>
      </c>
      <c r="G17" s="90" t="s">
        <v>1150</v>
      </c>
    </row>
    <row r="18" spans="1:14">
      <c r="A18" s="90" t="s">
        <v>1151</v>
      </c>
      <c r="B18" s="90" t="s">
        <v>1152</v>
      </c>
      <c r="C18" s="90" t="s">
        <v>1153</v>
      </c>
      <c r="D18" s="90">
        <v>35</v>
      </c>
      <c r="E18" s="90">
        <v>35</v>
      </c>
      <c r="F18" s="90" t="s">
        <v>853</v>
      </c>
      <c r="G18" s="90" t="s">
        <v>1155</v>
      </c>
    </row>
    <row r="19" spans="1:14">
      <c r="A19" s="90" t="s">
        <v>1156</v>
      </c>
      <c r="B19" s="90" t="s">
        <v>979</v>
      </c>
      <c r="C19" s="90" t="s">
        <v>1078</v>
      </c>
      <c r="D19" s="90">
        <v>37</v>
      </c>
      <c r="E19" s="90">
        <v>37</v>
      </c>
      <c r="F19" s="90" t="s">
        <v>853</v>
      </c>
      <c r="G19" s="90" t="s">
        <v>1157</v>
      </c>
    </row>
    <row r="20" spans="1:14">
      <c r="A20" s="90" t="s">
        <v>1158</v>
      </c>
      <c r="B20" s="90" t="s">
        <v>1159</v>
      </c>
      <c r="C20" s="90" t="s">
        <v>1160</v>
      </c>
      <c r="D20" s="90">
        <v>0</v>
      </c>
      <c r="E20" s="90">
        <v>0</v>
      </c>
      <c r="F20" s="90" t="s">
        <v>853</v>
      </c>
      <c r="G20" s="90" t="s">
        <v>1162</v>
      </c>
    </row>
    <row r="21" spans="1:14">
      <c r="A21" s="90" t="s">
        <v>1163</v>
      </c>
      <c r="B21" s="90" t="s">
        <v>979</v>
      </c>
      <c r="C21" s="90" t="s">
        <v>1164</v>
      </c>
      <c r="D21" s="90">
        <v>0</v>
      </c>
      <c r="E21" s="90">
        <v>0</v>
      </c>
      <c r="F21" s="90" t="s">
        <v>853</v>
      </c>
      <c r="G21" s="90" t="s">
        <v>1166</v>
      </c>
    </row>
    <row r="22" spans="1:14">
      <c r="A22" s="90" t="s">
        <v>1167</v>
      </c>
      <c r="B22" s="90" t="s">
        <v>1118</v>
      </c>
      <c r="C22" s="90" t="s">
        <v>1119</v>
      </c>
      <c r="D22" s="90">
        <v>15</v>
      </c>
      <c r="E22" s="90">
        <v>15</v>
      </c>
      <c r="F22" s="90" t="s">
        <v>853</v>
      </c>
      <c r="G22" s="90" t="s">
        <v>1121</v>
      </c>
    </row>
    <row r="23" spans="1:14">
      <c r="A23" s="90" t="s">
        <v>1168</v>
      </c>
      <c r="B23" s="90" t="s">
        <v>1109</v>
      </c>
      <c r="C23" s="90" t="s">
        <v>1169</v>
      </c>
      <c r="D23" s="90">
        <v>20</v>
      </c>
      <c r="E23" s="90">
        <v>20</v>
      </c>
      <c r="F23" s="90" t="s">
        <v>853</v>
      </c>
      <c r="G23" s="90" t="s">
        <v>1170</v>
      </c>
    </row>
    <row r="24" spans="1:14">
      <c r="A24" s="90" t="s">
        <v>1171</v>
      </c>
      <c r="B24" s="90" t="s">
        <v>1100</v>
      </c>
      <c r="C24" s="90" t="s">
        <v>1172</v>
      </c>
      <c r="D24" s="90">
        <v>49</v>
      </c>
      <c r="E24" s="90">
        <v>49</v>
      </c>
      <c r="F24" s="90" t="s">
        <v>853</v>
      </c>
      <c r="G24" s="90" t="s">
        <v>1173</v>
      </c>
    </row>
    <row r="25" spans="1:14" ht="28.5" customHeight="1">
      <c r="A25" s="90" t="s">
        <v>1174</v>
      </c>
      <c r="B25" s="90" t="s">
        <v>1175</v>
      </c>
      <c r="C25" s="90" t="s">
        <v>1176</v>
      </c>
      <c r="D25" s="90" t="s">
        <v>1178</v>
      </c>
      <c r="E25" s="90" t="s">
        <v>1178</v>
      </c>
      <c r="F25" s="90" t="s">
        <v>853</v>
      </c>
      <c r="G25" s="90" t="s">
        <v>1179</v>
      </c>
    </row>
    <row r="26" spans="1:14">
      <c r="A26" s="90" t="s">
        <v>1180</v>
      </c>
      <c r="B26" s="90" t="s">
        <v>939</v>
      </c>
      <c r="C26" s="90" t="s">
        <v>940</v>
      </c>
      <c r="D26" s="90">
        <v>0</v>
      </c>
      <c r="E26" s="90">
        <v>0</v>
      </c>
      <c r="F26" s="90" t="s">
        <v>853</v>
      </c>
      <c r="G26" s="90" t="s">
        <v>1181</v>
      </c>
    </row>
    <row r="28" spans="1:14" ht="15" customHeight="1">
      <c r="A28" s="288" t="s">
        <v>5298</v>
      </c>
      <c r="B28" s="152"/>
      <c r="C28" s="152"/>
      <c r="D28" s="152"/>
      <c r="E28" s="152"/>
      <c r="F28" s="152"/>
      <c r="G28" s="152"/>
      <c r="H28" s="152"/>
      <c r="I28" s="152"/>
      <c r="J28" s="152"/>
      <c r="K28" s="152"/>
      <c r="L28" s="152"/>
      <c r="M28" s="152"/>
      <c r="N28" s="152"/>
    </row>
    <row r="30" spans="1:14" ht="15" customHeight="1">
      <c r="A30" s="28" t="s">
        <v>188</v>
      </c>
      <c r="B30" s="28" t="s">
        <v>664</v>
      </c>
      <c r="C30" s="28" t="s">
        <v>1214</v>
      </c>
      <c r="D30" s="28" t="s">
        <v>113</v>
      </c>
      <c r="E30" s="28" t="s">
        <v>351</v>
      </c>
    </row>
    <row r="31" spans="1:14" ht="51.95" customHeight="1">
      <c r="A31" s="90" t="s">
        <v>943</v>
      </c>
      <c r="B31" s="90" t="s">
        <v>944</v>
      </c>
      <c r="C31" s="90" t="s">
        <v>945</v>
      </c>
      <c r="D31" s="3" t="s">
        <v>949</v>
      </c>
      <c r="E31" s="90" t="s">
        <v>950</v>
      </c>
    </row>
    <row r="32" spans="1:14" ht="51.95" customHeight="1">
      <c r="A32" s="90" t="s">
        <v>1137</v>
      </c>
      <c r="B32" s="90" t="s">
        <v>944</v>
      </c>
      <c r="C32" s="90" t="s">
        <v>1138</v>
      </c>
      <c r="D32" s="3" t="s">
        <v>949</v>
      </c>
      <c r="E32" s="90" t="s">
        <v>1141</v>
      </c>
    </row>
    <row r="33" spans="1:14" ht="51.95" customHeight="1">
      <c r="A33" s="90" t="s">
        <v>1142</v>
      </c>
      <c r="B33" s="90" t="s">
        <v>1143</v>
      </c>
      <c r="C33" s="90" t="s">
        <v>1144</v>
      </c>
      <c r="D33" s="3" t="s">
        <v>949</v>
      </c>
      <c r="E33" s="90" t="s">
        <v>1145</v>
      </c>
    </row>
    <row r="35" spans="1:14" ht="15" customHeight="1">
      <c r="A35" s="288" t="s">
        <v>5299</v>
      </c>
      <c r="B35" s="152"/>
      <c r="C35" s="152"/>
      <c r="D35" s="152"/>
      <c r="E35" s="152"/>
      <c r="F35" s="152"/>
      <c r="G35" s="152"/>
      <c r="H35" s="152"/>
      <c r="I35" s="152"/>
      <c r="J35" s="152"/>
      <c r="K35" s="152"/>
      <c r="L35" s="152"/>
      <c r="M35" s="152"/>
      <c r="N35" s="152"/>
    </row>
    <row r="37" spans="1:14" ht="15" customHeight="1">
      <c r="A37" s="25" t="s">
        <v>5300</v>
      </c>
      <c r="B37" s="271" t="s">
        <v>5301</v>
      </c>
      <c r="C37" s="271"/>
      <c r="D37" s="271"/>
      <c r="E37" s="271"/>
      <c r="F37" s="271"/>
      <c r="G37" s="271"/>
      <c r="H37" s="271"/>
      <c r="I37" s="271"/>
      <c r="J37" s="271"/>
      <c r="K37" s="271"/>
      <c r="L37" s="271"/>
      <c r="M37" s="271"/>
      <c r="N37" s="271"/>
    </row>
    <row r="38" spans="1:14" ht="15" customHeight="1">
      <c r="A38" s="25" t="s">
        <v>5302</v>
      </c>
      <c r="B38" s="271" t="s">
        <v>5303</v>
      </c>
      <c r="C38" s="271"/>
      <c r="D38" s="271"/>
      <c r="E38" s="271"/>
      <c r="F38" s="271"/>
      <c r="G38" s="271"/>
      <c r="H38" s="271"/>
      <c r="I38" s="271"/>
      <c r="J38" s="271"/>
      <c r="K38" s="271"/>
      <c r="L38" s="271"/>
      <c r="M38" s="271"/>
      <c r="N38" s="271"/>
    </row>
    <row r="39" spans="1:14" ht="15" customHeight="1">
      <c r="A39" s="25" t="s">
        <v>4990</v>
      </c>
      <c r="B39" s="271" t="s">
        <v>5304</v>
      </c>
      <c r="C39" s="271"/>
      <c r="D39" s="271"/>
      <c r="E39" s="271"/>
      <c r="F39" s="271"/>
      <c r="G39" s="271"/>
      <c r="H39" s="271"/>
      <c r="I39" s="271"/>
      <c r="J39" s="271"/>
      <c r="K39" s="271"/>
      <c r="L39" s="271"/>
      <c r="M39" s="271"/>
      <c r="N39" s="271"/>
    </row>
    <row r="40" spans="1:14" ht="15" customHeight="1">
      <c r="A40" s="25" t="s">
        <v>5305</v>
      </c>
      <c r="B40" s="271" t="s">
        <v>5306</v>
      </c>
      <c r="C40" s="271"/>
      <c r="D40" s="271"/>
      <c r="E40" s="271"/>
      <c r="F40" s="271"/>
      <c r="G40" s="271"/>
      <c r="H40" s="271"/>
      <c r="I40" s="271"/>
      <c r="J40" s="271"/>
      <c r="K40" s="271"/>
      <c r="L40" s="271"/>
      <c r="M40" s="271"/>
      <c r="N40" s="271"/>
    </row>
    <row r="41" spans="1:14" ht="15" customHeight="1">
      <c r="A41" s="25" t="s">
        <v>5307</v>
      </c>
      <c r="B41" s="271" t="s">
        <v>5308</v>
      </c>
      <c r="C41" s="271"/>
      <c r="D41" s="271"/>
      <c r="E41" s="271"/>
      <c r="F41" s="271"/>
      <c r="G41" s="271"/>
      <c r="H41" s="271"/>
      <c r="I41" s="271"/>
      <c r="J41" s="271"/>
      <c r="K41" s="271"/>
      <c r="L41" s="271"/>
      <c r="M41" s="271"/>
      <c r="N41" s="271"/>
    </row>
    <row r="42" spans="1:14" ht="15" customHeight="1">
      <c r="A42" s="25" t="s">
        <v>4984</v>
      </c>
      <c r="B42" s="271" t="s">
        <v>5309</v>
      </c>
      <c r="C42" s="271"/>
      <c r="D42" s="271"/>
      <c r="E42" s="271"/>
      <c r="F42" s="271"/>
      <c r="G42" s="271"/>
      <c r="H42" s="271"/>
      <c r="I42" s="271"/>
      <c r="J42" s="271"/>
      <c r="K42" s="271"/>
      <c r="L42" s="271"/>
      <c r="M42" s="271"/>
      <c r="N42" s="271"/>
    </row>
    <row r="43" spans="1:14" ht="15" customHeight="1">
      <c r="A43" s="25" t="s">
        <v>4953</v>
      </c>
      <c r="B43" s="271" t="s">
        <v>4954</v>
      </c>
      <c r="C43" s="271"/>
      <c r="D43" s="271"/>
      <c r="E43" s="271"/>
      <c r="F43" s="271"/>
      <c r="G43" s="271"/>
      <c r="H43" s="271"/>
      <c r="I43" s="271"/>
      <c r="J43" s="271"/>
      <c r="K43" s="271"/>
      <c r="L43" s="271"/>
      <c r="M43" s="271"/>
      <c r="N43" s="271"/>
    </row>
    <row r="44" spans="1:14" ht="15" customHeight="1">
      <c r="A44" s="25" t="s">
        <v>5310</v>
      </c>
      <c r="B44" s="271" t="s">
        <v>5311</v>
      </c>
      <c r="C44" s="271"/>
      <c r="D44" s="271"/>
      <c r="E44" s="271"/>
      <c r="F44" s="271"/>
      <c r="G44" s="271"/>
      <c r="H44" s="271"/>
      <c r="I44" s="271"/>
      <c r="J44" s="271"/>
      <c r="K44" s="271"/>
      <c r="L44" s="271"/>
      <c r="M44" s="271"/>
      <c r="N44" s="271"/>
    </row>
    <row r="46" spans="1:14">
      <c r="A46" s="289" t="s">
        <v>5312</v>
      </c>
      <c r="B46" s="152"/>
      <c r="C46" s="152"/>
      <c r="D46" s="152"/>
      <c r="E46" s="152"/>
      <c r="F46" s="152"/>
      <c r="G46" s="152"/>
      <c r="H46" s="152"/>
      <c r="I46" s="152"/>
      <c r="J46" s="152"/>
      <c r="K46" s="152"/>
      <c r="L46" s="152"/>
      <c r="M46" s="152"/>
      <c r="N46" s="152"/>
    </row>
    <row r="47" spans="1:14">
      <c r="A47" s="152"/>
      <c r="B47" s="152"/>
      <c r="C47" s="152"/>
      <c r="D47" s="152"/>
      <c r="E47" s="152"/>
      <c r="F47" s="152"/>
      <c r="G47" s="152"/>
      <c r="H47" s="152"/>
      <c r="I47" s="152"/>
      <c r="J47" s="152"/>
      <c r="K47" s="152"/>
      <c r="L47" s="152"/>
      <c r="M47" s="152"/>
      <c r="N47" s="152"/>
    </row>
    <row r="48" spans="1:14">
      <c r="A48" s="152"/>
      <c r="B48" s="152"/>
      <c r="C48" s="152"/>
      <c r="D48" s="152"/>
      <c r="E48" s="152"/>
      <c r="F48" s="152"/>
      <c r="G48" s="152"/>
      <c r="H48" s="152"/>
      <c r="I48" s="152"/>
      <c r="J48" s="152"/>
      <c r="K48" s="152"/>
      <c r="L48" s="152"/>
      <c r="M48" s="152"/>
      <c r="N48" s="152"/>
    </row>
    <row r="49" spans="1:14">
      <c r="A49" s="152"/>
      <c r="B49" s="152"/>
      <c r="C49" s="152"/>
      <c r="D49" s="152"/>
      <c r="E49" s="152"/>
      <c r="F49" s="152"/>
      <c r="G49" s="152"/>
      <c r="H49" s="152"/>
      <c r="I49" s="152"/>
      <c r="J49" s="152"/>
      <c r="K49" s="152"/>
      <c r="L49" s="152"/>
      <c r="M49" s="152"/>
      <c r="N49" s="152"/>
    </row>
    <row r="50" spans="1:14">
      <c r="A50" s="152"/>
      <c r="B50" s="152"/>
      <c r="C50" s="152"/>
      <c r="D50" s="152"/>
      <c r="E50" s="152"/>
      <c r="F50" s="152"/>
      <c r="G50" s="152"/>
      <c r="H50" s="152"/>
      <c r="I50" s="152"/>
      <c r="J50" s="152"/>
      <c r="K50" s="152"/>
      <c r="L50" s="152"/>
      <c r="M50" s="152"/>
      <c r="N50" s="152"/>
    </row>
    <row r="51" spans="1:14">
      <c r="A51" s="152"/>
      <c r="B51" s="152"/>
      <c r="C51" s="152"/>
      <c r="D51" s="152"/>
      <c r="E51" s="152"/>
      <c r="F51" s="152"/>
      <c r="G51" s="152"/>
      <c r="H51" s="152"/>
      <c r="I51" s="152"/>
      <c r="J51" s="152"/>
      <c r="K51" s="152"/>
      <c r="L51" s="152"/>
      <c r="M51" s="152"/>
      <c r="N51" s="152"/>
    </row>
    <row r="55" spans="1:14" ht="15" customHeight="1">
      <c r="A55" s="29" t="s">
        <v>188</v>
      </c>
      <c r="B55" s="29" t="s">
        <v>5295</v>
      </c>
      <c r="C55" s="29" t="s">
        <v>1214</v>
      </c>
      <c r="D55" s="29" t="s">
        <v>5296</v>
      </c>
      <c r="E55" s="29" t="s">
        <v>5297</v>
      </c>
      <c r="F55" s="29" t="s">
        <v>113</v>
      </c>
      <c r="G55" s="29" t="s">
        <v>351</v>
      </c>
    </row>
    <row r="56" spans="1:14">
      <c r="A56" s="37" t="s">
        <v>1182</v>
      </c>
      <c r="B56" s="37" t="s">
        <v>1183</v>
      </c>
      <c r="C56" s="37" t="s">
        <v>5313</v>
      </c>
      <c r="D56" s="37">
        <v>1</v>
      </c>
      <c r="E56" s="37">
        <v>1</v>
      </c>
      <c r="F56" s="37" t="s">
        <v>853</v>
      </c>
      <c r="G56" s="37" t="s">
        <v>5314</v>
      </c>
    </row>
    <row r="57" spans="1:14">
      <c r="A57" s="37" t="s">
        <v>1187</v>
      </c>
      <c r="B57" s="37" t="s">
        <v>1188</v>
      </c>
      <c r="C57" s="37" t="s">
        <v>5315</v>
      </c>
      <c r="D57" s="37" t="s">
        <v>5316</v>
      </c>
      <c r="E57" s="37" t="s">
        <v>5316</v>
      </c>
      <c r="F57" s="37" t="s">
        <v>853</v>
      </c>
      <c r="G57" s="37" t="s">
        <v>5317</v>
      </c>
    </row>
    <row r="58" spans="1:14">
      <c r="A58" s="37" t="s">
        <v>1193</v>
      </c>
      <c r="B58" s="37" t="s">
        <v>1194</v>
      </c>
      <c r="C58" s="37" t="s">
        <v>5318</v>
      </c>
      <c r="D58" s="37">
        <v>35</v>
      </c>
      <c r="E58" s="37">
        <v>35</v>
      </c>
      <c r="F58" s="37" t="s">
        <v>853</v>
      </c>
      <c r="G58" s="37" t="s">
        <v>5319</v>
      </c>
    </row>
    <row r="59" spans="1:14">
      <c r="A59" s="37" t="s">
        <v>1198</v>
      </c>
      <c r="B59" s="37" t="s">
        <v>1199</v>
      </c>
      <c r="C59" s="37" t="s">
        <v>5320</v>
      </c>
      <c r="D59" s="37">
        <v>3</v>
      </c>
      <c r="E59" s="37">
        <v>3</v>
      </c>
      <c r="F59" s="37" t="s">
        <v>853</v>
      </c>
      <c r="G59" s="37" t="s">
        <v>5321</v>
      </c>
    </row>
    <row r="61" spans="1:14">
      <c r="A61" s="287" t="s">
        <v>5322</v>
      </c>
      <c r="B61" s="152"/>
      <c r="C61" s="152"/>
      <c r="D61" s="152"/>
      <c r="E61" s="152"/>
      <c r="F61" s="152"/>
      <c r="G61" s="152"/>
      <c r="H61" s="152"/>
      <c r="I61" s="152"/>
      <c r="J61" s="152"/>
      <c r="K61" s="152"/>
      <c r="L61" s="152"/>
      <c r="M61" s="152"/>
      <c r="N61" s="152"/>
    </row>
    <row r="62" spans="1:14">
      <c r="A62" s="152"/>
      <c r="B62" s="152"/>
      <c r="C62" s="152"/>
      <c r="D62" s="152"/>
      <c r="E62" s="152"/>
      <c r="F62" s="152"/>
      <c r="G62" s="152"/>
      <c r="H62" s="152"/>
      <c r="I62" s="152"/>
      <c r="J62" s="152"/>
      <c r="K62" s="152"/>
      <c r="L62" s="152"/>
      <c r="M62" s="152"/>
      <c r="N62" s="152"/>
    </row>
    <row r="63" spans="1:14">
      <c r="A63" s="152"/>
      <c r="B63" s="152"/>
      <c r="C63" s="152"/>
      <c r="D63" s="152"/>
      <c r="E63" s="152"/>
      <c r="F63" s="152"/>
      <c r="G63" s="152"/>
      <c r="H63" s="152"/>
      <c r="I63" s="152"/>
      <c r="J63" s="152"/>
      <c r="K63" s="152"/>
      <c r="L63" s="152"/>
      <c r="M63" s="152"/>
      <c r="N63" s="152"/>
    </row>
    <row r="64" spans="1:14">
      <c r="A64" s="152"/>
      <c r="B64" s="152"/>
      <c r="C64" s="152"/>
      <c r="D64" s="152"/>
      <c r="E64" s="152"/>
      <c r="F64" s="152"/>
      <c r="G64" s="152"/>
      <c r="H64" s="152"/>
      <c r="I64" s="152"/>
      <c r="J64" s="152"/>
      <c r="K64" s="152"/>
      <c r="L64" s="152"/>
      <c r="M64" s="152"/>
      <c r="N64" s="152"/>
    </row>
    <row r="66" spans="1:5" ht="15.75">
      <c r="A66" s="88" t="s">
        <v>5323</v>
      </c>
    </row>
    <row r="68" spans="1:5" ht="15">
      <c r="A68" s="89" t="s">
        <v>5324</v>
      </c>
      <c r="B68" s="89" t="s">
        <v>152</v>
      </c>
      <c r="C68" s="89" t="s">
        <v>5297</v>
      </c>
      <c r="D68" s="89" t="s">
        <v>5296</v>
      </c>
      <c r="E68" s="89" t="s">
        <v>89</v>
      </c>
    </row>
    <row r="69" spans="1:5" ht="15">
      <c r="A69" s="90" t="s">
        <v>5325</v>
      </c>
      <c r="B69" s="90" t="s">
        <v>5326</v>
      </c>
      <c r="C69" s="90" t="s">
        <v>5327</v>
      </c>
      <c r="D69" s="90" t="s">
        <v>225</v>
      </c>
      <c r="E69" s="91" t="s">
        <v>5328</v>
      </c>
    </row>
    <row r="70" spans="1:5" ht="15">
      <c r="A70" s="90" t="s">
        <v>5329</v>
      </c>
      <c r="B70" s="90" t="s">
        <v>5326</v>
      </c>
      <c r="C70" s="90" t="s">
        <v>5330</v>
      </c>
      <c r="D70" s="90" t="s">
        <v>5331</v>
      </c>
      <c r="E70" s="91" t="s">
        <v>5328</v>
      </c>
    </row>
    <row r="71" spans="1:5" ht="15">
      <c r="A71" s="90" t="s">
        <v>5332</v>
      </c>
      <c r="B71" s="90" t="s">
        <v>5333</v>
      </c>
      <c r="C71" s="90" t="s">
        <v>5334</v>
      </c>
      <c r="D71" s="90" t="s">
        <v>255</v>
      </c>
      <c r="E71" s="91" t="s">
        <v>5328</v>
      </c>
    </row>
    <row r="72" spans="1:5" ht="15">
      <c r="A72" s="90" t="s">
        <v>5335</v>
      </c>
      <c r="B72" s="90" t="s">
        <v>5333</v>
      </c>
      <c r="C72" s="90" t="s">
        <v>5336</v>
      </c>
      <c r="D72" s="90" t="s">
        <v>1606</v>
      </c>
      <c r="E72" s="91" t="s">
        <v>5328</v>
      </c>
    </row>
    <row r="73" spans="1:5" ht="15">
      <c r="A73" s="90" t="s">
        <v>5337</v>
      </c>
      <c r="B73" s="90" t="s">
        <v>5333</v>
      </c>
      <c r="C73" s="90" t="s">
        <v>5338</v>
      </c>
      <c r="D73" s="90" t="s">
        <v>230</v>
      </c>
      <c r="E73" s="91" t="s">
        <v>5328</v>
      </c>
    </row>
    <row r="74" spans="1:5" ht="15">
      <c r="A74" s="90" t="s">
        <v>5339</v>
      </c>
      <c r="B74" s="90" t="s">
        <v>5333</v>
      </c>
      <c r="C74" s="90" t="s">
        <v>5340</v>
      </c>
      <c r="D74" s="90" t="s">
        <v>5341</v>
      </c>
      <c r="E74" s="91" t="s">
        <v>5328</v>
      </c>
    </row>
    <row r="75" spans="1:5" ht="15">
      <c r="A75" s="90" t="s">
        <v>5342</v>
      </c>
      <c r="B75" s="90" t="s">
        <v>5333</v>
      </c>
      <c r="C75" s="90" t="s">
        <v>5343</v>
      </c>
      <c r="D75" s="90" t="s">
        <v>5331</v>
      </c>
      <c r="E75" s="91" t="s">
        <v>5328</v>
      </c>
    </row>
    <row r="76" spans="1:5" ht="15">
      <c r="A76" s="90" t="s">
        <v>969</v>
      </c>
      <c r="B76" s="90" t="s">
        <v>5326</v>
      </c>
      <c r="C76" s="90" t="s">
        <v>5344</v>
      </c>
      <c r="D76" s="90" t="s">
        <v>5345</v>
      </c>
      <c r="E76" s="91" t="s">
        <v>5328</v>
      </c>
    </row>
    <row r="77" spans="1:5" ht="15">
      <c r="A77" s="90" t="s">
        <v>974</v>
      </c>
      <c r="B77" s="90" t="s">
        <v>5326</v>
      </c>
      <c r="C77" s="90" t="s">
        <v>5346</v>
      </c>
      <c r="D77" s="90" t="s">
        <v>5347</v>
      </c>
      <c r="E77" s="91" t="s">
        <v>5328</v>
      </c>
    </row>
    <row r="78" spans="1:5" ht="15">
      <c r="A78" s="90" t="s">
        <v>5348</v>
      </c>
      <c r="B78" s="90" t="s">
        <v>5349</v>
      </c>
      <c r="C78" s="90" t="s">
        <v>5350</v>
      </c>
      <c r="D78" s="90" t="s">
        <v>5351</v>
      </c>
      <c r="E78" s="91" t="s">
        <v>5328</v>
      </c>
    </row>
    <row r="79" spans="1:5" ht="15">
      <c r="A79" s="90" t="s">
        <v>5352</v>
      </c>
      <c r="B79" s="90" t="s">
        <v>5349</v>
      </c>
      <c r="C79" s="90" t="s">
        <v>5353</v>
      </c>
      <c r="D79" s="90" t="s">
        <v>5354</v>
      </c>
      <c r="E79" s="91" t="s">
        <v>5328</v>
      </c>
    </row>
    <row r="80" spans="1:5" ht="15">
      <c r="A80" s="90" t="s">
        <v>5355</v>
      </c>
      <c r="B80" s="90" t="s">
        <v>5349</v>
      </c>
      <c r="C80" s="90" t="s">
        <v>5356</v>
      </c>
      <c r="D80" s="90" t="s">
        <v>5357</v>
      </c>
      <c r="E80" s="91" t="s">
        <v>5328</v>
      </c>
    </row>
    <row r="81" spans="1:13" ht="15">
      <c r="A81" s="90" t="s">
        <v>5358</v>
      </c>
      <c r="B81" s="90" t="s">
        <v>5359</v>
      </c>
      <c r="C81" s="90" t="s">
        <v>5360</v>
      </c>
      <c r="D81" s="90" t="s">
        <v>5361</v>
      </c>
      <c r="E81" s="91" t="s">
        <v>5328</v>
      </c>
    </row>
    <row r="82" spans="1:13" ht="15">
      <c r="A82" s="90" t="s">
        <v>5362</v>
      </c>
      <c r="B82" s="90" t="s">
        <v>5363</v>
      </c>
      <c r="C82" s="90" t="s">
        <v>5364</v>
      </c>
      <c r="D82" s="90" t="s">
        <v>5364</v>
      </c>
      <c r="E82" s="91" t="s">
        <v>5328</v>
      </c>
    </row>
    <row r="83" spans="1:13" ht="15">
      <c r="A83" s="90" t="s">
        <v>5365</v>
      </c>
      <c r="B83" s="90" t="s">
        <v>729</v>
      </c>
      <c r="C83" s="90" t="s">
        <v>5366</v>
      </c>
      <c r="D83" s="90" t="s">
        <v>5367</v>
      </c>
      <c r="E83" s="91" t="s">
        <v>5328</v>
      </c>
    </row>
    <row r="84" spans="1:13" ht="15">
      <c r="A84" s="90" t="s">
        <v>5368</v>
      </c>
      <c r="B84" s="90" t="s">
        <v>729</v>
      </c>
      <c r="C84" s="90" t="s">
        <v>5369</v>
      </c>
      <c r="D84" s="90" t="s">
        <v>5370</v>
      </c>
      <c r="E84" s="91" t="s">
        <v>5328</v>
      </c>
    </row>
    <row r="85" spans="1:13" ht="15">
      <c r="A85" s="90" t="s">
        <v>5371</v>
      </c>
      <c r="B85" s="90" t="s">
        <v>729</v>
      </c>
      <c r="C85" s="90" t="s">
        <v>5372</v>
      </c>
      <c r="D85" s="90" t="s">
        <v>5373</v>
      </c>
      <c r="E85" s="91" t="s">
        <v>5328</v>
      </c>
    </row>
    <row r="86" spans="1:13" ht="15">
      <c r="A86" s="90" t="s">
        <v>5374</v>
      </c>
      <c r="B86" s="90" t="s">
        <v>5375</v>
      </c>
      <c r="C86" s="90" t="s">
        <v>5376</v>
      </c>
      <c r="D86" s="90" t="s">
        <v>5376</v>
      </c>
      <c r="E86" s="91" t="s">
        <v>5328</v>
      </c>
    </row>
    <row r="87" spans="1:13" ht="15">
      <c r="A87" s="90" t="s">
        <v>5377</v>
      </c>
      <c r="B87" s="90" t="s">
        <v>5378</v>
      </c>
      <c r="C87" s="90" t="s">
        <v>5379</v>
      </c>
      <c r="D87" s="90" t="s">
        <v>5380</v>
      </c>
      <c r="E87" s="91" t="s">
        <v>5328</v>
      </c>
    </row>
    <row r="89" spans="1:13">
      <c r="A89" s="92" t="s">
        <v>5381</v>
      </c>
    </row>
    <row r="91" spans="1:13" ht="15">
      <c r="A91" s="282" t="s">
        <v>5382</v>
      </c>
      <c r="B91" s="282"/>
      <c r="C91" s="282"/>
      <c r="D91" s="282"/>
      <c r="E91" s="282"/>
      <c r="F91" s="282"/>
      <c r="G91" s="282"/>
      <c r="H91" s="282"/>
      <c r="I91" s="282"/>
      <c r="J91" s="282"/>
      <c r="K91" s="282"/>
      <c r="L91" s="282"/>
      <c r="M91" s="282"/>
    </row>
    <row r="93" spans="1:13">
      <c r="A93" s="124" t="s">
        <v>188</v>
      </c>
      <c r="B93" s="124" t="s">
        <v>5295</v>
      </c>
      <c r="C93" s="124" t="s">
        <v>1214</v>
      </c>
      <c r="D93" s="124" t="s">
        <v>5296</v>
      </c>
      <c r="E93" s="124" t="s">
        <v>5297</v>
      </c>
      <c r="F93" s="124" t="s">
        <v>113</v>
      </c>
      <c r="G93" s="124" t="s">
        <v>351</v>
      </c>
    </row>
    <row r="94" spans="1:13">
      <c r="A94" s="126" t="s">
        <v>5383</v>
      </c>
      <c r="B94" s="126" t="s">
        <v>5384</v>
      </c>
      <c r="C94" s="126" t="s">
        <v>5385</v>
      </c>
      <c r="D94" s="126" t="s">
        <v>5386</v>
      </c>
      <c r="E94" s="126" t="s">
        <v>5386</v>
      </c>
      <c r="F94" s="126" t="s">
        <v>853</v>
      </c>
      <c r="G94" s="126" t="s">
        <v>5387</v>
      </c>
    </row>
    <row r="95" spans="1:13">
      <c r="A95" s="126" t="s">
        <v>5388</v>
      </c>
      <c r="B95" s="126" t="s">
        <v>5389</v>
      </c>
      <c r="C95" s="126" t="s">
        <v>5390</v>
      </c>
      <c r="D95" s="126" t="s">
        <v>5257</v>
      </c>
      <c r="E95" s="126" t="s">
        <v>5257</v>
      </c>
      <c r="F95" s="126" t="s">
        <v>853</v>
      </c>
      <c r="G95" s="126" t="s">
        <v>5387</v>
      </c>
    </row>
    <row r="96" spans="1:13">
      <c r="A96" s="126" t="s">
        <v>5391</v>
      </c>
      <c r="B96" s="126" t="s">
        <v>5261</v>
      </c>
      <c r="C96" s="126" t="s">
        <v>5392</v>
      </c>
      <c r="D96" s="126" t="s">
        <v>5262</v>
      </c>
      <c r="E96" s="126" t="s">
        <v>5262</v>
      </c>
      <c r="F96" s="126" t="s">
        <v>853</v>
      </c>
      <c r="G96" s="126" t="s">
        <v>5387</v>
      </c>
    </row>
    <row r="97" spans="1:7">
      <c r="A97" s="126" t="s">
        <v>5393</v>
      </c>
      <c r="B97" s="126" t="s">
        <v>5267</v>
      </c>
      <c r="C97" s="126" t="s">
        <v>13</v>
      </c>
      <c r="D97" s="126" t="s">
        <v>5268</v>
      </c>
      <c r="E97" s="126" t="s">
        <v>5268</v>
      </c>
      <c r="F97" s="126" t="s">
        <v>853</v>
      </c>
      <c r="G97" s="126" t="s">
        <v>5387</v>
      </c>
    </row>
    <row r="98" spans="1:7">
      <c r="A98" s="126" t="s">
        <v>5394</v>
      </c>
      <c r="B98" s="126" t="s">
        <v>1462</v>
      </c>
      <c r="C98" s="126" t="s">
        <v>5395</v>
      </c>
      <c r="D98" s="126" t="s">
        <v>5396</v>
      </c>
      <c r="E98" s="126" t="s">
        <v>5396</v>
      </c>
      <c r="F98" s="126" t="s">
        <v>853</v>
      </c>
      <c r="G98" s="126" t="s">
        <v>5387</v>
      </c>
    </row>
    <row r="99" spans="1:7">
      <c r="A99" s="126" t="s">
        <v>5397</v>
      </c>
      <c r="B99" s="126" t="s">
        <v>1459</v>
      </c>
      <c r="C99" s="126" t="s">
        <v>5398</v>
      </c>
      <c r="D99" s="126" t="s">
        <v>5280</v>
      </c>
      <c r="E99" s="126" t="s">
        <v>5280</v>
      </c>
      <c r="F99" s="126" t="s">
        <v>853</v>
      </c>
      <c r="G99" s="126" t="s">
        <v>5387</v>
      </c>
    </row>
    <row r="100" spans="1:7">
      <c r="A100" s="126" t="s">
        <v>5399</v>
      </c>
      <c r="B100" s="126" t="s">
        <v>4941</v>
      </c>
      <c r="C100" s="126" t="s">
        <v>5400</v>
      </c>
      <c r="D100" s="126" t="s">
        <v>5401</v>
      </c>
      <c r="E100" s="126" t="s">
        <v>5401</v>
      </c>
      <c r="F100" s="126" t="s">
        <v>853</v>
      </c>
      <c r="G100" s="126" t="s">
        <v>5387</v>
      </c>
    </row>
    <row r="101" spans="1:7">
      <c r="A101" s="126" t="s">
        <v>5402</v>
      </c>
      <c r="B101" s="126" t="s">
        <v>5403</v>
      </c>
      <c r="C101" s="126" t="s">
        <v>5404</v>
      </c>
      <c r="D101" s="126" t="s">
        <v>4707</v>
      </c>
      <c r="E101" s="126" t="s">
        <v>4707</v>
      </c>
      <c r="F101" s="126" t="s">
        <v>853</v>
      </c>
      <c r="G101" s="126" t="s">
        <v>5387</v>
      </c>
    </row>
    <row r="102" spans="1:7">
      <c r="A102" s="126" t="s">
        <v>5405</v>
      </c>
      <c r="B102" s="126" t="s">
        <v>5406</v>
      </c>
      <c r="C102" s="126" t="s">
        <v>5407</v>
      </c>
      <c r="D102" s="126" t="s">
        <v>4701</v>
      </c>
      <c r="E102" s="126" t="s">
        <v>4701</v>
      </c>
      <c r="F102" s="126" t="s">
        <v>853</v>
      </c>
      <c r="G102" s="126" t="s">
        <v>5387</v>
      </c>
    </row>
    <row r="103" spans="1:7">
      <c r="A103" s="126" t="s">
        <v>5408</v>
      </c>
      <c r="B103" s="126" t="s">
        <v>1268</v>
      </c>
      <c r="C103" s="126" t="s">
        <v>5409</v>
      </c>
      <c r="D103" s="126" t="s">
        <v>5376</v>
      </c>
      <c r="E103" s="126" t="s">
        <v>5376</v>
      </c>
      <c r="F103" s="126" t="s">
        <v>853</v>
      </c>
      <c r="G103" s="126" t="s">
        <v>5387</v>
      </c>
    </row>
    <row r="104" spans="1:7">
      <c r="A104" s="126" t="s">
        <v>5410</v>
      </c>
      <c r="B104" s="126" t="s">
        <v>1261</v>
      </c>
      <c r="C104" s="126" t="s">
        <v>5411</v>
      </c>
      <c r="D104" s="126" t="s">
        <v>5376</v>
      </c>
      <c r="E104" s="126" t="s">
        <v>5376</v>
      </c>
      <c r="F104" s="126" t="s">
        <v>853</v>
      </c>
      <c r="G104" s="126" t="s">
        <v>5387</v>
      </c>
    </row>
    <row r="105" spans="1:7">
      <c r="A105" s="126" t="s">
        <v>5412</v>
      </c>
      <c r="B105" s="126" t="s">
        <v>5413</v>
      </c>
      <c r="C105" s="126" t="s">
        <v>5414</v>
      </c>
      <c r="D105" s="126" t="s">
        <v>4699</v>
      </c>
      <c r="E105" s="126" t="s">
        <v>4699</v>
      </c>
      <c r="F105" s="126" t="s">
        <v>853</v>
      </c>
      <c r="G105" s="126" t="s">
        <v>5387</v>
      </c>
    </row>
    <row r="106" spans="1:7">
      <c r="A106" s="126" t="s">
        <v>5415</v>
      </c>
      <c r="B106" s="126" t="s">
        <v>5413</v>
      </c>
      <c r="C106" s="126" t="s">
        <v>5416</v>
      </c>
      <c r="D106" s="126" t="s">
        <v>4699</v>
      </c>
      <c r="E106" s="126" t="s">
        <v>4699</v>
      </c>
      <c r="F106" s="126" t="s">
        <v>853</v>
      </c>
      <c r="G106" s="126" t="s">
        <v>5387</v>
      </c>
    </row>
    <row r="107" spans="1:7">
      <c r="A107" s="126" t="s">
        <v>5417</v>
      </c>
      <c r="B107" s="126" t="s">
        <v>5418</v>
      </c>
      <c r="C107" s="126" t="s">
        <v>5419</v>
      </c>
      <c r="D107" s="126" t="s">
        <v>5386</v>
      </c>
      <c r="E107" s="126" t="s">
        <v>5386</v>
      </c>
      <c r="F107" s="126" t="s">
        <v>853</v>
      </c>
      <c r="G107" s="126" t="s">
        <v>5387</v>
      </c>
    </row>
    <row r="108" spans="1:7">
      <c r="A108" s="126" t="s">
        <v>5420</v>
      </c>
      <c r="B108" s="126" t="s">
        <v>5421</v>
      </c>
      <c r="C108" s="126" t="s">
        <v>5422</v>
      </c>
      <c r="D108" s="126" t="s">
        <v>4707</v>
      </c>
      <c r="E108" s="126" t="s">
        <v>4707</v>
      </c>
      <c r="F108" s="126" t="s">
        <v>853</v>
      </c>
      <c r="G108" s="126" t="s">
        <v>5387</v>
      </c>
    </row>
    <row r="109" spans="1:7">
      <c r="A109" s="126" t="s">
        <v>5423</v>
      </c>
      <c r="B109" s="126" t="s">
        <v>1415</v>
      </c>
      <c r="C109" s="126" t="s">
        <v>5424</v>
      </c>
      <c r="D109" s="126" t="s">
        <v>5376</v>
      </c>
      <c r="E109" s="126" t="s">
        <v>5376</v>
      </c>
      <c r="F109" s="126" t="s">
        <v>853</v>
      </c>
      <c r="G109" s="126" t="s">
        <v>5387</v>
      </c>
    </row>
    <row r="110" spans="1:7">
      <c r="A110" t="s">
        <v>5425</v>
      </c>
      <c r="B110" t="s">
        <v>964</v>
      </c>
      <c r="C110" t="s">
        <v>5426</v>
      </c>
      <c r="D110" t="s">
        <v>4703</v>
      </c>
      <c r="E110" t="s">
        <v>4703</v>
      </c>
      <c r="F110" t="s">
        <v>853</v>
      </c>
      <c r="G110" t="s">
        <v>5427</v>
      </c>
    </row>
    <row r="111" spans="1:7">
      <c r="A111" t="s">
        <v>5425</v>
      </c>
      <c r="B111" t="s">
        <v>964</v>
      </c>
      <c r="C111" t="s">
        <v>5426</v>
      </c>
      <c r="D111" t="s">
        <v>4703</v>
      </c>
      <c r="E111" t="s">
        <v>4703</v>
      </c>
      <c r="F111" t="s">
        <v>853</v>
      </c>
      <c r="G111" t="s">
        <v>5427</v>
      </c>
    </row>
    <row r="112" spans="1:7">
      <c r="A112" t="s">
        <v>5425</v>
      </c>
      <c r="B112" t="s">
        <v>964</v>
      </c>
      <c r="C112" t="s">
        <v>5426</v>
      </c>
      <c r="D112" t="s">
        <v>4703</v>
      </c>
      <c r="E112" t="s">
        <v>4703</v>
      </c>
      <c r="F112" t="s">
        <v>853</v>
      </c>
      <c r="G112" t="s">
        <v>5427</v>
      </c>
    </row>
    <row r="113" spans="1:7">
      <c r="A113" t="s">
        <v>5425</v>
      </c>
      <c r="B113" t="s">
        <v>964</v>
      </c>
      <c r="C113" t="s">
        <v>5426</v>
      </c>
      <c r="D113" t="s">
        <v>4703</v>
      </c>
      <c r="E113" t="s">
        <v>4703</v>
      </c>
      <c r="F113" t="s">
        <v>853</v>
      </c>
      <c r="G113" t="s">
        <v>5427</v>
      </c>
    </row>
    <row r="114" spans="1:7">
      <c r="A114" t="s">
        <v>5425</v>
      </c>
      <c r="B114" t="s">
        <v>964</v>
      </c>
      <c r="C114" t="s">
        <v>5426</v>
      </c>
      <c r="D114" t="s">
        <v>4703</v>
      </c>
      <c r="E114" t="s">
        <v>4703</v>
      </c>
      <c r="F114" t="s">
        <v>853</v>
      </c>
      <c r="G114" t="s">
        <v>5427</v>
      </c>
    </row>
    <row r="115" spans="1:7">
      <c r="A115" t="s">
        <v>5425</v>
      </c>
      <c r="B115" t="s">
        <v>964</v>
      </c>
      <c r="C115" t="s">
        <v>5426</v>
      </c>
      <c r="D115" t="s">
        <v>4703</v>
      </c>
      <c r="E115" t="s">
        <v>4703</v>
      </c>
      <c r="F115" t="s">
        <v>853</v>
      </c>
      <c r="G115" t="s">
        <v>5427</v>
      </c>
    </row>
  </sheetData>
  <mergeCells count="21">
    <mergeCell ref="A1:N2"/>
    <mergeCell ref="A61:N64"/>
    <mergeCell ref="A35:N35"/>
    <mergeCell ref="B44:N44"/>
    <mergeCell ref="A28:N28"/>
    <mergeCell ref="B38:N38"/>
    <mergeCell ref="A46:N51"/>
    <mergeCell ref="A7:N7"/>
    <mergeCell ref="A3:N3"/>
    <mergeCell ref="B43:N43"/>
    <mergeCell ref="E9:G12"/>
    <mergeCell ref="B39:N39"/>
    <mergeCell ref="M9:N12"/>
    <mergeCell ref="A14:N14"/>
    <mergeCell ref="B42:N42"/>
    <mergeCell ref="B37:N37"/>
    <mergeCell ref="B40:N40"/>
    <mergeCell ref="I9:K12"/>
    <mergeCell ref="A9:C12"/>
    <mergeCell ref="B41:N41"/>
    <mergeCell ref="A91:M91"/>
  </mergeCell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26"/>
  <sheetViews>
    <sheetView workbookViewId="0">
      <selection activeCell="D31" sqref="D31"/>
    </sheetView>
  </sheetViews>
  <sheetFormatPr baseColWidth="10" defaultColWidth="9" defaultRowHeight="14.25"/>
  <cols>
    <col min="1" max="1" width="22" customWidth="1"/>
    <col min="2" max="2" width="38" customWidth="1"/>
    <col min="3" max="3" width="26" customWidth="1"/>
    <col min="4" max="4" width="28" customWidth="1"/>
    <col min="5" max="5" width="30" customWidth="1"/>
    <col min="6" max="6" width="38" customWidth="1"/>
    <col min="7" max="7" width="24" customWidth="1"/>
  </cols>
  <sheetData>
    <row r="1" spans="1:10" ht="18">
      <c r="A1" s="293" t="s">
        <v>5428</v>
      </c>
      <c r="B1" s="293"/>
      <c r="C1" s="293"/>
      <c r="D1" s="293"/>
      <c r="E1" s="293"/>
      <c r="F1" s="293"/>
      <c r="G1" s="293"/>
      <c r="H1" s="293"/>
      <c r="I1" s="293"/>
      <c r="J1" s="293"/>
    </row>
    <row r="3" spans="1:10">
      <c r="A3" s="294" t="s">
        <v>5429</v>
      </c>
      <c r="B3" s="294"/>
      <c r="C3" s="294"/>
      <c r="D3" s="294"/>
      <c r="E3" s="294"/>
      <c r="F3" s="294"/>
      <c r="G3" s="294"/>
      <c r="H3" s="294"/>
      <c r="I3" s="294"/>
      <c r="J3" s="294"/>
    </row>
    <row r="5" spans="1:10">
      <c r="A5" s="123" t="s">
        <v>5430</v>
      </c>
      <c r="B5" s="122" t="s">
        <v>5431</v>
      </c>
      <c r="C5" s="122" t="s">
        <v>5432</v>
      </c>
      <c r="D5" s="122" t="s">
        <v>964</v>
      </c>
      <c r="E5" s="122" t="s">
        <v>5433</v>
      </c>
      <c r="F5" s="122" t="s">
        <v>5434</v>
      </c>
      <c r="G5" s="122" t="s">
        <v>979</v>
      </c>
      <c r="H5" s="122" t="s">
        <v>1100</v>
      </c>
      <c r="I5" s="122" t="s">
        <v>1317</v>
      </c>
      <c r="J5" s="122" t="s">
        <v>4716</v>
      </c>
    </row>
    <row r="7" spans="1:10">
      <c r="A7" s="125" t="s">
        <v>5435</v>
      </c>
      <c r="B7" s="125" t="s">
        <v>5436</v>
      </c>
      <c r="C7" s="125" t="s">
        <v>5437</v>
      </c>
      <c r="D7" s="125" t="s">
        <v>5438</v>
      </c>
      <c r="E7" s="125" t="s">
        <v>5439</v>
      </c>
      <c r="F7" s="125" t="s">
        <v>5440</v>
      </c>
      <c r="G7" s="125" t="s">
        <v>5418</v>
      </c>
    </row>
    <row r="8" spans="1:10">
      <c r="A8" s="127" t="s">
        <v>5441</v>
      </c>
      <c r="B8" s="127" t="s">
        <v>5442</v>
      </c>
      <c r="C8" s="127" t="s">
        <v>5443</v>
      </c>
      <c r="D8" s="127" t="s">
        <v>11</v>
      </c>
      <c r="E8" s="127" t="s">
        <v>5444</v>
      </c>
      <c r="F8" s="127" t="s">
        <v>5445</v>
      </c>
      <c r="G8" s="127" t="s">
        <v>5446</v>
      </c>
    </row>
    <row r="9" spans="1:10">
      <c r="A9" s="127" t="s">
        <v>5447</v>
      </c>
      <c r="B9" s="127" t="s">
        <v>5448</v>
      </c>
      <c r="C9" s="127" t="s">
        <v>5449</v>
      </c>
      <c r="D9" s="127" t="s">
        <v>12</v>
      </c>
      <c r="E9" s="127" t="s">
        <v>5450</v>
      </c>
      <c r="F9" s="127" t="s">
        <v>5451</v>
      </c>
      <c r="G9" s="127" t="s">
        <v>5446</v>
      </c>
    </row>
    <row r="10" spans="1:10">
      <c r="A10" s="127" t="s">
        <v>5452</v>
      </c>
      <c r="B10" s="127" t="s">
        <v>5453</v>
      </c>
      <c r="C10" s="127" t="s">
        <v>5454</v>
      </c>
      <c r="D10" s="127" t="s">
        <v>9</v>
      </c>
      <c r="E10" s="127" t="s">
        <v>5450</v>
      </c>
      <c r="F10" s="127" t="s">
        <v>5455</v>
      </c>
      <c r="G10" s="127" t="s">
        <v>5446</v>
      </c>
    </row>
    <row r="11" spans="1:10">
      <c r="A11" s="127" t="s">
        <v>5456</v>
      </c>
      <c r="B11" s="127" t="s">
        <v>5457</v>
      </c>
      <c r="C11" s="127" t="s">
        <v>5458</v>
      </c>
      <c r="D11" s="127" t="s">
        <v>12</v>
      </c>
      <c r="E11" s="127" t="s">
        <v>5459</v>
      </c>
      <c r="F11" s="127" t="s">
        <v>5460</v>
      </c>
      <c r="G11" s="127" t="s">
        <v>5446</v>
      </c>
    </row>
    <row r="12" spans="1:10">
      <c r="A12" s="127" t="s">
        <v>5461</v>
      </c>
      <c r="B12" s="127" t="s">
        <v>5462</v>
      </c>
      <c r="C12" s="127" t="s">
        <v>5463</v>
      </c>
      <c r="D12" s="127" t="s">
        <v>10</v>
      </c>
      <c r="E12" s="127" t="s">
        <v>5464</v>
      </c>
      <c r="F12" s="127" t="s">
        <v>5465</v>
      </c>
      <c r="G12" s="127" t="s">
        <v>5446</v>
      </c>
    </row>
    <row r="13" spans="1:10">
      <c r="A13" s="127" t="s">
        <v>5466</v>
      </c>
      <c r="B13" s="127" t="s">
        <v>5467</v>
      </c>
      <c r="C13" s="127" t="s">
        <v>5463</v>
      </c>
      <c r="D13" s="127" t="s">
        <v>9</v>
      </c>
      <c r="E13" s="127" t="s">
        <v>5468</v>
      </c>
      <c r="F13" s="127" t="s">
        <v>5469</v>
      </c>
      <c r="G13" s="127" t="s">
        <v>5446</v>
      </c>
    </row>
    <row r="14" spans="1:10">
      <c r="A14" s="127" t="s">
        <v>5470</v>
      </c>
      <c r="B14" s="127" t="s">
        <v>5471</v>
      </c>
      <c r="C14" s="127" t="s">
        <v>5454</v>
      </c>
      <c r="D14" s="127" t="s">
        <v>11</v>
      </c>
      <c r="E14" s="127" t="s">
        <v>5472</v>
      </c>
      <c r="F14" s="127" t="s">
        <v>5473</v>
      </c>
      <c r="G14" s="127" t="s">
        <v>5446</v>
      </c>
    </row>
    <row r="15" spans="1:10">
      <c r="A15" s="127" t="s">
        <v>5474</v>
      </c>
      <c r="B15" s="127" t="s">
        <v>5475</v>
      </c>
      <c r="C15" s="127" t="s">
        <v>5476</v>
      </c>
      <c r="D15" s="127" t="s">
        <v>16</v>
      </c>
      <c r="E15" s="127" t="s">
        <v>5477</v>
      </c>
      <c r="F15" s="127" t="s">
        <v>5478</v>
      </c>
      <c r="G15" s="127" t="s">
        <v>5446</v>
      </c>
    </row>
    <row r="16" spans="1:10">
      <c r="A16" s="127" t="s">
        <v>5479</v>
      </c>
      <c r="B16" s="127" t="s">
        <v>5480</v>
      </c>
      <c r="C16" s="127" t="s">
        <v>5454</v>
      </c>
      <c r="D16" s="127" t="s">
        <v>11</v>
      </c>
      <c r="E16" s="127" t="s">
        <v>5464</v>
      </c>
      <c r="F16" s="127" t="s">
        <v>5481</v>
      </c>
      <c r="G16" s="127" t="s">
        <v>5446</v>
      </c>
    </row>
    <row r="19" spans="1:7" ht="15">
      <c r="A19" s="282" t="s">
        <v>5482</v>
      </c>
      <c r="B19" s="282"/>
      <c r="C19" s="282"/>
      <c r="D19" s="282"/>
      <c r="E19" s="282"/>
      <c r="F19" s="282"/>
      <c r="G19" s="282"/>
    </row>
    <row r="21" spans="1:7">
      <c r="A21" s="124" t="s">
        <v>5483</v>
      </c>
      <c r="B21" s="124" t="s">
        <v>5484</v>
      </c>
      <c r="C21" s="124" t="s">
        <v>3427</v>
      </c>
      <c r="D21" s="124" t="s">
        <v>113</v>
      </c>
      <c r="E21" s="124" t="s">
        <v>5485</v>
      </c>
      <c r="F21" s="124" t="s">
        <v>5486</v>
      </c>
      <c r="G21" s="124" t="s">
        <v>351</v>
      </c>
    </row>
    <row r="22" spans="1:7">
      <c r="A22" s="126" t="s">
        <v>5487</v>
      </c>
      <c r="B22" s="126" t="s">
        <v>5488</v>
      </c>
      <c r="C22" s="126" t="s">
        <v>5489</v>
      </c>
      <c r="D22" s="126" t="s">
        <v>1042</v>
      </c>
      <c r="E22" s="126" t="s">
        <v>5490</v>
      </c>
      <c r="F22" s="126" t="s">
        <v>5487</v>
      </c>
      <c r="G22" s="126" t="s">
        <v>5491</v>
      </c>
    </row>
    <row r="23" spans="1:7">
      <c r="A23" s="126" t="s">
        <v>5459</v>
      </c>
      <c r="B23" s="126" t="s">
        <v>5492</v>
      </c>
      <c r="C23" s="126" t="s">
        <v>5493</v>
      </c>
      <c r="D23" s="126" t="s">
        <v>1042</v>
      </c>
      <c r="E23" s="126" t="s">
        <v>5494</v>
      </c>
      <c r="F23" s="126" t="s">
        <v>5459</v>
      </c>
      <c r="G23" s="126" t="s">
        <v>5495</v>
      </c>
    </row>
    <row r="24" spans="1:7">
      <c r="A24" s="126" t="s">
        <v>5496</v>
      </c>
      <c r="B24" s="126" t="s">
        <v>5497</v>
      </c>
      <c r="C24" s="126" t="s">
        <v>5498</v>
      </c>
      <c r="D24" s="126" t="s">
        <v>1042</v>
      </c>
      <c r="E24" s="126" t="s">
        <v>5499</v>
      </c>
      <c r="F24" s="126" t="s">
        <v>5496</v>
      </c>
      <c r="G24" s="126" t="s">
        <v>5500</v>
      </c>
    </row>
    <row r="25" spans="1:7">
      <c r="A25" s="126" t="s">
        <v>5501</v>
      </c>
      <c r="B25" s="126" t="s">
        <v>5502</v>
      </c>
      <c r="C25" s="126" t="s">
        <v>5503</v>
      </c>
      <c r="D25" s="126" t="s">
        <v>1042</v>
      </c>
      <c r="E25" s="126" t="s">
        <v>5504</v>
      </c>
      <c r="F25" s="126" t="s">
        <v>5501</v>
      </c>
      <c r="G25" s="126" t="s">
        <v>5505</v>
      </c>
    </row>
    <row r="26" spans="1:7">
      <c r="A26" s="126" t="s">
        <v>5477</v>
      </c>
      <c r="B26" s="126" t="s">
        <v>5506</v>
      </c>
      <c r="C26" s="126" t="s">
        <v>5507</v>
      </c>
      <c r="D26" s="126" t="s">
        <v>5508</v>
      </c>
      <c r="E26" s="126" t="s">
        <v>5509</v>
      </c>
      <c r="F26" s="126" t="s">
        <v>5477</v>
      </c>
      <c r="G26" s="126" t="s">
        <v>5510</v>
      </c>
    </row>
  </sheetData>
  <mergeCells count="3">
    <mergeCell ref="A1:J1"/>
    <mergeCell ref="A3:J3"/>
    <mergeCell ref="A19:G19"/>
  </mergeCells>
  <pageMargins left="0.7" right="0.7" top="0.75" bottom="0.75" header="0.3" footer="0.3"/>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48"/>
  <sheetViews>
    <sheetView workbookViewId="0">
      <selection activeCell="A25" sqref="A25"/>
    </sheetView>
  </sheetViews>
  <sheetFormatPr baseColWidth="10" defaultColWidth="9" defaultRowHeight="14.25"/>
  <cols>
    <col min="1" max="1" width="13" customWidth="1"/>
    <col min="2" max="2" width="12" customWidth="1"/>
    <col min="3" max="3" width="28" customWidth="1"/>
    <col min="4" max="4" width="34" customWidth="1"/>
    <col min="5" max="5" width="32" customWidth="1"/>
    <col min="6" max="6" width="34" customWidth="1"/>
    <col min="7" max="7" width="12" customWidth="1"/>
    <col min="8" max="8" width="22" customWidth="1"/>
    <col min="9" max="9" width="10" customWidth="1"/>
    <col min="10" max="10" width="16" customWidth="1"/>
    <col min="11" max="11" width="34" customWidth="1"/>
    <col min="12" max="12" width="20" customWidth="1"/>
    <col min="13" max="13" width="40" customWidth="1"/>
    <col min="14" max="14" width="9" customWidth="1"/>
    <col min="15" max="15" width="10" customWidth="1"/>
    <col min="16" max="16" width="42" customWidth="1"/>
    <col min="17" max="17" width="24" customWidth="1"/>
    <col min="18" max="18" width="10" customWidth="1"/>
    <col min="19" max="19" width="26" customWidth="1"/>
    <col min="20" max="20" width="28" customWidth="1"/>
  </cols>
  <sheetData>
    <row r="1" spans="1:20" ht="18">
      <c r="A1" s="293" t="s">
        <v>5511</v>
      </c>
      <c r="B1" s="293"/>
      <c r="C1" s="293"/>
      <c r="D1" s="293"/>
      <c r="E1" s="293"/>
      <c r="F1" s="293"/>
      <c r="G1" s="293"/>
      <c r="H1" s="293"/>
      <c r="I1" s="293"/>
      <c r="J1" s="293"/>
      <c r="K1" s="293"/>
      <c r="L1" s="293"/>
      <c r="M1" s="293"/>
      <c r="N1" s="293"/>
      <c r="O1" s="293"/>
      <c r="P1" s="293"/>
      <c r="Q1" s="293"/>
      <c r="R1" s="293"/>
      <c r="S1" s="293"/>
      <c r="T1" s="293"/>
    </row>
    <row r="3" spans="1:20">
      <c r="A3" s="294" t="s">
        <v>5512</v>
      </c>
      <c r="B3" s="294"/>
      <c r="C3" s="294"/>
      <c r="D3" s="294"/>
      <c r="E3" s="294"/>
      <c r="F3" s="294"/>
      <c r="G3" s="294"/>
      <c r="H3" s="294"/>
      <c r="I3" s="294"/>
      <c r="J3" s="294"/>
      <c r="K3" s="294"/>
      <c r="L3" s="294"/>
      <c r="M3" s="294"/>
      <c r="N3" s="294"/>
      <c r="O3" s="294"/>
      <c r="P3" s="294"/>
      <c r="Q3" s="294"/>
      <c r="R3" s="294"/>
      <c r="S3" s="294"/>
      <c r="T3" s="294"/>
    </row>
    <row r="5" spans="1:20">
      <c r="A5" s="122" t="s">
        <v>5430</v>
      </c>
      <c r="B5" s="123" t="s">
        <v>5431</v>
      </c>
      <c r="C5" s="122" t="s">
        <v>5432</v>
      </c>
      <c r="D5" s="122" t="s">
        <v>964</v>
      </c>
      <c r="E5" s="122" t="s">
        <v>5433</v>
      </c>
      <c r="F5" s="122" t="s">
        <v>5434</v>
      </c>
      <c r="G5" s="122" t="s">
        <v>979</v>
      </c>
      <c r="H5" s="122" t="s">
        <v>1100</v>
      </c>
      <c r="I5" s="122" t="s">
        <v>1317</v>
      </c>
      <c r="J5" s="122" t="s">
        <v>4716</v>
      </c>
    </row>
    <row r="7" spans="1:20">
      <c r="A7" s="128" t="s">
        <v>5513</v>
      </c>
      <c r="B7" s="128" t="s">
        <v>5514</v>
      </c>
      <c r="C7" s="128" t="s">
        <v>215</v>
      </c>
      <c r="D7" s="128" t="s">
        <v>7</v>
      </c>
      <c r="E7" s="128" t="s">
        <v>5515</v>
      </c>
      <c r="F7" s="128" t="s">
        <v>5516</v>
      </c>
      <c r="G7" s="128" t="s">
        <v>156</v>
      </c>
      <c r="H7" s="128" t="s">
        <v>5517</v>
      </c>
      <c r="I7" s="128" t="s">
        <v>39</v>
      </c>
      <c r="J7" s="128" t="s">
        <v>32</v>
      </c>
      <c r="K7" s="128" t="s">
        <v>5518</v>
      </c>
      <c r="L7" s="128" t="s">
        <v>89</v>
      </c>
      <c r="M7" s="128" t="s">
        <v>350</v>
      </c>
      <c r="N7" s="128" t="s">
        <v>194</v>
      </c>
      <c r="O7" s="128" t="s">
        <v>5519</v>
      </c>
      <c r="P7" s="128" t="s">
        <v>4859</v>
      </c>
      <c r="Q7" s="128" t="s">
        <v>113</v>
      </c>
      <c r="R7" s="128" t="s">
        <v>5520</v>
      </c>
      <c r="S7" s="128" t="s">
        <v>5483</v>
      </c>
      <c r="T7" s="128" t="s">
        <v>5054</v>
      </c>
    </row>
    <row r="8" spans="1:20" ht="24">
      <c r="A8" s="129" t="s">
        <v>5521</v>
      </c>
      <c r="B8" s="129" t="s">
        <v>5522</v>
      </c>
      <c r="C8" s="129" t="s">
        <v>5523</v>
      </c>
      <c r="D8" s="129" t="s">
        <v>5524</v>
      </c>
      <c r="E8" s="129" t="s">
        <v>5525</v>
      </c>
      <c r="F8" s="129" t="s">
        <v>5526</v>
      </c>
      <c r="G8" s="129" t="s">
        <v>136</v>
      </c>
      <c r="H8" s="129" t="s">
        <v>5527</v>
      </c>
      <c r="I8" s="129" t="s">
        <v>387</v>
      </c>
      <c r="J8" s="129" t="s">
        <v>5528</v>
      </c>
      <c r="K8" s="129" t="s">
        <v>5529</v>
      </c>
      <c r="L8" s="129" t="s">
        <v>5530</v>
      </c>
      <c r="M8" s="129" t="s">
        <v>5531</v>
      </c>
      <c r="N8" s="129">
        <v>1981</v>
      </c>
      <c r="O8" s="129">
        <v>13</v>
      </c>
      <c r="P8" s="129" t="s">
        <v>5532</v>
      </c>
      <c r="Q8" s="129" t="s">
        <v>5533</v>
      </c>
      <c r="R8" s="129" t="s">
        <v>5534</v>
      </c>
      <c r="S8" s="129" t="s">
        <v>5501</v>
      </c>
      <c r="T8" s="129" t="s">
        <v>5535</v>
      </c>
    </row>
    <row r="9" spans="1:20" ht="24">
      <c r="A9" s="129" t="s">
        <v>5536</v>
      </c>
      <c r="B9" s="129" t="s">
        <v>5537</v>
      </c>
      <c r="C9" s="129" t="s">
        <v>5538</v>
      </c>
      <c r="D9" s="129" t="s">
        <v>5524</v>
      </c>
      <c r="E9" s="129" t="s">
        <v>5539</v>
      </c>
      <c r="F9" s="129" t="s">
        <v>5540</v>
      </c>
      <c r="G9" s="129" t="s">
        <v>136</v>
      </c>
      <c r="H9" s="129" t="s">
        <v>5527</v>
      </c>
      <c r="I9" s="129" t="s">
        <v>387</v>
      </c>
      <c r="J9" s="129" t="s">
        <v>5528</v>
      </c>
      <c r="K9" s="129" t="s">
        <v>5541</v>
      </c>
      <c r="L9" s="129" t="s">
        <v>5542</v>
      </c>
      <c r="M9" s="129" t="s">
        <v>5531</v>
      </c>
      <c r="N9" s="129">
        <v>1981</v>
      </c>
      <c r="O9" s="129">
        <v>13</v>
      </c>
      <c r="P9" s="129" t="s">
        <v>5532</v>
      </c>
      <c r="Q9" s="129" t="s">
        <v>5533</v>
      </c>
      <c r="R9" s="129" t="s">
        <v>5534</v>
      </c>
      <c r="S9" s="129" t="s">
        <v>5501</v>
      </c>
      <c r="T9" s="129" t="s">
        <v>5535</v>
      </c>
    </row>
    <row r="10" spans="1:20" ht="24">
      <c r="A10" s="129" t="s">
        <v>5543</v>
      </c>
      <c r="B10" s="129" t="s">
        <v>5544</v>
      </c>
      <c r="C10" s="129" t="s">
        <v>5545</v>
      </c>
      <c r="D10" s="129" t="s">
        <v>5524</v>
      </c>
      <c r="E10" s="129" t="s">
        <v>5546</v>
      </c>
      <c r="F10" s="129" t="s">
        <v>5547</v>
      </c>
      <c r="G10" s="129" t="s">
        <v>5548</v>
      </c>
      <c r="H10" s="129" t="s">
        <v>5528</v>
      </c>
      <c r="I10" s="129" t="s">
        <v>387</v>
      </c>
      <c r="J10" s="129" t="s">
        <v>5528</v>
      </c>
      <c r="K10" s="129" t="s">
        <v>5549</v>
      </c>
      <c r="L10" s="129" t="s">
        <v>5550</v>
      </c>
      <c r="M10" s="129" t="s">
        <v>5531</v>
      </c>
      <c r="N10" s="129">
        <v>1981</v>
      </c>
      <c r="O10" s="129">
        <v>15</v>
      </c>
      <c r="P10" s="129" t="s">
        <v>5532</v>
      </c>
      <c r="Q10" s="129" t="s">
        <v>5533</v>
      </c>
      <c r="R10" s="129" t="s">
        <v>5534</v>
      </c>
      <c r="S10" s="129" t="s">
        <v>5551</v>
      </c>
      <c r="T10" s="129" t="s">
        <v>5535</v>
      </c>
    </row>
    <row r="11" spans="1:20" ht="24">
      <c r="A11" s="129" t="s">
        <v>5552</v>
      </c>
      <c r="B11" s="129" t="s">
        <v>5553</v>
      </c>
      <c r="C11" s="129" t="s">
        <v>5554</v>
      </c>
      <c r="D11" s="129" t="s">
        <v>5524</v>
      </c>
      <c r="E11" s="129" t="s">
        <v>5555</v>
      </c>
      <c r="F11" s="129" t="s">
        <v>5556</v>
      </c>
      <c r="G11" s="129" t="s">
        <v>5557</v>
      </c>
      <c r="H11" s="129" t="s">
        <v>5558</v>
      </c>
      <c r="I11" s="129" t="s">
        <v>387</v>
      </c>
      <c r="J11" s="129" t="s">
        <v>5493</v>
      </c>
      <c r="K11" s="129" t="s">
        <v>5559</v>
      </c>
      <c r="L11" s="129" t="s">
        <v>5560</v>
      </c>
      <c r="M11" s="129" t="s">
        <v>5561</v>
      </c>
      <c r="N11" s="129">
        <v>2008</v>
      </c>
      <c r="O11" s="129">
        <v>20</v>
      </c>
      <c r="P11" s="129" t="s">
        <v>5562</v>
      </c>
      <c r="Q11" s="129" t="s">
        <v>5563</v>
      </c>
      <c r="R11" s="129" t="s">
        <v>5534</v>
      </c>
      <c r="S11" s="129" t="s">
        <v>5459</v>
      </c>
      <c r="T11" s="129" t="s">
        <v>5535</v>
      </c>
    </row>
    <row r="12" spans="1:20" ht="24">
      <c r="A12" s="129" t="s">
        <v>5564</v>
      </c>
      <c r="B12" s="129" t="s">
        <v>5565</v>
      </c>
      <c r="C12" s="129" t="s">
        <v>5566</v>
      </c>
      <c r="D12" s="129" t="s">
        <v>5524</v>
      </c>
      <c r="E12" s="129" t="s">
        <v>5567</v>
      </c>
      <c r="F12" s="129" t="s">
        <v>5568</v>
      </c>
      <c r="G12" s="129" t="s">
        <v>5569</v>
      </c>
      <c r="H12" s="129" t="s">
        <v>5570</v>
      </c>
      <c r="I12" s="129" t="s">
        <v>387</v>
      </c>
      <c r="J12" s="129" t="s">
        <v>212</v>
      </c>
      <c r="K12" s="129" t="s">
        <v>5571</v>
      </c>
      <c r="L12" s="129" t="s">
        <v>5572</v>
      </c>
      <c r="M12" s="129" t="s">
        <v>5573</v>
      </c>
      <c r="N12" s="129"/>
      <c r="O12" s="129">
        <v>43</v>
      </c>
      <c r="P12" s="129" t="s">
        <v>5574</v>
      </c>
      <c r="Q12" s="129" t="s">
        <v>5575</v>
      </c>
      <c r="R12" s="129" t="s">
        <v>5534</v>
      </c>
      <c r="S12" s="129" t="s">
        <v>5576</v>
      </c>
      <c r="T12" s="129" t="s">
        <v>5535</v>
      </c>
    </row>
    <row r="13" spans="1:20" ht="24">
      <c r="A13" s="129" t="s">
        <v>5577</v>
      </c>
      <c r="B13" s="129" t="s">
        <v>5578</v>
      </c>
      <c r="C13" s="129" t="s">
        <v>5579</v>
      </c>
      <c r="D13" s="129" t="s">
        <v>5524</v>
      </c>
      <c r="E13" s="129" t="s">
        <v>5580</v>
      </c>
      <c r="F13" s="129" t="s">
        <v>5581</v>
      </c>
      <c r="G13" s="129" t="s">
        <v>5582</v>
      </c>
      <c r="H13" s="129" t="s">
        <v>5583</v>
      </c>
      <c r="I13" s="129" t="s">
        <v>387</v>
      </c>
      <c r="J13" s="129" t="s">
        <v>5584</v>
      </c>
      <c r="K13" s="129" t="s">
        <v>5585</v>
      </c>
      <c r="L13" s="129" t="s">
        <v>5586</v>
      </c>
      <c r="M13" s="129" t="s">
        <v>5587</v>
      </c>
      <c r="N13" s="129">
        <v>1996</v>
      </c>
      <c r="O13" s="129">
        <v>52</v>
      </c>
      <c r="P13" s="129" t="s">
        <v>5532</v>
      </c>
      <c r="Q13" s="129" t="s">
        <v>5533</v>
      </c>
      <c r="R13" s="129" t="s">
        <v>5534</v>
      </c>
      <c r="S13" s="129" t="s">
        <v>5459</v>
      </c>
      <c r="T13" s="129" t="s">
        <v>5535</v>
      </c>
    </row>
    <row r="14" spans="1:20" ht="24">
      <c r="A14" s="129" t="s">
        <v>5588</v>
      </c>
      <c r="B14" s="129" t="s">
        <v>5589</v>
      </c>
      <c r="C14" s="129" t="s">
        <v>5590</v>
      </c>
      <c r="D14" s="129" t="s">
        <v>5524</v>
      </c>
      <c r="E14" s="129" t="s">
        <v>5591</v>
      </c>
      <c r="F14" s="129" t="s">
        <v>5592</v>
      </c>
      <c r="G14" s="129" t="s">
        <v>5593</v>
      </c>
      <c r="H14" s="129" t="s">
        <v>5594</v>
      </c>
      <c r="I14" s="129" t="s">
        <v>387</v>
      </c>
      <c r="J14" s="129" t="s">
        <v>5595</v>
      </c>
      <c r="K14" s="129" t="s">
        <v>5596</v>
      </c>
      <c r="L14" s="129" t="s">
        <v>5597</v>
      </c>
      <c r="M14" s="129" t="s">
        <v>5598</v>
      </c>
      <c r="N14" s="129">
        <v>2018</v>
      </c>
      <c r="O14" s="129">
        <v>53</v>
      </c>
      <c r="P14" s="129" t="s">
        <v>5599</v>
      </c>
      <c r="Q14" s="129" t="s">
        <v>5600</v>
      </c>
      <c r="R14" s="129" t="s">
        <v>932</v>
      </c>
      <c r="S14" s="129" t="s">
        <v>5459</v>
      </c>
      <c r="T14" s="129" t="s">
        <v>5535</v>
      </c>
    </row>
    <row r="15" spans="1:20" ht="24">
      <c r="A15" s="129" t="s">
        <v>5601</v>
      </c>
      <c r="B15" s="129" t="s">
        <v>5602</v>
      </c>
      <c r="C15" s="129" t="s">
        <v>5603</v>
      </c>
      <c r="D15" s="129" t="s">
        <v>5524</v>
      </c>
      <c r="E15" s="129" t="s">
        <v>5604</v>
      </c>
      <c r="F15" s="129" t="s">
        <v>5605</v>
      </c>
      <c r="G15" s="129" t="s">
        <v>47</v>
      </c>
      <c r="H15" s="129" t="s">
        <v>5558</v>
      </c>
      <c r="I15" s="129" t="s">
        <v>396</v>
      </c>
      <c r="J15" s="129" t="s">
        <v>5606</v>
      </c>
      <c r="K15" s="129" t="s">
        <v>5607</v>
      </c>
      <c r="L15" s="129" t="s">
        <v>5608</v>
      </c>
      <c r="M15" s="129" t="s">
        <v>5609</v>
      </c>
      <c r="N15" s="129">
        <v>2016</v>
      </c>
      <c r="O15" s="129">
        <v>59</v>
      </c>
      <c r="P15" s="129" t="s">
        <v>5610</v>
      </c>
      <c r="Q15" s="129" t="s">
        <v>5600</v>
      </c>
      <c r="R15" s="129" t="s">
        <v>932</v>
      </c>
      <c r="S15" s="129" t="s">
        <v>5611</v>
      </c>
      <c r="T15" s="129" t="s">
        <v>5535</v>
      </c>
    </row>
    <row r="16" spans="1:20" ht="24">
      <c r="A16" s="129" t="s">
        <v>5612</v>
      </c>
      <c r="B16" s="129" t="s">
        <v>5613</v>
      </c>
      <c r="C16" s="129" t="s">
        <v>5614</v>
      </c>
      <c r="D16" s="129" t="s">
        <v>5524</v>
      </c>
      <c r="E16" s="129" t="s">
        <v>5615</v>
      </c>
      <c r="F16" s="129" t="s">
        <v>5605</v>
      </c>
      <c r="G16" s="129" t="s">
        <v>47</v>
      </c>
      <c r="H16" s="129" t="s">
        <v>5558</v>
      </c>
      <c r="I16" s="129" t="s">
        <v>40</v>
      </c>
      <c r="J16" s="129" t="s">
        <v>5606</v>
      </c>
      <c r="K16" s="129" t="s">
        <v>5616</v>
      </c>
      <c r="L16" s="129" t="s">
        <v>5617</v>
      </c>
      <c r="M16" s="129" t="s">
        <v>5609</v>
      </c>
      <c r="N16" s="129">
        <v>2016</v>
      </c>
      <c r="O16" s="129">
        <v>59</v>
      </c>
      <c r="P16" s="129" t="s">
        <v>5618</v>
      </c>
      <c r="Q16" s="129" t="s">
        <v>5600</v>
      </c>
      <c r="R16" s="129" t="s">
        <v>932</v>
      </c>
      <c r="S16" s="129" t="s">
        <v>5611</v>
      </c>
      <c r="T16" s="129" t="s">
        <v>5535</v>
      </c>
    </row>
    <row r="17" spans="1:20" ht="24">
      <c r="A17" s="129" t="s">
        <v>5619</v>
      </c>
      <c r="B17" s="129" t="s">
        <v>5620</v>
      </c>
      <c r="C17" s="129" t="s">
        <v>5621</v>
      </c>
      <c r="D17" s="129" t="s">
        <v>5524</v>
      </c>
      <c r="E17" s="129" t="s">
        <v>5622</v>
      </c>
      <c r="F17" s="129" t="s">
        <v>5623</v>
      </c>
      <c r="G17" s="129" t="s">
        <v>5624</v>
      </c>
      <c r="H17" s="129" t="s">
        <v>5625</v>
      </c>
      <c r="I17" s="129" t="s">
        <v>387</v>
      </c>
      <c r="J17" s="129" t="s">
        <v>5626</v>
      </c>
      <c r="K17" s="129" t="s">
        <v>5627</v>
      </c>
      <c r="L17" s="129" t="s">
        <v>5628</v>
      </c>
      <c r="M17" s="129" t="s">
        <v>5629</v>
      </c>
      <c r="N17" s="129">
        <v>2008</v>
      </c>
      <c r="O17" s="129">
        <v>62</v>
      </c>
      <c r="P17" s="129" t="s">
        <v>5532</v>
      </c>
      <c r="Q17" s="129" t="s">
        <v>5533</v>
      </c>
      <c r="R17" s="129" t="s">
        <v>5534</v>
      </c>
      <c r="S17" s="129" t="s">
        <v>5459</v>
      </c>
      <c r="T17" s="129" t="s">
        <v>5535</v>
      </c>
    </row>
    <row r="18" spans="1:20" ht="24">
      <c r="A18" s="129" t="s">
        <v>5630</v>
      </c>
      <c r="B18" s="129" t="s">
        <v>5631</v>
      </c>
      <c r="C18" s="129" t="s">
        <v>5632</v>
      </c>
      <c r="D18" s="129" t="s">
        <v>5524</v>
      </c>
      <c r="E18" s="129" t="s">
        <v>5633</v>
      </c>
      <c r="F18" s="129" t="s">
        <v>5623</v>
      </c>
      <c r="G18" s="129" t="s">
        <v>43</v>
      </c>
      <c r="H18" s="129" t="s">
        <v>5625</v>
      </c>
      <c r="I18" s="129" t="s">
        <v>387</v>
      </c>
      <c r="J18" s="129" t="s">
        <v>5626</v>
      </c>
      <c r="K18" s="129" t="s">
        <v>5627</v>
      </c>
      <c r="L18" s="129" t="s">
        <v>5628</v>
      </c>
      <c r="M18" s="129" t="s">
        <v>5629</v>
      </c>
      <c r="N18" s="129">
        <v>2008</v>
      </c>
      <c r="O18" s="129">
        <v>62</v>
      </c>
      <c r="P18" s="129" t="s">
        <v>5634</v>
      </c>
      <c r="Q18" s="129" t="s">
        <v>5533</v>
      </c>
      <c r="R18" s="129" t="s">
        <v>5534</v>
      </c>
      <c r="S18" s="129" t="s">
        <v>5611</v>
      </c>
      <c r="T18" s="129" t="s">
        <v>5535</v>
      </c>
    </row>
    <row r="19" spans="1:20" ht="24">
      <c r="A19" s="129" t="s">
        <v>5635</v>
      </c>
      <c r="B19" s="129" t="s">
        <v>5636</v>
      </c>
      <c r="C19" s="129" t="s">
        <v>5637</v>
      </c>
      <c r="D19" s="129" t="s">
        <v>5524</v>
      </c>
      <c r="E19" s="129" t="s">
        <v>5638</v>
      </c>
      <c r="F19" s="129" t="s">
        <v>5623</v>
      </c>
      <c r="G19" s="129" t="s">
        <v>136</v>
      </c>
      <c r="H19" s="129" t="s">
        <v>5639</v>
      </c>
      <c r="I19" s="129" t="s">
        <v>396</v>
      </c>
      <c r="J19" s="129" t="s">
        <v>5640</v>
      </c>
      <c r="K19" s="129" t="s">
        <v>5627</v>
      </c>
      <c r="L19" s="129" t="s">
        <v>5628</v>
      </c>
      <c r="M19" s="129" t="s">
        <v>5641</v>
      </c>
      <c r="N19" s="129">
        <v>1988</v>
      </c>
      <c r="O19" s="129">
        <v>70</v>
      </c>
      <c r="P19" s="129" t="s">
        <v>5642</v>
      </c>
      <c r="Q19" s="129" t="s">
        <v>5533</v>
      </c>
      <c r="R19" s="129" t="s">
        <v>5534</v>
      </c>
      <c r="S19" s="129" t="s">
        <v>5459</v>
      </c>
      <c r="T19" s="129" t="s">
        <v>5535</v>
      </c>
    </row>
    <row r="20" spans="1:20" ht="24">
      <c r="A20" s="129" t="s">
        <v>5643</v>
      </c>
      <c r="B20" s="129" t="s">
        <v>5644</v>
      </c>
      <c r="C20" s="129" t="s">
        <v>5645</v>
      </c>
      <c r="D20" s="129" t="s">
        <v>5524</v>
      </c>
      <c r="E20" s="129" t="s">
        <v>5646</v>
      </c>
      <c r="F20" s="129" t="s">
        <v>5647</v>
      </c>
      <c r="G20" s="129" t="s">
        <v>136</v>
      </c>
      <c r="H20" s="129" t="s">
        <v>5639</v>
      </c>
      <c r="I20" s="129" t="s">
        <v>40</v>
      </c>
      <c r="J20" s="129" t="s">
        <v>5640</v>
      </c>
      <c r="K20" s="129" t="s">
        <v>5648</v>
      </c>
      <c r="L20" s="129" t="s">
        <v>5649</v>
      </c>
      <c r="M20" s="129" t="s">
        <v>5641</v>
      </c>
      <c r="N20" s="129">
        <v>1988</v>
      </c>
      <c r="O20" s="129">
        <v>70</v>
      </c>
      <c r="P20" s="129" t="s">
        <v>5532</v>
      </c>
      <c r="Q20" s="129" t="s">
        <v>5533</v>
      </c>
      <c r="R20" s="129" t="s">
        <v>5534</v>
      </c>
      <c r="S20" s="129" t="s">
        <v>5459</v>
      </c>
      <c r="T20" s="129" t="s">
        <v>5535</v>
      </c>
    </row>
    <row r="21" spans="1:20" ht="24">
      <c r="A21" s="129" t="s">
        <v>5650</v>
      </c>
      <c r="B21" s="129" t="s">
        <v>5651</v>
      </c>
      <c r="C21" s="129" t="s">
        <v>5652</v>
      </c>
      <c r="D21" s="129" t="s">
        <v>5524</v>
      </c>
      <c r="E21" s="129" t="s">
        <v>5653</v>
      </c>
      <c r="F21" s="129" t="s">
        <v>5647</v>
      </c>
      <c r="G21" s="129" t="s">
        <v>136</v>
      </c>
      <c r="H21" s="129" t="s">
        <v>5639</v>
      </c>
      <c r="I21" s="129" t="s">
        <v>396</v>
      </c>
      <c r="J21" s="129" t="s">
        <v>5640</v>
      </c>
      <c r="K21" s="129" t="s">
        <v>5654</v>
      </c>
      <c r="L21" s="129" t="s">
        <v>5655</v>
      </c>
      <c r="M21" s="129" t="s">
        <v>5641</v>
      </c>
      <c r="N21" s="129">
        <v>1988</v>
      </c>
      <c r="O21" s="129">
        <v>70</v>
      </c>
      <c r="P21" s="129" t="s">
        <v>5532</v>
      </c>
      <c r="Q21" s="129" t="s">
        <v>5533</v>
      </c>
      <c r="R21" s="129" t="s">
        <v>5534</v>
      </c>
      <c r="S21" s="129" t="s">
        <v>5459</v>
      </c>
      <c r="T21" s="129" t="s">
        <v>5535</v>
      </c>
    </row>
    <row r="22" spans="1:20" ht="24">
      <c r="A22" s="129" t="s">
        <v>5656</v>
      </c>
      <c r="B22" s="129" t="s">
        <v>5657</v>
      </c>
      <c r="C22" s="129" t="s">
        <v>5658</v>
      </c>
      <c r="D22" s="129" t="s">
        <v>5524</v>
      </c>
      <c r="E22" s="129" t="s">
        <v>5659</v>
      </c>
      <c r="F22" s="129" t="s">
        <v>5647</v>
      </c>
      <c r="G22" s="129" t="s">
        <v>136</v>
      </c>
      <c r="H22" s="129" t="s">
        <v>5639</v>
      </c>
      <c r="I22" s="129" t="s">
        <v>40</v>
      </c>
      <c r="J22" s="129" t="s">
        <v>5640</v>
      </c>
      <c r="K22" s="129" t="s">
        <v>5654</v>
      </c>
      <c r="L22" s="129" t="s">
        <v>5660</v>
      </c>
      <c r="M22" s="129" t="s">
        <v>5641</v>
      </c>
      <c r="N22" s="129">
        <v>1988</v>
      </c>
      <c r="O22" s="129">
        <v>70</v>
      </c>
      <c r="P22" s="129" t="s">
        <v>5532</v>
      </c>
      <c r="Q22" s="129" t="s">
        <v>5533</v>
      </c>
      <c r="R22" s="129" t="s">
        <v>5534</v>
      </c>
      <c r="S22" s="129" t="s">
        <v>5459</v>
      </c>
      <c r="T22" s="129" t="s">
        <v>5535</v>
      </c>
    </row>
    <row r="23" spans="1:20" ht="24">
      <c r="A23" s="129" t="s">
        <v>5661</v>
      </c>
      <c r="B23" s="129" t="s">
        <v>5662</v>
      </c>
      <c r="C23" s="129" t="s">
        <v>5663</v>
      </c>
      <c r="D23" s="129" t="s">
        <v>5524</v>
      </c>
      <c r="E23" s="129" t="s">
        <v>5664</v>
      </c>
      <c r="F23" s="129" t="s">
        <v>5665</v>
      </c>
      <c r="G23" s="129" t="s">
        <v>5666</v>
      </c>
      <c r="H23" s="129" t="s">
        <v>5667</v>
      </c>
      <c r="I23" s="129" t="s">
        <v>396</v>
      </c>
      <c r="J23" s="129" t="s">
        <v>5668</v>
      </c>
      <c r="K23" s="129" t="s">
        <v>5669</v>
      </c>
      <c r="L23" s="129" t="s">
        <v>5670</v>
      </c>
      <c r="M23" s="129" t="s">
        <v>5671</v>
      </c>
      <c r="N23" s="129">
        <v>1971</v>
      </c>
      <c r="O23" s="129">
        <v>71</v>
      </c>
      <c r="P23" s="129" t="s">
        <v>5532</v>
      </c>
      <c r="Q23" s="129" t="s">
        <v>5533</v>
      </c>
      <c r="R23" s="129" t="s">
        <v>5534</v>
      </c>
      <c r="S23" s="129" t="s">
        <v>5611</v>
      </c>
      <c r="T23" s="129" t="s">
        <v>5535</v>
      </c>
    </row>
    <row r="24" spans="1:20" ht="24">
      <c r="A24" s="129" t="s">
        <v>5672</v>
      </c>
      <c r="B24" s="129" t="s">
        <v>5673</v>
      </c>
      <c r="C24" s="129" t="s">
        <v>5674</v>
      </c>
      <c r="D24" s="129" t="s">
        <v>5524</v>
      </c>
      <c r="E24" s="129" t="s">
        <v>5675</v>
      </c>
      <c r="F24" s="129" t="s">
        <v>5665</v>
      </c>
      <c r="G24" s="129" t="s">
        <v>5666</v>
      </c>
      <c r="H24" s="129" t="s">
        <v>5667</v>
      </c>
      <c r="I24" s="129" t="s">
        <v>40</v>
      </c>
      <c r="J24" s="129" t="s">
        <v>5668</v>
      </c>
      <c r="K24" s="129" t="s">
        <v>5669</v>
      </c>
      <c r="L24" s="129" t="s">
        <v>5676</v>
      </c>
      <c r="M24" s="129" t="s">
        <v>5671</v>
      </c>
      <c r="N24" s="129">
        <v>1971</v>
      </c>
      <c r="O24" s="129">
        <v>71</v>
      </c>
      <c r="P24" s="129" t="s">
        <v>5532</v>
      </c>
      <c r="Q24" s="129" t="s">
        <v>5533</v>
      </c>
      <c r="R24" s="129" t="s">
        <v>5534</v>
      </c>
      <c r="S24" s="129" t="s">
        <v>5611</v>
      </c>
      <c r="T24" s="129" t="s">
        <v>5535</v>
      </c>
    </row>
    <row r="25" spans="1:20" ht="24">
      <c r="A25" s="129" t="s">
        <v>5677</v>
      </c>
      <c r="B25" s="129" t="s">
        <v>5678</v>
      </c>
      <c r="C25" s="129" t="s">
        <v>5679</v>
      </c>
      <c r="D25" s="129" t="s">
        <v>5524</v>
      </c>
      <c r="E25" s="129" t="s">
        <v>5680</v>
      </c>
      <c r="F25" s="129" t="s">
        <v>5681</v>
      </c>
      <c r="G25" s="129" t="s">
        <v>136</v>
      </c>
      <c r="H25" s="129" t="s">
        <v>5528</v>
      </c>
      <c r="I25" s="129" t="s">
        <v>387</v>
      </c>
      <c r="J25" s="129" t="s">
        <v>5528</v>
      </c>
      <c r="K25" s="129" t="s">
        <v>5682</v>
      </c>
      <c r="L25" s="129" t="s">
        <v>5683</v>
      </c>
      <c r="M25" s="129" t="s">
        <v>5684</v>
      </c>
      <c r="N25" s="129">
        <v>1973</v>
      </c>
      <c r="O25" s="129">
        <v>78</v>
      </c>
      <c r="P25" s="129" t="s">
        <v>5532</v>
      </c>
      <c r="Q25" s="129" t="s">
        <v>5533</v>
      </c>
      <c r="R25" s="129" t="s">
        <v>5534</v>
      </c>
      <c r="S25" s="129" t="s">
        <v>5576</v>
      </c>
      <c r="T25" s="129" t="s">
        <v>5535</v>
      </c>
    </row>
    <row r="26" spans="1:20" ht="24">
      <c r="A26" s="129" t="s">
        <v>5685</v>
      </c>
      <c r="B26" s="129" t="s">
        <v>5686</v>
      </c>
      <c r="C26" s="129" t="s">
        <v>5687</v>
      </c>
      <c r="D26" s="129" t="s">
        <v>5524</v>
      </c>
      <c r="E26" s="129" t="s">
        <v>5688</v>
      </c>
      <c r="F26" s="129" t="s">
        <v>5689</v>
      </c>
      <c r="G26" s="129" t="s">
        <v>5690</v>
      </c>
      <c r="H26" s="129" t="s">
        <v>5528</v>
      </c>
      <c r="I26" s="129" t="s">
        <v>387</v>
      </c>
      <c r="J26" s="129" t="s">
        <v>5528</v>
      </c>
      <c r="K26" s="129" t="s">
        <v>5691</v>
      </c>
      <c r="L26" s="129" t="s">
        <v>5692</v>
      </c>
      <c r="M26" s="129" t="s">
        <v>5684</v>
      </c>
      <c r="N26" s="129">
        <v>1973</v>
      </c>
      <c r="O26" s="129">
        <v>80</v>
      </c>
      <c r="P26" s="129" t="s">
        <v>5574</v>
      </c>
      <c r="Q26" s="129" t="s">
        <v>5693</v>
      </c>
      <c r="R26" s="129" t="s">
        <v>5534</v>
      </c>
      <c r="S26" s="129" t="s">
        <v>5487</v>
      </c>
      <c r="T26" s="129" t="s">
        <v>5535</v>
      </c>
    </row>
    <row r="27" spans="1:20" ht="24">
      <c r="A27" s="129" t="s">
        <v>5694</v>
      </c>
      <c r="B27" s="129" t="s">
        <v>5695</v>
      </c>
      <c r="C27" s="129" t="s">
        <v>5696</v>
      </c>
      <c r="D27" s="129" t="s">
        <v>5524</v>
      </c>
      <c r="E27" s="129" t="s">
        <v>5697</v>
      </c>
      <c r="F27" s="129" t="s">
        <v>5698</v>
      </c>
      <c r="G27" s="129" t="s">
        <v>47</v>
      </c>
      <c r="H27" s="129" t="s">
        <v>5528</v>
      </c>
      <c r="I27" s="129" t="s">
        <v>387</v>
      </c>
      <c r="J27" s="129" t="s">
        <v>5528</v>
      </c>
      <c r="K27" s="129" t="s">
        <v>5699</v>
      </c>
      <c r="L27" s="129" t="s">
        <v>5700</v>
      </c>
      <c r="M27" s="129" t="s">
        <v>5684</v>
      </c>
      <c r="N27" s="129">
        <v>1973</v>
      </c>
      <c r="O27" s="129">
        <v>80</v>
      </c>
      <c r="P27" s="129" t="s">
        <v>5701</v>
      </c>
      <c r="Q27" s="129" t="s">
        <v>5702</v>
      </c>
      <c r="R27" s="129" t="s">
        <v>932</v>
      </c>
      <c r="S27" s="129" t="s">
        <v>5576</v>
      </c>
      <c r="T27" s="129" t="s">
        <v>5535</v>
      </c>
    </row>
    <row r="28" spans="1:20" ht="24">
      <c r="A28" s="129" t="s">
        <v>5703</v>
      </c>
      <c r="B28" s="129" t="s">
        <v>5704</v>
      </c>
      <c r="C28" s="129" t="s">
        <v>5705</v>
      </c>
      <c r="D28" s="129" t="s">
        <v>5524</v>
      </c>
      <c r="E28" s="129" t="s">
        <v>5706</v>
      </c>
      <c r="F28" s="129" t="s">
        <v>5707</v>
      </c>
      <c r="G28" s="129" t="s">
        <v>5690</v>
      </c>
      <c r="H28" s="129" t="s">
        <v>5528</v>
      </c>
      <c r="I28" s="129" t="s">
        <v>387</v>
      </c>
      <c r="J28" s="129" t="s">
        <v>5528</v>
      </c>
      <c r="K28" s="129" t="s">
        <v>5708</v>
      </c>
      <c r="L28" s="129" t="s">
        <v>5709</v>
      </c>
      <c r="M28" s="129" t="s">
        <v>5684</v>
      </c>
      <c r="N28" s="129">
        <v>1973</v>
      </c>
      <c r="O28" s="129">
        <v>80</v>
      </c>
      <c r="P28" s="129" t="s">
        <v>5710</v>
      </c>
      <c r="Q28" s="129" t="s">
        <v>5693</v>
      </c>
      <c r="R28" s="129" t="s">
        <v>5534</v>
      </c>
      <c r="S28" s="129" t="s">
        <v>5576</v>
      </c>
      <c r="T28" s="129" t="s">
        <v>5535</v>
      </c>
    </row>
    <row r="29" spans="1:20" ht="24">
      <c r="A29" s="129" t="s">
        <v>5711</v>
      </c>
      <c r="B29" s="129" t="s">
        <v>5712</v>
      </c>
      <c r="C29" s="129" t="s">
        <v>5713</v>
      </c>
      <c r="D29" s="129" t="s">
        <v>5524</v>
      </c>
      <c r="E29" s="129" t="s">
        <v>5714</v>
      </c>
      <c r="F29" s="129" t="s">
        <v>5715</v>
      </c>
      <c r="G29" s="129" t="s">
        <v>5690</v>
      </c>
      <c r="H29" s="129" t="s">
        <v>5528</v>
      </c>
      <c r="I29" s="129" t="s">
        <v>387</v>
      </c>
      <c r="J29" s="129" t="s">
        <v>5528</v>
      </c>
      <c r="K29" s="129" t="s">
        <v>5716</v>
      </c>
      <c r="L29" s="129" t="s">
        <v>5717</v>
      </c>
      <c r="M29" s="129" t="s">
        <v>5684</v>
      </c>
      <c r="N29" s="129">
        <v>1973</v>
      </c>
      <c r="O29" s="129">
        <v>80</v>
      </c>
      <c r="P29" s="129" t="s">
        <v>5574</v>
      </c>
      <c r="Q29" s="129" t="s">
        <v>5693</v>
      </c>
      <c r="R29" s="129" t="s">
        <v>5534</v>
      </c>
      <c r="S29" s="129" t="s">
        <v>5576</v>
      </c>
      <c r="T29" s="129" t="s">
        <v>5535</v>
      </c>
    </row>
    <row r="30" spans="1:20" ht="24">
      <c r="A30" s="129" t="s">
        <v>5718</v>
      </c>
      <c r="B30" s="129" t="s">
        <v>5719</v>
      </c>
      <c r="C30" s="129" t="s">
        <v>5720</v>
      </c>
      <c r="D30" s="129" t="s">
        <v>5524</v>
      </c>
      <c r="E30" s="129" t="s">
        <v>5721</v>
      </c>
      <c r="F30" s="129" t="s">
        <v>5722</v>
      </c>
      <c r="G30" s="129" t="s">
        <v>5690</v>
      </c>
      <c r="H30" s="129" t="s">
        <v>5528</v>
      </c>
      <c r="I30" s="129" t="s">
        <v>396</v>
      </c>
      <c r="J30" s="129" t="s">
        <v>5528</v>
      </c>
      <c r="K30" s="129" t="s">
        <v>5723</v>
      </c>
      <c r="L30" s="129" t="s">
        <v>5724</v>
      </c>
      <c r="M30" s="129" t="s">
        <v>5725</v>
      </c>
      <c r="N30" s="129">
        <v>1982</v>
      </c>
      <c r="O30" s="129">
        <v>89</v>
      </c>
      <c r="P30" s="129" t="s">
        <v>5532</v>
      </c>
      <c r="Q30" s="129" t="s">
        <v>5533</v>
      </c>
      <c r="R30" s="129" t="s">
        <v>5534</v>
      </c>
      <c r="S30" s="129" t="s">
        <v>5487</v>
      </c>
      <c r="T30" s="129" t="s">
        <v>5535</v>
      </c>
    </row>
    <row r="31" spans="1:20" ht="24">
      <c r="A31" s="129" t="s">
        <v>5726</v>
      </c>
      <c r="B31" s="129" t="s">
        <v>5727</v>
      </c>
      <c r="C31" s="129" t="s">
        <v>5728</v>
      </c>
      <c r="D31" s="129" t="s">
        <v>5524</v>
      </c>
      <c r="E31" s="129" t="s">
        <v>5729</v>
      </c>
      <c r="F31" s="129" t="s">
        <v>5722</v>
      </c>
      <c r="G31" s="129" t="s">
        <v>5690</v>
      </c>
      <c r="H31" s="129" t="s">
        <v>5528</v>
      </c>
      <c r="I31" s="129" t="s">
        <v>40</v>
      </c>
      <c r="J31" s="129" t="s">
        <v>5528</v>
      </c>
      <c r="K31" s="129" t="s">
        <v>5730</v>
      </c>
      <c r="L31" s="129" t="s">
        <v>5731</v>
      </c>
      <c r="M31" s="129" t="s">
        <v>5725</v>
      </c>
      <c r="N31" s="129">
        <v>1982</v>
      </c>
      <c r="O31" s="129">
        <v>89</v>
      </c>
      <c r="P31" s="129" t="s">
        <v>5532</v>
      </c>
      <c r="Q31" s="129" t="s">
        <v>5533</v>
      </c>
      <c r="R31" s="129" t="s">
        <v>5534</v>
      </c>
      <c r="S31" s="129" t="s">
        <v>5487</v>
      </c>
      <c r="T31" s="129" t="s">
        <v>5535</v>
      </c>
    </row>
    <row r="32" spans="1:20" ht="24">
      <c r="A32" s="129" t="s">
        <v>5732</v>
      </c>
      <c r="B32" s="129" t="s">
        <v>5733</v>
      </c>
      <c r="C32" s="129" t="s">
        <v>5734</v>
      </c>
      <c r="D32" s="129" t="s">
        <v>5524</v>
      </c>
      <c r="E32" s="129" t="s">
        <v>5735</v>
      </c>
      <c r="F32" s="129" t="s">
        <v>5736</v>
      </c>
      <c r="G32" s="129" t="s">
        <v>5737</v>
      </c>
      <c r="H32" s="129" t="s">
        <v>5528</v>
      </c>
      <c r="I32" s="129" t="s">
        <v>387</v>
      </c>
      <c r="J32" s="129" t="s">
        <v>5528</v>
      </c>
      <c r="K32" s="129" t="s">
        <v>5738</v>
      </c>
      <c r="L32" s="129" t="s">
        <v>5739</v>
      </c>
      <c r="M32" s="129" t="s">
        <v>5740</v>
      </c>
      <c r="N32" s="129">
        <v>1989</v>
      </c>
      <c r="O32" s="129">
        <v>91</v>
      </c>
      <c r="P32" s="129" t="s">
        <v>5741</v>
      </c>
      <c r="Q32" s="129" t="s">
        <v>5600</v>
      </c>
      <c r="R32" s="129" t="s">
        <v>932</v>
      </c>
      <c r="S32" s="129" t="s">
        <v>5576</v>
      </c>
      <c r="T32" s="129" t="s">
        <v>5535</v>
      </c>
    </row>
    <row r="33" spans="1:20" ht="24">
      <c r="A33" s="129" t="s">
        <v>5742</v>
      </c>
      <c r="B33" s="129" t="s">
        <v>5743</v>
      </c>
      <c r="C33" s="129" t="s">
        <v>5744</v>
      </c>
      <c r="D33" s="129" t="s">
        <v>5524</v>
      </c>
      <c r="E33" s="129" t="s">
        <v>5745</v>
      </c>
      <c r="F33" s="129" t="s">
        <v>5746</v>
      </c>
      <c r="G33" s="129" t="s">
        <v>5737</v>
      </c>
      <c r="H33" s="129" t="s">
        <v>5528</v>
      </c>
      <c r="I33" s="129" t="s">
        <v>387</v>
      </c>
      <c r="J33" s="129" t="s">
        <v>5528</v>
      </c>
      <c r="K33" s="129" t="s">
        <v>5747</v>
      </c>
      <c r="L33" s="129" t="s">
        <v>5748</v>
      </c>
      <c r="M33" s="129" t="s">
        <v>5749</v>
      </c>
      <c r="N33" s="129">
        <v>2008</v>
      </c>
      <c r="O33" s="129">
        <v>92</v>
      </c>
      <c r="P33" s="129" t="s">
        <v>5532</v>
      </c>
      <c r="Q33" s="129" t="s">
        <v>5533</v>
      </c>
      <c r="R33" s="129" t="s">
        <v>5534</v>
      </c>
      <c r="S33" s="129" t="s">
        <v>5576</v>
      </c>
      <c r="T33" s="129" t="s">
        <v>5535</v>
      </c>
    </row>
    <row r="34" spans="1:20" ht="24">
      <c r="A34" s="129" t="s">
        <v>5750</v>
      </c>
      <c r="B34" s="129" t="s">
        <v>5751</v>
      </c>
      <c r="C34" s="129" t="s">
        <v>5752</v>
      </c>
      <c r="D34" s="129" t="s">
        <v>5524</v>
      </c>
      <c r="E34" s="129" t="s">
        <v>5753</v>
      </c>
      <c r="F34" s="129" t="s">
        <v>5754</v>
      </c>
      <c r="G34" s="129" t="s">
        <v>5666</v>
      </c>
      <c r="H34" s="129" t="s">
        <v>5528</v>
      </c>
      <c r="I34" s="129" t="s">
        <v>387</v>
      </c>
      <c r="J34" s="129" t="s">
        <v>5755</v>
      </c>
      <c r="K34" s="129" t="s">
        <v>5756</v>
      </c>
      <c r="L34" s="129" t="s">
        <v>5757</v>
      </c>
      <c r="M34" s="129" t="s">
        <v>5758</v>
      </c>
      <c r="N34" s="129">
        <v>1974</v>
      </c>
      <c r="O34" s="129">
        <v>93</v>
      </c>
      <c r="P34" s="129" t="s">
        <v>5759</v>
      </c>
      <c r="Q34" s="129" t="s">
        <v>5533</v>
      </c>
      <c r="R34" s="129" t="s">
        <v>5534</v>
      </c>
      <c r="S34" s="129" t="s">
        <v>5760</v>
      </c>
      <c r="T34" s="129" t="s">
        <v>5535</v>
      </c>
    </row>
    <row r="35" spans="1:20" ht="24">
      <c r="A35" s="129" t="s">
        <v>5761</v>
      </c>
      <c r="B35" s="129" t="s">
        <v>5762</v>
      </c>
      <c r="C35" s="129" t="s">
        <v>5763</v>
      </c>
      <c r="D35" s="129" t="s">
        <v>5524</v>
      </c>
      <c r="E35" s="129" t="s">
        <v>5764</v>
      </c>
      <c r="F35" s="129" t="s">
        <v>5765</v>
      </c>
      <c r="G35" s="129" t="s">
        <v>136</v>
      </c>
      <c r="H35" s="129" t="s">
        <v>5528</v>
      </c>
      <c r="I35" s="129" t="s">
        <v>387</v>
      </c>
      <c r="J35" s="129" t="s">
        <v>5528</v>
      </c>
      <c r="K35" s="129" t="s">
        <v>5766</v>
      </c>
      <c r="L35" s="129" t="s">
        <v>5767</v>
      </c>
      <c r="M35" s="129" t="s">
        <v>5573</v>
      </c>
      <c r="N35" s="129"/>
      <c r="O35" s="129">
        <v>94</v>
      </c>
      <c r="P35" s="129" t="s">
        <v>5768</v>
      </c>
      <c r="Q35" s="129" t="s">
        <v>5533</v>
      </c>
      <c r="R35" s="129" t="s">
        <v>5534</v>
      </c>
      <c r="S35" s="129" t="s">
        <v>5769</v>
      </c>
      <c r="T35" s="129" t="s">
        <v>5535</v>
      </c>
    </row>
    <row r="36" spans="1:20" ht="24">
      <c r="A36" s="129" t="s">
        <v>5770</v>
      </c>
      <c r="B36" s="129" t="s">
        <v>5771</v>
      </c>
      <c r="C36" s="129" t="s">
        <v>5772</v>
      </c>
      <c r="D36" s="129" t="s">
        <v>5524</v>
      </c>
      <c r="E36" s="129" t="s">
        <v>5773</v>
      </c>
      <c r="F36" s="129" t="s">
        <v>5765</v>
      </c>
      <c r="G36" s="129" t="s">
        <v>136</v>
      </c>
      <c r="H36" s="129" t="s">
        <v>5528</v>
      </c>
      <c r="I36" s="129" t="s">
        <v>387</v>
      </c>
      <c r="J36" s="129" t="s">
        <v>5528</v>
      </c>
      <c r="K36" s="129" t="s">
        <v>5766</v>
      </c>
      <c r="L36" s="129" t="s">
        <v>5774</v>
      </c>
      <c r="M36" s="129" t="s">
        <v>5573</v>
      </c>
      <c r="N36" s="129"/>
      <c r="O36" s="129">
        <v>94</v>
      </c>
      <c r="P36" s="129" t="s">
        <v>5775</v>
      </c>
      <c r="Q36" s="129" t="s">
        <v>5533</v>
      </c>
      <c r="R36" s="129" t="s">
        <v>5534</v>
      </c>
      <c r="S36" s="129" t="s">
        <v>5769</v>
      </c>
      <c r="T36" s="129" t="s">
        <v>5535</v>
      </c>
    </row>
    <row r="37" spans="1:20" ht="24">
      <c r="A37" s="129" t="s">
        <v>5776</v>
      </c>
      <c r="B37" s="129" t="s">
        <v>5777</v>
      </c>
      <c r="C37" s="129" t="s">
        <v>5778</v>
      </c>
      <c r="D37" s="129" t="s">
        <v>5524</v>
      </c>
      <c r="E37" s="129" t="s">
        <v>5779</v>
      </c>
      <c r="F37" s="129" t="s">
        <v>5780</v>
      </c>
      <c r="G37" s="129" t="s">
        <v>43</v>
      </c>
      <c r="H37" s="129" t="s">
        <v>5781</v>
      </c>
      <c r="I37" s="129" t="s">
        <v>396</v>
      </c>
      <c r="J37" s="129" t="s">
        <v>5782</v>
      </c>
      <c r="K37" s="129" t="s">
        <v>5783</v>
      </c>
      <c r="L37" s="129" t="s">
        <v>5784</v>
      </c>
      <c r="M37" s="129" t="s">
        <v>5785</v>
      </c>
      <c r="N37" s="129">
        <v>1985</v>
      </c>
      <c r="O37" s="129">
        <v>97</v>
      </c>
      <c r="P37" s="129" t="s">
        <v>5532</v>
      </c>
      <c r="Q37" s="129" t="s">
        <v>5786</v>
      </c>
      <c r="R37" s="129" t="s">
        <v>5534</v>
      </c>
      <c r="S37" s="129" t="s">
        <v>5576</v>
      </c>
      <c r="T37" s="129" t="s">
        <v>5535</v>
      </c>
    </row>
    <row r="38" spans="1:20" ht="24">
      <c r="A38" s="129" t="s">
        <v>5787</v>
      </c>
      <c r="B38" s="129" t="s">
        <v>5788</v>
      </c>
      <c r="C38" s="129" t="s">
        <v>5789</v>
      </c>
      <c r="D38" s="129" t="s">
        <v>5524</v>
      </c>
      <c r="E38" s="129" t="s">
        <v>5790</v>
      </c>
      <c r="F38" s="129" t="s">
        <v>5780</v>
      </c>
      <c r="G38" s="129" t="s">
        <v>43</v>
      </c>
      <c r="H38" s="129" t="s">
        <v>5781</v>
      </c>
      <c r="I38" s="129" t="s">
        <v>40</v>
      </c>
      <c r="J38" s="129" t="s">
        <v>5782</v>
      </c>
      <c r="K38" s="129" t="s">
        <v>5783</v>
      </c>
      <c r="L38" s="129" t="s">
        <v>5791</v>
      </c>
      <c r="M38" s="129" t="s">
        <v>5785</v>
      </c>
      <c r="N38" s="129">
        <v>1985</v>
      </c>
      <c r="O38" s="129">
        <v>97</v>
      </c>
      <c r="P38" s="129" t="s">
        <v>5532</v>
      </c>
      <c r="Q38" s="129" t="s">
        <v>5786</v>
      </c>
      <c r="R38" s="129" t="s">
        <v>5534</v>
      </c>
      <c r="S38" s="129" t="s">
        <v>5576</v>
      </c>
      <c r="T38" s="129" t="s">
        <v>5535</v>
      </c>
    </row>
    <row r="39" spans="1:20" ht="24">
      <c r="A39" s="129" t="s">
        <v>5792</v>
      </c>
      <c r="B39" s="129" t="s">
        <v>5793</v>
      </c>
      <c r="C39" s="129" t="s">
        <v>5794</v>
      </c>
      <c r="D39" s="129" t="s">
        <v>5524</v>
      </c>
      <c r="E39" s="129" t="s">
        <v>5795</v>
      </c>
      <c r="F39" s="129" t="s">
        <v>5796</v>
      </c>
      <c r="G39" s="129" t="s">
        <v>47</v>
      </c>
      <c r="H39" s="129" t="s">
        <v>5781</v>
      </c>
      <c r="I39" s="129" t="s">
        <v>396</v>
      </c>
      <c r="J39" s="129" t="s">
        <v>5782</v>
      </c>
      <c r="K39" s="129" t="s">
        <v>5797</v>
      </c>
      <c r="L39" s="129" t="s">
        <v>5798</v>
      </c>
      <c r="M39" s="129" t="s">
        <v>5785</v>
      </c>
      <c r="N39" s="129">
        <v>1985</v>
      </c>
      <c r="O39" s="129">
        <v>98</v>
      </c>
      <c r="P39" s="129" t="s">
        <v>5532</v>
      </c>
      <c r="Q39" s="129" t="s">
        <v>5533</v>
      </c>
      <c r="R39" s="129" t="s">
        <v>5534</v>
      </c>
      <c r="S39" s="129" t="s">
        <v>5576</v>
      </c>
      <c r="T39" s="129" t="s">
        <v>5535</v>
      </c>
    </row>
    <row r="40" spans="1:20" ht="24">
      <c r="A40" s="129" t="s">
        <v>5799</v>
      </c>
      <c r="B40" s="129" t="s">
        <v>5800</v>
      </c>
      <c r="C40" s="129" t="s">
        <v>5801</v>
      </c>
      <c r="D40" s="129" t="s">
        <v>5524</v>
      </c>
      <c r="E40" s="129" t="s">
        <v>5802</v>
      </c>
      <c r="F40" s="129" t="s">
        <v>5796</v>
      </c>
      <c r="G40" s="129" t="s">
        <v>47</v>
      </c>
      <c r="H40" s="129" t="s">
        <v>5781</v>
      </c>
      <c r="I40" s="129" t="s">
        <v>40</v>
      </c>
      <c r="J40" s="129" t="s">
        <v>5782</v>
      </c>
      <c r="K40" s="129" t="s">
        <v>5797</v>
      </c>
      <c r="L40" s="129" t="s">
        <v>5803</v>
      </c>
      <c r="M40" s="129" t="s">
        <v>5785</v>
      </c>
      <c r="N40" s="129">
        <v>1985</v>
      </c>
      <c r="O40" s="129">
        <v>98</v>
      </c>
      <c r="P40" s="129" t="s">
        <v>5532</v>
      </c>
      <c r="Q40" s="129" t="s">
        <v>5533</v>
      </c>
      <c r="R40" s="129" t="s">
        <v>5534</v>
      </c>
      <c r="S40" s="129" t="s">
        <v>5576</v>
      </c>
      <c r="T40" s="129" t="s">
        <v>5535</v>
      </c>
    </row>
    <row r="41" spans="1:20" ht="24">
      <c r="A41" s="129" t="s">
        <v>5804</v>
      </c>
      <c r="B41" s="129" t="s">
        <v>5805</v>
      </c>
      <c r="C41" s="129" t="s">
        <v>5806</v>
      </c>
      <c r="D41" s="129" t="s">
        <v>5524</v>
      </c>
      <c r="E41" s="129" t="s">
        <v>5807</v>
      </c>
      <c r="F41" s="129" t="s">
        <v>5808</v>
      </c>
      <c r="G41" s="129" t="s">
        <v>47</v>
      </c>
      <c r="H41" s="129" t="s">
        <v>5781</v>
      </c>
      <c r="I41" s="129" t="s">
        <v>396</v>
      </c>
      <c r="J41" s="129" t="s">
        <v>5809</v>
      </c>
      <c r="K41" s="129" t="s">
        <v>5810</v>
      </c>
      <c r="L41" s="129" t="s">
        <v>5811</v>
      </c>
      <c r="M41" s="129" t="s">
        <v>5812</v>
      </c>
      <c r="N41" s="129">
        <v>1995</v>
      </c>
      <c r="O41" s="129">
        <v>98</v>
      </c>
      <c r="P41" s="129" t="s">
        <v>5532</v>
      </c>
      <c r="Q41" s="129" t="s">
        <v>5533</v>
      </c>
      <c r="R41" s="129" t="s">
        <v>5534</v>
      </c>
      <c r="S41" s="129" t="s">
        <v>5576</v>
      </c>
      <c r="T41" s="129" t="s">
        <v>5535</v>
      </c>
    </row>
    <row r="42" spans="1:20" ht="24">
      <c r="A42" s="129" t="s">
        <v>5813</v>
      </c>
      <c r="B42" s="129" t="s">
        <v>5814</v>
      </c>
      <c r="C42" s="129" t="s">
        <v>5815</v>
      </c>
      <c r="D42" s="129" t="s">
        <v>5524</v>
      </c>
      <c r="E42" s="129" t="s">
        <v>5816</v>
      </c>
      <c r="F42" s="129" t="s">
        <v>5808</v>
      </c>
      <c r="G42" s="129" t="s">
        <v>47</v>
      </c>
      <c r="H42" s="129" t="s">
        <v>5781</v>
      </c>
      <c r="I42" s="129" t="s">
        <v>40</v>
      </c>
      <c r="J42" s="129" t="s">
        <v>5809</v>
      </c>
      <c r="K42" s="129" t="s">
        <v>5810</v>
      </c>
      <c r="L42" s="129" t="s">
        <v>5817</v>
      </c>
      <c r="M42" s="129" t="s">
        <v>5812</v>
      </c>
      <c r="N42" s="129">
        <v>1995</v>
      </c>
      <c r="O42" s="129">
        <v>98</v>
      </c>
      <c r="P42" s="129" t="s">
        <v>5532</v>
      </c>
      <c r="Q42" s="129" t="s">
        <v>5533</v>
      </c>
      <c r="R42" s="129" t="s">
        <v>5534</v>
      </c>
      <c r="S42" s="129" t="s">
        <v>5576</v>
      </c>
      <c r="T42" s="129" t="s">
        <v>5535</v>
      </c>
    </row>
    <row r="43" spans="1:20" ht="24">
      <c r="A43" s="129" t="s">
        <v>5818</v>
      </c>
      <c r="B43" s="129" t="s">
        <v>5819</v>
      </c>
      <c r="C43" s="129" t="s">
        <v>5820</v>
      </c>
      <c r="D43" s="129" t="s">
        <v>5524</v>
      </c>
      <c r="E43" s="129" t="s">
        <v>5821</v>
      </c>
      <c r="F43" s="129" t="s">
        <v>5822</v>
      </c>
      <c r="G43" s="129" t="s">
        <v>47</v>
      </c>
      <c r="H43" s="129" t="s">
        <v>5781</v>
      </c>
      <c r="I43" s="129" t="s">
        <v>387</v>
      </c>
      <c r="J43" s="129" t="s">
        <v>5809</v>
      </c>
      <c r="K43" s="129" t="s">
        <v>5823</v>
      </c>
      <c r="L43" s="129" t="s">
        <v>5824</v>
      </c>
      <c r="M43" s="129" t="s">
        <v>5825</v>
      </c>
      <c r="N43" s="129">
        <v>2008</v>
      </c>
      <c r="O43" s="129">
        <v>99</v>
      </c>
      <c r="P43" s="129" t="s">
        <v>5532</v>
      </c>
      <c r="Q43" s="129" t="s">
        <v>5533</v>
      </c>
      <c r="R43" s="129" t="s">
        <v>5534</v>
      </c>
      <c r="S43" s="129" t="s">
        <v>5576</v>
      </c>
      <c r="T43" s="129" t="s">
        <v>5535</v>
      </c>
    </row>
    <row r="44" spans="1:20" ht="24">
      <c r="A44" s="129" t="s">
        <v>5826</v>
      </c>
      <c r="B44" s="129" t="s">
        <v>5827</v>
      </c>
      <c r="C44" s="129" t="s">
        <v>5828</v>
      </c>
      <c r="D44" s="129" t="s">
        <v>5524</v>
      </c>
      <c r="E44" s="129" t="s">
        <v>5829</v>
      </c>
      <c r="F44" s="129" t="s">
        <v>5830</v>
      </c>
      <c r="G44" s="129" t="s">
        <v>43</v>
      </c>
      <c r="H44" s="129" t="s">
        <v>5831</v>
      </c>
      <c r="I44" s="129" t="s">
        <v>387</v>
      </c>
      <c r="J44" s="129" t="s">
        <v>5528</v>
      </c>
      <c r="K44" s="129" t="s">
        <v>5832</v>
      </c>
      <c r="L44" s="129" t="s">
        <v>5833</v>
      </c>
      <c r="M44" s="129" t="s">
        <v>5834</v>
      </c>
      <c r="N44" s="129">
        <v>1995</v>
      </c>
      <c r="O44" s="129">
        <v>105</v>
      </c>
      <c r="P44" s="129" t="s">
        <v>5835</v>
      </c>
      <c r="Q44" s="129" t="s">
        <v>5600</v>
      </c>
      <c r="R44" s="129" t="s">
        <v>932</v>
      </c>
      <c r="S44" s="129" t="s">
        <v>5836</v>
      </c>
      <c r="T44" s="129" t="s">
        <v>5535</v>
      </c>
    </row>
    <row r="45" spans="1:20" ht="24">
      <c r="A45" s="129" t="s">
        <v>5837</v>
      </c>
      <c r="B45" s="129" t="s">
        <v>5838</v>
      </c>
      <c r="C45" s="129" t="s">
        <v>5839</v>
      </c>
      <c r="D45" s="129" t="s">
        <v>5524</v>
      </c>
      <c r="E45" s="129" t="s">
        <v>5840</v>
      </c>
      <c r="F45" s="129" t="s">
        <v>5841</v>
      </c>
      <c r="G45" s="129" t="s">
        <v>47</v>
      </c>
      <c r="H45" s="129" t="s">
        <v>5842</v>
      </c>
      <c r="I45" s="129" t="s">
        <v>387</v>
      </c>
      <c r="J45" s="129" t="s">
        <v>5558</v>
      </c>
      <c r="K45" s="129" t="s">
        <v>5843</v>
      </c>
      <c r="L45" s="129" t="s">
        <v>5844</v>
      </c>
      <c r="M45" s="129" t="s">
        <v>5845</v>
      </c>
      <c r="N45" s="129">
        <v>2014</v>
      </c>
      <c r="O45" s="129">
        <v>107</v>
      </c>
      <c r="P45" s="129" t="s">
        <v>5532</v>
      </c>
      <c r="Q45" s="129" t="s">
        <v>5533</v>
      </c>
      <c r="R45" s="129" t="s">
        <v>5534</v>
      </c>
      <c r="S45" s="129" t="s">
        <v>5501</v>
      </c>
      <c r="T45" s="129" t="s">
        <v>5535</v>
      </c>
    </row>
    <row r="46" spans="1:20" ht="24">
      <c r="A46" s="129" t="s">
        <v>5846</v>
      </c>
      <c r="B46" s="129" t="s">
        <v>5847</v>
      </c>
      <c r="C46" s="129" t="s">
        <v>5848</v>
      </c>
      <c r="D46" s="129" t="s">
        <v>5524</v>
      </c>
      <c r="E46" s="129" t="s">
        <v>5849</v>
      </c>
      <c r="F46" s="129" t="s">
        <v>5850</v>
      </c>
      <c r="G46" s="129" t="s">
        <v>47</v>
      </c>
      <c r="H46" s="129" t="s">
        <v>5842</v>
      </c>
      <c r="I46" s="129" t="s">
        <v>387</v>
      </c>
      <c r="J46" s="129" t="s">
        <v>5558</v>
      </c>
      <c r="K46" s="129" t="s">
        <v>5851</v>
      </c>
      <c r="L46" s="129" t="s">
        <v>5852</v>
      </c>
      <c r="M46" s="129" t="s">
        <v>5845</v>
      </c>
      <c r="N46" s="129">
        <v>2014</v>
      </c>
      <c r="O46" s="129">
        <v>107</v>
      </c>
      <c r="P46" s="129" t="s">
        <v>5532</v>
      </c>
      <c r="Q46" s="129" t="s">
        <v>5533</v>
      </c>
      <c r="R46" s="129" t="s">
        <v>5534</v>
      </c>
      <c r="S46" s="129" t="s">
        <v>5501</v>
      </c>
      <c r="T46" s="129" t="s">
        <v>5535</v>
      </c>
    </row>
    <row r="47" spans="1:20" ht="24">
      <c r="A47" s="129" t="s">
        <v>5853</v>
      </c>
      <c r="B47" s="129" t="s">
        <v>5854</v>
      </c>
      <c r="C47" s="129" t="s">
        <v>5855</v>
      </c>
      <c r="D47" s="129" t="s">
        <v>5524</v>
      </c>
      <c r="E47" s="129" t="s">
        <v>5856</v>
      </c>
      <c r="F47" s="129" t="s">
        <v>5857</v>
      </c>
      <c r="G47" s="129" t="s">
        <v>5858</v>
      </c>
      <c r="H47" s="129" t="s">
        <v>5859</v>
      </c>
      <c r="I47" s="129" t="s">
        <v>387</v>
      </c>
      <c r="J47" s="129" t="s">
        <v>5528</v>
      </c>
      <c r="K47" s="129" t="s">
        <v>5860</v>
      </c>
      <c r="L47" s="129" t="s">
        <v>5861</v>
      </c>
      <c r="M47" s="129" t="s">
        <v>5862</v>
      </c>
      <c r="N47" s="129">
        <v>2003</v>
      </c>
      <c r="O47" s="129">
        <v>117</v>
      </c>
      <c r="P47" s="129" t="s">
        <v>5618</v>
      </c>
      <c r="Q47" s="129" t="s">
        <v>5863</v>
      </c>
      <c r="R47" s="129" t="s">
        <v>932</v>
      </c>
      <c r="S47" s="129" t="s">
        <v>5864</v>
      </c>
      <c r="T47" s="129" t="s">
        <v>5535</v>
      </c>
    </row>
    <row r="48" spans="1:20" ht="24">
      <c r="A48" s="129" t="s">
        <v>5865</v>
      </c>
      <c r="B48" s="129" t="s">
        <v>5866</v>
      </c>
      <c r="C48" s="129" t="s">
        <v>5867</v>
      </c>
      <c r="D48" s="129" t="s">
        <v>5524</v>
      </c>
      <c r="E48" s="129" t="s">
        <v>5856</v>
      </c>
      <c r="F48" s="129" t="s">
        <v>5868</v>
      </c>
      <c r="G48" s="129" t="s">
        <v>5858</v>
      </c>
      <c r="H48" s="129" t="s">
        <v>5781</v>
      </c>
      <c r="I48" s="129" t="s">
        <v>387</v>
      </c>
      <c r="J48" s="129" t="s">
        <v>5869</v>
      </c>
      <c r="K48" s="129" t="s">
        <v>5860</v>
      </c>
      <c r="L48" s="129" t="s">
        <v>5861</v>
      </c>
      <c r="M48" s="129" t="s">
        <v>5870</v>
      </c>
      <c r="N48" s="129"/>
      <c r="O48" s="129">
        <v>124</v>
      </c>
      <c r="P48" s="129" t="s">
        <v>5618</v>
      </c>
      <c r="Q48" s="129" t="s">
        <v>5871</v>
      </c>
      <c r="R48" s="129" t="s">
        <v>932</v>
      </c>
      <c r="S48" s="129" t="s">
        <v>5864</v>
      </c>
      <c r="T48" s="129" t="s">
        <v>5535</v>
      </c>
    </row>
  </sheetData>
  <mergeCells count="2">
    <mergeCell ref="A1:T1"/>
    <mergeCell ref="A3:T3"/>
  </mergeCell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67"/>
  <sheetViews>
    <sheetView workbookViewId="0">
      <selection sqref="A1:T1"/>
    </sheetView>
  </sheetViews>
  <sheetFormatPr baseColWidth="10" defaultColWidth="9" defaultRowHeight="14.25"/>
  <cols>
    <col min="1" max="2" width="12" customWidth="1"/>
    <col min="3" max="3" width="22" customWidth="1"/>
    <col min="4" max="4" width="38" customWidth="1"/>
    <col min="5" max="5" width="24" customWidth="1"/>
    <col min="6" max="6" width="16" customWidth="1"/>
    <col min="7" max="7" width="10" customWidth="1"/>
    <col min="8" max="8" width="12" customWidth="1"/>
    <col min="9" max="9" width="28" customWidth="1"/>
    <col min="10" max="10" width="40" customWidth="1"/>
    <col min="11" max="11" width="9" customWidth="1"/>
    <col min="12" max="12" width="10" customWidth="1"/>
    <col min="13" max="13" width="20" customWidth="1"/>
    <col min="14" max="14" width="24" customWidth="1"/>
    <col min="15" max="15" width="10" customWidth="1"/>
    <col min="16" max="16" width="16" customWidth="1"/>
    <col min="17" max="17" width="40" customWidth="1"/>
    <col min="18" max="18" width="28" customWidth="1"/>
    <col min="19" max="19" width="38" customWidth="1"/>
    <col min="20" max="20" width="28" customWidth="1"/>
  </cols>
  <sheetData>
    <row r="1" spans="1:20" ht="18">
      <c r="A1" s="293" t="s">
        <v>5872</v>
      </c>
      <c r="B1" s="293"/>
      <c r="C1" s="293"/>
      <c r="D1" s="293"/>
      <c r="E1" s="293"/>
      <c r="F1" s="293"/>
      <c r="G1" s="293"/>
      <c r="H1" s="293"/>
      <c r="I1" s="293"/>
      <c r="J1" s="293"/>
      <c r="K1" s="293"/>
      <c r="L1" s="293"/>
      <c r="M1" s="293"/>
      <c r="N1" s="293"/>
      <c r="O1" s="293"/>
      <c r="P1" s="293"/>
      <c r="Q1" s="293"/>
      <c r="R1" s="293"/>
      <c r="S1" s="293"/>
      <c r="T1" s="293"/>
    </row>
    <row r="3" spans="1:20">
      <c r="A3" s="294" t="s">
        <v>5873</v>
      </c>
      <c r="B3" s="294"/>
      <c r="C3" s="294"/>
      <c r="D3" s="294"/>
      <c r="E3" s="294"/>
      <c r="F3" s="294"/>
      <c r="G3" s="294"/>
      <c r="H3" s="294"/>
      <c r="I3" s="294"/>
      <c r="J3" s="294"/>
      <c r="K3" s="294"/>
      <c r="L3" s="294"/>
      <c r="M3" s="294"/>
      <c r="N3" s="294"/>
      <c r="O3" s="294"/>
      <c r="P3" s="294"/>
      <c r="Q3" s="294"/>
      <c r="R3" s="294"/>
      <c r="S3" s="294"/>
      <c r="T3" s="294"/>
    </row>
    <row r="5" spans="1:20">
      <c r="A5" s="122" t="s">
        <v>5430</v>
      </c>
      <c r="B5" s="122" t="s">
        <v>5431</v>
      </c>
      <c r="C5" s="123" t="s">
        <v>5432</v>
      </c>
      <c r="D5" s="122" t="s">
        <v>964</v>
      </c>
      <c r="E5" s="122" t="s">
        <v>5433</v>
      </c>
      <c r="F5" s="122" t="s">
        <v>5434</v>
      </c>
      <c r="G5" s="122" t="s">
        <v>979</v>
      </c>
      <c r="H5" s="122" t="s">
        <v>1100</v>
      </c>
      <c r="I5" s="122" t="s">
        <v>1317</v>
      </c>
      <c r="J5" s="122" t="s">
        <v>4716</v>
      </c>
    </row>
    <row r="7" spans="1:20">
      <c r="A7" s="128" t="s">
        <v>5874</v>
      </c>
      <c r="B7" s="128" t="s">
        <v>5514</v>
      </c>
      <c r="C7" s="128" t="s">
        <v>5875</v>
      </c>
      <c r="D7" s="128" t="s">
        <v>215</v>
      </c>
      <c r="E7" s="128" t="s">
        <v>5517</v>
      </c>
      <c r="F7" s="128" t="s">
        <v>32</v>
      </c>
      <c r="G7" s="128" t="s">
        <v>39</v>
      </c>
      <c r="H7" s="128" t="s">
        <v>156</v>
      </c>
      <c r="I7" s="128" t="s">
        <v>5117</v>
      </c>
      <c r="J7" s="128" t="s">
        <v>350</v>
      </c>
      <c r="K7" s="128" t="s">
        <v>194</v>
      </c>
      <c r="L7" s="128" t="s">
        <v>5519</v>
      </c>
      <c r="M7" s="128" t="s">
        <v>5876</v>
      </c>
      <c r="N7" s="128" t="s">
        <v>113</v>
      </c>
      <c r="O7" s="128" t="s">
        <v>5520</v>
      </c>
      <c r="P7" s="128" t="s">
        <v>5877</v>
      </c>
      <c r="Q7" s="128" t="s">
        <v>5878</v>
      </c>
      <c r="R7" s="128" t="s">
        <v>5483</v>
      </c>
      <c r="S7" s="128" t="s">
        <v>5440</v>
      </c>
      <c r="T7" s="128" t="s">
        <v>5054</v>
      </c>
    </row>
    <row r="8" spans="1:20" ht="36">
      <c r="A8" s="129" t="s">
        <v>5879</v>
      </c>
      <c r="B8" s="129" t="s">
        <v>5880</v>
      </c>
      <c r="C8" s="129" t="s">
        <v>5466</v>
      </c>
      <c r="D8" s="129" t="s">
        <v>5881</v>
      </c>
      <c r="E8" s="129" t="s">
        <v>5882</v>
      </c>
      <c r="F8" s="129" t="s">
        <v>212</v>
      </c>
      <c r="G8" s="129" t="s">
        <v>387</v>
      </c>
      <c r="H8" s="129" t="s">
        <v>5883</v>
      </c>
      <c r="I8" s="129" t="s">
        <v>5884</v>
      </c>
      <c r="J8" s="129" t="s">
        <v>5885</v>
      </c>
      <c r="K8" s="129">
        <v>1981</v>
      </c>
      <c r="L8" s="129">
        <v>15</v>
      </c>
      <c r="M8" s="129" t="s">
        <v>5886</v>
      </c>
      <c r="N8" s="129" t="s">
        <v>5533</v>
      </c>
      <c r="O8" s="129" t="s">
        <v>5534</v>
      </c>
      <c r="P8" s="129"/>
      <c r="Q8" s="129" t="s">
        <v>5887</v>
      </c>
      <c r="R8" s="129" t="s">
        <v>5551</v>
      </c>
      <c r="S8" s="129" t="s">
        <v>5888</v>
      </c>
      <c r="T8" s="129" t="s">
        <v>5889</v>
      </c>
    </row>
    <row r="9" spans="1:20" ht="48">
      <c r="A9" s="129" t="s">
        <v>5890</v>
      </c>
      <c r="B9" s="129" t="s">
        <v>5891</v>
      </c>
      <c r="C9" s="129" t="s">
        <v>5466</v>
      </c>
      <c r="D9" s="129" t="s">
        <v>5892</v>
      </c>
      <c r="E9" s="129" t="s">
        <v>5882</v>
      </c>
      <c r="F9" s="129" t="s">
        <v>212</v>
      </c>
      <c r="G9" s="129" t="s">
        <v>387</v>
      </c>
      <c r="H9" s="129" t="s">
        <v>5883</v>
      </c>
      <c r="I9" s="129" t="s">
        <v>5884</v>
      </c>
      <c r="J9" s="129" t="s">
        <v>5893</v>
      </c>
      <c r="K9" s="129">
        <v>1984</v>
      </c>
      <c r="L9" s="129">
        <v>16</v>
      </c>
      <c r="M9" s="129" t="s">
        <v>5886</v>
      </c>
      <c r="N9" s="129" t="s">
        <v>5533</v>
      </c>
      <c r="O9" s="129" t="s">
        <v>5534</v>
      </c>
      <c r="P9" s="129"/>
      <c r="Q9" s="129" t="s">
        <v>5887</v>
      </c>
      <c r="R9" s="129" t="s">
        <v>5894</v>
      </c>
      <c r="S9" s="129" t="s">
        <v>5888</v>
      </c>
      <c r="T9" s="129" t="s">
        <v>5889</v>
      </c>
    </row>
    <row r="10" spans="1:20" ht="48">
      <c r="A10" s="129" t="s">
        <v>5895</v>
      </c>
      <c r="B10" s="129" t="s">
        <v>5896</v>
      </c>
      <c r="C10" s="129" t="s">
        <v>5466</v>
      </c>
      <c r="D10" s="129" t="s">
        <v>5897</v>
      </c>
      <c r="E10" s="129" t="s">
        <v>5882</v>
      </c>
      <c r="F10" s="129" t="s">
        <v>212</v>
      </c>
      <c r="G10" s="129" t="s">
        <v>387</v>
      </c>
      <c r="H10" s="129" t="s">
        <v>5883</v>
      </c>
      <c r="I10" s="129" t="s">
        <v>5884</v>
      </c>
      <c r="J10" s="129" t="s">
        <v>5898</v>
      </c>
      <c r="K10" s="129">
        <v>2008</v>
      </c>
      <c r="L10" s="129">
        <v>21</v>
      </c>
      <c r="M10" s="129" t="s">
        <v>5899</v>
      </c>
      <c r="N10" s="129" t="s">
        <v>5533</v>
      </c>
      <c r="O10" s="129" t="s">
        <v>5534</v>
      </c>
      <c r="P10" s="129"/>
      <c r="Q10" s="129" t="s">
        <v>5887</v>
      </c>
      <c r="R10" s="129" t="s">
        <v>5894</v>
      </c>
      <c r="S10" s="129" t="s">
        <v>5888</v>
      </c>
      <c r="T10" s="129" t="s">
        <v>5889</v>
      </c>
    </row>
    <row r="11" spans="1:20" ht="24">
      <c r="A11" s="129" t="s">
        <v>5900</v>
      </c>
      <c r="B11" s="129" t="s">
        <v>5901</v>
      </c>
      <c r="C11" s="129" t="s">
        <v>5441</v>
      </c>
      <c r="D11" s="129" t="s">
        <v>5902</v>
      </c>
      <c r="E11" s="129" t="s">
        <v>5903</v>
      </c>
      <c r="F11" s="129" t="s">
        <v>5904</v>
      </c>
      <c r="G11" s="129" t="s">
        <v>40</v>
      </c>
      <c r="H11" s="129" t="s">
        <v>5883</v>
      </c>
      <c r="I11" s="129" t="s">
        <v>5884</v>
      </c>
      <c r="J11" s="129" t="s">
        <v>5905</v>
      </c>
      <c r="K11" s="129">
        <v>2019</v>
      </c>
      <c r="L11" s="129">
        <v>45</v>
      </c>
      <c r="M11" s="129" t="s">
        <v>5906</v>
      </c>
      <c r="N11" s="129" t="s">
        <v>5907</v>
      </c>
      <c r="O11" s="129" t="s">
        <v>5534</v>
      </c>
      <c r="P11" s="129"/>
      <c r="Q11" s="129" t="s">
        <v>5887</v>
      </c>
      <c r="R11" s="129" t="s">
        <v>5576</v>
      </c>
      <c r="S11" s="129" t="s">
        <v>5888</v>
      </c>
      <c r="T11" s="129" t="s">
        <v>5889</v>
      </c>
    </row>
    <row r="12" spans="1:20" ht="24">
      <c r="A12" s="129" t="s">
        <v>5908</v>
      </c>
      <c r="B12" s="129" t="s">
        <v>5909</v>
      </c>
      <c r="C12" s="129" t="s">
        <v>5441</v>
      </c>
      <c r="D12" s="129" t="s">
        <v>5910</v>
      </c>
      <c r="E12" s="129" t="s">
        <v>5903</v>
      </c>
      <c r="F12" s="129" t="s">
        <v>5904</v>
      </c>
      <c r="G12" s="129" t="s">
        <v>40</v>
      </c>
      <c r="H12" s="129" t="s">
        <v>5883</v>
      </c>
      <c r="I12" s="129" t="s">
        <v>5884</v>
      </c>
      <c r="J12" s="129" t="s">
        <v>5911</v>
      </c>
      <c r="K12" s="129">
        <v>2009</v>
      </c>
      <c r="L12" s="129">
        <v>45</v>
      </c>
      <c r="M12" s="129" t="s">
        <v>5906</v>
      </c>
      <c r="N12" s="129" t="s">
        <v>5907</v>
      </c>
      <c r="O12" s="129" t="s">
        <v>5534</v>
      </c>
      <c r="P12" s="129" t="s">
        <v>5912</v>
      </c>
      <c r="Q12" s="129" t="s">
        <v>5913</v>
      </c>
      <c r="R12" s="129" t="s">
        <v>5576</v>
      </c>
      <c r="S12" s="129" t="s">
        <v>5888</v>
      </c>
      <c r="T12" s="129" t="s">
        <v>5889</v>
      </c>
    </row>
    <row r="13" spans="1:20" ht="24">
      <c r="A13" s="129" t="s">
        <v>5914</v>
      </c>
      <c r="B13" s="129" t="s">
        <v>5915</v>
      </c>
      <c r="C13" s="129" t="s">
        <v>5441</v>
      </c>
      <c r="D13" s="129" t="s">
        <v>5916</v>
      </c>
      <c r="E13" s="129" t="s">
        <v>5903</v>
      </c>
      <c r="F13" s="129" t="s">
        <v>5904</v>
      </c>
      <c r="G13" s="129" t="s">
        <v>40</v>
      </c>
      <c r="H13" s="129" t="s">
        <v>5883</v>
      </c>
      <c r="I13" s="129" t="s">
        <v>5884</v>
      </c>
      <c r="J13" s="129" t="s">
        <v>5911</v>
      </c>
      <c r="K13" s="129">
        <v>2009</v>
      </c>
      <c r="L13" s="129">
        <v>46</v>
      </c>
      <c r="M13" s="129" t="s">
        <v>5906</v>
      </c>
      <c r="N13" s="129" t="s">
        <v>5907</v>
      </c>
      <c r="O13" s="129" t="s">
        <v>5534</v>
      </c>
      <c r="P13" s="129"/>
      <c r="Q13" s="129" t="s">
        <v>5887</v>
      </c>
      <c r="R13" s="129" t="s">
        <v>5576</v>
      </c>
      <c r="S13" s="129" t="s">
        <v>5888</v>
      </c>
      <c r="T13" s="129" t="s">
        <v>5889</v>
      </c>
    </row>
    <row r="14" spans="1:20" ht="24">
      <c r="A14" s="129" t="s">
        <v>5917</v>
      </c>
      <c r="B14" s="129" t="s">
        <v>5918</v>
      </c>
      <c r="C14" s="129" t="s">
        <v>5447</v>
      </c>
      <c r="D14" s="129" t="s">
        <v>5919</v>
      </c>
      <c r="E14" s="129" t="s">
        <v>5920</v>
      </c>
      <c r="F14" s="129" t="s">
        <v>5921</v>
      </c>
      <c r="G14" s="129" t="s">
        <v>387</v>
      </c>
      <c r="H14" s="129" t="s">
        <v>5883</v>
      </c>
      <c r="I14" s="129" t="s">
        <v>5884</v>
      </c>
      <c r="J14" s="129" t="s">
        <v>5922</v>
      </c>
      <c r="K14" s="129">
        <v>2012</v>
      </c>
      <c r="L14" s="129">
        <v>49</v>
      </c>
      <c r="M14" s="129" t="s">
        <v>5906</v>
      </c>
      <c r="N14" s="129" t="s">
        <v>5907</v>
      </c>
      <c r="O14" s="129" t="s">
        <v>5534</v>
      </c>
      <c r="P14" s="129"/>
      <c r="Q14" s="129" t="s">
        <v>5887</v>
      </c>
      <c r="R14" s="129" t="s">
        <v>5459</v>
      </c>
      <c r="S14" s="129" t="s">
        <v>5888</v>
      </c>
      <c r="T14" s="129" t="s">
        <v>5889</v>
      </c>
    </row>
    <row r="15" spans="1:20" ht="24">
      <c r="A15" s="129" t="s">
        <v>5923</v>
      </c>
      <c r="B15" s="129" t="s">
        <v>5924</v>
      </c>
      <c r="C15" s="129" t="s">
        <v>5447</v>
      </c>
      <c r="D15" s="129" t="s">
        <v>5925</v>
      </c>
      <c r="E15" s="129" t="s">
        <v>5920</v>
      </c>
      <c r="F15" s="129" t="s">
        <v>5921</v>
      </c>
      <c r="G15" s="129" t="s">
        <v>387</v>
      </c>
      <c r="H15" s="129" t="s">
        <v>5883</v>
      </c>
      <c r="I15" s="129" t="s">
        <v>5884</v>
      </c>
      <c r="J15" s="129" t="s">
        <v>5926</v>
      </c>
      <c r="K15" s="129">
        <v>2019</v>
      </c>
      <c r="L15" s="129">
        <v>49</v>
      </c>
      <c r="M15" s="129" t="s">
        <v>5899</v>
      </c>
      <c r="N15" s="129" t="s">
        <v>5533</v>
      </c>
      <c r="O15" s="129" t="s">
        <v>5534</v>
      </c>
      <c r="P15" s="129"/>
      <c r="Q15" s="129" t="s">
        <v>5887</v>
      </c>
      <c r="R15" s="129" t="s">
        <v>5611</v>
      </c>
      <c r="S15" s="129" t="s">
        <v>5888</v>
      </c>
      <c r="T15" s="129" t="s">
        <v>5889</v>
      </c>
    </row>
    <row r="16" spans="1:20" ht="24">
      <c r="A16" s="129" t="s">
        <v>5927</v>
      </c>
      <c r="B16" s="129" t="s">
        <v>5928</v>
      </c>
      <c r="C16" s="129" t="s">
        <v>5447</v>
      </c>
      <c r="D16" s="129" t="s">
        <v>5929</v>
      </c>
      <c r="E16" s="129" t="s">
        <v>5920</v>
      </c>
      <c r="F16" s="129" t="s">
        <v>5921</v>
      </c>
      <c r="G16" s="129" t="s">
        <v>387</v>
      </c>
      <c r="H16" s="129" t="s">
        <v>5883</v>
      </c>
      <c r="I16" s="129" t="s">
        <v>5884</v>
      </c>
      <c r="J16" s="129" t="s">
        <v>5930</v>
      </c>
      <c r="K16" s="129">
        <v>2014</v>
      </c>
      <c r="L16" s="129">
        <v>50</v>
      </c>
      <c r="M16" s="129" t="s">
        <v>5931</v>
      </c>
      <c r="N16" s="129" t="s">
        <v>5533</v>
      </c>
      <c r="O16" s="129" t="s">
        <v>5534</v>
      </c>
      <c r="P16" s="129"/>
      <c r="Q16" s="129" t="s">
        <v>5887</v>
      </c>
      <c r="R16" s="129" t="s">
        <v>5611</v>
      </c>
      <c r="S16" s="129" t="s">
        <v>5888</v>
      </c>
      <c r="T16" s="129" t="s">
        <v>5889</v>
      </c>
    </row>
    <row r="17" spans="1:20" ht="24">
      <c r="A17" s="129" t="s">
        <v>5932</v>
      </c>
      <c r="B17" s="129" t="s">
        <v>5933</v>
      </c>
      <c r="C17" s="129" t="s">
        <v>5447</v>
      </c>
      <c r="D17" s="129" t="s">
        <v>5934</v>
      </c>
      <c r="E17" s="129" t="s">
        <v>5920</v>
      </c>
      <c r="F17" s="129" t="s">
        <v>5921</v>
      </c>
      <c r="G17" s="129" t="s">
        <v>387</v>
      </c>
      <c r="H17" s="129" t="s">
        <v>5883</v>
      </c>
      <c r="I17" s="129" t="s">
        <v>5884</v>
      </c>
      <c r="J17" s="129" t="s">
        <v>5930</v>
      </c>
      <c r="K17" s="129">
        <v>2014</v>
      </c>
      <c r="L17" s="129">
        <v>51</v>
      </c>
      <c r="M17" s="129" t="s">
        <v>5931</v>
      </c>
      <c r="N17" s="129" t="s">
        <v>5533</v>
      </c>
      <c r="O17" s="129" t="s">
        <v>5534</v>
      </c>
      <c r="P17" s="129"/>
      <c r="Q17" s="129" t="s">
        <v>5887</v>
      </c>
      <c r="R17" s="129" t="s">
        <v>5459</v>
      </c>
      <c r="S17" s="129" t="s">
        <v>5888</v>
      </c>
      <c r="T17" s="129" t="s">
        <v>5889</v>
      </c>
    </row>
    <row r="18" spans="1:20" ht="24">
      <c r="A18" s="129" t="s">
        <v>5935</v>
      </c>
      <c r="B18" s="129" t="s">
        <v>5936</v>
      </c>
      <c r="C18" s="129" t="s">
        <v>5447</v>
      </c>
      <c r="D18" s="129" t="s">
        <v>5937</v>
      </c>
      <c r="E18" s="129" t="s">
        <v>5920</v>
      </c>
      <c r="F18" s="129" t="s">
        <v>5921</v>
      </c>
      <c r="G18" s="129" t="s">
        <v>387</v>
      </c>
      <c r="H18" s="129" t="s">
        <v>5883</v>
      </c>
      <c r="I18" s="129" t="s">
        <v>5884</v>
      </c>
      <c r="J18" s="129" t="s">
        <v>5573</v>
      </c>
      <c r="K18" s="129"/>
      <c r="L18" s="129">
        <v>52</v>
      </c>
      <c r="M18" s="129" t="s">
        <v>5931</v>
      </c>
      <c r="N18" s="129" t="s">
        <v>5600</v>
      </c>
      <c r="O18" s="129" t="s">
        <v>932</v>
      </c>
      <c r="P18" s="129" t="s">
        <v>5938</v>
      </c>
      <c r="Q18" s="129" t="s">
        <v>5939</v>
      </c>
      <c r="R18" s="129" t="s">
        <v>5611</v>
      </c>
      <c r="S18" s="129" t="s">
        <v>5888</v>
      </c>
      <c r="T18" s="129" t="s">
        <v>5889</v>
      </c>
    </row>
    <row r="19" spans="1:20" ht="24">
      <c r="A19" s="129" t="s">
        <v>5940</v>
      </c>
      <c r="B19" s="129" t="s">
        <v>5941</v>
      </c>
      <c r="C19" s="129" t="s">
        <v>5447</v>
      </c>
      <c r="D19" s="129" t="s">
        <v>5942</v>
      </c>
      <c r="E19" s="129" t="s">
        <v>5920</v>
      </c>
      <c r="F19" s="129" t="s">
        <v>5921</v>
      </c>
      <c r="G19" s="129" t="s">
        <v>387</v>
      </c>
      <c r="H19" s="129" t="s">
        <v>5883</v>
      </c>
      <c r="I19" s="129" t="s">
        <v>5884</v>
      </c>
      <c r="J19" s="129" t="s">
        <v>5598</v>
      </c>
      <c r="K19" s="129">
        <v>2018</v>
      </c>
      <c r="L19" s="129">
        <v>53</v>
      </c>
      <c r="M19" s="129" t="s">
        <v>5906</v>
      </c>
      <c r="N19" s="129" t="s">
        <v>5907</v>
      </c>
      <c r="O19" s="129" t="s">
        <v>5534</v>
      </c>
      <c r="P19" s="129"/>
      <c r="Q19" s="129" t="s">
        <v>5887</v>
      </c>
      <c r="R19" s="129" t="s">
        <v>5459</v>
      </c>
      <c r="S19" s="129" t="s">
        <v>5888</v>
      </c>
      <c r="T19" s="129" t="s">
        <v>5889</v>
      </c>
    </row>
    <row r="20" spans="1:20" ht="24">
      <c r="A20" s="129" t="s">
        <v>5943</v>
      </c>
      <c r="B20" s="129" t="s">
        <v>5944</v>
      </c>
      <c r="C20" s="129" t="s">
        <v>5447</v>
      </c>
      <c r="D20" s="129" t="s">
        <v>5945</v>
      </c>
      <c r="E20" s="129" t="s">
        <v>5920</v>
      </c>
      <c r="F20" s="129" t="s">
        <v>5921</v>
      </c>
      <c r="G20" s="129" t="s">
        <v>387</v>
      </c>
      <c r="H20" s="129" t="s">
        <v>5883</v>
      </c>
      <c r="I20" s="129" t="s">
        <v>5884</v>
      </c>
      <c r="J20" s="129" t="s">
        <v>5905</v>
      </c>
      <c r="K20" s="129">
        <v>2019</v>
      </c>
      <c r="L20" s="129">
        <v>56</v>
      </c>
      <c r="M20" s="129" t="s">
        <v>5906</v>
      </c>
      <c r="N20" s="129" t="s">
        <v>5907</v>
      </c>
      <c r="O20" s="129" t="s">
        <v>5534</v>
      </c>
      <c r="P20" s="129"/>
      <c r="Q20" s="129" t="s">
        <v>5887</v>
      </c>
      <c r="R20" s="129" t="s">
        <v>5459</v>
      </c>
      <c r="S20" s="129" t="s">
        <v>5888</v>
      </c>
      <c r="T20" s="129" t="s">
        <v>5889</v>
      </c>
    </row>
    <row r="21" spans="1:20" ht="36">
      <c r="A21" s="129" t="s">
        <v>5946</v>
      </c>
      <c r="B21" s="129" t="s">
        <v>5947</v>
      </c>
      <c r="C21" s="129" t="s">
        <v>5447</v>
      </c>
      <c r="D21" s="129" t="s">
        <v>5948</v>
      </c>
      <c r="E21" s="129" t="s">
        <v>5920</v>
      </c>
      <c r="F21" s="129" t="s">
        <v>5921</v>
      </c>
      <c r="G21" s="129" t="s">
        <v>387</v>
      </c>
      <c r="H21" s="129" t="s">
        <v>5883</v>
      </c>
      <c r="I21" s="129" t="s">
        <v>5884</v>
      </c>
      <c r="J21" s="129" t="s">
        <v>5598</v>
      </c>
      <c r="K21" s="129">
        <v>2018</v>
      </c>
      <c r="L21" s="129">
        <v>57</v>
      </c>
      <c r="M21" s="129" t="s">
        <v>5906</v>
      </c>
      <c r="N21" s="129" t="s">
        <v>5907</v>
      </c>
      <c r="O21" s="129" t="s">
        <v>5534</v>
      </c>
      <c r="P21" s="129" t="s">
        <v>5949</v>
      </c>
      <c r="Q21" s="129" t="s">
        <v>5950</v>
      </c>
      <c r="R21" s="129" t="s">
        <v>5459</v>
      </c>
      <c r="S21" s="129" t="s">
        <v>5888</v>
      </c>
      <c r="T21" s="129" t="s">
        <v>5889</v>
      </c>
    </row>
    <row r="22" spans="1:20" ht="24">
      <c r="A22" s="129" t="s">
        <v>5951</v>
      </c>
      <c r="B22" s="129" t="s">
        <v>5952</v>
      </c>
      <c r="C22" s="129" t="s">
        <v>5447</v>
      </c>
      <c r="D22" s="129" t="s">
        <v>5953</v>
      </c>
      <c r="E22" s="129" t="s">
        <v>5920</v>
      </c>
      <c r="F22" s="129" t="s">
        <v>5921</v>
      </c>
      <c r="G22" s="129" t="s">
        <v>387</v>
      </c>
      <c r="H22" s="129" t="s">
        <v>5883</v>
      </c>
      <c r="I22" s="129" t="s">
        <v>5884</v>
      </c>
      <c r="J22" s="129" t="s">
        <v>5598</v>
      </c>
      <c r="K22" s="129">
        <v>2018</v>
      </c>
      <c r="L22" s="129">
        <v>59</v>
      </c>
      <c r="M22" s="129" t="s">
        <v>5906</v>
      </c>
      <c r="N22" s="129" t="s">
        <v>5907</v>
      </c>
      <c r="O22" s="129" t="s">
        <v>5534</v>
      </c>
      <c r="P22" s="129"/>
      <c r="Q22" s="129" t="s">
        <v>5887</v>
      </c>
      <c r="R22" s="129" t="s">
        <v>5611</v>
      </c>
      <c r="S22" s="129" t="s">
        <v>5888</v>
      </c>
      <c r="T22" s="129" t="s">
        <v>5889</v>
      </c>
    </row>
    <row r="23" spans="1:20" ht="24">
      <c r="A23" s="129" t="s">
        <v>5954</v>
      </c>
      <c r="B23" s="129" t="s">
        <v>5955</v>
      </c>
      <c r="C23" s="129" t="s">
        <v>5447</v>
      </c>
      <c r="D23" s="129" t="s">
        <v>5956</v>
      </c>
      <c r="E23" s="129" t="s">
        <v>5920</v>
      </c>
      <c r="F23" s="129" t="s">
        <v>5921</v>
      </c>
      <c r="G23" s="129" t="s">
        <v>387</v>
      </c>
      <c r="H23" s="129" t="s">
        <v>5883</v>
      </c>
      <c r="I23" s="129" t="s">
        <v>5884</v>
      </c>
      <c r="J23" s="129" t="s">
        <v>5598</v>
      </c>
      <c r="K23" s="129">
        <v>2018</v>
      </c>
      <c r="L23" s="129">
        <v>61</v>
      </c>
      <c r="M23" s="129" t="s">
        <v>5906</v>
      </c>
      <c r="N23" s="129" t="s">
        <v>5600</v>
      </c>
      <c r="O23" s="129" t="s">
        <v>932</v>
      </c>
      <c r="P23" s="129" t="s">
        <v>5957</v>
      </c>
      <c r="Q23" s="129" t="s">
        <v>5958</v>
      </c>
      <c r="R23" s="129" t="s">
        <v>5611</v>
      </c>
      <c r="S23" s="129" t="s">
        <v>5888</v>
      </c>
      <c r="T23" s="129" t="s">
        <v>5889</v>
      </c>
    </row>
    <row r="24" spans="1:20" ht="24">
      <c r="A24" s="129" t="s">
        <v>5959</v>
      </c>
      <c r="B24" s="129" t="s">
        <v>5960</v>
      </c>
      <c r="C24" s="129" t="s">
        <v>5447</v>
      </c>
      <c r="D24" s="129" t="s">
        <v>5961</v>
      </c>
      <c r="E24" s="129" t="s">
        <v>5920</v>
      </c>
      <c r="F24" s="129" t="s">
        <v>5921</v>
      </c>
      <c r="G24" s="129" t="s">
        <v>387</v>
      </c>
      <c r="H24" s="129" t="s">
        <v>5883</v>
      </c>
      <c r="I24" s="129" t="s">
        <v>5884</v>
      </c>
      <c r="J24" s="129" t="s">
        <v>5629</v>
      </c>
      <c r="K24" s="129">
        <v>2008</v>
      </c>
      <c r="L24" s="129">
        <v>62</v>
      </c>
      <c r="M24" s="129" t="s">
        <v>5899</v>
      </c>
      <c r="N24" s="129" t="s">
        <v>5533</v>
      </c>
      <c r="O24" s="129" t="s">
        <v>5534</v>
      </c>
      <c r="P24" s="129"/>
      <c r="Q24" s="129" t="s">
        <v>5887</v>
      </c>
      <c r="R24" s="129" t="s">
        <v>5459</v>
      </c>
      <c r="S24" s="129" t="s">
        <v>5888</v>
      </c>
      <c r="T24" s="129" t="s">
        <v>5889</v>
      </c>
    </row>
    <row r="25" spans="1:20" ht="24">
      <c r="A25" s="129" t="s">
        <v>5962</v>
      </c>
      <c r="B25" s="129" t="s">
        <v>5963</v>
      </c>
      <c r="C25" s="129" t="s">
        <v>5461</v>
      </c>
      <c r="D25" s="129" t="s">
        <v>5964</v>
      </c>
      <c r="E25" s="129" t="s">
        <v>5965</v>
      </c>
      <c r="F25" s="129" t="s">
        <v>5966</v>
      </c>
      <c r="G25" s="129" t="s">
        <v>387</v>
      </c>
      <c r="H25" s="129" t="s">
        <v>5883</v>
      </c>
      <c r="I25" s="129" t="s">
        <v>5884</v>
      </c>
      <c r="J25" s="129" t="s">
        <v>5967</v>
      </c>
      <c r="K25" s="129">
        <v>2004</v>
      </c>
      <c r="L25" s="129">
        <v>66</v>
      </c>
      <c r="M25" s="129" t="s">
        <v>5931</v>
      </c>
      <c r="N25" s="129" t="s">
        <v>5968</v>
      </c>
      <c r="O25" s="129" t="s">
        <v>932</v>
      </c>
      <c r="P25" s="129"/>
      <c r="Q25" s="129" t="s">
        <v>5887</v>
      </c>
      <c r="R25" s="129" t="s">
        <v>5459</v>
      </c>
      <c r="S25" s="129" t="s">
        <v>5888</v>
      </c>
      <c r="T25" s="129" t="s">
        <v>5889</v>
      </c>
    </row>
    <row r="26" spans="1:20" ht="24">
      <c r="A26" s="129" t="s">
        <v>5969</v>
      </c>
      <c r="B26" s="129" t="s">
        <v>5970</v>
      </c>
      <c r="C26" s="129" t="s">
        <v>5461</v>
      </c>
      <c r="D26" s="129" t="s">
        <v>5971</v>
      </c>
      <c r="E26" s="129" t="s">
        <v>5965</v>
      </c>
      <c r="F26" s="129" t="s">
        <v>5966</v>
      </c>
      <c r="G26" s="129" t="s">
        <v>387</v>
      </c>
      <c r="H26" s="129" t="s">
        <v>5883</v>
      </c>
      <c r="I26" s="129" t="s">
        <v>5884</v>
      </c>
      <c r="J26" s="129" t="s">
        <v>5967</v>
      </c>
      <c r="K26" s="129">
        <v>2004</v>
      </c>
      <c r="L26" s="129">
        <v>67</v>
      </c>
      <c r="M26" s="129" t="s">
        <v>5931</v>
      </c>
      <c r="N26" s="129" t="s">
        <v>5968</v>
      </c>
      <c r="O26" s="129" t="s">
        <v>932</v>
      </c>
      <c r="P26" s="129"/>
      <c r="Q26" s="129" t="s">
        <v>5887</v>
      </c>
      <c r="R26" s="129" t="s">
        <v>5459</v>
      </c>
      <c r="S26" s="129" t="s">
        <v>5888</v>
      </c>
      <c r="T26" s="129" t="s">
        <v>5889</v>
      </c>
    </row>
    <row r="27" spans="1:20" ht="24">
      <c r="A27" s="129" t="s">
        <v>5972</v>
      </c>
      <c r="B27" s="129" t="s">
        <v>5973</v>
      </c>
      <c r="C27" s="129" t="s">
        <v>5461</v>
      </c>
      <c r="D27" s="129" t="s">
        <v>5974</v>
      </c>
      <c r="E27" s="129" t="s">
        <v>5965</v>
      </c>
      <c r="F27" s="129" t="s">
        <v>5966</v>
      </c>
      <c r="G27" s="129" t="s">
        <v>387</v>
      </c>
      <c r="H27" s="129" t="s">
        <v>5883</v>
      </c>
      <c r="I27" s="129" t="s">
        <v>5884</v>
      </c>
      <c r="J27" s="129" t="s">
        <v>5598</v>
      </c>
      <c r="K27" s="129"/>
      <c r="L27" s="129">
        <v>67</v>
      </c>
      <c r="M27" s="129" t="s">
        <v>5906</v>
      </c>
      <c r="N27" s="129" t="s">
        <v>5907</v>
      </c>
      <c r="O27" s="129" t="s">
        <v>5534</v>
      </c>
      <c r="P27" s="129"/>
      <c r="Q27" s="129" t="s">
        <v>5887</v>
      </c>
      <c r="R27" s="129" t="s">
        <v>5611</v>
      </c>
      <c r="S27" s="129" t="s">
        <v>5888</v>
      </c>
      <c r="T27" s="129" t="s">
        <v>5889</v>
      </c>
    </row>
    <row r="28" spans="1:20" ht="24">
      <c r="A28" s="129" t="s">
        <v>5975</v>
      </c>
      <c r="B28" s="129" t="s">
        <v>5976</v>
      </c>
      <c r="C28" s="129" t="s">
        <v>5461</v>
      </c>
      <c r="D28" s="129" t="s">
        <v>5977</v>
      </c>
      <c r="E28" s="129" t="s">
        <v>5965</v>
      </c>
      <c r="F28" s="129" t="s">
        <v>5966</v>
      </c>
      <c r="G28" s="129" t="s">
        <v>387</v>
      </c>
      <c r="H28" s="129" t="s">
        <v>5883</v>
      </c>
      <c r="I28" s="129" t="s">
        <v>5884</v>
      </c>
      <c r="J28" s="129" t="s">
        <v>5641</v>
      </c>
      <c r="K28" s="129">
        <v>1988</v>
      </c>
      <c r="L28" s="129">
        <v>70</v>
      </c>
      <c r="M28" s="129" t="s">
        <v>5886</v>
      </c>
      <c r="N28" s="129" t="s">
        <v>5533</v>
      </c>
      <c r="O28" s="129" t="s">
        <v>5534</v>
      </c>
      <c r="P28" s="129"/>
      <c r="Q28" s="129" t="s">
        <v>5887</v>
      </c>
      <c r="R28" s="129" t="s">
        <v>5611</v>
      </c>
      <c r="S28" s="129" t="s">
        <v>5888</v>
      </c>
      <c r="T28" s="129" t="s">
        <v>5889</v>
      </c>
    </row>
    <row r="29" spans="1:20" ht="24">
      <c r="A29" s="129" t="s">
        <v>5978</v>
      </c>
      <c r="B29" s="129" t="s">
        <v>5979</v>
      </c>
      <c r="C29" s="129" t="s">
        <v>5461</v>
      </c>
      <c r="D29" s="129" t="s">
        <v>5980</v>
      </c>
      <c r="E29" s="129" t="s">
        <v>5965</v>
      </c>
      <c r="F29" s="129" t="s">
        <v>5966</v>
      </c>
      <c r="G29" s="129" t="s">
        <v>387</v>
      </c>
      <c r="H29" s="129" t="s">
        <v>5883</v>
      </c>
      <c r="I29" s="129" t="s">
        <v>5884</v>
      </c>
      <c r="J29" s="129" t="s">
        <v>5671</v>
      </c>
      <c r="K29" s="129"/>
      <c r="L29" s="129">
        <v>71</v>
      </c>
      <c r="M29" s="129" t="s">
        <v>5886</v>
      </c>
      <c r="N29" s="129" t="s">
        <v>5533</v>
      </c>
      <c r="O29" s="129" t="s">
        <v>5534</v>
      </c>
      <c r="P29" s="129"/>
      <c r="Q29" s="129" t="s">
        <v>5887</v>
      </c>
      <c r="R29" s="129" t="s">
        <v>5611</v>
      </c>
      <c r="S29" s="129" t="s">
        <v>5888</v>
      </c>
      <c r="T29" s="129" t="s">
        <v>5889</v>
      </c>
    </row>
    <row r="30" spans="1:20" ht="24">
      <c r="A30" s="129" t="s">
        <v>5981</v>
      </c>
      <c r="B30" s="129" t="s">
        <v>5982</v>
      </c>
      <c r="C30" s="129" t="s">
        <v>5461</v>
      </c>
      <c r="D30" s="129" t="s">
        <v>5983</v>
      </c>
      <c r="E30" s="129" t="s">
        <v>5965</v>
      </c>
      <c r="F30" s="129" t="s">
        <v>5966</v>
      </c>
      <c r="G30" s="129" t="s">
        <v>387</v>
      </c>
      <c r="H30" s="129" t="s">
        <v>5883</v>
      </c>
      <c r="I30" s="129" t="s">
        <v>5884</v>
      </c>
      <c r="J30" s="129" t="s">
        <v>5984</v>
      </c>
      <c r="K30" s="129">
        <v>2019</v>
      </c>
      <c r="L30" s="129">
        <v>72</v>
      </c>
      <c r="M30" s="129" t="s">
        <v>5899</v>
      </c>
      <c r="N30" s="129" t="s">
        <v>5533</v>
      </c>
      <c r="O30" s="129" t="s">
        <v>5534</v>
      </c>
      <c r="P30" s="129"/>
      <c r="Q30" s="129" t="s">
        <v>5887</v>
      </c>
      <c r="R30" s="129" t="s">
        <v>5611</v>
      </c>
      <c r="S30" s="129" t="s">
        <v>5888</v>
      </c>
      <c r="T30" s="129" t="s">
        <v>5889</v>
      </c>
    </row>
    <row r="31" spans="1:20" ht="24">
      <c r="A31" s="129" t="s">
        <v>5985</v>
      </c>
      <c r="B31" s="129" t="s">
        <v>5986</v>
      </c>
      <c r="C31" s="129" t="s">
        <v>5461</v>
      </c>
      <c r="D31" s="129" t="s">
        <v>5987</v>
      </c>
      <c r="E31" s="129" t="s">
        <v>5965</v>
      </c>
      <c r="F31" s="129" t="s">
        <v>5966</v>
      </c>
      <c r="G31" s="129" t="s">
        <v>387</v>
      </c>
      <c r="H31" s="129" t="s">
        <v>5883</v>
      </c>
      <c r="I31" s="129" t="s">
        <v>5884</v>
      </c>
      <c r="J31" s="129" t="s">
        <v>5984</v>
      </c>
      <c r="K31" s="129">
        <v>2019</v>
      </c>
      <c r="L31" s="129">
        <v>72</v>
      </c>
      <c r="M31" s="129" t="s">
        <v>5899</v>
      </c>
      <c r="N31" s="129" t="s">
        <v>5533</v>
      </c>
      <c r="O31" s="129" t="s">
        <v>5534</v>
      </c>
      <c r="P31" s="129"/>
      <c r="Q31" s="129" t="s">
        <v>5887</v>
      </c>
      <c r="R31" s="129" t="s">
        <v>5611</v>
      </c>
      <c r="S31" s="129" t="s">
        <v>5888</v>
      </c>
      <c r="T31" s="129" t="s">
        <v>5889</v>
      </c>
    </row>
    <row r="32" spans="1:20" ht="24">
      <c r="A32" s="129" t="s">
        <v>5988</v>
      </c>
      <c r="B32" s="129" t="s">
        <v>5989</v>
      </c>
      <c r="C32" s="129" t="s">
        <v>5461</v>
      </c>
      <c r="D32" s="129" t="s">
        <v>5990</v>
      </c>
      <c r="E32" s="129" t="s">
        <v>5965</v>
      </c>
      <c r="F32" s="129" t="s">
        <v>5966</v>
      </c>
      <c r="G32" s="129" t="s">
        <v>387</v>
      </c>
      <c r="H32" s="129" t="s">
        <v>5883</v>
      </c>
      <c r="I32" s="129" t="s">
        <v>5884</v>
      </c>
      <c r="J32" s="129" t="s">
        <v>5991</v>
      </c>
      <c r="K32" s="129">
        <v>1988</v>
      </c>
      <c r="L32" s="129">
        <v>73</v>
      </c>
      <c r="M32" s="129" t="s">
        <v>5931</v>
      </c>
      <c r="N32" s="129" t="s">
        <v>5533</v>
      </c>
      <c r="O32" s="129" t="s">
        <v>5534</v>
      </c>
      <c r="P32" s="129"/>
      <c r="Q32" s="129" t="s">
        <v>5887</v>
      </c>
      <c r="R32" s="129" t="s">
        <v>5611</v>
      </c>
      <c r="S32" s="129" t="s">
        <v>5888</v>
      </c>
      <c r="T32" s="129" t="s">
        <v>5889</v>
      </c>
    </row>
    <row r="33" spans="1:20" ht="24">
      <c r="A33" s="129" t="s">
        <v>5992</v>
      </c>
      <c r="B33" s="129" t="s">
        <v>5993</v>
      </c>
      <c r="C33" s="129" t="s">
        <v>5466</v>
      </c>
      <c r="D33" s="129" t="s">
        <v>5994</v>
      </c>
      <c r="E33" s="129" t="s">
        <v>5528</v>
      </c>
      <c r="F33" s="129" t="s">
        <v>5995</v>
      </c>
      <c r="G33" s="129" t="s">
        <v>387</v>
      </c>
      <c r="H33" s="129" t="s">
        <v>5883</v>
      </c>
      <c r="I33" s="129" t="s">
        <v>5884</v>
      </c>
      <c r="J33" s="129" t="s">
        <v>5996</v>
      </c>
      <c r="K33" s="129">
        <v>2003</v>
      </c>
      <c r="L33" s="129">
        <v>77</v>
      </c>
      <c r="M33" s="129" t="s">
        <v>5899</v>
      </c>
      <c r="N33" s="129" t="s">
        <v>5600</v>
      </c>
      <c r="O33" s="129" t="s">
        <v>932</v>
      </c>
      <c r="P33" s="129"/>
      <c r="Q33" s="129" t="s">
        <v>5887</v>
      </c>
      <c r="R33" s="129" t="s">
        <v>5576</v>
      </c>
      <c r="S33" s="129" t="s">
        <v>5888</v>
      </c>
      <c r="T33" s="129" t="s">
        <v>5889</v>
      </c>
    </row>
    <row r="34" spans="1:20" ht="24">
      <c r="A34" s="129" t="s">
        <v>5997</v>
      </c>
      <c r="B34" s="129" t="s">
        <v>5998</v>
      </c>
      <c r="C34" s="129" t="s">
        <v>5466</v>
      </c>
      <c r="D34" s="129" t="s">
        <v>5999</v>
      </c>
      <c r="E34" s="129" t="s">
        <v>5528</v>
      </c>
      <c r="F34" s="129" t="s">
        <v>5995</v>
      </c>
      <c r="G34" s="129" t="s">
        <v>387</v>
      </c>
      <c r="H34" s="129" t="s">
        <v>5883</v>
      </c>
      <c r="I34" s="129" t="s">
        <v>5884</v>
      </c>
      <c r="J34" s="129" t="s">
        <v>5684</v>
      </c>
      <c r="K34" s="129">
        <v>1973</v>
      </c>
      <c r="L34" s="129">
        <v>78</v>
      </c>
      <c r="M34" s="129" t="s">
        <v>5886</v>
      </c>
      <c r="N34" s="129" t="s">
        <v>5533</v>
      </c>
      <c r="O34" s="129" t="s">
        <v>5534</v>
      </c>
      <c r="P34" s="129"/>
      <c r="Q34" s="129" t="s">
        <v>5887</v>
      </c>
      <c r="R34" s="129" t="s">
        <v>5576</v>
      </c>
      <c r="S34" s="129" t="s">
        <v>5888</v>
      </c>
      <c r="T34" s="129" t="s">
        <v>5889</v>
      </c>
    </row>
    <row r="35" spans="1:20" ht="24">
      <c r="A35" s="129" t="s">
        <v>6000</v>
      </c>
      <c r="B35" s="129" t="s">
        <v>6001</v>
      </c>
      <c r="C35" s="129" t="s">
        <v>5466</v>
      </c>
      <c r="D35" s="129" t="s">
        <v>6002</v>
      </c>
      <c r="E35" s="129" t="s">
        <v>5528</v>
      </c>
      <c r="F35" s="129" t="s">
        <v>5995</v>
      </c>
      <c r="G35" s="129" t="s">
        <v>387</v>
      </c>
      <c r="H35" s="129" t="s">
        <v>5883</v>
      </c>
      <c r="I35" s="129" t="s">
        <v>5884</v>
      </c>
      <c r="J35" s="129" t="s">
        <v>5531</v>
      </c>
      <c r="K35" s="129">
        <v>1981</v>
      </c>
      <c r="L35" s="129">
        <v>79</v>
      </c>
      <c r="M35" s="129" t="s">
        <v>5886</v>
      </c>
      <c r="N35" s="129" t="s">
        <v>5533</v>
      </c>
      <c r="O35" s="129" t="s">
        <v>5534</v>
      </c>
      <c r="P35" s="129"/>
      <c r="Q35" s="129" t="s">
        <v>5887</v>
      </c>
      <c r="R35" s="129" t="s">
        <v>5576</v>
      </c>
      <c r="S35" s="129" t="s">
        <v>5888</v>
      </c>
      <c r="T35" s="129" t="s">
        <v>5889</v>
      </c>
    </row>
    <row r="36" spans="1:20" ht="24">
      <c r="A36" s="129" t="s">
        <v>6003</v>
      </c>
      <c r="B36" s="129" t="s">
        <v>6004</v>
      </c>
      <c r="C36" s="129" t="s">
        <v>5466</v>
      </c>
      <c r="D36" s="129" t="s">
        <v>6005</v>
      </c>
      <c r="E36" s="129" t="s">
        <v>5528</v>
      </c>
      <c r="F36" s="129" t="s">
        <v>5995</v>
      </c>
      <c r="G36" s="129" t="s">
        <v>387</v>
      </c>
      <c r="H36" s="129" t="s">
        <v>5883</v>
      </c>
      <c r="I36" s="129" t="s">
        <v>5884</v>
      </c>
      <c r="J36" s="129" t="s">
        <v>5684</v>
      </c>
      <c r="K36" s="129">
        <v>1973</v>
      </c>
      <c r="L36" s="129">
        <v>79</v>
      </c>
      <c r="M36" s="129" t="s">
        <v>5886</v>
      </c>
      <c r="N36" s="129" t="s">
        <v>5533</v>
      </c>
      <c r="O36" s="129" t="s">
        <v>5534</v>
      </c>
      <c r="P36" s="129"/>
      <c r="Q36" s="129" t="s">
        <v>5887</v>
      </c>
      <c r="R36" s="129" t="s">
        <v>5576</v>
      </c>
      <c r="S36" s="129" t="s">
        <v>5888</v>
      </c>
      <c r="T36" s="129" t="s">
        <v>5889</v>
      </c>
    </row>
    <row r="37" spans="1:20" ht="24">
      <c r="A37" s="129" t="s">
        <v>6006</v>
      </c>
      <c r="B37" s="129" t="s">
        <v>6007</v>
      </c>
      <c r="C37" s="129" t="s">
        <v>5466</v>
      </c>
      <c r="D37" s="129" t="s">
        <v>6008</v>
      </c>
      <c r="E37" s="129" t="s">
        <v>5528</v>
      </c>
      <c r="F37" s="129" t="s">
        <v>5995</v>
      </c>
      <c r="G37" s="129" t="s">
        <v>387</v>
      </c>
      <c r="H37" s="129" t="s">
        <v>5883</v>
      </c>
      <c r="I37" s="129" t="s">
        <v>5884</v>
      </c>
      <c r="J37" s="129" t="s">
        <v>5561</v>
      </c>
      <c r="K37" s="129">
        <v>2008</v>
      </c>
      <c r="L37" s="129">
        <v>81</v>
      </c>
      <c r="M37" s="129" t="s">
        <v>5899</v>
      </c>
      <c r="N37" s="129" t="s">
        <v>5533</v>
      </c>
      <c r="O37" s="129" t="s">
        <v>5534</v>
      </c>
      <c r="P37" s="129"/>
      <c r="Q37" s="129" t="s">
        <v>5887</v>
      </c>
      <c r="R37" s="129" t="s">
        <v>5576</v>
      </c>
      <c r="S37" s="129" t="s">
        <v>5888</v>
      </c>
      <c r="T37" s="129" t="s">
        <v>5889</v>
      </c>
    </row>
    <row r="38" spans="1:20" ht="24">
      <c r="A38" s="129" t="s">
        <v>6009</v>
      </c>
      <c r="B38" s="129" t="s">
        <v>6010</v>
      </c>
      <c r="C38" s="129" t="s">
        <v>5466</v>
      </c>
      <c r="D38" s="129" t="s">
        <v>6011</v>
      </c>
      <c r="E38" s="129" t="s">
        <v>5528</v>
      </c>
      <c r="F38" s="129" t="s">
        <v>5995</v>
      </c>
      <c r="G38" s="129" t="s">
        <v>387</v>
      </c>
      <c r="H38" s="129" t="s">
        <v>5883</v>
      </c>
      <c r="I38" s="129" t="s">
        <v>5884</v>
      </c>
      <c r="J38" s="129" t="s">
        <v>5561</v>
      </c>
      <c r="K38" s="129">
        <v>2008</v>
      </c>
      <c r="L38" s="129">
        <v>82</v>
      </c>
      <c r="M38" s="129" t="s">
        <v>5899</v>
      </c>
      <c r="N38" s="129" t="s">
        <v>5533</v>
      </c>
      <c r="O38" s="129" t="s">
        <v>5534</v>
      </c>
      <c r="P38" s="129"/>
      <c r="Q38" s="129" t="s">
        <v>5887</v>
      </c>
      <c r="R38" s="129" t="s">
        <v>5576</v>
      </c>
      <c r="S38" s="129" t="s">
        <v>5888</v>
      </c>
      <c r="T38" s="129" t="s">
        <v>5889</v>
      </c>
    </row>
    <row r="39" spans="1:20" ht="24">
      <c r="A39" s="129" t="s">
        <v>6012</v>
      </c>
      <c r="B39" s="129" t="s">
        <v>6013</v>
      </c>
      <c r="C39" s="129" t="s">
        <v>5466</v>
      </c>
      <c r="D39" s="129" t="s">
        <v>6014</v>
      </c>
      <c r="E39" s="129" t="s">
        <v>5528</v>
      </c>
      <c r="F39" s="129" t="s">
        <v>5995</v>
      </c>
      <c r="G39" s="129" t="s">
        <v>387</v>
      </c>
      <c r="H39" s="129" t="s">
        <v>5883</v>
      </c>
      <c r="I39" s="129" t="s">
        <v>5884</v>
      </c>
      <c r="J39" s="129" t="s">
        <v>5561</v>
      </c>
      <c r="K39" s="129">
        <v>2008</v>
      </c>
      <c r="L39" s="129">
        <v>83</v>
      </c>
      <c r="M39" s="129" t="s">
        <v>5899</v>
      </c>
      <c r="N39" s="129" t="s">
        <v>5533</v>
      </c>
      <c r="O39" s="129" t="s">
        <v>5534</v>
      </c>
      <c r="P39" s="129"/>
      <c r="Q39" s="129" t="s">
        <v>5887</v>
      </c>
      <c r="R39" s="129" t="s">
        <v>5576</v>
      </c>
      <c r="S39" s="129" t="s">
        <v>5888</v>
      </c>
      <c r="T39" s="129" t="s">
        <v>5889</v>
      </c>
    </row>
    <row r="40" spans="1:20" ht="24">
      <c r="A40" s="129" t="s">
        <v>6015</v>
      </c>
      <c r="B40" s="129" t="s">
        <v>6016</v>
      </c>
      <c r="C40" s="129" t="s">
        <v>5466</v>
      </c>
      <c r="D40" s="129" t="s">
        <v>6017</v>
      </c>
      <c r="E40" s="129" t="s">
        <v>5528</v>
      </c>
      <c r="F40" s="129" t="s">
        <v>5995</v>
      </c>
      <c r="G40" s="129" t="s">
        <v>387</v>
      </c>
      <c r="H40" s="129" t="s">
        <v>5883</v>
      </c>
      <c r="I40" s="129" t="s">
        <v>5884</v>
      </c>
      <c r="J40" s="129" t="s">
        <v>5561</v>
      </c>
      <c r="K40" s="129">
        <v>2008</v>
      </c>
      <c r="L40" s="129">
        <v>84</v>
      </c>
      <c r="M40" s="129" t="s">
        <v>5899</v>
      </c>
      <c r="N40" s="129" t="s">
        <v>5533</v>
      </c>
      <c r="O40" s="129" t="s">
        <v>5534</v>
      </c>
      <c r="P40" s="129"/>
      <c r="Q40" s="129" t="s">
        <v>5887</v>
      </c>
      <c r="R40" s="129" t="s">
        <v>5576</v>
      </c>
      <c r="S40" s="129" t="s">
        <v>5888</v>
      </c>
      <c r="T40" s="129" t="s">
        <v>5889</v>
      </c>
    </row>
    <row r="41" spans="1:20" ht="24">
      <c r="A41" s="129" t="s">
        <v>6018</v>
      </c>
      <c r="B41" s="129" t="s">
        <v>6019</v>
      </c>
      <c r="C41" s="129" t="s">
        <v>5474</v>
      </c>
      <c r="D41" s="129" t="s">
        <v>6020</v>
      </c>
      <c r="E41" s="129" t="s">
        <v>5528</v>
      </c>
      <c r="F41" s="129" t="s">
        <v>5995</v>
      </c>
      <c r="G41" s="129" t="s">
        <v>387</v>
      </c>
      <c r="H41" s="129" t="s">
        <v>5883</v>
      </c>
      <c r="I41" s="129" t="s">
        <v>5884</v>
      </c>
      <c r="J41" s="129" t="s">
        <v>5561</v>
      </c>
      <c r="K41" s="129">
        <v>2008</v>
      </c>
      <c r="L41" s="129">
        <v>85</v>
      </c>
      <c r="M41" s="129" t="s">
        <v>5899</v>
      </c>
      <c r="N41" s="129" t="s">
        <v>5533</v>
      </c>
      <c r="O41" s="129" t="s">
        <v>5534</v>
      </c>
      <c r="P41" s="129"/>
      <c r="Q41" s="129" t="s">
        <v>5887</v>
      </c>
      <c r="R41" s="129" t="s">
        <v>5576</v>
      </c>
      <c r="S41" s="129" t="s">
        <v>5888</v>
      </c>
      <c r="T41" s="129" t="s">
        <v>5889</v>
      </c>
    </row>
    <row r="42" spans="1:20" ht="24">
      <c r="A42" s="129" t="s">
        <v>6021</v>
      </c>
      <c r="B42" s="129" t="s">
        <v>6022</v>
      </c>
      <c r="C42" s="129" t="s">
        <v>5466</v>
      </c>
      <c r="D42" s="129" t="s">
        <v>6023</v>
      </c>
      <c r="E42" s="129" t="s">
        <v>5528</v>
      </c>
      <c r="F42" s="129" t="s">
        <v>5995</v>
      </c>
      <c r="G42" s="129" t="s">
        <v>387</v>
      </c>
      <c r="H42" s="129" t="s">
        <v>5883</v>
      </c>
      <c r="I42" s="129" t="s">
        <v>5884</v>
      </c>
      <c r="J42" s="129" t="s">
        <v>6024</v>
      </c>
      <c r="K42" s="129">
        <v>1981</v>
      </c>
      <c r="L42" s="129">
        <v>87</v>
      </c>
      <c r="M42" s="129" t="s">
        <v>5886</v>
      </c>
      <c r="N42" s="129" t="s">
        <v>5533</v>
      </c>
      <c r="O42" s="129" t="s">
        <v>5534</v>
      </c>
      <c r="P42" s="129"/>
      <c r="Q42" s="129" t="s">
        <v>5887</v>
      </c>
      <c r="R42" s="129" t="s">
        <v>5576</v>
      </c>
      <c r="S42" s="129" t="s">
        <v>5888</v>
      </c>
      <c r="T42" s="129" t="s">
        <v>5889</v>
      </c>
    </row>
    <row r="43" spans="1:20" ht="24">
      <c r="A43" s="129" t="s">
        <v>6025</v>
      </c>
      <c r="B43" s="129" t="s">
        <v>6026</v>
      </c>
      <c r="C43" s="129" t="s">
        <v>5466</v>
      </c>
      <c r="D43" s="129" t="s">
        <v>6027</v>
      </c>
      <c r="E43" s="129" t="s">
        <v>5528</v>
      </c>
      <c r="F43" s="129" t="s">
        <v>5995</v>
      </c>
      <c r="G43" s="129" t="s">
        <v>387</v>
      </c>
      <c r="H43" s="129" t="s">
        <v>5883</v>
      </c>
      <c r="I43" s="129" t="s">
        <v>5884</v>
      </c>
      <c r="J43" s="129" t="s">
        <v>5561</v>
      </c>
      <c r="K43" s="129">
        <v>2008</v>
      </c>
      <c r="L43" s="129">
        <v>88</v>
      </c>
      <c r="M43" s="129" t="s">
        <v>5899</v>
      </c>
      <c r="N43" s="129" t="s">
        <v>5533</v>
      </c>
      <c r="O43" s="129" t="s">
        <v>5534</v>
      </c>
      <c r="P43" s="129"/>
      <c r="Q43" s="129" t="s">
        <v>5887</v>
      </c>
      <c r="R43" s="129" t="s">
        <v>5576</v>
      </c>
      <c r="S43" s="129" t="s">
        <v>5888</v>
      </c>
      <c r="T43" s="129" t="s">
        <v>5889</v>
      </c>
    </row>
    <row r="44" spans="1:20" ht="24">
      <c r="A44" s="129" t="s">
        <v>6028</v>
      </c>
      <c r="B44" s="129" t="s">
        <v>6029</v>
      </c>
      <c r="C44" s="129" t="s">
        <v>5466</v>
      </c>
      <c r="D44" s="129" t="s">
        <v>6030</v>
      </c>
      <c r="E44" s="129" t="s">
        <v>5528</v>
      </c>
      <c r="F44" s="129" t="s">
        <v>5995</v>
      </c>
      <c r="G44" s="129" t="s">
        <v>387</v>
      </c>
      <c r="H44" s="129" t="s">
        <v>5883</v>
      </c>
      <c r="I44" s="129" t="s">
        <v>5884</v>
      </c>
      <c r="J44" s="129" t="s">
        <v>5561</v>
      </c>
      <c r="K44" s="129">
        <v>2008</v>
      </c>
      <c r="L44" s="129">
        <v>89</v>
      </c>
      <c r="M44" s="129" t="s">
        <v>5899</v>
      </c>
      <c r="N44" s="129" t="s">
        <v>5533</v>
      </c>
      <c r="O44" s="129" t="s">
        <v>5534</v>
      </c>
      <c r="P44" s="129"/>
      <c r="Q44" s="129" t="s">
        <v>5887</v>
      </c>
      <c r="R44" s="129" t="s">
        <v>5487</v>
      </c>
      <c r="S44" s="129" t="s">
        <v>5888</v>
      </c>
      <c r="T44" s="129" t="s">
        <v>5889</v>
      </c>
    </row>
    <row r="45" spans="1:20" ht="24">
      <c r="A45" s="129" t="s">
        <v>6031</v>
      </c>
      <c r="B45" s="129" t="s">
        <v>6032</v>
      </c>
      <c r="C45" s="129" t="s">
        <v>5466</v>
      </c>
      <c r="D45" s="129" t="s">
        <v>6033</v>
      </c>
      <c r="E45" s="129" t="s">
        <v>5528</v>
      </c>
      <c r="F45" s="129" t="s">
        <v>5995</v>
      </c>
      <c r="G45" s="129" t="s">
        <v>387</v>
      </c>
      <c r="H45" s="129" t="s">
        <v>5883</v>
      </c>
      <c r="I45" s="129" t="s">
        <v>5884</v>
      </c>
      <c r="J45" s="129" t="s">
        <v>6034</v>
      </c>
      <c r="K45" s="129">
        <v>2017</v>
      </c>
      <c r="L45" s="129">
        <v>90</v>
      </c>
      <c r="M45" s="129" t="s">
        <v>5906</v>
      </c>
      <c r="N45" s="129" t="s">
        <v>5907</v>
      </c>
      <c r="O45" s="129" t="s">
        <v>5534</v>
      </c>
      <c r="P45" s="129"/>
      <c r="Q45" s="129" t="s">
        <v>5887</v>
      </c>
      <c r="R45" s="129" t="s">
        <v>5576</v>
      </c>
      <c r="S45" s="129" t="s">
        <v>5888</v>
      </c>
      <c r="T45" s="129" t="s">
        <v>5889</v>
      </c>
    </row>
    <row r="46" spans="1:20" ht="24">
      <c r="A46" s="129" t="s">
        <v>6035</v>
      </c>
      <c r="B46" s="129" t="s">
        <v>6036</v>
      </c>
      <c r="C46" s="129" t="s">
        <v>5466</v>
      </c>
      <c r="D46" s="129" t="s">
        <v>6037</v>
      </c>
      <c r="E46" s="129" t="s">
        <v>5528</v>
      </c>
      <c r="F46" s="129" t="s">
        <v>5995</v>
      </c>
      <c r="G46" s="129" t="s">
        <v>387</v>
      </c>
      <c r="H46" s="129" t="s">
        <v>5883</v>
      </c>
      <c r="I46" s="129" t="s">
        <v>5884</v>
      </c>
      <c r="J46" s="129" t="s">
        <v>5740</v>
      </c>
      <c r="K46" s="129">
        <v>1989</v>
      </c>
      <c r="L46" s="129">
        <v>90</v>
      </c>
      <c r="M46" s="129" t="s">
        <v>5886</v>
      </c>
      <c r="N46" s="129" t="s">
        <v>5533</v>
      </c>
      <c r="O46" s="129" t="s">
        <v>5534</v>
      </c>
      <c r="P46" s="129"/>
      <c r="Q46" s="129" t="s">
        <v>5887</v>
      </c>
      <c r="R46" s="129" t="s">
        <v>5576</v>
      </c>
      <c r="S46" s="129" t="s">
        <v>5888</v>
      </c>
      <c r="T46" s="129" t="s">
        <v>5889</v>
      </c>
    </row>
    <row r="47" spans="1:20" ht="24">
      <c r="A47" s="129" t="s">
        <v>6038</v>
      </c>
      <c r="B47" s="129" t="s">
        <v>6039</v>
      </c>
      <c r="C47" s="129" t="s">
        <v>5466</v>
      </c>
      <c r="D47" s="129" t="s">
        <v>6040</v>
      </c>
      <c r="E47" s="129" t="s">
        <v>5528</v>
      </c>
      <c r="F47" s="129" t="s">
        <v>5995</v>
      </c>
      <c r="G47" s="129" t="s">
        <v>387</v>
      </c>
      <c r="H47" s="129" t="s">
        <v>5883</v>
      </c>
      <c r="I47" s="129" t="s">
        <v>5884</v>
      </c>
      <c r="J47" s="129" t="s">
        <v>5996</v>
      </c>
      <c r="K47" s="129"/>
      <c r="L47" s="129">
        <v>91</v>
      </c>
      <c r="M47" s="129" t="s">
        <v>5899</v>
      </c>
      <c r="N47" s="129" t="s">
        <v>5600</v>
      </c>
      <c r="O47" s="129" t="s">
        <v>932</v>
      </c>
      <c r="P47" s="129"/>
      <c r="Q47" s="129" t="s">
        <v>5887</v>
      </c>
      <c r="R47" s="129" t="s">
        <v>5576</v>
      </c>
      <c r="S47" s="129" t="s">
        <v>5888</v>
      </c>
      <c r="T47" s="129" t="s">
        <v>5889</v>
      </c>
    </row>
    <row r="48" spans="1:20" ht="24">
      <c r="A48" s="129" t="s">
        <v>6041</v>
      </c>
      <c r="B48" s="129" t="s">
        <v>6042</v>
      </c>
      <c r="C48" s="129" t="s">
        <v>5466</v>
      </c>
      <c r="D48" s="129" t="s">
        <v>6043</v>
      </c>
      <c r="E48" s="129" t="s">
        <v>5528</v>
      </c>
      <c r="F48" s="129" t="s">
        <v>5995</v>
      </c>
      <c r="G48" s="129" t="s">
        <v>387</v>
      </c>
      <c r="H48" s="129" t="s">
        <v>5883</v>
      </c>
      <c r="I48" s="129" t="s">
        <v>5884</v>
      </c>
      <c r="J48" s="129" t="s">
        <v>5749</v>
      </c>
      <c r="K48" s="129"/>
      <c r="L48" s="129">
        <v>92</v>
      </c>
      <c r="M48" s="129" t="s">
        <v>5899</v>
      </c>
      <c r="N48" s="129" t="s">
        <v>5533</v>
      </c>
      <c r="O48" s="129" t="s">
        <v>5534</v>
      </c>
      <c r="P48" s="129"/>
      <c r="Q48" s="129" t="s">
        <v>5887</v>
      </c>
      <c r="R48" s="129" t="s">
        <v>5576</v>
      </c>
      <c r="S48" s="129" t="s">
        <v>5888</v>
      </c>
      <c r="T48" s="129" t="s">
        <v>5889</v>
      </c>
    </row>
    <row r="49" spans="1:20" ht="24">
      <c r="A49" s="129" t="s">
        <v>6044</v>
      </c>
      <c r="B49" s="129" t="s">
        <v>6045</v>
      </c>
      <c r="C49" s="129" t="s">
        <v>5466</v>
      </c>
      <c r="D49" s="129" t="s">
        <v>6046</v>
      </c>
      <c r="E49" s="129" t="s">
        <v>5528</v>
      </c>
      <c r="F49" s="129" t="s">
        <v>5995</v>
      </c>
      <c r="G49" s="129" t="s">
        <v>387</v>
      </c>
      <c r="H49" s="129" t="s">
        <v>5883</v>
      </c>
      <c r="I49" s="129" t="s">
        <v>5884</v>
      </c>
      <c r="J49" s="129" t="s">
        <v>5758</v>
      </c>
      <c r="K49" s="129">
        <v>1974</v>
      </c>
      <c r="L49" s="129">
        <v>93</v>
      </c>
      <c r="M49" s="129" t="s">
        <v>5886</v>
      </c>
      <c r="N49" s="129" t="s">
        <v>5533</v>
      </c>
      <c r="O49" s="129" t="s">
        <v>5534</v>
      </c>
      <c r="P49" s="129"/>
      <c r="Q49" s="129" t="s">
        <v>5887</v>
      </c>
      <c r="R49" s="129" t="s">
        <v>5576</v>
      </c>
      <c r="S49" s="129" t="s">
        <v>5888</v>
      </c>
      <c r="T49" s="129" t="s">
        <v>5889</v>
      </c>
    </row>
    <row r="50" spans="1:20" ht="24">
      <c r="A50" s="129" t="s">
        <v>6047</v>
      </c>
      <c r="B50" s="129" t="s">
        <v>6048</v>
      </c>
      <c r="C50" s="129" t="s">
        <v>5466</v>
      </c>
      <c r="D50" s="129" t="s">
        <v>6049</v>
      </c>
      <c r="E50" s="129" t="s">
        <v>5528</v>
      </c>
      <c r="F50" s="129" t="s">
        <v>5995</v>
      </c>
      <c r="G50" s="129" t="s">
        <v>387</v>
      </c>
      <c r="H50" s="129" t="s">
        <v>5883</v>
      </c>
      <c r="I50" s="129" t="s">
        <v>5884</v>
      </c>
      <c r="J50" s="129" t="s">
        <v>5991</v>
      </c>
      <c r="K50" s="129">
        <v>1988</v>
      </c>
      <c r="L50" s="129">
        <v>94</v>
      </c>
      <c r="M50" s="129" t="s">
        <v>5931</v>
      </c>
      <c r="N50" s="129" t="s">
        <v>5533</v>
      </c>
      <c r="O50" s="129" t="s">
        <v>5534</v>
      </c>
      <c r="P50" s="129"/>
      <c r="Q50" s="129" t="s">
        <v>5887</v>
      </c>
      <c r="R50" s="129" t="s">
        <v>5576</v>
      </c>
      <c r="S50" s="129" t="s">
        <v>5888</v>
      </c>
      <c r="T50" s="129" t="s">
        <v>5889</v>
      </c>
    </row>
    <row r="51" spans="1:20" ht="24">
      <c r="A51" s="129" t="s">
        <v>6050</v>
      </c>
      <c r="B51" s="129" t="s">
        <v>6051</v>
      </c>
      <c r="C51" s="129" t="s">
        <v>5470</v>
      </c>
      <c r="D51" s="129" t="s">
        <v>6052</v>
      </c>
      <c r="E51" s="129" t="s">
        <v>5781</v>
      </c>
      <c r="F51" s="129" t="s">
        <v>6053</v>
      </c>
      <c r="G51" s="129" t="s">
        <v>387</v>
      </c>
      <c r="H51" s="129" t="s">
        <v>5883</v>
      </c>
      <c r="I51" s="129" t="s">
        <v>5884</v>
      </c>
      <c r="J51" s="129" t="s">
        <v>6054</v>
      </c>
      <c r="K51" s="129">
        <v>2019</v>
      </c>
      <c r="L51" s="129">
        <v>95</v>
      </c>
      <c r="M51" s="129" t="s">
        <v>5906</v>
      </c>
      <c r="N51" s="129" t="s">
        <v>5600</v>
      </c>
      <c r="O51" s="129" t="s">
        <v>932</v>
      </c>
      <c r="P51" s="129" t="s">
        <v>6055</v>
      </c>
      <c r="Q51" s="129" t="s">
        <v>6056</v>
      </c>
      <c r="R51" s="129" t="s">
        <v>5576</v>
      </c>
      <c r="S51" s="129" t="s">
        <v>5888</v>
      </c>
      <c r="T51" s="129" t="s">
        <v>5889</v>
      </c>
    </row>
    <row r="52" spans="1:20" ht="24">
      <c r="A52" s="129" t="s">
        <v>6057</v>
      </c>
      <c r="B52" s="129" t="s">
        <v>6058</v>
      </c>
      <c r="C52" s="129" t="s">
        <v>5466</v>
      </c>
      <c r="D52" s="129" t="s">
        <v>6059</v>
      </c>
      <c r="E52" s="129" t="s">
        <v>5781</v>
      </c>
      <c r="F52" s="129" t="s">
        <v>6053</v>
      </c>
      <c r="G52" s="129" t="s">
        <v>387</v>
      </c>
      <c r="H52" s="129" t="s">
        <v>5883</v>
      </c>
      <c r="I52" s="129" t="s">
        <v>5884</v>
      </c>
      <c r="J52" s="129" t="s">
        <v>5785</v>
      </c>
      <c r="K52" s="129">
        <v>1985</v>
      </c>
      <c r="L52" s="129">
        <v>97</v>
      </c>
      <c r="M52" s="129" t="s">
        <v>5886</v>
      </c>
      <c r="N52" s="129" t="s">
        <v>5533</v>
      </c>
      <c r="O52" s="129" t="s">
        <v>5534</v>
      </c>
      <c r="P52" s="129" t="s">
        <v>6060</v>
      </c>
      <c r="Q52" s="129" t="s">
        <v>6061</v>
      </c>
      <c r="R52" s="129" t="s">
        <v>5576</v>
      </c>
      <c r="S52" s="129" t="s">
        <v>5888</v>
      </c>
      <c r="T52" s="129" t="s">
        <v>5889</v>
      </c>
    </row>
    <row r="53" spans="1:20" ht="24">
      <c r="A53" s="129" t="s">
        <v>6062</v>
      </c>
      <c r="B53" s="129" t="s">
        <v>6063</v>
      </c>
      <c r="C53" s="129" t="s">
        <v>5466</v>
      </c>
      <c r="D53" s="129" t="s">
        <v>6064</v>
      </c>
      <c r="E53" s="129" t="s">
        <v>5781</v>
      </c>
      <c r="F53" s="129" t="s">
        <v>6053</v>
      </c>
      <c r="G53" s="129" t="s">
        <v>387</v>
      </c>
      <c r="H53" s="129" t="s">
        <v>5883</v>
      </c>
      <c r="I53" s="129" t="s">
        <v>5884</v>
      </c>
      <c r="J53" s="129" t="s">
        <v>5785</v>
      </c>
      <c r="K53" s="129">
        <v>1985</v>
      </c>
      <c r="L53" s="129">
        <v>98</v>
      </c>
      <c r="M53" s="129" t="s">
        <v>5886</v>
      </c>
      <c r="N53" s="129" t="s">
        <v>5533</v>
      </c>
      <c r="O53" s="129" t="s">
        <v>5534</v>
      </c>
      <c r="P53" s="129"/>
      <c r="Q53" s="129" t="s">
        <v>5887</v>
      </c>
      <c r="R53" s="129" t="s">
        <v>5576</v>
      </c>
      <c r="S53" s="129" t="s">
        <v>5888</v>
      </c>
      <c r="T53" s="129" t="s">
        <v>5889</v>
      </c>
    </row>
    <row r="54" spans="1:20" ht="24">
      <c r="A54" s="129" t="s">
        <v>6065</v>
      </c>
      <c r="B54" s="129" t="s">
        <v>6066</v>
      </c>
      <c r="C54" s="129" t="s">
        <v>5466</v>
      </c>
      <c r="D54" s="129" t="s">
        <v>6067</v>
      </c>
      <c r="E54" s="129" t="s">
        <v>5781</v>
      </c>
      <c r="F54" s="129" t="s">
        <v>6053</v>
      </c>
      <c r="G54" s="129" t="s">
        <v>387</v>
      </c>
      <c r="H54" s="129" t="s">
        <v>5883</v>
      </c>
      <c r="I54" s="129" t="s">
        <v>5884</v>
      </c>
      <c r="J54" s="129" t="s">
        <v>5812</v>
      </c>
      <c r="K54" s="129">
        <v>1995</v>
      </c>
      <c r="L54" s="129">
        <v>98</v>
      </c>
      <c r="M54" s="129" t="s">
        <v>5886</v>
      </c>
      <c r="N54" s="129" t="s">
        <v>5533</v>
      </c>
      <c r="O54" s="129" t="s">
        <v>5534</v>
      </c>
      <c r="P54" s="129"/>
      <c r="Q54" s="129" t="s">
        <v>5887</v>
      </c>
      <c r="R54" s="129" t="s">
        <v>5576</v>
      </c>
      <c r="S54" s="129" t="s">
        <v>5888</v>
      </c>
      <c r="T54" s="129" t="s">
        <v>5889</v>
      </c>
    </row>
    <row r="55" spans="1:20" ht="24">
      <c r="A55" s="129" t="s">
        <v>6068</v>
      </c>
      <c r="B55" s="129" t="s">
        <v>6069</v>
      </c>
      <c r="C55" s="129" t="s">
        <v>5466</v>
      </c>
      <c r="D55" s="129" t="s">
        <v>6070</v>
      </c>
      <c r="E55" s="129" t="s">
        <v>5781</v>
      </c>
      <c r="F55" s="129" t="s">
        <v>6053</v>
      </c>
      <c r="G55" s="129" t="s">
        <v>387</v>
      </c>
      <c r="H55" s="129" t="s">
        <v>5883</v>
      </c>
      <c r="I55" s="129" t="s">
        <v>5884</v>
      </c>
      <c r="J55" s="129" t="s">
        <v>6071</v>
      </c>
      <c r="K55" s="129">
        <v>2003</v>
      </c>
      <c r="L55" s="129">
        <v>99</v>
      </c>
      <c r="M55" s="129" t="s">
        <v>5899</v>
      </c>
      <c r="N55" s="129" t="s">
        <v>5533</v>
      </c>
      <c r="O55" s="129" t="s">
        <v>5534</v>
      </c>
      <c r="P55" s="129" t="s">
        <v>6072</v>
      </c>
      <c r="Q55" s="129" t="s">
        <v>6073</v>
      </c>
      <c r="R55" s="129" t="s">
        <v>5576</v>
      </c>
      <c r="S55" s="129" t="s">
        <v>5888</v>
      </c>
      <c r="T55" s="129" t="s">
        <v>5889</v>
      </c>
    </row>
    <row r="56" spans="1:20" ht="24">
      <c r="A56" s="129" t="s">
        <v>6074</v>
      </c>
      <c r="B56" s="129" t="s">
        <v>6075</v>
      </c>
      <c r="C56" s="129" t="s">
        <v>5466</v>
      </c>
      <c r="D56" s="129" t="s">
        <v>6076</v>
      </c>
      <c r="E56" s="129" t="s">
        <v>5781</v>
      </c>
      <c r="F56" s="129" t="s">
        <v>6053</v>
      </c>
      <c r="G56" s="129" t="s">
        <v>387</v>
      </c>
      <c r="H56" s="129" t="s">
        <v>5883</v>
      </c>
      <c r="I56" s="129" t="s">
        <v>5884</v>
      </c>
      <c r="J56" s="129" t="s">
        <v>5561</v>
      </c>
      <c r="K56" s="129">
        <v>2008</v>
      </c>
      <c r="L56" s="129">
        <v>100</v>
      </c>
      <c r="M56" s="129" t="s">
        <v>5899</v>
      </c>
      <c r="N56" s="129" t="s">
        <v>5533</v>
      </c>
      <c r="O56" s="129" t="s">
        <v>5534</v>
      </c>
      <c r="P56" s="129"/>
      <c r="Q56" s="129" t="s">
        <v>5887</v>
      </c>
      <c r="R56" s="129" t="s">
        <v>5576</v>
      </c>
      <c r="S56" s="129" t="s">
        <v>5888</v>
      </c>
      <c r="T56" s="129" t="s">
        <v>5889</v>
      </c>
    </row>
    <row r="57" spans="1:20" ht="24">
      <c r="A57" s="129" t="s">
        <v>6077</v>
      </c>
      <c r="B57" s="129" t="s">
        <v>6078</v>
      </c>
      <c r="C57" s="129" t="s">
        <v>5466</v>
      </c>
      <c r="D57" s="129" t="s">
        <v>6079</v>
      </c>
      <c r="E57" s="129" t="s">
        <v>5781</v>
      </c>
      <c r="F57" s="129" t="s">
        <v>6053</v>
      </c>
      <c r="G57" s="129" t="s">
        <v>387</v>
      </c>
      <c r="H57" s="129" t="s">
        <v>5883</v>
      </c>
      <c r="I57" s="129" t="s">
        <v>5884</v>
      </c>
      <c r="J57" s="129" t="s">
        <v>5561</v>
      </c>
      <c r="K57" s="129">
        <v>2008</v>
      </c>
      <c r="L57" s="129">
        <v>101</v>
      </c>
      <c r="M57" s="129" t="s">
        <v>5899</v>
      </c>
      <c r="N57" s="129" t="s">
        <v>5533</v>
      </c>
      <c r="O57" s="129" t="s">
        <v>5534</v>
      </c>
      <c r="P57" s="129"/>
      <c r="Q57" s="129" t="s">
        <v>5887</v>
      </c>
      <c r="R57" s="129" t="s">
        <v>5576</v>
      </c>
      <c r="S57" s="129" t="s">
        <v>5888</v>
      </c>
      <c r="T57" s="129" t="s">
        <v>5889</v>
      </c>
    </row>
    <row r="58" spans="1:20" ht="24">
      <c r="A58" s="129" t="s">
        <v>6080</v>
      </c>
      <c r="B58" s="129" t="s">
        <v>6081</v>
      </c>
      <c r="C58" s="129" t="s">
        <v>5466</v>
      </c>
      <c r="D58" s="129" t="s">
        <v>6082</v>
      </c>
      <c r="E58" s="129" t="s">
        <v>5781</v>
      </c>
      <c r="F58" s="129" t="s">
        <v>6053</v>
      </c>
      <c r="G58" s="129" t="s">
        <v>387</v>
      </c>
      <c r="H58" s="129" t="s">
        <v>5883</v>
      </c>
      <c r="I58" s="129" t="s">
        <v>5884</v>
      </c>
      <c r="J58" s="129" t="s">
        <v>6024</v>
      </c>
      <c r="K58" s="129">
        <v>1981</v>
      </c>
      <c r="L58" s="129">
        <v>102</v>
      </c>
      <c r="M58" s="129" t="s">
        <v>5886</v>
      </c>
      <c r="N58" s="129" t="s">
        <v>5533</v>
      </c>
      <c r="O58" s="129" t="s">
        <v>5534</v>
      </c>
      <c r="P58" s="129"/>
      <c r="Q58" s="129" t="s">
        <v>5887</v>
      </c>
      <c r="R58" s="129" t="s">
        <v>5576</v>
      </c>
      <c r="S58" s="129" t="s">
        <v>5888</v>
      </c>
      <c r="T58" s="129" t="s">
        <v>5889</v>
      </c>
    </row>
    <row r="59" spans="1:20" ht="24">
      <c r="A59" s="129" t="s">
        <v>6083</v>
      </c>
      <c r="B59" s="129" t="s">
        <v>6084</v>
      </c>
      <c r="C59" s="129" t="s">
        <v>5466</v>
      </c>
      <c r="D59" s="129" t="s">
        <v>6085</v>
      </c>
      <c r="E59" s="129" t="s">
        <v>5781</v>
      </c>
      <c r="F59" s="129" t="s">
        <v>6053</v>
      </c>
      <c r="G59" s="129" t="s">
        <v>387</v>
      </c>
      <c r="H59" s="129" t="s">
        <v>5883</v>
      </c>
      <c r="I59" s="129" t="s">
        <v>5884</v>
      </c>
      <c r="J59" s="129" t="s">
        <v>5561</v>
      </c>
      <c r="K59" s="129">
        <v>2008</v>
      </c>
      <c r="L59" s="129">
        <v>102</v>
      </c>
      <c r="M59" s="129" t="s">
        <v>5899</v>
      </c>
      <c r="N59" s="129" t="s">
        <v>5533</v>
      </c>
      <c r="O59" s="129" t="s">
        <v>5534</v>
      </c>
      <c r="P59" s="129"/>
      <c r="Q59" s="129" t="s">
        <v>5887</v>
      </c>
      <c r="R59" s="129" t="s">
        <v>5576</v>
      </c>
      <c r="S59" s="129" t="s">
        <v>5888</v>
      </c>
      <c r="T59" s="129" t="s">
        <v>5889</v>
      </c>
    </row>
    <row r="60" spans="1:20" ht="24">
      <c r="A60" s="129" t="s">
        <v>6086</v>
      </c>
      <c r="B60" s="129" t="s">
        <v>6087</v>
      </c>
      <c r="C60" s="129" t="s">
        <v>5461</v>
      </c>
      <c r="D60" s="129" t="s">
        <v>6088</v>
      </c>
      <c r="E60" s="129" t="s">
        <v>6089</v>
      </c>
      <c r="F60" s="129" t="s">
        <v>5639</v>
      </c>
      <c r="G60" s="129" t="s">
        <v>387</v>
      </c>
      <c r="H60" s="129" t="s">
        <v>5883</v>
      </c>
      <c r="I60" s="129" t="s">
        <v>5884</v>
      </c>
      <c r="J60" s="129" t="s">
        <v>6090</v>
      </c>
      <c r="K60" s="129"/>
      <c r="L60" s="129">
        <v>109</v>
      </c>
      <c r="M60" s="129" t="s">
        <v>5899</v>
      </c>
      <c r="N60" s="129" t="s">
        <v>5533</v>
      </c>
      <c r="O60" s="129" t="s">
        <v>5534</v>
      </c>
      <c r="P60" s="129" t="s">
        <v>6091</v>
      </c>
      <c r="Q60" s="129" t="s">
        <v>6092</v>
      </c>
      <c r="R60" s="129" t="s">
        <v>5836</v>
      </c>
      <c r="S60" s="129" t="s">
        <v>5888</v>
      </c>
      <c r="T60" s="129" t="s">
        <v>5889</v>
      </c>
    </row>
    <row r="61" spans="1:20" ht="24">
      <c r="A61" s="129" t="s">
        <v>6093</v>
      </c>
      <c r="B61" s="129" t="s">
        <v>6094</v>
      </c>
      <c r="C61" s="129" t="s">
        <v>5474</v>
      </c>
      <c r="D61" s="129" t="s">
        <v>6095</v>
      </c>
      <c r="E61" s="129" t="s">
        <v>6096</v>
      </c>
      <c r="F61" s="129" t="s">
        <v>5528</v>
      </c>
      <c r="G61" s="129" t="s">
        <v>387</v>
      </c>
      <c r="H61" s="129" t="s">
        <v>5883</v>
      </c>
      <c r="I61" s="129" t="s">
        <v>5884</v>
      </c>
      <c r="J61" s="129" t="s">
        <v>6097</v>
      </c>
      <c r="K61" s="129">
        <v>2012</v>
      </c>
      <c r="L61" s="129">
        <v>114</v>
      </c>
      <c r="M61" s="129" t="s">
        <v>5899</v>
      </c>
      <c r="N61" s="129" t="s">
        <v>5533</v>
      </c>
      <c r="O61" s="129" t="s">
        <v>5534</v>
      </c>
      <c r="P61" s="129" t="s">
        <v>6098</v>
      </c>
      <c r="Q61" s="129" t="s">
        <v>6099</v>
      </c>
      <c r="R61" s="129" t="s">
        <v>5487</v>
      </c>
      <c r="S61" s="129" t="s">
        <v>5888</v>
      </c>
      <c r="T61" s="129" t="s">
        <v>5889</v>
      </c>
    </row>
    <row r="62" spans="1:20" ht="24">
      <c r="A62" s="129" t="s">
        <v>6100</v>
      </c>
      <c r="B62" s="129" t="s">
        <v>6101</v>
      </c>
      <c r="C62" s="129" t="s">
        <v>5474</v>
      </c>
      <c r="D62" s="129" t="s">
        <v>6102</v>
      </c>
      <c r="E62" s="129" t="s">
        <v>6096</v>
      </c>
      <c r="F62" s="129" t="s">
        <v>5528</v>
      </c>
      <c r="G62" s="129" t="s">
        <v>387</v>
      </c>
      <c r="H62" s="129" t="s">
        <v>5883</v>
      </c>
      <c r="I62" s="129" t="s">
        <v>5884</v>
      </c>
      <c r="J62" s="129" t="s">
        <v>5862</v>
      </c>
      <c r="K62" s="129">
        <v>2003</v>
      </c>
      <c r="L62" s="129">
        <v>116</v>
      </c>
      <c r="M62" s="129" t="s">
        <v>5871</v>
      </c>
      <c r="N62" s="129" t="s">
        <v>6103</v>
      </c>
      <c r="O62" s="129" t="s">
        <v>932</v>
      </c>
      <c r="P62" s="129"/>
      <c r="Q62" s="129" t="s">
        <v>5887</v>
      </c>
      <c r="R62" s="129" t="s">
        <v>5864</v>
      </c>
      <c r="S62" s="129" t="s">
        <v>5888</v>
      </c>
      <c r="T62" s="129" t="s">
        <v>5889</v>
      </c>
    </row>
    <row r="63" spans="1:20" ht="24">
      <c r="A63" s="129" t="s">
        <v>6104</v>
      </c>
      <c r="B63" s="129" t="s">
        <v>6105</v>
      </c>
      <c r="C63" s="129" t="s">
        <v>5474</v>
      </c>
      <c r="D63" s="129" t="s">
        <v>6106</v>
      </c>
      <c r="E63" s="129" t="s">
        <v>6096</v>
      </c>
      <c r="F63" s="129" t="s">
        <v>5528</v>
      </c>
      <c r="G63" s="129" t="s">
        <v>387</v>
      </c>
      <c r="H63" s="129" t="s">
        <v>5883</v>
      </c>
      <c r="I63" s="129" t="s">
        <v>5884</v>
      </c>
      <c r="J63" s="129" t="s">
        <v>5862</v>
      </c>
      <c r="K63" s="129">
        <v>2003</v>
      </c>
      <c r="L63" s="129">
        <v>117</v>
      </c>
      <c r="M63" s="129" t="s">
        <v>5871</v>
      </c>
      <c r="N63" s="129" t="s">
        <v>6103</v>
      </c>
      <c r="O63" s="129" t="s">
        <v>932</v>
      </c>
      <c r="P63" s="129" t="s">
        <v>6107</v>
      </c>
      <c r="Q63" s="129" t="s">
        <v>6108</v>
      </c>
      <c r="R63" s="129" t="s">
        <v>5864</v>
      </c>
      <c r="S63" s="129" t="s">
        <v>5888</v>
      </c>
      <c r="T63" s="129" t="s">
        <v>5889</v>
      </c>
    </row>
    <row r="64" spans="1:20" ht="24">
      <c r="A64" s="129" t="s">
        <v>6109</v>
      </c>
      <c r="B64" s="129" t="s">
        <v>6110</v>
      </c>
      <c r="C64" s="129" t="s">
        <v>5447</v>
      </c>
      <c r="D64" s="129" t="s">
        <v>6111</v>
      </c>
      <c r="E64" s="129" t="s">
        <v>5558</v>
      </c>
      <c r="F64" s="129" t="s">
        <v>212</v>
      </c>
      <c r="G64" s="129" t="s">
        <v>387</v>
      </c>
      <c r="H64" s="129" t="s">
        <v>6112</v>
      </c>
      <c r="I64" s="129" t="s">
        <v>6113</v>
      </c>
      <c r="J64" s="129" t="s">
        <v>5922</v>
      </c>
      <c r="K64" s="129"/>
      <c r="L64" s="129">
        <v>48</v>
      </c>
      <c r="M64" s="129" t="s">
        <v>5906</v>
      </c>
      <c r="N64" s="129" t="s">
        <v>5533</v>
      </c>
      <c r="O64" s="129" t="s">
        <v>5534</v>
      </c>
      <c r="P64" s="129"/>
      <c r="Q64" s="129" t="s">
        <v>5887</v>
      </c>
      <c r="R64" s="129" t="s">
        <v>5459</v>
      </c>
      <c r="S64" s="129" t="s">
        <v>5888</v>
      </c>
      <c r="T64" s="129" t="s">
        <v>5889</v>
      </c>
    </row>
    <row r="65" spans="1:20" ht="24">
      <c r="A65" s="129" t="s">
        <v>6114</v>
      </c>
      <c r="B65" s="129" t="s">
        <v>6115</v>
      </c>
      <c r="C65" s="129" t="s">
        <v>5447</v>
      </c>
      <c r="D65" s="129" t="s">
        <v>6116</v>
      </c>
      <c r="E65" s="129" t="s">
        <v>5558</v>
      </c>
      <c r="F65" s="129" t="s">
        <v>212</v>
      </c>
      <c r="G65" s="129" t="s">
        <v>387</v>
      </c>
      <c r="H65" s="129" t="s">
        <v>6112</v>
      </c>
      <c r="I65" s="129" t="s">
        <v>6113</v>
      </c>
      <c r="J65" s="129" t="s">
        <v>6117</v>
      </c>
      <c r="K65" s="129"/>
      <c r="L65" s="129">
        <v>51</v>
      </c>
      <c r="M65" s="129" t="s">
        <v>5899</v>
      </c>
      <c r="N65" s="129" t="s">
        <v>5533</v>
      </c>
      <c r="O65" s="129" t="s">
        <v>5534</v>
      </c>
      <c r="P65" s="129"/>
      <c r="Q65" s="129" t="s">
        <v>5887</v>
      </c>
      <c r="R65" s="129" t="s">
        <v>5459</v>
      </c>
      <c r="S65" s="129" t="s">
        <v>5888</v>
      </c>
      <c r="T65" s="129" t="s">
        <v>5889</v>
      </c>
    </row>
    <row r="66" spans="1:20" ht="24">
      <c r="A66" s="129" t="s">
        <v>6118</v>
      </c>
      <c r="B66" s="129" t="s">
        <v>6119</v>
      </c>
      <c r="C66" s="129" t="s">
        <v>5456</v>
      </c>
      <c r="D66" s="129" t="s">
        <v>6120</v>
      </c>
      <c r="E66" s="129" t="s">
        <v>5558</v>
      </c>
      <c r="F66" s="129" t="s">
        <v>212</v>
      </c>
      <c r="G66" s="129" t="s">
        <v>387</v>
      </c>
      <c r="H66" s="129" t="s">
        <v>6112</v>
      </c>
      <c r="I66" s="129" t="s">
        <v>6113</v>
      </c>
      <c r="J66" s="129" t="s">
        <v>6121</v>
      </c>
      <c r="K66" s="129"/>
      <c r="L66" s="129">
        <v>58</v>
      </c>
      <c r="M66" s="129" t="s">
        <v>5906</v>
      </c>
      <c r="N66" s="129" t="s">
        <v>5533</v>
      </c>
      <c r="O66" s="129" t="s">
        <v>5534</v>
      </c>
      <c r="P66" s="129"/>
      <c r="Q66" s="129" t="s">
        <v>5887</v>
      </c>
      <c r="R66" s="129" t="s">
        <v>5459</v>
      </c>
      <c r="S66" s="129" t="s">
        <v>5888</v>
      </c>
      <c r="T66" s="129" t="s">
        <v>5889</v>
      </c>
    </row>
    <row r="67" spans="1:20" ht="24">
      <c r="A67" s="129" t="s">
        <v>6122</v>
      </c>
      <c r="B67" s="129" t="s">
        <v>6123</v>
      </c>
      <c r="C67" s="129" t="s">
        <v>5474</v>
      </c>
      <c r="D67" s="129" t="s">
        <v>6124</v>
      </c>
      <c r="E67" s="129" t="s">
        <v>6125</v>
      </c>
      <c r="F67" s="129" t="s">
        <v>212</v>
      </c>
      <c r="G67" s="129" t="s">
        <v>387</v>
      </c>
      <c r="H67" s="129" t="s">
        <v>6112</v>
      </c>
      <c r="I67" s="129" t="s">
        <v>6113</v>
      </c>
      <c r="J67" s="129" t="s">
        <v>5573</v>
      </c>
      <c r="K67" s="129"/>
      <c r="L67" s="129">
        <v>113</v>
      </c>
      <c r="M67" s="129" t="s">
        <v>5931</v>
      </c>
      <c r="N67" s="129" t="s">
        <v>5533</v>
      </c>
      <c r="O67" s="129" t="s">
        <v>5534</v>
      </c>
      <c r="P67" s="129"/>
      <c r="Q67" s="129" t="s">
        <v>5887</v>
      </c>
      <c r="R67" s="129" t="s">
        <v>5487</v>
      </c>
      <c r="S67" s="129" t="s">
        <v>5888</v>
      </c>
      <c r="T67" s="129" t="s">
        <v>5889</v>
      </c>
    </row>
  </sheetData>
  <mergeCells count="2">
    <mergeCell ref="A1:T1"/>
    <mergeCell ref="A3:T3"/>
  </mergeCell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3"/>
  <sheetViews>
    <sheetView workbookViewId="0">
      <selection activeCell="G36" sqref="G36"/>
    </sheetView>
  </sheetViews>
  <sheetFormatPr baseColWidth="10" defaultColWidth="9" defaultRowHeight="14.25"/>
  <cols>
    <col min="1" max="1" width="12" customWidth="1"/>
    <col min="2" max="2" width="22" customWidth="1"/>
    <col min="3" max="3" width="30" customWidth="1"/>
    <col min="4" max="4" width="44" customWidth="1"/>
    <col min="5" max="5" width="38" customWidth="1"/>
    <col min="6" max="6" width="42" customWidth="1"/>
    <col min="7" max="7" width="30" customWidth="1"/>
    <col min="8" max="8" width="26" customWidth="1"/>
    <col min="9" max="9" width="12" customWidth="1"/>
    <col min="10" max="10" width="40" customWidth="1"/>
    <col min="11" max="11" width="20" customWidth="1"/>
  </cols>
  <sheetData>
    <row r="1" spans="1:11" ht="18">
      <c r="A1" s="293" t="s">
        <v>6126</v>
      </c>
      <c r="B1" s="293"/>
      <c r="C1" s="293"/>
      <c r="D1" s="293"/>
      <c r="E1" s="293"/>
      <c r="F1" s="293"/>
      <c r="G1" s="293"/>
      <c r="H1" s="293"/>
      <c r="I1" s="293"/>
      <c r="J1" s="293"/>
      <c r="K1" s="293"/>
    </row>
    <row r="3" spans="1:11">
      <c r="A3" s="294" t="s">
        <v>6127</v>
      </c>
      <c r="B3" s="294"/>
      <c r="C3" s="294"/>
      <c r="D3" s="294"/>
      <c r="E3" s="294"/>
      <c r="F3" s="294"/>
      <c r="G3" s="294"/>
      <c r="H3" s="294"/>
      <c r="I3" s="294"/>
      <c r="J3" s="294"/>
      <c r="K3" s="294"/>
    </row>
    <row r="5" spans="1:11">
      <c r="A5" s="122" t="s">
        <v>5430</v>
      </c>
      <c r="B5" s="122" t="s">
        <v>5431</v>
      </c>
      <c r="C5" s="122" t="s">
        <v>5432</v>
      </c>
      <c r="D5" s="123" t="s">
        <v>964</v>
      </c>
      <c r="E5" s="122" t="s">
        <v>5433</v>
      </c>
      <c r="F5" s="122" t="s">
        <v>5434</v>
      </c>
      <c r="G5" s="122" t="s">
        <v>979</v>
      </c>
      <c r="H5" s="122" t="s">
        <v>1100</v>
      </c>
      <c r="I5" s="122" t="s">
        <v>1317</v>
      </c>
      <c r="J5" s="122" t="s">
        <v>4716</v>
      </c>
    </row>
    <row r="7" spans="1:11">
      <c r="A7" s="128" t="s">
        <v>6128</v>
      </c>
      <c r="B7" s="128" t="s">
        <v>5875</v>
      </c>
      <c r="C7" s="128" t="s">
        <v>660</v>
      </c>
      <c r="D7" s="128" t="s">
        <v>6129</v>
      </c>
      <c r="E7" s="128" t="s">
        <v>6130</v>
      </c>
      <c r="F7" s="128" t="s">
        <v>5027</v>
      </c>
      <c r="G7" s="128" t="s">
        <v>5389</v>
      </c>
      <c r="H7" s="128" t="s">
        <v>5483</v>
      </c>
      <c r="I7" s="128" t="s">
        <v>661</v>
      </c>
      <c r="J7" s="128" t="s">
        <v>6131</v>
      </c>
      <c r="K7" s="128" t="s">
        <v>113</v>
      </c>
    </row>
    <row r="8" spans="1:11">
      <c r="A8" s="129" t="s">
        <v>6132</v>
      </c>
      <c r="B8" s="129" t="s">
        <v>5441</v>
      </c>
      <c r="C8" s="129" t="s">
        <v>6133</v>
      </c>
      <c r="D8" s="129" t="s">
        <v>6134</v>
      </c>
      <c r="E8" s="129" t="s">
        <v>6135</v>
      </c>
      <c r="F8" s="129" t="s">
        <v>6136</v>
      </c>
      <c r="G8" s="129" t="s">
        <v>6137</v>
      </c>
      <c r="H8" s="129" t="s">
        <v>6138</v>
      </c>
      <c r="I8" s="129" t="s">
        <v>6139</v>
      </c>
      <c r="J8" s="129" t="s">
        <v>6140</v>
      </c>
      <c r="K8" s="129" t="s">
        <v>6141</v>
      </c>
    </row>
    <row r="9" spans="1:11">
      <c r="A9" s="129" t="s">
        <v>6142</v>
      </c>
      <c r="B9" s="129" t="s">
        <v>5447</v>
      </c>
      <c r="C9" s="129" t="s">
        <v>6143</v>
      </c>
      <c r="D9" s="129" t="s">
        <v>6144</v>
      </c>
      <c r="E9" s="129" t="s">
        <v>6145</v>
      </c>
      <c r="F9" s="129" t="s">
        <v>6146</v>
      </c>
      <c r="G9" s="129" t="s">
        <v>6147</v>
      </c>
      <c r="H9" s="129" t="s">
        <v>6148</v>
      </c>
      <c r="I9" s="129" t="s">
        <v>6149</v>
      </c>
      <c r="J9" s="129" t="s">
        <v>6150</v>
      </c>
      <c r="K9" s="129" t="s">
        <v>6141</v>
      </c>
    </row>
    <row r="10" spans="1:11">
      <c r="A10" s="129" t="s">
        <v>6151</v>
      </c>
      <c r="B10" s="129" t="s">
        <v>5452</v>
      </c>
      <c r="C10" s="129" t="s">
        <v>6152</v>
      </c>
      <c r="D10" s="129" t="s">
        <v>6153</v>
      </c>
      <c r="E10" s="129" t="s">
        <v>6154</v>
      </c>
      <c r="F10" s="129" t="s">
        <v>6155</v>
      </c>
      <c r="G10" s="129" t="s">
        <v>6156</v>
      </c>
      <c r="H10" s="129" t="s">
        <v>6148</v>
      </c>
      <c r="I10" s="129" t="s">
        <v>6139</v>
      </c>
      <c r="J10" s="129" t="s">
        <v>6157</v>
      </c>
      <c r="K10" s="129" t="s">
        <v>6141</v>
      </c>
    </row>
    <row r="11" spans="1:11">
      <c r="A11" s="129" t="s">
        <v>6158</v>
      </c>
      <c r="B11" s="129" t="s">
        <v>5456</v>
      </c>
      <c r="C11" s="129" t="s">
        <v>6159</v>
      </c>
      <c r="D11" s="129" t="s">
        <v>6160</v>
      </c>
      <c r="E11" s="129" t="s">
        <v>6161</v>
      </c>
      <c r="F11" s="129" t="s">
        <v>6162</v>
      </c>
      <c r="G11" s="129" t="s">
        <v>6163</v>
      </c>
      <c r="H11" s="129" t="s">
        <v>5459</v>
      </c>
      <c r="I11" s="129" t="s">
        <v>6149</v>
      </c>
      <c r="J11" s="129" t="s">
        <v>6164</v>
      </c>
      <c r="K11" s="129" t="s">
        <v>6141</v>
      </c>
    </row>
    <row r="12" spans="1:11">
      <c r="A12" s="129" t="s">
        <v>6165</v>
      </c>
      <c r="B12" s="129" t="s">
        <v>5456</v>
      </c>
      <c r="C12" s="129" t="s">
        <v>6166</v>
      </c>
      <c r="D12" s="129" t="s">
        <v>6167</v>
      </c>
      <c r="E12" s="129" t="s">
        <v>6168</v>
      </c>
      <c r="F12" s="129" t="s">
        <v>6169</v>
      </c>
      <c r="G12" s="129" t="s">
        <v>6170</v>
      </c>
      <c r="H12" s="129" t="s">
        <v>5459</v>
      </c>
      <c r="I12" s="129" t="s">
        <v>6139</v>
      </c>
      <c r="J12" s="129" t="s">
        <v>6171</v>
      </c>
      <c r="K12" s="129" t="s">
        <v>6141</v>
      </c>
    </row>
    <row r="13" spans="1:11">
      <c r="A13" s="129" t="s">
        <v>6172</v>
      </c>
      <c r="B13" s="129" t="s">
        <v>5461</v>
      </c>
      <c r="C13" s="129" t="s">
        <v>6173</v>
      </c>
      <c r="D13" s="129" t="s">
        <v>6174</v>
      </c>
      <c r="E13" s="129" t="s">
        <v>6175</v>
      </c>
      <c r="F13" s="129" t="s">
        <v>6176</v>
      </c>
      <c r="G13" s="129" t="s">
        <v>6177</v>
      </c>
      <c r="H13" s="129" t="s">
        <v>6178</v>
      </c>
      <c r="I13" s="129" t="s">
        <v>6139</v>
      </c>
      <c r="J13" s="129" t="s">
        <v>6179</v>
      </c>
      <c r="K13" s="129" t="s">
        <v>6141</v>
      </c>
    </row>
    <row r="14" spans="1:11">
      <c r="A14" s="129" t="s">
        <v>6180</v>
      </c>
      <c r="B14" s="129" t="s">
        <v>5461</v>
      </c>
      <c r="C14" s="129" t="s">
        <v>6181</v>
      </c>
      <c r="D14" s="129" t="s">
        <v>6182</v>
      </c>
      <c r="E14" s="129" t="s">
        <v>6183</v>
      </c>
      <c r="F14" s="129" t="s">
        <v>6184</v>
      </c>
      <c r="G14" s="129" t="s">
        <v>6185</v>
      </c>
      <c r="H14" s="129" t="s">
        <v>5459</v>
      </c>
      <c r="I14" s="129" t="s">
        <v>6139</v>
      </c>
      <c r="J14" s="129" t="s">
        <v>6186</v>
      </c>
      <c r="K14" s="129" t="s">
        <v>6141</v>
      </c>
    </row>
    <row r="15" spans="1:11">
      <c r="A15" s="129" t="s">
        <v>6187</v>
      </c>
      <c r="B15" s="129" t="s">
        <v>5466</v>
      </c>
      <c r="C15" s="129" t="s">
        <v>6188</v>
      </c>
      <c r="D15" s="129" t="s">
        <v>6189</v>
      </c>
      <c r="E15" s="129" t="s">
        <v>6190</v>
      </c>
      <c r="F15" s="129" t="s">
        <v>6191</v>
      </c>
      <c r="G15" s="129" t="s">
        <v>6192</v>
      </c>
      <c r="H15" s="129" t="s">
        <v>6193</v>
      </c>
      <c r="I15" s="129" t="s">
        <v>6149</v>
      </c>
      <c r="J15" s="129" t="s">
        <v>6194</v>
      </c>
      <c r="K15" s="129" t="s">
        <v>6141</v>
      </c>
    </row>
    <row r="16" spans="1:11">
      <c r="A16" s="129" t="s">
        <v>6195</v>
      </c>
      <c r="B16" s="129" t="s">
        <v>5466</v>
      </c>
      <c r="C16" s="129" t="s">
        <v>6196</v>
      </c>
      <c r="D16" s="129" t="s">
        <v>6197</v>
      </c>
      <c r="E16" s="129" t="s">
        <v>6198</v>
      </c>
      <c r="F16" s="129" t="s">
        <v>6199</v>
      </c>
      <c r="G16" s="129" t="s">
        <v>6200</v>
      </c>
      <c r="H16" s="129" t="s">
        <v>6193</v>
      </c>
      <c r="I16" s="129" t="s">
        <v>6201</v>
      </c>
      <c r="J16" s="129" t="s">
        <v>6202</v>
      </c>
      <c r="K16" s="129" t="s">
        <v>6141</v>
      </c>
    </row>
    <row r="17" spans="1:11">
      <c r="A17" s="129" t="s">
        <v>6203</v>
      </c>
      <c r="B17" s="129" t="s">
        <v>5466</v>
      </c>
      <c r="C17" s="129" t="s">
        <v>6204</v>
      </c>
      <c r="D17" s="129" t="s">
        <v>6205</v>
      </c>
      <c r="E17" s="129" t="s">
        <v>6206</v>
      </c>
      <c r="F17" s="129" t="s">
        <v>6207</v>
      </c>
      <c r="G17" s="129" t="s">
        <v>6208</v>
      </c>
      <c r="H17" s="129" t="s">
        <v>6193</v>
      </c>
      <c r="I17" s="129" t="s">
        <v>6139</v>
      </c>
      <c r="J17" s="129" t="s">
        <v>6209</v>
      </c>
      <c r="K17" s="129" t="s">
        <v>6141</v>
      </c>
    </row>
    <row r="18" spans="1:11">
      <c r="A18" s="129" t="s">
        <v>6210</v>
      </c>
      <c r="B18" s="129" t="s">
        <v>5470</v>
      </c>
      <c r="C18" s="129" t="s">
        <v>6211</v>
      </c>
      <c r="D18" s="129" t="s">
        <v>6212</v>
      </c>
      <c r="E18" s="129" t="s">
        <v>6213</v>
      </c>
      <c r="F18" s="129" t="s">
        <v>6214</v>
      </c>
      <c r="G18" s="129" t="s">
        <v>6215</v>
      </c>
      <c r="H18" s="129" t="s">
        <v>6193</v>
      </c>
      <c r="I18" s="129" t="s">
        <v>6201</v>
      </c>
      <c r="J18" s="129" t="s">
        <v>6216</v>
      </c>
      <c r="K18" s="129" t="s">
        <v>6141</v>
      </c>
    </row>
    <row r="19" spans="1:11">
      <c r="A19" s="129" t="s">
        <v>6217</v>
      </c>
      <c r="B19" s="129" t="s">
        <v>5470</v>
      </c>
      <c r="C19" s="129" t="s">
        <v>6218</v>
      </c>
      <c r="D19" s="129" t="s">
        <v>6219</v>
      </c>
      <c r="E19" s="129" t="s">
        <v>6220</v>
      </c>
      <c r="F19" s="129" t="s">
        <v>6221</v>
      </c>
      <c r="G19" s="129" t="s">
        <v>6222</v>
      </c>
      <c r="H19" s="129" t="s">
        <v>6138</v>
      </c>
      <c r="I19" s="129" t="s">
        <v>6139</v>
      </c>
      <c r="J19" s="129" t="s">
        <v>6223</v>
      </c>
      <c r="K19" s="129" t="s">
        <v>6141</v>
      </c>
    </row>
    <row r="20" spans="1:11">
      <c r="A20" s="129" t="s">
        <v>6224</v>
      </c>
      <c r="B20" s="129" t="s">
        <v>5474</v>
      </c>
      <c r="C20" s="129" t="s">
        <v>6225</v>
      </c>
      <c r="D20" s="129" t="s">
        <v>6226</v>
      </c>
      <c r="E20" s="129" t="s">
        <v>6227</v>
      </c>
      <c r="F20" s="129" t="s">
        <v>6228</v>
      </c>
      <c r="G20" s="129" t="s">
        <v>6229</v>
      </c>
      <c r="H20" s="129" t="s">
        <v>5477</v>
      </c>
      <c r="I20" s="129" t="s">
        <v>6139</v>
      </c>
      <c r="J20" s="129" t="s">
        <v>6230</v>
      </c>
      <c r="K20" s="129" t="s">
        <v>6141</v>
      </c>
    </row>
    <row r="21" spans="1:11">
      <c r="A21" s="129" t="s">
        <v>6231</v>
      </c>
      <c r="B21" s="129" t="s">
        <v>6232</v>
      </c>
      <c r="C21" s="129" t="s">
        <v>6233</v>
      </c>
      <c r="D21" s="129" t="s">
        <v>6234</v>
      </c>
      <c r="E21" s="129" t="s">
        <v>6235</v>
      </c>
      <c r="F21" s="129" t="s">
        <v>6236</v>
      </c>
      <c r="G21" s="129" t="s">
        <v>6237</v>
      </c>
      <c r="H21" s="129" t="s">
        <v>6238</v>
      </c>
      <c r="I21" s="129" t="s">
        <v>6201</v>
      </c>
      <c r="J21" s="129" t="s">
        <v>6239</v>
      </c>
      <c r="K21" s="129" t="s">
        <v>6141</v>
      </c>
    </row>
    <row r="22" spans="1:11">
      <c r="A22" s="129" t="s">
        <v>6240</v>
      </c>
      <c r="B22" s="129" t="s">
        <v>6232</v>
      </c>
      <c r="C22" s="129" t="s">
        <v>5842</v>
      </c>
      <c r="D22" s="129" t="s">
        <v>6241</v>
      </c>
      <c r="E22" s="129" t="s">
        <v>6242</v>
      </c>
      <c r="F22" s="129" t="s">
        <v>6243</v>
      </c>
      <c r="G22" s="129" t="s">
        <v>6244</v>
      </c>
      <c r="H22" s="129" t="s">
        <v>6238</v>
      </c>
      <c r="I22" s="129" t="s">
        <v>6201</v>
      </c>
      <c r="J22" s="129" t="s">
        <v>6245</v>
      </c>
      <c r="K22" s="129" t="s">
        <v>6141</v>
      </c>
    </row>
    <row r="23" spans="1:11">
      <c r="A23" s="129" t="s">
        <v>6246</v>
      </c>
      <c r="B23" s="129" t="s">
        <v>6232</v>
      </c>
      <c r="C23" s="129" t="s">
        <v>6247</v>
      </c>
      <c r="D23" s="129" t="s">
        <v>6248</v>
      </c>
      <c r="E23" s="129" t="s">
        <v>6249</v>
      </c>
      <c r="F23" s="129" t="s">
        <v>6250</v>
      </c>
      <c r="G23" s="129" t="s">
        <v>6251</v>
      </c>
      <c r="H23" s="129" t="s">
        <v>6252</v>
      </c>
      <c r="I23" s="129" t="s">
        <v>6201</v>
      </c>
      <c r="J23" s="129" t="s">
        <v>6253</v>
      </c>
      <c r="K23" s="129" t="s">
        <v>6141</v>
      </c>
    </row>
  </sheetData>
  <mergeCells count="2">
    <mergeCell ref="A1:K1"/>
    <mergeCell ref="A3:K3"/>
  </mergeCell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31"/>
  <sheetViews>
    <sheetView topLeftCell="A16" workbookViewId="0">
      <selection sqref="A1:X1"/>
    </sheetView>
  </sheetViews>
  <sheetFormatPr baseColWidth="10" defaultColWidth="9" defaultRowHeight="14.25"/>
  <cols>
    <col min="1" max="1" width="14" customWidth="1"/>
    <col min="2" max="2" width="12" customWidth="1"/>
    <col min="3" max="3" width="30" customWidth="1"/>
    <col min="4" max="4" width="22" customWidth="1"/>
    <col min="5" max="5" width="18" customWidth="1"/>
    <col min="6" max="6" width="24" customWidth="1"/>
    <col min="7" max="7" width="40" customWidth="1"/>
    <col min="8" max="8" width="18" customWidth="1"/>
    <col min="9" max="10" width="24" customWidth="1"/>
    <col min="11" max="12" width="18" customWidth="1"/>
    <col min="13" max="13" width="10" customWidth="1"/>
    <col min="14" max="14" width="24" customWidth="1"/>
    <col min="15" max="15" width="16" customWidth="1"/>
    <col min="16" max="16" width="10" customWidth="1"/>
    <col min="17" max="17" width="38" customWidth="1"/>
    <col min="18" max="18" width="9" customWidth="1"/>
    <col min="19" max="19" width="10" customWidth="1"/>
    <col min="20" max="20" width="24" customWidth="1"/>
    <col min="21" max="21" width="10" customWidth="1"/>
    <col min="22" max="22" width="44" customWidth="1"/>
    <col min="23" max="23" width="28" customWidth="1"/>
    <col min="24" max="24" width="34" customWidth="1"/>
  </cols>
  <sheetData>
    <row r="1" spans="1:24" ht="18">
      <c r="A1" s="293" t="s">
        <v>6254</v>
      </c>
      <c r="B1" s="293"/>
      <c r="C1" s="293"/>
      <c r="D1" s="293"/>
      <c r="E1" s="293"/>
      <c r="F1" s="293"/>
      <c r="G1" s="293"/>
      <c r="H1" s="293"/>
      <c r="I1" s="293"/>
      <c r="J1" s="293"/>
      <c r="K1" s="293"/>
      <c r="L1" s="293"/>
      <c r="M1" s="293"/>
      <c r="N1" s="293"/>
      <c r="O1" s="293"/>
      <c r="P1" s="293"/>
      <c r="Q1" s="293"/>
      <c r="R1" s="293"/>
      <c r="S1" s="293"/>
      <c r="T1" s="293"/>
      <c r="U1" s="293"/>
      <c r="V1" s="293"/>
      <c r="W1" s="293"/>
      <c r="X1" s="293"/>
    </row>
    <row r="3" spans="1:24">
      <c r="A3" s="294" t="s">
        <v>6255</v>
      </c>
      <c r="B3" s="294"/>
      <c r="C3" s="294"/>
      <c r="D3" s="294"/>
      <c r="E3" s="294"/>
      <c r="F3" s="294"/>
      <c r="G3" s="294"/>
      <c r="H3" s="294"/>
      <c r="I3" s="294"/>
      <c r="J3" s="294"/>
      <c r="K3" s="294"/>
      <c r="L3" s="294"/>
      <c r="M3" s="294"/>
      <c r="N3" s="294"/>
      <c r="O3" s="294"/>
      <c r="P3" s="294"/>
      <c r="Q3" s="294"/>
      <c r="R3" s="294"/>
      <c r="S3" s="294"/>
      <c r="T3" s="294"/>
      <c r="U3" s="294"/>
      <c r="V3" s="294"/>
      <c r="W3" s="294"/>
      <c r="X3" s="294"/>
    </row>
    <row r="5" spans="1:24">
      <c r="A5" s="122" t="s">
        <v>5430</v>
      </c>
      <c r="B5" s="122" t="s">
        <v>5431</v>
      </c>
      <c r="C5" s="122" t="s">
        <v>5432</v>
      </c>
      <c r="D5" s="122" t="s">
        <v>964</v>
      </c>
      <c r="E5" s="123" t="s">
        <v>5433</v>
      </c>
      <c r="F5" s="122" t="s">
        <v>5434</v>
      </c>
      <c r="G5" s="122" t="s">
        <v>979</v>
      </c>
      <c r="H5" s="122" t="s">
        <v>1100</v>
      </c>
      <c r="I5" s="122" t="s">
        <v>1317</v>
      </c>
      <c r="J5" s="122" t="s">
        <v>4716</v>
      </c>
    </row>
    <row r="7" spans="1:24">
      <c r="A7" s="128" t="s">
        <v>6256</v>
      </c>
      <c r="B7" s="128" t="s">
        <v>5514</v>
      </c>
      <c r="C7" s="128" t="s">
        <v>215</v>
      </c>
      <c r="D7" s="128" t="s">
        <v>5875</v>
      </c>
      <c r="E7" s="128" t="s">
        <v>6257</v>
      </c>
      <c r="F7" s="128" t="s">
        <v>6258</v>
      </c>
      <c r="G7" s="128" t="s">
        <v>5117</v>
      </c>
      <c r="H7" s="128" t="s">
        <v>6259</v>
      </c>
      <c r="I7" s="128" t="s">
        <v>6260</v>
      </c>
      <c r="J7" s="128" t="s">
        <v>6261</v>
      </c>
      <c r="K7" s="128" t="s">
        <v>6262</v>
      </c>
      <c r="L7" s="128" t="s">
        <v>6263</v>
      </c>
      <c r="M7" s="128" t="s">
        <v>156</v>
      </c>
      <c r="N7" s="128" t="s">
        <v>5517</v>
      </c>
      <c r="O7" s="128" t="s">
        <v>32</v>
      </c>
      <c r="P7" s="128" t="s">
        <v>39</v>
      </c>
      <c r="Q7" s="128" t="s">
        <v>350</v>
      </c>
      <c r="R7" s="128" t="s">
        <v>194</v>
      </c>
      <c r="S7" s="128" t="s">
        <v>5519</v>
      </c>
      <c r="T7" s="128" t="s">
        <v>113</v>
      </c>
      <c r="U7" s="128" t="s">
        <v>5520</v>
      </c>
      <c r="V7" s="128" t="s">
        <v>4859</v>
      </c>
      <c r="W7" s="128" t="s">
        <v>5483</v>
      </c>
      <c r="X7" s="128" t="s">
        <v>6264</v>
      </c>
    </row>
    <row r="8" spans="1:24" ht="24">
      <c r="A8" s="129" t="s">
        <v>6265</v>
      </c>
      <c r="B8" s="129" t="s">
        <v>6266</v>
      </c>
      <c r="C8" s="129" t="s">
        <v>6267</v>
      </c>
      <c r="D8" s="129" t="s">
        <v>5447</v>
      </c>
      <c r="E8" s="129" t="s">
        <v>6268</v>
      </c>
      <c r="F8" s="129" t="s">
        <v>6267</v>
      </c>
      <c r="G8" s="129" t="s">
        <v>6269</v>
      </c>
      <c r="H8" s="129" t="s">
        <v>6270</v>
      </c>
      <c r="I8" s="129" t="s">
        <v>6271</v>
      </c>
      <c r="J8" s="129" t="s">
        <v>6270</v>
      </c>
      <c r="K8" s="129" t="s">
        <v>6270</v>
      </c>
      <c r="L8" s="129" t="s">
        <v>6270</v>
      </c>
      <c r="M8" s="129" t="s">
        <v>43</v>
      </c>
      <c r="N8" s="129" t="s">
        <v>6272</v>
      </c>
      <c r="O8" s="129" t="s">
        <v>6273</v>
      </c>
      <c r="P8" s="129" t="s">
        <v>387</v>
      </c>
      <c r="Q8" s="129" t="s">
        <v>6274</v>
      </c>
      <c r="R8" s="129">
        <v>2018</v>
      </c>
      <c r="S8" s="129">
        <v>23</v>
      </c>
      <c r="T8" s="129" t="s">
        <v>6275</v>
      </c>
      <c r="U8" s="129" t="s">
        <v>5534</v>
      </c>
      <c r="V8" s="129" t="s">
        <v>6276</v>
      </c>
      <c r="W8" s="129" t="s">
        <v>5611</v>
      </c>
      <c r="X8" s="129" t="s">
        <v>6277</v>
      </c>
    </row>
    <row r="9" spans="1:24" ht="24">
      <c r="A9" s="129" t="s">
        <v>6278</v>
      </c>
      <c r="B9" s="129" t="s">
        <v>6279</v>
      </c>
      <c r="C9" s="129" t="s">
        <v>6280</v>
      </c>
      <c r="D9" s="129" t="s">
        <v>5461</v>
      </c>
      <c r="E9" s="129" t="s">
        <v>6268</v>
      </c>
      <c r="F9" s="129" t="s">
        <v>6280</v>
      </c>
      <c r="G9" s="129" t="s">
        <v>6281</v>
      </c>
      <c r="H9" s="129" t="s">
        <v>6270</v>
      </c>
      <c r="I9" s="129" t="s">
        <v>6271</v>
      </c>
      <c r="J9" s="129" t="s">
        <v>6270</v>
      </c>
      <c r="K9" s="129" t="s">
        <v>6270</v>
      </c>
      <c r="L9" s="129" t="s">
        <v>6270</v>
      </c>
      <c r="M9" s="129" t="s">
        <v>43</v>
      </c>
      <c r="N9" s="129" t="s">
        <v>6282</v>
      </c>
      <c r="O9" s="129" t="s">
        <v>6283</v>
      </c>
      <c r="P9" s="129" t="s">
        <v>387</v>
      </c>
      <c r="Q9" s="129" t="s">
        <v>6274</v>
      </c>
      <c r="R9" s="129">
        <v>2018</v>
      </c>
      <c r="S9" s="129">
        <v>24</v>
      </c>
      <c r="T9" s="129" t="s">
        <v>6275</v>
      </c>
      <c r="U9" s="129" t="s">
        <v>5534</v>
      </c>
      <c r="V9" s="129" t="s">
        <v>6276</v>
      </c>
      <c r="W9" s="129" t="s">
        <v>6284</v>
      </c>
      <c r="X9" s="129" t="s">
        <v>6277</v>
      </c>
    </row>
    <row r="10" spans="1:24" ht="24">
      <c r="A10" s="129" t="s">
        <v>6285</v>
      </c>
      <c r="B10" s="129" t="s">
        <v>6286</v>
      </c>
      <c r="C10" s="129" t="s">
        <v>6287</v>
      </c>
      <c r="D10" s="129" t="s">
        <v>5456</v>
      </c>
      <c r="E10" s="129" t="s">
        <v>6268</v>
      </c>
      <c r="F10" s="129" t="s">
        <v>6287</v>
      </c>
      <c r="G10" s="129" t="s">
        <v>6288</v>
      </c>
      <c r="H10" s="129" t="s">
        <v>6270</v>
      </c>
      <c r="I10" s="129" t="s">
        <v>6271</v>
      </c>
      <c r="J10" s="129" t="s">
        <v>6270</v>
      </c>
      <c r="K10" s="129" t="s">
        <v>6270</v>
      </c>
      <c r="L10" s="129" t="s">
        <v>6270</v>
      </c>
      <c r="M10" s="129" t="s">
        <v>47</v>
      </c>
      <c r="N10" s="129" t="s">
        <v>6289</v>
      </c>
      <c r="O10" s="129" t="s">
        <v>6290</v>
      </c>
      <c r="P10" s="129" t="s">
        <v>387</v>
      </c>
      <c r="Q10" s="129" t="s">
        <v>6274</v>
      </c>
      <c r="R10" s="129">
        <v>2018</v>
      </c>
      <c r="S10" s="129">
        <v>24</v>
      </c>
      <c r="T10" s="129" t="s">
        <v>6275</v>
      </c>
      <c r="U10" s="129" t="s">
        <v>5534</v>
      </c>
      <c r="V10" s="129" t="s">
        <v>6276</v>
      </c>
      <c r="W10" s="129" t="s">
        <v>5459</v>
      </c>
      <c r="X10" s="129" t="s">
        <v>6277</v>
      </c>
    </row>
    <row r="11" spans="1:24" ht="24">
      <c r="A11" s="129" t="s">
        <v>6291</v>
      </c>
      <c r="B11" s="129" t="s">
        <v>6292</v>
      </c>
      <c r="C11" s="129" t="s">
        <v>6293</v>
      </c>
      <c r="D11" s="129" t="s">
        <v>5456</v>
      </c>
      <c r="E11" s="129" t="s">
        <v>6268</v>
      </c>
      <c r="F11" s="129" t="s">
        <v>6293</v>
      </c>
      <c r="G11" s="129" t="s">
        <v>6294</v>
      </c>
      <c r="H11" s="129" t="s">
        <v>6270</v>
      </c>
      <c r="I11" s="129" t="s">
        <v>6271</v>
      </c>
      <c r="J11" s="129" t="s">
        <v>6270</v>
      </c>
      <c r="K11" s="129" t="s">
        <v>6270</v>
      </c>
      <c r="L11" s="129" t="s">
        <v>6270</v>
      </c>
      <c r="M11" s="129" t="s">
        <v>47</v>
      </c>
      <c r="N11" s="129" t="s">
        <v>6295</v>
      </c>
      <c r="O11" s="129" t="s">
        <v>6296</v>
      </c>
      <c r="P11" s="129" t="s">
        <v>387</v>
      </c>
      <c r="Q11" s="129" t="s">
        <v>6274</v>
      </c>
      <c r="R11" s="129">
        <v>2018</v>
      </c>
      <c r="S11" s="129">
        <v>25</v>
      </c>
      <c r="T11" s="129" t="s">
        <v>6275</v>
      </c>
      <c r="U11" s="129" t="s">
        <v>5534</v>
      </c>
      <c r="V11" s="129" t="s">
        <v>6276</v>
      </c>
      <c r="W11" s="129" t="s">
        <v>5576</v>
      </c>
      <c r="X11" s="129" t="s">
        <v>6277</v>
      </c>
    </row>
    <row r="12" spans="1:24" ht="36">
      <c r="A12" s="129" t="s">
        <v>6297</v>
      </c>
      <c r="B12" s="129" t="s">
        <v>6298</v>
      </c>
      <c r="C12" s="129" t="s">
        <v>6299</v>
      </c>
      <c r="D12" s="129" t="s">
        <v>5466</v>
      </c>
      <c r="E12" s="129" t="s">
        <v>6268</v>
      </c>
      <c r="F12" s="129" t="s">
        <v>6299</v>
      </c>
      <c r="G12" s="129" t="s">
        <v>6300</v>
      </c>
      <c r="H12" s="129" t="s">
        <v>6270</v>
      </c>
      <c r="I12" s="129" t="s">
        <v>6271</v>
      </c>
      <c r="J12" s="129" t="s">
        <v>6270</v>
      </c>
      <c r="K12" s="129" t="s">
        <v>6270</v>
      </c>
      <c r="L12" s="129" t="s">
        <v>6270</v>
      </c>
      <c r="M12" s="129" t="s">
        <v>47</v>
      </c>
      <c r="N12" s="129" t="s">
        <v>6301</v>
      </c>
      <c r="O12" s="129" t="s">
        <v>5528</v>
      </c>
      <c r="P12" s="129" t="s">
        <v>387</v>
      </c>
      <c r="Q12" s="129" t="s">
        <v>6274</v>
      </c>
      <c r="R12" s="129">
        <v>2018</v>
      </c>
      <c r="S12" s="129">
        <v>27</v>
      </c>
      <c r="T12" s="129" t="s">
        <v>6275</v>
      </c>
      <c r="U12" s="129" t="s">
        <v>5534</v>
      </c>
      <c r="V12" s="129" t="s">
        <v>6276</v>
      </c>
      <c r="W12" s="129" t="s">
        <v>5576</v>
      </c>
      <c r="X12" s="129" t="s">
        <v>6277</v>
      </c>
    </row>
    <row r="13" spans="1:24" ht="24">
      <c r="A13" s="129" t="s">
        <v>6302</v>
      </c>
      <c r="B13" s="129" t="s">
        <v>6303</v>
      </c>
      <c r="C13" s="129" t="s">
        <v>6304</v>
      </c>
      <c r="D13" s="129" t="s">
        <v>5470</v>
      </c>
      <c r="E13" s="129" t="s">
        <v>6268</v>
      </c>
      <c r="F13" s="129" t="s">
        <v>6304</v>
      </c>
      <c r="G13" s="129" t="s">
        <v>6305</v>
      </c>
      <c r="H13" s="129" t="s">
        <v>6270</v>
      </c>
      <c r="I13" s="129" t="s">
        <v>6271</v>
      </c>
      <c r="J13" s="129" t="s">
        <v>6270</v>
      </c>
      <c r="K13" s="129" t="s">
        <v>6270</v>
      </c>
      <c r="L13" s="129" t="s">
        <v>6270</v>
      </c>
      <c r="M13" s="129" t="s">
        <v>47</v>
      </c>
      <c r="N13" s="129" t="s">
        <v>5781</v>
      </c>
      <c r="O13" s="129" t="s">
        <v>6306</v>
      </c>
      <c r="P13" s="129" t="s">
        <v>387</v>
      </c>
      <c r="Q13" s="129" t="s">
        <v>6274</v>
      </c>
      <c r="R13" s="129">
        <v>2018</v>
      </c>
      <c r="S13" s="129">
        <v>28</v>
      </c>
      <c r="T13" s="129" t="s">
        <v>6275</v>
      </c>
      <c r="U13" s="129" t="s">
        <v>5534</v>
      </c>
      <c r="V13" s="129" t="s">
        <v>6276</v>
      </c>
      <c r="W13" s="129" t="s">
        <v>5576</v>
      </c>
      <c r="X13" s="129" t="s">
        <v>6277</v>
      </c>
    </row>
    <row r="14" spans="1:24" ht="24">
      <c r="A14" s="129" t="s">
        <v>6307</v>
      </c>
      <c r="B14" s="129" t="s">
        <v>6308</v>
      </c>
      <c r="C14" s="129" t="s">
        <v>6309</v>
      </c>
      <c r="D14" s="129" t="s">
        <v>5466</v>
      </c>
      <c r="E14" s="129" t="s">
        <v>6268</v>
      </c>
      <c r="F14" s="129" t="s">
        <v>6309</v>
      </c>
      <c r="G14" s="129" t="s">
        <v>6310</v>
      </c>
      <c r="H14" s="129" t="s">
        <v>6270</v>
      </c>
      <c r="I14" s="129" t="s">
        <v>6271</v>
      </c>
      <c r="J14" s="129" t="s">
        <v>6270</v>
      </c>
      <c r="K14" s="129" t="s">
        <v>6270</v>
      </c>
      <c r="L14" s="129" t="s">
        <v>6270</v>
      </c>
      <c r="M14" s="129" t="s">
        <v>47</v>
      </c>
      <c r="N14" s="129" t="s">
        <v>6311</v>
      </c>
      <c r="O14" s="129" t="s">
        <v>5528</v>
      </c>
      <c r="P14" s="129" t="s">
        <v>387</v>
      </c>
      <c r="Q14" s="129" t="s">
        <v>6274</v>
      </c>
      <c r="R14" s="129">
        <v>2018</v>
      </c>
      <c r="S14" s="129">
        <v>28</v>
      </c>
      <c r="T14" s="129" t="s">
        <v>6275</v>
      </c>
      <c r="U14" s="129" t="s">
        <v>5534</v>
      </c>
      <c r="V14" s="129" t="s">
        <v>6276</v>
      </c>
      <c r="W14" s="129" t="s">
        <v>5487</v>
      </c>
      <c r="X14" s="129" t="s">
        <v>6277</v>
      </c>
    </row>
    <row r="15" spans="1:24" ht="24">
      <c r="A15" s="129" t="s">
        <v>6312</v>
      </c>
      <c r="B15" s="129" t="s">
        <v>6313</v>
      </c>
      <c r="C15" s="129" t="s">
        <v>6314</v>
      </c>
      <c r="D15" s="129" t="s">
        <v>6315</v>
      </c>
      <c r="E15" s="129" t="s">
        <v>6268</v>
      </c>
      <c r="F15" s="129" t="s">
        <v>6314</v>
      </c>
      <c r="G15" s="129" t="s">
        <v>6316</v>
      </c>
      <c r="H15" s="129" t="s">
        <v>6270</v>
      </c>
      <c r="I15" s="129" t="s">
        <v>6271</v>
      </c>
      <c r="J15" s="129" t="s">
        <v>6270</v>
      </c>
      <c r="K15" s="129" t="s">
        <v>6270</v>
      </c>
      <c r="L15" s="129" t="s">
        <v>6270</v>
      </c>
      <c r="M15" s="129" t="s">
        <v>47</v>
      </c>
      <c r="N15" s="129" t="s">
        <v>5527</v>
      </c>
      <c r="O15" s="129" t="s">
        <v>212</v>
      </c>
      <c r="P15" s="129" t="s">
        <v>387</v>
      </c>
      <c r="Q15" s="129" t="s">
        <v>6274</v>
      </c>
      <c r="R15" s="129">
        <v>2018</v>
      </c>
      <c r="S15" s="129">
        <v>29</v>
      </c>
      <c r="T15" s="129" t="s">
        <v>6275</v>
      </c>
      <c r="U15" s="129" t="s">
        <v>5534</v>
      </c>
      <c r="V15" s="129" t="s">
        <v>6276</v>
      </c>
      <c r="W15" s="129" t="s">
        <v>5501</v>
      </c>
      <c r="X15" s="129" t="s">
        <v>6277</v>
      </c>
    </row>
    <row r="16" spans="1:24" ht="24">
      <c r="A16" s="129" t="s">
        <v>6317</v>
      </c>
      <c r="B16" s="129" t="s">
        <v>6318</v>
      </c>
      <c r="C16" s="129" t="s">
        <v>6319</v>
      </c>
      <c r="D16" s="129" t="s">
        <v>5466</v>
      </c>
      <c r="E16" s="129" t="s">
        <v>6268</v>
      </c>
      <c r="F16" s="129" t="s">
        <v>6319</v>
      </c>
      <c r="G16" s="129" t="s">
        <v>6320</v>
      </c>
      <c r="H16" s="129" t="s">
        <v>6270</v>
      </c>
      <c r="I16" s="129" t="s">
        <v>6271</v>
      </c>
      <c r="J16" s="129" t="s">
        <v>6270</v>
      </c>
      <c r="K16" s="129" t="s">
        <v>6270</v>
      </c>
      <c r="L16" s="129" t="s">
        <v>6270</v>
      </c>
      <c r="M16" s="129" t="s">
        <v>47</v>
      </c>
      <c r="N16" s="129" t="s">
        <v>5528</v>
      </c>
      <c r="O16" s="129" t="s">
        <v>5528</v>
      </c>
      <c r="P16" s="129" t="s">
        <v>387</v>
      </c>
      <c r="Q16" s="129" t="s">
        <v>6274</v>
      </c>
      <c r="R16" s="129">
        <v>2018</v>
      </c>
      <c r="S16" s="129">
        <v>30</v>
      </c>
      <c r="T16" s="129" t="s">
        <v>6275</v>
      </c>
      <c r="U16" s="129" t="s">
        <v>5534</v>
      </c>
      <c r="V16" s="129" t="s">
        <v>6276</v>
      </c>
      <c r="W16" s="129" t="s">
        <v>5576</v>
      </c>
      <c r="X16" s="129" t="s">
        <v>6277</v>
      </c>
    </row>
    <row r="17" spans="1:24" ht="24">
      <c r="A17" s="129" t="s">
        <v>6321</v>
      </c>
      <c r="B17" s="129" t="s">
        <v>6322</v>
      </c>
      <c r="C17" s="129" t="s">
        <v>6323</v>
      </c>
      <c r="D17" s="129" t="s">
        <v>5461</v>
      </c>
      <c r="E17" s="129" t="s">
        <v>6268</v>
      </c>
      <c r="F17" s="129" t="s">
        <v>6323</v>
      </c>
      <c r="G17" s="129" t="s">
        <v>6324</v>
      </c>
      <c r="H17" s="129" t="s">
        <v>6270</v>
      </c>
      <c r="I17" s="129" t="s">
        <v>6271</v>
      </c>
      <c r="J17" s="129" t="s">
        <v>6270</v>
      </c>
      <c r="K17" s="129" t="s">
        <v>6270</v>
      </c>
      <c r="L17" s="129" t="s">
        <v>6270</v>
      </c>
      <c r="M17" s="129" t="s">
        <v>47</v>
      </c>
      <c r="N17" s="129" t="s">
        <v>5639</v>
      </c>
      <c r="O17" s="129" t="s">
        <v>5558</v>
      </c>
      <c r="P17" s="129" t="s">
        <v>387</v>
      </c>
      <c r="Q17" s="129" t="s">
        <v>6274</v>
      </c>
      <c r="R17" s="129">
        <v>2018</v>
      </c>
      <c r="S17" s="129">
        <v>31</v>
      </c>
      <c r="T17" s="129" t="s">
        <v>6275</v>
      </c>
      <c r="U17" s="129" t="s">
        <v>5534</v>
      </c>
      <c r="V17" s="129" t="s">
        <v>6276</v>
      </c>
      <c r="W17" s="129" t="s">
        <v>5611</v>
      </c>
      <c r="X17" s="129" t="s">
        <v>6277</v>
      </c>
    </row>
    <row r="18" spans="1:24" ht="24">
      <c r="A18" s="129" t="s">
        <v>6325</v>
      </c>
      <c r="B18" s="129" t="s">
        <v>6326</v>
      </c>
      <c r="C18" s="129" t="s">
        <v>6327</v>
      </c>
      <c r="D18" s="129" t="s">
        <v>5466</v>
      </c>
      <c r="E18" s="129" t="s">
        <v>6268</v>
      </c>
      <c r="F18" s="129" t="s">
        <v>6327</v>
      </c>
      <c r="G18" s="129" t="s">
        <v>6328</v>
      </c>
      <c r="H18" s="129" t="s">
        <v>6270</v>
      </c>
      <c r="I18" s="129" t="s">
        <v>6271</v>
      </c>
      <c r="J18" s="129" t="s">
        <v>6270</v>
      </c>
      <c r="K18" s="129" t="s">
        <v>6270</v>
      </c>
      <c r="L18" s="129" t="s">
        <v>6270</v>
      </c>
      <c r="M18" s="129" t="s">
        <v>47</v>
      </c>
      <c r="N18" s="129" t="s">
        <v>6311</v>
      </c>
      <c r="O18" s="129" t="s">
        <v>5528</v>
      </c>
      <c r="P18" s="129" t="s">
        <v>387</v>
      </c>
      <c r="Q18" s="129" t="s">
        <v>6274</v>
      </c>
      <c r="R18" s="129">
        <v>2018</v>
      </c>
      <c r="S18" s="129">
        <v>31</v>
      </c>
      <c r="T18" s="129" t="s">
        <v>6275</v>
      </c>
      <c r="U18" s="129" t="s">
        <v>5534</v>
      </c>
      <c r="V18" s="129" t="s">
        <v>6276</v>
      </c>
      <c r="W18" s="129" t="s">
        <v>5576</v>
      </c>
      <c r="X18" s="129" t="s">
        <v>6277</v>
      </c>
    </row>
    <row r="19" spans="1:24" ht="24">
      <c r="A19" s="129" t="s">
        <v>6329</v>
      </c>
      <c r="B19" s="129" t="s">
        <v>6330</v>
      </c>
      <c r="C19" s="129" t="s">
        <v>6331</v>
      </c>
      <c r="D19" s="129" t="s">
        <v>5466</v>
      </c>
      <c r="E19" s="129" t="s">
        <v>6268</v>
      </c>
      <c r="F19" s="129" t="s">
        <v>6331</v>
      </c>
      <c r="G19" s="129" t="s">
        <v>6332</v>
      </c>
      <c r="H19" s="129" t="s">
        <v>6270</v>
      </c>
      <c r="I19" s="129" t="s">
        <v>6271</v>
      </c>
      <c r="J19" s="129" t="s">
        <v>6270</v>
      </c>
      <c r="K19" s="129" t="s">
        <v>6270</v>
      </c>
      <c r="L19" s="129" t="s">
        <v>6270</v>
      </c>
      <c r="M19" s="129" t="s">
        <v>47</v>
      </c>
      <c r="N19" s="129" t="s">
        <v>6333</v>
      </c>
      <c r="O19" s="129" t="s">
        <v>5528</v>
      </c>
      <c r="P19" s="129" t="s">
        <v>387</v>
      </c>
      <c r="Q19" s="129" t="s">
        <v>6274</v>
      </c>
      <c r="R19" s="129">
        <v>2018</v>
      </c>
      <c r="S19" s="129">
        <v>33</v>
      </c>
      <c r="T19" s="129" t="s">
        <v>6275</v>
      </c>
      <c r="U19" s="129" t="s">
        <v>5534</v>
      </c>
      <c r="V19" s="129" t="s">
        <v>6276</v>
      </c>
      <c r="W19" s="129" t="s">
        <v>5576</v>
      </c>
      <c r="X19" s="129" t="s">
        <v>6277</v>
      </c>
    </row>
    <row r="20" spans="1:24" ht="24">
      <c r="A20" s="129" t="s">
        <v>6334</v>
      </c>
      <c r="B20" s="129" t="s">
        <v>6335</v>
      </c>
      <c r="C20" s="129" t="s">
        <v>6336</v>
      </c>
      <c r="D20" s="129" t="s">
        <v>5456</v>
      </c>
      <c r="E20" s="129" t="s">
        <v>6268</v>
      </c>
      <c r="F20" s="129" t="s">
        <v>6336</v>
      </c>
      <c r="G20" s="129" t="s">
        <v>6337</v>
      </c>
      <c r="H20" s="129" t="s">
        <v>6270</v>
      </c>
      <c r="I20" s="129" t="s">
        <v>6271</v>
      </c>
      <c r="J20" s="129" t="s">
        <v>6270</v>
      </c>
      <c r="K20" s="129" t="s">
        <v>6270</v>
      </c>
      <c r="L20" s="129" t="s">
        <v>6270</v>
      </c>
      <c r="M20" s="129" t="s">
        <v>47</v>
      </c>
      <c r="N20" s="129" t="s">
        <v>6338</v>
      </c>
      <c r="O20" s="129" t="s">
        <v>6339</v>
      </c>
      <c r="P20" s="129" t="s">
        <v>387</v>
      </c>
      <c r="Q20" s="129" t="s">
        <v>6274</v>
      </c>
      <c r="R20" s="129">
        <v>2018</v>
      </c>
      <c r="S20" s="129">
        <v>33</v>
      </c>
      <c r="T20" s="129" t="s">
        <v>6275</v>
      </c>
      <c r="U20" s="129" t="s">
        <v>5534</v>
      </c>
      <c r="V20" s="129" t="s">
        <v>6276</v>
      </c>
      <c r="W20" s="129" t="s">
        <v>6340</v>
      </c>
      <c r="X20" s="129" t="s">
        <v>6277</v>
      </c>
    </row>
    <row r="21" spans="1:24" ht="24">
      <c r="A21" s="129" t="s">
        <v>6341</v>
      </c>
      <c r="B21" s="129" t="s">
        <v>6342</v>
      </c>
      <c r="C21" s="129" t="s">
        <v>6343</v>
      </c>
      <c r="D21" s="129" t="s">
        <v>6315</v>
      </c>
      <c r="E21" s="129" t="s">
        <v>6344</v>
      </c>
      <c r="F21" s="129" t="s">
        <v>6343</v>
      </c>
      <c r="G21" s="129" t="s">
        <v>6345</v>
      </c>
      <c r="H21" s="129" t="s">
        <v>6346</v>
      </c>
      <c r="I21" s="129" t="s">
        <v>6271</v>
      </c>
      <c r="J21" s="129" t="s">
        <v>6347</v>
      </c>
      <c r="K21" s="129" t="s">
        <v>6270</v>
      </c>
      <c r="L21" s="129" t="s">
        <v>6348</v>
      </c>
      <c r="M21" s="129" t="s">
        <v>6349</v>
      </c>
      <c r="N21" s="129" t="s">
        <v>5527</v>
      </c>
      <c r="O21" s="129" t="s">
        <v>212</v>
      </c>
      <c r="P21" s="129" t="s">
        <v>387</v>
      </c>
      <c r="Q21" s="129" t="s">
        <v>6274</v>
      </c>
      <c r="R21" s="129">
        <v>2018</v>
      </c>
      <c r="S21" s="129">
        <v>34</v>
      </c>
      <c r="T21" s="129" t="s">
        <v>6350</v>
      </c>
      <c r="U21" s="129" t="s">
        <v>932</v>
      </c>
      <c r="V21" s="129" t="s">
        <v>6351</v>
      </c>
      <c r="W21" s="129" t="s">
        <v>6352</v>
      </c>
      <c r="X21" s="129" t="s">
        <v>6277</v>
      </c>
    </row>
    <row r="22" spans="1:24" ht="24">
      <c r="A22" s="129" t="s">
        <v>6353</v>
      </c>
      <c r="B22" s="129" t="s">
        <v>6354</v>
      </c>
      <c r="C22" s="129" t="s">
        <v>6355</v>
      </c>
      <c r="D22" s="129" t="s">
        <v>6315</v>
      </c>
      <c r="E22" s="129" t="s">
        <v>6344</v>
      </c>
      <c r="F22" s="129" t="s">
        <v>6355</v>
      </c>
      <c r="G22" s="129" t="s">
        <v>6356</v>
      </c>
      <c r="H22" s="129" t="s">
        <v>6357</v>
      </c>
      <c r="I22" s="129" t="s">
        <v>6271</v>
      </c>
      <c r="J22" s="129" t="s">
        <v>6347</v>
      </c>
      <c r="K22" s="129" t="s">
        <v>6270</v>
      </c>
      <c r="L22" s="129" t="s">
        <v>4703</v>
      </c>
      <c r="M22" s="129" t="s">
        <v>6349</v>
      </c>
      <c r="N22" s="129" t="s">
        <v>5527</v>
      </c>
      <c r="O22" s="129" t="s">
        <v>212</v>
      </c>
      <c r="P22" s="129" t="s">
        <v>387</v>
      </c>
      <c r="Q22" s="129" t="s">
        <v>6274</v>
      </c>
      <c r="R22" s="129">
        <v>2018</v>
      </c>
      <c r="S22" s="129">
        <v>36</v>
      </c>
      <c r="T22" s="129" t="s">
        <v>6350</v>
      </c>
      <c r="U22" s="129" t="s">
        <v>932</v>
      </c>
      <c r="V22" s="129" t="s">
        <v>6351</v>
      </c>
      <c r="W22" s="129" t="s">
        <v>6352</v>
      </c>
      <c r="X22" s="129" t="s">
        <v>6277</v>
      </c>
    </row>
    <row r="23" spans="1:24" ht="24">
      <c r="A23" s="129" t="s">
        <v>6358</v>
      </c>
      <c r="B23" s="129" t="s">
        <v>6359</v>
      </c>
      <c r="C23" s="129" t="s">
        <v>6360</v>
      </c>
      <c r="D23" s="129" t="s">
        <v>6315</v>
      </c>
      <c r="E23" s="129" t="s">
        <v>6344</v>
      </c>
      <c r="F23" s="129" t="s">
        <v>6360</v>
      </c>
      <c r="G23" s="129" t="s">
        <v>6361</v>
      </c>
      <c r="H23" s="129" t="s">
        <v>6362</v>
      </c>
      <c r="I23" s="129" t="s">
        <v>6271</v>
      </c>
      <c r="J23" s="129" t="s">
        <v>6347</v>
      </c>
      <c r="K23" s="129" t="s">
        <v>6270</v>
      </c>
      <c r="L23" s="129" t="s">
        <v>4703</v>
      </c>
      <c r="M23" s="129" t="s">
        <v>6349</v>
      </c>
      <c r="N23" s="129" t="s">
        <v>5527</v>
      </c>
      <c r="O23" s="129" t="s">
        <v>212</v>
      </c>
      <c r="P23" s="129" t="s">
        <v>387</v>
      </c>
      <c r="Q23" s="129" t="s">
        <v>6274</v>
      </c>
      <c r="R23" s="129">
        <v>2018</v>
      </c>
      <c r="S23" s="129">
        <v>38</v>
      </c>
      <c r="T23" s="129" t="s">
        <v>6350</v>
      </c>
      <c r="U23" s="129" t="s">
        <v>932</v>
      </c>
      <c r="V23" s="129" t="s">
        <v>6351</v>
      </c>
      <c r="W23" s="129" t="s">
        <v>6352</v>
      </c>
      <c r="X23" s="129" t="s">
        <v>6277</v>
      </c>
    </row>
    <row r="24" spans="1:24" ht="24">
      <c r="A24" s="129" t="s">
        <v>6363</v>
      </c>
      <c r="B24" s="129" t="s">
        <v>6364</v>
      </c>
      <c r="C24" s="129" t="s">
        <v>6365</v>
      </c>
      <c r="D24" s="129" t="s">
        <v>6315</v>
      </c>
      <c r="E24" s="129" t="s">
        <v>6344</v>
      </c>
      <c r="F24" s="129" t="s">
        <v>6365</v>
      </c>
      <c r="G24" s="129" t="s">
        <v>6366</v>
      </c>
      <c r="H24" s="129" t="s">
        <v>6346</v>
      </c>
      <c r="I24" s="129" t="s">
        <v>6271</v>
      </c>
      <c r="J24" s="129" t="s">
        <v>6347</v>
      </c>
      <c r="K24" s="129" t="s">
        <v>6270</v>
      </c>
      <c r="L24" s="129" t="s">
        <v>6348</v>
      </c>
      <c r="M24" s="129" t="s">
        <v>6349</v>
      </c>
      <c r="N24" s="129" t="s">
        <v>5527</v>
      </c>
      <c r="O24" s="129" t="s">
        <v>212</v>
      </c>
      <c r="P24" s="129" t="s">
        <v>387</v>
      </c>
      <c r="Q24" s="129" t="s">
        <v>6274</v>
      </c>
      <c r="R24" s="129">
        <v>2018</v>
      </c>
      <c r="S24" s="129">
        <v>40</v>
      </c>
      <c r="T24" s="129" t="s">
        <v>6350</v>
      </c>
      <c r="U24" s="129" t="s">
        <v>932</v>
      </c>
      <c r="V24" s="129" t="s">
        <v>6351</v>
      </c>
      <c r="W24" s="129" t="s">
        <v>6352</v>
      </c>
      <c r="X24" s="129" t="s">
        <v>6277</v>
      </c>
    </row>
    <row r="25" spans="1:24" ht="24">
      <c r="A25" s="129" t="s">
        <v>6367</v>
      </c>
      <c r="B25" s="129" t="s">
        <v>6368</v>
      </c>
      <c r="C25" s="129" t="s">
        <v>6369</v>
      </c>
      <c r="D25" s="129" t="s">
        <v>5441</v>
      </c>
      <c r="E25" s="129" t="s">
        <v>6268</v>
      </c>
      <c r="F25" s="129" t="s">
        <v>6369</v>
      </c>
      <c r="G25" s="129" t="s">
        <v>6370</v>
      </c>
      <c r="H25" s="129" t="s">
        <v>6270</v>
      </c>
      <c r="I25" s="129" t="s">
        <v>6271</v>
      </c>
      <c r="J25" s="129" t="s">
        <v>6270</v>
      </c>
      <c r="K25" s="129" t="s">
        <v>6270</v>
      </c>
      <c r="L25" s="129" t="s">
        <v>6270</v>
      </c>
      <c r="M25" s="129" t="s">
        <v>6371</v>
      </c>
      <c r="N25" s="129" t="s">
        <v>5903</v>
      </c>
      <c r="O25" s="129" t="s">
        <v>6372</v>
      </c>
      <c r="P25" s="129" t="s">
        <v>40</v>
      </c>
      <c r="Q25" s="129" t="s">
        <v>6274</v>
      </c>
      <c r="R25" s="129">
        <v>2018</v>
      </c>
      <c r="S25" s="129">
        <v>43</v>
      </c>
      <c r="T25" s="129" t="s">
        <v>6275</v>
      </c>
      <c r="U25" s="129" t="s">
        <v>5534</v>
      </c>
      <c r="V25" s="129" t="s">
        <v>6276</v>
      </c>
      <c r="W25" s="129" t="s">
        <v>5487</v>
      </c>
      <c r="X25" s="129" t="s">
        <v>6277</v>
      </c>
    </row>
    <row r="26" spans="1:24" ht="24">
      <c r="A26" s="129" t="s">
        <v>6373</v>
      </c>
      <c r="B26" s="129" t="s">
        <v>6374</v>
      </c>
      <c r="C26" s="129" t="s">
        <v>6375</v>
      </c>
      <c r="D26" s="129" t="s">
        <v>5452</v>
      </c>
      <c r="E26" s="129" t="s">
        <v>6268</v>
      </c>
      <c r="F26" s="129" t="s">
        <v>6375</v>
      </c>
      <c r="G26" s="129" t="s">
        <v>6376</v>
      </c>
      <c r="H26" s="129" t="s">
        <v>6270</v>
      </c>
      <c r="I26" s="129" t="s">
        <v>6271</v>
      </c>
      <c r="J26" s="129" t="s">
        <v>6270</v>
      </c>
      <c r="K26" s="129" t="s">
        <v>6270</v>
      </c>
      <c r="L26" s="129" t="s">
        <v>6270</v>
      </c>
      <c r="M26" s="129" t="s">
        <v>6377</v>
      </c>
      <c r="N26" s="129" t="s">
        <v>5594</v>
      </c>
      <c r="O26" s="129" t="s">
        <v>5595</v>
      </c>
      <c r="P26" s="129" t="s">
        <v>387</v>
      </c>
      <c r="Q26" s="129" t="s">
        <v>6274</v>
      </c>
      <c r="R26" s="129">
        <v>2018</v>
      </c>
      <c r="S26" s="129">
        <v>52</v>
      </c>
      <c r="T26" s="129" t="s">
        <v>6275</v>
      </c>
      <c r="U26" s="129" t="s">
        <v>932</v>
      </c>
      <c r="V26" s="129" t="s">
        <v>6276</v>
      </c>
      <c r="W26" s="129" t="s">
        <v>5611</v>
      </c>
      <c r="X26" s="129" t="s">
        <v>6277</v>
      </c>
    </row>
    <row r="27" spans="1:24" ht="24">
      <c r="A27" s="129" t="s">
        <v>6378</v>
      </c>
      <c r="B27" s="129" t="s">
        <v>6379</v>
      </c>
      <c r="C27" s="129" t="s">
        <v>6380</v>
      </c>
      <c r="D27" s="129" t="s">
        <v>5456</v>
      </c>
      <c r="E27" s="129" t="s">
        <v>6268</v>
      </c>
      <c r="F27" s="129" t="s">
        <v>6380</v>
      </c>
      <c r="G27" s="129" t="s">
        <v>6381</v>
      </c>
      <c r="H27" s="129" t="s">
        <v>6270</v>
      </c>
      <c r="I27" s="129" t="s">
        <v>6271</v>
      </c>
      <c r="J27" s="129" t="s">
        <v>6270</v>
      </c>
      <c r="K27" s="129" t="s">
        <v>6270</v>
      </c>
      <c r="L27" s="129" t="s">
        <v>6270</v>
      </c>
      <c r="M27" s="129" t="s">
        <v>6382</v>
      </c>
      <c r="N27" s="129" t="s">
        <v>5558</v>
      </c>
      <c r="O27" s="129" t="s">
        <v>5493</v>
      </c>
      <c r="P27" s="129" t="s">
        <v>387</v>
      </c>
      <c r="Q27" s="129" t="s">
        <v>6274</v>
      </c>
      <c r="R27" s="129">
        <v>2018</v>
      </c>
      <c r="S27" s="129">
        <v>58</v>
      </c>
      <c r="T27" s="129" t="s">
        <v>6275</v>
      </c>
      <c r="U27" s="129" t="s">
        <v>5534</v>
      </c>
      <c r="V27" s="129" t="s">
        <v>6276</v>
      </c>
      <c r="W27" s="129" t="s">
        <v>5459</v>
      </c>
      <c r="X27" s="129" t="s">
        <v>6277</v>
      </c>
    </row>
    <row r="28" spans="1:24" ht="24">
      <c r="A28" s="129" t="s">
        <v>6383</v>
      </c>
      <c r="B28" s="129" t="s">
        <v>6384</v>
      </c>
      <c r="C28" s="129" t="s">
        <v>6385</v>
      </c>
      <c r="D28" s="129" t="s">
        <v>5474</v>
      </c>
      <c r="E28" s="129" t="s">
        <v>6268</v>
      </c>
      <c r="F28" s="129" t="s">
        <v>6385</v>
      </c>
      <c r="G28" s="129" t="s">
        <v>6386</v>
      </c>
      <c r="H28" s="129" t="s">
        <v>6270</v>
      </c>
      <c r="I28" s="129" t="s">
        <v>6271</v>
      </c>
      <c r="J28" s="129" t="s">
        <v>6270</v>
      </c>
      <c r="K28" s="129" t="s">
        <v>6270</v>
      </c>
      <c r="L28" s="129" t="s">
        <v>6270</v>
      </c>
      <c r="M28" s="129" t="s">
        <v>6387</v>
      </c>
      <c r="N28" s="129" t="s">
        <v>6125</v>
      </c>
      <c r="O28" s="129" t="s">
        <v>5528</v>
      </c>
      <c r="P28" s="129" t="s">
        <v>387</v>
      </c>
      <c r="Q28" s="129" t="s">
        <v>6274</v>
      </c>
      <c r="R28" s="129">
        <v>2018</v>
      </c>
      <c r="S28" s="129">
        <v>113</v>
      </c>
      <c r="T28" s="129" t="s">
        <v>6275</v>
      </c>
      <c r="U28" s="129" t="s">
        <v>5534</v>
      </c>
      <c r="V28" s="129" t="s">
        <v>6276</v>
      </c>
      <c r="W28" s="129" t="s">
        <v>5487</v>
      </c>
      <c r="X28" s="129" t="s">
        <v>6277</v>
      </c>
    </row>
    <row r="29" spans="1:24" ht="24">
      <c r="A29" s="129" t="s">
        <v>6388</v>
      </c>
      <c r="B29" s="129" t="s">
        <v>6389</v>
      </c>
      <c r="C29" s="129" t="s">
        <v>6390</v>
      </c>
      <c r="D29" s="129" t="s">
        <v>6232</v>
      </c>
      <c r="E29" s="129" t="s">
        <v>6268</v>
      </c>
      <c r="F29" s="129" t="s">
        <v>6390</v>
      </c>
      <c r="G29" s="129" t="s">
        <v>6391</v>
      </c>
      <c r="H29" s="129" t="s">
        <v>6270</v>
      </c>
      <c r="I29" s="129" t="s">
        <v>6271</v>
      </c>
      <c r="J29" s="129" t="s">
        <v>6270</v>
      </c>
      <c r="K29" s="129" t="s">
        <v>6270</v>
      </c>
      <c r="L29" s="129" t="s">
        <v>6270</v>
      </c>
      <c r="M29" s="129" t="s">
        <v>6392</v>
      </c>
      <c r="N29" s="129" t="s">
        <v>5831</v>
      </c>
      <c r="O29" s="129" t="s">
        <v>5528</v>
      </c>
      <c r="P29" s="129" t="s">
        <v>387</v>
      </c>
      <c r="Q29" s="129" t="s">
        <v>6274</v>
      </c>
      <c r="R29" s="129">
        <v>2018</v>
      </c>
      <c r="S29" s="129">
        <v>104</v>
      </c>
      <c r="T29" s="129" t="s">
        <v>6275</v>
      </c>
      <c r="U29" s="129" t="s">
        <v>932</v>
      </c>
      <c r="V29" s="129" t="s">
        <v>6276</v>
      </c>
      <c r="W29" s="129" t="s">
        <v>6393</v>
      </c>
      <c r="X29" s="129" t="s">
        <v>6277</v>
      </c>
    </row>
    <row r="30" spans="1:24" ht="24">
      <c r="A30" s="129" t="s">
        <v>6394</v>
      </c>
      <c r="B30" s="129" t="s">
        <v>6395</v>
      </c>
      <c r="C30" s="129" t="s">
        <v>6396</v>
      </c>
      <c r="D30" s="129" t="s">
        <v>6232</v>
      </c>
      <c r="E30" s="129" t="s">
        <v>6268</v>
      </c>
      <c r="F30" s="129" t="s">
        <v>6396</v>
      </c>
      <c r="G30" s="129" t="s">
        <v>6397</v>
      </c>
      <c r="H30" s="129" t="s">
        <v>6270</v>
      </c>
      <c r="I30" s="129" t="s">
        <v>6271</v>
      </c>
      <c r="J30" s="129" t="s">
        <v>6270</v>
      </c>
      <c r="K30" s="129" t="s">
        <v>6270</v>
      </c>
      <c r="L30" s="129" t="s">
        <v>6270</v>
      </c>
      <c r="M30" s="129" t="s">
        <v>6398</v>
      </c>
      <c r="N30" s="129" t="s">
        <v>5842</v>
      </c>
      <c r="O30" s="129" t="s">
        <v>5558</v>
      </c>
      <c r="P30" s="129" t="s">
        <v>387</v>
      </c>
      <c r="Q30" s="129" t="s">
        <v>6274</v>
      </c>
      <c r="R30" s="129">
        <v>2018</v>
      </c>
      <c r="S30" s="129">
        <v>105</v>
      </c>
      <c r="T30" s="129" t="s">
        <v>6275</v>
      </c>
      <c r="U30" s="129" t="s">
        <v>932</v>
      </c>
      <c r="V30" s="129" t="s">
        <v>6276</v>
      </c>
      <c r="W30" s="129" t="s">
        <v>6393</v>
      </c>
      <c r="X30" s="129" t="s">
        <v>6277</v>
      </c>
    </row>
    <row r="31" spans="1:24" ht="24">
      <c r="A31" s="129" t="s">
        <v>6399</v>
      </c>
      <c r="B31" s="129" t="s">
        <v>6400</v>
      </c>
      <c r="C31" s="129" t="s">
        <v>6401</v>
      </c>
      <c r="D31" s="129" t="s">
        <v>6232</v>
      </c>
      <c r="E31" s="129" t="s">
        <v>6268</v>
      </c>
      <c r="F31" s="129" t="s">
        <v>6401</v>
      </c>
      <c r="G31" s="129" t="s">
        <v>6402</v>
      </c>
      <c r="H31" s="129" t="s">
        <v>6270</v>
      </c>
      <c r="I31" s="129" t="s">
        <v>6271</v>
      </c>
      <c r="J31" s="129" t="s">
        <v>6270</v>
      </c>
      <c r="K31" s="129" t="s">
        <v>6270</v>
      </c>
      <c r="L31" s="129" t="s">
        <v>6270</v>
      </c>
      <c r="M31" s="129" t="s">
        <v>6382</v>
      </c>
      <c r="N31" s="129" t="s">
        <v>6247</v>
      </c>
      <c r="O31" s="129" t="s">
        <v>5558</v>
      </c>
      <c r="P31" s="129" t="s">
        <v>387</v>
      </c>
      <c r="Q31" s="129" t="s">
        <v>6274</v>
      </c>
      <c r="R31" s="129">
        <v>2018</v>
      </c>
      <c r="S31" s="129">
        <v>111</v>
      </c>
      <c r="T31" s="129" t="s">
        <v>6275</v>
      </c>
      <c r="U31" s="129" t="s">
        <v>932</v>
      </c>
      <c r="V31" s="129" t="s">
        <v>6276</v>
      </c>
      <c r="W31" s="129" t="s">
        <v>6393</v>
      </c>
      <c r="X31" s="129" t="s">
        <v>6277</v>
      </c>
    </row>
  </sheetData>
  <mergeCells count="2">
    <mergeCell ref="A1:X1"/>
    <mergeCell ref="A3:X3"/>
  </mergeCell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51"/>
  <sheetViews>
    <sheetView tabSelected="1" topLeftCell="A4" workbookViewId="0">
      <selection activeCell="H26" sqref="H26"/>
    </sheetView>
  </sheetViews>
  <sheetFormatPr baseColWidth="10" defaultColWidth="9" defaultRowHeight="14.25"/>
  <cols>
    <col min="1" max="1" width="12" customWidth="1"/>
    <col min="2" max="2" width="28" customWidth="1"/>
    <col min="3" max="3" width="70" customWidth="1"/>
    <col min="4" max="4" width="26" customWidth="1"/>
    <col min="5" max="5" width="48" customWidth="1"/>
  </cols>
  <sheetData>
    <row r="1" spans="1:10" ht="18">
      <c r="A1" s="293" t="s">
        <v>6403</v>
      </c>
      <c r="B1" s="293"/>
      <c r="C1" s="293"/>
      <c r="D1" s="293"/>
      <c r="E1" s="293"/>
      <c r="F1" s="293"/>
      <c r="G1" s="293"/>
      <c r="H1" s="293"/>
      <c r="I1" s="293"/>
      <c r="J1" s="293"/>
    </row>
    <row r="3" spans="1:10">
      <c r="A3" s="294" t="s">
        <v>6404</v>
      </c>
      <c r="B3" s="294"/>
      <c r="C3" s="294"/>
      <c r="D3" s="294"/>
      <c r="E3" s="294"/>
      <c r="F3" s="294"/>
      <c r="G3" s="294"/>
      <c r="H3" s="294"/>
      <c r="I3" s="294"/>
      <c r="J3" s="294"/>
    </row>
    <row r="5" spans="1:10">
      <c r="A5" s="122" t="s">
        <v>5430</v>
      </c>
      <c r="B5" s="122" t="s">
        <v>5431</v>
      </c>
      <c r="C5" s="122" t="s">
        <v>5432</v>
      </c>
      <c r="D5" s="122" t="s">
        <v>964</v>
      </c>
      <c r="E5" s="122" t="s">
        <v>5433</v>
      </c>
      <c r="F5" s="123" t="s">
        <v>5434</v>
      </c>
      <c r="G5" s="122" t="s">
        <v>979</v>
      </c>
      <c r="H5" s="122" t="s">
        <v>1100</v>
      </c>
      <c r="I5" s="122" t="s">
        <v>1317</v>
      </c>
      <c r="J5" s="122" t="s">
        <v>4716</v>
      </c>
    </row>
    <row r="7" spans="1:10">
      <c r="A7" s="128" t="s">
        <v>188</v>
      </c>
      <c r="B7" s="128" t="s">
        <v>1341</v>
      </c>
      <c r="C7" s="128" t="s">
        <v>6405</v>
      </c>
      <c r="D7" s="128" t="s">
        <v>6406</v>
      </c>
      <c r="E7" s="128" t="s">
        <v>4859</v>
      </c>
    </row>
    <row r="8" spans="1:10">
      <c r="A8" s="129" t="s">
        <v>6407</v>
      </c>
      <c r="B8" s="129" t="s">
        <v>133</v>
      </c>
      <c r="C8" s="129" t="s">
        <v>6408</v>
      </c>
      <c r="D8" s="129" t="s">
        <v>6409</v>
      </c>
      <c r="E8" s="129" t="s">
        <v>6410</v>
      </c>
    </row>
    <row r="9" spans="1:10">
      <c r="A9" s="129" t="s">
        <v>6411</v>
      </c>
      <c r="B9" s="129" t="s">
        <v>5502</v>
      </c>
      <c r="C9" s="129" t="s">
        <v>6412</v>
      </c>
      <c r="D9" s="129" t="s">
        <v>6409</v>
      </c>
      <c r="E9" s="129" t="s">
        <v>6410</v>
      </c>
    </row>
    <row r="10" spans="1:10">
      <c r="A10" s="129" t="s">
        <v>6413</v>
      </c>
      <c r="B10" s="129" t="s">
        <v>5687</v>
      </c>
      <c r="C10" s="129" t="s">
        <v>6414</v>
      </c>
      <c r="D10" s="129" t="s">
        <v>6409</v>
      </c>
      <c r="E10" s="129" t="s">
        <v>6410</v>
      </c>
    </row>
    <row r="11" spans="1:10">
      <c r="A11" s="129" t="s">
        <v>6415</v>
      </c>
      <c r="B11" s="129" t="s">
        <v>5713</v>
      </c>
      <c r="C11" s="129" t="s">
        <v>6416</v>
      </c>
      <c r="D11" s="129" t="s">
        <v>6409</v>
      </c>
      <c r="E11" s="129" t="s">
        <v>6410</v>
      </c>
    </row>
    <row r="12" spans="1:10">
      <c r="A12" s="129" t="s">
        <v>6417</v>
      </c>
      <c r="B12" s="129" t="s">
        <v>6418</v>
      </c>
      <c r="C12" s="129" t="s">
        <v>6419</v>
      </c>
      <c r="D12" s="129" t="s">
        <v>6409</v>
      </c>
      <c r="E12" s="129" t="s">
        <v>6410</v>
      </c>
    </row>
    <row r="13" spans="1:10">
      <c r="A13" s="129" t="s">
        <v>6420</v>
      </c>
      <c r="B13" s="129" t="s">
        <v>6421</v>
      </c>
      <c r="C13" s="129" t="s">
        <v>6422</v>
      </c>
      <c r="D13" s="129" t="s">
        <v>6409</v>
      </c>
      <c r="E13" s="129" t="s">
        <v>6410</v>
      </c>
    </row>
    <row r="14" spans="1:10">
      <c r="A14" s="129" t="s">
        <v>6423</v>
      </c>
      <c r="B14" s="129" t="s">
        <v>6424</v>
      </c>
      <c r="C14" s="129" t="s">
        <v>6425</v>
      </c>
      <c r="D14" s="129" t="s">
        <v>6409</v>
      </c>
      <c r="E14" s="129" t="s">
        <v>6410</v>
      </c>
    </row>
    <row r="15" spans="1:10">
      <c r="A15" s="129" t="s">
        <v>6426</v>
      </c>
      <c r="B15" s="129" t="s">
        <v>6319</v>
      </c>
      <c r="C15" s="129" t="s">
        <v>6427</v>
      </c>
      <c r="D15" s="129" t="s">
        <v>6409</v>
      </c>
      <c r="E15" s="129" t="s">
        <v>6410</v>
      </c>
    </row>
    <row r="16" spans="1:10">
      <c r="A16" s="129" t="s">
        <v>6428</v>
      </c>
      <c r="B16" s="129" t="s">
        <v>6331</v>
      </c>
      <c r="C16" s="129" t="s">
        <v>6429</v>
      </c>
      <c r="D16" s="129" t="s">
        <v>6409</v>
      </c>
      <c r="E16" s="129" t="s">
        <v>6410</v>
      </c>
    </row>
    <row r="17" spans="1:5">
      <c r="A17" s="129" t="s">
        <v>6430</v>
      </c>
      <c r="B17" s="129" t="s">
        <v>5696</v>
      </c>
      <c r="C17" s="129" t="s">
        <v>6431</v>
      </c>
      <c r="D17" s="129" t="s">
        <v>6409</v>
      </c>
      <c r="E17" s="129" t="s">
        <v>6410</v>
      </c>
    </row>
    <row r="18" spans="1:5">
      <c r="A18" s="129" t="s">
        <v>6432</v>
      </c>
      <c r="B18" s="129" t="s">
        <v>6433</v>
      </c>
      <c r="C18" s="129" t="s">
        <v>6434</v>
      </c>
      <c r="D18" s="129" t="s">
        <v>6409</v>
      </c>
      <c r="E18" s="129" t="s">
        <v>6410</v>
      </c>
    </row>
    <row r="19" spans="1:5">
      <c r="A19" s="129" t="s">
        <v>6435</v>
      </c>
      <c r="B19" s="129" t="s">
        <v>6436</v>
      </c>
      <c r="C19" s="129" t="s">
        <v>6437</v>
      </c>
      <c r="D19" s="129" t="s">
        <v>6409</v>
      </c>
      <c r="E19" s="129" t="s">
        <v>6410</v>
      </c>
    </row>
    <row r="20" spans="1:5">
      <c r="A20" s="129" t="s">
        <v>6438</v>
      </c>
      <c r="B20" s="129" t="s">
        <v>6439</v>
      </c>
      <c r="C20" s="129" t="s">
        <v>6440</v>
      </c>
      <c r="D20" s="129" t="s">
        <v>6409</v>
      </c>
      <c r="E20" s="129" t="s">
        <v>6410</v>
      </c>
    </row>
    <row r="21" spans="1:5">
      <c r="A21" s="129" t="s">
        <v>6441</v>
      </c>
      <c r="B21" s="129" t="s">
        <v>6442</v>
      </c>
      <c r="C21" s="129" t="s">
        <v>6443</v>
      </c>
      <c r="D21" s="129" t="s">
        <v>6409</v>
      </c>
      <c r="E21" s="129" t="s">
        <v>6410</v>
      </c>
    </row>
    <row r="22" spans="1:5">
      <c r="A22" s="129" t="s">
        <v>6444</v>
      </c>
      <c r="B22" s="129" t="s">
        <v>6445</v>
      </c>
      <c r="C22" s="129" t="s">
        <v>6446</v>
      </c>
      <c r="D22" s="129" t="s">
        <v>6409</v>
      </c>
      <c r="E22" s="129" t="s">
        <v>6410</v>
      </c>
    </row>
    <row r="23" spans="1:5">
      <c r="A23" s="129" t="s">
        <v>6447</v>
      </c>
      <c r="B23" s="129" t="s">
        <v>6448</v>
      </c>
      <c r="C23" s="129" t="s">
        <v>6449</v>
      </c>
      <c r="D23" s="129" t="s">
        <v>6409</v>
      </c>
      <c r="E23" s="129" t="s">
        <v>6410</v>
      </c>
    </row>
    <row r="24" spans="1:5">
      <c r="A24" s="129" t="s">
        <v>6450</v>
      </c>
      <c r="B24" s="129" t="s">
        <v>6451</v>
      </c>
      <c r="C24" s="129" t="s">
        <v>6452</v>
      </c>
      <c r="D24" s="129" t="s">
        <v>6409</v>
      </c>
      <c r="E24" s="129" t="s">
        <v>6410</v>
      </c>
    </row>
    <row r="25" spans="1:5">
      <c r="A25" s="129" t="s">
        <v>6453</v>
      </c>
      <c r="B25" s="129" t="s">
        <v>6454</v>
      </c>
      <c r="C25" s="129" t="s">
        <v>6455</v>
      </c>
      <c r="D25" s="129" t="s">
        <v>6409</v>
      </c>
      <c r="E25" s="129" t="s">
        <v>6410</v>
      </c>
    </row>
    <row r="26" spans="1:5">
      <c r="A26" s="129" t="s">
        <v>6456</v>
      </c>
      <c r="B26" s="129" t="s">
        <v>6457</v>
      </c>
      <c r="C26" s="129" t="s">
        <v>6458</v>
      </c>
      <c r="D26" s="129" t="s">
        <v>6409</v>
      </c>
      <c r="E26" s="129" t="s">
        <v>6410</v>
      </c>
    </row>
    <row r="27" spans="1:5">
      <c r="A27" s="129" t="s">
        <v>6459</v>
      </c>
      <c r="B27" s="129" t="s">
        <v>5566</v>
      </c>
      <c r="C27" s="129" t="s">
        <v>6460</v>
      </c>
      <c r="D27" s="129" t="s">
        <v>6409</v>
      </c>
      <c r="E27" s="129" t="s">
        <v>6410</v>
      </c>
    </row>
    <row r="28" spans="1:5">
      <c r="A28" s="129" t="s">
        <v>6461</v>
      </c>
      <c r="B28" s="129" t="s">
        <v>5579</v>
      </c>
      <c r="C28" s="129" t="s">
        <v>6462</v>
      </c>
      <c r="D28" s="129" t="s">
        <v>6409</v>
      </c>
      <c r="E28" s="129" t="s">
        <v>6410</v>
      </c>
    </row>
    <row r="29" spans="1:5">
      <c r="A29" s="129" t="s">
        <v>6463</v>
      </c>
      <c r="B29" s="129" t="s">
        <v>6464</v>
      </c>
      <c r="C29" s="129" t="s">
        <v>6465</v>
      </c>
      <c r="D29" s="129" t="s">
        <v>6409</v>
      </c>
      <c r="E29" s="129" t="s">
        <v>6410</v>
      </c>
    </row>
    <row r="30" spans="1:5">
      <c r="A30" s="129" t="s">
        <v>6466</v>
      </c>
      <c r="B30" s="129" t="s">
        <v>6467</v>
      </c>
      <c r="C30" s="129" t="s">
        <v>6468</v>
      </c>
      <c r="D30" s="129" t="s">
        <v>6409</v>
      </c>
      <c r="E30" s="129" t="s">
        <v>6410</v>
      </c>
    </row>
    <row r="31" spans="1:5">
      <c r="A31" s="129" t="s">
        <v>6469</v>
      </c>
      <c r="B31" s="129" t="s">
        <v>4859</v>
      </c>
      <c r="C31" s="129" t="s">
        <v>6470</v>
      </c>
      <c r="D31" s="129" t="s">
        <v>6409</v>
      </c>
      <c r="E31" s="129" t="s">
        <v>6410</v>
      </c>
    </row>
    <row r="32" spans="1:5">
      <c r="A32" s="129" t="s">
        <v>6471</v>
      </c>
      <c r="B32" s="129" t="s">
        <v>6472</v>
      </c>
      <c r="C32" s="129" t="s">
        <v>6473</v>
      </c>
      <c r="D32" s="129" t="s">
        <v>6409</v>
      </c>
      <c r="E32" s="129" t="s">
        <v>6410</v>
      </c>
    </row>
    <row r="33" spans="1:5">
      <c r="A33" s="129" t="s">
        <v>6474</v>
      </c>
      <c r="B33" s="129" t="s">
        <v>6475</v>
      </c>
      <c r="C33" s="129" t="s">
        <v>6476</v>
      </c>
      <c r="D33" s="129" t="s">
        <v>6409</v>
      </c>
      <c r="E33" s="129" t="s">
        <v>6410</v>
      </c>
    </row>
    <row r="34" spans="1:5">
      <c r="A34" s="129" t="s">
        <v>6477</v>
      </c>
      <c r="B34" s="129" t="s">
        <v>6478</v>
      </c>
      <c r="C34" s="129" t="s">
        <v>6479</v>
      </c>
      <c r="D34" s="129" t="s">
        <v>6409</v>
      </c>
      <c r="E34" s="129" t="s">
        <v>6410</v>
      </c>
    </row>
    <row r="35" spans="1:5">
      <c r="A35" s="129" t="s">
        <v>6480</v>
      </c>
      <c r="B35" s="129" t="s">
        <v>6481</v>
      </c>
      <c r="C35" s="129" t="s">
        <v>6482</v>
      </c>
      <c r="D35" s="129" t="s">
        <v>6409</v>
      </c>
      <c r="E35" s="129" t="s">
        <v>6410</v>
      </c>
    </row>
    <row r="36" spans="1:5">
      <c r="A36" s="129" t="s">
        <v>6483</v>
      </c>
      <c r="B36" s="129" t="s">
        <v>6484</v>
      </c>
      <c r="C36" s="129" t="s">
        <v>6485</v>
      </c>
      <c r="D36" s="129" t="s">
        <v>6409</v>
      </c>
      <c r="E36" s="129" t="s">
        <v>6410</v>
      </c>
    </row>
    <row r="37" spans="1:5">
      <c r="A37" s="129" t="s">
        <v>6486</v>
      </c>
      <c r="B37" s="129" t="s">
        <v>6487</v>
      </c>
      <c r="C37" s="129" t="s">
        <v>6488</v>
      </c>
      <c r="D37" s="129" t="s">
        <v>6409</v>
      </c>
      <c r="E37" s="129" t="s">
        <v>6410</v>
      </c>
    </row>
    <row r="38" spans="1:5">
      <c r="A38" s="129" t="s">
        <v>6489</v>
      </c>
      <c r="B38" s="129" t="s">
        <v>6490</v>
      </c>
      <c r="C38" s="129" t="s">
        <v>6491</v>
      </c>
      <c r="D38" s="129" t="s">
        <v>6409</v>
      </c>
      <c r="E38" s="129" t="s">
        <v>6410</v>
      </c>
    </row>
    <row r="39" spans="1:5">
      <c r="A39" s="129" t="s">
        <v>6492</v>
      </c>
      <c r="B39" s="129" t="s">
        <v>6493</v>
      </c>
      <c r="C39" s="129" t="s">
        <v>6494</v>
      </c>
      <c r="D39" s="129" t="s">
        <v>6409</v>
      </c>
      <c r="E39" s="129" t="s">
        <v>6410</v>
      </c>
    </row>
    <row r="40" spans="1:5">
      <c r="A40" s="129" t="s">
        <v>6495</v>
      </c>
      <c r="B40" s="129" t="s">
        <v>5734</v>
      </c>
      <c r="C40" s="129" t="s">
        <v>6496</v>
      </c>
      <c r="D40" s="129" t="s">
        <v>6409</v>
      </c>
      <c r="E40" s="129" t="s">
        <v>6410</v>
      </c>
    </row>
    <row r="41" spans="1:5">
      <c r="A41" s="129" t="s">
        <v>6497</v>
      </c>
      <c r="B41" s="129" t="s">
        <v>5744</v>
      </c>
      <c r="C41" s="129" t="s">
        <v>6498</v>
      </c>
      <c r="D41" s="129" t="s">
        <v>6409</v>
      </c>
      <c r="E41" s="129" t="s">
        <v>6410</v>
      </c>
    </row>
    <row r="42" spans="1:5">
      <c r="A42" s="129" t="s">
        <v>6499</v>
      </c>
      <c r="B42" s="129" t="s">
        <v>6500</v>
      </c>
      <c r="C42" s="129" t="s">
        <v>6501</v>
      </c>
      <c r="D42" s="129" t="s">
        <v>6409</v>
      </c>
      <c r="E42" s="129" t="s">
        <v>6410</v>
      </c>
    </row>
    <row r="43" spans="1:5">
      <c r="A43" s="129" t="s">
        <v>6502</v>
      </c>
      <c r="B43" s="129" t="s">
        <v>6503</v>
      </c>
      <c r="C43" s="129" t="s">
        <v>6504</v>
      </c>
      <c r="D43" s="129" t="s">
        <v>6409</v>
      </c>
      <c r="E43" s="129" t="s">
        <v>6410</v>
      </c>
    </row>
    <row r="44" spans="1:5">
      <c r="A44" s="129" t="s">
        <v>6505</v>
      </c>
      <c r="B44" s="129" t="s">
        <v>6506</v>
      </c>
      <c r="C44" s="129" t="s">
        <v>6507</v>
      </c>
      <c r="D44" s="129" t="s">
        <v>6409</v>
      </c>
      <c r="E44" s="129" t="s">
        <v>6410</v>
      </c>
    </row>
    <row r="45" spans="1:5">
      <c r="A45" s="129" t="s">
        <v>6508</v>
      </c>
      <c r="B45" s="129" t="s">
        <v>6509</v>
      </c>
      <c r="C45" s="129" t="s">
        <v>6510</v>
      </c>
      <c r="D45" s="129" t="s">
        <v>6409</v>
      </c>
      <c r="E45" s="129" t="s">
        <v>6410</v>
      </c>
    </row>
    <row r="46" spans="1:5">
      <c r="A46" s="129" t="s">
        <v>6511</v>
      </c>
      <c r="B46" s="129" t="s">
        <v>6512</v>
      </c>
      <c r="C46" s="129" t="s">
        <v>6513</v>
      </c>
      <c r="D46" s="129" t="s">
        <v>6409</v>
      </c>
      <c r="E46" s="129" t="s">
        <v>6410</v>
      </c>
    </row>
    <row r="47" spans="1:5">
      <c r="A47" s="129" t="s">
        <v>6514</v>
      </c>
      <c r="B47" s="129" t="s">
        <v>6515</v>
      </c>
      <c r="C47" s="129" t="s">
        <v>6516</v>
      </c>
      <c r="D47" s="129" t="s">
        <v>6409</v>
      </c>
      <c r="E47" s="129" t="s">
        <v>6410</v>
      </c>
    </row>
    <row r="48" spans="1:5">
      <c r="A48" s="129" t="s">
        <v>6517</v>
      </c>
      <c r="B48" s="129" t="s">
        <v>1450</v>
      </c>
      <c r="C48" s="129" t="s">
        <v>6518</v>
      </c>
      <c r="D48" s="129" t="s">
        <v>6409</v>
      </c>
      <c r="E48" s="129" t="s">
        <v>6410</v>
      </c>
    </row>
    <row r="49" spans="1:5">
      <c r="A49" s="129" t="s">
        <v>6519</v>
      </c>
      <c r="B49" s="129" t="s">
        <v>6344</v>
      </c>
      <c r="C49" s="129" t="s">
        <v>6520</v>
      </c>
      <c r="D49" s="129" t="s">
        <v>6409</v>
      </c>
      <c r="E49" s="129" t="s">
        <v>6410</v>
      </c>
    </row>
    <row r="50" spans="1:5">
      <c r="A50" s="129" t="s">
        <v>6521</v>
      </c>
      <c r="B50" s="129" t="s">
        <v>6522</v>
      </c>
      <c r="C50" s="129" t="s">
        <v>6523</v>
      </c>
      <c r="D50" s="129" t="s">
        <v>6409</v>
      </c>
      <c r="E50" s="129" t="s">
        <v>6410</v>
      </c>
    </row>
    <row r="51" spans="1:5">
      <c r="A51" s="129" t="s">
        <v>6524</v>
      </c>
      <c r="B51" s="129" t="s">
        <v>6525</v>
      </c>
      <c r="C51" s="129" t="s">
        <v>6526</v>
      </c>
      <c r="D51" s="129" t="s">
        <v>6409</v>
      </c>
      <c r="E51" s="129" t="s">
        <v>6410</v>
      </c>
    </row>
  </sheetData>
  <mergeCells count="2">
    <mergeCell ref="A1:J1"/>
    <mergeCell ref="A3:J3"/>
  </mergeCell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84"/>
  <sheetViews>
    <sheetView workbookViewId="0">
      <selection sqref="A1:J1"/>
    </sheetView>
  </sheetViews>
  <sheetFormatPr baseColWidth="10" defaultColWidth="9" defaultRowHeight="14.25"/>
  <cols>
    <col min="1" max="1" width="14" customWidth="1"/>
    <col min="2" max="2" width="22" customWidth="1"/>
    <col min="3" max="3" width="70" customWidth="1"/>
    <col min="4" max="4" width="9" customWidth="1"/>
    <col min="5" max="6" width="24" customWidth="1"/>
    <col min="7" max="7" width="10" customWidth="1"/>
    <col min="8" max="8" width="52" customWidth="1"/>
    <col min="9" max="9" width="55" customWidth="1"/>
    <col min="10" max="10" width="26" customWidth="1"/>
  </cols>
  <sheetData>
    <row r="1" spans="1:10" ht="18">
      <c r="A1" s="293" t="s">
        <v>6527</v>
      </c>
      <c r="B1" s="293"/>
      <c r="C1" s="293"/>
      <c r="D1" s="293"/>
      <c r="E1" s="293"/>
      <c r="F1" s="293"/>
      <c r="G1" s="293"/>
      <c r="H1" s="293"/>
      <c r="I1" s="293"/>
      <c r="J1" s="293"/>
    </row>
    <row r="3" spans="1:10">
      <c r="A3" s="294" t="s">
        <v>6528</v>
      </c>
      <c r="B3" s="294"/>
      <c r="C3" s="294"/>
      <c r="D3" s="294"/>
      <c r="E3" s="294"/>
      <c r="F3" s="294"/>
      <c r="G3" s="294"/>
      <c r="H3" s="294"/>
      <c r="I3" s="294"/>
      <c r="J3" s="294"/>
    </row>
    <row r="5" spans="1:10">
      <c r="A5" s="122" t="s">
        <v>5430</v>
      </c>
      <c r="B5" s="122" t="s">
        <v>5431</v>
      </c>
      <c r="C5" s="122" t="s">
        <v>5432</v>
      </c>
      <c r="D5" s="122" t="s">
        <v>964</v>
      </c>
      <c r="E5" s="122" t="s">
        <v>5433</v>
      </c>
      <c r="F5" s="122" t="s">
        <v>5434</v>
      </c>
      <c r="G5" s="123" t="s">
        <v>979</v>
      </c>
      <c r="H5" s="122" t="s">
        <v>1100</v>
      </c>
      <c r="I5" s="122" t="s">
        <v>1317</v>
      </c>
      <c r="J5" s="122" t="s">
        <v>4716</v>
      </c>
    </row>
    <row r="7" spans="1:10">
      <c r="A7" s="128" t="s">
        <v>158</v>
      </c>
      <c r="B7" s="128" t="s">
        <v>382</v>
      </c>
      <c r="C7" s="128" t="s">
        <v>6529</v>
      </c>
      <c r="D7" s="128" t="s">
        <v>194</v>
      </c>
      <c r="E7" s="128" t="s">
        <v>157</v>
      </c>
      <c r="F7" s="128" t="s">
        <v>113</v>
      </c>
      <c r="G7" s="128" t="s">
        <v>5519</v>
      </c>
      <c r="H7" s="128" t="s">
        <v>662</v>
      </c>
      <c r="I7" s="128" t="s">
        <v>6530</v>
      </c>
      <c r="J7" s="128" t="s">
        <v>199</v>
      </c>
    </row>
    <row r="8" spans="1:10">
      <c r="A8" s="129" t="s">
        <v>6531</v>
      </c>
      <c r="B8" s="129" t="s">
        <v>6532</v>
      </c>
      <c r="C8" s="129" t="s">
        <v>6533</v>
      </c>
      <c r="D8" s="129">
        <v>1981</v>
      </c>
      <c r="E8" s="129" t="s">
        <v>5886</v>
      </c>
      <c r="F8" s="129" t="s">
        <v>5533</v>
      </c>
      <c r="G8" s="129">
        <v>126</v>
      </c>
      <c r="H8" s="129"/>
      <c r="I8" s="129" t="s">
        <v>6534</v>
      </c>
      <c r="J8" s="129" t="s">
        <v>6535</v>
      </c>
    </row>
    <row r="9" spans="1:10">
      <c r="A9" s="129" t="s">
        <v>6536</v>
      </c>
      <c r="B9" s="129" t="s">
        <v>6532</v>
      </c>
      <c r="C9" s="129" t="s">
        <v>6537</v>
      </c>
      <c r="D9" s="129">
        <v>2018</v>
      </c>
      <c r="E9" s="129" t="s">
        <v>5906</v>
      </c>
      <c r="F9" s="129" t="s">
        <v>6538</v>
      </c>
      <c r="G9" s="129">
        <v>126</v>
      </c>
      <c r="H9" s="129"/>
      <c r="I9" s="129" t="s">
        <v>6534</v>
      </c>
      <c r="J9" s="129" t="s">
        <v>6535</v>
      </c>
    </row>
    <row r="10" spans="1:10">
      <c r="A10" s="129" t="s">
        <v>6539</v>
      </c>
      <c r="B10" s="129" t="s">
        <v>6532</v>
      </c>
      <c r="C10" s="129" t="s">
        <v>6540</v>
      </c>
      <c r="D10" s="129">
        <v>1981</v>
      </c>
      <c r="E10" s="129" t="s">
        <v>5886</v>
      </c>
      <c r="F10" s="129" t="s">
        <v>5533</v>
      </c>
      <c r="G10" s="129">
        <v>126</v>
      </c>
      <c r="H10" s="129"/>
      <c r="I10" s="129" t="s">
        <v>6534</v>
      </c>
      <c r="J10" s="129" t="s">
        <v>6535</v>
      </c>
    </row>
    <row r="11" spans="1:10">
      <c r="A11" s="129" t="s">
        <v>6541</v>
      </c>
      <c r="B11" s="129" t="s">
        <v>6532</v>
      </c>
      <c r="C11" s="129" t="s">
        <v>6542</v>
      </c>
      <c r="D11" s="129">
        <v>1984</v>
      </c>
      <c r="E11" s="129" t="s">
        <v>5886</v>
      </c>
      <c r="F11" s="129" t="s">
        <v>5533</v>
      </c>
      <c r="G11" s="129">
        <v>126</v>
      </c>
      <c r="H11" s="129"/>
      <c r="I11" s="129" t="s">
        <v>6534</v>
      </c>
      <c r="J11" s="129" t="s">
        <v>6535</v>
      </c>
    </row>
    <row r="12" spans="1:10">
      <c r="A12" s="129" t="s">
        <v>6543</v>
      </c>
      <c r="B12" s="129" t="s">
        <v>6532</v>
      </c>
      <c r="C12" s="129" t="s">
        <v>6544</v>
      </c>
      <c r="D12" s="129">
        <v>2001</v>
      </c>
      <c r="E12" s="129" t="s">
        <v>5906</v>
      </c>
      <c r="F12" s="129" t="s">
        <v>6538</v>
      </c>
      <c r="G12" s="129">
        <v>126</v>
      </c>
      <c r="H12" s="129"/>
      <c r="I12" s="129" t="s">
        <v>6534</v>
      </c>
      <c r="J12" s="129" t="s">
        <v>6535</v>
      </c>
    </row>
    <row r="13" spans="1:10">
      <c r="A13" s="129" t="s">
        <v>6545</v>
      </c>
      <c r="B13" s="129" t="s">
        <v>6532</v>
      </c>
      <c r="C13" s="129" t="s">
        <v>6546</v>
      </c>
      <c r="D13" s="129">
        <v>2010</v>
      </c>
      <c r="E13" s="129" t="s">
        <v>5931</v>
      </c>
      <c r="F13" s="129" t="s">
        <v>6547</v>
      </c>
      <c r="G13" s="129">
        <v>126</v>
      </c>
      <c r="H13" s="129"/>
      <c r="I13" s="129" t="s">
        <v>6534</v>
      </c>
      <c r="J13" s="129" t="s">
        <v>6535</v>
      </c>
    </row>
    <row r="14" spans="1:10">
      <c r="A14" s="129" t="s">
        <v>6548</v>
      </c>
      <c r="B14" s="129" t="s">
        <v>6532</v>
      </c>
      <c r="C14" s="129" t="s">
        <v>6549</v>
      </c>
      <c r="D14" s="129">
        <v>2016</v>
      </c>
      <c r="E14" s="129" t="s">
        <v>5906</v>
      </c>
      <c r="F14" s="129" t="s">
        <v>6538</v>
      </c>
      <c r="G14" s="129">
        <v>126</v>
      </c>
      <c r="H14" s="129"/>
      <c r="I14" s="129" t="s">
        <v>6534</v>
      </c>
      <c r="J14" s="129" t="s">
        <v>6535</v>
      </c>
    </row>
    <row r="15" spans="1:10">
      <c r="A15" s="129" t="s">
        <v>6550</v>
      </c>
      <c r="B15" s="129" t="s">
        <v>6532</v>
      </c>
      <c r="C15" s="129" t="s">
        <v>6551</v>
      </c>
      <c r="D15" s="129">
        <v>2008</v>
      </c>
      <c r="E15" s="129" t="s">
        <v>5899</v>
      </c>
      <c r="F15" s="129" t="s">
        <v>5533</v>
      </c>
      <c r="G15" s="129">
        <v>126</v>
      </c>
      <c r="H15" s="129"/>
      <c r="I15" s="129" t="s">
        <v>6534</v>
      </c>
      <c r="J15" s="129" t="s">
        <v>6535</v>
      </c>
    </row>
    <row r="16" spans="1:10">
      <c r="A16" s="129" t="s">
        <v>6552</v>
      </c>
      <c r="B16" s="129" t="s">
        <v>6532</v>
      </c>
      <c r="C16" s="129" t="s">
        <v>6553</v>
      </c>
      <c r="D16" s="129">
        <v>2014</v>
      </c>
      <c r="E16" s="129" t="s">
        <v>5931</v>
      </c>
      <c r="F16" s="129" t="s">
        <v>6547</v>
      </c>
      <c r="G16" s="129">
        <v>126</v>
      </c>
      <c r="H16" s="129"/>
      <c r="I16" s="129" t="s">
        <v>6534</v>
      </c>
      <c r="J16" s="129" t="s">
        <v>6535</v>
      </c>
    </row>
    <row r="17" spans="1:10">
      <c r="A17" s="129" t="s">
        <v>6554</v>
      </c>
      <c r="B17" s="129" t="s">
        <v>6532</v>
      </c>
      <c r="C17" s="129" t="s">
        <v>6555</v>
      </c>
      <c r="D17" s="129">
        <v>2007</v>
      </c>
      <c r="E17" s="129" t="s">
        <v>5906</v>
      </c>
      <c r="F17" s="129" t="s">
        <v>6538</v>
      </c>
      <c r="G17" s="129">
        <v>127</v>
      </c>
      <c r="H17" s="129"/>
      <c r="I17" s="129" t="s">
        <v>6534</v>
      </c>
      <c r="J17" s="129" t="s">
        <v>6535</v>
      </c>
    </row>
    <row r="18" spans="1:10">
      <c r="A18" s="129" t="s">
        <v>6556</v>
      </c>
      <c r="B18" s="129" t="s">
        <v>6532</v>
      </c>
      <c r="C18" s="129" t="s">
        <v>6557</v>
      </c>
      <c r="D18" s="129">
        <v>2016</v>
      </c>
      <c r="E18" s="129" t="s">
        <v>5931</v>
      </c>
      <c r="F18" s="129" t="s">
        <v>6547</v>
      </c>
      <c r="G18" s="129">
        <v>127</v>
      </c>
      <c r="H18" s="129"/>
      <c r="I18" s="129" t="s">
        <v>6534</v>
      </c>
      <c r="J18" s="129" t="s">
        <v>6535</v>
      </c>
    </row>
    <row r="19" spans="1:10">
      <c r="A19" s="129" t="s">
        <v>6558</v>
      </c>
      <c r="B19" s="129" t="s">
        <v>6532</v>
      </c>
      <c r="C19" s="129" t="s">
        <v>6559</v>
      </c>
      <c r="D19" s="129">
        <v>1988</v>
      </c>
      <c r="E19" s="129" t="s">
        <v>5886</v>
      </c>
      <c r="F19" s="129" t="s">
        <v>5533</v>
      </c>
      <c r="G19" s="129">
        <v>127</v>
      </c>
      <c r="H19" s="129"/>
      <c r="I19" s="129" t="s">
        <v>6534</v>
      </c>
      <c r="J19" s="129" t="s">
        <v>6535</v>
      </c>
    </row>
    <row r="20" spans="1:10">
      <c r="A20" s="129" t="s">
        <v>6560</v>
      </c>
      <c r="B20" s="129" t="s">
        <v>6532</v>
      </c>
      <c r="C20" s="129" t="s">
        <v>6561</v>
      </c>
      <c r="D20" s="129">
        <v>2008</v>
      </c>
      <c r="E20" s="129" t="s">
        <v>5899</v>
      </c>
      <c r="F20" s="129" t="s">
        <v>5533</v>
      </c>
      <c r="G20" s="129">
        <v>127</v>
      </c>
      <c r="H20" s="129"/>
      <c r="I20" s="129" t="s">
        <v>6534</v>
      </c>
      <c r="J20" s="129" t="s">
        <v>6535</v>
      </c>
    </row>
    <row r="21" spans="1:10" ht="24">
      <c r="A21" s="129" t="s">
        <v>6562</v>
      </c>
      <c r="B21" s="129" t="s">
        <v>6532</v>
      </c>
      <c r="C21" s="129" t="s">
        <v>6563</v>
      </c>
      <c r="D21" s="129"/>
      <c r="E21" s="129" t="s">
        <v>5871</v>
      </c>
      <c r="F21" s="129" t="s">
        <v>6564</v>
      </c>
      <c r="G21" s="129">
        <v>127</v>
      </c>
      <c r="H21" s="129"/>
      <c r="I21" s="129" t="s">
        <v>6534</v>
      </c>
      <c r="J21" s="129" t="s">
        <v>6535</v>
      </c>
    </row>
    <row r="22" spans="1:10">
      <c r="A22" s="129" t="s">
        <v>6565</v>
      </c>
      <c r="B22" s="129" t="s">
        <v>6532</v>
      </c>
      <c r="C22" s="129" t="s">
        <v>6566</v>
      </c>
      <c r="D22" s="129">
        <v>2015</v>
      </c>
      <c r="E22" s="129" t="s">
        <v>5906</v>
      </c>
      <c r="F22" s="129" t="s">
        <v>6538</v>
      </c>
      <c r="G22" s="129">
        <v>127</v>
      </c>
      <c r="H22" s="129"/>
      <c r="I22" s="129" t="s">
        <v>6534</v>
      </c>
      <c r="J22" s="129" t="s">
        <v>6535</v>
      </c>
    </row>
    <row r="23" spans="1:10">
      <c r="A23" s="129" t="s">
        <v>6567</v>
      </c>
      <c r="B23" s="129" t="s">
        <v>6532</v>
      </c>
      <c r="C23" s="129" t="s">
        <v>6568</v>
      </c>
      <c r="D23" s="129">
        <v>1997</v>
      </c>
      <c r="E23" s="129" t="s">
        <v>5886</v>
      </c>
      <c r="F23" s="129" t="s">
        <v>5533</v>
      </c>
      <c r="G23" s="129">
        <v>127</v>
      </c>
      <c r="H23" s="129"/>
      <c r="I23" s="129" t="s">
        <v>6534</v>
      </c>
      <c r="J23" s="129" t="s">
        <v>6535</v>
      </c>
    </row>
    <row r="24" spans="1:10">
      <c r="A24" s="129" t="s">
        <v>6569</v>
      </c>
      <c r="B24" s="129" t="s">
        <v>6532</v>
      </c>
      <c r="C24" s="129" t="s">
        <v>6570</v>
      </c>
      <c r="D24" s="129">
        <v>2019</v>
      </c>
      <c r="E24" s="129" t="s">
        <v>5906</v>
      </c>
      <c r="F24" s="129" t="s">
        <v>6538</v>
      </c>
      <c r="G24" s="129">
        <v>127</v>
      </c>
      <c r="H24" s="129"/>
      <c r="I24" s="129" t="s">
        <v>6534</v>
      </c>
      <c r="J24" s="129" t="s">
        <v>6535</v>
      </c>
    </row>
    <row r="25" spans="1:10">
      <c r="A25" s="129" t="s">
        <v>6571</v>
      </c>
      <c r="B25" s="129" t="s">
        <v>6532</v>
      </c>
      <c r="C25" s="129" t="s">
        <v>6572</v>
      </c>
      <c r="D25" s="129">
        <v>2009</v>
      </c>
      <c r="E25" s="129" t="s">
        <v>5906</v>
      </c>
      <c r="F25" s="129" t="s">
        <v>6538</v>
      </c>
      <c r="G25" s="129">
        <v>127</v>
      </c>
      <c r="H25" s="129"/>
      <c r="I25" s="129" t="s">
        <v>6534</v>
      </c>
      <c r="J25" s="129" t="s">
        <v>6535</v>
      </c>
    </row>
    <row r="26" spans="1:10">
      <c r="A26" s="129" t="s">
        <v>6573</v>
      </c>
      <c r="B26" s="129" t="s">
        <v>6532</v>
      </c>
      <c r="C26" s="129" t="s">
        <v>6574</v>
      </c>
      <c r="D26" s="129">
        <v>2008</v>
      </c>
      <c r="E26" s="129" t="s">
        <v>5931</v>
      </c>
      <c r="F26" s="129" t="s">
        <v>6547</v>
      </c>
      <c r="G26" s="129">
        <v>127</v>
      </c>
      <c r="H26" s="129"/>
      <c r="I26" s="129" t="s">
        <v>6534</v>
      </c>
      <c r="J26" s="129" t="s">
        <v>6535</v>
      </c>
    </row>
    <row r="27" spans="1:10">
      <c r="A27" s="129" t="s">
        <v>6575</v>
      </c>
      <c r="B27" s="129" t="s">
        <v>6532</v>
      </c>
      <c r="C27" s="129" t="s">
        <v>6576</v>
      </c>
      <c r="D27" s="129">
        <v>2018</v>
      </c>
      <c r="E27" s="129" t="s">
        <v>5906</v>
      </c>
      <c r="F27" s="129" t="s">
        <v>6538</v>
      </c>
      <c r="G27" s="129">
        <v>128</v>
      </c>
      <c r="H27" s="129"/>
      <c r="I27" s="129" t="s">
        <v>6534</v>
      </c>
      <c r="J27" s="129" t="s">
        <v>6535</v>
      </c>
    </row>
    <row r="28" spans="1:10">
      <c r="A28" s="129" t="s">
        <v>6577</v>
      </c>
      <c r="B28" s="129" t="s">
        <v>6532</v>
      </c>
      <c r="C28" s="129" t="s">
        <v>6578</v>
      </c>
      <c r="D28" s="129">
        <v>2012</v>
      </c>
      <c r="E28" s="129" t="s">
        <v>5906</v>
      </c>
      <c r="F28" s="129" t="s">
        <v>6538</v>
      </c>
      <c r="G28" s="129">
        <v>128</v>
      </c>
      <c r="H28" s="129"/>
      <c r="I28" s="129" t="s">
        <v>6534</v>
      </c>
      <c r="J28" s="129" t="s">
        <v>6535</v>
      </c>
    </row>
    <row r="29" spans="1:10">
      <c r="A29" s="129" t="s">
        <v>6579</v>
      </c>
      <c r="B29" s="129" t="s">
        <v>6532</v>
      </c>
      <c r="C29" s="129" t="s">
        <v>6580</v>
      </c>
      <c r="D29" s="129">
        <v>2019</v>
      </c>
      <c r="E29" s="129" t="s">
        <v>5899</v>
      </c>
      <c r="F29" s="129" t="s">
        <v>5533</v>
      </c>
      <c r="G29" s="129">
        <v>128</v>
      </c>
      <c r="H29" s="129"/>
      <c r="I29" s="129" t="s">
        <v>6534</v>
      </c>
      <c r="J29" s="129" t="s">
        <v>6535</v>
      </c>
    </row>
    <row r="30" spans="1:10">
      <c r="A30" s="129" t="s">
        <v>6581</v>
      </c>
      <c r="B30" s="129" t="s">
        <v>6532</v>
      </c>
      <c r="C30" s="129" t="s">
        <v>6582</v>
      </c>
      <c r="D30" s="129">
        <v>2010</v>
      </c>
      <c r="E30" s="129" t="s">
        <v>5899</v>
      </c>
      <c r="F30" s="129" t="s">
        <v>5533</v>
      </c>
      <c r="G30" s="129">
        <v>128</v>
      </c>
      <c r="H30" s="129"/>
      <c r="I30" s="129" t="s">
        <v>6534</v>
      </c>
      <c r="J30" s="129" t="s">
        <v>6535</v>
      </c>
    </row>
    <row r="31" spans="1:10">
      <c r="A31" s="129" t="s">
        <v>6583</v>
      </c>
      <c r="B31" s="129" t="s">
        <v>6532</v>
      </c>
      <c r="C31" s="129" t="s">
        <v>6584</v>
      </c>
      <c r="D31" s="129">
        <v>1996</v>
      </c>
      <c r="E31" s="129" t="s">
        <v>5886</v>
      </c>
      <c r="F31" s="129" t="s">
        <v>5533</v>
      </c>
      <c r="G31" s="129">
        <v>128</v>
      </c>
      <c r="H31" s="129"/>
      <c r="I31" s="129" t="s">
        <v>6534</v>
      </c>
      <c r="J31" s="129" t="s">
        <v>6535</v>
      </c>
    </row>
    <row r="32" spans="1:10">
      <c r="A32" s="129" t="s">
        <v>6585</v>
      </c>
      <c r="B32" s="129" t="s">
        <v>6532</v>
      </c>
      <c r="C32" s="129" t="s">
        <v>6586</v>
      </c>
      <c r="D32" s="129">
        <v>2014</v>
      </c>
      <c r="E32" s="129" t="s">
        <v>5899</v>
      </c>
      <c r="F32" s="129" t="s">
        <v>5533</v>
      </c>
      <c r="G32" s="129">
        <v>128</v>
      </c>
      <c r="H32" s="129"/>
      <c r="I32" s="129" t="s">
        <v>6534</v>
      </c>
      <c r="J32" s="129" t="s">
        <v>6535</v>
      </c>
    </row>
    <row r="33" spans="1:10">
      <c r="A33" s="129" t="s">
        <v>6587</v>
      </c>
      <c r="B33" s="129" t="s">
        <v>6532</v>
      </c>
      <c r="C33" s="129" t="s">
        <v>6588</v>
      </c>
      <c r="D33" s="129">
        <v>2017</v>
      </c>
      <c r="E33" s="129" t="s">
        <v>5899</v>
      </c>
      <c r="F33" s="129" t="s">
        <v>5533</v>
      </c>
      <c r="G33" s="129">
        <v>128</v>
      </c>
      <c r="H33" s="129"/>
      <c r="I33" s="129" t="s">
        <v>6534</v>
      </c>
      <c r="J33" s="129" t="s">
        <v>6535</v>
      </c>
    </row>
    <row r="34" spans="1:10">
      <c r="A34" s="129" t="s">
        <v>6589</v>
      </c>
      <c r="B34" s="129" t="s">
        <v>6532</v>
      </c>
      <c r="C34" s="129" t="s">
        <v>6590</v>
      </c>
      <c r="D34" s="129">
        <v>2007</v>
      </c>
      <c r="E34" s="129" t="s">
        <v>5906</v>
      </c>
      <c r="F34" s="129" t="s">
        <v>6538</v>
      </c>
      <c r="G34" s="129">
        <v>129</v>
      </c>
      <c r="H34" s="129"/>
      <c r="I34" s="129" t="s">
        <v>6534</v>
      </c>
      <c r="J34" s="129" t="s">
        <v>6535</v>
      </c>
    </row>
    <row r="35" spans="1:10">
      <c r="A35" s="129" t="s">
        <v>6591</v>
      </c>
      <c r="B35" s="129" t="s">
        <v>6532</v>
      </c>
      <c r="C35" s="129" t="s">
        <v>6592</v>
      </c>
      <c r="D35" s="129">
        <v>2008</v>
      </c>
      <c r="E35" s="129" t="s">
        <v>5899</v>
      </c>
      <c r="F35" s="129" t="s">
        <v>5533</v>
      </c>
      <c r="G35" s="129">
        <v>129</v>
      </c>
      <c r="H35" s="129"/>
      <c r="I35" s="129" t="s">
        <v>6534</v>
      </c>
      <c r="J35" s="129" t="s">
        <v>6535</v>
      </c>
    </row>
    <row r="36" spans="1:10">
      <c r="A36" s="129" t="s">
        <v>6593</v>
      </c>
      <c r="B36" s="129" t="s">
        <v>6532</v>
      </c>
      <c r="C36" s="129" t="s">
        <v>6594</v>
      </c>
      <c r="D36" s="129">
        <v>2004</v>
      </c>
      <c r="E36" s="129" t="s">
        <v>5931</v>
      </c>
      <c r="F36" s="129" t="s">
        <v>6547</v>
      </c>
      <c r="G36" s="129">
        <v>129</v>
      </c>
      <c r="H36" s="129"/>
      <c r="I36" s="129" t="s">
        <v>6534</v>
      </c>
      <c r="J36" s="129" t="s">
        <v>6535</v>
      </c>
    </row>
    <row r="37" spans="1:10">
      <c r="A37" s="129" t="s">
        <v>6595</v>
      </c>
      <c r="B37" s="129" t="s">
        <v>6532</v>
      </c>
      <c r="C37" s="129" t="s">
        <v>6596</v>
      </c>
      <c r="D37" s="129">
        <v>2004</v>
      </c>
      <c r="E37" s="129" t="s">
        <v>5899</v>
      </c>
      <c r="F37" s="129" t="s">
        <v>5533</v>
      </c>
      <c r="G37" s="129">
        <v>129</v>
      </c>
      <c r="H37" s="129"/>
      <c r="I37" s="129" t="s">
        <v>6534</v>
      </c>
      <c r="J37" s="129" t="s">
        <v>6535</v>
      </c>
    </row>
    <row r="38" spans="1:10">
      <c r="A38" s="129" t="s">
        <v>6597</v>
      </c>
      <c r="B38" s="129" t="s">
        <v>6532</v>
      </c>
      <c r="C38" s="129" t="s">
        <v>6598</v>
      </c>
      <c r="D38" s="129">
        <v>1988</v>
      </c>
      <c r="E38" s="129" t="s">
        <v>5886</v>
      </c>
      <c r="F38" s="129" t="s">
        <v>5533</v>
      </c>
      <c r="G38" s="129">
        <v>129</v>
      </c>
      <c r="H38" s="129"/>
      <c r="I38" s="129" t="s">
        <v>6534</v>
      </c>
      <c r="J38" s="129" t="s">
        <v>6535</v>
      </c>
    </row>
    <row r="39" spans="1:10">
      <c r="A39" s="129" t="s">
        <v>6599</v>
      </c>
      <c r="B39" s="129" t="s">
        <v>6532</v>
      </c>
      <c r="C39" s="129" t="s">
        <v>6600</v>
      </c>
      <c r="D39" s="129">
        <v>1971</v>
      </c>
      <c r="E39" s="129" t="s">
        <v>5886</v>
      </c>
      <c r="F39" s="129" t="s">
        <v>5533</v>
      </c>
      <c r="G39" s="129">
        <v>129</v>
      </c>
      <c r="H39" s="129"/>
      <c r="I39" s="129" t="s">
        <v>6534</v>
      </c>
      <c r="J39" s="129" t="s">
        <v>6535</v>
      </c>
    </row>
    <row r="40" spans="1:10">
      <c r="A40" s="129" t="s">
        <v>6601</v>
      </c>
      <c r="B40" s="129" t="s">
        <v>6532</v>
      </c>
      <c r="C40" s="129" t="s">
        <v>6602</v>
      </c>
      <c r="D40" s="129">
        <v>1967</v>
      </c>
      <c r="E40" s="129" t="s">
        <v>5886</v>
      </c>
      <c r="F40" s="129" t="s">
        <v>5533</v>
      </c>
      <c r="G40" s="129">
        <v>129</v>
      </c>
      <c r="H40" s="129"/>
      <c r="I40" s="129" t="s">
        <v>6534</v>
      </c>
      <c r="J40" s="129" t="s">
        <v>6535</v>
      </c>
    </row>
    <row r="41" spans="1:10">
      <c r="A41" s="129" t="s">
        <v>6603</v>
      </c>
      <c r="B41" s="129" t="s">
        <v>6532</v>
      </c>
      <c r="C41" s="129" t="s">
        <v>6604</v>
      </c>
      <c r="D41" s="129">
        <v>2019</v>
      </c>
      <c r="E41" s="129" t="s">
        <v>5899</v>
      </c>
      <c r="F41" s="129" t="s">
        <v>5533</v>
      </c>
      <c r="G41" s="129">
        <v>129</v>
      </c>
      <c r="H41" s="129"/>
      <c r="I41" s="129" t="s">
        <v>6534</v>
      </c>
      <c r="J41" s="129" t="s">
        <v>6535</v>
      </c>
    </row>
    <row r="42" spans="1:10">
      <c r="A42" s="129" t="s">
        <v>6605</v>
      </c>
      <c r="B42" s="129" t="s">
        <v>6532</v>
      </c>
      <c r="C42" s="129" t="s">
        <v>6606</v>
      </c>
      <c r="D42" s="129">
        <v>1988</v>
      </c>
      <c r="E42" s="129" t="s">
        <v>5931</v>
      </c>
      <c r="F42" s="129" t="s">
        <v>6547</v>
      </c>
      <c r="G42" s="129">
        <v>130</v>
      </c>
      <c r="H42" s="129"/>
      <c r="I42" s="129" t="s">
        <v>6534</v>
      </c>
      <c r="J42" s="129" t="s">
        <v>6535</v>
      </c>
    </row>
    <row r="43" spans="1:10">
      <c r="A43" s="129" t="s">
        <v>6607</v>
      </c>
      <c r="B43" s="129" t="s">
        <v>6532</v>
      </c>
      <c r="C43" s="129" t="s">
        <v>6608</v>
      </c>
      <c r="D43" s="129">
        <v>1990</v>
      </c>
      <c r="E43" s="129" t="s">
        <v>5886</v>
      </c>
      <c r="F43" s="129" t="s">
        <v>5533</v>
      </c>
      <c r="G43" s="129">
        <v>130</v>
      </c>
      <c r="H43" s="129"/>
      <c r="I43" s="129" t="s">
        <v>6534</v>
      </c>
      <c r="J43" s="129" t="s">
        <v>6535</v>
      </c>
    </row>
    <row r="44" spans="1:10">
      <c r="A44" s="129" t="s">
        <v>6609</v>
      </c>
      <c r="B44" s="129" t="s">
        <v>6532</v>
      </c>
      <c r="C44" s="129" t="s">
        <v>6610</v>
      </c>
      <c r="D44" s="129">
        <v>1979</v>
      </c>
      <c r="E44" s="129" t="s">
        <v>5886</v>
      </c>
      <c r="F44" s="129" t="s">
        <v>5533</v>
      </c>
      <c r="G44" s="129">
        <v>130</v>
      </c>
      <c r="H44" s="129"/>
      <c r="I44" s="129" t="s">
        <v>6534</v>
      </c>
      <c r="J44" s="129" t="s">
        <v>6535</v>
      </c>
    </row>
    <row r="45" spans="1:10">
      <c r="A45" s="129" t="s">
        <v>6611</v>
      </c>
      <c r="B45" s="129" t="s">
        <v>6532</v>
      </c>
      <c r="C45" s="129" t="s">
        <v>6612</v>
      </c>
      <c r="D45" s="129">
        <v>2003</v>
      </c>
      <c r="E45" s="129" t="s">
        <v>5899</v>
      </c>
      <c r="F45" s="129" t="s">
        <v>5533</v>
      </c>
      <c r="G45" s="129">
        <v>130</v>
      </c>
      <c r="H45" s="129"/>
      <c r="I45" s="129" t="s">
        <v>6534</v>
      </c>
      <c r="J45" s="129" t="s">
        <v>6535</v>
      </c>
    </row>
    <row r="46" spans="1:10">
      <c r="A46" s="129" t="s">
        <v>6613</v>
      </c>
      <c r="B46" s="129" t="s">
        <v>6532</v>
      </c>
      <c r="C46" s="129" t="s">
        <v>6614</v>
      </c>
      <c r="D46" s="129">
        <v>1973</v>
      </c>
      <c r="E46" s="129" t="s">
        <v>5886</v>
      </c>
      <c r="F46" s="129" t="s">
        <v>5533</v>
      </c>
      <c r="G46" s="129">
        <v>130</v>
      </c>
      <c r="H46" s="129"/>
      <c r="I46" s="129" t="s">
        <v>6534</v>
      </c>
      <c r="J46" s="129" t="s">
        <v>6535</v>
      </c>
    </row>
    <row r="47" spans="1:10">
      <c r="A47" s="129" t="s">
        <v>6615</v>
      </c>
      <c r="B47" s="129" t="s">
        <v>6532</v>
      </c>
      <c r="C47" s="129" t="s">
        <v>6616</v>
      </c>
      <c r="D47" s="129">
        <v>1982</v>
      </c>
      <c r="E47" s="129" t="s">
        <v>5886</v>
      </c>
      <c r="F47" s="129" t="s">
        <v>5533</v>
      </c>
      <c r="G47" s="129">
        <v>130</v>
      </c>
      <c r="H47" s="129"/>
      <c r="I47" s="129" t="s">
        <v>6534</v>
      </c>
      <c r="J47" s="129" t="s">
        <v>6535</v>
      </c>
    </row>
    <row r="48" spans="1:10">
      <c r="A48" s="129" t="s">
        <v>6617</v>
      </c>
      <c r="B48" s="129" t="s">
        <v>6532</v>
      </c>
      <c r="C48" s="129" t="s">
        <v>6618</v>
      </c>
      <c r="D48" s="129">
        <v>2017</v>
      </c>
      <c r="E48" s="129" t="s">
        <v>5906</v>
      </c>
      <c r="F48" s="129" t="s">
        <v>6538</v>
      </c>
      <c r="G48" s="129">
        <v>130</v>
      </c>
      <c r="H48" s="129"/>
      <c r="I48" s="129" t="s">
        <v>6534</v>
      </c>
      <c r="J48" s="129" t="s">
        <v>6535</v>
      </c>
    </row>
    <row r="49" spans="1:10">
      <c r="A49" s="129" t="s">
        <v>6619</v>
      </c>
      <c r="B49" s="129" t="s">
        <v>6532</v>
      </c>
      <c r="C49" s="129" t="s">
        <v>6620</v>
      </c>
      <c r="D49" s="129">
        <v>1989</v>
      </c>
      <c r="E49" s="129" t="s">
        <v>5886</v>
      </c>
      <c r="F49" s="129" t="s">
        <v>5533</v>
      </c>
      <c r="G49" s="129">
        <v>130</v>
      </c>
      <c r="H49" s="129"/>
      <c r="I49" s="129" t="s">
        <v>6534</v>
      </c>
      <c r="J49" s="129" t="s">
        <v>6535</v>
      </c>
    </row>
    <row r="50" spans="1:10">
      <c r="A50" s="129" t="s">
        <v>6621</v>
      </c>
      <c r="B50" s="129" t="s">
        <v>6532</v>
      </c>
      <c r="C50" s="129" t="s">
        <v>6622</v>
      </c>
      <c r="D50" s="129">
        <v>2008</v>
      </c>
      <c r="E50" s="129" t="s">
        <v>5899</v>
      </c>
      <c r="F50" s="129" t="s">
        <v>5533</v>
      </c>
      <c r="G50" s="129">
        <v>131</v>
      </c>
      <c r="H50" s="129"/>
      <c r="I50" s="129" t="s">
        <v>6534</v>
      </c>
      <c r="J50" s="129" t="s">
        <v>6535</v>
      </c>
    </row>
    <row r="51" spans="1:10">
      <c r="A51" s="129" t="s">
        <v>6623</v>
      </c>
      <c r="B51" s="129" t="s">
        <v>6532</v>
      </c>
      <c r="C51" s="129" t="s">
        <v>6624</v>
      </c>
      <c r="D51" s="129">
        <v>1974</v>
      </c>
      <c r="E51" s="129" t="s">
        <v>5886</v>
      </c>
      <c r="F51" s="129" t="s">
        <v>5533</v>
      </c>
      <c r="G51" s="129">
        <v>131</v>
      </c>
      <c r="H51" s="129"/>
      <c r="I51" s="129" t="s">
        <v>6534</v>
      </c>
      <c r="J51" s="129" t="s">
        <v>6535</v>
      </c>
    </row>
    <row r="52" spans="1:10">
      <c r="A52" s="129" t="s">
        <v>6625</v>
      </c>
      <c r="B52" s="129" t="s">
        <v>6532</v>
      </c>
      <c r="C52" s="129" t="s">
        <v>6626</v>
      </c>
      <c r="D52" s="129">
        <v>2019</v>
      </c>
      <c r="E52" s="129" t="s">
        <v>5906</v>
      </c>
      <c r="F52" s="129" t="s">
        <v>6538</v>
      </c>
      <c r="G52" s="129">
        <v>131</v>
      </c>
      <c r="H52" s="129"/>
      <c r="I52" s="129" t="s">
        <v>6534</v>
      </c>
      <c r="J52" s="129" t="s">
        <v>6535</v>
      </c>
    </row>
    <row r="53" spans="1:10">
      <c r="A53" s="129" t="s">
        <v>6627</v>
      </c>
      <c r="B53" s="129" t="s">
        <v>6532</v>
      </c>
      <c r="C53" s="129" t="s">
        <v>6628</v>
      </c>
      <c r="D53" s="129">
        <v>2005</v>
      </c>
      <c r="E53" s="129" t="s">
        <v>5899</v>
      </c>
      <c r="F53" s="129" t="s">
        <v>5533</v>
      </c>
      <c r="G53" s="129">
        <v>131</v>
      </c>
      <c r="H53" s="129"/>
      <c r="I53" s="129" t="s">
        <v>6534</v>
      </c>
      <c r="J53" s="129" t="s">
        <v>6535</v>
      </c>
    </row>
    <row r="54" spans="1:10">
      <c r="A54" s="129" t="s">
        <v>6629</v>
      </c>
      <c r="B54" s="129" t="s">
        <v>6532</v>
      </c>
      <c r="C54" s="129" t="s">
        <v>6630</v>
      </c>
      <c r="D54" s="129">
        <v>1985</v>
      </c>
      <c r="E54" s="129" t="s">
        <v>5886</v>
      </c>
      <c r="F54" s="129" t="s">
        <v>5533</v>
      </c>
      <c r="G54" s="129">
        <v>131</v>
      </c>
      <c r="H54" s="129"/>
      <c r="I54" s="129" t="s">
        <v>6534</v>
      </c>
      <c r="J54" s="129" t="s">
        <v>6535</v>
      </c>
    </row>
    <row r="55" spans="1:10">
      <c r="A55" s="129" t="s">
        <v>6631</v>
      </c>
      <c r="B55" s="129" t="s">
        <v>6532</v>
      </c>
      <c r="C55" s="129" t="s">
        <v>6632</v>
      </c>
      <c r="D55" s="129">
        <v>1995</v>
      </c>
      <c r="E55" s="129" t="s">
        <v>5886</v>
      </c>
      <c r="F55" s="129" t="s">
        <v>5533</v>
      </c>
      <c r="G55" s="129">
        <v>131</v>
      </c>
      <c r="H55" s="129"/>
      <c r="I55" s="129" t="s">
        <v>6534</v>
      </c>
      <c r="J55" s="129" t="s">
        <v>6535</v>
      </c>
    </row>
    <row r="56" spans="1:10">
      <c r="A56" s="129" t="s">
        <v>6633</v>
      </c>
      <c r="B56" s="129" t="s">
        <v>6532</v>
      </c>
      <c r="C56" s="129" t="s">
        <v>6634</v>
      </c>
      <c r="D56" s="129">
        <v>2003</v>
      </c>
      <c r="E56" s="129" t="s">
        <v>5899</v>
      </c>
      <c r="F56" s="129" t="s">
        <v>5533</v>
      </c>
      <c r="G56" s="129">
        <v>131</v>
      </c>
      <c r="H56" s="129"/>
      <c r="I56" s="129" t="s">
        <v>6534</v>
      </c>
      <c r="J56" s="129" t="s">
        <v>6535</v>
      </c>
    </row>
    <row r="57" spans="1:10">
      <c r="A57" s="129" t="s">
        <v>6635</v>
      </c>
      <c r="B57" s="129" t="s">
        <v>6532</v>
      </c>
      <c r="C57" s="129" t="s">
        <v>6636</v>
      </c>
      <c r="D57" s="129">
        <v>1995</v>
      </c>
      <c r="E57" s="129" t="s">
        <v>5886</v>
      </c>
      <c r="F57" s="129" t="s">
        <v>5533</v>
      </c>
      <c r="G57" s="129">
        <v>132</v>
      </c>
      <c r="H57" s="129"/>
      <c r="I57" s="129" t="s">
        <v>6534</v>
      </c>
      <c r="J57" s="129" t="s">
        <v>6535</v>
      </c>
    </row>
    <row r="58" spans="1:10">
      <c r="A58" s="129" t="s">
        <v>6637</v>
      </c>
      <c r="B58" s="129" t="s">
        <v>6532</v>
      </c>
      <c r="C58" s="129" t="s">
        <v>6638</v>
      </c>
      <c r="D58" s="129">
        <v>2017</v>
      </c>
      <c r="E58" s="129" t="s">
        <v>5899</v>
      </c>
      <c r="F58" s="129" t="s">
        <v>5533</v>
      </c>
      <c r="G58" s="129">
        <v>132</v>
      </c>
      <c r="H58" s="129"/>
      <c r="I58" s="129" t="s">
        <v>6534</v>
      </c>
      <c r="J58" s="129" t="s">
        <v>6535</v>
      </c>
    </row>
    <row r="59" spans="1:10">
      <c r="A59" s="129" t="s">
        <v>6639</v>
      </c>
      <c r="B59" s="129" t="s">
        <v>6532</v>
      </c>
      <c r="C59" s="129" t="s">
        <v>6640</v>
      </c>
      <c r="D59" s="129">
        <v>2014</v>
      </c>
      <c r="E59" s="129" t="s">
        <v>5899</v>
      </c>
      <c r="F59" s="129" t="s">
        <v>5533</v>
      </c>
      <c r="G59" s="129">
        <v>132</v>
      </c>
      <c r="H59" s="129"/>
      <c r="I59" s="129" t="s">
        <v>6534</v>
      </c>
      <c r="J59" s="129" t="s">
        <v>6535</v>
      </c>
    </row>
    <row r="60" spans="1:10">
      <c r="A60" s="129" t="s">
        <v>6641</v>
      </c>
      <c r="B60" s="129" t="s">
        <v>6532</v>
      </c>
      <c r="C60" s="129" t="s">
        <v>6642</v>
      </c>
      <c r="D60" s="129"/>
      <c r="E60" s="129" t="s">
        <v>5899</v>
      </c>
      <c r="F60" s="129" t="s">
        <v>5533</v>
      </c>
      <c r="G60" s="129">
        <v>132</v>
      </c>
      <c r="H60" s="129"/>
      <c r="I60" s="129" t="s">
        <v>6534</v>
      </c>
      <c r="J60" s="129" t="s">
        <v>6535</v>
      </c>
    </row>
    <row r="61" spans="1:10">
      <c r="A61" s="129" t="s">
        <v>6643</v>
      </c>
      <c r="B61" s="129" t="s">
        <v>6532</v>
      </c>
      <c r="C61" s="129" t="s">
        <v>6644</v>
      </c>
      <c r="D61" s="129">
        <v>1997</v>
      </c>
      <c r="E61" s="129" t="s">
        <v>5886</v>
      </c>
      <c r="F61" s="129" t="s">
        <v>5533</v>
      </c>
      <c r="G61" s="129">
        <v>132</v>
      </c>
      <c r="H61" s="129"/>
      <c r="I61" s="129" t="s">
        <v>6534</v>
      </c>
      <c r="J61" s="129" t="s">
        <v>6535</v>
      </c>
    </row>
    <row r="62" spans="1:10">
      <c r="A62" s="129" t="s">
        <v>6645</v>
      </c>
      <c r="B62" s="129" t="s">
        <v>6532</v>
      </c>
      <c r="C62" s="129" t="s">
        <v>6646</v>
      </c>
      <c r="D62" s="129">
        <v>2003</v>
      </c>
      <c r="E62" s="129" t="s">
        <v>5899</v>
      </c>
      <c r="F62" s="129" t="s">
        <v>5533</v>
      </c>
      <c r="G62" s="129">
        <v>132</v>
      </c>
      <c r="H62" s="129"/>
      <c r="I62" s="129" t="s">
        <v>6534</v>
      </c>
      <c r="J62" s="129" t="s">
        <v>6535</v>
      </c>
    </row>
    <row r="63" spans="1:10">
      <c r="A63" s="129" t="s">
        <v>6647</v>
      </c>
      <c r="B63" s="129" t="s">
        <v>6532</v>
      </c>
      <c r="C63" s="129" t="s">
        <v>6648</v>
      </c>
      <c r="D63" s="129">
        <v>2004</v>
      </c>
      <c r="E63" s="129" t="s">
        <v>5899</v>
      </c>
      <c r="F63" s="129" t="s">
        <v>5533</v>
      </c>
      <c r="G63" s="129">
        <v>132</v>
      </c>
      <c r="H63" s="129"/>
      <c r="I63" s="129" t="s">
        <v>6534</v>
      </c>
      <c r="J63" s="129" t="s">
        <v>6535</v>
      </c>
    </row>
    <row r="64" spans="1:10">
      <c r="A64" s="129" t="s">
        <v>6649</v>
      </c>
      <c r="B64" s="129" t="s">
        <v>6532</v>
      </c>
      <c r="C64" s="129" t="s">
        <v>6650</v>
      </c>
      <c r="D64" s="129">
        <v>2015</v>
      </c>
      <c r="E64" s="129" t="s">
        <v>5899</v>
      </c>
      <c r="F64" s="129" t="s">
        <v>5533</v>
      </c>
      <c r="G64" s="129">
        <v>132</v>
      </c>
      <c r="H64" s="129"/>
      <c r="I64" s="129" t="s">
        <v>6534</v>
      </c>
      <c r="J64" s="129" t="s">
        <v>6535</v>
      </c>
    </row>
    <row r="65" spans="1:10">
      <c r="A65" s="129" t="s">
        <v>6651</v>
      </c>
      <c r="B65" s="129" t="s">
        <v>6532</v>
      </c>
      <c r="C65" s="129" t="s">
        <v>6652</v>
      </c>
      <c r="D65" s="129">
        <v>2012</v>
      </c>
      <c r="E65" s="129" t="s">
        <v>5899</v>
      </c>
      <c r="F65" s="129" t="s">
        <v>5533</v>
      </c>
      <c r="G65" s="129">
        <v>133</v>
      </c>
      <c r="H65" s="129"/>
      <c r="I65" s="129" t="s">
        <v>6534</v>
      </c>
      <c r="J65" s="129" t="s">
        <v>6535</v>
      </c>
    </row>
    <row r="66" spans="1:10">
      <c r="A66" s="129" t="s">
        <v>6653</v>
      </c>
      <c r="B66" s="129" t="s">
        <v>6532</v>
      </c>
      <c r="C66" s="129" t="s">
        <v>6654</v>
      </c>
      <c r="D66" s="129">
        <v>2003</v>
      </c>
      <c r="E66" s="129" t="s">
        <v>5899</v>
      </c>
      <c r="F66" s="129" t="s">
        <v>5533</v>
      </c>
      <c r="G66" s="129">
        <v>133</v>
      </c>
      <c r="H66" s="129"/>
      <c r="I66" s="129" t="s">
        <v>6534</v>
      </c>
      <c r="J66" s="129" t="s">
        <v>6535</v>
      </c>
    </row>
    <row r="67" spans="1:10">
      <c r="A67" s="129" t="s">
        <v>6655</v>
      </c>
      <c r="B67" s="129" t="s">
        <v>6532</v>
      </c>
      <c r="C67" s="129" t="s">
        <v>6656</v>
      </c>
      <c r="D67" s="129">
        <v>2008</v>
      </c>
      <c r="E67" s="129" t="s">
        <v>5899</v>
      </c>
      <c r="F67" s="129" t="s">
        <v>5533</v>
      </c>
      <c r="G67" s="129">
        <v>133</v>
      </c>
      <c r="H67" s="129"/>
      <c r="I67" s="129" t="s">
        <v>6534</v>
      </c>
      <c r="J67" s="129" t="s">
        <v>6535</v>
      </c>
    </row>
    <row r="68" spans="1:10">
      <c r="A68" s="129" t="s">
        <v>6657</v>
      </c>
      <c r="B68" s="129" t="s">
        <v>6532</v>
      </c>
      <c r="C68" s="129" t="s">
        <v>6658</v>
      </c>
      <c r="D68" s="129">
        <v>2005</v>
      </c>
      <c r="E68" s="129" t="s">
        <v>5899</v>
      </c>
      <c r="F68" s="129" t="s">
        <v>5533</v>
      </c>
      <c r="G68" s="129">
        <v>133</v>
      </c>
      <c r="H68" s="129"/>
      <c r="I68" s="129" t="s">
        <v>6534</v>
      </c>
      <c r="J68" s="129" t="s">
        <v>6535</v>
      </c>
    </row>
    <row r="69" spans="1:10" ht="24">
      <c r="A69" s="129" t="s">
        <v>6659</v>
      </c>
      <c r="B69" s="129" t="s">
        <v>6532</v>
      </c>
      <c r="C69" s="129" t="s">
        <v>6660</v>
      </c>
      <c r="D69" s="129">
        <v>2016</v>
      </c>
      <c r="E69" s="129" t="s">
        <v>5871</v>
      </c>
      <c r="F69" s="129" t="s">
        <v>6564</v>
      </c>
      <c r="G69" s="129">
        <v>133</v>
      </c>
      <c r="H69" s="129"/>
      <c r="I69" s="129" t="s">
        <v>6534</v>
      </c>
      <c r="J69" s="129" t="s">
        <v>6535</v>
      </c>
    </row>
    <row r="70" spans="1:10" ht="24">
      <c r="A70" s="129" t="s">
        <v>6661</v>
      </c>
      <c r="B70" s="129" t="s">
        <v>6662</v>
      </c>
      <c r="C70" s="129" t="s">
        <v>6663</v>
      </c>
      <c r="D70" s="129"/>
      <c r="E70" s="129" t="s">
        <v>5931</v>
      </c>
      <c r="F70" s="129" t="s">
        <v>6664</v>
      </c>
      <c r="G70" s="129"/>
      <c r="H70" s="129" t="s">
        <v>6665</v>
      </c>
      <c r="I70" s="129" t="s">
        <v>6666</v>
      </c>
      <c r="J70" s="129" t="s">
        <v>6667</v>
      </c>
    </row>
    <row r="71" spans="1:10" ht="24">
      <c r="A71" s="129" t="s">
        <v>6668</v>
      </c>
      <c r="B71" s="129" t="s">
        <v>6662</v>
      </c>
      <c r="C71" s="129" t="s">
        <v>6669</v>
      </c>
      <c r="D71" s="129"/>
      <c r="E71" s="129" t="s">
        <v>5931</v>
      </c>
      <c r="F71" s="129" t="s">
        <v>6664</v>
      </c>
      <c r="G71" s="129"/>
      <c r="H71" s="129" t="s">
        <v>6670</v>
      </c>
      <c r="I71" s="129" t="s">
        <v>6671</v>
      </c>
      <c r="J71" s="129" t="s">
        <v>6667</v>
      </c>
    </row>
    <row r="72" spans="1:10" ht="48">
      <c r="A72" s="129" t="s">
        <v>6672</v>
      </c>
      <c r="B72" s="129" t="s">
        <v>6662</v>
      </c>
      <c r="C72" s="129" t="s">
        <v>6673</v>
      </c>
      <c r="D72" s="129"/>
      <c r="E72" s="129" t="s">
        <v>5906</v>
      </c>
      <c r="F72" s="129" t="s">
        <v>6664</v>
      </c>
      <c r="G72" s="129"/>
      <c r="H72" s="129" t="s">
        <v>6674</v>
      </c>
      <c r="I72" s="129" t="s">
        <v>6675</v>
      </c>
      <c r="J72" s="129" t="s">
        <v>6667</v>
      </c>
    </row>
    <row r="73" spans="1:10">
      <c r="A73" s="129" t="s">
        <v>6676</v>
      </c>
      <c r="B73" s="129" t="s">
        <v>6662</v>
      </c>
      <c r="C73" s="129" t="s">
        <v>6677</v>
      </c>
      <c r="D73" s="129"/>
      <c r="E73" s="129" t="s">
        <v>5906</v>
      </c>
      <c r="F73" s="129" t="s">
        <v>6664</v>
      </c>
      <c r="G73" s="129"/>
      <c r="H73" s="129" t="s">
        <v>6678</v>
      </c>
      <c r="I73" s="129" t="s">
        <v>6679</v>
      </c>
      <c r="J73" s="129" t="s">
        <v>6667</v>
      </c>
    </row>
    <row r="74" spans="1:10">
      <c r="A74" s="129" t="s">
        <v>6680</v>
      </c>
      <c r="B74" s="129" t="s">
        <v>6662</v>
      </c>
      <c r="C74" s="129" t="s">
        <v>6681</v>
      </c>
      <c r="D74" s="129"/>
      <c r="E74" s="129" t="s">
        <v>5906</v>
      </c>
      <c r="F74" s="129" t="s">
        <v>6664</v>
      </c>
      <c r="G74" s="129"/>
      <c r="H74" s="129" t="s">
        <v>6682</v>
      </c>
      <c r="I74" s="129" t="s">
        <v>6683</v>
      </c>
      <c r="J74" s="129" t="s">
        <v>6667</v>
      </c>
    </row>
    <row r="75" spans="1:10">
      <c r="A75" s="129" t="s">
        <v>6684</v>
      </c>
      <c r="B75" s="129" t="s">
        <v>6662</v>
      </c>
      <c r="C75" s="129" t="s">
        <v>6685</v>
      </c>
      <c r="D75" s="129"/>
      <c r="E75" s="129" t="s">
        <v>5899</v>
      </c>
      <c r="F75" s="129" t="s">
        <v>6664</v>
      </c>
      <c r="G75" s="129"/>
      <c r="H75" s="129" t="s">
        <v>6686</v>
      </c>
      <c r="I75" s="129" t="s">
        <v>6687</v>
      </c>
      <c r="J75" s="129" t="s">
        <v>6667</v>
      </c>
    </row>
    <row r="76" spans="1:10">
      <c r="A76" s="129" t="s">
        <v>6688</v>
      </c>
      <c r="B76" s="129" t="s">
        <v>6662</v>
      </c>
      <c r="C76" s="129" t="s">
        <v>6689</v>
      </c>
      <c r="D76" s="129"/>
      <c r="E76" s="129" t="s">
        <v>5871</v>
      </c>
      <c r="F76" s="129" t="s">
        <v>6664</v>
      </c>
      <c r="G76" s="129"/>
      <c r="H76" s="129" t="s">
        <v>6690</v>
      </c>
      <c r="I76" s="129" t="s">
        <v>6691</v>
      </c>
      <c r="J76" s="129" t="s">
        <v>6667</v>
      </c>
    </row>
    <row r="77" spans="1:10">
      <c r="A77" s="129" t="s">
        <v>6692</v>
      </c>
      <c r="B77" s="129" t="s">
        <v>6662</v>
      </c>
      <c r="C77" s="129" t="s">
        <v>6693</v>
      </c>
      <c r="D77" s="129"/>
      <c r="E77" s="129" t="s">
        <v>5899</v>
      </c>
      <c r="F77" s="129" t="s">
        <v>6664</v>
      </c>
      <c r="G77" s="129"/>
      <c r="H77" s="129" t="s">
        <v>6694</v>
      </c>
      <c r="I77" s="129" t="s">
        <v>6695</v>
      </c>
      <c r="J77" s="129" t="s">
        <v>6667</v>
      </c>
    </row>
    <row r="78" spans="1:10">
      <c r="A78" s="129" t="s">
        <v>6696</v>
      </c>
      <c r="B78" s="129" t="s">
        <v>6662</v>
      </c>
      <c r="C78" s="129" t="s">
        <v>6697</v>
      </c>
      <c r="D78" s="129"/>
      <c r="E78" s="129" t="s">
        <v>5871</v>
      </c>
      <c r="F78" s="129" t="s">
        <v>6664</v>
      </c>
      <c r="G78" s="129"/>
      <c r="H78" s="129" t="s">
        <v>6698</v>
      </c>
      <c r="I78" s="129" t="s">
        <v>6699</v>
      </c>
      <c r="J78" s="129" t="s">
        <v>6667</v>
      </c>
    </row>
    <row r="79" spans="1:10" ht="24">
      <c r="A79" s="129" t="s">
        <v>6700</v>
      </c>
      <c r="B79" s="129" t="s">
        <v>6701</v>
      </c>
      <c r="C79" s="129" t="s">
        <v>6702</v>
      </c>
      <c r="D79" s="129"/>
      <c r="E79" s="129" t="s">
        <v>5871</v>
      </c>
      <c r="F79" s="129" t="s">
        <v>6703</v>
      </c>
      <c r="G79" s="129"/>
      <c r="H79" s="129" t="s">
        <v>6690</v>
      </c>
      <c r="I79" s="129" t="s">
        <v>6704</v>
      </c>
      <c r="J79" s="129" t="s">
        <v>6705</v>
      </c>
    </row>
    <row r="80" spans="1:10" ht="24">
      <c r="A80" s="129" t="s">
        <v>6706</v>
      </c>
      <c r="B80" s="129" t="s">
        <v>6701</v>
      </c>
      <c r="C80" s="129" t="s">
        <v>6707</v>
      </c>
      <c r="D80" s="129"/>
      <c r="E80" s="129" t="s">
        <v>6708</v>
      </c>
      <c r="F80" s="129" t="s">
        <v>4962</v>
      </c>
      <c r="G80" s="129"/>
      <c r="H80" s="129" t="s">
        <v>6686</v>
      </c>
      <c r="I80" s="129" t="s">
        <v>6709</v>
      </c>
      <c r="J80" s="129" t="s">
        <v>6705</v>
      </c>
    </row>
    <row r="81" spans="1:10" ht="24">
      <c r="A81" s="129" t="s">
        <v>6710</v>
      </c>
      <c r="B81" s="129" t="s">
        <v>6701</v>
      </c>
      <c r="C81" s="129" t="s">
        <v>6711</v>
      </c>
      <c r="D81" s="129"/>
      <c r="E81" s="129" t="s">
        <v>6708</v>
      </c>
      <c r="F81" s="129" t="s">
        <v>4962</v>
      </c>
      <c r="G81" s="129"/>
      <c r="H81" s="129" t="s">
        <v>6694</v>
      </c>
      <c r="I81" s="129" t="s">
        <v>6712</v>
      </c>
      <c r="J81" s="129" t="s">
        <v>6705</v>
      </c>
    </row>
    <row r="82" spans="1:10" ht="24">
      <c r="A82" s="129" t="s">
        <v>6713</v>
      </c>
      <c r="B82" s="129" t="s">
        <v>6701</v>
      </c>
      <c r="C82" s="129" t="s">
        <v>6714</v>
      </c>
      <c r="D82" s="129"/>
      <c r="E82" s="129" t="s">
        <v>5871</v>
      </c>
      <c r="F82" s="129" t="s">
        <v>6715</v>
      </c>
      <c r="G82" s="129"/>
      <c r="H82" s="129" t="s">
        <v>6665</v>
      </c>
      <c r="I82" s="129" t="s">
        <v>6716</v>
      </c>
      <c r="J82" s="129" t="s">
        <v>6705</v>
      </c>
    </row>
    <row r="83" spans="1:10" ht="24">
      <c r="A83" s="129" t="s">
        <v>6717</v>
      </c>
      <c r="B83" s="129" t="s">
        <v>6701</v>
      </c>
      <c r="C83" s="129" t="s">
        <v>6718</v>
      </c>
      <c r="D83" s="129"/>
      <c r="E83" s="129" t="s">
        <v>5871</v>
      </c>
      <c r="F83" s="129" t="s">
        <v>6719</v>
      </c>
      <c r="G83" s="129"/>
      <c r="H83" s="129" t="s">
        <v>6698</v>
      </c>
      <c r="I83" s="129" t="s">
        <v>6720</v>
      </c>
      <c r="J83" s="129" t="s">
        <v>6705</v>
      </c>
    </row>
    <row r="84" spans="1:10" ht="24">
      <c r="A84" s="129" t="s">
        <v>6721</v>
      </c>
      <c r="B84" s="129" t="s">
        <v>6701</v>
      </c>
      <c r="C84" s="129" t="s">
        <v>6722</v>
      </c>
      <c r="D84" s="129"/>
      <c r="E84" s="129" t="s">
        <v>6723</v>
      </c>
      <c r="F84" s="129" t="s">
        <v>4962</v>
      </c>
      <c r="G84" s="129"/>
      <c r="H84" s="129" t="s">
        <v>6665</v>
      </c>
      <c r="I84" s="129" t="s">
        <v>6724</v>
      </c>
      <c r="J84" s="129" t="s">
        <v>6705</v>
      </c>
    </row>
  </sheetData>
  <mergeCells count="2">
    <mergeCell ref="A1:J1"/>
    <mergeCell ref="A3:J3"/>
  </mergeCell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245"/>
  <sheetViews>
    <sheetView workbookViewId="0">
      <selection sqref="A1:O1"/>
    </sheetView>
  </sheetViews>
  <sheetFormatPr baseColWidth="10" defaultColWidth="9" defaultRowHeight="14.25"/>
  <cols>
    <col min="1" max="1" width="13" customWidth="1"/>
    <col min="2" max="2" width="16" customWidth="1"/>
    <col min="3" max="3" width="20" customWidth="1"/>
    <col min="4" max="4" width="24" customWidth="1"/>
    <col min="5" max="5" width="45" customWidth="1"/>
    <col min="6" max="6" width="10" customWidth="1"/>
    <col min="7" max="7" width="26" customWidth="1"/>
    <col min="8" max="8" width="30" customWidth="1"/>
    <col min="9" max="9" width="24" customWidth="1"/>
    <col min="10" max="10" width="10" customWidth="1"/>
    <col min="11" max="11" width="22" customWidth="1"/>
    <col min="12" max="12" width="45" customWidth="1"/>
    <col min="13" max="13" width="28" customWidth="1"/>
    <col min="14" max="14" width="44" customWidth="1"/>
    <col min="15" max="15" width="14" customWidth="1"/>
  </cols>
  <sheetData>
    <row r="1" spans="1:15" ht="18">
      <c r="A1" s="293" t="s">
        <v>6725</v>
      </c>
      <c r="B1" s="293"/>
      <c r="C1" s="293"/>
      <c r="D1" s="293"/>
      <c r="E1" s="293"/>
      <c r="F1" s="293"/>
      <c r="G1" s="293"/>
      <c r="H1" s="293"/>
      <c r="I1" s="293"/>
      <c r="J1" s="293"/>
      <c r="K1" s="293"/>
      <c r="L1" s="293"/>
      <c r="M1" s="293"/>
      <c r="N1" s="293"/>
      <c r="O1" s="293"/>
    </row>
    <row r="3" spans="1:15">
      <c r="A3" s="294" t="s">
        <v>6726</v>
      </c>
      <c r="B3" s="294"/>
      <c r="C3" s="294"/>
      <c r="D3" s="294"/>
      <c r="E3" s="294"/>
      <c r="F3" s="294"/>
      <c r="G3" s="294"/>
      <c r="H3" s="294"/>
      <c r="I3" s="294"/>
      <c r="J3" s="294"/>
      <c r="K3" s="294"/>
      <c r="L3" s="294"/>
      <c r="M3" s="294"/>
      <c r="N3" s="294"/>
      <c r="O3" s="294"/>
    </row>
    <row r="5" spans="1:15">
      <c r="A5" s="122" t="s">
        <v>5430</v>
      </c>
      <c r="B5" s="122" t="s">
        <v>5431</v>
      </c>
      <c r="C5" s="122" t="s">
        <v>5432</v>
      </c>
      <c r="D5" s="122" t="s">
        <v>964</v>
      </c>
      <c r="E5" s="122" t="s">
        <v>5433</v>
      </c>
      <c r="F5" s="122" t="s">
        <v>5434</v>
      </c>
      <c r="G5" s="122" t="s">
        <v>979</v>
      </c>
      <c r="H5" s="123" t="s">
        <v>1100</v>
      </c>
      <c r="I5" s="122" t="s">
        <v>1317</v>
      </c>
      <c r="J5" s="122" t="s">
        <v>4716</v>
      </c>
    </row>
    <row r="7" spans="1:15">
      <c r="A7" s="128" t="s">
        <v>5514</v>
      </c>
      <c r="B7" s="128" t="s">
        <v>382</v>
      </c>
      <c r="C7" s="128" t="s">
        <v>6727</v>
      </c>
      <c r="D7" s="128" t="s">
        <v>5875</v>
      </c>
      <c r="E7" s="128" t="s">
        <v>660</v>
      </c>
      <c r="F7" s="128" t="s">
        <v>5519</v>
      </c>
      <c r="G7" s="128" t="s">
        <v>6</v>
      </c>
      <c r="H7" s="128" t="s">
        <v>4900</v>
      </c>
      <c r="I7" s="128" t="s">
        <v>113</v>
      </c>
      <c r="J7" s="128" t="s">
        <v>5520</v>
      </c>
      <c r="K7" s="128" t="s">
        <v>5876</v>
      </c>
      <c r="L7" s="128" t="s">
        <v>350</v>
      </c>
      <c r="M7" s="128" t="s">
        <v>5483</v>
      </c>
      <c r="N7" s="128" t="s">
        <v>5440</v>
      </c>
      <c r="O7" s="128" t="s">
        <v>1459</v>
      </c>
    </row>
    <row r="8" spans="1:15">
      <c r="A8" s="129" t="s">
        <v>6728</v>
      </c>
      <c r="B8" s="129" t="s">
        <v>6729</v>
      </c>
      <c r="C8" s="129" t="s">
        <v>6730</v>
      </c>
      <c r="D8" s="129" t="s">
        <v>6315</v>
      </c>
      <c r="E8" s="129" t="s">
        <v>6731</v>
      </c>
      <c r="F8" s="129">
        <v>10</v>
      </c>
      <c r="G8" s="129" t="s">
        <v>8</v>
      </c>
      <c r="H8" s="129" t="s">
        <v>6732</v>
      </c>
      <c r="I8" s="129" t="s">
        <v>6733</v>
      </c>
      <c r="J8" s="129" t="s">
        <v>6734</v>
      </c>
      <c r="K8" s="129" t="s">
        <v>5931</v>
      </c>
      <c r="L8" s="129" t="s">
        <v>6735</v>
      </c>
      <c r="M8" s="129" t="s">
        <v>6340</v>
      </c>
      <c r="N8" s="129" t="s">
        <v>6736</v>
      </c>
      <c r="O8" s="129" t="s">
        <v>6737</v>
      </c>
    </row>
    <row r="9" spans="1:15">
      <c r="A9" s="129" t="s">
        <v>6738</v>
      </c>
      <c r="B9" s="129" t="s">
        <v>6729</v>
      </c>
      <c r="C9" s="129" t="s">
        <v>6730</v>
      </c>
      <c r="D9" s="129" t="s">
        <v>6315</v>
      </c>
      <c r="E9" s="129" t="s">
        <v>6739</v>
      </c>
      <c r="F9" s="129">
        <v>11</v>
      </c>
      <c r="G9" s="129" t="s">
        <v>8</v>
      </c>
      <c r="H9" s="129" t="s">
        <v>6732</v>
      </c>
      <c r="I9" s="129" t="s">
        <v>6733</v>
      </c>
      <c r="J9" s="129" t="s">
        <v>6734</v>
      </c>
      <c r="K9" s="129" t="s">
        <v>5931</v>
      </c>
      <c r="L9" s="129" t="s">
        <v>6735</v>
      </c>
      <c r="M9" s="129" t="s">
        <v>6340</v>
      </c>
      <c r="N9" s="129" t="s">
        <v>6736</v>
      </c>
      <c r="O9" s="129" t="s">
        <v>6737</v>
      </c>
    </row>
    <row r="10" spans="1:15">
      <c r="A10" s="129" t="s">
        <v>6740</v>
      </c>
      <c r="B10" s="129" t="s">
        <v>6729</v>
      </c>
      <c r="C10" s="129" t="s">
        <v>6730</v>
      </c>
      <c r="D10" s="129" t="s">
        <v>6315</v>
      </c>
      <c r="E10" s="129" t="s">
        <v>6741</v>
      </c>
      <c r="F10" s="129">
        <v>22</v>
      </c>
      <c r="G10" s="129" t="s">
        <v>8</v>
      </c>
      <c r="H10" s="129" t="s">
        <v>6732</v>
      </c>
      <c r="I10" s="129" t="s">
        <v>6733</v>
      </c>
      <c r="J10" s="129" t="s">
        <v>6734</v>
      </c>
      <c r="K10" s="129" t="s">
        <v>5931</v>
      </c>
      <c r="L10" s="129" t="s">
        <v>6735</v>
      </c>
      <c r="M10" s="129" t="s">
        <v>6340</v>
      </c>
      <c r="N10" s="129" t="s">
        <v>6736</v>
      </c>
      <c r="O10" s="129" t="s">
        <v>6737</v>
      </c>
    </row>
    <row r="11" spans="1:15">
      <c r="A11" s="129" t="s">
        <v>6742</v>
      </c>
      <c r="B11" s="129" t="s">
        <v>6729</v>
      </c>
      <c r="C11" s="129" t="s">
        <v>6730</v>
      </c>
      <c r="D11" s="129" t="s">
        <v>6315</v>
      </c>
      <c r="E11" s="129" t="s">
        <v>6743</v>
      </c>
      <c r="F11" s="129">
        <v>42</v>
      </c>
      <c r="G11" s="129" t="s">
        <v>8</v>
      </c>
      <c r="H11" s="129" t="s">
        <v>6732</v>
      </c>
      <c r="I11" s="129" t="s">
        <v>6733</v>
      </c>
      <c r="J11" s="129" t="s">
        <v>6734</v>
      </c>
      <c r="K11" s="129" t="s">
        <v>5931</v>
      </c>
      <c r="L11" s="129" t="s">
        <v>6735</v>
      </c>
      <c r="M11" s="129" t="s">
        <v>6340</v>
      </c>
      <c r="N11" s="129" t="s">
        <v>6736</v>
      </c>
      <c r="O11" s="129" t="s">
        <v>6737</v>
      </c>
    </row>
    <row r="12" spans="1:15">
      <c r="A12" s="129" t="s">
        <v>6744</v>
      </c>
      <c r="B12" s="129" t="s">
        <v>6729</v>
      </c>
      <c r="C12" s="129" t="s">
        <v>6730</v>
      </c>
      <c r="D12" s="129" t="s">
        <v>5441</v>
      </c>
      <c r="E12" s="129" t="s">
        <v>6745</v>
      </c>
      <c r="F12" s="129">
        <v>43</v>
      </c>
      <c r="G12" s="129" t="s">
        <v>8</v>
      </c>
      <c r="H12" s="129" t="s">
        <v>6732</v>
      </c>
      <c r="I12" s="129" t="s">
        <v>6733</v>
      </c>
      <c r="J12" s="129" t="s">
        <v>6734</v>
      </c>
      <c r="K12" s="129" t="s">
        <v>5931</v>
      </c>
      <c r="L12" s="129" t="s">
        <v>6735</v>
      </c>
      <c r="M12" s="129" t="s">
        <v>6340</v>
      </c>
      <c r="N12" s="129" t="s">
        <v>6736</v>
      </c>
      <c r="O12" s="129" t="s">
        <v>6737</v>
      </c>
    </row>
    <row r="13" spans="1:15">
      <c r="A13" s="129" t="s">
        <v>6746</v>
      </c>
      <c r="B13" s="129" t="s">
        <v>6729</v>
      </c>
      <c r="C13" s="129" t="s">
        <v>6730</v>
      </c>
      <c r="D13" s="129" t="s">
        <v>5447</v>
      </c>
      <c r="E13" s="129" t="s">
        <v>6747</v>
      </c>
      <c r="F13" s="129">
        <v>47</v>
      </c>
      <c r="G13" s="129" t="s">
        <v>8</v>
      </c>
      <c r="H13" s="129" t="s">
        <v>6732</v>
      </c>
      <c r="I13" s="129" t="s">
        <v>6733</v>
      </c>
      <c r="J13" s="129" t="s">
        <v>6734</v>
      </c>
      <c r="K13" s="129" t="s">
        <v>5931</v>
      </c>
      <c r="L13" s="129" t="s">
        <v>6735</v>
      </c>
      <c r="M13" s="129" t="s">
        <v>6748</v>
      </c>
      <c r="N13" s="129" t="s">
        <v>6736</v>
      </c>
      <c r="O13" s="129" t="s">
        <v>6737</v>
      </c>
    </row>
    <row r="14" spans="1:15">
      <c r="A14" s="129" t="s">
        <v>6749</v>
      </c>
      <c r="B14" s="129" t="s">
        <v>6729</v>
      </c>
      <c r="C14" s="129" t="s">
        <v>6730</v>
      </c>
      <c r="D14" s="129" t="s">
        <v>5447</v>
      </c>
      <c r="E14" s="129" t="s">
        <v>6750</v>
      </c>
      <c r="F14" s="129">
        <v>49</v>
      </c>
      <c r="G14" s="129" t="s">
        <v>8</v>
      </c>
      <c r="H14" s="129" t="s">
        <v>6732</v>
      </c>
      <c r="I14" s="129" t="s">
        <v>6733</v>
      </c>
      <c r="J14" s="129" t="s">
        <v>6734</v>
      </c>
      <c r="K14" s="129" t="s">
        <v>5931</v>
      </c>
      <c r="L14" s="129" t="s">
        <v>6735</v>
      </c>
      <c r="M14" s="129" t="s">
        <v>6748</v>
      </c>
      <c r="N14" s="129" t="s">
        <v>6736</v>
      </c>
      <c r="O14" s="129" t="s">
        <v>6737</v>
      </c>
    </row>
    <row r="15" spans="1:15">
      <c r="A15" s="129" t="s">
        <v>6751</v>
      </c>
      <c r="B15" s="129" t="s">
        <v>6729</v>
      </c>
      <c r="C15" s="129" t="s">
        <v>6730</v>
      </c>
      <c r="D15" s="129" t="s">
        <v>5447</v>
      </c>
      <c r="E15" s="129" t="s">
        <v>6752</v>
      </c>
      <c r="F15" s="129">
        <v>51</v>
      </c>
      <c r="G15" s="129" t="s">
        <v>8</v>
      </c>
      <c r="H15" s="129" t="s">
        <v>6732</v>
      </c>
      <c r="I15" s="129" t="s">
        <v>6733</v>
      </c>
      <c r="J15" s="129" t="s">
        <v>6734</v>
      </c>
      <c r="K15" s="129" t="s">
        <v>5931</v>
      </c>
      <c r="L15" s="129" t="s">
        <v>6735</v>
      </c>
      <c r="M15" s="129" t="s">
        <v>6748</v>
      </c>
      <c r="N15" s="129" t="s">
        <v>6736</v>
      </c>
      <c r="O15" s="129" t="s">
        <v>6737</v>
      </c>
    </row>
    <row r="16" spans="1:15">
      <c r="A16" s="129" t="s">
        <v>6753</v>
      </c>
      <c r="B16" s="129" t="s">
        <v>6729</v>
      </c>
      <c r="C16" s="129" t="s">
        <v>6730</v>
      </c>
      <c r="D16" s="129" t="s">
        <v>5456</v>
      </c>
      <c r="E16" s="129" t="s">
        <v>6754</v>
      </c>
      <c r="F16" s="129">
        <v>55</v>
      </c>
      <c r="G16" s="129" t="s">
        <v>8</v>
      </c>
      <c r="H16" s="129" t="s">
        <v>6732</v>
      </c>
      <c r="I16" s="129" t="s">
        <v>6733</v>
      </c>
      <c r="J16" s="129" t="s">
        <v>6734</v>
      </c>
      <c r="K16" s="129" t="s">
        <v>5931</v>
      </c>
      <c r="L16" s="129" t="s">
        <v>6735</v>
      </c>
      <c r="M16" s="129" t="s">
        <v>6748</v>
      </c>
      <c r="N16" s="129" t="s">
        <v>6736</v>
      </c>
      <c r="O16" s="129" t="s">
        <v>6737</v>
      </c>
    </row>
    <row r="17" spans="1:15">
      <c r="A17" s="129" t="s">
        <v>6755</v>
      </c>
      <c r="B17" s="129" t="s">
        <v>6729</v>
      </c>
      <c r="C17" s="129" t="s">
        <v>6730</v>
      </c>
      <c r="D17" s="129" t="s">
        <v>5461</v>
      </c>
      <c r="E17" s="129" t="s">
        <v>6756</v>
      </c>
      <c r="F17" s="129">
        <v>63</v>
      </c>
      <c r="G17" s="129" t="s">
        <v>8</v>
      </c>
      <c r="H17" s="129" t="s">
        <v>6732</v>
      </c>
      <c r="I17" s="129" t="s">
        <v>6733</v>
      </c>
      <c r="J17" s="129" t="s">
        <v>6734</v>
      </c>
      <c r="K17" s="129" t="s">
        <v>5931</v>
      </c>
      <c r="L17" s="129" t="s">
        <v>6735</v>
      </c>
      <c r="M17" s="129" t="s">
        <v>6748</v>
      </c>
      <c r="N17" s="129" t="s">
        <v>6736</v>
      </c>
      <c r="O17" s="129" t="s">
        <v>6737</v>
      </c>
    </row>
    <row r="18" spans="1:15">
      <c r="A18" s="129" t="s">
        <v>6757</v>
      </c>
      <c r="B18" s="129" t="s">
        <v>6729</v>
      </c>
      <c r="C18" s="129" t="s">
        <v>6730</v>
      </c>
      <c r="D18" s="129" t="s">
        <v>5466</v>
      </c>
      <c r="E18" s="129" t="s">
        <v>6758</v>
      </c>
      <c r="F18" s="129">
        <v>75</v>
      </c>
      <c r="G18" s="129" t="s">
        <v>8</v>
      </c>
      <c r="H18" s="129" t="s">
        <v>6732</v>
      </c>
      <c r="I18" s="129" t="s">
        <v>6733</v>
      </c>
      <c r="J18" s="129" t="s">
        <v>6734</v>
      </c>
      <c r="K18" s="129" t="s">
        <v>5931</v>
      </c>
      <c r="L18" s="129" t="s">
        <v>6735</v>
      </c>
      <c r="M18" s="129" t="s">
        <v>6340</v>
      </c>
      <c r="N18" s="129" t="s">
        <v>6736</v>
      </c>
      <c r="O18" s="129" t="s">
        <v>6737</v>
      </c>
    </row>
    <row r="19" spans="1:15">
      <c r="A19" s="129" t="s">
        <v>6759</v>
      </c>
      <c r="B19" s="129" t="s">
        <v>6729</v>
      </c>
      <c r="C19" s="129" t="s">
        <v>6730</v>
      </c>
      <c r="D19" s="129" t="s">
        <v>5466</v>
      </c>
      <c r="E19" s="129" t="s">
        <v>6760</v>
      </c>
      <c r="F19" s="129">
        <v>95</v>
      </c>
      <c r="G19" s="129" t="s">
        <v>8</v>
      </c>
      <c r="H19" s="129" t="s">
        <v>6732</v>
      </c>
      <c r="I19" s="129" t="s">
        <v>6733</v>
      </c>
      <c r="J19" s="129" t="s">
        <v>6734</v>
      </c>
      <c r="K19" s="129" t="s">
        <v>5931</v>
      </c>
      <c r="L19" s="129" t="s">
        <v>6735</v>
      </c>
      <c r="M19" s="129" t="s">
        <v>6340</v>
      </c>
      <c r="N19" s="129" t="s">
        <v>6736</v>
      </c>
      <c r="O19" s="129" t="s">
        <v>6737</v>
      </c>
    </row>
    <row r="20" spans="1:15">
      <c r="A20" s="129" t="s">
        <v>6761</v>
      </c>
      <c r="B20" s="129" t="s">
        <v>6729</v>
      </c>
      <c r="C20" s="129" t="s">
        <v>6730</v>
      </c>
      <c r="D20" s="129" t="s">
        <v>6315</v>
      </c>
      <c r="E20" s="129" t="s">
        <v>6762</v>
      </c>
      <c r="F20" s="129">
        <v>103</v>
      </c>
      <c r="G20" s="129" t="s">
        <v>8</v>
      </c>
      <c r="H20" s="129" t="s">
        <v>6732</v>
      </c>
      <c r="I20" s="129" t="s">
        <v>6733</v>
      </c>
      <c r="J20" s="129" t="s">
        <v>6734</v>
      </c>
      <c r="K20" s="129" t="s">
        <v>5931</v>
      </c>
      <c r="L20" s="129" t="s">
        <v>6735</v>
      </c>
      <c r="M20" s="129" t="s">
        <v>6340</v>
      </c>
      <c r="N20" s="129" t="s">
        <v>6736</v>
      </c>
      <c r="O20" s="129" t="s">
        <v>6737</v>
      </c>
    </row>
    <row r="21" spans="1:15">
      <c r="A21" s="129" t="s">
        <v>6763</v>
      </c>
      <c r="B21" s="129" t="s">
        <v>6729</v>
      </c>
      <c r="C21" s="129" t="s">
        <v>6730</v>
      </c>
      <c r="D21" s="129" t="s">
        <v>6232</v>
      </c>
      <c r="E21" s="129" t="s">
        <v>6764</v>
      </c>
      <c r="F21" s="129">
        <v>104</v>
      </c>
      <c r="G21" s="129" t="s">
        <v>8</v>
      </c>
      <c r="H21" s="129" t="s">
        <v>6732</v>
      </c>
      <c r="I21" s="129" t="s">
        <v>6733</v>
      </c>
      <c r="J21" s="129" t="s">
        <v>6734</v>
      </c>
      <c r="K21" s="129" t="s">
        <v>5931</v>
      </c>
      <c r="L21" s="129" t="s">
        <v>6735</v>
      </c>
      <c r="M21" s="129" t="s">
        <v>6765</v>
      </c>
      <c r="N21" s="129" t="s">
        <v>6736</v>
      </c>
      <c r="O21" s="129" t="s">
        <v>6737</v>
      </c>
    </row>
    <row r="22" spans="1:15">
      <c r="A22" s="129" t="s">
        <v>6766</v>
      </c>
      <c r="B22" s="129" t="s">
        <v>6729</v>
      </c>
      <c r="C22" s="129" t="s">
        <v>6730</v>
      </c>
      <c r="D22" s="129" t="s">
        <v>6232</v>
      </c>
      <c r="E22" s="129" t="s">
        <v>6767</v>
      </c>
      <c r="F22" s="129">
        <v>105</v>
      </c>
      <c r="G22" s="129" t="s">
        <v>8</v>
      </c>
      <c r="H22" s="129" t="s">
        <v>6732</v>
      </c>
      <c r="I22" s="129" t="s">
        <v>6733</v>
      </c>
      <c r="J22" s="129" t="s">
        <v>6734</v>
      </c>
      <c r="K22" s="129" t="s">
        <v>5931</v>
      </c>
      <c r="L22" s="129" t="s">
        <v>6735</v>
      </c>
      <c r="M22" s="129" t="s">
        <v>6765</v>
      </c>
      <c r="N22" s="129" t="s">
        <v>6736</v>
      </c>
      <c r="O22" s="129" t="s">
        <v>6737</v>
      </c>
    </row>
    <row r="23" spans="1:15">
      <c r="A23" s="129" t="s">
        <v>6768</v>
      </c>
      <c r="B23" s="129" t="s">
        <v>6729</v>
      </c>
      <c r="C23" s="129" t="s">
        <v>6730</v>
      </c>
      <c r="D23" s="129" t="s">
        <v>6232</v>
      </c>
      <c r="E23" s="129" t="s">
        <v>6769</v>
      </c>
      <c r="F23" s="129">
        <v>111</v>
      </c>
      <c r="G23" s="129" t="s">
        <v>8</v>
      </c>
      <c r="H23" s="129" t="s">
        <v>6732</v>
      </c>
      <c r="I23" s="129" t="s">
        <v>6733</v>
      </c>
      <c r="J23" s="129" t="s">
        <v>6734</v>
      </c>
      <c r="K23" s="129" t="s">
        <v>5931</v>
      </c>
      <c r="L23" s="129" t="s">
        <v>6735</v>
      </c>
      <c r="M23" s="129" t="s">
        <v>6765</v>
      </c>
      <c r="N23" s="129" t="s">
        <v>6736</v>
      </c>
      <c r="O23" s="129" t="s">
        <v>6737</v>
      </c>
    </row>
    <row r="24" spans="1:15">
      <c r="A24" s="129" t="s">
        <v>6770</v>
      </c>
      <c r="B24" s="129" t="s">
        <v>6729</v>
      </c>
      <c r="C24" s="129" t="s">
        <v>6730</v>
      </c>
      <c r="D24" s="129" t="s">
        <v>5474</v>
      </c>
      <c r="E24" s="129" t="s">
        <v>6771</v>
      </c>
      <c r="F24" s="129">
        <v>113</v>
      </c>
      <c r="G24" s="129" t="s">
        <v>8</v>
      </c>
      <c r="H24" s="129" t="s">
        <v>6732</v>
      </c>
      <c r="I24" s="129" t="s">
        <v>6733</v>
      </c>
      <c r="J24" s="129" t="s">
        <v>6734</v>
      </c>
      <c r="K24" s="129" t="s">
        <v>5931</v>
      </c>
      <c r="L24" s="129" t="s">
        <v>6735</v>
      </c>
      <c r="M24" s="129" t="s">
        <v>6340</v>
      </c>
      <c r="N24" s="129" t="s">
        <v>6736</v>
      </c>
      <c r="O24" s="129" t="s">
        <v>6737</v>
      </c>
    </row>
    <row r="25" spans="1:15">
      <c r="A25" s="129" t="s">
        <v>6772</v>
      </c>
      <c r="B25" s="129" t="s">
        <v>6729</v>
      </c>
      <c r="C25" s="129" t="s">
        <v>6730</v>
      </c>
      <c r="D25" s="129" t="s">
        <v>5474</v>
      </c>
      <c r="E25" s="129" t="s">
        <v>6773</v>
      </c>
      <c r="F25" s="129">
        <v>115</v>
      </c>
      <c r="G25" s="129" t="s">
        <v>8</v>
      </c>
      <c r="H25" s="129" t="s">
        <v>6732</v>
      </c>
      <c r="I25" s="129" t="s">
        <v>6733</v>
      </c>
      <c r="J25" s="129" t="s">
        <v>6734</v>
      </c>
      <c r="K25" s="129" t="s">
        <v>5931</v>
      </c>
      <c r="L25" s="129" t="s">
        <v>6735</v>
      </c>
      <c r="M25" s="129" t="s">
        <v>6765</v>
      </c>
      <c r="N25" s="129" t="s">
        <v>6736</v>
      </c>
      <c r="O25" s="129" t="s">
        <v>6737</v>
      </c>
    </row>
    <row r="26" spans="1:15">
      <c r="A26" s="129" t="s">
        <v>6774</v>
      </c>
      <c r="B26" s="129" t="s">
        <v>6729</v>
      </c>
      <c r="C26" s="129" t="s">
        <v>6730</v>
      </c>
      <c r="D26" s="129" t="s">
        <v>5474</v>
      </c>
      <c r="E26" s="129" t="s">
        <v>6775</v>
      </c>
      <c r="F26" s="129">
        <v>118</v>
      </c>
      <c r="G26" s="129" t="s">
        <v>8</v>
      </c>
      <c r="H26" s="129" t="s">
        <v>6732</v>
      </c>
      <c r="I26" s="129" t="s">
        <v>6733</v>
      </c>
      <c r="J26" s="129" t="s">
        <v>6734</v>
      </c>
      <c r="K26" s="129" t="s">
        <v>5931</v>
      </c>
      <c r="L26" s="129" t="s">
        <v>6735</v>
      </c>
      <c r="M26" s="129" t="s">
        <v>6765</v>
      </c>
      <c r="N26" s="129" t="s">
        <v>6736</v>
      </c>
      <c r="O26" s="129" t="s">
        <v>6737</v>
      </c>
    </row>
    <row r="27" spans="1:15">
      <c r="A27" s="129" t="s">
        <v>6776</v>
      </c>
      <c r="B27" s="129" t="s">
        <v>6729</v>
      </c>
      <c r="C27" s="129" t="s">
        <v>6730</v>
      </c>
      <c r="D27" s="129" t="s">
        <v>5474</v>
      </c>
      <c r="E27" s="129" t="s">
        <v>6777</v>
      </c>
      <c r="F27" s="129">
        <v>123</v>
      </c>
      <c r="G27" s="129" t="s">
        <v>8</v>
      </c>
      <c r="H27" s="129" t="s">
        <v>6732</v>
      </c>
      <c r="I27" s="129" t="s">
        <v>6733</v>
      </c>
      <c r="J27" s="129" t="s">
        <v>6734</v>
      </c>
      <c r="K27" s="129" t="s">
        <v>5931</v>
      </c>
      <c r="L27" s="129" t="s">
        <v>6735</v>
      </c>
      <c r="M27" s="129" t="s">
        <v>6765</v>
      </c>
      <c r="N27" s="129" t="s">
        <v>6736</v>
      </c>
      <c r="O27" s="129" t="s">
        <v>6737</v>
      </c>
    </row>
    <row r="28" spans="1:15">
      <c r="A28" s="129" t="s">
        <v>6778</v>
      </c>
      <c r="B28" s="129" t="s">
        <v>6729</v>
      </c>
      <c r="C28" s="129" t="s">
        <v>6730</v>
      </c>
      <c r="D28" s="129" t="s">
        <v>6315</v>
      </c>
      <c r="E28" s="129" t="s">
        <v>6779</v>
      </c>
      <c r="F28" s="129">
        <v>126</v>
      </c>
      <c r="G28" s="129" t="s">
        <v>8</v>
      </c>
      <c r="H28" s="129" t="s">
        <v>6732</v>
      </c>
      <c r="I28" s="129" t="s">
        <v>6733</v>
      </c>
      <c r="J28" s="129" t="s">
        <v>6734</v>
      </c>
      <c r="K28" s="129" t="s">
        <v>5931</v>
      </c>
      <c r="L28" s="129" t="s">
        <v>6735</v>
      </c>
      <c r="M28" s="129" t="s">
        <v>6340</v>
      </c>
      <c r="N28" s="129" t="s">
        <v>6736</v>
      </c>
      <c r="O28" s="129" t="s">
        <v>6737</v>
      </c>
    </row>
    <row r="29" spans="1:15" ht="36">
      <c r="A29" s="129" t="s">
        <v>5880</v>
      </c>
      <c r="B29" s="129" t="s">
        <v>6780</v>
      </c>
      <c r="C29" s="129" t="s">
        <v>6781</v>
      </c>
      <c r="D29" s="129" t="s">
        <v>5466</v>
      </c>
      <c r="E29" s="129" t="s">
        <v>5881</v>
      </c>
      <c r="F29" s="129">
        <v>15</v>
      </c>
      <c r="G29" s="129" t="s">
        <v>10</v>
      </c>
      <c r="H29" s="129" t="s">
        <v>6782</v>
      </c>
      <c r="I29" s="129" t="s">
        <v>5533</v>
      </c>
      <c r="J29" s="129" t="s">
        <v>5534</v>
      </c>
      <c r="K29" s="129" t="s">
        <v>5886</v>
      </c>
      <c r="L29" s="129" t="s">
        <v>5885</v>
      </c>
      <c r="M29" s="129" t="s">
        <v>5551</v>
      </c>
      <c r="N29" s="129" t="s">
        <v>6783</v>
      </c>
      <c r="O29" s="129" t="s">
        <v>6737</v>
      </c>
    </row>
    <row r="30" spans="1:15" ht="36">
      <c r="A30" s="129" t="s">
        <v>5891</v>
      </c>
      <c r="B30" s="129" t="s">
        <v>6780</v>
      </c>
      <c r="C30" s="129" t="s">
        <v>6781</v>
      </c>
      <c r="D30" s="129" t="s">
        <v>5466</v>
      </c>
      <c r="E30" s="129" t="s">
        <v>5892</v>
      </c>
      <c r="F30" s="129">
        <v>16</v>
      </c>
      <c r="G30" s="129" t="s">
        <v>10</v>
      </c>
      <c r="H30" s="129" t="s">
        <v>6782</v>
      </c>
      <c r="I30" s="129" t="s">
        <v>5533</v>
      </c>
      <c r="J30" s="129" t="s">
        <v>5534</v>
      </c>
      <c r="K30" s="129" t="s">
        <v>5886</v>
      </c>
      <c r="L30" s="129" t="s">
        <v>5893</v>
      </c>
      <c r="M30" s="129" t="s">
        <v>5894</v>
      </c>
      <c r="N30" s="129" t="s">
        <v>6783</v>
      </c>
      <c r="O30" s="129" t="s">
        <v>6737</v>
      </c>
    </row>
    <row r="31" spans="1:15" ht="48">
      <c r="A31" s="129" t="s">
        <v>5896</v>
      </c>
      <c r="B31" s="129" t="s">
        <v>6780</v>
      </c>
      <c r="C31" s="129" t="s">
        <v>6781</v>
      </c>
      <c r="D31" s="129" t="s">
        <v>5466</v>
      </c>
      <c r="E31" s="129" t="s">
        <v>5897</v>
      </c>
      <c r="F31" s="129">
        <v>21</v>
      </c>
      <c r="G31" s="129" t="s">
        <v>10</v>
      </c>
      <c r="H31" s="129" t="s">
        <v>6782</v>
      </c>
      <c r="I31" s="129" t="s">
        <v>5533</v>
      </c>
      <c r="J31" s="129" t="s">
        <v>5534</v>
      </c>
      <c r="K31" s="129" t="s">
        <v>5899</v>
      </c>
      <c r="L31" s="129" t="s">
        <v>5898</v>
      </c>
      <c r="M31" s="129" t="s">
        <v>5894</v>
      </c>
      <c r="N31" s="129" t="s">
        <v>6783</v>
      </c>
      <c r="O31" s="129" t="s">
        <v>6737</v>
      </c>
    </row>
    <row r="32" spans="1:15" ht="24">
      <c r="A32" s="129" t="s">
        <v>5901</v>
      </c>
      <c r="B32" s="129" t="s">
        <v>6780</v>
      </c>
      <c r="C32" s="129" t="s">
        <v>6781</v>
      </c>
      <c r="D32" s="129" t="s">
        <v>5441</v>
      </c>
      <c r="E32" s="129" t="s">
        <v>5902</v>
      </c>
      <c r="F32" s="129">
        <v>45</v>
      </c>
      <c r="G32" s="129" t="s">
        <v>10</v>
      </c>
      <c r="H32" s="129" t="s">
        <v>6782</v>
      </c>
      <c r="I32" s="129" t="s">
        <v>5907</v>
      </c>
      <c r="J32" s="129" t="s">
        <v>5534</v>
      </c>
      <c r="K32" s="129" t="s">
        <v>5906</v>
      </c>
      <c r="L32" s="129" t="s">
        <v>5905</v>
      </c>
      <c r="M32" s="129" t="s">
        <v>5576</v>
      </c>
      <c r="N32" s="129" t="s">
        <v>6783</v>
      </c>
      <c r="O32" s="129" t="s">
        <v>6737</v>
      </c>
    </row>
    <row r="33" spans="1:15" ht="24">
      <c r="A33" s="129" t="s">
        <v>5909</v>
      </c>
      <c r="B33" s="129" t="s">
        <v>6780</v>
      </c>
      <c r="C33" s="129" t="s">
        <v>6781</v>
      </c>
      <c r="D33" s="129" t="s">
        <v>5441</v>
      </c>
      <c r="E33" s="129" t="s">
        <v>5910</v>
      </c>
      <c r="F33" s="129">
        <v>45</v>
      </c>
      <c r="G33" s="129" t="s">
        <v>10</v>
      </c>
      <c r="H33" s="129" t="s">
        <v>6782</v>
      </c>
      <c r="I33" s="129" t="s">
        <v>5907</v>
      </c>
      <c r="J33" s="129" t="s">
        <v>5534</v>
      </c>
      <c r="K33" s="129" t="s">
        <v>5906</v>
      </c>
      <c r="L33" s="129" t="s">
        <v>5911</v>
      </c>
      <c r="M33" s="129" t="s">
        <v>5576</v>
      </c>
      <c r="N33" s="129" t="s">
        <v>6783</v>
      </c>
      <c r="O33" s="129" t="s">
        <v>6737</v>
      </c>
    </row>
    <row r="34" spans="1:15" ht="24">
      <c r="A34" s="129" t="s">
        <v>5915</v>
      </c>
      <c r="B34" s="129" t="s">
        <v>6780</v>
      </c>
      <c r="C34" s="129" t="s">
        <v>6781</v>
      </c>
      <c r="D34" s="129" t="s">
        <v>5441</v>
      </c>
      <c r="E34" s="129" t="s">
        <v>5916</v>
      </c>
      <c r="F34" s="129">
        <v>46</v>
      </c>
      <c r="G34" s="129" t="s">
        <v>10</v>
      </c>
      <c r="H34" s="129" t="s">
        <v>6782</v>
      </c>
      <c r="I34" s="129" t="s">
        <v>5907</v>
      </c>
      <c r="J34" s="129" t="s">
        <v>5534</v>
      </c>
      <c r="K34" s="129" t="s">
        <v>5906</v>
      </c>
      <c r="L34" s="129" t="s">
        <v>5911</v>
      </c>
      <c r="M34" s="129" t="s">
        <v>5576</v>
      </c>
      <c r="N34" s="129" t="s">
        <v>6783</v>
      </c>
      <c r="O34" s="129" t="s">
        <v>6737</v>
      </c>
    </row>
    <row r="35" spans="1:15" ht="24">
      <c r="A35" s="129" t="s">
        <v>5918</v>
      </c>
      <c r="B35" s="129" t="s">
        <v>6780</v>
      </c>
      <c r="C35" s="129" t="s">
        <v>6781</v>
      </c>
      <c r="D35" s="129" t="s">
        <v>5447</v>
      </c>
      <c r="E35" s="129" t="s">
        <v>5919</v>
      </c>
      <c r="F35" s="129">
        <v>49</v>
      </c>
      <c r="G35" s="129" t="s">
        <v>10</v>
      </c>
      <c r="H35" s="129" t="s">
        <v>6782</v>
      </c>
      <c r="I35" s="129" t="s">
        <v>5907</v>
      </c>
      <c r="J35" s="129" t="s">
        <v>5534</v>
      </c>
      <c r="K35" s="129" t="s">
        <v>5906</v>
      </c>
      <c r="L35" s="129" t="s">
        <v>5922</v>
      </c>
      <c r="M35" s="129" t="s">
        <v>5459</v>
      </c>
      <c r="N35" s="129" t="s">
        <v>6783</v>
      </c>
      <c r="O35" s="129" t="s">
        <v>6737</v>
      </c>
    </row>
    <row r="36" spans="1:15" ht="24">
      <c r="A36" s="129" t="s">
        <v>5924</v>
      </c>
      <c r="B36" s="129" t="s">
        <v>6780</v>
      </c>
      <c r="C36" s="129" t="s">
        <v>6781</v>
      </c>
      <c r="D36" s="129" t="s">
        <v>5447</v>
      </c>
      <c r="E36" s="129" t="s">
        <v>5925</v>
      </c>
      <c r="F36" s="129">
        <v>49</v>
      </c>
      <c r="G36" s="129" t="s">
        <v>10</v>
      </c>
      <c r="H36" s="129" t="s">
        <v>6782</v>
      </c>
      <c r="I36" s="129" t="s">
        <v>5533</v>
      </c>
      <c r="J36" s="129" t="s">
        <v>5534</v>
      </c>
      <c r="K36" s="129" t="s">
        <v>5899</v>
      </c>
      <c r="L36" s="129" t="s">
        <v>5926</v>
      </c>
      <c r="M36" s="129" t="s">
        <v>5611</v>
      </c>
      <c r="N36" s="129" t="s">
        <v>6783</v>
      </c>
      <c r="O36" s="129" t="s">
        <v>6737</v>
      </c>
    </row>
    <row r="37" spans="1:15" ht="24">
      <c r="A37" s="129" t="s">
        <v>5928</v>
      </c>
      <c r="B37" s="129" t="s">
        <v>6780</v>
      </c>
      <c r="C37" s="129" t="s">
        <v>6781</v>
      </c>
      <c r="D37" s="129" t="s">
        <v>5447</v>
      </c>
      <c r="E37" s="129" t="s">
        <v>5929</v>
      </c>
      <c r="F37" s="129">
        <v>50</v>
      </c>
      <c r="G37" s="129" t="s">
        <v>10</v>
      </c>
      <c r="H37" s="129" t="s">
        <v>6782</v>
      </c>
      <c r="I37" s="129" t="s">
        <v>5533</v>
      </c>
      <c r="J37" s="129" t="s">
        <v>5534</v>
      </c>
      <c r="K37" s="129" t="s">
        <v>5931</v>
      </c>
      <c r="L37" s="129" t="s">
        <v>5930</v>
      </c>
      <c r="M37" s="129" t="s">
        <v>5611</v>
      </c>
      <c r="N37" s="129" t="s">
        <v>6783</v>
      </c>
      <c r="O37" s="129" t="s">
        <v>6737</v>
      </c>
    </row>
    <row r="38" spans="1:15" ht="24">
      <c r="A38" s="129" t="s">
        <v>5933</v>
      </c>
      <c r="B38" s="129" t="s">
        <v>6780</v>
      </c>
      <c r="C38" s="129" t="s">
        <v>6781</v>
      </c>
      <c r="D38" s="129" t="s">
        <v>5447</v>
      </c>
      <c r="E38" s="129" t="s">
        <v>5934</v>
      </c>
      <c r="F38" s="129">
        <v>51</v>
      </c>
      <c r="G38" s="129" t="s">
        <v>10</v>
      </c>
      <c r="H38" s="129" t="s">
        <v>6782</v>
      </c>
      <c r="I38" s="129" t="s">
        <v>5533</v>
      </c>
      <c r="J38" s="129" t="s">
        <v>5534</v>
      </c>
      <c r="K38" s="129" t="s">
        <v>5931</v>
      </c>
      <c r="L38" s="129" t="s">
        <v>5930</v>
      </c>
      <c r="M38" s="129" t="s">
        <v>5459</v>
      </c>
      <c r="N38" s="129" t="s">
        <v>6783</v>
      </c>
      <c r="O38" s="129" t="s">
        <v>6737</v>
      </c>
    </row>
    <row r="39" spans="1:15" ht="24">
      <c r="A39" s="129" t="s">
        <v>5936</v>
      </c>
      <c r="B39" s="129" t="s">
        <v>6780</v>
      </c>
      <c r="C39" s="129" t="s">
        <v>6781</v>
      </c>
      <c r="D39" s="129" t="s">
        <v>5447</v>
      </c>
      <c r="E39" s="129" t="s">
        <v>5937</v>
      </c>
      <c r="F39" s="129">
        <v>52</v>
      </c>
      <c r="G39" s="129" t="s">
        <v>10</v>
      </c>
      <c r="H39" s="129" t="s">
        <v>6782</v>
      </c>
      <c r="I39" s="129" t="s">
        <v>5600</v>
      </c>
      <c r="J39" s="129" t="s">
        <v>932</v>
      </c>
      <c r="K39" s="129" t="s">
        <v>5931</v>
      </c>
      <c r="L39" s="129" t="s">
        <v>5573</v>
      </c>
      <c r="M39" s="129" t="s">
        <v>5611</v>
      </c>
      <c r="N39" s="129" t="s">
        <v>6783</v>
      </c>
      <c r="O39" s="129" t="s">
        <v>6737</v>
      </c>
    </row>
    <row r="40" spans="1:15" ht="24">
      <c r="A40" s="129" t="s">
        <v>5941</v>
      </c>
      <c r="B40" s="129" t="s">
        <v>6780</v>
      </c>
      <c r="C40" s="129" t="s">
        <v>6781</v>
      </c>
      <c r="D40" s="129" t="s">
        <v>5447</v>
      </c>
      <c r="E40" s="129" t="s">
        <v>5942</v>
      </c>
      <c r="F40" s="129">
        <v>53</v>
      </c>
      <c r="G40" s="129" t="s">
        <v>10</v>
      </c>
      <c r="H40" s="129" t="s">
        <v>6782</v>
      </c>
      <c r="I40" s="129" t="s">
        <v>5907</v>
      </c>
      <c r="J40" s="129" t="s">
        <v>5534</v>
      </c>
      <c r="K40" s="129" t="s">
        <v>5906</v>
      </c>
      <c r="L40" s="129" t="s">
        <v>5598</v>
      </c>
      <c r="M40" s="129" t="s">
        <v>5459</v>
      </c>
      <c r="N40" s="129" t="s">
        <v>6783</v>
      </c>
      <c r="O40" s="129" t="s">
        <v>6737</v>
      </c>
    </row>
    <row r="41" spans="1:15" ht="24">
      <c r="A41" s="129" t="s">
        <v>5944</v>
      </c>
      <c r="B41" s="129" t="s">
        <v>6780</v>
      </c>
      <c r="C41" s="129" t="s">
        <v>6781</v>
      </c>
      <c r="D41" s="129" t="s">
        <v>5447</v>
      </c>
      <c r="E41" s="129" t="s">
        <v>5945</v>
      </c>
      <c r="F41" s="129">
        <v>56</v>
      </c>
      <c r="G41" s="129" t="s">
        <v>10</v>
      </c>
      <c r="H41" s="129" t="s">
        <v>6782</v>
      </c>
      <c r="I41" s="129" t="s">
        <v>5907</v>
      </c>
      <c r="J41" s="129" t="s">
        <v>5534</v>
      </c>
      <c r="K41" s="129" t="s">
        <v>5906</v>
      </c>
      <c r="L41" s="129" t="s">
        <v>5905</v>
      </c>
      <c r="M41" s="129" t="s">
        <v>5459</v>
      </c>
      <c r="N41" s="129" t="s">
        <v>6783</v>
      </c>
      <c r="O41" s="129" t="s">
        <v>6737</v>
      </c>
    </row>
    <row r="42" spans="1:15" ht="24">
      <c r="A42" s="129" t="s">
        <v>5947</v>
      </c>
      <c r="B42" s="129" t="s">
        <v>6780</v>
      </c>
      <c r="C42" s="129" t="s">
        <v>6781</v>
      </c>
      <c r="D42" s="129" t="s">
        <v>5447</v>
      </c>
      <c r="E42" s="129" t="s">
        <v>5948</v>
      </c>
      <c r="F42" s="129">
        <v>57</v>
      </c>
      <c r="G42" s="129" t="s">
        <v>10</v>
      </c>
      <c r="H42" s="129" t="s">
        <v>6782</v>
      </c>
      <c r="I42" s="129" t="s">
        <v>5907</v>
      </c>
      <c r="J42" s="129" t="s">
        <v>5534</v>
      </c>
      <c r="K42" s="129" t="s">
        <v>5906</v>
      </c>
      <c r="L42" s="129" t="s">
        <v>5598</v>
      </c>
      <c r="M42" s="129" t="s">
        <v>5459</v>
      </c>
      <c r="N42" s="129" t="s">
        <v>6783</v>
      </c>
      <c r="O42" s="129" t="s">
        <v>6737</v>
      </c>
    </row>
    <row r="43" spans="1:15" ht="24">
      <c r="A43" s="129" t="s">
        <v>5952</v>
      </c>
      <c r="B43" s="129" t="s">
        <v>6780</v>
      </c>
      <c r="C43" s="129" t="s">
        <v>6781</v>
      </c>
      <c r="D43" s="129" t="s">
        <v>5447</v>
      </c>
      <c r="E43" s="129" t="s">
        <v>5953</v>
      </c>
      <c r="F43" s="129">
        <v>59</v>
      </c>
      <c r="G43" s="129" t="s">
        <v>10</v>
      </c>
      <c r="H43" s="129" t="s">
        <v>6782</v>
      </c>
      <c r="I43" s="129" t="s">
        <v>5907</v>
      </c>
      <c r="J43" s="129" t="s">
        <v>5534</v>
      </c>
      <c r="K43" s="129" t="s">
        <v>5906</v>
      </c>
      <c r="L43" s="129" t="s">
        <v>5598</v>
      </c>
      <c r="M43" s="129" t="s">
        <v>5611</v>
      </c>
      <c r="N43" s="129" t="s">
        <v>6783</v>
      </c>
      <c r="O43" s="129" t="s">
        <v>6737</v>
      </c>
    </row>
    <row r="44" spans="1:15" ht="24">
      <c r="A44" s="129" t="s">
        <v>5955</v>
      </c>
      <c r="B44" s="129" t="s">
        <v>6780</v>
      </c>
      <c r="C44" s="129" t="s">
        <v>6781</v>
      </c>
      <c r="D44" s="129" t="s">
        <v>5447</v>
      </c>
      <c r="E44" s="129" t="s">
        <v>5956</v>
      </c>
      <c r="F44" s="129">
        <v>61</v>
      </c>
      <c r="G44" s="129" t="s">
        <v>10</v>
      </c>
      <c r="H44" s="129" t="s">
        <v>6782</v>
      </c>
      <c r="I44" s="129" t="s">
        <v>5600</v>
      </c>
      <c r="J44" s="129" t="s">
        <v>932</v>
      </c>
      <c r="K44" s="129" t="s">
        <v>5906</v>
      </c>
      <c r="L44" s="129" t="s">
        <v>5598</v>
      </c>
      <c r="M44" s="129" t="s">
        <v>5611</v>
      </c>
      <c r="N44" s="129" t="s">
        <v>6783</v>
      </c>
      <c r="O44" s="129" t="s">
        <v>6737</v>
      </c>
    </row>
    <row r="45" spans="1:15" ht="24">
      <c r="A45" s="129" t="s">
        <v>5960</v>
      </c>
      <c r="B45" s="129" t="s">
        <v>6780</v>
      </c>
      <c r="C45" s="129" t="s">
        <v>6781</v>
      </c>
      <c r="D45" s="129" t="s">
        <v>5447</v>
      </c>
      <c r="E45" s="129" t="s">
        <v>5961</v>
      </c>
      <c r="F45" s="129">
        <v>62</v>
      </c>
      <c r="G45" s="129" t="s">
        <v>10</v>
      </c>
      <c r="H45" s="129" t="s">
        <v>6782</v>
      </c>
      <c r="I45" s="129" t="s">
        <v>5533</v>
      </c>
      <c r="J45" s="129" t="s">
        <v>5534</v>
      </c>
      <c r="K45" s="129" t="s">
        <v>5899</v>
      </c>
      <c r="L45" s="129" t="s">
        <v>5629</v>
      </c>
      <c r="M45" s="129" t="s">
        <v>5459</v>
      </c>
      <c r="N45" s="129" t="s">
        <v>6783</v>
      </c>
      <c r="O45" s="129" t="s">
        <v>6737</v>
      </c>
    </row>
    <row r="46" spans="1:15" ht="24">
      <c r="A46" s="129" t="s">
        <v>5963</v>
      </c>
      <c r="B46" s="129" t="s">
        <v>6780</v>
      </c>
      <c r="C46" s="129" t="s">
        <v>6781</v>
      </c>
      <c r="D46" s="129" t="s">
        <v>5461</v>
      </c>
      <c r="E46" s="129" t="s">
        <v>5964</v>
      </c>
      <c r="F46" s="129">
        <v>66</v>
      </c>
      <c r="G46" s="129" t="s">
        <v>10</v>
      </c>
      <c r="H46" s="129" t="s">
        <v>6782</v>
      </c>
      <c r="I46" s="129" t="s">
        <v>5968</v>
      </c>
      <c r="J46" s="129" t="s">
        <v>932</v>
      </c>
      <c r="K46" s="129" t="s">
        <v>5931</v>
      </c>
      <c r="L46" s="129" t="s">
        <v>5967</v>
      </c>
      <c r="M46" s="129" t="s">
        <v>5459</v>
      </c>
      <c r="N46" s="129" t="s">
        <v>6783</v>
      </c>
      <c r="O46" s="129" t="s">
        <v>6737</v>
      </c>
    </row>
    <row r="47" spans="1:15" ht="24">
      <c r="A47" s="129" t="s">
        <v>5970</v>
      </c>
      <c r="B47" s="129" t="s">
        <v>6780</v>
      </c>
      <c r="C47" s="129" t="s">
        <v>6781</v>
      </c>
      <c r="D47" s="129" t="s">
        <v>5461</v>
      </c>
      <c r="E47" s="129" t="s">
        <v>5971</v>
      </c>
      <c r="F47" s="129">
        <v>67</v>
      </c>
      <c r="G47" s="129" t="s">
        <v>10</v>
      </c>
      <c r="H47" s="129" t="s">
        <v>6782</v>
      </c>
      <c r="I47" s="129" t="s">
        <v>5968</v>
      </c>
      <c r="J47" s="129" t="s">
        <v>932</v>
      </c>
      <c r="K47" s="129" t="s">
        <v>5931</v>
      </c>
      <c r="L47" s="129" t="s">
        <v>5967</v>
      </c>
      <c r="M47" s="129" t="s">
        <v>5459</v>
      </c>
      <c r="N47" s="129" t="s">
        <v>6783</v>
      </c>
      <c r="O47" s="129" t="s">
        <v>6737</v>
      </c>
    </row>
    <row r="48" spans="1:15" ht="24">
      <c r="A48" s="129" t="s">
        <v>5973</v>
      </c>
      <c r="B48" s="129" t="s">
        <v>6780</v>
      </c>
      <c r="C48" s="129" t="s">
        <v>6781</v>
      </c>
      <c r="D48" s="129" t="s">
        <v>5461</v>
      </c>
      <c r="E48" s="129" t="s">
        <v>5974</v>
      </c>
      <c r="F48" s="129">
        <v>67</v>
      </c>
      <c r="G48" s="129" t="s">
        <v>10</v>
      </c>
      <c r="H48" s="129" t="s">
        <v>6782</v>
      </c>
      <c r="I48" s="129" t="s">
        <v>5907</v>
      </c>
      <c r="J48" s="129" t="s">
        <v>5534</v>
      </c>
      <c r="K48" s="129" t="s">
        <v>5906</v>
      </c>
      <c r="L48" s="129" t="s">
        <v>5598</v>
      </c>
      <c r="M48" s="129" t="s">
        <v>5611</v>
      </c>
      <c r="N48" s="129" t="s">
        <v>6783</v>
      </c>
      <c r="O48" s="129" t="s">
        <v>6737</v>
      </c>
    </row>
    <row r="49" spans="1:15" ht="24">
      <c r="A49" s="129" t="s">
        <v>5976</v>
      </c>
      <c r="B49" s="129" t="s">
        <v>6780</v>
      </c>
      <c r="C49" s="129" t="s">
        <v>6781</v>
      </c>
      <c r="D49" s="129" t="s">
        <v>5461</v>
      </c>
      <c r="E49" s="129" t="s">
        <v>5977</v>
      </c>
      <c r="F49" s="129">
        <v>70</v>
      </c>
      <c r="G49" s="129" t="s">
        <v>10</v>
      </c>
      <c r="H49" s="129" t="s">
        <v>6782</v>
      </c>
      <c r="I49" s="129" t="s">
        <v>5533</v>
      </c>
      <c r="J49" s="129" t="s">
        <v>5534</v>
      </c>
      <c r="K49" s="129" t="s">
        <v>5886</v>
      </c>
      <c r="L49" s="129" t="s">
        <v>5641</v>
      </c>
      <c r="M49" s="129" t="s">
        <v>5611</v>
      </c>
      <c r="N49" s="129" t="s">
        <v>6783</v>
      </c>
      <c r="O49" s="129" t="s">
        <v>6737</v>
      </c>
    </row>
    <row r="50" spans="1:15" ht="24">
      <c r="A50" s="129" t="s">
        <v>5979</v>
      </c>
      <c r="B50" s="129" t="s">
        <v>6780</v>
      </c>
      <c r="C50" s="129" t="s">
        <v>6781</v>
      </c>
      <c r="D50" s="129" t="s">
        <v>5461</v>
      </c>
      <c r="E50" s="129" t="s">
        <v>5980</v>
      </c>
      <c r="F50" s="129">
        <v>71</v>
      </c>
      <c r="G50" s="129" t="s">
        <v>10</v>
      </c>
      <c r="H50" s="129" t="s">
        <v>6782</v>
      </c>
      <c r="I50" s="129" t="s">
        <v>5533</v>
      </c>
      <c r="J50" s="129" t="s">
        <v>5534</v>
      </c>
      <c r="K50" s="129" t="s">
        <v>5886</v>
      </c>
      <c r="L50" s="129" t="s">
        <v>5671</v>
      </c>
      <c r="M50" s="129" t="s">
        <v>5611</v>
      </c>
      <c r="N50" s="129" t="s">
        <v>6783</v>
      </c>
      <c r="O50" s="129" t="s">
        <v>6737</v>
      </c>
    </row>
    <row r="51" spans="1:15" ht="24">
      <c r="A51" s="129" t="s">
        <v>5982</v>
      </c>
      <c r="B51" s="129" t="s">
        <v>6780</v>
      </c>
      <c r="C51" s="129" t="s">
        <v>6781</v>
      </c>
      <c r="D51" s="129" t="s">
        <v>5461</v>
      </c>
      <c r="E51" s="129" t="s">
        <v>5983</v>
      </c>
      <c r="F51" s="129">
        <v>72</v>
      </c>
      <c r="G51" s="129" t="s">
        <v>10</v>
      </c>
      <c r="H51" s="129" t="s">
        <v>6782</v>
      </c>
      <c r="I51" s="129" t="s">
        <v>5533</v>
      </c>
      <c r="J51" s="129" t="s">
        <v>5534</v>
      </c>
      <c r="K51" s="129" t="s">
        <v>5899</v>
      </c>
      <c r="L51" s="129" t="s">
        <v>5984</v>
      </c>
      <c r="M51" s="129" t="s">
        <v>5611</v>
      </c>
      <c r="N51" s="129" t="s">
        <v>6783</v>
      </c>
      <c r="O51" s="129" t="s">
        <v>6737</v>
      </c>
    </row>
    <row r="52" spans="1:15" ht="24">
      <c r="A52" s="129" t="s">
        <v>5986</v>
      </c>
      <c r="B52" s="129" t="s">
        <v>6780</v>
      </c>
      <c r="C52" s="129" t="s">
        <v>6781</v>
      </c>
      <c r="D52" s="129" t="s">
        <v>5461</v>
      </c>
      <c r="E52" s="129" t="s">
        <v>5987</v>
      </c>
      <c r="F52" s="129">
        <v>72</v>
      </c>
      <c r="G52" s="129" t="s">
        <v>10</v>
      </c>
      <c r="H52" s="129" t="s">
        <v>6782</v>
      </c>
      <c r="I52" s="129" t="s">
        <v>5533</v>
      </c>
      <c r="J52" s="129" t="s">
        <v>5534</v>
      </c>
      <c r="K52" s="129" t="s">
        <v>5899</v>
      </c>
      <c r="L52" s="129" t="s">
        <v>5984</v>
      </c>
      <c r="M52" s="129" t="s">
        <v>5611</v>
      </c>
      <c r="N52" s="129" t="s">
        <v>6783</v>
      </c>
      <c r="O52" s="129" t="s">
        <v>6737</v>
      </c>
    </row>
    <row r="53" spans="1:15" ht="24">
      <c r="A53" s="129" t="s">
        <v>5989</v>
      </c>
      <c r="B53" s="129" t="s">
        <v>6780</v>
      </c>
      <c r="C53" s="129" t="s">
        <v>6781</v>
      </c>
      <c r="D53" s="129" t="s">
        <v>5461</v>
      </c>
      <c r="E53" s="129" t="s">
        <v>5990</v>
      </c>
      <c r="F53" s="129">
        <v>73</v>
      </c>
      <c r="G53" s="129" t="s">
        <v>10</v>
      </c>
      <c r="H53" s="129" t="s">
        <v>6782</v>
      </c>
      <c r="I53" s="129" t="s">
        <v>5533</v>
      </c>
      <c r="J53" s="129" t="s">
        <v>5534</v>
      </c>
      <c r="K53" s="129" t="s">
        <v>5931</v>
      </c>
      <c r="L53" s="129" t="s">
        <v>5991</v>
      </c>
      <c r="M53" s="129" t="s">
        <v>5611</v>
      </c>
      <c r="N53" s="129" t="s">
        <v>6783</v>
      </c>
      <c r="O53" s="129" t="s">
        <v>6737</v>
      </c>
    </row>
    <row r="54" spans="1:15" ht="24">
      <c r="A54" s="129" t="s">
        <v>5993</v>
      </c>
      <c r="B54" s="129" t="s">
        <v>6780</v>
      </c>
      <c r="C54" s="129" t="s">
        <v>6781</v>
      </c>
      <c r="D54" s="129" t="s">
        <v>5466</v>
      </c>
      <c r="E54" s="129" t="s">
        <v>5994</v>
      </c>
      <c r="F54" s="129">
        <v>77</v>
      </c>
      <c r="G54" s="129" t="s">
        <v>10</v>
      </c>
      <c r="H54" s="129" t="s">
        <v>6782</v>
      </c>
      <c r="I54" s="129" t="s">
        <v>5600</v>
      </c>
      <c r="J54" s="129" t="s">
        <v>932</v>
      </c>
      <c r="K54" s="129" t="s">
        <v>5899</v>
      </c>
      <c r="L54" s="129" t="s">
        <v>5996</v>
      </c>
      <c r="M54" s="129" t="s">
        <v>5576</v>
      </c>
      <c r="N54" s="129" t="s">
        <v>6783</v>
      </c>
      <c r="O54" s="129" t="s">
        <v>6737</v>
      </c>
    </row>
    <row r="55" spans="1:15" ht="24">
      <c r="A55" s="129" t="s">
        <v>5998</v>
      </c>
      <c r="B55" s="129" t="s">
        <v>6780</v>
      </c>
      <c r="C55" s="129" t="s">
        <v>6781</v>
      </c>
      <c r="D55" s="129" t="s">
        <v>5466</v>
      </c>
      <c r="E55" s="129" t="s">
        <v>5999</v>
      </c>
      <c r="F55" s="129">
        <v>78</v>
      </c>
      <c r="G55" s="129" t="s">
        <v>10</v>
      </c>
      <c r="H55" s="129" t="s">
        <v>6782</v>
      </c>
      <c r="I55" s="129" t="s">
        <v>5533</v>
      </c>
      <c r="J55" s="129" t="s">
        <v>5534</v>
      </c>
      <c r="K55" s="129" t="s">
        <v>5886</v>
      </c>
      <c r="L55" s="129" t="s">
        <v>5684</v>
      </c>
      <c r="M55" s="129" t="s">
        <v>5576</v>
      </c>
      <c r="N55" s="129" t="s">
        <v>6783</v>
      </c>
      <c r="O55" s="129" t="s">
        <v>6737</v>
      </c>
    </row>
    <row r="56" spans="1:15" ht="24">
      <c r="A56" s="129" t="s">
        <v>6001</v>
      </c>
      <c r="B56" s="129" t="s">
        <v>6780</v>
      </c>
      <c r="C56" s="129" t="s">
        <v>6781</v>
      </c>
      <c r="D56" s="129" t="s">
        <v>5466</v>
      </c>
      <c r="E56" s="129" t="s">
        <v>6002</v>
      </c>
      <c r="F56" s="129">
        <v>79</v>
      </c>
      <c r="G56" s="129" t="s">
        <v>10</v>
      </c>
      <c r="H56" s="129" t="s">
        <v>6782</v>
      </c>
      <c r="I56" s="129" t="s">
        <v>5533</v>
      </c>
      <c r="J56" s="129" t="s">
        <v>5534</v>
      </c>
      <c r="K56" s="129" t="s">
        <v>5886</v>
      </c>
      <c r="L56" s="129" t="s">
        <v>5531</v>
      </c>
      <c r="M56" s="129" t="s">
        <v>5576</v>
      </c>
      <c r="N56" s="129" t="s">
        <v>6783</v>
      </c>
      <c r="O56" s="129" t="s">
        <v>6737</v>
      </c>
    </row>
    <row r="57" spans="1:15" ht="24">
      <c r="A57" s="129" t="s">
        <v>6004</v>
      </c>
      <c r="B57" s="129" t="s">
        <v>6780</v>
      </c>
      <c r="C57" s="129" t="s">
        <v>6781</v>
      </c>
      <c r="D57" s="129" t="s">
        <v>5466</v>
      </c>
      <c r="E57" s="129" t="s">
        <v>6005</v>
      </c>
      <c r="F57" s="129">
        <v>79</v>
      </c>
      <c r="G57" s="129" t="s">
        <v>10</v>
      </c>
      <c r="H57" s="129" t="s">
        <v>6782</v>
      </c>
      <c r="I57" s="129" t="s">
        <v>5533</v>
      </c>
      <c r="J57" s="129" t="s">
        <v>5534</v>
      </c>
      <c r="K57" s="129" t="s">
        <v>5886</v>
      </c>
      <c r="L57" s="129" t="s">
        <v>5684</v>
      </c>
      <c r="M57" s="129" t="s">
        <v>5576</v>
      </c>
      <c r="N57" s="129" t="s">
        <v>6783</v>
      </c>
      <c r="O57" s="129" t="s">
        <v>6737</v>
      </c>
    </row>
    <row r="58" spans="1:15" ht="24">
      <c r="A58" s="129" t="s">
        <v>6007</v>
      </c>
      <c r="B58" s="129" t="s">
        <v>6780</v>
      </c>
      <c r="C58" s="129" t="s">
        <v>6781</v>
      </c>
      <c r="D58" s="129" t="s">
        <v>5466</v>
      </c>
      <c r="E58" s="129" t="s">
        <v>6008</v>
      </c>
      <c r="F58" s="129">
        <v>81</v>
      </c>
      <c r="G58" s="129" t="s">
        <v>10</v>
      </c>
      <c r="H58" s="129" t="s">
        <v>6782</v>
      </c>
      <c r="I58" s="129" t="s">
        <v>5533</v>
      </c>
      <c r="J58" s="129" t="s">
        <v>5534</v>
      </c>
      <c r="K58" s="129" t="s">
        <v>5899</v>
      </c>
      <c r="L58" s="129" t="s">
        <v>5561</v>
      </c>
      <c r="M58" s="129" t="s">
        <v>5576</v>
      </c>
      <c r="N58" s="129" t="s">
        <v>6783</v>
      </c>
      <c r="O58" s="129" t="s">
        <v>6737</v>
      </c>
    </row>
    <row r="59" spans="1:15" ht="24">
      <c r="A59" s="129" t="s">
        <v>6010</v>
      </c>
      <c r="B59" s="129" t="s">
        <v>6780</v>
      </c>
      <c r="C59" s="129" t="s">
        <v>6781</v>
      </c>
      <c r="D59" s="129" t="s">
        <v>5466</v>
      </c>
      <c r="E59" s="129" t="s">
        <v>6011</v>
      </c>
      <c r="F59" s="129">
        <v>82</v>
      </c>
      <c r="G59" s="129" t="s">
        <v>10</v>
      </c>
      <c r="H59" s="129" t="s">
        <v>6782</v>
      </c>
      <c r="I59" s="129" t="s">
        <v>5533</v>
      </c>
      <c r="J59" s="129" t="s">
        <v>5534</v>
      </c>
      <c r="K59" s="129" t="s">
        <v>5899</v>
      </c>
      <c r="L59" s="129" t="s">
        <v>5561</v>
      </c>
      <c r="M59" s="129" t="s">
        <v>5576</v>
      </c>
      <c r="N59" s="129" t="s">
        <v>6783</v>
      </c>
      <c r="O59" s="129" t="s">
        <v>6737</v>
      </c>
    </row>
    <row r="60" spans="1:15" ht="24">
      <c r="A60" s="129" t="s">
        <v>6013</v>
      </c>
      <c r="B60" s="129" t="s">
        <v>6780</v>
      </c>
      <c r="C60" s="129" t="s">
        <v>6781</v>
      </c>
      <c r="D60" s="129" t="s">
        <v>5466</v>
      </c>
      <c r="E60" s="129" t="s">
        <v>6014</v>
      </c>
      <c r="F60" s="129">
        <v>83</v>
      </c>
      <c r="G60" s="129" t="s">
        <v>10</v>
      </c>
      <c r="H60" s="129" t="s">
        <v>6782</v>
      </c>
      <c r="I60" s="129" t="s">
        <v>5533</v>
      </c>
      <c r="J60" s="129" t="s">
        <v>5534</v>
      </c>
      <c r="K60" s="129" t="s">
        <v>5899</v>
      </c>
      <c r="L60" s="129" t="s">
        <v>5561</v>
      </c>
      <c r="M60" s="129" t="s">
        <v>5576</v>
      </c>
      <c r="N60" s="129" t="s">
        <v>6783</v>
      </c>
      <c r="O60" s="129" t="s">
        <v>6737</v>
      </c>
    </row>
    <row r="61" spans="1:15" ht="24">
      <c r="A61" s="129" t="s">
        <v>6016</v>
      </c>
      <c r="B61" s="129" t="s">
        <v>6780</v>
      </c>
      <c r="C61" s="129" t="s">
        <v>6781</v>
      </c>
      <c r="D61" s="129" t="s">
        <v>5466</v>
      </c>
      <c r="E61" s="129" t="s">
        <v>6017</v>
      </c>
      <c r="F61" s="129">
        <v>84</v>
      </c>
      <c r="G61" s="129" t="s">
        <v>10</v>
      </c>
      <c r="H61" s="129" t="s">
        <v>6782</v>
      </c>
      <c r="I61" s="129" t="s">
        <v>5533</v>
      </c>
      <c r="J61" s="129" t="s">
        <v>5534</v>
      </c>
      <c r="K61" s="129" t="s">
        <v>5899</v>
      </c>
      <c r="L61" s="129" t="s">
        <v>5561</v>
      </c>
      <c r="M61" s="129" t="s">
        <v>5576</v>
      </c>
      <c r="N61" s="129" t="s">
        <v>6783</v>
      </c>
      <c r="O61" s="129" t="s">
        <v>6737</v>
      </c>
    </row>
    <row r="62" spans="1:15" ht="24">
      <c r="A62" s="129" t="s">
        <v>6019</v>
      </c>
      <c r="B62" s="129" t="s">
        <v>6780</v>
      </c>
      <c r="C62" s="129" t="s">
        <v>6781</v>
      </c>
      <c r="D62" s="129" t="s">
        <v>5474</v>
      </c>
      <c r="E62" s="129" t="s">
        <v>6020</v>
      </c>
      <c r="F62" s="129">
        <v>85</v>
      </c>
      <c r="G62" s="129" t="s">
        <v>10</v>
      </c>
      <c r="H62" s="129" t="s">
        <v>6782</v>
      </c>
      <c r="I62" s="129" t="s">
        <v>5533</v>
      </c>
      <c r="J62" s="129" t="s">
        <v>5534</v>
      </c>
      <c r="K62" s="129" t="s">
        <v>5899</v>
      </c>
      <c r="L62" s="129" t="s">
        <v>5561</v>
      </c>
      <c r="M62" s="129" t="s">
        <v>5576</v>
      </c>
      <c r="N62" s="129" t="s">
        <v>6783</v>
      </c>
      <c r="O62" s="129" t="s">
        <v>6737</v>
      </c>
    </row>
    <row r="63" spans="1:15" ht="24">
      <c r="A63" s="129" t="s">
        <v>6022</v>
      </c>
      <c r="B63" s="129" t="s">
        <v>6780</v>
      </c>
      <c r="C63" s="129" t="s">
        <v>6781</v>
      </c>
      <c r="D63" s="129" t="s">
        <v>5466</v>
      </c>
      <c r="E63" s="129" t="s">
        <v>6023</v>
      </c>
      <c r="F63" s="129">
        <v>87</v>
      </c>
      <c r="G63" s="129" t="s">
        <v>10</v>
      </c>
      <c r="H63" s="129" t="s">
        <v>6782</v>
      </c>
      <c r="I63" s="129" t="s">
        <v>5533</v>
      </c>
      <c r="J63" s="129" t="s">
        <v>5534</v>
      </c>
      <c r="K63" s="129" t="s">
        <v>5886</v>
      </c>
      <c r="L63" s="129" t="s">
        <v>6024</v>
      </c>
      <c r="M63" s="129" t="s">
        <v>5576</v>
      </c>
      <c r="N63" s="129" t="s">
        <v>6783</v>
      </c>
      <c r="O63" s="129" t="s">
        <v>6737</v>
      </c>
    </row>
    <row r="64" spans="1:15" ht="24">
      <c r="A64" s="129" t="s">
        <v>6026</v>
      </c>
      <c r="B64" s="129" t="s">
        <v>6780</v>
      </c>
      <c r="C64" s="129" t="s">
        <v>6781</v>
      </c>
      <c r="D64" s="129" t="s">
        <v>5466</v>
      </c>
      <c r="E64" s="129" t="s">
        <v>6027</v>
      </c>
      <c r="F64" s="129">
        <v>88</v>
      </c>
      <c r="G64" s="129" t="s">
        <v>10</v>
      </c>
      <c r="H64" s="129" t="s">
        <v>6782</v>
      </c>
      <c r="I64" s="129" t="s">
        <v>5533</v>
      </c>
      <c r="J64" s="129" t="s">
        <v>5534</v>
      </c>
      <c r="K64" s="129" t="s">
        <v>5899</v>
      </c>
      <c r="L64" s="129" t="s">
        <v>5561</v>
      </c>
      <c r="M64" s="129" t="s">
        <v>5576</v>
      </c>
      <c r="N64" s="129" t="s">
        <v>6783</v>
      </c>
      <c r="O64" s="129" t="s">
        <v>6737</v>
      </c>
    </row>
    <row r="65" spans="1:15" ht="24">
      <c r="A65" s="129" t="s">
        <v>6029</v>
      </c>
      <c r="B65" s="129" t="s">
        <v>6780</v>
      </c>
      <c r="C65" s="129" t="s">
        <v>6781</v>
      </c>
      <c r="D65" s="129" t="s">
        <v>5466</v>
      </c>
      <c r="E65" s="129" t="s">
        <v>6030</v>
      </c>
      <c r="F65" s="129">
        <v>89</v>
      </c>
      <c r="G65" s="129" t="s">
        <v>10</v>
      </c>
      <c r="H65" s="129" t="s">
        <v>6782</v>
      </c>
      <c r="I65" s="129" t="s">
        <v>5533</v>
      </c>
      <c r="J65" s="129" t="s">
        <v>5534</v>
      </c>
      <c r="K65" s="129" t="s">
        <v>5899</v>
      </c>
      <c r="L65" s="129" t="s">
        <v>5561</v>
      </c>
      <c r="M65" s="129" t="s">
        <v>5487</v>
      </c>
      <c r="N65" s="129" t="s">
        <v>6783</v>
      </c>
      <c r="O65" s="129" t="s">
        <v>6737</v>
      </c>
    </row>
    <row r="66" spans="1:15" ht="24">
      <c r="A66" s="129" t="s">
        <v>6032</v>
      </c>
      <c r="B66" s="129" t="s">
        <v>6780</v>
      </c>
      <c r="C66" s="129" t="s">
        <v>6781</v>
      </c>
      <c r="D66" s="129" t="s">
        <v>5466</v>
      </c>
      <c r="E66" s="129" t="s">
        <v>6033</v>
      </c>
      <c r="F66" s="129">
        <v>90</v>
      </c>
      <c r="G66" s="129" t="s">
        <v>10</v>
      </c>
      <c r="H66" s="129" t="s">
        <v>6782</v>
      </c>
      <c r="I66" s="129" t="s">
        <v>5907</v>
      </c>
      <c r="J66" s="129" t="s">
        <v>5534</v>
      </c>
      <c r="K66" s="129" t="s">
        <v>5906</v>
      </c>
      <c r="L66" s="129" t="s">
        <v>6034</v>
      </c>
      <c r="M66" s="129" t="s">
        <v>5576</v>
      </c>
      <c r="N66" s="129" t="s">
        <v>6783</v>
      </c>
      <c r="O66" s="129" t="s">
        <v>6737</v>
      </c>
    </row>
    <row r="67" spans="1:15" ht="24">
      <c r="A67" s="129" t="s">
        <v>6036</v>
      </c>
      <c r="B67" s="129" t="s">
        <v>6780</v>
      </c>
      <c r="C67" s="129" t="s">
        <v>6781</v>
      </c>
      <c r="D67" s="129" t="s">
        <v>5466</v>
      </c>
      <c r="E67" s="129" t="s">
        <v>6037</v>
      </c>
      <c r="F67" s="129">
        <v>90</v>
      </c>
      <c r="G67" s="129" t="s">
        <v>10</v>
      </c>
      <c r="H67" s="129" t="s">
        <v>6782</v>
      </c>
      <c r="I67" s="129" t="s">
        <v>5533</v>
      </c>
      <c r="J67" s="129" t="s">
        <v>5534</v>
      </c>
      <c r="K67" s="129" t="s">
        <v>5886</v>
      </c>
      <c r="L67" s="129" t="s">
        <v>5740</v>
      </c>
      <c r="M67" s="129" t="s">
        <v>5576</v>
      </c>
      <c r="N67" s="129" t="s">
        <v>6783</v>
      </c>
      <c r="O67" s="129" t="s">
        <v>6737</v>
      </c>
    </row>
    <row r="68" spans="1:15" ht="24">
      <c r="A68" s="129" t="s">
        <v>6039</v>
      </c>
      <c r="B68" s="129" t="s">
        <v>6780</v>
      </c>
      <c r="C68" s="129" t="s">
        <v>6781</v>
      </c>
      <c r="D68" s="129" t="s">
        <v>5466</v>
      </c>
      <c r="E68" s="129" t="s">
        <v>6040</v>
      </c>
      <c r="F68" s="129">
        <v>91</v>
      </c>
      <c r="G68" s="129" t="s">
        <v>10</v>
      </c>
      <c r="H68" s="129" t="s">
        <v>6782</v>
      </c>
      <c r="I68" s="129" t="s">
        <v>5600</v>
      </c>
      <c r="J68" s="129" t="s">
        <v>932</v>
      </c>
      <c r="K68" s="129" t="s">
        <v>5899</v>
      </c>
      <c r="L68" s="129" t="s">
        <v>5996</v>
      </c>
      <c r="M68" s="129" t="s">
        <v>5576</v>
      </c>
      <c r="N68" s="129" t="s">
        <v>6783</v>
      </c>
      <c r="O68" s="129" t="s">
        <v>6737</v>
      </c>
    </row>
    <row r="69" spans="1:15" ht="24">
      <c r="A69" s="129" t="s">
        <v>6042</v>
      </c>
      <c r="B69" s="129" t="s">
        <v>6780</v>
      </c>
      <c r="C69" s="129" t="s">
        <v>6781</v>
      </c>
      <c r="D69" s="129" t="s">
        <v>5466</v>
      </c>
      <c r="E69" s="129" t="s">
        <v>6043</v>
      </c>
      <c r="F69" s="129">
        <v>92</v>
      </c>
      <c r="G69" s="129" t="s">
        <v>10</v>
      </c>
      <c r="H69" s="129" t="s">
        <v>6782</v>
      </c>
      <c r="I69" s="129" t="s">
        <v>5533</v>
      </c>
      <c r="J69" s="129" t="s">
        <v>5534</v>
      </c>
      <c r="K69" s="129" t="s">
        <v>5899</v>
      </c>
      <c r="L69" s="129" t="s">
        <v>5749</v>
      </c>
      <c r="M69" s="129" t="s">
        <v>5576</v>
      </c>
      <c r="N69" s="129" t="s">
        <v>6783</v>
      </c>
      <c r="O69" s="129" t="s">
        <v>6737</v>
      </c>
    </row>
    <row r="70" spans="1:15" ht="24">
      <c r="A70" s="129" t="s">
        <v>6045</v>
      </c>
      <c r="B70" s="129" t="s">
        <v>6780</v>
      </c>
      <c r="C70" s="129" t="s">
        <v>6781</v>
      </c>
      <c r="D70" s="129" t="s">
        <v>5466</v>
      </c>
      <c r="E70" s="129" t="s">
        <v>6046</v>
      </c>
      <c r="F70" s="129">
        <v>93</v>
      </c>
      <c r="G70" s="129" t="s">
        <v>10</v>
      </c>
      <c r="H70" s="129" t="s">
        <v>6782</v>
      </c>
      <c r="I70" s="129" t="s">
        <v>5533</v>
      </c>
      <c r="J70" s="129" t="s">
        <v>5534</v>
      </c>
      <c r="K70" s="129" t="s">
        <v>5886</v>
      </c>
      <c r="L70" s="129" t="s">
        <v>5758</v>
      </c>
      <c r="M70" s="129" t="s">
        <v>5576</v>
      </c>
      <c r="N70" s="129" t="s">
        <v>6783</v>
      </c>
      <c r="O70" s="129" t="s">
        <v>6737</v>
      </c>
    </row>
    <row r="71" spans="1:15" ht="24">
      <c r="A71" s="129" t="s">
        <v>6048</v>
      </c>
      <c r="B71" s="129" t="s">
        <v>6780</v>
      </c>
      <c r="C71" s="129" t="s">
        <v>6781</v>
      </c>
      <c r="D71" s="129" t="s">
        <v>5466</v>
      </c>
      <c r="E71" s="129" t="s">
        <v>6049</v>
      </c>
      <c r="F71" s="129">
        <v>94</v>
      </c>
      <c r="G71" s="129" t="s">
        <v>10</v>
      </c>
      <c r="H71" s="129" t="s">
        <v>6782</v>
      </c>
      <c r="I71" s="129" t="s">
        <v>5533</v>
      </c>
      <c r="J71" s="129" t="s">
        <v>5534</v>
      </c>
      <c r="K71" s="129" t="s">
        <v>5931</v>
      </c>
      <c r="L71" s="129" t="s">
        <v>5991</v>
      </c>
      <c r="M71" s="129" t="s">
        <v>5576</v>
      </c>
      <c r="N71" s="129" t="s">
        <v>6783</v>
      </c>
      <c r="O71" s="129" t="s">
        <v>6737</v>
      </c>
    </row>
    <row r="72" spans="1:15" ht="24">
      <c r="A72" s="129" t="s">
        <v>6051</v>
      </c>
      <c r="B72" s="129" t="s">
        <v>6780</v>
      </c>
      <c r="C72" s="129" t="s">
        <v>6781</v>
      </c>
      <c r="D72" s="129" t="s">
        <v>5470</v>
      </c>
      <c r="E72" s="129" t="s">
        <v>6052</v>
      </c>
      <c r="F72" s="129">
        <v>95</v>
      </c>
      <c r="G72" s="129" t="s">
        <v>10</v>
      </c>
      <c r="H72" s="129" t="s">
        <v>6782</v>
      </c>
      <c r="I72" s="129" t="s">
        <v>5600</v>
      </c>
      <c r="J72" s="129" t="s">
        <v>932</v>
      </c>
      <c r="K72" s="129" t="s">
        <v>5906</v>
      </c>
      <c r="L72" s="129" t="s">
        <v>6054</v>
      </c>
      <c r="M72" s="129" t="s">
        <v>5576</v>
      </c>
      <c r="N72" s="129" t="s">
        <v>6783</v>
      </c>
      <c r="O72" s="129" t="s">
        <v>6737</v>
      </c>
    </row>
    <row r="73" spans="1:15" ht="24">
      <c r="A73" s="129" t="s">
        <v>6058</v>
      </c>
      <c r="B73" s="129" t="s">
        <v>6780</v>
      </c>
      <c r="C73" s="129" t="s">
        <v>6781</v>
      </c>
      <c r="D73" s="129" t="s">
        <v>5466</v>
      </c>
      <c r="E73" s="129" t="s">
        <v>6059</v>
      </c>
      <c r="F73" s="129">
        <v>97</v>
      </c>
      <c r="G73" s="129" t="s">
        <v>10</v>
      </c>
      <c r="H73" s="129" t="s">
        <v>6782</v>
      </c>
      <c r="I73" s="129" t="s">
        <v>5533</v>
      </c>
      <c r="J73" s="129" t="s">
        <v>5534</v>
      </c>
      <c r="K73" s="129" t="s">
        <v>5886</v>
      </c>
      <c r="L73" s="129" t="s">
        <v>5785</v>
      </c>
      <c r="M73" s="129" t="s">
        <v>5576</v>
      </c>
      <c r="N73" s="129" t="s">
        <v>6783</v>
      </c>
      <c r="O73" s="129" t="s">
        <v>6737</v>
      </c>
    </row>
    <row r="74" spans="1:15" ht="24">
      <c r="A74" s="129" t="s">
        <v>6063</v>
      </c>
      <c r="B74" s="129" t="s">
        <v>6780</v>
      </c>
      <c r="C74" s="129" t="s">
        <v>6781</v>
      </c>
      <c r="D74" s="129" t="s">
        <v>5466</v>
      </c>
      <c r="E74" s="129" t="s">
        <v>6064</v>
      </c>
      <c r="F74" s="129">
        <v>98</v>
      </c>
      <c r="G74" s="129" t="s">
        <v>10</v>
      </c>
      <c r="H74" s="129" t="s">
        <v>6782</v>
      </c>
      <c r="I74" s="129" t="s">
        <v>5533</v>
      </c>
      <c r="J74" s="129" t="s">
        <v>5534</v>
      </c>
      <c r="K74" s="129" t="s">
        <v>5886</v>
      </c>
      <c r="L74" s="129" t="s">
        <v>5785</v>
      </c>
      <c r="M74" s="129" t="s">
        <v>5576</v>
      </c>
      <c r="N74" s="129" t="s">
        <v>6783</v>
      </c>
      <c r="O74" s="129" t="s">
        <v>6737</v>
      </c>
    </row>
    <row r="75" spans="1:15" ht="24">
      <c r="A75" s="129" t="s">
        <v>6066</v>
      </c>
      <c r="B75" s="129" t="s">
        <v>6780</v>
      </c>
      <c r="C75" s="129" t="s">
        <v>6781</v>
      </c>
      <c r="D75" s="129" t="s">
        <v>5466</v>
      </c>
      <c r="E75" s="129" t="s">
        <v>6067</v>
      </c>
      <c r="F75" s="129">
        <v>98</v>
      </c>
      <c r="G75" s="129" t="s">
        <v>10</v>
      </c>
      <c r="H75" s="129" t="s">
        <v>6782</v>
      </c>
      <c r="I75" s="129" t="s">
        <v>5533</v>
      </c>
      <c r="J75" s="129" t="s">
        <v>5534</v>
      </c>
      <c r="K75" s="129" t="s">
        <v>5886</v>
      </c>
      <c r="L75" s="129" t="s">
        <v>5812</v>
      </c>
      <c r="M75" s="129" t="s">
        <v>5576</v>
      </c>
      <c r="N75" s="129" t="s">
        <v>6783</v>
      </c>
      <c r="O75" s="129" t="s">
        <v>6737</v>
      </c>
    </row>
    <row r="76" spans="1:15" ht="24">
      <c r="A76" s="129" t="s">
        <v>6069</v>
      </c>
      <c r="B76" s="129" t="s">
        <v>6780</v>
      </c>
      <c r="C76" s="129" t="s">
        <v>6781</v>
      </c>
      <c r="D76" s="129" t="s">
        <v>5466</v>
      </c>
      <c r="E76" s="129" t="s">
        <v>6070</v>
      </c>
      <c r="F76" s="129">
        <v>99</v>
      </c>
      <c r="G76" s="129" t="s">
        <v>10</v>
      </c>
      <c r="H76" s="129" t="s">
        <v>6782</v>
      </c>
      <c r="I76" s="129" t="s">
        <v>5533</v>
      </c>
      <c r="J76" s="129" t="s">
        <v>5534</v>
      </c>
      <c r="K76" s="129" t="s">
        <v>5899</v>
      </c>
      <c r="L76" s="129" t="s">
        <v>6071</v>
      </c>
      <c r="M76" s="129" t="s">
        <v>5576</v>
      </c>
      <c r="N76" s="129" t="s">
        <v>6783</v>
      </c>
      <c r="O76" s="129" t="s">
        <v>6737</v>
      </c>
    </row>
    <row r="77" spans="1:15" ht="24">
      <c r="A77" s="129" t="s">
        <v>6075</v>
      </c>
      <c r="B77" s="129" t="s">
        <v>6780</v>
      </c>
      <c r="C77" s="129" t="s">
        <v>6781</v>
      </c>
      <c r="D77" s="129" t="s">
        <v>5466</v>
      </c>
      <c r="E77" s="129" t="s">
        <v>6076</v>
      </c>
      <c r="F77" s="129">
        <v>100</v>
      </c>
      <c r="G77" s="129" t="s">
        <v>10</v>
      </c>
      <c r="H77" s="129" t="s">
        <v>6782</v>
      </c>
      <c r="I77" s="129" t="s">
        <v>5533</v>
      </c>
      <c r="J77" s="129" t="s">
        <v>5534</v>
      </c>
      <c r="K77" s="129" t="s">
        <v>5899</v>
      </c>
      <c r="L77" s="129" t="s">
        <v>5561</v>
      </c>
      <c r="M77" s="129" t="s">
        <v>5576</v>
      </c>
      <c r="N77" s="129" t="s">
        <v>6783</v>
      </c>
      <c r="O77" s="129" t="s">
        <v>6737</v>
      </c>
    </row>
    <row r="78" spans="1:15" ht="24">
      <c r="A78" s="129" t="s">
        <v>6078</v>
      </c>
      <c r="B78" s="129" t="s">
        <v>6780</v>
      </c>
      <c r="C78" s="129" t="s">
        <v>6781</v>
      </c>
      <c r="D78" s="129" t="s">
        <v>5466</v>
      </c>
      <c r="E78" s="129" t="s">
        <v>6079</v>
      </c>
      <c r="F78" s="129">
        <v>101</v>
      </c>
      <c r="G78" s="129" t="s">
        <v>10</v>
      </c>
      <c r="H78" s="129" t="s">
        <v>6782</v>
      </c>
      <c r="I78" s="129" t="s">
        <v>5533</v>
      </c>
      <c r="J78" s="129" t="s">
        <v>5534</v>
      </c>
      <c r="K78" s="129" t="s">
        <v>5899</v>
      </c>
      <c r="L78" s="129" t="s">
        <v>5561</v>
      </c>
      <c r="M78" s="129" t="s">
        <v>5576</v>
      </c>
      <c r="N78" s="129" t="s">
        <v>6783</v>
      </c>
      <c r="O78" s="129" t="s">
        <v>6737</v>
      </c>
    </row>
    <row r="79" spans="1:15" ht="24">
      <c r="A79" s="129" t="s">
        <v>6081</v>
      </c>
      <c r="B79" s="129" t="s">
        <v>6780</v>
      </c>
      <c r="C79" s="129" t="s">
        <v>6781</v>
      </c>
      <c r="D79" s="129" t="s">
        <v>5466</v>
      </c>
      <c r="E79" s="129" t="s">
        <v>6082</v>
      </c>
      <c r="F79" s="129">
        <v>102</v>
      </c>
      <c r="G79" s="129" t="s">
        <v>10</v>
      </c>
      <c r="H79" s="129" t="s">
        <v>6782</v>
      </c>
      <c r="I79" s="129" t="s">
        <v>5533</v>
      </c>
      <c r="J79" s="129" t="s">
        <v>5534</v>
      </c>
      <c r="K79" s="129" t="s">
        <v>5886</v>
      </c>
      <c r="L79" s="129" t="s">
        <v>6024</v>
      </c>
      <c r="M79" s="129" t="s">
        <v>5576</v>
      </c>
      <c r="N79" s="129" t="s">
        <v>6783</v>
      </c>
      <c r="O79" s="129" t="s">
        <v>6737</v>
      </c>
    </row>
    <row r="80" spans="1:15" ht="24">
      <c r="A80" s="129" t="s">
        <v>6084</v>
      </c>
      <c r="B80" s="129" t="s">
        <v>6780</v>
      </c>
      <c r="C80" s="129" t="s">
        <v>6781</v>
      </c>
      <c r="D80" s="129" t="s">
        <v>5466</v>
      </c>
      <c r="E80" s="129" t="s">
        <v>6085</v>
      </c>
      <c r="F80" s="129">
        <v>102</v>
      </c>
      <c r="G80" s="129" t="s">
        <v>10</v>
      </c>
      <c r="H80" s="129" t="s">
        <v>6782</v>
      </c>
      <c r="I80" s="129" t="s">
        <v>5533</v>
      </c>
      <c r="J80" s="129" t="s">
        <v>5534</v>
      </c>
      <c r="K80" s="129" t="s">
        <v>5899</v>
      </c>
      <c r="L80" s="129" t="s">
        <v>5561</v>
      </c>
      <c r="M80" s="129" t="s">
        <v>5576</v>
      </c>
      <c r="N80" s="129" t="s">
        <v>6783</v>
      </c>
      <c r="O80" s="129" t="s">
        <v>6737</v>
      </c>
    </row>
    <row r="81" spans="1:15" ht="24">
      <c r="A81" s="129" t="s">
        <v>6087</v>
      </c>
      <c r="B81" s="129" t="s">
        <v>6780</v>
      </c>
      <c r="C81" s="129" t="s">
        <v>6781</v>
      </c>
      <c r="D81" s="129" t="s">
        <v>5461</v>
      </c>
      <c r="E81" s="129" t="s">
        <v>6088</v>
      </c>
      <c r="F81" s="129">
        <v>109</v>
      </c>
      <c r="G81" s="129" t="s">
        <v>10</v>
      </c>
      <c r="H81" s="129" t="s">
        <v>6782</v>
      </c>
      <c r="I81" s="129" t="s">
        <v>5533</v>
      </c>
      <c r="J81" s="129" t="s">
        <v>5534</v>
      </c>
      <c r="K81" s="129" t="s">
        <v>5899</v>
      </c>
      <c r="L81" s="129" t="s">
        <v>6090</v>
      </c>
      <c r="M81" s="129" t="s">
        <v>5836</v>
      </c>
      <c r="N81" s="129" t="s">
        <v>6783</v>
      </c>
      <c r="O81" s="129" t="s">
        <v>6737</v>
      </c>
    </row>
    <row r="82" spans="1:15" ht="24">
      <c r="A82" s="129" t="s">
        <v>6094</v>
      </c>
      <c r="B82" s="129" t="s">
        <v>6780</v>
      </c>
      <c r="C82" s="129" t="s">
        <v>6781</v>
      </c>
      <c r="D82" s="129" t="s">
        <v>5474</v>
      </c>
      <c r="E82" s="129" t="s">
        <v>6095</v>
      </c>
      <c r="F82" s="129">
        <v>114</v>
      </c>
      <c r="G82" s="129" t="s">
        <v>10</v>
      </c>
      <c r="H82" s="129" t="s">
        <v>6782</v>
      </c>
      <c r="I82" s="129" t="s">
        <v>5533</v>
      </c>
      <c r="J82" s="129" t="s">
        <v>5534</v>
      </c>
      <c r="K82" s="129" t="s">
        <v>5899</v>
      </c>
      <c r="L82" s="129" t="s">
        <v>6097</v>
      </c>
      <c r="M82" s="129" t="s">
        <v>5487</v>
      </c>
      <c r="N82" s="129" t="s">
        <v>6783</v>
      </c>
      <c r="O82" s="129" t="s">
        <v>6737</v>
      </c>
    </row>
    <row r="83" spans="1:15" ht="24">
      <c r="A83" s="129" t="s">
        <v>6101</v>
      </c>
      <c r="B83" s="129" t="s">
        <v>6780</v>
      </c>
      <c r="C83" s="129" t="s">
        <v>6781</v>
      </c>
      <c r="D83" s="129" t="s">
        <v>5474</v>
      </c>
      <c r="E83" s="129" t="s">
        <v>6102</v>
      </c>
      <c r="F83" s="129">
        <v>116</v>
      </c>
      <c r="G83" s="129" t="s">
        <v>10</v>
      </c>
      <c r="H83" s="129" t="s">
        <v>6784</v>
      </c>
      <c r="I83" s="129" t="s">
        <v>6103</v>
      </c>
      <c r="J83" s="129" t="s">
        <v>932</v>
      </c>
      <c r="K83" s="129" t="s">
        <v>5871</v>
      </c>
      <c r="L83" s="129" t="s">
        <v>5862</v>
      </c>
      <c r="M83" s="129" t="s">
        <v>5864</v>
      </c>
      <c r="N83" s="129" t="s">
        <v>6785</v>
      </c>
      <c r="O83" s="129" t="s">
        <v>6737</v>
      </c>
    </row>
    <row r="84" spans="1:15" ht="24">
      <c r="A84" s="129" t="s">
        <v>6105</v>
      </c>
      <c r="B84" s="129" t="s">
        <v>6780</v>
      </c>
      <c r="C84" s="129" t="s">
        <v>6781</v>
      </c>
      <c r="D84" s="129" t="s">
        <v>5474</v>
      </c>
      <c r="E84" s="129" t="s">
        <v>6106</v>
      </c>
      <c r="F84" s="129">
        <v>117</v>
      </c>
      <c r="G84" s="129" t="s">
        <v>10</v>
      </c>
      <c r="H84" s="129" t="s">
        <v>6784</v>
      </c>
      <c r="I84" s="129" t="s">
        <v>6103</v>
      </c>
      <c r="J84" s="129" t="s">
        <v>932</v>
      </c>
      <c r="K84" s="129" t="s">
        <v>5871</v>
      </c>
      <c r="L84" s="129" t="s">
        <v>5862</v>
      </c>
      <c r="M84" s="129" t="s">
        <v>5864</v>
      </c>
      <c r="N84" s="129" t="s">
        <v>6785</v>
      </c>
      <c r="O84" s="129" t="s">
        <v>6737</v>
      </c>
    </row>
    <row r="85" spans="1:15" ht="24">
      <c r="A85" s="129" t="s">
        <v>6786</v>
      </c>
      <c r="B85" s="129" t="s">
        <v>6787</v>
      </c>
      <c r="C85" s="129" t="s">
        <v>6788</v>
      </c>
      <c r="D85" s="129" t="s">
        <v>6315</v>
      </c>
      <c r="E85" s="129" t="s">
        <v>6789</v>
      </c>
      <c r="F85" s="129">
        <v>26</v>
      </c>
      <c r="G85" s="129" t="s">
        <v>12</v>
      </c>
      <c r="H85" s="129" t="s">
        <v>6790</v>
      </c>
      <c r="I85" s="129" t="s">
        <v>6733</v>
      </c>
      <c r="J85" s="129" t="s">
        <v>5534</v>
      </c>
      <c r="K85" s="129" t="s">
        <v>5906</v>
      </c>
      <c r="L85" s="129" t="s">
        <v>6791</v>
      </c>
      <c r="M85" s="129" t="s">
        <v>5501</v>
      </c>
      <c r="N85" s="129" t="s">
        <v>6164</v>
      </c>
      <c r="O85" s="129" t="s">
        <v>6737</v>
      </c>
    </row>
    <row r="86" spans="1:15" ht="24">
      <c r="A86" s="129" t="s">
        <v>6792</v>
      </c>
      <c r="B86" s="129" t="s">
        <v>6787</v>
      </c>
      <c r="C86" s="129" t="s">
        <v>6788</v>
      </c>
      <c r="D86" s="129" t="s">
        <v>6315</v>
      </c>
      <c r="E86" s="129" t="s">
        <v>6793</v>
      </c>
      <c r="F86" s="129">
        <v>27</v>
      </c>
      <c r="G86" s="129" t="s">
        <v>12</v>
      </c>
      <c r="H86" s="129" t="s">
        <v>6790</v>
      </c>
      <c r="I86" s="129" t="s">
        <v>6733</v>
      </c>
      <c r="J86" s="129" t="s">
        <v>5534</v>
      </c>
      <c r="K86" s="129" t="s">
        <v>5886</v>
      </c>
      <c r="L86" s="129" t="s">
        <v>6794</v>
      </c>
      <c r="M86" s="129" t="s">
        <v>5501</v>
      </c>
      <c r="N86" s="129" t="s">
        <v>6164</v>
      </c>
      <c r="O86" s="129" t="s">
        <v>6737</v>
      </c>
    </row>
    <row r="87" spans="1:15" ht="24">
      <c r="A87" s="129" t="s">
        <v>6795</v>
      </c>
      <c r="B87" s="129" t="s">
        <v>6787</v>
      </c>
      <c r="C87" s="129" t="s">
        <v>6788</v>
      </c>
      <c r="D87" s="129" t="s">
        <v>6315</v>
      </c>
      <c r="E87" s="129" t="s">
        <v>6796</v>
      </c>
      <c r="F87" s="129">
        <v>28</v>
      </c>
      <c r="G87" s="129" t="s">
        <v>12</v>
      </c>
      <c r="H87" s="129" t="s">
        <v>6790</v>
      </c>
      <c r="I87" s="129" t="s">
        <v>6733</v>
      </c>
      <c r="J87" s="129" t="s">
        <v>5534</v>
      </c>
      <c r="K87" s="129" t="s">
        <v>5899</v>
      </c>
      <c r="L87" s="129" t="s">
        <v>6797</v>
      </c>
      <c r="M87" s="129" t="s">
        <v>6340</v>
      </c>
      <c r="N87" s="129" t="s">
        <v>6164</v>
      </c>
      <c r="O87" s="129" t="s">
        <v>6737</v>
      </c>
    </row>
    <row r="88" spans="1:15" ht="24">
      <c r="A88" s="129" t="s">
        <v>6798</v>
      </c>
      <c r="B88" s="129" t="s">
        <v>6787</v>
      </c>
      <c r="C88" s="129" t="s">
        <v>6788</v>
      </c>
      <c r="D88" s="129" t="s">
        <v>6315</v>
      </c>
      <c r="E88" s="129" t="s">
        <v>6799</v>
      </c>
      <c r="F88" s="129">
        <v>29</v>
      </c>
      <c r="G88" s="129" t="s">
        <v>12</v>
      </c>
      <c r="H88" s="129" t="s">
        <v>6790</v>
      </c>
      <c r="I88" s="129" t="s">
        <v>6733</v>
      </c>
      <c r="J88" s="129" t="s">
        <v>5534</v>
      </c>
      <c r="K88" s="129" t="s">
        <v>5906</v>
      </c>
      <c r="L88" s="129" t="s">
        <v>6791</v>
      </c>
      <c r="M88" s="129" t="s">
        <v>5501</v>
      </c>
      <c r="N88" s="129" t="s">
        <v>6164</v>
      </c>
      <c r="O88" s="129" t="s">
        <v>6737</v>
      </c>
    </row>
    <row r="89" spans="1:15" ht="24">
      <c r="A89" s="129" t="s">
        <v>6800</v>
      </c>
      <c r="B89" s="129" t="s">
        <v>6787</v>
      </c>
      <c r="C89" s="129" t="s">
        <v>6788</v>
      </c>
      <c r="D89" s="129" t="s">
        <v>6315</v>
      </c>
      <c r="E89" s="129" t="s">
        <v>6801</v>
      </c>
      <c r="F89" s="129">
        <v>30</v>
      </c>
      <c r="G89" s="129" t="s">
        <v>12</v>
      </c>
      <c r="H89" s="129" t="s">
        <v>6790</v>
      </c>
      <c r="I89" s="129" t="s">
        <v>6733</v>
      </c>
      <c r="J89" s="129" t="s">
        <v>5534</v>
      </c>
      <c r="K89" s="129" t="s">
        <v>5931</v>
      </c>
      <c r="L89" s="129" t="s">
        <v>5573</v>
      </c>
      <c r="M89" s="129" t="s">
        <v>5501</v>
      </c>
      <c r="N89" s="129" t="s">
        <v>6164</v>
      </c>
      <c r="O89" s="129" t="s">
        <v>6737</v>
      </c>
    </row>
    <row r="90" spans="1:15" ht="24">
      <c r="A90" s="129" t="s">
        <v>6802</v>
      </c>
      <c r="B90" s="129" t="s">
        <v>6787</v>
      </c>
      <c r="C90" s="129" t="s">
        <v>6788</v>
      </c>
      <c r="D90" s="129" t="s">
        <v>5461</v>
      </c>
      <c r="E90" s="129" t="s">
        <v>6803</v>
      </c>
      <c r="F90" s="129">
        <v>32</v>
      </c>
      <c r="G90" s="129" t="s">
        <v>12</v>
      </c>
      <c r="H90" s="129" t="s">
        <v>6790</v>
      </c>
      <c r="I90" s="129" t="s">
        <v>6733</v>
      </c>
      <c r="J90" s="129" t="s">
        <v>5534</v>
      </c>
      <c r="K90" s="129" t="s">
        <v>5906</v>
      </c>
      <c r="L90" s="129" t="s">
        <v>6791</v>
      </c>
      <c r="M90" s="129" t="s">
        <v>5501</v>
      </c>
      <c r="N90" s="129" t="s">
        <v>6164</v>
      </c>
      <c r="O90" s="129" t="s">
        <v>6737</v>
      </c>
    </row>
    <row r="91" spans="1:15" ht="24">
      <c r="A91" s="129" t="s">
        <v>6804</v>
      </c>
      <c r="B91" s="129" t="s">
        <v>6787</v>
      </c>
      <c r="C91" s="129" t="s">
        <v>6788</v>
      </c>
      <c r="D91" s="129" t="s">
        <v>6315</v>
      </c>
      <c r="E91" s="129" t="s">
        <v>6805</v>
      </c>
      <c r="F91" s="129">
        <v>33</v>
      </c>
      <c r="G91" s="129" t="s">
        <v>12</v>
      </c>
      <c r="H91" s="129" t="s">
        <v>6790</v>
      </c>
      <c r="I91" s="129" t="s">
        <v>6733</v>
      </c>
      <c r="J91" s="129" t="s">
        <v>5534</v>
      </c>
      <c r="K91" s="129" t="s">
        <v>5906</v>
      </c>
      <c r="L91" s="129" t="s">
        <v>6791</v>
      </c>
      <c r="M91" s="129" t="s">
        <v>6340</v>
      </c>
      <c r="N91" s="129" t="s">
        <v>6164</v>
      </c>
      <c r="O91" s="129" t="s">
        <v>6737</v>
      </c>
    </row>
    <row r="92" spans="1:15">
      <c r="A92" s="129" t="s">
        <v>6806</v>
      </c>
      <c r="B92" s="129" t="s">
        <v>6787</v>
      </c>
      <c r="C92" s="129" t="s">
        <v>6788</v>
      </c>
      <c r="D92" s="129" t="s">
        <v>6315</v>
      </c>
      <c r="E92" s="129" t="s">
        <v>6807</v>
      </c>
      <c r="F92" s="129">
        <v>35</v>
      </c>
      <c r="G92" s="129" t="s">
        <v>12</v>
      </c>
      <c r="H92" s="129" t="s">
        <v>6790</v>
      </c>
      <c r="I92" s="129" t="s">
        <v>6733</v>
      </c>
      <c r="J92" s="129" t="s">
        <v>5534</v>
      </c>
      <c r="K92" s="129" t="s">
        <v>5931</v>
      </c>
      <c r="L92" s="129" t="s">
        <v>5573</v>
      </c>
      <c r="M92" s="129" t="s">
        <v>5501</v>
      </c>
      <c r="N92" s="129" t="s">
        <v>6164</v>
      </c>
      <c r="O92" s="129" t="s">
        <v>6737</v>
      </c>
    </row>
    <row r="93" spans="1:15" ht="24">
      <c r="A93" s="129" t="s">
        <v>6808</v>
      </c>
      <c r="B93" s="129" t="s">
        <v>6787</v>
      </c>
      <c r="C93" s="129" t="s">
        <v>6788</v>
      </c>
      <c r="D93" s="129" t="s">
        <v>6315</v>
      </c>
      <c r="E93" s="129" t="s">
        <v>6809</v>
      </c>
      <c r="F93" s="129">
        <v>37</v>
      </c>
      <c r="G93" s="129" t="s">
        <v>12</v>
      </c>
      <c r="H93" s="129" t="s">
        <v>6790</v>
      </c>
      <c r="I93" s="129" t="s">
        <v>6733</v>
      </c>
      <c r="J93" s="129" t="s">
        <v>5534</v>
      </c>
      <c r="K93" s="129" t="s">
        <v>5871</v>
      </c>
      <c r="L93" s="129" t="s">
        <v>5870</v>
      </c>
      <c r="M93" s="129" t="s">
        <v>5501</v>
      </c>
      <c r="N93" s="129" t="s">
        <v>6164</v>
      </c>
      <c r="O93" s="129" t="s">
        <v>6737</v>
      </c>
    </row>
    <row r="94" spans="1:15">
      <c r="A94" s="129" t="s">
        <v>6810</v>
      </c>
      <c r="B94" s="129" t="s">
        <v>6787</v>
      </c>
      <c r="C94" s="129" t="s">
        <v>6788</v>
      </c>
      <c r="D94" s="129" t="s">
        <v>6315</v>
      </c>
      <c r="E94" s="129" t="s">
        <v>6811</v>
      </c>
      <c r="F94" s="129">
        <v>39</v>
      </c>
      <c r="G94" s="129" t="s">
        <v>12</v>
      </c>
      <c r="H94" s="129" t="s">
        <v>6790</v>
      </c>
      <c r="I94" s="129" t="s">
        <v>6733</v>
      </c>
      <c r="J94" s="129" t="s">
        <v>5534</v>
      </c>
      <c r="K94" s="129" t="s">
        <v>5931</v>
      </c>
      <c r="L94" s="129" t="s">
        <v>5573</v>
      </c>
      <c r="M94" s="129" t="s">
        <v>5501</v>
      </c>
      <c r="N94" s="129" t="s">
        <v>6164</v>
      </c>
      <c r="O94" s="129" t="s">
        <v>6737</v>
      </c>
    </row>
    <row r="95" spans="1:15" ht="24">
      <c r="A95" s="129" t="s">
        <v>6812</v>
      </c>
      <c r="B95" s="129" t="s">
        <v>6787</v>
      </c>
      <c r="C95" s="129" t="s">
        <v>6788</v>
      </c>
      <c r="D95" s="129" t="s">
        <v>6315</v>
      </c>
      <c r="E95" s="129" t="s">
        <v>6813</v>
      </c>
      <c r="F95" s="129">
        <v>41</v>
      </c>
      <c r="G95" s="129" t="s">
        <v>12</v>
      </c>
      <c r="H95" s="129" t="s">
        <v>6790</v>
      </c>
      <c r="I95" s="129" t="s">
        <v>6733</v>
      </c>
      <c r="J95" s="129" t="s">
        <v>5534</v>
      </c>
      <c r="K95" s="129" t="s">
        <v>5906</v>
      </c>
      <c r="L95" s="129" t="s">
        <v>6791</v>
      </c>
      <c r="M95" s="129" t="s">
        <v>5501</v>
      </c>
      <c r="N95" s="129" t="s">
        <v>6164</v>
      </c>
      <c r="O95" s="129" t="s">
        <v>6737</v>
      </c>
    </row>
    <row r="96" spans="1:15" ht="24">
      <c r="A96" s="129" t="s">
        <v>6814</v>
      </c>
      <c r="B96" s="129" t="s">
        <v>6787</v>
      </c>
      <c r="C96" s="129" t="s">
        <v>6788</v>
      </c>
      <c r="D96" s="129" t="s">
        <v>5441</v>
      </c>
      <c r="E96" s="129" t="s">
        <v>6815</v>
      </c>
      <c r="F96" s="129">
        <v>44</v>
      </c>
      <c r="G96" s="129" t="s">
        <v>12</v>
      </c>
      <c r="H96" s="129" t="s">
        <v>6790</v>
      </c>
      <c r="I96" s="129" t="s">
        <v>6733</v>
      </c>
      <c r="J96" s="129" t="s">
        <v>5534</v>
      </c>
      <c r="K96" s="129" t="s">
        <v>5906</v>
      </c>
      <c r="L96" s="129" t="s">
        <v>5905</v>
      </c>
      <c r="M96" s="129" t="s">
        <v>5576</v>
      </c>
      <c r="N96" s="129" t="s">
        <v>6164</v>
      </c>
      <c r="O96" s="129" t="s">
        <v>6737</v>
      </c>
    </row>
    <row r="97" spans="1:15" ht="24">
      <c r="A97" s="129" t="s">
        <v>6816</v>
      </c>
      <c r="B97" s="129" t="s">
        <v>6787</v>
      </c>
      <c r="C97" s="129" t="s">
        <v>6788</v>
      </c>
      <c r="D97" s="129" t="s">
        <v>5461</v>
      </c>
      <c r="E97" s="129" t="s">
        <v>6817</v>
      </c>
      <c r="F97" s="129">
        <v>68</v>
      </c>
      <c r="G97" s="129" t="s">
        <v>12</v>
      </c>
      <c r="H97" s="129" t="s">
        <v>6784</v>
      </c>
      <c r="I97" s="129" t="s">
        <v>6818</v>
      </c>
      <c r="J97" s="129" t="s">
        <v>932</v>
      </c>
      <c r="K97" s="129" t="s">
        <v>5871</v>
      </c>
      <c r="L97" s="129" t="s">
        <v>5598</v>
      </c>
      <c r="M97" s="129" t="s">
        <v>6819</v>
      </c>
      <c r="N97" s="129" t="s">
        <v>6785</v>
      </c>
      <c r="O97" s="129" t="s">
        <v>6737</v>
      </c>
    </row>
    <row r="98" spans="1:15" ht="24">
      <c r="A98" s="129" t="s">
        <v>6820</v>
      </c>
      <c r="B98" s="129" t="s">
        <v>6787</v>
      </c>
      <c r="C98" s="129" t="s">
        <v>6788</v>
      </c>
      <c r="D98" s="129" t="s">
        <v>5461</v>
      </c>
      <c r="E98" s="129" t="s">
        <v>6821</v>
      </c>
      <c r="F98" s="129">
        <v>69</v>
      </c>
      <c r="G98" s="129" t="s">
        <v>12</v>
      </c>
      <c r="H98" s="129" t="s">
        <v>6784</v>
      </c>
      <c r="I98" s="129" t="s">
        <v>6818</v>
      </c>
      <c r="J98" s="129" t="s">
        <v>932</v>
      </c>
      <c r="K98" s="129" t="s">
        <v>5871</v>
      </c>
      <c r="L98" s="129" t="s">
        <v>5598</v>
      </c>
      <c r="M98" s="129" t="s">
        <v>6819</v>
      </c>
      <c r="N98" s="129" t="s">
        <v>6785</v>
      </c>
      <c r="O98" s="129" t="s">
        <v>6737</v>
      </c>
    </row>
    <row r="99" spans="1:15" ht="24">
      <c r="A99" s="129" t="s">
        <v>6822</v>
      </c>
      <c r="B99" s="129" t="s">
        <v>6787</v>
      </c>
      <c r="C99" s="129" t="s">
        <v>6788</v>
      </c>
      <c r="D99" s="129" t="s">
        <v>6232</v>
      </c>
      <c r="E99" s="129" t="s">
        <v>6823</v>
      </c>
      <c r="F99" s="129">
        <v>104</v>
      </c>
      <c r="G99" s="129" t="s">
        <v>12</v>
      </c>
      <c r="H99" s="129" t="s">
        <v>6790</v>
      </c>
      <c r="I99" s="129" t="s">
        <v>6733</v>
      </c>
      <c r="J99" s="129" t="s">
        <v>5534</v>
      </c>
      <c r="K99" s="129" t="s">
        <v>5886</v>
      </c>
      <c r="L99" s="129" t="s">
        <v>5834</v>
      </c>
      <c r="M99" s="129" t="s">
        <v>6824</v>
      </c>
      <c r="N99" s="129" t="s">
        <v>6164</v>
      </c>
      <c r="O99" s="129" t="s">
        <v>6737</v>
      </c>
    </row>
    <row r="100" spans="1:15" ht="24">
      <c r="A100" s="129" t="s">
        <v>6110</v>
      </c>
      <c r="B100" s="129" t="s">
        <v>6825</v>
      </c>
      <c r="C100" s="129" t="s">
        <v>6826</v>
      </c>
      <c r="D100" s="129" t="s">
        <v>5447</v>
      </c>
      <c r="E100" s="129" t="s">
        <v>6111</v>
      </c>
      <c r="F100" s="129">
        <v>48</v>
      </c>
      <c r="G100" s="129" t="s">
        <v>10</v>
      </c>
      <c r="H100" s="129" t="s">
        <v>6782</v>
      </c>
      <c r="I100" s="129" t="s">
        <v>5533</v>
      </c>
      <c r="J100" s="129" t="s">
        <v>5534</v>
      </c>
      <c r="K100" s="129" t="s">
        <v>5906</v>
      </c>
      <c r="L100" s="129" t="s">
        <v>5922</v>
      </c>
      <c r="M100" s="129" t="s">
        <v>5459</v>
      </c>
      <c r="N100" s="129" t="s">
        <v>6783</v>
      </c>
      <c r="O100" s="129" t="s">
        <v>6737</v>
      </c>
    </row>
    <row r="101" spans="1:15" ht="24">
      <c r="A101" s="129" t="s">
        <v>6115</v>
      </c>
      <c r="B101" s="129" t="s">
        <v>6825</v>
      </c>
      <c r="C101" s="129" t="s">
        <v>6826</v>
      </c>
      <c r="D101" s="129" t="s">
        <v>5447</v>
      </c>
      <c r="E101" s="129" t="s">
        <v>6116</v>
      </c>
      <c r="F101" s="129">
        <v>51</v>
      </c>
      <c r="G101" s="129" t="s">
        <v>10</v>
      </c>
      <c r="H101" s="129" t="s">
        <v>6782</v>
      </c>
      <c r="I101" s="129" t="s">
        <v>5533</v>
      </c>
      <c r="J101" s="129" t="s">
        <v>5534</v>
      </c>
      <c r="K101" s="129" t="s">
        <v>5899</v>
      </c>
      <c r="L101" s="129" t="s">
        <v>6117</v>
      </c>
      <c r="M101" s="129" t="s">
        <v>5459</v>
      </c>
      <c r="N101" s="129" t="s">
        <v>6783</v>
      </c>
      <c r="O101" s="129" t="s">
        <v>6737</v>
      </c>
    </row>
    <row r="102" spans="1:15" ht="24">
      <c r="A102" s="129" t="s">
        <v>6119</v>
      </c>
      <c r="B102" s="129" t="s">
        <v>6825</v>
      </c>
      <c r="C102" s="129" t="s">
        <v>6826</v>
      </c>
      <c r="D102" s="129" t="s">
        <v>5456</v>
      </c>
      <c r="E102" s="129" t="s">
        <v>6120</v>
      </c>
      <c r="F102" s="129">
        <v>58</v>
      </c>
      <c r="G102" s="129" t="s">
        <v>10</v>
      </c>
      <c r="H102" s="129" t="s">
        <v>6782</v>
      </c>
      <c r="I102" s="129" t="s">
        <v>5533</v>
      </c>
      <c r="J102" s="129" t="s">
        <v>5534</v>
      </c>
      <c r="K102" s="129" t="s">
        <v>5906</v>
      </c>
      <c r="L102" s="129" t="s">
        <v>6121</v>
      </c>
      <c r="M102" s="129" t="s">
        <v>5459</v>
      </c>
      <c r="N102" s="129" t="s">
        <v>6783</v>
      </c>
      <c r="O102" s="129" t="s">
        <v>6737</v>
      </c>
    </row>
    <row r="103" spans="1:15">
      <c r="A103" s="129" t="s">
        <v>6123</v>
      </c>
      <c r="B103" s="129" t="s">
        <v>6825</v>
      </c>
      <c r="C103" s="129" t="s">
        <v>6826</v>
      </c>
      <c r="D103" s="129" t="s">
        <v>5474</v>
      </c>
      <c r="E103" s="129" t="s">
        <v>6124</v>
      </c>
      <c r="F103" s="129">
        <v>113</v>
      </c>
      <c r="G103" s="129" t="s">
        <v>10</v>
      </c>
      <c r="H103" s="129" t="s">
        <v>6782</v>
      </c>
      <c r="I103" s="129" t="s">
        <v>5533</v>
      </c>
      <c r="J103" s="129" t="s">
        <v>5534</v>
      </c>
      <c r="K103" s="129" t="s">
        <v>5931</v>
      </c>
      <c r="L103" s="129" t="s">
        <v>5573</v>
      </c>
      <c r="M103" s="129" t="s">
        <v>5487</v>
      </c>
      <c r="N103" s="129" t="s">
        <v>6783</v>
      </c>
      <c r="O103" s="129" t="s">
        <v>6737</v>
      </c>
    </row>
    <row r="104" spans="1:15" ht="24">
      <c r="A104" s="129" t="s">
        <v>6266</v>
      </c>
      <c r="B104" s="129" t="s">
        <v>6827</v>
      </c>
      <c r="C104" s="129" t="s">
        <v>6828</v>
      </c>
      <c r="D104" s="129" t="s">
        <v>5447</v>
      </c>
      <c r="E104" s="129" t="s">
        <v>6267</v>
      </c>
      <c r="F104" s="129">
        <v>23</v>
      </c>
      <c r="G104" s="129" t="s">
        <v>12</v>
      </c>
      <c r="H104" s="129" t="s">
        <v>6829</v>
      </c>
      <c r="I104" s="129" t="s">
        <v>6275</v>
      </c>
      <c r="J104" s="129" t="s">
        <v>5534</v>
      </c>
      <c r="K104" s="129" t="s">
        <v>5931</v>
      </c>
      <c r="L104" s="129" t="s">
        <v>6274</v>
      </c>
      <c r="M104" s="129" t="s">
        <v>5611</v>
      </c>
      <c r="N104" s="129" t="s">
        <v>6830</v>
      </c>
      <c r="O104" s="129" t="s">
        <v>6737</v>
      </c>
    </row>
    <row r="105" spans="1:15" ht="24">
      <c r="A105" s="129" t="s">
        <v>6279</v>
      </c>
      <c r="B105" s="129" t="s">
        <v>6827</v>
      </c>
      <c r="C105" s="129" t="s">
        <v>6828</v>
      </c>
      <c r="D105" s="129" t="s">
        <v>5461</v>
      </c>
      <c r="E105" s="129" t="s">
        <v>6280</v>
      </c>
      <c r="F105" s="129">
        <v>24</v>
      </c>
      <c r="G105" s="129" t="s">
        <v>12</v>
      </c>
      <c r="H105" s="129" t="s">
        <v>6829</v>
      </c>
      <c r="I105" s="129" t="s">
        <v>6275</v>
      </c>
      <c r="J105" s="129" t="s">
        <v>5534</v>
      </c>
      <c r="K105" s="129" t="s">
        <v>5931</v>
      </c>
      <c r="L105" s="129" t="s">
        <v>6274</v>
      </c>
      <c r="M105" s="129" t="s">
        <v>6284</v>
      </c>
      <c r="N105" s="129" t="s">
        <v>6830</v>
      </c>
      <c r="O105" s="129" t="s">
        <v>6737</v>
      </c>
    </row>
    <row r="106" spans="1:15" ht="24">
      <c r="A106" s="129" t="s">
        <v>6286</v>
      </c>
      <c r="B106" s="129" t="s">
        <v>6827</v>
      </c>
      <c r="C106" s="129" t="s">
        <v>6828</v>
      </c>
      <c r="D106" s="129" t="s">
        <v>5456</v>
      </c>
      <c r="E106" s="129" t="s">
        <v>6287</v>
      </c>
      <c r="F106" s="129">
        <v>24</v>
      </c>
      <c r="G106" s="129" t="s">
        <v>12</v>
      </c>
      <c r="H106" s="129" t="s">
        <v>6829</v>
      </c>
      <c r="I106" s="129" t="s">
        <v>6275</v>
      </c>
      <c r="J106" s="129" t="s">
        <v>5534</v>
      </c>
      <c r="K106" s="129" t="s">
        <v>5931</v>
      </c>
      <c r="L106" s="129" t="s">
        <v>6274</v>
      </c>
      <c r="M106" s="129" t="s">
        <v>5459</v>
      </c>
      <c r="N106" s="129" t="s">
        <v>6830</v>
      </c>
      <c r="O106" s="129" t="s">
        <v>6737</v>
      </c>
    </row>
    <row r="107" spans="1:15" ht="24">
      <c r="A107" s="129" t="s">
        <v>6292</v>
      </c>
      <c r="B107" s="129" t="s">
        <v>6827</v>
      </c>
      <c r="C107" s="129" t="s">
        <v>6828</v>
      </c>
      <c r="D107" s="129" t="s">
        <v>5456</v>
      </c>
      <c r="E107" s="129" t="s">
        <v>6293</v>
      </c>
      <c r="F107" s="129">
        <v>25</v>
      </c>
      <c r="G107" s="129" t="s">
        <v>12</v>
      </c>
      <c r="H107" s="129" t="s">
        <v>6829</v>
      </c>
      <c r="I107" s="129" t="s">
        <v>6275</v>
      </c>
      <c r="J107" s="129" t="s">
        <v>5534</v>
      </c>
      <c r="K107" s="129" t="s">
        <v>5931</v>
      </c>
      <c r="L107" s="129" t="s">
        <v>6274</v>
      </c>
      <c r="M107" s="129" t="s">
        <v>5576</v>
      </c>
      <c r="N107" s="129" t="s">
        <v>6830</v>
      </c>
      <c r="O107" s="129" t="s">
        <v>6737</v>
      </c>
    </row>
    <row r="108" spans="1:15" ht="24">
      <c r="A108" s="129" t="s">
        <v>6298</v>
      </c>
      <c r="B108" s="129" t="s">
        <v>6827</v>
      </c>
      <c r="C108" s="129" t="s">
        <v>6828</v>
      </c>
      <c r="D108" s="129" t="s">
        <v>5466</v>
      </c>
      <c r="E108" s="129" t="s">
        <v>6299</v>
      </c>
      <c r="F108" s="129">
        <v>27</v>
      </c>
      <c r="G108" s="129" t="s">
        <v>12</v>
      </c>
      <c r="H108" s="129" t="s">
        <v>6829</v>
      </c>
      <c r="I108" s="129" t="s">
        <v>6275</v>
      </c>
      <c r="J108" s="129" t="s">
        <v>5534</v>
      </c>
      <c r="K108" s="129" t="s">
        <v>5931</v>
      </c>
      <c r="L108" s="129" t="s">
        <v>6274</v>
      </c>
      <c r="M108" s="129" t="s">
        <v>5576</v>
      </c>
      <c r="N108" s="129" t="s">
        <v>6830</v>
      </c>
      <c r="O108" s="129" t="s">
        <v>6737</v>
      </c>
    </row>
    <row r="109" spans="1:15" ht="24">
      <c r="A109" s="129" t="s">
        <v>6303</v>
      </c>
      <c r="B109" s="129" t="s">
        <v>6827</v>
      </c>
      <c r="C109" s="129" t="s">
        <v>6828</v>
      </c>
      <c r="D109" s="129" t="s">
        <v>5470</v>
      </c>
      <c r="E109" s="129" t="s">
        <v>6304</v>
      </c>
      <c r="F109" s="129">
        <v>28</v>
      </c>
      <c r="G109" s="129" t="s">
        <v>12</v>
      </c>
      <c r="H109" s="129" t="s">
        <v>6829</v>
      </c>
      <c r="I109" s="129" t="s">
        <v>6275</v>
      </c>
      <c r="J109" s="129" t="s">
        <v>5534</v>
      </c>
      <c r="K109" s="129" t="s">
        <v>5931</v>
      </c>
      <c r="L109" s="129" t="s">
        <v>6274</v>
      </c>
      <c r="M109" s="129" t="s">
        <v>5576</v>
      </c>
      <c r="N109" s="129" t="s">
        <v>6830</v>
      </c>
      <c r="O109" s="129" t="s">
        <v>6737</v>
      </c>
    </row>
    <row r="110" spans="1:15" ht="24">
      <c r="A110" s="129" t="s">
        <v>6308</v>
      </c>
      <c r="B110" s="129" t="s">
        <v>6827</v>
      </c>
      <c r="C110" s="129" t="s">
        <v>6828</v>
      </c>
      <c r="D110" s="129" t="s">
        <v>5466</v>
      </c>
      <c r="E110" s="129" t="s">
        <v>6309</v>
      </c>
      <c r="F110" s="129">
        <v>28</v>
      </c>
      <c r="G110" s="129" t="s">
        <v>12</v>
      </c>
      <c r="H110" s="129" t="s">
        <v>6829</v>
      </c>
      <c r="I110" s="129" t="s">
        <v>6275</v>
      </c>
      <c r="J110" s="129" t="s">
        <v>5534</v>
      </c>
      <c r="K110" s="129" t="s">
        <v>5931</v>
      </c>
      <c r="L110" s="129" t="s">
        <v>6274</v>
      </c>
      <c r="M110" s="129" t="s">
        <v>5487</v>
      </c>
      <c r="N110" s="129" t="s">
        <v>6830</v>
      </c>
      <c r="O110" s="129" t="s">
        <v>6737</v>
      </c>
    </row>
    <row r="111" spans="1:15" ht="24">
      <c r="A111" s="129" t="s">
        <v>6313</v>
      </c>
      <c r="B111" s="129" t="s">
        <v>6827</v>
      </c>
      <c r="C111" s="129" t="s">
        <v>6828</v>
      </c>
      <c r="D111" s="129" t="s">
        <v>6315</v>
      </c>
      <c r="E111" s="129" t="s">
        <v>6314</v>
      </c>
      <c r="F111" s="129">
        <v>29</v>
      </c>
      <c r="G111" s="129" t="s">
        <v>12</v>
      </c>
      <c r="H111" s="129" t="s">
        <v>6829</v>
      </c>
      <c r="I111" s="129" t="s">
        <v>6275</v>
      </c>
      <c r="J111" s="129" t="s">
        <v>5534</v>
      </c>
      <c r="K111" s="129" t="s">
        <v>5931</v>
      </c>
      <c r="L111" s="129" t="s">
        <v>6274</v>
      </c>
      <c r="M111" s="129" t="s">
        <v>5501</v>
      </c>
      <c r="N111" s="129" t="s">
        <v>6830</v>
      </c>
      <c r="O111" s="129" t="s">
        <v>6737</v>
      </c>
    </row>
    <row r="112" spans="1:15" ht="24">
      <c r="A112" s="129" t="s">
        <v>6318</v>
      </c>
      <c r="B112" s="129" t="s">
        <v>6827</v>
      </c>
      <c r="C112" s="129" t="s">
        <v>6828</v>
      </c>
      <c r="D112" s="129" t="s">
        <v>5466</v>
      </c>
      <c r="E112" s="129" t="s">
        <v>6319</v>
      </c>
      <c r="F112" s="129">
        <v>30</v>
      </c>
      <c r="G112" s="129" t="s">
        <v>12</v>
      </c>
      <c r="H112" s="129" t="s">
        <v>6829</v>
      </c>
      <c r="I112" s="129" t="s">
        <v>6275</v>
      </c>
      <c r="J112" s="129" t="s">
        <v>5534</v>
      </c>
      <c r="K112" s="129" t="s">
        <v>5931</v>
      </c>
      <c r="L112" s="129" t="s">
        <v>6274</v>
      </c>
      <c r="M112" s="129" t="s">
        <v>5576</v>
      </c>
      <c r="N112" s="129" t="s">
        <v>6830</v>
      </c>
      <c r="O112" s="129" t="s">
        <v>6737</v>
      </c>
    </row>
    <row r="113" spans="1:15" ht="24">
      <c r="A113" s="129" t="s">
        <v>6322</v>
      </c>
      <c r="B113" s="129" t="s">
        <v>6827</v>
      </c>
      <c r="C113" s="129" t="s">
        <v>6828</v>
      </c>
      <c r="D113" s="129" t="s">
        <v>5461</v>
      </c>
      <c r="E113" s="129" t="s">
        <v>6323</v>
      </c>
      <c r="F113" s="129">
        <v>31</v>
      </c>
      <c r="G113" s="129" t="s">
        <v>12</v>
      </c>
      <c r="H113" s="129" t="s">
        <v>6829</v>
      </c>
      <c r="I113" s="129" t="s">
        <v>6275</v>
      </c>
      <c r="J113" s="129" t="s">
        <v>5534</v>
      </c>
      <c r="K113" s="129" t="s">
        <v>5931</v>
      </c>
      <c r="L113" s="129" t="s">
        <v>6274</v>
      </c>
      <c r="M113" s="129" t="s">
        <v>5611</v>
      </c>
      <c r="N113" s="129" t="s">
        <v>6830</v>
      </c>
      <c r="O113" s="129" t="s">
        <v>6737</v>
      </c>
    </row>
    <row r="114" spans="1:15" ht="24">
      <c r="A114" s="129" t="s">
        <v>6326</v>
      </c>
      <c r="B114" s="129" t="s">
        <v>6827</v>
      </c>
      <c r="C114" s="129" t="s">
        <v>6828</v>
      </c>
      <c r="D114" s="129" t="s">
        <v>5466</v>
      </c>
      <c r="E114" s="129" t="s">
        <v>6327</v>
      </c>
      <c r="F114" s="129">
        <v>31</v>
      </c>
      <c r="G114" s="129" t="s">
        <v>12</v>
      </c>
      <c r="H114" s="129" t="s">
        <v>6829</v>
      </c>
      <c r="I114" s="129" t="s">
        <v>6275</v>
      </c>
      <c r="J114" s="129" t="s">
        <v>5534</v>
      </c>
      <c r="K114" s="129" t="s">
        <v>5931</v>
      </c>
      <c r="L114" s="129" t="s">
        <v>6274</v>
      </c>
      <c r="M114" s="129" t="s">
        <v>5576</v>
      </c>
      <c r="N114" s="129" t="s">
        <v>6830</v>
      </c>
      <c r="O114" s="129" t="s">
        <v>6737</v>
      </c>
    </row>
    <row r="115" spans="1:15" ht="24">
      <c r="A115" s="129" t="s">
        <v>6330</v>
      </c>
      <c r="B115" s="129" t="s">
        <v>6827</v>
      </c>
      <c r="C115" s="129" t="s">
        <v>6828</v>
      </c>
      <c r="D115" s="129" t="s">
        <v>5466</v>
      </c>
      <c r="E115" s="129" t="s">
        <v>6331</v>
      </c>
      <c r="F115" s="129">
        <v>33</v>
      </c>
      <c r="G115" s="129" t="s">
        <v>12</v>
      </c>
      <c r="H115" s="129" t="s">
        <v>6829</v>
      </c>
      <c r="I115" s="129" t="s">
        <v>6275</v>
      </c>
      <c r="J115" s="129" t="s">
        <v>5534</v>
      </c>
      <c r="K115" s="129" t="s">
        <v>5931</v>
      </c>
      <c r="L115" s="129" t="s">
        <v>6274</v>
      </c>
      <c r="M115" s="129" t="s">
        <v>5576</v>
      </c>
      <c r="N115" s="129" t="s">
        <v>6830</v>
      </c>
      <c r="O115" s="129" t="s">
        <v>6737</v>
      </c>
    </row>
    <row r="116" spans="1:15" ht="24">
      <c r="A116" s="129" t="s">
        <v>6335</v>
      </c>
      <c r="B116" s="129" t="s">
        <v>6827</v>
      </c>
      <c r="C116" s="129" t="s">
        <v>6828</v>
      </c>
      <c r="D116" s="129" t="s">
        <v>5456</v>
      </c>
      <c r="E116" s="129" t="s">
        <v>6336</v>
      </c>
      <c r="F116" s="129">
        <v>33</v>
      </c>
      <c r="G116" s="129" t="s">
        <v>12</v>
      </c>
      <c r="H116" s="129" t="s">
        <v>6829</v>
      </c>
      <c r="I116" s="129" t="s">
        <v>6275</v>
      </c>
      <c r="J116" s="129" t="s">
        <v>5534</v>
      </c>
      <c r="K116" s="129" t="s">
        <v>5931</v>
      </c>
      <c r="L116" s="129" t="s">
        <v>6274</v>
      </c>
      <c r="M116" s="129" t="s">
        <v>6340</v>
      </c>
      <c r="N116" s="129" t="s">
        <v>6830</v>
      </c>
      <c r="O116" s="129" t="s">
        <v>6737</v>
      </c>
    </row>
    <row r="117" spans="1:15">
      <c r="A117" s="129" t="s">
        <v>6342</v>
      </c>
      <c r="B117" s="129" t="s">
        <v>6827</v>
      </c>
      <c r="C117" s="129" t="s">
        <v>6828</v>
      </c>
      <c r="D117" s="129" t="s">
        <v>6315</v>
      </c>
      <c r="E117" s="129" t="s">
        <v>6343</v>
      </c>
      <c r="F117" s="129">
        <v>34</v>
      </c>
      <c r="G117" s="129" t="s">
        <v>12</v>
      </c>
      <c r="H117" s="129" t="s">
        <v>6829</v>
      </c>
      <c r="I117" s="129" t="s">
        <v>6350</v>
      </c>
      <c r="J117" s="129" t="s">
        <v>932</v>
      </c>
      <c r="K117" s="129" t="s">
        <v>5931</v>
      </c>
      <c r="L117" s="129" t="s">
        <v>6274</v>
      </c>
      <c r="M117" s="129" t="s">
        <v>6352</v>
      </c>
      <c r="N117" s="129" t="s">
        <v>6830</v>
      </c>
      <c r="O117" s="129" t="s">
        <v>6737</v>
      </c>
    </row>
    <row r="118" spans="1:15">
      <c r="A118" s="129" t="s">
        <v>6354</v>
      </c>
      <c r="B118" s="129" t="s">
        <v>6827</v>
      </c>
      <c r="C118" s="129" t="s">
        <v>6828</v>
      </c>
      <c r="D118" s="129" t="s">
        <v>6315</v>
      </c>
      <c r="E118" s="129" t="s">
        <v>6355</v>
      </c>
      <c r="F118" s="129">
        <v>36</v>
      </c>
      <c r="G118" s="129" t="s">
        <v>12</v>
      </c>
      <c r="H118" s="129" t="s">
        <v>6829</v>
      </c>
      <c r="I118" s="129" t="s">
        <v>6350</v>
      </c>
      <c r="J118" s="129" t="s">
        <v>932</v>
      </c>
      <c r="K118" s="129" t="s">
        <v>5931</v>
      </c>
      <c r="L118" s="129" t="s">
        <v>6274</v>
      </c>
      <c r="M118" s="129" t="s">
        <v>6352</v>
      </c>
      <c r="N118" s="129" t="s">
        <v>6830</v>
      </c>
      <c r="O118" s="129" t="s">
        <v>6737</v>
      </c>
    </row>
    <row r="119" spans="1:15">
      <c r="A119" s="129" t="s">
        <v>6359</v>
      </c>
      <c r="B119" s="129" t="s">
        <v>6827</v>
      </c>
      <c r="C119" s="129" t="s">
        <v>6828</v>
      </c>
      <c r="D119" s="129" t="s">
        <v>6315</v>
      </c>
      <c r="E119" s="129" t="s">
        <v>6360</v>
      </c>
      <c r="F119" s="129">
        <v>38</v>
      </c>
      <c r="G119" s="129" t="s">
        <v>12</v>
      </c>
      <c r="H119" s="129" t="s">
        <v>6829</v>
      </c>
      <c r="I119" s="129" t="s">
        <v>6350</v>
      </c>
      <c r="J119" s="129" t="s">
        <v>932</v>
      </c>
      <c r="K119" s="129" t="s">
        <v>5931</v>
      </c>
      <c r="L119" s="129" t="s">
        <v>6274</v>
      </c>
      <c r="M119" s="129" t="s">
        <v>6352</v>
      </c>
      <c r="N119" s="129" t="s">
        <v>6830</v>
      </c>
      <c r="O119" s="129" t="s">
        <v>6737</v>
      </c>
    </row>
    <row r="120" spans="1:15">
      <c r="A120" s="129" t="s">
        <v>6364</v>
      </c>
      <c r="B120" s="129" t="s">
        <v>6827</v>
      </c>
      <c r="C120" s="129" t="s">
        <v>6828</v>
      </c>
      <c r="D120" s="129" t="s">
        <v>6315</v>
      </c>
      <c r="E120" s="129" t="s">
        <v>6365</v>
      </c>
      <c r="F120" s="129">
        <v>40</v>
      </c>
      <c r="G120" s="129" t="s">
        <v>12</v>
      </c>
      <c r="H120" s="129" t="s">
        <v>6829</v>
      </c>
      <c r="I120" s="129" t="s">
        <v>6350</v>
      </c>
      <c r="J120" s="129" t="s">
        <v>932</v>
      </c>
      <c r="K120" s="129" t="s">
        <v>5931</v>
      </c>
      <c r="L120" s="129" t="s">
        <v>6274</v>
      </c>
      <c r="M120" s="129" t="s">
        <v>6352</v>
      </c>
      <c r="N120" s="129" t="s">
        <v>6830</v>
      </c>
      <c r="O120" s="129" t="s">
        <v>6737</v>
      </c>
    </row>
    <row r="121" spans="1:15" ht="24">
      <c r="A121" s="129" t="s">
        <v>6368</v>
      </c>
      <c r="B121" s="129" t="s">
        <v>6827</v>
      </c>
      <c r="C121" s="129" t="s">
        <v>6828</v>
      </c>
      <c r="D121" s="129" t="s">
        <v>5441</v>
      </c>
      <c r="E121" s="129" t="s">
        <v>6369</v>
      </c>
      <c r="F121" s="129">
        <v>43</v>
      </c>
      <c r="G121" s="129" t="s">
        <v>12</v>
      </c>
      <c r="H121" s="129" t="s">
        <v>6829</v>
      </c>
      <c r="I121" s="129" t="s">
        <v>6275</v>
      </c>
      <c r="J121" s="129" t="s">
        <v>5534</v>
      </c>
      <c r="K121" s="129" t="s">
        <v>5931</v>
      </c>
      <c r="L121" s="129" t="s">
        <v>6274</v>
      </c>
      <c r="M121" s="129" t="s">
        <v>5487</v>
      </c>
      <c r="N121" s="129" t="s">
        <v>6830</v>
      </c>
      <c r="O121" s="129" t="s">
        <v>6737</v>
      </c>
    </row>
    <row r="122" spans="1:15" ht="24">
      <c r="A122" s="129" t="s">
        <v>6374</v>
      </c>
      <c r="B122" s="129" t="s">
        <v>6827</v>
      </c>
      <c r="C122" s="129" t="s">
        <v>6828</v>
      </c>
      <c r="D122" s="129" t="s">
        <v>5452</v>
      </c>
      <c r="E122" s="129" t="s">
        <v>6375</v>
      </c>
      <c r="F122" s="129">
        <v>52</v>
      </c>
      <c r="G122" s="129" t="s">
        <v>12</v>
      </c>
      <c r="H122" s="129" t="s">
        <v>6829</v>
      </c>
      <c r="I122" s="129" t="s">
        <v>6275</v>
      </c>
      <c r="J122" s="129" t="s">
        <v>932</v>
      </c>
      <c r="K122" s="129" t="s">
        <v>5931</v>
      </c>
      <c r="L122" s="129" t="s">
        <v>6274</v>
      </c>
      <c r="M122" s="129" t="s">
        <v>5611</v>
      </c>
      <c r="N122" s="129" t="s">
        <v>6830</v>
      </c>
      <c r="O122" s="129" t="s">
        <v>6737</v>
      </c>
    </row>
    <row r="123" spans="1:15" ht="24">
      <c r="A123" s="129" t="s">
        <v>6379</v>
      </c>
      <c r="B123" s="129" t="s">
        <v>6827</v>
      </c>
      <c r="C123" s="129" t="s">
        <v>6828</v>
      </c>
      <c r="D123" s="129" t="s">
        <v>5456</v>
      </c>
      <c r="E123" s="129" t="s">
        <v>6380</v>
      </c>
      <c r="F123" s="129">
        <v>58</v>
      </c>
      <c r="G123" s="129" t="s">
        <v>12</v>
      </c>
      <c r="H123" s="129" t="s">
        <v>6829</v>
      </c>
      <c r="I123" s="129" t="s">
        <v>6275</v>
      </c>
      <c r="J123" s="129" t="s">
        <v>5534</v>
      </c>
      <c r="K123" s="129" t="s">
        <v>5931</v>
      </c>
      <c r="L123" s="129" t="s">
        <v>6274</v>
      </c>
      <c r="M123" s="129" t="s">
        <v>5459</v>
      </c>
      <c r="N123" s="129" t="s">
        <v>6830</v>
      </c>
      <c r="O123" s="129" t="s">
        <v>6737</v>
      </c>
    </row>
    <row r="124" spans="1:15" ht="24">
      <c r="A124" s="129" t="s">
        <v>6384</v>
      </c>
      <c r="B124" s="129" t="s">
        <v>6827</v>
      </c>
      <c r="C124" s="129" t="s">
        <v>6828</v>
      </c>
      <c r="D124" s="129" t="s">
        <v>5474</v>
      </c>
      <c r="E124" s="129" t="s">
        <v>6385</v>
      </c>
      <c r="F124" s="129">
        <v>113</v>
      </c>
      <c r="G124" s="129" t="s">
        <v>12</v>
      </c>
      <c r="H124" s="129" t="s">
        <v>6829</v>
      </c>
      <c r="I124" s="129" t="s">
        <v>6275</v>
      </c>
      <c r="J124" s="129" t="s">
        <v>5534</v>
      </c>
      <c r="K124" s="129" t="s">
        <v>5931</v>
      </c>
      <c r="L124" s="129" t="s">
        <v>6274</v>
      </c>
      <c r="M124" s="129" t="s">
        <v>5487</v>
      </c>
      <c r="N124" s="129" t="s">
        <v>6830</v>
      </c>
      <c r="O124" s="129" t="s">
        <v>6737</v>
      </c>
    </row>
    <row r="125" spans="1:15" ht="24">
      <c r="A125" s="129" t="s">
        <v>6389</v>
      </c>
      <c r="B125" s="129" t="s">
        <v>6827</v>
      </c>
      <c r="C125" s="129" t="s">
        <v>6828</v>
      </c>
      <c r="D125" s="129" t="s">
        <v>6232</v>
      </c>
      <c r="E125" s="129" t="s">
        <v>6390</v>
      </c>
      <c r="F125" s="129">
        <v>104</v>
      </c>
      <c r="G125" s="129" t="s">
        <v>12</v>
      </c>
      <c r="H125" s="129" t="s">
        <v>6829</v>
      </c>
      <c r="I125" s="129" t="s">
        <v>6275</v>
      </c>
      <c r="J125" s="129" t="s">
        <v>932</v>
      </c>
      <c r="K125" s="129" t="s">
        <v>5931</v>
      </c>
      <c r="L125" s="129" t="s">
        <v>6274</v>
      </c>
      <c r="M125" s="129" t="s">
        <v>6393</v>
      </c>
      <c r="N125" s="129" t="s">
        <v>6830</v>
      </c>
      <c r="O125" s="129" t="s">
        <v>6737</v>
      </c>
    </row>
    <row r="126" spans="1:15" ht="24">
      <c r="A126" s="129" t="s">
        <v>6395</v>
      </c>
      <c r="B126" s="129" t="s">
        <v>6827</v>
      </c>
      <c r="C126" s="129" t="s">
        <v>6828</v>
      </c>
      <c r="D126" s="129" t="s">
        <v>6232</v>
      </c>
      <c r="E126" s="129" t="s">
        <v>6396</v>
      </c>
      <c r="F126" s="129">
        <v>105</v>
      </c>
      <c r="G126" s="129" t="s">
        <v>12</v>
      </c>
      <c r="H126" s="129" t="s">
        <v>6829</v>
      </c>
      <c r="I126" s="129" t="s">
        <v>6275</v>
      </c>
      <c r="J126" s="129" t="s">
        <v>932</v>
      </c>
      <c r="K126" s="129" t="s">
        <v>5931</v>
      </c>
      <c r="L126" s="129" t="s">
        <v>6274</v>
      </c>
      <c r="M126" s="129" t="s">
        <v>6393</v>
      </c>
      <c r="N126" s="129" t="s">
        <v>6830</v>
      </c>
      <c r="O126" s="129" t="s">
        <v>6737</v>
      </c>
    </row>
    <row r="127" spans="1:15" ht="24">
      <c r="A127" s="129" t="s">
        <v>6400</v>
      </c>
      <c r="B127" s="129" t="s">
        <v>6827</v>
      </c>
      <c r="C127" s="129" t="s">
        <v>6828</v>
      </c>
      <c r="D127" s="129" t="s">
        <v>6232</v>
      </c>
      <c r="E127" s="129" t="s">
        <v>6401</v>
      </c>
      <c r="F127" s="129">
        <v>111</v>
      </c>
      <c r="G127" s="129" t="s">
        <v>12</v>
      </c>
      <c r="H127" s="129" t="s">
        <v>6829</v>
      </c>
      <c r="I127" s="129" t="s">
        <v>6275</v>
      </c>
      <c r="J127" s="129" t="s">
        <v>932</v>
      </c>
      <c r="K127" s="129" t="s">
        <v>5931</v>
      </c>
      <c r="L127" s="129" t="s">
        <v>6274</v>
      </c>
      <c r="M127" s="129" t="s">
        <v>6393</v>
      </c>
      <c r="N127" s="129" t="s">
        <v>6830</v>
      </c>
      <c r="O127" s="129" t="s">
        <v>6737</v>
      </c>
    </row>
    <row r="128" spans="1:15" ht="24">
      <c r="A128" s="129" t="s">
        <v>5522</v>
      </c>
      <c r="B128" s="129" t="s">
        <v>6831</v>
      </c>
      <c r="C128" s="129" t="s">
        <v>6832</v>
      </c>
      <c r="D128" s="129" t="s">
        <v>5466</v>
      </c>
      <c r="E128" s="129" t="s">
        <v>5523</v>
      </c>
      <c r="F128" s="129">
        <v>13</v>
      </c>
      <c r="G128" s="129" t="s">
        <v>9</v>
      </c>
      <c r="H128" s="129" t="s">
        <v>6833</v>
      </c>
      <c r="I128" s="129" t="s">
        <v>5533</v>
      </c>
      <c r="J128" s="129" t="s">
        <v>5534</v>
      </c>
      <c r="K128" s="129" t="s">
        <v>5886</v>
      </c>
      <c r="L128" s="129" t="s">
        <v>5531</v>
      </c>
      <c r="M128" s="129" t="s">
        <v>5501</v>
      </c>
      <c r="N128" s="129" t="s">
        <v>6834</v>
      </c>
      <c r="O128" s="129" t="s">
        <v>6737</v>
      </c>
    </row>
    <row r="129" spans="1:15" ht="24">
      <c r="A129" s="129" t="s">
        <v>5537</v>
      </c>
      <c r="B129" s="129" t="s">
        <v>6831</v>
      </c>
      <c r="C129" s="129" t="s">
        <v>6832</v>
      </c>
      <c r="D129" s="129" t="s">
        <v>5466</v>
      </c>
      <c r="E129" s="129" t="s">
        <v>5538</v>
      </c>
      <c r="F129" s="129">
        <v>13</v>
      </c>
      <c r="G129" s="129" t="s">
        <v>9</v>
      </c>
      <c r="H129" s="129" t="s">
        <v>6833</v>
      </c>
      <c r="I129" s="129" t="s">
        <v>5533</v>
      </c>
      <c r="J129" s="129" t="s">
        <v>5534</v>
      </c>
      <c r="K129" s="129" t="s">
        <v>5886</v>
      </c>
      <c r="L129" s="129" t="s">
        <v>5531</v>
      </c>
      <c r="M129" s="129" t="s">
        <v>5501</v>
      </c>
      <c r="N129" s="129" t="s">
        <v>6834</v>
      </c>
      <c r="O129" s="129" t="s">
        <v>6737</v>
      </c>
    </row>
    <row r="130" spans="1:15" ht="24">
      <c r="A130" s="129" t="s">
        <v>5544</v>
      </c>
      <c r="B130" s="129" t="s">
        <v>6831</v>
      </c>
      <c r="C130" s="129" t="s">
        <v>6832</v>
      </c>
      <c r="D130" s="129" t="s">
        <v>5466</v>
      </c>
      <c r="E130" s="129" t="s">
        <v>5545</v>
      </c>
      <c r="F130" s="129">
        <v>15</v>
      </c>
      <c r="G130" s="129" t="s">
        <v>9</v>
      </c>
      <c r="H130" s="129" t="s">
        <v>6833</v>
      </c>
      <c r="I130" s="129" t="s">
        <v>5533</v>
      </c>
      <c r="J130" s="129" t="s">
        <v>5534</v>
      </c>
      <c r="K130" s="129" t="s">
        <v>5886</v>
      </c>
      <c r="L130" s="129" t="s">
        <v>5531</v>
      </c>
      <c r="M130" s="129" t="s">
        <v>5551</v>
      </c>
      <c r="N130" s="129" t="s">
        <v>6834</v>
      </c>
      <c r="O130" s="129" t="s">
        <v>6737</v>
      </c>
    </row>
    <row r="131" spans="1:15" ht="24">
      <c r="A131" s="129" t="s">
        <v>5553</v>
      </c>
      <c r="B131" s="129" t="s">
        <v>6831</v>
      </c>
      <c r="C131" s="129" t="s">
        <v>6832</v>
      </c>
      <c r="D131" s="129" t="s">
        <v>6315</v>
      </c>
      <c r="E131" s="129" t="s">
        <v>5554</v>
      </c>
      <c r="F131" s="129">
        <v>20</v>
      </c>
      <c r="G131" s="129" t="s">
        <v>9</v>
      </c>
      <c r="H131" s="129" t="s">
        <v>6833</v>
      </c>
      <c r="I131" s="129" t="s">
        <v>5563</v>
      </c>
      <c r="J131" s="129" t="s">
        <v>5534</v>
      </c>
      <c r="K131" s="129" t="s">
        <v>5899</v>
      </c>
      <c r="L131" s="129" t="s">
        <v>5561</v>
      </c>
      <c r="M131" s="129" t="s">
        <v>5459</v>
      </c>
      <c r="N131" s="129" t="s">
        <v>6834</v>
      </c>
      <c r="O131" s="129" t="s">
        <v>6737</v>
      </c>
    </row>
    <row r="132" spans="1:15">
      <c r="A132" s="129" t="s">
        <v>5565</v>
      </c>
      <c r="B132" s="129" t="s">
        <v>6831</v>
      </c>
      <c r="C132" s="129" t="s">
        <v>6832</v>
      </c>
      <c r="D132" s="129" t="s">
        <v>5441</v>
      </c>
      <c r="E132" s="129" t="s">
        <v>5566</v>
      </c>
      <c r="F132" s="129">
        <v>43</v>
      </c>
      <c r="G132" s="129" t="s">
        <v>9</v>
      </c>
      <c r="H132" s="129" t="s">
        <v>6833</v>
      </c>
      <c r="I132" s="129" t="s">
        <v>5575</v>
      </c>
      <c r="J132" s="129" t="s">
        <v>5534</v>
      </c>
      <c r="K132" s="129" t="s">
        <v>5931</v>
      </c>
      <c r="L132" s="129" t="s">
        <v>5573</v>
      </c>
      <c r="M132" s="129" t="s">
        <v>5576</v>
      </c>
      <c r="N132" s="129" t="s">
        <v>6834</v>
      </c>
      <c r="O132" s="129" t="s">
        <v>6737</v>
      </c>
    </row>
    <row r="133" spans="1:15" ht="24">
      <c r="A133" s="129" t="s">
        <v>5578</v>
      </c>
      <c r="B133" s="129" t="s">
        <v>6831</v>
      </c>
      <c r="C133" s="129" t="s">
        <v>6832</v>
      </c>
      <c r="D133" s="129" t="s">
        <v>5447</v>
      </c>
      <c r="E133" s="129" t="s">
        <v>5579</v>
      </c>
      <c r="F133" s="129">
        <v>52</v>
      </c>
      <c r="G133" s="129" t="s">
        <v>9</v>
      </c>
      <c r="H133" s="129" t="s">
        <v>6833</v>
      </c>
      <c r="I133" s="129" t="s">
        <v>5533</v>
      </c>
      <c r="J133" s="129" t="s">
        <v>5534</v>
      </c>
      <c r="K133" s="129" t="s">
        <v>5886</v>
      </c>
      <c r="L133" s="129" t="s">
        <v>5587</v>
      </c>
      <c r="M133" s="129" t="s">
        <v>5459</v>
      </c>
      <c r="N133" s="129" t="s">
        <v>6834</v>
      </c>
      <c r="O133" s="129" t="s">
        <v>6737</v>
      </c>
    </row>
    <row r="134" spans="1:15" ht="24">
      <c r="A134" s="129" t="s">
        <v>5589</v>
      </c>
      <c r="B134" s="129" t="s">
        <v>6831</v>
      </c>
      <c r="C134" s="129" t="s">
        <v>6832</v>
      </c>
      <c r="D134" s="129" t="s">
        <v>5452</v>
      </c>
      <c r="E134" s="129" t="s">
        <v>5590</v>
      </c>
      <c r="F134" s="129">
        <v>53</v>
      </c>
      <c r="G134" s="129" t="s">
        <v>9</v>
      </c>
      <c r="H134" s="129" t="s">
        <v>6833</v>
      </c>
      <c r="I134" s="129" t="s">
        <v>5600</v>
      </c>
      <c r="J134" s="129" t="s">
        <v>932</v>
      </c>
      <c r="K134" s="129" t="s">
        <v>5906</v>
      </c>
      <c r="L134" s="129" t="s">
        <v>5598</v>
      </c>
      <c r="M134" s="129" t="s">
        <v>5459</v>
      </c>
      <c r="N134" s="129" t="s">
        <v>6834</v>
      </c>
      <c r="O134" s="129" t="s">
        <v>6737</v>
      </c>
    </row>
    <row r="135" spans="1:15" ht="24">
      <c r="A135" s="129" t="s">
        <v>5602</v>
      </c>
      <c r="B135" s="129" t="s">
        <v>6831</v>
      </c>
      <c r="C135" s="129" t="s">
        <v>6832</v>
      </c>
      <c r="D135" s="129" t="s">
        <v>5456</v>
      </c>
      <c r="E135" s="129" t="s">
        <v>5603</v>
      </c>
      <c r="F135" s="129">
        <v>59</v>
      </c>
      <c r="G135" s="129" t="s">
        <v>9</v>
      </c>
      <c r="H135" s="129" t="s">
        <v>6833</v>
      </c>
      <c r="I135" s="129" t="s">
        <v>5600</v>
      </c>
      <c r="J135" s="129" t="s">
        <v>932</v>
      </c>
      <c r="K135" s="129" t="s">
        <v>5906</v>
      </c>
      <c r="L135" s="129" t="s">
        <v>5609</v>
      </c>
      <c r="M135" s="129" t="s">
        <v>5611</v>
      </c>
      <c r="N135" s="129" t="s">
        <v>6834</v>
      </c>
      <c r="O135" s="129" t="s">
        <v>6737</v>
      </c>
    </row>
    <row r="136" spans="1:15" ht="24">
      <c r="A136" s="129" t="s">
        <v>5613</v>
      </c>
      <c r="B136" s="129" t="s">
        <v>6831</v>
      </c>
      <c r="C136" s="129" t="s">
        <v>6832</v>
      </c>
      <c r="D136" s="129" t="s">
        <v>5456</v>
      </c>
      <c r="E136" s="129" t="s">
        <v>5614</v>
      </c>
      <c r="F136" s="129">
        <v>59</v>
      </c>
      <c r="G136" s="129" t="s">
        <v>9</v>
      </c>
      <c r="H136" s="129" t="s">
        <v>6833</v>
      </c>
      <c r="I136" s="129" t="s">
        <v>5600</v>
      </c>
      <c r="J136" s="129" t="s">
        <v>932</v>
      </c>
      <c r="K136" s="129" t="s">
        <v>5906</v>
      </c>
      <c r="L136" s="129" t="s">
        <v>5609</v>
      </c>
      <c r="M136" s="129" t="s">
        <v>5611</v>
      </c>
      <c r="N136" s="129" t="s">
        <v>6834</v>
      </c>
      <c r="O136" s="129" t="s">
        <v>6737</v>
      </c>
    </row>
    <row r="137" spans="1:15" ht="24">
      <c r="A137" s="129" t="s">
        <v>5620</v>
      </c>
      <c r="B137" s="129" t="s">
        <v>6831</v>
      </c>
      <c r="C137" s="129" t="s">
        <v>6832</v>
      </c>
      <c r="D137" s="129" t="s">
        <v>5456</v>
      </c>
      <c r="E137" s="129" t="s">
        <v>5621</v>
      </c>
      <c r="F137" s="129">
        <v>62</v>
      </c>
      <c r="G137" s="129" t="s">
        <v>9</v>
      </c>
      <c r="H137" s="129" t="s">
        <v>6833</v>
      </c>
      <c r="I137" s="129" t="s">
        <v>5533</v>
      </c>
      <c r="J137" s="129" t="s">
        <v>5534</v>
      </c>
      <c r="K137" s="129" t="s">
        <v>5899</v>
      </c>
      <c r="L137" s="129" t="s">
        <v>5629</v>
      </c>
      <c r="M137" s="129" t="s">
        <v>5459</v>
      </c>
      <c r="N137" s="129" t="s">
        <v>6834</v>
      </c>
      <c r="O137" s="129" t="s">
        <v>6737</v>
      </c>
    </row>
    <row r="138" spans="1:15" ht="24">
      <c r="A138" s="129" t="s">
        <v>5631</v>
      </c>
      <c r="B138" s="129" t="s">
        <v>6831</v>
      </c>
      <c r="C138" s="129" t="s">
        <v>6832</v>
      </c>
      <c r="D138" s="129" t="s">
        <v>5456</v>
      </c>
      <c r="E138" s="129" t="s">
        <v>5632</v>
      </c>
      <c r="F138" s="129">
        <v>62</v>
      </c>
      <c r="G138" s="129" t="s">
        <v>9</v>
      </c>
      <c r="H138" s="129" t="s">
        <v>6833</v>
      </c>
      <c r="I138" s="129" t="s">
        <v>5533</v>
      </c>
      <c r="J138" s="129" t="s">
        <v>5534</v>
      </c>
      <c r="K138" s="129" t="s">
        <v>5899</v>
      </c>
      <c r="L138" s="129" t="s">
        <v>5629</v>
      </c>
      <c r="M138" s="129" t="s">
        <v>5611</v>
      </c>
      <c r="N138" s="129" t="s">
        <v>6834</v>
      </c>
      <c r="O138" s="129" t="s">
        <v>6737</v>
      </c>
    </row>
    <row r="139" spans="1:15" ht="24">
      <c r="A139" s="129" t="s">
        <v>5636</v>
      </c>
      <c r="B139" s="129" t="s">
        <v>6831</v>
      </c>
      <c r="C139" s="129" t="s">
        <v>6832</v>
      </c>
      <c r="D139" s="129" t="s">
        <v>5461</v>
      </c>
      <c r="E139" s="129" t="s">
        <v>5637</v>
      </c>
      <c r="F139" s="129">
        <v>70</v>
      </c>
      <c r="G139" s="129" t="s">
        <v>9</v>
      </c>
      <c r="H139" s="129" t="s">
        <v>6833</v>
      </c>
      <c r="I139" s="129" t="s">
        <v>5533</v>
      </c>
      <c r="J139" s="129" t="s">
        <v>5534</v>
      </c>
      <c r="K139" s="129" t="s">
        <v>5886</v>
      </c>
      <c r="L139" s="129" t="s">
        <v>5641</v>
      </c>
      <c r="M139" s="129" t="s">
        <v>5459</v>
      </c>
      <c r="N139" s="129" t="s">
        <v>6834</v>
      </c>
      <c r="O139" s="129" t="s">
        <v>6737</v>
      </c>
    </row>
    <row r="140" spans="1:15" ht="24">
      <c r="A140" s="129" t="s">
        <v>5644</v>
      </c>
      <c r="B140" s="129" t="s">
        <v>6831</v>
      </c>
      <c r="C140" s="129" t="s">
        <v>6832</v>
      </c>
      <c r="D140" s="129" t="s">
        <v>5461</v>
      </c>
      <c r="E140" s="129" t="s">
        <v>5645</v>
      </c>
      <c r="F140" s="129">
        <v>70</v>
      </c>
      <c r="G140" s="129" t="s">
        <v>9</v>
      </c>
      <c r="H140" s="129" t="s">
        <v>6833</v>
      </c>
      <c r="I140" s="129" t="s">
        <v>5533</v>
      </c>
      <c r="J140" s="129" t="s">
        <v>5534</v>
      </c>
      <c r="K140" s="129" t="s">
        <v>5886</v>
      </c>
      <c r="L140" s="129" t="s">
        <v>5641</v>
      </c>
      <c r="M140" s="129" t="s">
        <v>5459</v>
      </c>
      <c r="N140" s="129" t="s">
        <v>6834</v>
      </c>
      <c r="O140" s="129" t="s">
        <v>6737</v>
      </c>
    </row>
    <row r="141" spans="1:15" ht="24">
      <c r="A141" s="129" t="s">
        <v>5651</v>
      </c>
      <c r="B141" s="129" t="s">
        <v>6831</v>
      </c>
      <c r="C141" s="129" t="s">
        <v>6832</v>
      </c>
      <c r="D141" s="129" t="s">
        <v>5461</v>
      </c>
      <c r="E141" s="129" t="s">
        <v>5652</v>
      </c>
      <c r="F141" s="129">
        <v>70</v>
      </c>
      <c r="G141" s="129" t="s">
        <v>9</v>
      </c>
      <c r="H141" s="129" t="s">
        <v>6833</v>
      </c>
      <c r="I141" s="129" t="s">
        <v>5533</v>
      </c>
      <c r="J141" s="129" t="s">
        <v>5534</v>
      </c>
      <c r="K141" s="129" t="s">
        <v>5886</v>
      </c>
      <c r="L141" s="129" t="s">
        <v>5641</v>
      </c>
      <c r="M141" s="129" t="s">
        <v>5459</v>
      </c>
      <c r="N141" s="129" t="s">
        <v>6834</v>
      </c>
      <c r="O141" s="129" t="s">
        <v>6737</v>
      </c>
    </row>
    <row r="142" spans="1:15" ht="24">
      <c r="A142" s="129" t="s">
        <v>5657</v>
      </c>
      <c r="B142" s="129" t="s">
        <v>6831</v>
      </c>
      <c r="C142" s="129" t="s">
        <v>6832</v>
      </c>
      <c r="D142" s="129" t="s">
        <v>5461</v>
      </c>
      <c r="E142" s="129" t="s">
        <v>5658</v>
      </c>
      <c r="F142" s="129">
        <v>70</v>
      </c>
      <c r="G142" s="129" t="s">
        <v>9</v>
      </c>
      <c r="H142" s="129" t="s">
        <v>6833</v>
      </c>
      <c r="I142" s="129" t="s">
        <v>5533</v>
      </c>
      <c r="J142" s="129" t="s">
        <v>5534</v>
      </c>
      <c r="K142" s="129" t="s">
        <v>5886</v>
      </c>
      <c r="L142" s="129" t="s">
        <v>5641</v>
      </c>
      <c r="M142" s="129" t="s">
        <v>5459</v>
      </c>
      <c r="N142" s="129" t="s">
        <v>6834</v>
      </c>
      <c r="O142" s="129" t="s">
        <v>6737</v>
      </c>
    </row>
    <row r="143" spans="1:15" ht="24">
      <c r="A143" s="129" t="s">
        <v>5662</v>
      </c>
      <c r="B143" s="129" t="s">
        <v>6831</v>
      </c>
      <c r="C143" s="129" t="s">
        <v>6832</v>
      </c>
      <c r="D143" s="129" t="s">
        <v>5461</v>
      </c>
      <c r="E143" s="129" t="s">
        <v>5663</v>
      </c>
      <c r="F143" s="129">
        <v>71</v>
      </c>
      <c r="G143" s="129" t="s">
        <v>9</v>
      </c>
      <c r="H143" s="129" t="s">
        <v>6833</v>
      </c>
      <c r="I143" s="129" t="s">
        <v>5533</v>
      </c>
      <c r="J143" s="129" t="s">
        <v>5534</v>
      </c>
      <c r="K143" s="129" t="s">
        <v>5886</v>
      </c>
      <c r="L143" s="129" t="s">
        <v>5671</v>
      </c>
      <c r="M143" s="129" t="s">
        <v>5611</v>
      </c>
      <c r="N143" s="129" t="s">
        <v>6834</v>
      </c>
      <c r="O143" s="129" t="s">
        <v>6737</v>
      </c>
    </row>
    <row r="144" spans="1:15" ht="24">
      <c r="A144" s="129" t="s">
        <v>5673</v>
      </c>
      <c r="B144" s="129" t="s">
        <v>6831</v>
      </c>
      <c r="C144" s="129" t="s">
        <v>6832</v>
      </c>
      <c r="D144" s="129" t="s">
        <v>5461</v>
      </c>
      <c r="E144" s="129" t="s">
        <v>5674</v>
      </c>
      <c r="F144" s="129">
        <v>71</v>
      </c>
      <c r="G144" s="129" t="s">
        <v>9</v>
      </c>
      <c r="H144" s="129" t="s">
        <v>6833</v>
      </c>
      <c r="I144" s="129" t="s">
        <v>5533</v>
      </c>
      <c r="J144" s="129" t="s">
        <v>5534</v>
      </c>
      <c r="K144" s="129" t="s">
        <v>5886</v>
      </c>
      <c r="L144" s="129" t="s">
        <v>5671</v>
      </c>
      <c r="M144" s="129" t="s">
        <v>5611</v>
      </c>
      <c r="N144" s="129" t="s">
        <v>6834</v>
      </c>
      <c r="O144" s="129" t="s">
        <v>6737</v>
      </c>
    </row>
    <row r="145" spans="1:15" ht="24">
      <c r="A145" s="129" t="s">
        <v>5678</v>
      </c>
      <c r="B145" s="129" t="s">
        <v>6831</v>
      </c>
      <c r="C145" s="129" t="s">
        <v>6832</v>
      </c>
      <c r="D145" s="129" t="s">
        <v>5466</v>
      </c>
      <c r="E145" s="129" t="s">
        <v>5679</v>
      </c>
      <c r="F145" s="129">
        <v>78</v>
      </c>
      <c r="G145" s="129" t="s">
        <v>9</v>
      </c>
      <c r="H145" s="129" t="s">
        <v>6833</v>
      </c>
      <c r="I145" s="129" t="s">
        <v>5533</v>
      </c>
      <c r="J145" s="129" t="s">
        <v>5534</v>
      </c>
      <c r="K145" s="129" t="s">
        <v>5886</v>
      </c>
      <c r="L145" s="129" t="s">
        <v>5684</v>
      </c>
      <c r="M145" s="129" t="s">
        <v>5576</v>
      </c>
      <c r="N145" s="129" t="s">
        <v>6834</v>
      </c>
      <c r="O145" s="129" t="s">
        <v>6737</v>
      </c>
    </row>
    <row r="146" spans="1:15" ht="24">
      <c r="A146" s="129" t="s">
        <v>5686</v>
      </c>
      <c r="B146" s="129" t="s">
        <v>6831</v>
      </c>
      <c r="C146" s="129" t="s">
        <v>6832</v>
      </c>
      <c r="D146" s="129" t="s">
        <v>5466</v>
      </c>
      <c r="E146" s="129" t="s">
        <v>5687</v>
      </c>
      <c r="F146" s="129">
        <v>80</v>
      </c>
      <c r="G146" s="129" t="s">
        <v>9</v>
      </c>
      <c r="H146" s="129" t="s">
        <v>6833</v>
      </c>
      <c r="I146" s="129" t="s">
        <v>5693</v>
      </c>
      <c r="J146" s="129" t="s">
        <v>5534</v>
      </c>
      <c r="K146" s="129" t="s">
        <v>5886</v>
      </c>
      <c r="L146" s="129" t="s">
        <v>5684</v>
      </c>
      <c r="M146" s="129" t="s">
        <v>5487</v>
      </c>
      <c r="N146" s="129" t="s">
        <v>6834</v>
      </c>
      <c r="O146" s="129" t="s">
        <v>6737</v>
      </c>
    </row>
    <row r="147" spans="1:15" ht="24">
      <c r="A147" s="129" t="s">
        <v>5695</v>
      </c>
      <c r="B147" s="129" t="s">
        <v>6831</v>
      </c>
      <c r="C147" s="129" t="s">
        <v>6832</v>
      </c>
      <c r="D147" s="129" t="s">
        <v>5466</v>
      </c>
      <c r="E147" s="129" t="s">
        <v>5696</v>
      </c>
      <c r="F147" s="129">
        <v>80</v>
      </c>
      <c r="G147" s="129" t="s">
        <v>9</v>
      </c>
      <c r="H147" s="129" t="s">
        <v>6833</v>
      </c>
      <c r="I147" s="129" t="s">
        <v>5702</v>
      </c>
      <c r="J147" s="129" t="s">
        <v>932</v>
      </c>
      <c r="K147" s="129" t="s">
        <v>5886</v>
      </c>
      <c r="L147" s="129" t="s">
        <v>5684</v>
      </c>
      <c r="M147" s="129" t="s">
        <v>5576</v>
      </c>
      <c r="N147" s="129" t="s">
        <v>6834</v>
      </c>
      <c r="O147" s="129" t="s">
        <v>6737</v>
      </c>
    </row>
    <row r="148" spans="1:15" ht="24">
      <c r="A148" s="129" t="s">
        <v>5704</v>
      </c>
      <c r="B148" s="129" t="s">
        <v>6831</v>
      </c>
      <c r="C148" s="129" t="s">
        <v>6832</v>
      </c>
      <c r="D148" s="129" t="s">
        <v>5466</v>
      </c>
      <c r="E148" s="129" t="s">
        <v>5705</v>
      </c>
      <c r="F148" s="129">
        <v>80</v>
      </c>
      <c r="G148" s="129" t="s">
        <v>9</v>
      </c>
      <c r="H148" s="129" t="s">
        <v>6833</v>
      </c>
      <c r="I148" s="129" t="s">
        <v>5693</v>
      </c>
      <c r="J148" s="129" t="s">
        <v>5534</v>
      </c>
      <c r="K148" s="129" t="s">
        <v>5886</v>
      </c>
      <c r="L148" s="129" t="s">
        <v>5684</v>
      </c>
      <c r="M148" s="129" t="s">
        <v>5576</v>
      </c>
      <c r="N148" s="129" t="s">
        <v>6834</v>
      </c>
      <c r="O148" s="129" t="s">
        <v>6737</v>
      </c>
    </row>
    <row r="149" spans="1:15" ht="24">
      <c r="A149" s="129" t="s">
        <v>5712</v>
      </c>
      <c r="B149" s="129" t="s">
        <v>6831</v>
      </c>
      <c r="C149" s="129" t="s">
        <v>6832</v>
      </c>
      <c r="D149" s="129" t="s">
        <v>5466</v>
      </c>
      <c r="E149" s="129" t="s">
        <v>5713</v>
      </c>
      <c r="F149" s="129">
        <v>80</v>
      </c>
      <c r="G149" s="129" t="s">
        <v>9</v>
      </c>
      <c r="H149" s="129" t="s">
        <v>6833</v>
      </c>
      <c r="I149" s="129" t="s">
        <v>5693</v>
      </c>
      <c r="J149" s="129" t="s">
        <v>5534</v>
      </c>
      <c r="K149" s="129" t="s">
        <v>5886</v>
      </c>
      <c r="L149" s="129" t="s">
        <v>5684</v>
      </c>
      <c r="M149" s="129" t="s">
        <v>5576</v>
      </c>
      <c r="N149" s="129" t="s">
        <v>6834</v>
      </c>
      <c r="O149" s="129" t="s">
        <v>6737</v>
      </c>
    </row>
    <row r="150" spans="1:15" ht="24">
      <c r="A150" s="129" t="s">
        <v>5719</v>
      </c>
      <c r="B150" s="129" t="s">
        <v>6831</v>
      </c>
      <c r="C150" s="129" t="s">
        <v>6832</v>
      </c>
      <c r="D150" s="129" t="s">
        <v>5466</v>
      </c>
      <c r="E150" s="129" t="s">
        <v>5720</v>
      </c>
      <c r="F150" s="129">
        <v>89</v>
      </c>
      <c r="G150" s="129" t="s">
        <v>9</v>
      </c>
      <c r="H150" s="129" t="s">
        <v>6833</v>
      </c>
      <c r="I150" s="129" t="s">
        <v>5533</v>
      </c>
      <c r="J150" s="129" t="s">
        <v>5534</v>
      </c>
      <c r="K150" s="129" t="s">
        <v>5886</v>
      </c>
      <c r="L150" s="129" t="s">
        <v>5725</v>
      </c>
      <c r="M150" s="129" t="s">
        <v>5487</v>
      </c>
      <c r="N150" s="129" t="s">
        <v>6834</v>
      </c>
      <c r="O150" s="129" t="s">
        <v>6737</v>
      </c>
    </row>
    <row r="151" spans="1:15" ht="24">
      <c r="A151" s="129" t="s">
        <v>5727</v>
      </c>
      <c r="B151" s="129" t="s">
        <v>6831</v>
      </c>
      <c r="C151" s="129" t="s">
        <v>6832</v>
      </c>
      <c r="D151" s="129" t="s">
        <v>5466</v>
      </c>
      <c r="E151" s="129" t="s">
        <v>5728</v>
      </c>
      <c r="F151" s="129">
        <v>89</v>
      </c>
      <c r="G151" s="129" t="s">
        <v>9</v>
      </c>
      <c r="H151" s="129" t="s">
        <v>6833</v>
      </c>
      <c r="I151" s="129" t="s">
        <v>5533</v>
      </c>
      <c r="J151" s="129" t="s">
        <v>5534</v>
      </c>
      <c r="K151" s="129" t="s">
        <v>5886</v>
      </c>
      <c r="L151" s="129" t="s">
        <v>5725</v>
      </c>
      <c r="M151" s="129" t="s">
        <v>5487</v>
      </c>
      <c r="N151" s="129" t="s">
        <v>6834</v>
      </c>
      <c r="O151" s="129" t="s">
        <v>6737</v>
      </c>
    </row>
    <row r="152" spans="1:15" ht="24">
      <c r="A152" s="129" t="s">
        <v>5733</v>
      </c>
      <c r="B152" s="129" t="s">
        <v>6831</v>
      </c>
      <c r="C152" s="129" t="s">
        <v>6832</v>
      </c>
      <c r="D152" s="129" t="s">
        <v>5466</v>
      </c>
      <c r="E152" s="129" t="s">
        <v>5734</v>
      </c>
      <c r="F152" s="129">
        <v>91</v>
      </c>
      <c r="G152" s="129" t="s">
        <v>9</v>
      </c>
      <c r="H152" s="129" t="s">
        <v>6833</v>
      </c>
      <c r="I152" s="129" t="s">
        <v>5600</v>
      </c>
      <c r="J152" s="129" t="s">
        <v>932</v>
      </c>
      <c r="K152" s="129" t="s">
        <v>5886</v>
      </c>
      <c r="L152" s="129" t="s">
        <v>5740</v>
      </c>
      <c r="M152" s="129" t="s">
        <v>5576</v>
      </c>
      <c r="N152" s="129" t="s">
        <v>6834</v>
      </c>
      <c r="O152" s="129" t="s">
        <v>6737</v>
      </c>
    </row>
    <row r="153" spans="1:15" ht="24">
      <c r="A153" s="129" t="s">
        <v>5743</v>
      </c>
      <c r="B153" s="129" t="s">
        <v>6831</v>
      </c>
      <c r="C153" s="129" t="s">
        <v>6832</v>
      </c>
      <c r="D153" s="129" t="s">
        <v>5466</v>
      </c>
      <c r="E153" s="129" t="s">
        <v>5744</v>
      </c>
      <c r="F153" s="129">
        <v>92</v>
      </c>
      <c r="G153" s="129" t="s">
        <v>9</v>
      </c>
      <c r="H153" s="129" t="s">
        <v>6833</v>
      </c>
      <c r="I153" s="129" t="s">
        <v>5533</v>
      </c>
      <c r="J153" s="129" t="s">
        <v>5534</v>
      </c>
      <c r="K153" s="129" t="s">
        <v>5899</v>
      </c>
      <c r="L153" s="129" t="s">
        <v>5749</v>
      </c>
      <c r="M153" s="129" t="s">
        <v>5576</v>
      </c>
      <c r="N153" s="129" t="s">
        <v>6834</v>
      </c>
      <c r="O153" s="129" t="s">
        <v>6737</v>
      </c>
    </row>
    <row r="154" spans="1:15" ht="24">
      <c r="A154" s="129" t="s">
        <v>5751</v>
      </c>
      <c r="B154" s="129" t="s">
        <v>6831</v>
      </c>
      <c r="C154" s="129" t="s">
        <v>6832</v>
      </c>
      <c r="D154" s="129" t="s">
        <v>5466</v>
      </c>
      <c r="E154" s="129" t="s">
        <v>5752</v>
      </c>
      <c r="F154" s="129">
        <v>93</v>
      </c>
      <c r="G154" s="129" t="s">
        <v>9</v>
      </c>
      <c r="H154" s="129" t="s">
        <v>6833</v>
      </c>
      <c r="I154" s="129" t="s">
        <v>5533</v>
      </c>
      <c r="J154" s="129" t="s">
        <v>5534</v>
      </c>
      <c r="K154" s="129" t="s">
        <v>5886</v>
      </c>
      <c r="L154" s="129" t="s">
        <v>5758</v>
      </c>
      <c r="M154" s="129" t="s">
        <v>5760</v>
      </c>
      <c r="N154" s="129" t="s">
        <v>6834</v>
      </c>
      <c r="O154" s="129" t="s">
        <v>6737</v>
      </c>
    </row>
    <row r="155" spans="1:15">
      <c r="A155" s="129" t="s">
        <v>5762</v>
      </c>
      <c r="B155" s="129" t="s">
        <v>6831</v>
      </c>
      <c r="C155" s="129" t="s">
        <v>6832</v>
      </c>
      <c r="D155" s="129" t="s">
        <v>5466</v>
      </c>
      <c r="E155" s="129" t="s">
        <v>5763</v>
      </c>
      <c r="F155" s="129">
        <v>94</v>
      </c>
      <c r="G155" s="129" t="s">
        <v>9</v>
      </c>
      <c r="H155" s="129" t="s">
        <v>6833</v>
      </c>
      <c r="I155" s="129" t="s">
        <v>5533</v>
      </c>
      <c r="J155" s="129" t="s">
        <v>5534</v>
      </c>
      <c r="K155" s="129" t="s">
        <v>5931</v>
      </c>
      <c r="L155" s="129" t="s">
        <v>5573</v>
      </c>
      <c r="M155" s="129" t="s">
        <v>5769</v>
      </c>
      <c r="N155" s="129" t="s">
        <v>6834</v>
      </c>
      <c r="O155" s="129" t="s">
        <v>6737</v>
      </c>
    </row>
    <row r="156" spans="1:15">
      <c r="A156" s="129" t="s">
        <v>5771</v>
      </c>
      <c r="B156" s="129" t="s">
        <v>6831</v>
      </c>
      <c r="C156" s="129" t="s">
        <v>6832</v>
      </c>
      <c r="D156" s="129" t="s">
        <v>5466</v>
      </c>
      <c r="E156" s="129" t="s">
        <v>5772</v>
      </c>
      <c r="F156" s="129">
        <v>94</v>
      </c>
      <c r="G156" s="129" t="s">
        <v>9</v>
      </c>
      <c r="H156" s="129" t="s">
        <v>6833</v>
      </c>
      <c r="I156" s="129" t="s">
        <v>5533</v>
      </c>
      <c r="J156" s="129" t="s">
        <v>5534</v>
      </c>
      <c r="K156" s="129" t="s">
        <v>5931</v>
      </c>
      <c r="L156" s="129" t="s">
        <v>5573</v>
      </c>
      <c r="M156" s="129" t="s">
        <v>5769</v>
      </c>
      <c r="N156" s="129" t="s">
        <v>6834</v>
      </c>
      <c r="O156" s="129" t="s">
        <v>6737</v>
      </c>
    </row>
    <row r="157" spans="1:15" ht="24">
      <c r="A157" s="129" t="s">
        <v>5777</v>
      </c>
      <c r="B157" s="129" t="s">
        <v>6831</v>
      </c>
      <c r="C157" s="129" t="s">
        <v>6832</v>
      </c>
      <c r="D157" s="129" t="s">
        <v>5470</v>
      </c>
      <c r="E157" s="129" t="s">
        <v>5778</v>
      </c>
      <c r="F157" s="129">
        <v>97</v>
      </c>
      <c r="G157" s="129" t="s">
        <v>9</v>
      </c>
      <c r="H157" s="129" t="s">
        <v>6833</v>
      </c>
      <c r="I157" s="129" t="s">
        <v>5786</v>
      </c>
      <c r="J157" s="129" t="s">
        <v>5534</v>
      </c>
      <c r="K157" s="129" t="s">
        <v>5886</v>
      </c>
      <c r="L157" s="129" t="s">
        <v>5785</v>
      </c>
      <c r="M157" s="129" t="s">
        <v>5576</v>
      </c>
      <c r="N157" s="129" t="s">
        <v>6834</v>
      </c>
      <c r="O157" s="129" t="s">
        <v>6737</v>
      </c>
    </row>
    <row r="158" spans="1:15" ht="24">
      <c r="A158" s="129" t="s">
        <v>5788</v>
      </c>
      <c r="B158" s="129" t="s">
        <v>6831</v>
      </c>
      <c r="C158" s="129" t="s">
        <v>6832</v>
      </c>
      <c r="D158" s="129" t="s">
        <v>5470</v>
      </c>
      <c r="E158" s="129" t="s">
        <v>5789</v>
      </c>
      <c r="F158" s="129">
        <v>97</v>
      </c>
      <c r="G158" s="129" t="s">
        <v>9</v>
      </c>
      <c r="H158" s="129" t="s">
        <v>6833</v>
      </c>
      <c r="I158" s="129" t="s">
        <v>5786</v>
      </c>
      <c r="J158" s="129" t="s">
        <v>5534</v>
      </c>
      <c r="K158" s="129" t="s">
        <v>5886</v>
      </c>
      <c r="L158" s="129" t="s">
        <v>5785</v>
      </c>
      <c r="M158" s="129" t="s">
        <v>5576</v>
      </c>
      <c r="N158" s="129" t="s">
        <v>6834</v>
      </c>
      <c r="O158" s="129" t="s">
        <v>6737</v>
      </c>
    </row>
    <row r="159" spans="1:15" ht="24">
      <c r="A159" s="129" t="s">
        <v>5793</v>
      </c>
      <c r="B159" s="129" t="s">
        <v>6831</v>
      </c>
      <c r="C159" s="129" t="s">
        <v>6832</v>
      </c>
      <c r="D159" s="129" t="s">
        <v>5470</v>
      </c>
      <c r="E159" s="129" t="s">
        <v>5794</v>
      </c>
      <c r="F159" s="129">
        <v>98</v>
      </c>
      <c r="G159" s="129" t="s">
        <v>9</v>
      </c>
      <c r="H159" s="129" t="s">
        <v>6833</v>
      </c>
      <c r="I159" s="129" t="s">
        <v>5533</v>
      </c>
      <c r="J159" s="129" t="s">
        <v>5534</v>
      </c>
      <c r="K159" s="129" t="s">
        <v>5886</v>
      </c>
      <c r="L159" s="129" t="s">
        <v>5785</v>
      </c>
      <c r="M159" s="129" t="s">
        <v>5576</v>
      </c>
      <c r="N159" s="129" t="s">
        <v>6834</v>
      </c>
      <c r="O159" s="129" t="s">
        <v>6737</v>
      </c>
    </row>
    <row r="160" spans="1:15" ht="24">
      <c r="A160" s="129" t="s">
        <v>5800</v>
      </c>
      <c r="B160" s="129" t="s">
        <v>6831</v>
      </c>
      <c r="C160" s="129" t="s">
        <v>6832</v>
      </c>
      <c r="D160" s="129" t="s">
        <v>5470</v>
      </c>
      <c r="E160" s="129" t="s">
        <v>5801</v>
      </c>
      <c r="F160" s="129">
        <v>98</v>
      </c>
      <c r="G160" s="129" t="s">
        <v>9</v>
      </c>
      <c r="H160" s="129" t="s">
        <v>6833</v>
      </c>
      <c r="I160" s="129" t="s">
        <v>5533</v>
      </c>
      <c r="J160" s="129" t="s">
        <v>5534</v>
      </c>
      <c r="K160" s="129" t="s">
        <v>5886</v>
      </c>
      <c r="L160" s="129" t="s">
        <v>5785</v>
      </c>
      <c r="M160" s="129" t="s">
        <v>5576</v>
      </c>
      <c r="N160" s="129" t="s">
        <v>6834</v>
      </c>
      <c r="O160" s="129" t="s">
        <v>6737</v>
      </c>
    </row>
    <row r="161" spans="1:15" ht="24">
      <c r="A161" s="129" t="s">
        <v>5805</v>
      </c>
      <c r="B161" s="129" t="s">
        <v>6831</v>
      </c>
      <c r="C161" s="129" t="s">
        <v>6832</v>
      </c>
      <c r="D161" s="129" t="s">
        <v>5466</v>
      </c>
      <c r="E161" s="129" t="s">
        <v>5806</v>
      </c>
      <c r="F161" s="129">
        <v>98</v>
      </c>
      <c r="G161" s="129" t="s">
        <v>9</v>
      </c>
      <c r="H161" s="129" t="s">
        <v>6833</v>
      </c>
      <c r="I161" s="129" t="s">
        <v>5533</v>
      </c>
      <c r="J161" s="129" t="s">
        <v>5534</v>
      </c>
      <c r="K161" s="129" t="s">
        <v>5886</v>
      </c>
      <c r="L161" s="129" t="s">
        <v>5812</v>
      </c>
      <c r="M161" s="129" t="s">
        <v>5576</v>
      </c>
      <c r="N161" s="129" t="s">
        <v>6834</v>
      </c>
      <c r="O161" s="129" t="s">
        <v>6737</v>
      </c>
    </row>
    <row r="162" spans="1:15" ht="24">
      <c r="A162" s="129" t="s">
        <v>5814</v>
      </c>
      <c r="B162" s="129" t="s">
        <v>6831</v>
      </c>
      <c r="C162" s="129" t="s">
        <v>6832</v>
      </c>
      <c r="D162" s="129" t="s">
        <v>5466</v>
      </c>
      <c r="E162" s="129" t="s">
        <v>5815</v>
      </c>
      <c r="F162" s="129">
        <v>98</v>
      </c>
      <c r="G162" s="129" t="s">
        <v>9</v>
      </c>
      <c r="H162" s="129" t="s">
        <v>6833</v>
      </c>
      <c r="I162" s="129" t="s">
        <v>5533</v>
      </c>
      <c r="J162" s="129" t="s">
        <v>5534</v>
      </c>
      <c r="K162" s="129" t="s">
        <v>5886</v>
      </c>
      <c r="L162" s="129" t="s">
        <v>5812</v>
      </c>
      <c r="M162" s="129" t="s">
        <v>5576</v>
      </c>
      <c r="N162" s="129" t="s">
        <v>6834</v>
      </c>
      <c r="O162" s="129" t="s">
        <v>6737</v>
      </c>
    </row>
    <row r="163" spans="1:15" ht="24">
      <c r="A163" s="129" t="s">
        <v>5819</v>
      </c>
      <c r="B163" s="129" t="s">
        <v>6831</v>
      </c>
      <c r="C163" s="129" t="s">
        <v>6832</v>
      </c>
      <c r="D163" s="129" t="s">
        <v>5466</v>
      </c>
      <c r="E163" s="129" t="s">
        <v>5820</v>
      </c>
      <c r="F163" s="129">
        <v>99</v>
      </c>
      <c r="G163" s="129" t="s">
        <v>9</v>
      </c>
      <c r="H163" s="129" t="s">
        <v>6833</v>
      </c>
      <c r="I163" s="129" t="s">
        <v>5533</v>
      </c>
      <c r="J163" s="129" t="s">
        <v>5534</v>
      </c>
      <c r="K163" s="129" t="s">
        <v>5899</v>
      </c>
      <c r="L163" s="129" t="s">
        <v>5825</v>
      </c>
      <c r="M163" s="129" t="s">
        <v>5576</v>
      </c>
      <c r="N163" s="129" t="s">
        <v>6834</v>
      </c>
      <c r="O163" s="129" t="s">
        <v>6737</v>
      </c>
    </row>
    <row r="164" spans="1:15" ht="24">
      <c r="A164" s="129" t="s">
        <v>5827</v>
      </c>
      <c r="B164" s="129" t="s">
        <v>6831</v>
      </c>
      <c r="C164" s="129" t="s">
        <v>6832</v>
      </c>
      <c r="D164" s="129" t="s">
        <v>6232</v>
      </c>
      <c r="E164" s="129" t="s">
        <v>5828</v>
      </c>
      <c r="F164" s="129">
        <v>105</v>
      </c>
      <c r="G164" s="129" t="s">
        <v>9</v>
      </c>
      <c r="H164" s="129" t="s">
        <v>6833</v>
      </c>
      <c r="I164" s="129" t="s">
        <v>5600</v>
      </c>
      <c r="J164" s="129" t="s">
        <v>932</v>
      </c>
      <c r="K164" s="129" t="s">
        <v>5886</v>
      </c>
      <c r="L164" s="129" t="s">
        <v>5834</v>
      </c>
      <c r="M164" s="129" t="s">
        <v>5836</v>
      </c>
      <c r="N164" s="129" t="s">
        <v>6834</v>
      </c>
      <c r="O164" s="129" t="s">
        <v>6737</v>
      </c>
    </row>
    <row r="165" spans="1:15" ht="24">
      <c r="A165" s="129" t="s">
        <v>5838</v>
      </c>
      <c r="B165" s="129" t="s">
        <v>6831</v>
      </c>
      <c r="C165" s="129" t="s">
        <v>6832</v>
      </c>
      <c r="D165" s="129" t="s">
        <v>6232</v>
      </c>
      <c r="E165" s="129" t="s">
        <v>5839</v>
      </c>
      <c r="F165" s="129">
        <v>107</v>
      </c>
      <c r="G165" s="129" t="s">
        <v>9</v>
      </c>
      <c r="H165" s="129" t="s">
        <v>6833</v>
      </c>
      <c r="I165" s="129" t="s">
        <v>5533</v>
      </c>
      <c r="J165" s="129" t="s">
        <v>5534</v>
      </c>
      <c r="K165" s="129" t="s">
        <v>5899</v>
      </c>
      <c r="L165" s="129" t="s">
        <v>5845</v>
      </c>
      <c r="M165" s="129" t="s">
        <v>5501</v>
      </c>
      <c r="N165" s="129" t="s">
        <v>6834</v>
      </c>
      <c r="O165" s="129" t="s">
        <v>6737</v>
      </c>
    </row>
    <row r="166" spans="1:15" ht="24">
      <c r="A166" s="129" t="s">
        <v>5847</v>
      </c>
      <c r="B166" s="129" t="s">
        <v>6831</v>
      </c>
      <c r="C166" s="129" t="s">
        <v>6832</v>
      </c>
      <c r="D166" s="129" t="s">
        <v>6232</v>
      </c>
      <c r="E166" s="129" t="s">
        <v>5848</v>
      </c>
      <c r="F166" s="129">
        <v>107</v>
      </c>
      <c r="G166" s="129" t="s">
        <v>9</v>
      </c>
      <c r="H166" s="129" t="s">
        <v>6833</v>
      </c>
      <c r="I166" s="129" t="s">
        <v>5533</v>
      </c>
      <c r="J166" s="129" t="s">
        <v>5534</v>
      </c>
      <c r="K166" s="129" t="s">
        <v>5899</v>
      </c>
      <c r="L166" s="129" t="s">
        <v>5845</v>
      </c>
      <c r="M166" s="129" t="s">
        <v>5501</v>
      </c>
      <c r="N166" s="129" t="s">
        <v>6834</v>
      </c>
      <c r="O166" s="129" t="s">
        <v>6737</v>
      </c>
    </row>
    <row r="167" spans="1:15" ht="24">
      <c r="A167" s="129" t="s">
        <v>5854</v>
      </c>
      <c r="B167" s="129" t="s">
        <v>6831</v>
      </c>
      <c r="C167" s="129" t="s">
        <v>6832</v>
      </c>
      <c r="D167" s="129" t="s">
        <v>5474</v>
      </c>
      <c r="E167" s="129" t="s">
        <v>5855</v>
      </c>
      <c r="F167" s="129">
        <v>117</v>
      </c>
      <c r="G167" s="129" t="s">
        <v>9</v>
      </c>
      <c r="H167" s="129" t="s">
        <v>6784</v>
      </c>
      <c r="I167" s="129" t="s">
        <v>5863</v>
      </c>
      <c r="J167" s="129" t="s">
        <v>932</v>
      </c>
      <c r="K167" s="129" t="s">
        <v>5871</v>
      </c>
      <c r="L167" s="129" t="s">
        <v>5862</v>
      </c>
      <c r="M167" s="129" t="s">
        <v>5864</v>
      </c>
      <c r="N167" s="129" t="s">
        <v>6785</v>
      </c>
      <c r="O167" s="129" t="s">
        <v>6737</v>
      </c>
    </row>
    <row r="168" spans="1:15" ht="24">
      <c r="A168" s="129" t="s">
        <v>5866</v>
      </c>
      <c r="B168" s="129" t="s">
        <v>6831</v>
      </c>
      <c r="C168" s="129" t="s">
        <v>6832</v>
      </c>
      <c r="D168" s="129" t="s">
        <v>5470</v>
      </c>
      <c r="E168" s="129" t="s">
        <v>5867</v>
      </c>
      <c r="F168" s="129">
        <v>124</v>
      </c>
      <c r="G168" s="129" t="s">
        <v>9</v>
      </c>
      <c r="H168" s="129" t="s">
        <v>6784</v>
      </c>
      <c r="I168" s="129" t="s">
        <v>5871</v>
      </c>
      <c r="J168" s="129" t="s">
        <v>932</v>
      </c>
      <c r="K168" s="129" t="s">
        <v>5871</v>
      </c>
      <c r="L168" s="129" t="s">
        <v>5870</v>
      </c>
      <c r="M168" s="129" t="s">
        <v>5864</v>
      </c>
      <c r="N168" s="129" t="s">
        <v>6785</v>
      </c>
      <c r="O168" s="129" t="s">
        <v>6737</v>
      </c>
    </row>
    <row r="169" spans="1:15" ht="24">
      <c r="A169" s="129" t="s">
        <v>6835</v>
      </c>
      <c r="B169" s="129" t="s">
        <v>6836</v>
      </c>
      <c r="C169" s="129" t="s">
        <v>6837</v>
      </c>
      <c r="D169" s="129" t="s">
        <v>5474</v>
      </c>
      <c r="E169" s="129" t="s">
        <v>6773</v>
      </c>
      <c r="F169" s="129">
        <v>115</v>
      </c>
      <c r="G169" s="129" t="s">
        <v>6838</v>
      </c>
      <c r="H169" s="129" t="s">
        <v>6784</v>
      </c>
      <c r="I169" s="129" t="s">
        <v>5863</v>
      </c>
      <c r="J169" s="129" t="s">
        <v>932</v>
      </c>
      <c r="K169" s="129" t="s">
        <v>5871</v>
      </c>
      <c r="L169" s="129" t="s">
        <v>6839</v>
      </c>
      <c r="M169" s="129" t="s">
        <v>5864</v>
      </c>
      <c r="N169" s="129" t="s">
        <v>6785</v>
      </c>
      <c r="O169" s="129" t="s">
        <v>6737</v>
      </c>
    </row>
    <row r="170" spans="1:15" ht="24">
      <c r="A170" s="129" t="s">
        <v>6840</v>
      </c>
      <c r="B170" s="129" t="s">
        <v>6836</v>
      </c>
      <c r="C170" s="129" t="s">
        <v>6837</v>
      </c>
      <c r="D170" s="129" t="s">
        <v>5474</v>
      </c>
      <c r="E170" s="129" t="s">
        <v>6775</v>
      </c>
      <c r="F170" s="129">
        <v>118</v>
      </c>
      <c r="G170" s="129" t="s">
        <v>6838</v>
      </c>
      <c r="H170" s="129" t="s">
        <v>6784</v>
      </c>
      <c r="I170" s="129" t="s">
        <v>5863</v>
      </c>
      <c r="J170" s="129" t="s">
        <v>932</v>
      </c>
      <c r="K170" s="129" t="s">
        <v>5871</v>
      </c>
      <c r="L170" s="129" t="s">
        <v>6841</v>
      </c>
      <c r="M170" s="129" t="s">
        <v>5864</v>
      </c>
      <c r="N170" s="129" t="s">
        <v>6785</v>
      </c>
      <c r="O170" s="129" t="s">
        <v>6737</v>
      </c>
    </row>
    <row r="171" spans="1:15" ht="24">
      <c r="A171" s="129" t="s">
        <v>6842</v>
      </c>
      <c r="B171" s="129" t="s">
        <v>6836</v>
      </c>
      <c r="C171" s="129" t="s">
        <v>6837</v>
      </c>
      <c r="D171" s="129" t="s">
        <v>5470</v>
      </c>
      <c r="E171" s="129" t="s">
        <v>6777</v>
      </c>
      <c r="F171" s="129">
        <v>123</v>
      </c>
      <c r="G171" s="129" t="s">
        <v>6838</v>
      </c>
      <c r="H171" s="129" t="s">
        <v>6784</v>
      </c>
      <c r="I171" s="129" t="s">
        <v>6843</v>
      </c>
      <c r="J171" s="129" t="s">
        <v>932</v>
      </c>
      <c r="K171" s="129" t="s">
        <v>5871</v>
      </c>
      <c r="L171" s="129" t="s">
        <v>6844</v>
      </c>
      <c r="M171" s="129" t="s">
        <v>5864</v>
      </c>
      <c r="N171" s="129" t="s">
        <v>6785</v>
      </c>
      <c r="O171" s="129" t="s">
        <v>6737</v>
      </c>
    </row>
    <row r="172" spans="1:15" ht="24">
      <c r="A172" s="129" t="s">
        <v>6845</v>
      </c>
      <c r="B172" s="129" t="s">
        <v>6836</v>
      </c>
      <c r="C172" s="129" t="s">
        <v>6837</v>
      </c>
      <c r="D172" s="129" t="s">
        <v>5461</v>
      </c>
      <c r="E172" s="129" t="s">
        <v>6846</v>
      </c>
      <c r="F172" s="129">
        <v>68</v>
      </c>
      <c r="G172" s="129" t="s">
        <v>6838</v>
      </c>
      <c r="H172" s="129" t="s">
        <v>6784</v>
      </c>
      <c r="I172" s="129" t="s">
        <v>6818</v>
      </c>
      <c r="J172" s="129" t="s">
        <v>932</v>
      </c>
      <c r="K172" s="129" t="s">
        <v>5871</v>
      </c>
      <c r="L172" s="129" t="s">
        <v>6847</v>
      </c>
      <c r="M172" s="129" t="s">
        <v>6819</v>
      </c>
      <c r="N172" s="129" t="s">
        <v>6785</v>
      </c>
      <c r="O172" s="129" t="s">
        <v>6737</v>
      </c>
    </row>
    <row r="173" spans="1:15" ht="24">
      <c r="A173" s="129" t="s">
        <v>6848</v>
      </c>
      <c r="B173" s="129" t="s">
        <v>6836</v>
      </c>
      <c r="C173" s="129" t="s">
        <v>6837</v>
      </c>
      <c r="D173" s="129" t="s">
        <v>6315</v>
      </c>
      <c r="E173" s="129" t="s">
        <v>6849</v>
      </c>
      <c r="F173" s="129"/>
      <c r="G173" s="129" t="s">
        <v>6838</v>
      </c>
      <c r="H173" s="129" t="s">
        <v>6784</v>
      </c>
      <c r="I173" s="129" t="s">
        <v>6850</v>
      </c>
      <c r="J173" s="129" t="s">
        <v>932</v>
      </c>
      <c r="K173" s="129" t="s">
        <v>5871</v>
      </c>
      <c r="L173" s="129" t="s">
        <v>6851</v>
      </c>
      <c r="M173" s="129" t="s">
        <v>6393</v>
      </c>
      <c r="N173" s="129" t="s">
        <v>6785</v>
      </c>
      <c r="O173" s="129" t="s">
        <v>6737</v>
      </c>
    </row>
    <row r="174" spans="1:15" ht="24">
      <c r="A174" s="129" t="s">
        <v>6852</v>
      </c>
      <c r="B174" s="129" t="s">
        <v>6853</v>
      </c>
      <c r="C174" s="129" t="s">
        <v>6854</v>
      </c>
      <c r="D174" s="129" t="s">
        <v>5441</v>
      </c>
      <c r="E174" s="129" t="s">
        <v>5903</v>
      </c>
      <c r="F174" s="129">
        <v>43</v>
      </c>
      <c r="G174" s="129" t="s">
        <v>11</v>
      </c>
      <c r="H174" s="129" t="s">
        <v>6732</v>
      </c>
      <c r="I174" s="129" t="s">
        <v>6855</v>
      </c>
      <c r="J174" s="129" t="s">
        <v>932</v>
      </c>
      <c r="K174" s="129" t="s">
        <v>5931</v>
      </c>
      <c r="L174" s="129" t="s">
        <v>6856</v>
      </c>
      <c r="M174" s="129" t="s">
        <v>5487</v>
      </c>
      <c r="N174" s="129" t="s">
        <v>6736</v>
      </c>
      <c r="O174" s="129" t="s">
        <v>6737</v>
      </c>
    </row>
    <row r="175" spans="1:15" ht="24">
      <c r="A175" s="129" t="s">
        <v>6857</v>
      </c>
      <c r="B175" s="129" t="s">
        <v>6853</v>
      </c>
      <c r="C175" s="129" t="s">
        <v>6854</v>
      </c>
      <c r="D175" s="129" t="s">
        <v>5447</v>
      </c>
      <c r="E175" s="129" t="s">
        <v>5583</v>
      </c>
      <c r="F175" s="129">
        <v>49</v>
      </c>
      <c r="G175" s="129" t="s">
        <v>11</v>
      </c>
      <c r="H175" s="129" t="s">
        <v>6732</v>
      </c>
      <c r="I175" s="129" t="s">
        <v>6855</v>
      </c>
      <c r="J175" s="129" t="s">
        <v>932</v>
      </c>
      <c r="K175" s="129" t="s">
        <v>5931</v>
      </c>
      <c r="L175" s="129" t="s">
        <v>6856</v>
      </c>
      <c r="M175" s="129" t="s">
        <v>5459</v>
      </c>
      <c r="N175" s="129" t="s">
        <v>6736</v>
      </c>
      <c r="O175" s="129" t="s">
        <v>6737</v>
      </c>
    </row>
    <row r="176" spans="1:15" ht="24">
      <c r="A176" s="129" t="s">
        <v>6858</v>
      </c>
      <c r="B176" s="129" t="s">
        <v>6853</v>
      </c>
      <c r="C176" s="129" t="s">
        <v>6854</v>
      </c>
      <c r="D176" s="129" t="s">
        <v>5452</v>
      </c>
      <c r="E176" s="129" t="s">
        <v>5594</v>
      </c>
      <c r="F176" s="129">
        <v>51</v>
      </c>
      <c r="G176" s="129" t="s">
        <v>11</v>
      </c>
      <c r="H176" s="129" t="s">
        <v>6732</v>
      </c>
      <c r="I176" s="129" t="s">
        <v>6855</v>
      </c>
      <c r="J176" s="129" t="s">
        <v>932</v>
      </c>
      <c r="K176" s="129" t="s">
        <v>5931</v>
      </c>
      <c r="L176" s="129" t="s">
        <v>6856</v>
      </c>
      <c r="M176" s="129" t="s">
        <v>5459</v>
      </c>
      <c r="N176" s="129" t="s">
        <v>6736</v>
      </c>
      <c r="O176" s="129" t="s">
        <v>6737</v>
      </c>
    </row>
    <row r="177" spans="1:15" ht="24">
      <c r="A177" s="129" t="s">
        <v>6859</v>
      </c>
      <c r="B177" s="129" t="s">
        <v>6853</v>
      </c>
      <c r="C177" s="129" t="s">
        <v>6854</v>
      </c>
      <c r="D177" s="129" t="s">
        <v>5456</v>
      </c>
      <c r="E177" s="129" t="s">
        <v>6860</v>
      </c>
      <c r="F177" s="129">
        <v>55</v>
      </c>
      <c r="G177" s="129" t="s">
        <v>11</v>
      </c>
      <c r="H177" s="129" t="s">
        <v>6732</v>
      </c>
      <c r="I177" s="129" t="s">
        <v>6855</v>
      </c>
      <c r="J177" s="129" t="s">
        <v>932</v>
      </c>
      <c r="K177" s="129" t="s">
        <v>5931</v>
      </c>
      <c r="L177" s="129" t="s">
        <v>6856</v>
      </c>
      <c r="M177" s="129" t="s">
        <v>5459</v>
      </c>
      <c r="N177" s="129" t="s">
        <v>6736</v>
      </c>
      <c r="O177" s="129" t="s">
        <v>6737</v>
      </c>
    </row>
    <row r="178" spans="1:15" ht="24">
      <c r="A178" s="129" t="s">
        <v>6861</v>
      </c>
      <c r="B178" s="129" t="s">
        <v>6853</v>
      </c>
      <c r="C178" s="129" t="s">
        <v>6854</v>
      </c>
      <c r="D178" s="129" t="s">
        <v>5461</v>
      </c>
      <c r="E178" s="129" t="s">
        <v>6862</v>
      </c>
      <c r="F178" s="129">
        <v>63</v>
      </c>
      <c r="G178" s="129" t="s">
        <v>11</v>
      </c>
      <c r="H178" s="129" t="s">
        <v>6732</v>
      </c>
      <c r="I178" s="129" t="s">
        <v>6855</v>
      </c>
      <c r="J178" s="129" t="s">
        <v>932</v>
      </c>
      <c r="K178" s="129" t="s">
        <v>5931</v>
      </c>
      <c r="L178" s="129" t="s">
        <v>6856</v>
      </c>
      <c r="M178" s="129" t="s">
        <v>5459</v>
      </c>
      <c r="N178" s="129" t="s">
        <v>6736</v>
      </c>
      <c r="O178" s="129" t="s">
        <v>6737</v>
      </c>
    </row>
    <row r="179" spans="1:15" ht="24">
      <c r="A179" s="129" t="s">
        <v>6863</v>
      </c>
      <c r="B179" s="129" t="s">
        <v>6853</v>
      </c>
      <c r="C179" s="129" t="s">
        <v>6854</v>
      </c>
      <c r="D179" s="129" t="s">
        <v>5466</v>
      </c>
      <c r="E179" s="129" t="s">
        <v>5781</v>
      </c>
      <c r="F179" s="129">
        <v>95</v>
      </c>
      <c r="G179" s="129" t="s">
        <v>11</v>
      </c>
      <c r="H179" s="129" t="s">
        <v>6732</v>
      </c>
      <c r="I179" s="129" t="s">
        <v>6855</v>
      </c>
      <c r="J179" s="129" t="s">
        <v>932</v>
      </c>
      <c r="K179" s="129" t="s">
        <v>5931</v>
      </c>
      <c r="L179" s="129" t="s">
        <v>6856</v>
      </c>
      <c r="M179" s="129" t="s">
        <v>5487</v>
      </c>
      <c r="N179" s="129" t="s">
        <v>6736</v>
      </c>
      <c r="O179" s="129" t="s">
        <v>6737</v>
      </c>
    </row>
    <row r="180" spans="1:15" ht="24">
      <c r="A180" s="129" t="s">
        <v>6864</v>
      </c>
      <c r="B180" s="129" t="s">
        <v>6853</v>
      </c>
      <c r="C180" s="129" t="s">
        <v>6854</v>
      </c>
      <c r="D180" s="129" t="s">
        <v>6232</v>
      </c>
      <c r="E180" s="129" t="s">
        <v>5831</v>
      </c>
      <c r="F180" s="129">
        <v>104</v>
      </c>
      <c r="G180" s="129" t="s">
        <v>11</v>
      </c>
      <c r="H180" s="129" t="s">
        <v>6732</v>
      </c>
      <c r="I180" s="129" t="s">
        <v>6855</v>
      </c>
      <c r="J180" s="129" t="s">
        <v>932</v>
      </c>
      <c r="K180" s="129" t="s">
        <v>5931</v>
      </c>
      <c r="L180" s="129" t="s">
        <v>6856</v>
      </c>
      <c r="M180" s="129" t="s">
        <v>6393</v>
      </c>
      <c r="N180" s="129" t="s">
        <v>6736</v>
      </c>
      <c r="O180" s="129" t="s">
        <v>6737</v>
      </c>
    </row>
    <row r="181" spans="1:15" ht="24">
      <c r="A181" s="129" t="s">
        <v>6865</v>
      </c>
      <c r="B181" s="129" t="s">
        <v>6853</v>
      </c>
      <c r="C181" s="129" t="s">
        <v>6854</v>
      </c>
      <c r="D181" s="129" t="s">
        <v>6232</v>
      </c>
      <c r="E181" s="129" t="s">
        <v>5842</v>
      </c>
      <c r="F181" s="129">
        <v>105</v>
      </c>
      <c r="G181" s="129" t="s">
        <v>11</v>
      </c>
      <c r="H181" s="129" t="s">
        <v>6732</v>
      </c>
      <c r="I181" s="129" t="s">
        <v>6855</v>
      </c>
      <c r="J181" s="129" t="s">
        <v>932</v>
      </c>
      <c r="K181" s="129" t="s">
        <v>5931</v>
      </c>
      <c r="L181" s="129" t="s">
        <v>6856</v>
      </c>
      <c r="M181" s="129" t="s">
        <v>6393</v>
      </c>
      <c r="N181" s="129" t="s">
        <v>6736</v>
      </c>
      <c r="O181" s="129" t="s">
        <v>6737</v>
      </c>
    </row>
    <row r="182" spans="1:15" ht="24">
      <c r="A182" s="129" t="s">
        <v>6866</v>
      </c>
      <c r="B182" s="129" t="s">
        <v>6853</v>
      </c>
      <c r="C182" s="129" t="s">
        <v>6854</v>
      </c>
      <c r="D182" s="129" t="s">
        <v>6232</v>
      </c>
      <c r="E182" s="129" t="s">
        <v>6247</v>
      </c>
      <c r="F182" s="129">
        <v>111</v>
      </c>
      <c r="G182" s="129" t="s">
        <v>11</v>
      </c>
      <c r="H182" s="129" t="s">
        <v>6732</v>
      </c>
      <c r="I182" s="129" t="s">
        <v>6855</v>
      </c>
      <c r="J182" s="129" t="s">
        <v>932</v>
      </c>
      <c r="K182" s="129" t="s">
        <v>5931</v>
      </c>
      <c r="L182" s="129" t="s">
        <v>6856</v>
      </c>
      <c r="M182" s="129" t="s">
        <v>6393</v>
      </c>
      <c r="N182" s="129" t="s">
        <v>6736</v>
      </c>
      <c r="O182" s="129" t="s">
        <v>6737</v>
      </c>
    </row>
    <row r="183" spans="1:15" ht="24">
      <c r="A183" s="129" t="s">
        <v>6867</v>
      </c>
      <c r="B183" s="129" t="s">
        <v>6853</v>
      </c>
      <c r="C183" s="129" t="s">
        <v>6854</v>
      </c>
      <c r="D183" s="129" t="s">
        <v>5474</v>
      </c>
      <c r="E183" s="129" t="s">
        <v>5859</v>
      </c>
      <c r="F183" s="129">
        <v>113</v>
      </c>
      <c r="G183" s="129" t="s">
        <v>11</v>
      </c>
      <c r="H183" s="129" t="s">
        <v>6732</v>
      </c>
      <c r="I183" s="129" t="s">
        <v>6855</v>
      </c>
      <c r="J183" s="129" t="s">
        <v>932</v>
      </c>
      <c r="K183" s="129" t="s">
        <v>5931</v>
      </c>
      <c r="L183" s="129" t="s">
        <v>6856</v>
      </c>
      <c r="M183" s="129" t="s">
        <v>5487</v>
      </c>
      <c r="N183" s="129" t="s">
        <v>6736</v>
      </c>
      <c r="O183" s="129" t="s">
        <v>6737</v>
      </c>
    </row>
    <row r="184" spans="1:15" ht="24">
      <c r="A184" s="129" t="s">
        <v>6531</v>
      </c>
      <c r="B184" s="129" t="s">
        <v>1042</v>
      </c>
      <c r="C184" s="129" t="s">
        <v>6868</v>
      </c>
      <c r="D184" s="129" t="s">
        <v>6315</v>
      </c>
      <c r="E184" s="129" t="s">
        <v>6533</v>
      </c>
      <c r="F184" s="129">
        <v>126</v>
      </c>
      <c r="G184" s="129" t="s">
        <v>16</v>
      </c>
      <c r="H184" s="129" t="s">
        <v>6732</v>
      </c>
      <c r="I184" s="129" t="s">
        <v>5533</v>
      </c>
      <c r="J184" s="129" t="s">
        <v>5534</v>
      </c>
      <c r="K184" s="129" t="s">
        <v>5886</v>
      </c>
      <c r="L184" s="129" t="s">
        <v>6533</v>
      </c>
      <c r="M184" s="129"/>
      <c r="N184" s="129" t="s">
        <v>6736</v>
      </c>
      <c r="O184" s="129" t="s">
        <v>6737</v>
      </c>
    </row>
    <row r="185" spans="1:15" ht="24">
      <c r="A185" s="129" t="s">
        <v>6536</v>
      </c>
      <c r="B185" s="129" t="s">
        <v>1042</v>
      </c>
      <c r="C185" s="129" t="s">
        <v>6868</v>
      </c>
      <c r="D185" s="129" t="s">
        <v>6315</v>
      </c>
      <c r="E185" s="129" t="s">
        <v>6537</v>
      </c>
      <c r="F185" s="129">
        <v>126</v>
      </c>
      <c r="G185" s="129" t="s">
        <v>16</v>
      </c>
      <c r="H185" s="129" t="s">
        <v>6732</v>
      </c>
      <c r="I185" s="129" t="s">
        <v>6538</v>
      </c>
      <c r="J185" s="129" t="s">
        <v>5534</v>
      </c>
      <c r="K185" s="129" t="s">
        <v>5906</v>
      </c>
      <c r="L185" s="129" t="s">
        <v>6537</v>
      </c>
      <c r="M185" s="129" t="s">
        <v>6340</v>
      </c>
      <c r="N185" s="129" t="s">
        <v>6736</v>
      </c>
      <c r="O185" s="129" t="s">
        <v>6737</v>
      </c>
    </row>
    <row r="186" spans="1:15" ht="24">
      <c r="A186" s="129" t="s">
        <v>6539</v>
      </c>
      <c r="B186" s="129" t="s">
        <v>1042</v>
      </c>
      <c r="C186" s="129" t="s">
        <v>6868</v>
      </c>
      <c r="D186" s="129" t="s">
        <v>6315</v>
      </c>
      <c r="E186" s="129" t="s">
        <v>6540</v>
      </c>
      <c r="F186" s="129">
        <v>126</v>
      </c>
      <c r="G186" s="129" t="s">
        <v>16</v>
      </c>
      <c r="H186" s="129" t="s">
        <v>6732</v>
      </c>
      <c r="I186" s="129" t="s">
        <v>5533</v>
      </c>
      <c r="J186" s="129" t="s">
        <v>5534</v>
      </c>
      <c r="K186" s="129" t="s">
        <v>5886</v>
      </c>
      <c r="L186" s="129" t="s">
        <v>6540</v>
      </c>
      <c r="M186" s="129"/>
      <c r="N186" s="129" t="s">
        <v>6736</v>
      </c>
      <c r="O186" s="129" t="s">
        <v>6737</v>
      </c>
    </row>
    <row r="187" spans="1:15" ht="24">
      <c r="A187" s="129" t="s">
        <v>6541</v>
      </c>
      <c r="B187" s="129" t="s">
        <v>1042</v>
      </c>
      <c r="C187" s="129" t="s">
        <v>6868</v>
      </c>
      <c r="D187" s="129" t="s">
        <v>6315</v>
      </c>
      <c r="E187" s="129" t="s">
        <v>6542</v>
      </c>
      <c r="F187" s="129">
        <v>126</v>
      </c>
      <c r="G187" s="129" t="s">
        <v>16</v>
      </c>
      <c r="H187" s="129" t="s">
        <v>6732</v>
      </c>
      <c r="I187" s="129" t="s">
        <v>5533</v>
      </c>
      <c r="J187" s="129" t="s">
        <v>5534</v>
      </c>
      <c r="K187" s="129" t="s">
        <v>5886</v>
      </c>
      <c r="L187" s="129" t="s">
        <v>6542</v>
      </c>
      <c r="M187" s="129"/>
      <c r="N187" s="129" t="s">
        <v>6736</v>
      </c>
      <c r="O187" s="129" t="s">
        <v>6737</v>
      </c>
    </row>
    <row r="188" spans="1:15" ht="24">
      <c r="A188" s="129" t="s">
        <v>6543</v>
      </c>
      <c r="B188" s="129" t="s">
        <v>1042</v>
      </c>
      <c r="C188" s="129" t="s">
        <v>6868</v>
      </c>
      <c r="D188" s="129" t="s">
        <v>6315</v>
      </c>
      <c r="E188" s="129" t="s">
        <v>6544</v>
      </c>
      <c r="F188" s="129">
        <v>126</v>
      </c>
      <c r="G188" s="129" t="s">
        <v>16</v>
      </c>
      <c r="H188" s="129" t="s">
        <v>6732</v>
      </c>
      <c r="I188" s="129" t="s">
        <v>6538</v>
      </c>
      <c r="J188" s="129" t="s">
        <v>5534</v>
      </c>
      <c r="K188" s="129" t="s">
        <v>5906</v>
      </c>
      <c r="L188" s="129" t="s">
        <v>6544</v>
      </c>
      <c r="M188" s="129"/>
      <c r="N188" s="129" t="s">
        <v>6736</v>
      </c>
      <c r="O188" s="129" t="s">
        <v>6737</v>
      </c>
    </row>
    <row r="189" spans="1:15" ht="24">
      <c r="A189" s="129" t="s">
        <v>6545</v>
      </c>
      <c r="B189" s="129" t="s">
        <v>1042</v>
      </c>
      <c r="C189" s="129" t="s">
        <v>6868</v>
      </c>
      <c r="D189" s="129" t="s">
        <v>6315</v>
      </c>
      <c r="E189" s="129" t="s">
        <v>6546</v>
      </c>
      <c r="F189" s="129">
        <v>126</v>
      </c>
      <c r="G189" s="129" t="s">
        <v>16</v>
      </c>
      <c r="H189" s="129" t="s">
        <v>6732</v>
      </c>
      <c r="I189" s="129" t="s">
        <v>6547</v>
      </c>
      <c r="J189" s="129" t="s">
        <v>5534</v>
      </c>
      <c r="K189" s="129" t="s">
        <v>5931</v>
      </c>
      <c r="L189" s="129" t="s">
        <v>6546</v>
      </c>
      <c r="M189" s="129"/>
      <c r="N189" s="129" t="s">
        <v>6736</v>
      </c>
      <c r="O189" s="129" t="s">
        <v>6737</v>
      </c>
    </row>
    <row r="190" spans="1:15" ht="24">
      <c r="A190" s="129" t="s">
        <v>6548</v>
      </c>
      <c r="B190" s="129" t="s">
        <v>1042</v>
      </c>
      <c r="C190" s="129" t="s">
        <v>6868</v>
      </c>
      <c r="D190" s="129" t="s">
        <v>6315</v>
      </c>
      <c r="E190" s="129" t="s">
        <v>6549</v>
      </c>
      <c r="F190" s="129">
        <v>126</v>
      </c>
      <c r="G190" s="129" t="s">
        <v>16</v>
      </c>
      <c r="H190" s="129" t="s">
        <v>6732</v>
      </c>
      <c r="I190" s="129" t="s">
        <v>6538</v>
      </c>
      <c r="J190" s="129" t="s">
        <v>5534</v>
      </c>
      <c r="K190" s="129" t="s">
        <v>5906</v>
      </c>
      <c r="L190" s="129" t="s">
        <v>6549</v>
      </c>
      <c r="M190" s="129" t="s">
        <v>6340</v>
      </c>
      <c r="N190" s="129" t="s">
        <v>6736</v>
      </c>
      <c r="O190" s="129" t="s">
        <v>6737</v>
      </c>
    </row>
    <row r="191" spans="1:15" ht="24">
      <c r="A191" s="129" t="s">
        <v>6550</v>
      </c>
      <c r="B191" s="129" t="s">
        <v>1042</v>
      </c>
      <c r="C191" s="129" t="s">
        <v>6868</v>
      </c>
      <c r="D191" s="129" t="s">
        <v>6315</v>
      </c>
      <c r="E191" s="129" t="s">
        <v>6551</v>
      </c>
      <c r="F191" s="129">
        <v>126</v>
      </c>
      <c r="G191" s="129" t="s">
        <v>16</v>
      </c>
      <c r="H191" s="129" t="s">
        <v>6732</v>
      </c>
      <c r="I191" s="129" t="s">
        <v>5533</v>
      </c>
      <c r="J191" s="129" t="s">
        <v>5534</v>
      </c>
      <c r="K191" s="129" t="s">
        <v>5899</v>
      </c>
      <c r="L191" s="129" t="s">
        <v>6551</v>
      </c>
      <c r="M191" s="129" t="s">
        <v>6340</v>
      </c>
      <c r="N191" s="129" t="s">
        <v>6736</v>
      </c>
      <c r="O191" s="129" t="s">
        <v>6737</v>
      </c>
    </row>
    <row r="192" spans="1:15" ht="24">
      <c r="A192" s="129" t="s">
        <v>6552</v>
      </c>
      <c r="B192" s="129" t="s">
        <v>1042</v>
      </c>
      <c r="C192" s="129" t="s">
        <v>6868</v>
      </c>
      <c r="D192" s="129" t="s">
        <v>6315</v>
      </c>
      <c r="E192" s="129" t="s">
        <v>6553</v>
      </c>
      <c r="F192" s="129">
        <v>126</v>
      </c>
      <c r="G192" s="129" t="s">
        <v>16</v>
      </c>
      <c r="H192" s="129" t="s">
        <v>6732</v>
      </c>
      <c r="I192" s="129" t="s">
        <v>6547</v>
      </c>
      <c r="J192" s="129" t="s">
        <v>5534</v>
      </c>
      <c r="K192" s="129" t="s">
        <v>5931</v>
      </c>
      <c r="L192" s="129" t="s">
        <v>6553</v>
      </c>
      <c r="M192" s="129"/>
      <c r="N192" s="129" t="s">
        <v>6736</v>
      </c>
      <c r="O192" s="129" t="s">
        <v>6737</v>
      </c>
    </row>
    <row r="193" spans="1:15" ht="24">
      <c r="A193" s="129" t="s">
        <v>6554</v>
      </c>
      <c r="B193" s="129" t="s">
        <v>1042</v>
      </c>
      <c r="C193" s="129" t="s">
        <v>6868</v>
      </c>
      <c r="D193" s="129" t="s">
        <v>6315</v>
      </c>
      <c r="E193" s="129" t="s">
        <v>6555</v>
      </c>
      <c r="F193" s="129">
        <v>127</v>
      </c>
      <c r="G193" s="129" t="s">
        <v>16</v>
      </c>
      <c r="H193" s="129" t="s">
        <v>6732</v>
      </c>
      <c r="I193" s="129" t="s">
        <v>6538</v>
      </c>
      <c r="J193" s="129" t="s">
        <v>5534</v>
      </c>
      <c r="K193" s="129" t="s">
        <v>5906</v>
      </c>
      <c r="L193" s="129" t="s">
        <v>6555</v>
      </c>
      <c r="M193" s="129" t="s">
        <v>6340</v>
      </c>
      <c r="N193" s="129" t="s">
        <v>6736</v>
      </c>
      <c r="O193" s="129" t="s">
        <v>6737</v>
      </c>
    </row>
    <row r="194" spans="1:15" ht="24">
      <c r="A194" s="129" t="s">
        <v>6556</v>
      </c>
      <c r="B194" s="129" t="s">
        <v>1042</v>
      </c>
      <c r="C194" s="129" t="s">
        <v>6868</v>
      </c>
      <c r="D194" s="129" t="s">
        <v>6315</v>
      </c>
      <c r="E194" s="129" t="s">
        <v>6557</v>
      </c>
      <c r="F194" s="129">
        <v>127</v>
      </c>
      <c r="G194" s="129" t="s">
        <v>16</v>
      </c>
      <c r="H194" s="129" t="s">
        <v>6732</v>
      </c>
      <c r="I194" s="129" t="s">
        <v>6547</v>
      </c>
      <c r="J194" s="129" t="s">
        <v>5534</v>
      </c>
      <c r="K194" s="129" t="s">
        <v>5931</v>
      </c>
      <c r="L194" s="129" t="s">
        <v>6557</v>
      </c>
      <c r="M194" s="129"/>
      <c r="N194" s="129" t="s">
        <v>6736</v>
      </c>
      <c r="O194" s="129" t="s">
        <v>6737</v>
      </c>
    </row>
    <row r="195" spans="1:15" ht="24">
      <c r="A195" s="129" t="s">
        <v>6558</v>
      </c>
      <c r="B195" s="129" t="s">
        <v>1042</v>
      </c>
      <c r="C195" s="129" t="s">
        <v>6868</v>
      </c>
      <c r="D195" s="129" t="s">
        <v>6315</v>
      </c>
      <c r="E195" s="129" t="s">
        <v>6559</v>
      </c>
      <c r="F195" s="129">
        <v>127</v>
      </c>
      <c r="G195" s="129" t="s">
        <v>16</v>
      </c>
      <c r="H195" s="129" t="s">
        <v>6732</v>
      </c>
      <c r="I195" s="129" t="s">
        <v>5533</v>
      </c>
      <c r="J195" s="129" t="s">
        <v>5534</v>
      </c>
      <c r="K195" s="129" t="s">
        <v>5886</v>
      </c>
      <c r="L195" s="129" t="s">
        <v>6559</v>
      </c>
      <c r="M195" s="129" t="s">
        <v>6340</v>
      </c>
      <c r="N195" s="129" t="s">
        <v>6736</v>
      </c>
      <c r="O195" s="129" t="s">
        <v>6737</v>
      </c>
    </row>
    <row r="196" spans="1:15" ht="24">
      <c r="A196" s="129" t="s">
        <v>6560</v>
      </c>
      <c r="B196" s="129" t="s">
        <v>1042</v>
      </c>
      <c r="C196" s="129" t="s">
        <v>6868</v>
      </c>
      <c r="D196" s="129" t="s">
        <v>6315</v>
      </c>
      <c r="E196" s="129" t="s">
        <v>6561</v>
      </c>
      <c r="F196" s="129">
        <v>127</v>
      </c>
      <c r="G196" s="129" t="s">
        <v>16</v>
      </c>
      <c r="H196" s="129" t="s">
        <v>6732</v>
      </c>
      <c r="I196" s="129" t="s">
        <v>5533</v>
      </c>
      <c r="J196" s="129" t="s">
        <v>5534</v>
      </c>
      <c r="K196" s="129" t="s">
        <v>5899</v>
      </c>
      <c r="L196" s="129" t="s">
        <v>6561</v>
      </c>
      <c r="M196" s="129"/>
      <c r="N196" s="129" t="s">
        <v>6736</v>
      </c>
      <c r="O196" s="129" t="s">
        <v>6737</v>
      </c>
    </row>
    <row r="197" spans="1:15" ht="24">
      <c r="A197" s="129" t="s">
        <v>6562</v>
      </c>
      <c r="B197" s="129" t="s">
        <v>1042</v>
      </c>
      <c r="C197" s="129" t="s">
        <v>6868</v>
      </c>
      <c r="D197" s="129" t="s">
        <v>6315</v>
      </c>
      <c r="E197" s="129" t="s">
        <v>6563</v>
      </c>
      <c r="F197" s="129">
        <v>127</v>
      </c>
      <c r="G197" s="129" t="s">
        <v>16</v>
      </c>
      <c r="H197" s="129" t="s">
        <v>6732</v>
      </c>
      <c r="I197" s="129" t="s">
        <v>6564</v>
      </c>
      <c r="J197" s="129" t="s">
        <v>932</v>
      </c>
      <c r="K197" s="129" t="s">
        <v>5871</v>
      </c>
      <c r="L197" s="129" t="s">
        <v>6563</v>
      </c>
      <c r="M197" s="129" t="s">
        <v>6765</v>
      </c>
      <c r="N197" s="129" t="s">
        <v>6736</v>
      </c>
      <c r="O197" s="129" t="s">
        <v>6737</v>
      </c>
    </row>
    <row r="198" spans="1:15" ht="24">
      <c r="A198" s="129" t="s">
        <v>6565</v>
      </c>
      <c r="B198" s="129" t="s">
        <v>1042</v>
      </c>
      <c r="C198" s="129" t="s">
        <v>6868</v>
      </c>
      <c r="D198" s="129" t="s">
        <v>6315</v>
      </c>
      <c r="E198" s="129" t="s">
        <v>6566</v>
      </c>
      <c r="F198" s="129">
        <v>127</v>
      </c>
      <c r="G198" s="129" t="s">
        <v>16</v>
      </c>
      <c r="H198" s="129" t="s">
        <v>6732</v>
      </c>
      <c r="I198" s="129" t="s">
        <v>6538</v>
      </c>
      <c r="J198" s="129" t="s">
        <v>5534</v>
      </c>
      <c r="K198" s="129" t="s">
        <v>5906</v>
      </c>
      <c r="L198" s="129" t="s">
        <v>6566</v>
      </c>
      <c r="M198" s="129"/>
      <c r="N198" s="129" t="s">
        <v>6736</v>
      </c>
      <c r="O198" s="129" t="s">
        <v>6737</v>
      </c>
    </row>
    <row r="199" spans="1:15" ht="24">
      <c r="A199" s="129" t="s">
        <v>6567</v>
      </c>
      <c r="B199" s="129" t="s">
        <v>1042</v>
      </c>
      <c r="C199" s="129" t="s">
        <v>6868</v>
      </c>
      <c r="D199" s="129" t="s">
        <v>6315</v>
      </c>
      <c r="E199" s="129" t="s">
        <v>6568</v>
      </c>
      <c r="F199" s="129">
        <v>127</v>
      </c>
      <c r="G199" s="129" t="s">
        <v>16</v>
      </c>
      <c r="H199" s="129" t="s">
        <v>6732</v>
      </c>
      <c r="I199" s="129" t="s">
        <v>5533</v>
      </c>
      <c r="J199" s="129" t="s">
        <v>5534</v>
      </c>
      <c r="K199" s="129" t="s">
        <v>5886</v>
      </c>
      <c r="L199" s="129" t="s">
        <v>6568</v>
      </c>
      <c r="M199" s="129"/>
      <c r="N199" s="129" t="s">
        <v>6736</v>
      </c>
      <c r="O199" s="129" t="s">
        <v>6737</v>
      </c>
    </row>
    <row r="200" spans="1:15" ht="24">
      <c r="A200" s="129" t="s">
        <v>6569</v>
      </c>
      <c r="B200" s="129" t="s">
        <v>1042</v>
      </c>
      <c r="C200" s="129" t="s">
        <v>6868</v>
      </c>
      <c r="D200" s="129" t="s">
        <v>6315</v>
      </c>
      <c r="E200" s="129" t="s">
        <v>6570</v>
      </c>
      <c r="F200" s="129">
        <v>127</v>
      </c>
      <c r="G200" s="129" t="s">
        <v>16</v>
      </c>
      <c r="H200" s="129" t="s">
        <v>6732</v>
      </c>
      <c r="I200" s="129" t="s">
        <v>6538</v>
      </c>
      <c r="J200" s="129" t="s">
        <v>5534</v>
      </c>
      <c r="K200" s="129" t="s">
        <v>5906</v>
      </c>
      <c r="L200" s="129" t="s">
        <v>6570</v>
      </c>
      <c r="M200" s="129" t="s">
        <v>6340</v>
      </c>
      <c r="N200" s="129" t="s">
        <v>6736</v>
      </c>
      <c r="O200" s="129" t="s">
        <v>6737</v>
      </c>
    </row>
    <row r="201" spans="1:15" ht="24">
      <c r="A201" s="129" t="s">
        <v>6571</v>
      </c>
      <c r="B201" s="129" t="s">
        <v>1042</v>
      </c>
      <c r="C201" s="129" t="s">
        <v>6868</v>
      </c>
      <c r="D201" s="129" t="s">
        <v>6315</v>
      </c>
      <c r="E201" s="129" t="s">
        <v>6572</v>
      </c>
      <c r="F201" s="129">
        <v>127</v>
      </c>
      <c r="G201" s="129" t="s">
        <v>16</v>
      </c>
      <c r="H201" s="129" t="s">
        <v>6732</v>
      </c>
      <c r="I201" s="129" t="s">
        <v>6538</v>
      </c>
      <c r="J201" s="129" t="s">
        <v>5534</v>
      </c>
      <c r="K201" s="129" t="s">
        <v>5906</v>
      </c>
      <c r="L201" s="129" t="s">
        <v>6572</v>
      </c>
      <c r="M201" s="129" t="s">
        <v>6340</v>
      </c>
      <c r="N201" s="129" t="s">
        <v>6736</v>
      </c>
      <c r="O201" s="129" t="s">
        <v>6737</v>
      </c>
    </row>
    <row r="202" spans="1:15" ht="24">
      <c r="A202" s="129" t="s">
        <v>6573</v>
      </c>
      <c r="B202" s="129" t="s">
        <v>1042</v>
      </c>
      <c r="C202" s="129" t="s">
        <v>6868</v>
      </c>
      <c r="D202" s="129" t="s">
        <v>6315</v>
      </c>
      <c r="E202" s="129" t="s">
        <v>6574</v>
      </c>
      <c r="F202" s="129">
        <v>127</v>
      </c>
      <c r="G202" s="129" t="s">
        <v>16</v>
      </c>
      <c r="H202" s="129" t="s">
        <v>6732</v>
      </c>
      <c r="I202" s="129" t="s">
        <v>6547</v>
      </c>
      <c r="J202" s="129" t="s">
        <v>5534</v>
      </c>
      <c r="K202" s="129" t="s">
        <v>5931</v>
      </c>
      <c r="L202" s="129" t="s">
        <v>6574</v>
      </c>
      <c r="M202" s="129"/>
      <c r="N202" s="129" t="s">
        <v>6736</v>
      </c>
      <c r="O202" s="129" t="s">
        <v>6737</v>
      </c>
    </row>
    <row r="203" spans="1:15" ht="24">
      <c r="A203" s="129" t="s">
        <v>6575</v>
      </c>
      <c r="B203" s="129" t="s">
        <v>1042</v>
      </c>
      <c r="C203" s="129" t="s">
        <v>6868</v>
      </c>
      <c r="D203" s="129" t="s">
        <v>6315</v>
      </c>
      <c r="E203" s="129" t="s">
        <v>6576</v>
      </c>
      <c r="F203" s="129">
        <v>128</v>
      </c>
      <c r="G203" s="129" t="s">
        <v>16</v>
      </c>
      <c r="H203" s="129" t="s">
        <v>6732</v>
      </c>
      <c r="I203" s="129" t="s">
        <v>6538</v>
      </c>
      <c r="J203" s="129" t="s">
        <v>5534</v>
      </c>
      <c r="K203" s="129" t="s">
        <v>5906</v>
      </c>
      <c r="L203" s="129" t="s">
        <v>6576</v>
      </c>
      <c r="M203" s="129"/>
      <c r="N203" s="129" t="s">
        <v>6736</v>
      </c>
      <c r="O203" s="129" t="s">
        <v>6737</v>
      </c>
    </row>
    <row r="204" spans="1:15" ht="24">
      <c r="A204" s="129" t="s">
        <v>6577</v>
      </c>
      <c r="B204" s="129" t="s">
        <v>1042</v>
      </c>
      <c r="C204" s="129" t="s">
        <v>6868</v>
      </c>
      <c r="D204" s="129" t="s">
        <v>6315</v>
      </c>
      <c r="E204" s="129" t="s">
        <v>6578</v>
      </c>
      <c r="F204" s="129">
        <v>128</v>
      </c>
      <c r="G204" s="129" t="s">
        <v>16</v>
      </c>
      <c r="H204" s="129" t="s">
        <v>6732</v>
      </c>
      <c r="I204" s="129" t="s">
        <v>6538</v>
      </c>
      <c r="J204" s="129" t="s">
        <v>5534</v>
      </c>
      <c r="K204" s="129" t="s">
        <v>5906</v>
      </c>
      <c r="L204" s="129" t="s">
        <v>6578</v>
      </c>
      <c r="M204" s="129"/>
      <c r="N204" s="129" t="s">
        <v>6736</v>
      </c>
      <c r="O204" s="129" t="s">
        <v>6737</v>
      </c>
    </row>
    <row r="205" spans="1:15" ht="24">
      <c r="A205" s="129" t="s">
        <v>6579</v>
      </c>
      <c r="B205" s="129" t="s">
        <v>1042</v>
      </c>
      <c r="C205" s="129" t="s">
        <v>6868</v>
      </c>
      <c r="D205" s="129" t="s">
        <v>6315</v>
      </c>
      <c r="E205" s="129" t="s">
        <v>6580</v>
      </c>
      <c r="F205" s="129">
        <v>128</v>
      </c>
      <c r="G205" s="129" t="s">
        <v>16</v>
      </c>
      <c r="H205" s="129" t="s">
        <v>6732</v>
      </c>
      <c r="I205" s="129" t="s">
        <v>5533</v>
      </c>
      <c r="J205" s="129" t="s">
        <v>5534</v>
      </c>
      <c r="K205" s="129" t="s">
        <v>5899</v>
      </c>
      <c r="L205" s="129" t="s">
        <v>6580</v>
      </c>
      <c r="M205" s="129"/>
      <c r="N205" s="129" t="s">
        <v>6736</v>
      </c>
      <c r="O205" s="129" t="s">
        <v>6737</v>
      </c>
    </row>
    <row r="206" spans="1:15" ht="24">
      <c r="A206" s="129" t="s">
        <v>6581</v>
      </c>
      <c r="B206" s="129" t="s">
        <v>1042</v>
      </c>
      <c r="C206" s="129" t="s">
        <v>6868</v>
      </c>
      <c r="D206" s="129" t="s">
        <v>6315</v>
      </c>
      <c r="E206" s="129" t="s">
        <v>6582</v>
      </c>
      <c r="F206" s="129">
        <v>128</v>
      </c>
      <c r="G206" s="129" t="s">
        <v>16</v>
      </c>
      <c r="H206" s="129" t="s">
        <v>6732</v>
      </c>
      <c r="I206" s="129" t="s">
        <v>5533</v>
      </c>
      <c r="J206" s="129" t="s">
        <v>5534</v>
      </c>
      <c r="K206" s="129" t="s">
        <v>5899</v>
      </c>
      <c r="L206" s="129" t="s">
        <v>6582</v>
      </c>
      <c r="M206" s="129" t="s">
        <v>6340</v>
      </c>
      <c r="N206" s="129" t="s">
        <v>6736</v>
      </c>
      <c r="O206" s="129" t="s">
        <v>6737</v>
      </c>
    </row>
    <row r="207" spans="1:15" ht="24">
      <c r="A207" s="129" t="s">
        <v>6583</v>
      </c>
      <c r="B207" s="129" t="s">
        <v>1042</v>
      </c>
      <c r="C207" s="129" t="s">
        <v>6868</v>
      </c>
      <c r="D207" s="129" t="s">
        <v>6315</v>
      </c>
      <c r="E207" s="129" t="s">
        <v>6584</v>
      </c>
      <c r="F207" s="129">
        <v>128</v>
      </c>
      <c r="G207" s="129" t="s">
        <v>16</v>
      </c>
      <c r="H207" s="129" t="s">
        <v>6732</v>
      </c>
      <c r="I207" s="129" t="s">
        <v>5533</v>
      </c>
      <c r="J207" s="129" t="s">
        <v>5534</v>
      </c>
      <c r="K207" s="129" t="s">
        <v>5886</v>
      </c>
      <c r="L207" s="129" t="s">
        <v>6584</v>
      </c>
      <c r="M207" s="129"/>
      <c r="N207" s="129" t="s">
        <v>6736</v>
      </c>
      <c r="O207" s="129" t="s">
        <v>6737</v>
      </c>
    </row>
    <row r="208" spans="1:15" ht="24">
      <c r="A208" s="129" t="s">
        <v>6585</v>
      </c>
      <c r="B208" s="129" t="s">
        <v>1042</v>
      </c>
      <c r="C208" s="129" t="s">
        <v>6868</v>
      </c>
      <c r="D208" s="129" t="s">
        <v>6315</v>
      </c>
      <c r="E208" s="129" t="s">
        <v>6586</v>
      </c>
      <c r="F208" s="129">
        <v>128</v>
      </c>
      <c r="G208" s="129" t="s">
        <v>16</v>
      </c>
      <c r="H208" s="129" t="s">
        <v>6732</v>
      </c>
      <c r="I208" s="129" t="s">
        <v>5533</v>
      </c>
      <c r="J208" s="129" t="s">
        <v>5534</v>
      </c>
      <c r="K208" s="129" t="s">
        <v>5899</v>
      </c>
      <c r="L208" s="129" t="s">
        <v>6586</v>
      </c>
      <c r="M208" s="129"/>
      <c r="N208" s="129" t="s">
        <v>6736</v>
      </c>
      <c r="O208" s="129" t="s">
        <v>6737</v>
      </c>
    </row>
    <row r="209" spans="1:15" ht="24">
      <c r="A209" s="129" t="s">
        <v>6587</v>
      </c>
      <c r="B209" s="129" t="s">
        <v>1042</v>
      </c>
      <c r="C209" s="129" t="s">
        <v>6868</v>
      </c>
      <c r="D209" s="129" t="s">
        <v>6315</v>
      </c>
      <c r="E209" s="129" t="s">
        <v>6588</v>
      </c>
      <c r="F209" s="129">
        <v>128</v>
      </c>
      <c r="G209" s="129" t="s">
        <v>16</v>
      </c>
      <c r="H209" s="129" t="s">
        <v>6732</v>
      </c>
      <c r="I209" s="129" t="s">
        <v>5533</v>
      </c>
      <c r="J209" s="129" t="s">
        <v>5534</v>
      </c>
      <c r="K209" s="129" t="s">
        <v>5899</v>
      </c>
      <c r="L209" s="129" t="s">
        <v>6588</v>
      </c>
      <c r="M209" s="129"/>
      <c r="N209" s="129" t="s">
        <v>6736</v>
      </c>
      <c r="O209" s="129" t="s">
        <v>6737</v>
      </c>
    </row>
    <row r="210" spans="1:15" ht="24">
      <c r="A210" s="129" t="s">
        <v>6589</v>
      </c>
      <c r="B210" s="129" t="s">
        <v>1042</v>
      </c>
      <c r="C210" s="129" t="s">
        <v>6868</v>
      </c>
      <c r="D210" s="129" t="s">
        <v>6315</v>
      </c>
      <c r="E210" s="129" t="s">
        <v>6590</v>
      </c>
      <c r="F210" s="129">
        <v>129</v>
      </c>
      <c r="G210" s="129" t="s">
        <v>16</v>
      </c>
      <c r="H210" s="129" t="s">
        <v>6732</v>
      </c>
      <c r="I210" s="129" t="s">
        <v>6538</v>
      </c>
      <c r="J210" s="129" t="s">
        <v>5534</v>
      </c>
      <c r="K210" s="129" t="s">
        <v>5906</v>
      </c>
      <c r="L210" s="129" t="s">
        <v>6590</v>
      </c>
      <c r="M210" s="129"/>
      <c r="N210" s="129" t="s">
        <v>6736</v>
      </c>
      <c r="O210" s="129" t="s">
        <v>6737</v>
      </c>
    </row>
    <row r="211" spans="1:15" ht="24">
      <c r="A211" s="129" t="s">
        <v>6591</v>
      </c>
      <c r="B211" s="129" t="s">
        <v>1042</v>
      </c>
      <c r="C211" s="129" t="s">
        <v>6868</v>
      </c>
      <c r="D211" s="129" t="s">
        <v>6315</v>
      </c>
      <c r="E211" s="129" t="s">
        <v>6592</v>
      </c>
      <c r="F211" s="129">
        <v>129</v>
      </c>
      <c r="G211" s="129" t="s">
        <v>16</v>
      </c>
      <c r="H211" s="129" t="s">
        <v>6732</v>
      </c>
      <c r="I211" s="129" t="s">
        <v>5533</v>
      </c>
      <c r="J211" s="129" t="s">
        <v>5534</v>
      </c>
      <c r="K211" s="129" t="s">
        <v>5899</v>
      </c>
      <c r="L211" s="129" t="s">
        <v>6592</v>
      </c>
      <c r="M211" s="129" t="s">
        <v>6340</v>
      </c>
      <c r="N211" s="129" t="s">
        <v>6736</v>
      </c>
      <c r="O211" s="129" t="s">
        <v>6737</v>
      </c>
    </row>
    <row r="212" spans="1:15" ht="24">
      <c r="A212" s="129" t="s">
        <v>6593</v>
      </c>
      <c r="B212" s="129" t="s">
        <v>1042</v>
      </c>
      <c r="C212" s="129" t="s">
        <v>6868</v>
      </c>
      <c r="D212" s="129" t="s">
        <v>6315</v>
      </c>
      <c r="E212" s="129" t="s">
        <v>6594</v>
      </c>
      <c r="F212" s="129">
        <v>129</v>
      </c>
      <c r="G212" s="129" t="s">
        <v>16</v>
      </c>
      <c r="H212" s="129" t="s">
        <v>6732</v>
      </c>
      <c r="I212" s="129" t="s">
        <v>6547</v>
      </c>
      <c r="J212" s="129" t="s">
        <v>5534</v>
      </c>
      <c r="K212" s="129" t="s">
        <v>5931</v>
      </c>
      <c r="L212" s="129" t="s">
        <v>6594</v>
      </c>
      <c r="M212" s="129"/>
      <c r="N212" s="129" t="s">
        <v>6736</v>
      </c>
      <c r="O212" s="129" t="s">
        <v>6737</v>
      </c>
    </row>
    <row r="213" spans="1:15" ht="24">
      <c r="A213" s="129" t="s">
        <v>6595</v>
      </c>
      <c r="B213" s="129" t="s">
        <v>1042</v>
      </c>
      <c r="C213" s="129" t="s">
        <v>6868</v>
      </c>
      <c r="D213" s="129" t="s">
        <v>6315</v>
      </c>
      <c r="E213" s="129" t="s">
        <v>6596</v>
      </c>
      <c r="F213" s="129">
        <v>129</v>
      </c>
      <c r="G213" s="129" t="s">
        <v>16</v>
      </c>
      <c r="H213" s="129" t="s">
        <v>6732</v>
      </c>
      <c r="I213" s="129" t="s">
        <v>5533</v>
      </c>
      <c r="J213" s="129" t="s">
        <v>5534</v>
      </c>
      <c r="K213" s="129" t="s">
        <v>5899</v>
      </c>
      <c r="L213" s="129" t="s">
        <v>6596</v>
      </c>
      <c r="M213" s="129"/>
      <c r="N213" s="129" t="s">
        <v>6736</v>
      </c>
      <c r="O213" s="129" t="s">
        <v>6737</v>
      </c>
    </row>
    <row r="214" spans="1:15" ht="24">
      <c r="A214" s="129" t="s">
        <v>6597</v>
      </c>
      <c r="B214" s="129" t="s">
        <v>1042</v>
      </c>
      <c r="C214" s="129" t="s">
        <v>6868</v>
      </c>
      <c r="D214" s="129" t="s">
        <v>6315</v>
      </c>
      <c r="E214" s="129" t="s">
        <v>6598</v>
      </c>
      <c r="F214" s="129">
        <v>129</v>
      </c>
      <c r="G214" s="129" t="s">
        <v>16</v>
      </c>
      <c r="H214" s="129" t="s">
        <v>6732</v>
      </c>
      <c r="I214" s="129" t="s">
        <v>5533</v>
      </c>
      <c r="J214" s="129" t="s">
        <v>5534</v>
      </c>
      <c r="K214" s="129" t="s">
        <v>5886</v>
      </c>
      <c r="L214" s="129" t="s">
        <v>6598</v>
      </c>
      <c r="M214" s="129" t="s">
        <v>6340</v>
      </c>
      <c r="N214" s="129" t="s">
        <v>6736</v>
      </c>
      <c r="O214" s="129" t="s">
        <v>6737</v>
      </c>
    </row>
    <row r="215" spans="1:15" ht="24">
      <c r="A215" s="129" t="s">
        <v>6599</v>
      </c>
      <c r="B215" s="129" t="s">
        <v>1042</v>
      </c>
      <c r="C215" s="129" t="s">
        <v>6868</v>
      </c>
      <c r="D215" s="129" t="s">
        <v>6315</v>
      </c>
      <c r="E215" s="129" t="s">
        <v>6600</v>
      </c>
      <c r="F215" s="129">
        <v>129</v>
      </c>
      <c r="G215" s="129" t="s">
        <v>16</v>
      </c>
      <c r="H215" s="129" t="s">
        <v>6732</v>
      </c>
      <c r="I215" s="129" t="s">
        <v>5533</v>
      </c>
      <c r="J215" s="129" t="s">
        <v>5534</v>
      </c>
      <c r="K215" s="129" t="s">
        <v>5886</v>
      </c>
      <c r="L215" s="129" t="s">
        <v>6600</v>
      </c>
      <c r="M215" s="129"/>
      <c r="N215" s="129" t="s">
        <v>6736</v>
      </c>
      <c r="O215" s="129" t="s">
        <v>6737</v>
      </c>
    </row>
    <row r="216" spans="1:15" ht="24">
      <c r="A216" s="129" t="s">
        <v>6601</v>
      </c>
      <c r="B216" s="129" t="s">
        <v>1042</v>
      </c>
      <c r="C216" s="129" t="s">
        <v>6868</v>
      </c>
      <c r="D216" s="129" t="s">
        <v>6315</v>
      </c>
      <c r="E216" s="129" t="s">
        <v>6602</v>
      </c>
      <c r="F216" s="129">
        <v>129</v>
      </c>
      <c r="G216" s="129" t="s">
        <v>16</v>
      </c>
      <c r="H216" s="129" t="s">
        <v>6732</v>
      </c>
      <c r="I216" s="129" t="s">
        <v>5533</v>
      </c>
      <c r="J216" s="129" t="s">
        <v>5534</v>
      </c>
      <c r="K216" s="129" t="s">
        <v>5886</v>
      </c>
      <c r="L216" s="129" t="s">
        <v>6602</v>
      </c>
      <c r="M216" s="129"/>
      <c r="N216" s="129" t="s">
        <v>6736</v>
      </c>
      <c r="O216" s="129" t="s">
        <v>6737</v>
      </c>
    </row>
    <row r="217" spans="1:15" ht="24">
      <c r="A217" s="129" t="s">
        <v>6603</v>
      </c>
      <c r="B217" s="129" t="s">
        <v>1042</v>
      </c>
      <c r="C217" s="129" t="s">
        <v>6868</v>
      </c>
      <c r="D217" s="129" t="s">
        <v>6315</v>
      </c>
      <c r="E217" s="129" t="s">
        <v>6604</v>
      </c>
      <c r="F217" s="129">
        <v>129</v>
      </c>
      <c r="G217" s="129" t="s">
        <v>16</v>
      </c>
      <c r="H217" s="129" t="s">
        <v>6732</v>
      </c>
      <c r="I217" s="129" t="s">
        <v>5533</v>
      </c>
      <c r="J217" s="129" t="s">
        <v>5534</v>
      </c>
      <c r="K217" s="129" t="s">
        <v>5899</v>
      </c>
      <c r="L217" s="129" t="s">
        <v>6604</v>
      </c>
      <c r="M217" s="129"/>
      <c r="N217" s="129" t="s">
        <v>6736</v>
      </c>
      <c r="O217" s="129" t="s">
        <v>6737</v>
      </c>
    </row>
    <row r="218" spans="1:15" ht="24">
      <c r="A218" s="129" t="s">
        <v>6605</v>
      </c>
      <c r="B218" s="129" t="s">
        <v>1042</v>
      </c>
      <c r="C218" s="129" t="s">
        <v>6868</v>
      </c>
      <c r="D218" s="129" t="s">
        <v>6315</v>
      </c>
      <c r="E218" s="129" t="s">
        <v>6606</v>
      </c>
      <c r="F218" s="129">
        <v>130</v>
      </c>
      <c r="G218" s="129" t="s">
        <v>16</v>
      </c>
      <c r="H218" s="129" t="s">
        <v>6732</v>
      </c>
      <c r="I218" s="129" t="s">
        <v>6547</v>
      </c>
      <c r="J218" s="129" t="s">
        <v>5534</v>
      </c>
      <c r="K218" s="129" t="s">
        <v>5931</v>
      </c>
      <c r="L218" s="129" t="s">
        <v>6606</v>
      </c>
      <c r="M218" s="129" t="s">
        <v>6340</v>
      </c>
      <c r="N218" s="129" t="s">
        <v>6736</v>
      </c>
      <c r="O218" s="129" t="s">
        <v>6737</v>
      </c>
    </row>
    <row r="219" spans="1:15" ht="24">
      <c r="A219" s="129" t="s">
        <v>6607</v>
      </c>
      <c r="B219" s="129" t="s">
        <v>1042</v>
      </c>
      <c r="C219" s="129" t="s">
        <v>6868</v>
      </c>
      <c r="D219" s="129" t="s">
        <v>6315</v>
      </c>
      <c r="E219" s="129" t="s">
        <v>6608</v>
      </c>
      <c r="F219" s="129">
        <v>130</v>
      </c>
      <c r="G219" s="129" t="s">
        <v>16</v>
      </c>
      <c r="H219" s="129" t="s">
        <v>6732</v>
      </c>
      <c r="I219" s="129" t="s">
        <v>5533</v>
      </c>
      <c r="J219" s="129" t="s">
        <v>5534</v>
      </c>
      <c r="K219" s="129" t="s">
        <v>5886</v>
      </c>
      <c r="L219" s="129" t="s">
        <v>6608</v>
      </c>
      <c r="M219" s="129"/>
      <c r="N219" s="129" t="s">
        <v>6736</v>
      </c>
      <c r="O219" s="129" t="s">
        <v>6737</v>
      </c>
    </row>
    <row r="220" spans="1:15" ht="24">
      <c r="A220" s="129" t="s">
        <v>6609</v>
      </c>
      <c r="B220" s="129" t="s">
        <v>1042</v>
      </c>
      <c r="C220" s="129" t="s">
        <v>6868</v>
      </c>
      <c r="D220" s="129" t="s">
        <v>5474</v>
      </c>
      <c r="E220" s="129" t="s">
        <v>6610</v>
      </c>
      <c r="F220" s="129">
        <v>130</v>
      </c>
      <c r="G220" s="129" t="s">
        <v>16</v>
      </c>
      <c r="H220" s="129" t="s">
        <v>6732</v>
      </c>
      <c r="I220" s="129" t="s">
        <v>5533</v>
      </c>
      <c r="J220" s="129" t="s">
        <v>5534</v>
      </c>
      <c r="K220" s="129" t="s">
        <v>5886</v>
      </c>
      <c r="L220" s="129" t="s">
        <v>6610</v>
      </c>
      <c r="M220" s="129"/>
      <c r="N220" s="129" t="s">
        <v>6736</v>
      </c>
      <c r="O220" s="129" t="s">
        <v>6737</v>
      </c>
    </row>
    <row r="221" spans="1:15" ht="24">
      <c r="A221" s="129" t="s">
        <v>6611</v>
      </c>
      <c r="B221" s="129" t="s">
        <v>1042</v>
      </c>
      <c r="C221" s="129" t="s">
        <v>6868</v>
      </c>
      <c r="D221" s="129" t="s">
        <v>6315</v>
      </c>
      <c r="E221" s="129" t="s">
        <v>6612</v>
      </c>
      <c r="F221" s="129">
        <v>130</v>
      </c>
      <c r="G221" s="129" t="s">
        <v>16</v>
      </c>
      <c r="H221" s="129" t="s">
        <v>6732</v>
      </c>
      <c r="I221" s="129" t="s">
        <v>5533</v>
      </c>
      <c r="J221" s="129" t="s">
        <v>5534</v>
      </c>
      <c r="K221" s="129" t="s">
        <v>5899</v>
      </c>
      <c r="L221" s="129" t="s">
        <v>6612</v>
      </c>
      <c r="M221" s="129"/>
      <c r="N221" s="129" t="s">
        <v>6736</v>
      </c>
      <c r="O221" s="129" t="s">
        <v>6737</v>
      </c>
    </row>
    <row r="222" spans="1:15" ht="24">
      <c r="A222" s="129" t="s">
        <v>6613</v>
      </c>
      <c r="B222" s="129" t="s">
        <v>1042</v>
      </c>
      <c r="C222" s="129" t="s">
        <v>6868</v>
      </c>
      <c r="D222" s="129" t="s">
        <v>6315</v>
      </c>
      <c r="E222" s="129" t="s">
        <v>6614</v>
      </c>
      <c r="F222" s="129">
        <v>130</v>
      </c>
      <c r="G222" s="129" t="s">
        <v>16</v>
      </c>
      <c r="H222" s="129" t="s">
        <v>6732</v>
      </c>
      <c r="I222" s="129" t="s">
        <v>5533</v>
      </c>
      <c r="J222" s="129" t="s">
        <v>5534</v>
      </c>
      <c r="K222" s="129" t="s">
        <v>5886</v>
      </c>
      <c r="L222" s="129" t="s">
        <v>6614</v>
      </c>
      <c r="M222" s="129" t="s">
        <v>6340</v>
      </c>
      <c r="N222" s="129" t="s">
        <v>6736</v>
      </c>
      <c r="O222" s="129" t="s">
        <v>6737</v>
      </c>
    </row>
    <row r="223" spans="1:15" ht="24">
      <c r="A223" s="129" t="s">
        <v>6615</v>
      </c>
      <c r="B223" s="129" t="s">
        <v>1042</v>
      </c>
      <c r="C223" s="129" t="s">
        <v>6868</v>
      </c>
      <c r="D223" s="129" t="s">
        <v>6315</v>
      </c>
      <c r="E223" s="129" t="s">
        <v>6616</v>
      </c>
      <c r="F223" s="129">
        <v>130</v>
      </c>
      <c r="G223" s="129" t="s">
        <v>16</v>
      </c>
      <c r="H223" s="129" t="s">
        <v>6732</v>
      </c>
      <c r="I223" s="129" t="s">
        <v>5533</v>
      </c>
      <c r="J223" s="129" t="s">
        <v>5534</v>
      </c>
      <c r="K223" s="129" t="s">
        <v>5886</v>
      </c>
      <c r="L223" s="129" t="s">
        <v>6616</v>
      </c>
      <c r="M223" s="129" t="s">
        <v>6340</v>
      </c>
      <c r="N223" s="129" t="s">
        <v>6736</v>
      </c>
      <c r="O223" s="129" t="s">
        <v>6737</v>
      </c>
    </row>
    <row r="224" spans="1:15" ht="24">
      <c r="A224" s="129" t="s">
        <v>6617</v>
      </c>
      <c r="B224" s="129" t="s">
        <v>1042</v>
      </c>
      <c r="C224" s="129" t="s">
        <v>6868</v>
      </c>
      <c r="D224" s="129" t="s">
        <v>6315</v>
      </c>
      <c r="E224" s="129" t="s">
        <v>6618</v>
      </c>
      <c r="F224" s="129">
        <v>130</v>
      </c>
      <c r="G224" s="129" t="s">
        <v>16</v>
      </c>
      <c r="H224" s="129" t="s">
        <v>6732</v>
      </c>
      <c r="I224" s="129" t="s">
        <v>6538</v>
      </c>
      <c r="J224" s="129" t="s">
        <v>5534</v>
      </c>
      <c r="K224" s="129" t="s">
        <v>5906</v>
      </c>
      <c r="L224" s="129" t="s">
        <v>6618</v>
      </c>
      <c r="M224" s="129" t="s">
        <v>6340</v>
      </c>
      <c r="N224" s="129" t="s">
        <v>6736</v>
      </c>
      <c r="O224" s="129" t="s">
        <v>6737</v>
      </c>
    </row>
    <row r="225" spans="1:15" ht="24">
      <c r="A225" s="129" t="s">
        <v>6619</v>
      </c>
      <c r="B225" s="129" t="s">
        <v>1042</v>
      </c>
      <c r="C225" s="129" t="s">
        <v>6868</v>
      </c>
      <c r="D225" s="129" t="s">
        <v>6315</v>
      </c>
      <c r="E225" s="129" t="s">
        <v>6620</v>
      </c>
      <c r="F225" s="129">
        <v>130</v>
      </c>
      <c r="G225" s="129" t="s">
        <v>16</v>
      </c>
      <c r="H225" s="129" t="s">
        <v>6732</v>
      </c>
      <c r="I225" s="129" t="s">
        <v>5533</v>
      </c>
      <c r="J225" s="129" t="s">
        <v>5534</v>
      </c>
      <c r="K225" s="129" t="s">
        <v>5886</v>
      </c>
      <c r="L225" s="129" t="s">
        <v>6620</v>
      </c>
      <c r="M225" s="129" t="s">
        <v>6340</v>
      </c>
      <c r="N225" s="129" t="s">
        <v>6736</v>
      </c>
      <c r="O225" s="129" t="s">
        <v>6737</v>
      </c>
    </row>
    <row r="226" spans="1:15" ht="24">
      <c r="A226" s="129" t="s">
        <v>6621</v>
      </c>
      <c r="B226" s="129" t="s">
        <v>1042</v>
      </c>
      <c r="C226" s="129" t="s">
        <v>6868</v>
      </c>
      <c r="D226" s="129" t="s">
        <v>6315</v>
      </c>
      <c r="E226" s="129" t="s">
        <v>6622</v>
      </c>
      <c r="F226" s="129">
        <v>131</v>
      </c>
      <c r="G226" s="129" t="s">
        <v>16</v>
      </c>
      <c r="H226" s="129" t="s">
        <v>6732</v>
      </c>
      <c r="I226" s="129" t="s">
        <v>5533</v>
      </c>
      <c r="J226" s="129" t="s">
        <v>5534</v>
      </c>
      <c r="K226" s="129" t="s">
        <v>5899</v>
      </c>
      <c r="L226" s="129" t="s">
        <v>6622</v>
      </c>
      <c r="M226" s="129" t="s">
        <v>6340</v>
      </c>
      <c r="N226" s="129" t="s">
        <v>6736</v>
      </c>
      <c r="O226" s="129" t="s">
        <v>6737</v>
      </c>
    </row>
    <row r="227" spans="1:15" ht="24">
      <c r="A227" s="129" t="s">
        <v>6623</v>
      </c>
      <c r="B227" s="129" t="s">
        <v>1042</v>
      </c>
      <c r="C227" s="129" t="s">
        <v>6868</v>
      </c>
      <c r="D227" s="129" t="s">
        <v>6315</v>
      </c>
      <c r="E227" s="129" t="s">
        <v>6624</v>
      </c>
      <c r="F227" s="129">
        <v>131</v>
      </c>
      <c r="G227" s="129" t="s">
        <v>16</v>
      </c>
      <c r="H227" s="129" t="s">
        <v>6732</v>
      </c>
      <c r="I227" s="129" t="s">
        <v>5533</v>
      </c>
      <c r="J227" s="129" t="s">
        <v>5534</v>
      </c>
      <c r="K227" s="129" t="s">
        <v>5886</v>
      </c>
      <c r="L227" s="129" t="s">
        <v>6624</v>
      </c>
      <c r="M227" s="129" t="s">
        <v>6869</v>
      </c>
      <c r="N227" s="129" t="s">
        <v>6736</v>
      </c>
      <c r="O227" s="129" t="s">
        <v>6737</v>
      </c>
    </row>
    <row r="228" spans="1:15" ht="24">
      <c r="A228" s="129" t="s">
        <v>6625</v>
      </c>
      <c r="B228" s="129" t="s">
        <v>1042</v>
      </c>
      <c r="C228" s="129" t="s">
        <v>6868</v>
      </c>
      <c r="D228" s="129" t="s">
        <v>6315</v>
      </c>
      <c r="E228" s="129" t="s">
        <v>6626</v>
      </c>
      <c r="F228" s="129">
        <v>131</v>
      </c>
      <c r="G228" s="129" t="s">
        <v>16</v>
      </c>
      <c r="H228" s="129" t="s">
        <v>6732</v>
      </c>
      <c r="I228" s="129" t="s">
        <v>6538</v>
      </c>
      <c r="J228" s="129" t="s">
        <v>5534</v>
      </c>
      <c r="K228" s="129" t="s">
        <v>5906</v>
      </c>
      <c r="L228" s="129" t="s">
        <v>6626</v>
      </c>
      <c r="M228" s="129" t="s">
        <v>6340</v>
      </c>
      <c r="N228" s="129" t="s">
        <v>6736</v>
      </c>
      <c r="O228" s="129" t="s">
        <v>6737</v>
      </c>
    </row>
    <row r="229" spans="1:15" ht="24">
      <c r="A229" s="129" t="s">
        <v>6627</v>
      </c>
      <c r="B229" s="129" t="s">
        <v>1042</v>
      </c>
      <c r="C229" s="129" t="s">
        <v>6868</v>
      </c>
      <c r="D229" s="129" t="s">
        <v>6315</v>
      </c>
      <c r="E229" s="129" t="s">
        <v>6628</v>
      </c>
      <c r="F229" s="129">
        <v>131</v>
      </c>
      <c r="G229" s="129" t="s">
        <v>16</v>
      </c>
      <c r="H229" s="129" t="s">
        <v>6732</v>
      </c>
      <c r="I229" s="129" t="s">
        <v>5533</v>
      </c>
      <c r="J229" s="129" t="s">
        <v>5534</v>
      </c>
      <c r="K229" s="129" t="s">
        <v>5899</v>
      </c>
      <c r="L229" s="129" t="s">
        <v>6628</v>
      </c>
      <c r="M229" s="129"/>
      <c r="N229" s="129" t="s">
        <v>6736</v>
      </c>
      <c r="O229" s="129" t="s">
        <v>6737</v>
      </c>
    </row>
    <row r="230" spans="1:15" ht="24">
      <c r="A230" s="129" t="s">
        <v>6629</v>
      </c>
      <c r="B230" s="129" t="s">
        <v>1042</v>
      </c>
      <c r="C230" s="129" t="s">
        <v>6868</v>
      </c>
      <c r="D230" s="129" t="s">
        <v>6315</v>
      </c>
      <c r="E230" s="129" t="s">
        <v>6630</v>
      </c>
      <c r="F230" s="129">
        <v>131</v>
      </c>
      <c r="G230" s="129" t="s">
        <v>16</v>
      </c>
      <c r="H230" s="129" t="s">
        <v>6732</v>
      </c>
      <c r="I230" s="129" t="s">
        <v>5533</v>
      </c>
      <c r="J230" s="129" t="s">
        <v>5534</v>
      </c>
      <c r="K230" s="129" t="s">
        <v>5886</v>
      </c>
      <c r="L230" s="129" t="s">
        <v>6630</v>
      </c>
      <c r="M230" s="129" t="s">
        <v>6340</v>
      </c>
      <c r="N230" s="129" t="s">
        <v>6736</v>
      </c>
      <c r="O230" s="129" t="s">
        <v>6737</v>
      </c>
    </row>
    <row r="231" spans="1:15" ht="24">
      <c r="A231" s="129" t="s">
        <v>6631</v>
      </c>
      <c r="B231" s="129" t="s">
        <v>1042</v>
      </c>
      <c r="C231" s="129" t="s">
        <v>6868</v>
      </c>
      <c r="D231" s="129" t="s">
        <v>6315</v>
      </c>
      <c r="E231" s="129" t="s">
        <v>6632</v>
      </c>
      <c r="F231" s="129">
        <v>131</v>
      </c>
      <c r="G231" s="129" t="s">
        <v>16</v>
      </c>
      <c r="H231" s="129" t="s">
        <v>6732</v>
      </c>
      <c r="I231" s="129" t="s">
        <v>5533</v>
      </c>
      <c r="J231" s="129" t="s">
        <v>5534</v>
      </c>
      <c r="K231" s="129" t="s">
        <v>5886</v>
      </c>
      <c r="L231" s="129" t="s">
        <v>6632</v>
      </c>
      <c r="M231" s="129" t="s">
        <v>6340</v>
      </c>
      <c r="N231" s="129" t="s">
        <v>6736</v>
      </c>
      <c r="O231" s="129" t="s">
        <v>6737</v>
      </c>
    </row>
    <row r="232" spans="1:15" ht="24">
      <c r="A232" s="129" t="s">
        <v>6633</v>
      </c>
      <c r="B232" s="129" t="s">
        <v>1042</v>
      </c>
      <c r="C232" s="129" t="s">
        <v>6868</v>
      </c>
      <c r="D232" s="129" t="s">
        <v>6315</v>
      </c>
      <c r="E232" s="129" t="s">
        <v>6634</v>
      </c>
      <c r="F232" s="129">
        <v>131</v>
      </c>
      <c r="G232" s="129" t="s">
        <v>16</v>
      </c>
      <c r="H232" s="129" t="s">
        <v>6732</v>
      </c>
      <c r="I232" s="129" t="s">
        <v>5533</v>
      </c>
      <c r="J232" s="129" t="s">
        <v>5534</v>
      </c>
      <c r="K232" s="129" t="s">
        <v>5899</v>
      </c>
      <c r="L232" s="129" t="s">
        <v>6634</v>
      </c>
      <c r="M232" s="129" t="s">
        <v>6340</v>
      </c>
      <c r="N232" s="129" t="s">
        <v>6736</v>
      </c>
      <c r="O232" s="129" t="s">
        <v>6737</v>
      </c>
    </row>
    <row r="233" spans="1:15" ht="24">
      <c r="A233" s="129" t="s">
        <v>6635</v>
      </c>
      <c r="B233" s="129" t="s">
        <v>1042</v>
      </c>
      <c r="C233" s="129" t="s">
        <v>6868</v>
      </c>
      <c r="D233" s="129" t="s">
        <v>6315</v>
      </c>
      <c r="E233" s="129" t="s">
        <v>6636</v>
      </c>
      <c r="F233" s="129">
        <v>132</v>
      </c>
      <c r="G233" s="129" t="s">
        <v>16</v>
      </c>
      <c r="H233" s="129" t="s">
        <v>6732</v>
      </c>
      <c r="I233" s="129" t="s">
        <v>5533</v>
      </c>
      <c r="J233" s="129" t="s">
        <v>5534</v>
      </c>
      <c r="K233" s="129" t="s">
        <v>5886</v>
      </c>
      <c r="L233" s="129" t="s">
        <v>6636</v>
      </c>
      <c r="M233" s="129" t="s">
        <v>6765</v>
      </c>
      <c r="N233" s="129" t="s">
        <v>6736</v>
      </c>
      <c r="O233" s="129" t="s">
        <v>6737</v>
      </c>
    </row>
    <row r="234" spans="1:15" ht="24">
      <c r="A234" s="129" t="s">
        <v>6637</v>
      </c>
      <c r="B234" s="129" t="s">
        <v>1042</v>
      </c>
      <c r="C234" s="129" t="s">
        <v>6868</v>
      </c>
      <c r="D234" s="129" t="s">
        <v>6315</v>
      </c>
      <c r="E234" s="129" t="s">
        <v>6638</v>
      </c>
      <c r="F234" s="129">
        <v>132</v>
      </c>
      <c r="G234" s="129" t="s">
        <v>16</v>
      </c>
      <c r="H234" s="129" t="s">
        <v>6732</v>
      </c>
      <c r="I234" s="129" t="s">
        <v>5533</v>
      </c>
      <c r="J234" s="129" t="s">
        <v>5534</v>
      </c>
      <c r="K234" s="129" t="s">
        <v>5899</v>
      </c>
      <c r="L234" s="129" t="s">
        <v>6638</v>
      </c>
      <c r="M234" s="129"/>
      <c r="N234" s="129" t="s">
        <v>6736</v>
      </c>
      <c r="O234" s="129" t="s">
        <v>6737</v>
      </c>
    </row>
    <row r="235" spans="1:15" ht="24">
      <c r="A235" s="129" t="s">
        <v>6639</v>
      </c>
      <c r="B235" s="129" t="s">
        <v>1042</v>
      </c>
      <c r="C235" s="129" t="s">
        <v>6868</v>
      </c>
      <c r="D235" s="129" t="s">
        <v>6315</v>
      </c>
      <c r="E235" s="129" t="s">
        <v>6640</v>
      </c>
      <c r="F235" s="129">
        <v>132</v>
      </c>
      <c r="G235" s="129" t="s">
        <v>16</v>
      </c>
      <c r="H235" s="129" t="s">
        <v>6732</v>
      </c>
      <c r="I235" s="129" t="s">
        <v>5533</v>
      </c>
      <c r="J235" s="129" t="s">
        <v>5534</v>
      </c>
      <c r="K235" s="129" t="s">
        <v>5899</v>
      </c>
      <c r="L235" s="129" t="s">
        <v>6640</v>
      </c>
      <c r="M235" s="129" t="s">
        <v>6765</v>
      </c>
      <c r="N235" s="129" t="s">
        <v>6736</v>
      </c>
      <c r="O235" s="129" t="s">
        <v>6737</v>
      </c>
    </row>
    <row r="236" spans="1:15" ht="24">
      <c r="A236" s="129" t="s">
        <v>6641</v>
      </c>
      <c r="B236" s="129" t="s">
        <v>1042</v>
      </c>
      <c r="C236" s="129" t="s">
        <v>6868</v>
      </c>
      <c r="D236" s="129" t="s">
        <v>6315</v>
      </c>
      <c r="E236" s="129" t="s">
        <v>6642</v>
      </c>
      <c r="F236" s="129">
        <v>132</v>
      </c>
      <c r="G236" s="129" t="s">
        <v>16</v>
      </c>
      <c r="H236" s="129" t="s">
        <v>6732</v>
      </c>
      <c r="I236" s="129" t="s">
        <v>5533</v>
      </c>
      <c r="J236" s="129" t="s">
        <v>5534</v>
      </c>
      <c r="K236" s="129" t="s">
        <v>5899</v>
      </c>
      <c r="L236" s="129" t="s">
        <v>6642</v>
      </c>
      <c r="M236" s="129" t="s">
        <v>6340</v>
      </c>
      <c r="N236" s="129" t="s">
        <v>6736</v>
      </c>
      <c r="O236" s="129" t="s">
        <v>6737</v>
      </c>
    </row>
    <row r="237" spans="1:15" ht="24">
      <c r="A237" s="129" t="s">
        <v>6643</v>
      </c>
      <c r="B237" s="129" t="s">
        <v>1042</v>
      </c>
      <c r="C237" s="129" t="s">
        <v>6868</v>
      </c>
      <c r="D237" s="129" t="s">
        <v>6315</v>
      </c>
      <c r="E237" s="129" t="s">
        <v>6644</v>
      </c>
      <c r="F237" s="129">
        <v>132</v>
      </c>
      <c r="G237" s="129" t="s">
        <v>16</v>
      </c>
      <c r="H237" s="129" t="s">
        <v>6732</v>
      </c>
      <c r="I237" s="129" t="s">
        <v>5533</v>
      </c>
      <c r="J237" s="129" t="s">
        <v>5534</v>
      </c>
      <c r="K237" s="129" t="s">
        <v>5886</v>
      </c>
      <c r="L237" s="129" t="s">
        <v>6644</v>
      </c>
      <c r="M237" s="129"/>
      <c r="N237" s="129" t="s">
        <v>6736</v>
      </c>
      <c r="O237" s="129" t="s">
        <v>6737</v>
      </c>
    </row>
    <row r="238" spans="1:15" ht="24">
      <c r="A238" s="129" t="s">
        <v>6645</v>
      </c>
      <c r="B238" s="129" t="s">
        <v>1042</v>
      </c>
      <c r="C238" s="129" t="s">
        <v>6868</v>
      </c>
      <c r="D238" s="129" t="s">
        <v>6315</v>
      </c>
      <c r="E238" s="129" t="s">
        <v>6646</v>
      </c>
      <c r="F238" s="129">
        <v>132</v>
      </c>
      <c r="G238" s="129" t="s">
        <v>16</v>
      </c>
      <c r="H238" s="129" t="s">
        <v>6732</v>
      </c>
      <c r="I238" s="129" t="s">
        <v>5533</v>
      </c>
      <c r="J238" s="129" t="s">
        <v>5534</v>
      </c>
      <c r="K238" s="129" t="s">
        <v>5899</v>
      </c>
      <c r="L238" s="129" t="s">
        <v>6646</v>
      </c>
      <c r="M238" s="129" t="s">
        <v>6765</v>
      </c>
      <c r="N238" s="129" t="s">
        <v>6736</v>
      </c>
      <c r="O238" s="129" t="s">
        <v>6737</v>
      </c>
    </row>
    <row r="239" spans="1:15" ht="24">
      <c r="A239" s="129" t="s">
        <v>6647</v>
      </c>
      <c r="B239" s="129" t="s">
        <v>1042</v>
      </c>
      <c r="C239" s="129" t="s">
        <v>6868</v>
      </c>
      <c r="D239" s="129" t="s">
        <v>6315</v>
      </c>
      <c r="E239" s="129" t="s">
        <v>6648</v>
      </c>
      <c r="F239" s="129">
        <v>132</v>
      </c>
      <c r="G239" s="129" t="s">
        <v>16</v>
      </c>
      <c r="H239" s="129" t="s">
        <v>6732</v>
      </c>
      <c r="I239" s="129" t="s">
        <v>5533</v>
      </c>
      <c r="J239" s="129" t="s">
        <v>5534</v>
      </c>
      <c r="K239" s="129" t="s">
        <v>5899</v>
      </c>
      <c r="L239" s="129" t="s">
        <v>6648</v>
      </c>
      <c r="M239" s="129" t="s">
        <v>6765</v>
      </c>
      <c r="N239" s="129" t="s">
        <v>6736</v>
      </c>
      <c r="O239" s="129" t="s">
        <v>6737</v>
      </c>
    </row>
    <row r="240" spans="1:15" ht="24">
      <c r="A240" s="129" t="s">
        <v>6649</v>
      </c>
      <c r="B240" s="129" t="s">
        <v>1042</v>
      </c>
      <c r="C240" s="129" t="s">
        <v>6868</v>
      </c>
      <c r="D240" s="129" t="s">
        <v>6315</v>
      </c>
      <c r="E240" s="129" t="s">
        <v>6650</v>
      </c>
      <c r="F240" s="129">
        <v>132</v>
      </c>
      <c r="G240" s="129" t="s">
        <v>16</v>
      </c>
      <c r="H240" s="129" t="s">
        <v>6732</v>
      </c>
      <c r="I240" s="129" t="s">
        <v>5533</v>
      </c>
      <c r="J240" s="129" t="s">
        <v>5534</v>
      </c>
      <c r="K240" s="129" t="s">
        <v>5899</v>
      </c>
      <c r="L240" s="129" t="s">
        <v>6650</v>
      </c>
      <c r="M240" s="129" t="s">
        <v>6340</v>
      </c>
      <c r="N240" s="129" t="s">
        <v>6736</v>
      </c>
      <c r="O240" s="129" t="s">
        <v>6737</v>
      </c>
    </row>
    <row r="241" spans="1:15" ht="24">
      <c r="A241" s="129" t="s">
        <v>6651</v>
      </c>
      <c r="B241" s="129" t="s">
        <v>1042</v>
      </c>
      <c r="C241" s="129" t="s">
        <v>6868</v>
      </c>
      <c r="D241" s="129" t="s">
        <v>6315</v>
      </c>
      <c r="E241" s="129" t="s">
        <v>6652</v>
      </c>
      <c r="F241" s="129">
        <v>133</v>
      </c>
      <c r="G241" s="129" t="s">
        <v>16</v>
      </c>
      <c r="H241" s="129" t="s">
        <v>6732</v>
      </c>
      <c r="I241" s="129" t="s">
        <v>5533</v>
      </c>
      <c r="J241" s="129" t="s">
        <v>5534</v>
      </c>
      <c r="K241" s="129" t="s">
        <v>5899</v>
      </c>
      <c r="L241" s="129" t="s">
        <v>6652</v>
      </c>
      <c r="M241" s="129"/>
      <c r="N241" s="129" t="s">
        <v>6736</v>
      </c>
      <c r="O241" s="129" t="s">
        <v>6737</v>
      </c>
    </row>
    <row r="242" spans="1:15" ht="24">
      <c r="A242" s="129" t="s">
        <v>6653</v>
      </c>
      <c r="B242" s="129" t="s">
        <v>1042</v>
      </c>
      <c r="C242" s="129" t="s">
        <v>6868</v>
      </c>
      <c r="D242" s="129" t="s">
        <v>6315</v>
      </c>
      <c r="E242" s="129" t="s">
        <v>6654</v>
      </c>
      <c r="F242" s="129">
        <v>133</v>
      </c>
      <c r="G242" s="129" t="s">
        <v>16</v>
      </c>
      <c r="H242" s="129" t="s">
        <v>6732</v>
      </c>
      <c r="I242" s="129" t="s">
        <v>5533</v>
      </c>
      <c r="J242" s="129" t="s">
        <v>932</v>
      </c>
      <c r="K242" s="129" t="s">
        <v>5899</v>
      </c>
      <c r="L242" s="129" t="s">
        <v>6654</v>
      </c>
      <c r="M242" s="129" t="s">
        <v>6340</v>
      </c>
      <c r="N242" s="129" t="s">
        <v>6736</v>
      </c>
      <c r="O242" s="129" t="s">
        <v>6737</v>
      </c>
    </row>
    <row r="243" spans="1:15" ht="24">
      <c r="A243" s="129" t="s">
        <v>6655</v>
      </c>
      <c r="B243" s="129" t="s">
        <v>1042</v>
      </c>
      <c r="C243" s="129" t="s">
        <v>6868</v>
      </c>
      <c r="D243" s="129" t="s">
        <v>6315</v>
      </c>
      <c r="E243" s="129" t="s">
        <v>6656</v>
      </c>
      <c r="F243" s="129">
        <v>133</v>
      </c>
      <c r="G243" s="129" t="s">
        <v>16</v>
      </c>
      <c r="H243" s="129" t="s">
        <v>6732</v>
      </c>
      <c r="I243" s="129" t="s">
        <v>5533</v>
      </c>
      <c r="J243" s="129" t="s">
        <v>932</v>
      </c>
      <c r="K243" s="129" t="s">
        <v>5899</v>
      </c>
      <c r="L243" s="129" t="s">
        <v>6656</v>
      </c>
      <c r="M243" s="129" t="s">
        <v>6340</v>
      </c>
      <c r="N243" s="129" t="s">
        <v>6736</v>
      </c>
      <c r="O243" s="129" t="s">
        <v>6737</v>
      </c>
    </row>
    <row r="244" spans="1:15" ht="24">
      <c r="A244" s="129" t="s">
        <v>6657</v>
      </c>
      <c r="B244" s="129" t="s">
        <v>1042</v>
      </c>
      <c r="C244" s="129" t="s">
        <v>6868</v>
      </c>
      <c r="D244" s="129" t="s">
        <v>6315</v>
      </c>
      <c r="E244" s="129" t="s">
        <v>6658</v>
      </c>
      <c r="F244" s="129">
        <v>133</v>
      </c>
      <c r="G244" s="129" t="s">
        <v>16</v>
      </c>
      <c r="H244" s="129" t="s">
        <v>6732</v>
      </c>
      <c r="I244" s="129" t="s">
        <v>5533</v>
      </c>
      <c r="J244" s="129" t="s">
        <v>5534</v>
      </c>
      <c r="K244" s="129" t="s">
        <v>5899</v>
      </c>
      <c r="L244" s="129" t="s">
        <v>6658</v>
      </c>
      <c r="M244" s="129"/>
      <c r="N244" s="129" t="s">
        <v>6736</v>
      </c>
      <c r="O244" s="129" t="s">
        <v>6737</v>
      </c>
    </row>
    <row r="245" spans="1:15" ht="24">
      <c r="A245" s="129" t="s">
        <v>6659</v>
      </c>
      <c r="B245" s="129" t="s">
        <v>1042</v>
      </c>
      <c r="C245" s="129" t="s">
        <v>6868</v>
      </c>
      <c r="D245" s="129" t="s">
        <v>6315</v>
      </c>
      <c r="E245" s="129" t="s">
        <v>6660</v>
      </c>
      <c r="F245" s="129">
        <v>133</v>
      </c>
      <c r="G245" s="129" t="s">
        <v>16</v>
      </c>
      <c r="H245" s="129" t="s">
        <v>6732</v>
      </c>
      <c r="I245" s="129" t="s">
        <v>6564</v>
      </c>
      <c r="J245" s="129" t="s">
        <v>5534</v>
      </c>
      <c r="K245" s="129" t="s">
        <v>5871</v>
      </c>
      <c r="L245" s="129" t="s">
        <v>6660</v>
      </c>
      <c r="M245" s="129" t="s">
        <v>6340</v>
      </c>
      <c r="N245" s="129" t="s">
        <v>6736</v>
      </c>
      <c r="O245" s="129" t="s">
        <v>6737</v>
      </c>
    </row>
  </sheetData>
  <mergeCells count="2">
    <mergeCell ref="A1:O1"/>
    <mergeCell ref="A3:O3"/>
  </mergeCell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100"/>
  <sheetViews>
    <sheetView workbookViewId="0">
      <selection sqref="A1:N1"/>
    </sheetView>
  </sheetViews>
  <sheetFormatPr baseColWidth="10" defaultColWidth="9" defaultRowHeight="14.25"/>
  <cols>
    <col min="1" max="1" width="16" customWidth="1"/>
    <col min="2" max="2" width="20" customWidth="1"/>
    <col min="3" max="3" width="16" customWidth="1"/>
    <col min="4" max="4" width="22" customWidth="1"/>
    <col min="5" max="5" width="14" customWidth="1"/>
    <col min="6" max="6" width="40" customWidth="1"/>
    <col min="7" max="9" width="30" customWidth="1"/>
    <col min="10" max="10" width="12" customWidth="1"/>
    <col min="11" max="11" width="18" customWidth="1"/>
    <col min="12" max="12" width="12" customWidth="1"/>
    <col min="13" max="13" width="34" customWidth="1"/>
    <col min="14" max="14" width="20" customWidth="1"/>
  </cols>
  <sheetData>
    <row r="1" spans="1:14" ht="18">
      <c r="A1" s="293" t="s">
        <v>6870</v>
      </c>
      <c r="B1" s="293"/>
      <c r="C1" s="293"/>
      <c r="D1" s="293"/>
      <c r="E1" s="293"/>
      <c r="F1" s="293"/>
      <c r="G1" s="293"/>
      <c r="H1" s="293"/>
      <c r="I1" s="293"/>
      <c r="J1" s="293"/>
      <c r="K1" s="293"/>
      <c r="L1" s="293"/>
      <c r="M1" s="293"/>
      <c r="N1" s="293"/>
    </row>
    <row r="3" spans="1:14">
      <c r="A3" s="294" t="s">
        <v>6871</v>
      </c>
      <c r="B3" s="294"/>
      <c r="C3" s="294"/>
      <c r="D3" s="294"/>
      <c r="E3" s="294"/>
      <c r="F3" s="294"/>
      <c r="G3" s="294"/>
      <c r="H3" s="294"/>
      <c r="I3" s="294"/>
      <c r="J3" s="294"/>
      <c r="K3" s="294"/>
      <c r="L3" s="294"/>
      <c r="M3" s="294"/>
      <c r="N3" s="294"/>
    </row>
    <row r="5" spans="1:14">
      <c r="A5" s="122" t="s">
        <v>5430</v>
      </c>
      <c r="B5" s="122" t="s">
        <v>5431</v>
      </c>
      <c r="C5" s="122" t="s">
        <v>5432</v>
      </c>
      <c r="D5" s="122" t="s">
        <v>964</v>
      </c>
      <c r="E5" s="122" t="s">
        <v>5433</v>
      </c>
      <c r="F5" s="122" t="s">
        <v>5434</v>
      </c>
      <c r="G5" s="122" t="s">
        <v>979</v>
      </c>
      <c r="H5" s="122" t="s">
        <v>1100</v>
      </c>
      <c r="I5" s="123" t="s">
        <v>1317</v>
      </c>
      <c r="J5" s="122" t="s">
        <v>4716</v>
      </c>
    </row>
    <row r="7" spans="1:14">
      <c r="A7" s="128" t="s">
        <v>6872</v>
      </c>
      <c r="B7" s="128" t="s">
        <v>6406</v>
      </c>
      <c r="C7" s="128" t="s">
        <v>5483</v>
      </c>
      <c r="D7" s="128" t="s">
        <v>664</v>
      </c>
      <c r="E7" s="128" t="s">
        <v>5514</v>
      </c>
      <c r="F7" s="128" t="s">
        <v>381</v>
      </c>
      <c r="G7" s="128" t="s">
        <v>152</v>
      </c>
      <c r="H7" s="128" t="s">
        <v>5297</v>
      </c>
      <c r="I7" s="128" t="s">
        <v>5296</v>
      </c>
      <c r="J7" s="128" t="s">
        <v>849</v>
      </c>
      <c r="K7" s="128" t="s">
        <v>382</v>
      </c>
      <c r="L7" s="128" t="s">
        <v>6873</v>
      </c>
      <c r="M7" s="128" t="s">
        <v>6874</v>
      </c>
      <c r="N7" s="128" t="s">
        <v>113</v>
      </c>
    </row>
    <row r="8" spans="1:14">
      <c r="A8" s="129" t="s">
        <v>6875</v>
      </c>
      <c r="B8" s="129" t="s">
        <v>6876</v>
      </c>
      <c r="C8" s="129" t="s">
        <v>6315</v>
      </c>
      <c r="D8" s="129" t="s">
        <v>5281</v>
      </c>
      <c r="E8" s="129"/>
      <c r="F8" s="129" t="s">
        <v>6877</v>
      </c>
      <c r="G8" s="129" t="s">
        <v>6878</v>
      </c>
      <c r="H8" s="129" t="s">
        <v>6879</v>
      </c>
      <c r="I8" s="129" t="s">
        <v>6880</v>
      </c>
      <c r="J8" s="129" t="s">
        <v>6881</v>
      </c>
      <c r="K8" s="129" t="s">
        <v>6882</v>
      </c>
      <c r="L8" s="129" t="s">
        <v>937</v>
      </c>
      <c r="M8" s="129" t="s">
        <v>6883</v>
      </c>
      <c r="N8" s="129" t="s">
        <v>6884</v>
      </c>
    </row>
    <row r="9" spans="1:14">
      <c r="A9" s="129" t="s">
        <v>6885</v>
      </c>
      <c r="B9" s="129" t="s">
        <v>6876</v>
      </c>
      <c r="C9" s="129" t="s">
        <v>6315</v>
      </c>
      <c r="D9" s="129" t="s">
        <v>5281</v>
      </c>
      <c r="E9" s="129"/>
      <c r="F9" s="129" t="s">
        <v>6886</v>
      </c>
      <c r="G9" s="129" t="s">
        <v>6887</v>
      </c>
      <c r="H9" s="129" t="s">
        <v>6888</v>
      </c>
      <c r="I9" s="129" t="s">
        <v>6880</v>
      </c>
      <c r="J9" s="129" t="s">
        <v>6881</v>
      </c>
      <c r="K9" s="129" t="s">
        <v>6882</v>
      </c>
      <c r="L9" s="129" t="s">
        <v>937</v>
      </c>
      <c r="M9" s="129" t="s">
        <v>6883</v>
      </c>
      <c r="N9" s="129" t="s">
        <v>6884</v>
      </c>
    </row>
    <row r="10" spans="1:14">
      <c r="A10" s="129" t="s">
        <v>6889</v>
      </c>
      <c r="B10" s="129" t="s">
        <v>6876</v>
      </c>
      <c r="C10" s="129" t="s">
        <v>6315</v>
      </c>
      <c r="D10" s="129" t="s">
        <v>5281</v>
      </c>
      <c r="E10" s="129"/>
      <c r="F10" s="129" t="s">
        <v>6890</v>
      </c>
      <c r="G10" s="129" t="s">
        <v>6891</v>
      </c>
      <c r="H10" s="129" t="s">
        <v>6892</v>
      </c>
      <c r="I10" s="129" t="s">
        <v>6880</v>
      </c>
      <c r="J10" s="129" t="s">
        <v>6881</v>
      </c>
      <c r="K10" s="129" t="s">
        <v>6882</v>
      </c>
      <c r="L10" s="129" t="s">
        <v>937</v>
      </c>
      <c r="M10" s="129" t="s">
        <v>6883</v>
      </c>
      <c r="N10" s="129" t="s">
        <v>6884</v>
      </c>
    </row>
    <row r="11" spans="1:14">
      <c r="A11" s="129" t="s">
        <v>6893</v>
      </c>
      <c r="B11" s="129" t="s">
        <v>6876</v>
      </c>
      <c r="C11" s="129" t="s">
        <v>6315</v>
      </c>
      <c r="D11" s="129" t="s">
        <v>5281</v>
      </c>
      <c r="E11" s="129"/>
      <c r="F11" s="129" t="s">
        <v>6894</v>
      </c>
      <c r="G11" s="129" t="s">
        <v>6895</v>
      </c>
      <c r="H11" s="129" t="s">
        <v>6896</v>
      </c>
      <c r="I11" s="129" t="s">
        <v>6880</v>
      </c>
      <c r="J11" s="129" t="s">
        <v>6881</v>
      </c>
      <c r="K11" s="129" t="s">
        <v>6882</v>
      </c>
      <c r="L11" s="129" t="s">
        <v>937</v>
      </c>
      <c r="M11" s="129" t="s">
        <v>6883</v>
      </c>
      <c r="N11" s="129" t="s">
        <v>6884</v>
      </c>
    </row>
    <row r="12" spans="1:14">
      <c r="A12" s="129" t="s">
        <v>6897</v>
      </c>
      <c r="B12" s="129" t="s">
        <v>6876</v>
      </c>
      <c r="C12" s="129" t="s">
        <v>6315</v>
      </c>
      <c r="D12" s="129" t="s">
        <v>6898</v>
      </c>
      <c r="E12" s="129"/>
      <c r="F12" s="129" t="s">
        <v>6899</v>
      </c>
      <c r="G12" s="129" t="s">
        <v>6900</v>
      </c>
      <c r="H12" s="129" t="s">
        <v>6901</v>
      </c>
      <c r="I12" s="129" t="s">
        <v>6880</v>
      </c>
      <c r="J12" s="129" t="s">
        <v>6881</v>
      </c>
      <c r="K12" s="129" t="s">
        <v>6882</v>
      </c>
      <c r="L12" s="129" t="s">
        <v>937</v>
      </c>
      <c r="M12" s="129" t="s">
        <v>6902</v>
      </c>
      <c r="N12" s="129" t="s">
        <v>6884</v>
      </c>
    </row>
    <row r="13" spans="1:14" ht="24">
      <c r="A13" s="129" t="s">
        <v>6903</v>
      </c>
      <c r="B13" s="129" t="s">
        <v>6876</v>
      </c>
      <c r="C13" s="129" t="s">
        <v>6315</v>
      </c>
      <c r="D13" s="129" t="s">
        <v>6779</v>
      </c>
      <c r="E13" s="129" t="s">
        <v>6649</v>
      </c>
      <c r="F13" s="129" t="s">
        <v>6904</v>
      </c>
      <c r="G13" s="129" t="s">
        <v>6905</v>
      </c>
      <c r="H13" s="129" t="s">
        <v>6906</v>
      </c>
      <c r="I13" s="129" t="s">
        <v>6880</v>
      </c>
      <c r="J13" s="129" t="s">
        <v>6881</v>
      </c>
      <c r="K13" s="129" t="s">
        <v>6882</v>
      </c>
      <c r="L13" s="129" t="s">
        <v>6907</v>
      </c>
      <c r="M13" s="129" t="s">
        <v>6902</v>
      </c>
      <c r="N13" s="129" t="s">
        <v>6884</v>
      </c>
    </row>
    <row r="14" spans="1:14" ht="24">
      <c r="A14" s="129" t="s">
        <v>6908</v>
      </c>
      <c r="B14" s="129" t="s">
        <v>6876</v>
      </c>
      <c r="C14" s="129" t="s">
        <v>6315</v>
      </c>
      <c r="D14" s="129" t="s">
        <v>350</v>
      </c>
      <c r="E14" s="129"/>
      <c r="F14" s="129" t="s">
        <v>6909</v>
      </c>
      <c r="G14" s="129" t="s">
        <v>6910</v>
      </c>
      <c r="H14" s="129" t="s">
        <v>6911</v>
      </c>
      <c r="I14" s="129" t="s">
        <v>6880</v>
      </c>
      <c r="J14" s="129" t="s">
        <v>6881</v>
      </c>
      <c r="K14" s="129" t="s">
        <v>6912</v>
      </c>
      <c r="L14" s="129" t="s">
        <v>6913</v>
      </c>
      <c r="M14" s="129" t="s">
        <v>6914</v>
      </c>
      <c r="N14" s="129" t="s">
        <v>6884</v>
      </c>
    </row>
    <row r="15" spans="1:14">
      <c r="A15" s="129" t="s">
        <v>6915</v>
      </c>
      <c r="B15" s="129" t="s">
        <v>6876</v>
      </c>
      <c r="C15" s="129" t="s">
        <v>5459</v>
      </c>
      <c r="D15" s="129" t="s">
        <v>6916</v>
      </c>
      <c r="E15" s="129" t="s">
        <v>5947</v>
      </c>
      <c r="F15" s="129" t="s">
        <v>6917</v>
      </c>
      <c r="G15" s="129" t="s">
        <v>6918</v>
      </c>
      <c r="H15" s="129" t="s">
        <v>6919</v>
      </c>
      <c r="I15" s="129" t="s">
        <v>6880</v>
      </c>
      <c r="J15" s="129" t="s">
        <v>6881</v>
      </c>
      <c r="K15" s="129" t="s">
        <v>6920</v>
      </c>
      <c r="L15" s="129" t="s">
        <v>6913</v>
      </c>
      <c r="M15" s="129" t="s">
        <v>6921</v>
      </c>
      <c r="N15" s="129" t="s">
        <v>6884</v>
      </c>
    </row>
    <row r="16" spans="1:14">
      <c r="A16" s="129" t="s">
        <v>6922</v>
      </c>
      <c r="B16" s="129" t="s">
        <v>6876</v>
      </c>
      <c r="C16" s="129" t="s">
        <v>5459</v>
      </c>
      <c r="D16" s="129" t="s">
        <v>6916</v>
      </c>
      <c r="E16" s="129" t="s">
        <v>5947</v>
      </c>
      <c r="F16" s="129" t="s">
        <v>6923</v>
      </c>
      <c r="G16" s="129" t="s">
        <v>6924</v>
      </c>
      <c r="H16" s="129" t="s">
        <v>6925</v>
      </c>
      <c r="I16" s="129" t="s">
        <v>6880</v>
      </c>
      <c r="J16" s="129" t="s">
        <v>6881</v>
      </c>
      <c r="K16" s="129" t="s">
        <v>6920</v>
      </c>
      <c r="L16" s="129" t="s">
        <v>6913</v>
      </c>
      <c r="M16" s="129" t="s">
        <v>6921</v>
      </c>
      <c r="N16" s="129" t="s">
        <v>6884</v>
      </c>
    </row>
    <row r="17" spans="1:14">
      <c r="A17" s="129" t="s">
        <v>6926</v>
      </c>
      <c r="B17" s="129" t="s">
        <v>6876</v>
      </c>
      <c r="C17" s="129" t="s">
        <v>5459</v>
      </c>
      <c r="D17" s="129" t="s">
        <v>6916</v>
      </c>
      <c r="E17" s="129" t="s">
        <v>5947</v>
      </c>
      <c r="F17" s="129" t="s">
        <v>6927</v>
      </c>
      <c r="G17" s="129" t="s">
        <v>6928</v>
      </c>
      <c r="H17" s="129" t="s">
        <v>6929</v>
      </c>
      <c r="I17" s="129" t="s">
        <v>6880</v>
      </c>
      <c r="J17" s="129" t="s">
        <v>6881</v>
      </c>
      <c r="K17" s="129" t="s">
        <v>6920</v>
      </c>
      <c r="L17" s="129" t="s">
        <v>6913</v>
      </c>
      <c r="M17" s="129" t="s">
        <v>6921</v>
      </c>
      <c r="N17" s="129" t="s">
        <v>6884</v>
      </c>
    </row>
    <row r="18" spans="1:14">
      <c r="A18" s="129" t="s">
        <v>6930</v>
      </c>
      <c r="B18" s="129" t="s">
        <v>6876</v>
      </c>
      <c r="C18" s="129" t="s">
        <v>5459</v>
      </c>
      <c r="D18" s="129" t="s">
        <v>6916</v>
      </c>
      <c r="E18" s="129" t="s">
        <v>5947</v>
      </c>
      <c r="F18" s="129" t="s">
        <v>6931</v>
      </c>
      <c r="G18" s="129" t="s">
        <v>6932</v>
      </c>
      <c r="H18" s="129" t="s">
        <v>6933</v>
      </c>
      <c r="I18" s="129" t="s">
        <v>6880</v>
      </c>
      <c r="J18" s="129" t="s">
        <v>6881</v>
      </c>
      <c r="K18" s="129" t="s">
        <v>6920</v>
      </c>
      <c r="L18" s="129" t="s">
        <v>6913</v>
      </c>
      <c r="M18" s="129" t="s">
        <v>6921</v>
      </c>
      <c r="N18" s="129" t="s">
        <v>6884</v>
      </c>
    </row>
    <row r="19" spans="1:14" ht="24">
      <c r="A19" s="129" t="s">
        <v>6934</v>
      </c>
      <c r="B19" s="129" t="s">
        <v>6876</v>
      </c>
      <c r="C19" s="129" t="s">
        <v>5459</v>
      </c>
      <c r="D19" s="129" t="s">
        <v>6935</v>
      </c>
      <c r="E19" s="129" t="s">
        <v>5936</v>
      </c>
      <c r="F19" s="129" t="s">
        <v>6936</v>
      </c>
      <c r="G19" s="129" t="s">
        <v>6937</v>
      </c>
      <c r="H19" s="129" t="s">
        <v>6938</v>
      </c>
      <c r="I19" s="129" t="s">
        <v>6880</v>
      </c>
      <c r="J19" s="129" t="s">
        <v>6881</v>
      </c>
      <c r="K19" s="129" t="s">
        <v>6939</v>
      </c>
      <c r="L19" s="129" t="s">
        <v>6913</v>
      </c>
      <c r="M19" s="129" t="s">
        <v>6940</v>
      </c>
      <c r="N19" s="129" t="s">
        <v>6884</v>
      </c>
    </row>
    <row r="20" spans="1:14">
      <c r="A20" s="129" t="s">
        <v>6941</v>
      </c>
      <c r="B20" s="129" t="s">
        <v>6876</v>
      </c>
      <c r="C20" s="129" t="s">
        <v>5459</v>
      </c>
      <c r="D20" s="129" t="s">
        <v>6935</v>
      </c>
      <c r="E20" s="129" t="s">
        <v>5589</v>
      </c>
      <c r="F20" s="129" t="s">
        <v>6942</v>
      </c>
      <c r="G20" s="129" t="s">
        <v>6943</v>
      </c>
      <c r="H20" s="129" t="s">
        <v>6944</v>
      </c>
      <c r="I20" s="129" t="s">
        <v>6880</v>
      </c>
      <c r="J20" s="129" t="s">
        <v>6945</v>
      </c>
      <c r="K20" s="129" t="s">
        <v>6946</v>
      </c>
      <c r="L20" s="129" t="s">
        <v>6913</v>
      </c>
      <c r="M20" s="129" t="s">
        <v>6947</v>
      </c>
      <c r="N20" s="129" t="s">
        <v>6884</v>
      </c>
    </row>
    <row r="21" spans="1:14">
      <c r="A21" s="129" t="s">
        <v>6948</v>
      </c>
      <c r="B21" s="129" t="s">
        <v>6876</v>
      </c>
      <c r="C21" s="129" t="s">
        <v>5459</v>
      </c>
      <c r="D21" s="129" t="s">
        <v>6467</v>
      </c>
      <c r="E21" s="129" t="s">
        <v>5553</v>
      </c>
      <c r="F21" s="129" t="s">
        <v>6949</v>
      </c>
      <c r="G21" s="129" t="s">
        <v>6950</v>
      </c>
      <c r="H21" s="129" t="s">
        <v>6951</v>
      </c>
      <c r="I21" s="129" t="s">
        <v>6880</v>
      </c>
      <c r="J21" s="129" t="s">
        <v>6952</v>
      </c>
      <c r="K21" s="129" t="s">
        <v>6946</v>
      </c>
      <c r="L21" s="129" t="s">
        <v>6913</v>
      </c>
      <c r="M21" s="129" t="s">
        <v>6953</v>
      </c>
      <c r="N21" s="129" t="s">
        <v>6884</v>
      </c>
    </row>
    <row r="22" spans="1:14">
      <c r="A22" s="129" t="s">
        <v>6954</v>
      </c>
      <c r="B22" s="129" t="s">
        <v>6876</v>
      </c>
      <c r="C22" s="129" t="s">
        <v>5459</v>
      </c>
      <c r="D22" s="129" t="s">
        <v>6467</v>
      </c>
      <c r="E22" s="129" t="s">
        <v>5553</v>
      </c>
      <c r="F22" s="129" t="s">
        <v>6955</v>
      </c>
      <c r="G22" s="129" t="s">
        <v>6956</v>
      </c>
      <c r="H22" s="129" t="s">
        <v>6957</v>
      </c>
      <c r="I22" s="129" t="s">
        <v>6880</v>
      </c>
      <c r="J22" s="129" t="s">
        <v>6952</v>
      </c>
      <c r="K22" s="129" t="s">
        <v>6946</v>
      </c>
      <c r="L22" s="129" t="s">
        <v>6913</v>
      </c>
      <c r="M22" s="129" t="s">
        <v>6958</v>
      </c>
      <c r="N22" s="129" t="s">
        <v>6884</v>
      </c>
    </row>
    <row r="23" spans="1:14" ht="24">
      <c r="A23" s="129" t="s">
        <v>6959</v>
      </c>
      <c r="B23" s="129" t="s">
        <v>6876</v>
      </c>
      <c r="C23" s="129" t="s">
        <v>5459</v>
      </c>
      <c r="D23" s="129" t="s">
        <v>88</v>
      </c>
      <c r="E23" s="129" t="s">
        <v>5955</v>
      </c>
      <c r="F23" s="129" t="s">
        <v>6960</v>
      </c>
      <c r="G23" s="129" t="s">
        <v>6961</v>
      </c>
      <c r="H23" s="129" t="s">
        <v>6962</v>
      </c>
      <c r="I23" s="129" t="s">
        <v>6880</v>
      </c>
      <c r="J23" s="129" t="s">
        <v>6881</v>
      </c>
      <c r="K23" s="129" t="s">
        <v>6920</v>
      </c>
      <c r="L23" s="129" t="s">
        <v>937</v>
      </c>
      <c r="M23" s="129" t="s">
        <v>6963</v>
      </c>
      <c r="N23" s="129" t="s">
        <v>6884</v>
      </c>
    </row>
    <row r="24" spans="1:14">
      <c r="A24" s="129" t="s">
        <v>6964</v>
      </c>
      <c r="B24" s="129" t="s">
        <v>6876</v>
      </c>
      <c r="C24" s="129" t="s">
        <v>5459</v>
      </c>
      <c r="D24" s="129" t="s">
        <v>6512</v>
      </c>
      <c r="E24" s="129" t="s">
        <v>5602</v>
      </c>
      <c r="F24" s="129" t="s">
        <v>6965</v>
      </c>
      <c r="G24" s="129" t="s">
        <v>6966</v>
      </c>
      <c r="H24" s="129" t="s">
        <v>6967</v>
      </c>
      <c r="I24" s="129" t="s">
        <v>6880</v>
      </c>
      <c r="J24" s="129" t="s">
        <v>6968</v>
      </c>
      <c r="K24" s="129" t="s">
        <v>6946</v>
      </c>
      <c r="L24" s="129" t="s">
        <v>6913</v>
      </c>
      <c r="M24" s="129" t="s">
        <v>6969</v>
      </c>
      <c r="N24" s="129" t="s">
        <v>6884</v>
      </c>
    </row>
    <row r="25" spans="1:14">
      <c r="A25" s="129" t="s">
        <v>6970</v>
      </c>
      <c r="B25" s="129" t="s">
        <v>6876</v>
      </c>
      <c r="C25" s="129" t="s">
        <v>5459</v>
      </c>
      <c r="D25" s="129" t="s">
        <v>6512</v>
      </c>
      <c r="E25" s="129" t="s">
        <v>5613</v>
      </c>
      <c r="F25" s="129" t="s">
        <v>6965</v>
      </c>
      <c r="G25" s="129" t="s">
        <v>6971</v>
      </c>
      <c r="H25" s="129" t="s">
        <v>6972</v>
      </c>
      <c r="I25" s="129" t="s">
        <v>6880</v>
      </c>
      <c r="J25" s="129" t="s">
        <v>6968</v>
      </c>
      <c r="K25" s="129" t="s">
        <v>6946</v>
      </c>
      <c r="L25" s="129" t="s">
        <v>6913</v>
      </c>
      <c r="M25" s="129" t="s">
        <v>6969</v>
      </c>
      <c r="N25" s="129" t="s">
        <v>6884</v>
      </c>
    </row>
    <row r="26" spans="1:14" ht="24">
      <c r="A26" s="129" t="s">
        <v>6973</v>
      </c>
      <c r="B26" s="129" t="s">
        <v>6876</v>
      </c>
      <c r="C26" s="129" t="s">
        <v>5501</v>
      </c>
      <c r="D26" s="129" t="s">
        <v>6974</v>
      </c>
      <c r="E26" s="129" t="s">
        <v>6342</v>
      </c>
      <c r="F26" s="129" t="s">
        <v>6975</v>
      </c>
      <c r="G26" s="129" t="s">
        <v>6976</v>
      </c>
      <c r="H26" s="129" t="s">
        <v>6977</v>
      </c>
      <c r="I26" s="129" t="s">
        <v>6880</v>
      </c>
      <c r="J26" s="129" t="s">
        <v>6978</v>
      </c>
      <c r="K26" s="129" t="s">
        <v>6946</v>
      </c>
      <c r="L26" s="129" t="s">
        <v>937</v>
      </c>
      <c r="M26" s="129" t="s">
        <v>6979</v>
      </c>
      <c r="N26" s="129" t="s">
        <v>6884</v>
      </c>
    </row>
    <row r="27" spans="1:14" ht="24">
      <c r="A27" s="129" t="s">
        <v>6980</v>
      </c>
      <c r="B27" s="129" t="s">
        <v>6876</v>
      </c>
      <c r="C27" s="129" t="s">
        <v>5496</v>
      </c>
      <c r="D27" s="129" t="s">
        <v>6849</v>
      </c>
      <c r="E27" s="129" t="s">
        <v>6848</v>
      </c>
      <c r="F27" s="129" t="s">
        <v>6981</v>
      </c>
      <c r="G27" s="129" t="s">
        <v>6982</v>
      </c>
      <c r="H27" s="129" t="s">
        <v>6983</v>
      </c>
      <c r="I27" s="129" t="s">
        <v>6880</v>
      </c>
      <c r="J27" s="129" t="s">
        <v>6881</v>
      </c>
      <c r="K27" s="129" t="s">
        <v>6912</v>
      </c>
      <c r="L27" s="129" t="s">
        <v>6913</v>
      </c>
      <c r="M27" s="129" t="s">
        <v>6697</v>
      </c>
      <c r="N27" s="129" t="s">
        <v>6884</v>
      </c>
    </row>
    <row r="28" spans="1:14" ht="24">
      <c r="A28" s="129" t="s">
        <v>6984</v>
      </c>
      <c r="B28" s="129" t="s">
        <v>6876</v>
      </c>
      <c r="C28" s="129" t="s">
        <v>5501</v>
      </c>
      <c r="D28" s="129" t="s">
        <v>6974</v>
      </c>
      <c r="E28" s="129" t="s">
        <v>6342</v>
      </c>
      <c r="F28" s="129" t="s">
        <v>6985</v>
      </c>
      <c r="G28" s="129" t="s">
        <v>6976</v>
      </c>
      <c r="H28" s="129" t="s">
        <v>6977</v>
      </c>
      <c r="I28" s="129" t="s">
        <v>6880</v>
      </c>
      <c r="J28" s="129" t="s">
        <v>6978</v>
      </c>
      <c r="K28" s="129" t="s">
        <v>6946</v>
      </c>
      <c r="L28" s="129" t="s">
        <v>937</v>
      </c>
      <c r="M28" s="129" t="s">
        <v>6979</v>
      </c>
      <c r="N28" s="129" t="s">
        <v>6884</v>
      </c>
    </row>
    <row r="29" spans="1:14" ht="24">
      <c r="A29" s="129" t="s">
        <v>6986</v>
      </c>
      <c r="B29" s="129" t="s">
        <v>6876</v>
      </c>
      <c r="C29" s="129" t="s">
        <v>5496</v>
      </c>
      <c r="D29" s="129" t="s">
        <v>6849</v>
      </c>
      <c r="E29" s="129" t="s">
        <v>6848</v>
      </c>
      <c r="F29" s="129" t="s">
        <v>6987</v>
      </c>
      <c r="G29" s="129" t="s">
        <v>6982</v>
      </c>
      <c r="H29" s="129" t="s">
        <v>6983</v>
      </c>
      <c r="I29" s="129" t="s">
        <v>6880</v>
      </c>
      <c r="J29" s="129" t="s">
        <v>6881</v>
      </c>
      <c r="K29" s="129" t="s">
        <v>6912</v>
      </c>
      <c r="L29" s="129" t="s">
        <v>6913</v>
      </c>
      <c r="M29" s="129" t="s">
        <v>6697</v>
      </c>
      <c r="N29" s="129" t="s">
        <v>6884</v>
      </c>
    </row>
    <row r="30" spans="1:14" ht="24">
      <c r="A30" s="129" t="s">
        <v>6988</v>
      </c>
      <c r="B30" s="129" t="s">
        <v>6876</v>
      </c>
      <c r="C30" s="129" t="s">
        <v>5501</v>
      </c>
      <c r="D30" s="129" t="s">
        <v>6974</v>
      </c>
      <c r="E30" s="129" t="s">
        <v>6342</v>
      </c>
      <c r="F30" s="129" t="s">
        <v>6989</v>
      </c>
      <c r="G30" s="129" t="s">
        <v>6976</v>
      </c>
      <c r="H30" s="129" t="s">
        <v>6977</v>
      </c>
      <c r="I30" s="129" t="s">
        <v>6880</v>
      </c>
      <c r="J30" s="129" t="s">
        <v>6978</v>
      </c>
      <c r="K30" s="129" t="s">
        <v>6946</v>
      </c>
      <c r="L30" s="129" t="s">
        <v>937</v>
      </c>
      <c r="M30" s="129" t="s">
        <v>6979</v>
      </c>
      <c r="N30" s="129" t="s">
        <v>6884</v>
      </c>
    </row>
    <row r="31" spans="1:14" ht="24">
      <c r="A31" s="129" t="s">
        <v>6990</v>
      </c>
      <c r="B31" s="129" t="s">
        <v>6876</v>
      </c>
      <c r="C31" s="129" t="s">
        <v>5496</v>
      </c>
      <c r="D31" s="129" t="s">
        <v>6849</v>
      </c>
      <c r="E31" s="129" t="s">
        <v>6848</v>
      </c>
      <c r="F31" s="129" t="s">
        <v>6991</v>
      </c>
      <c r="G31" s="129" t="s">
        <v>6982</v>
      </c>
      <c r="H31" s="129" t="s">
        <v>6983</v>
      </c>
      <c r="I31" s="129" t="s">
        <v>6880</v>
      </c>
      <c r="J31" s="129" t="s">
        <v>6881</v>
      </c>
      <c r="K31" s="129" t="s">
        <v>6912</v>
      </c>
      <c r="L31" s="129" t="s">
        <v>6913</v>
      </c>
      <c r="M31" s="129" t="s">
        <v>6697</v>
      </c>
      <c r="N31" s="129" t="s">
        <v>6884</v>
      </c>
    </row>
    <row r="32" spans="1:14" ht="24">
      <c r="A32" s="129" t="s">
        <v>6992</v>
      </c>
      <c r="B32" s="129" t="s">
        <v>6876</v>
      </c>
      <c r="C32" s="129" t="s">
        <v>5501</v>
      </c>
      <c r="D32" s="129" t="s">
        <v>6974</v>
      </c>
      <c r="E32" s="129" t="s">
        <v>6342</v>
      </c>
      <c r="F32" s="129" t="s">
        <v>6993</v>
      </c>
      <c r="G32" s="129" t="s">
        <v>6976</v>
      </c>
      <c r="H32" s="129" t="s">
        <v>6977</v>
      </c>
      <c r="I32" s="129" t="s">
        <v>6880</v>
      </c>
      <c r="J32" s="129" t="s">
        <v>6978</v>
      </c>
      <c r="K32" s="129" t="s">
        <v>6946</v>
      </c>
      <c r="L32" s="129" t="s">
        <v>937</v>
      </c>
      <c r="M32" s="129" t="s">
        <v>6979</v>
      </c>
      <c r="N32" s="129" t="s">
        <v>6884</v>
      </c>
    </row>
    <row r="33" spans="1:14" ht="24">
      <c r="A33" s="129" t="s">
        <v>6994</v>
      </c>
      <c r="B33" s="129" t="s">
        <v>6876</v>
      </c>
      <c r="C33" s="129" t="s">
        <v>5496</v>
      </c>
      <c r="D33" s="129" t="s">
        <v>6849</v>
      </c>
      <c r="E33" s="129" t="s">
        <v>6848</v>
      </c>
      <c r="F33" s="129" t="s">
        <v>6995</v>
      </c>
      <c r="G33" s="129" t="s">
        <v>6982</v>
      </c>
      <c r="H33" s="129" t="s">
        <v>6983</v>
      </c>
      <c r="I33" s="129" t="s">
        <v>6880</v>
      </c>
      <c r="J33" s="129" t="s">
        <v>6881</v>
      </c>
      <c r="K33" s="129" t="s">
        <v>6912</v>
      </c>
      <c r="L33" s="129" t="s">
        <v>6913</v>
      </c>
      <c r="M33" s="129" t="s">
        <v>6697</v>
      </c>
      <c r="N33" s="129" t="s">
        <v>6884</v>
      </c>
    </row>
    <row r="34" spans="1:14">
      <c r="A34" s="129" t="s">
        <v>6996</v>
      </c>
      <c r="B34" s="129" t="s">
        <v>6876</v>
      </c>
      <c r="C34" s="129" t="s">
        <v>5501</v>
      </c>
      <c r="D34" s="129" t="s">
        <v>6997</v>
      </c>
      <c r="E34" s="129" t="s">
        <v>5704</v>
      </c>
      <c r="F34" s="129" t="s">
        <v>6998</v>
      </c>
      <c r="G34" s="129" t="s">
        <v>6999</v>
      </c>
      <c r="H34" s="129" t="s">
        <v>7000</v>
      </c>
      <c r="I34" s="129" t="s">
        <v>6880</v>
      </c>
      <c r="J34" s="129" t="s">
        <v>7001</v>
      </c>
      <c r="K34" s="129" t="s">
        <v>6946</v>
      </c>
      <c r="L34" s="129" t="s">
        <v>6913</v>
      </c>
      <c r="M34" s="129" t="s">
        <v>7002</v>
      </c>
      <c r="N34" s="129" t="s">
        <v>6884</v>
      </c>
    </row>
    <row r="35" spans="1:14" ht="24">
      <c r="A35" s="129" t="s">
        <v>7003</v>
      </c>
      <c r="B35" s="129" t="s">
        <v>6876</v>
      </c>
      <c r="C35" s="129" t="s">
        <v>5501</v>
      </c>
      <c r="D35" s="129" t="s">
        <v>6997</v>
      </c>
      <c r="E35" s="129" t="s">
        <v>5704</v>
      </c>
      <c r="F35" s="129" t="s">
        <v>7004</v>
      </c>
      <c r="G35" s="129" t="s">
        <v>7005</v>
      </c>
      <c r="H35" s="129" t="s">
        <v>7006</v>
      </c>
      <c r="I35" s="129" t="s">
        <v>6880</v>
      </c>
      <c r="J35" s="129" t="s">
        <v>6881</v>
      </c>
      <c r="K35" s="129" t="s">
        <v>7007</v>
      </c>
      <c r="L35" s="129" t="s">
        <v>6913</v>
      </c>
      <c r="M35" s="129" t="s">
        <v>7008</v>
      </c>
      <c r="N35" s="129" t="s">
        <v>6884</v>
      </c>
    </row>
    <row r="36" spans="1:14">
      <c r="A36" s="129" t="s">
        <v>7009</v>
      </c>
      <c r="B36" s="129" t="s">
        <v>6876</v>
      </c>
      <c r="C36" s="129" t="s">
        <v>5501</v>
      </c>
      <c r="D36" s="129" t="s">
        <v>7010</v>
      </c>
      <c r="E36" s="129" t="s">
        <v>5712</v>
      </c>
      <c r="F36" s="129" t="s">
        <v>7011</v>
      </c>
      <c r="G36" s="129" t="s">
        <v>7012</v>
      </c>
      <c r="H36" s="129" t="s">
        <v>7013</v>
      </c>
      <c r="I36" s="129" t="s">
        <v>6880</v>
      </c>
      <c r="J36" s="129" t="s">
        <v>7014</v>
      </c>
      <c r="K36" s="129" t="s">
        <v>6946</v>
      </c>
      <c r="L36" s="129" t="s">
        <v>937</v>
      </c>
      <c r="M36" s="129" t="s">
        <v>7015</v>
      </c>
      <c r="N36" s="129" t="s">
        <v>6884</v>
      </c>
    </row>
    <row r="37" spans="1:14">
      <c r="A37" s="129" t="s">
        <v>7016</v>
      </c>
      <c r="B37" s="129" t="s">
        <v>6876</v>
      </c>
      <c r="C37" s="129" t="s">
        <v>5501</v>
      </c>
      <c r="D37" s="129" t="s">
        <v>7010</v>
      </c>
      <c r="E37" s="129" t="s">
        <v>5719</v>
      </c>
      <c r="F37" s="129" t="s">
        <v>7017</v>
      </c>
      <c r="G37" s="129" t="s">
        <v>7018</v>
      </c>
      <c r="H37" s="129" t="s">
        <v>7019</v>
      </c>
      <c r="I37" s="129" t="s">
        <v>6880</v>
      </c>
      <c r="J37" s="129" t="s">
        <v>6881</v>
      </c>
      <c r="K37" s="129" t="s">
        <v>7007</v>
      </c>
      <c r="L37" s="129" t="s">
        <v>937</v>
      </c>
      <c r="M37" s="129" t="s">
        <v>7020</v>
      </c>
      <c r="N37" s="129" t="s">
        <v>6884</v>
      </c>
    </row>
    <row r="38" spans="1:14" ht="24">
      <c r="A38" s="129" t="s">
        <v>7021</v>
      </c>
      <c r="B38" s="129" t="s">
        <v>6876</v>
      </c>
      <c r="C38" s="129" t="s">
        <v>5496</v>
      </c>
      <c r="D38" s="129" t="s">
        <v>7022</v>
      </c>
      <c r="E38" s="129" t="s">
        <v>5751</v>
      </c>
      <c r="F38" s="129" t="s">
        <v>7023</v>
      </c>
      <c r="G38" s="129" t="s">
        <v>7024</v>
      </c>
      <c r="H38" s="129" t="s">
        <v>7025</v>
      </c>
      <c r="I38" s="129" t="s">
        <v>6880</v>
      </c>
      <c r="J38" s="129" t="s">
        <v>6952</v>
      </c>
      <c r="K38" s="129" t="s">
        <v>6920</v>
      </c>
      <c r="L38" s="129" t="s">
        <v>937</v>
      </c>
      <c r="M38" s="129" t="s">
        <v>7026</v>
      </c>
      <c r="N38" s="129" t="s">
        <v>6884</v>
      </c>
    </row>
    <row r="39" spans="1:14" ht="24">
      <c r="A39" s="129" t="s">
        <v>7027</v>
      </c>
      <c r="B39" s="129" t="s">
        <v>6876</v>
      </c>
      <c r="C39" s="129" t="s">
        <v>5496</v>
      </c>
      <c r="D39" s="129" t="s">
        <v>7022</v>
      </c>
      <c r="E39" s="129" t="s">
        <v>5751</v>
      </c>
      <c r="F39" s="129" t="s">
        <v>7028</v>
      </c>
      <c r="G39" s="129" t="s">
        <v>7029</v>
      </c>
      <c r="H39" s="129" t="s">
        <v>7025</v>
      </c>
      <c r="I39" s="129" t="s">
        <v>6880</v>
      </c>
      <c r="J39" s="129" t="s">
        <v>6952</v>
      </c>
      <c r="K39" s="129" t="s">
        <v>6920</v>
      </c>
      <c r="L39" s="129" t="s">
        <v>937</v>
      </c>
      <c r="M39" s="129" t="s">
        <v>7026</v>
      </c>
      <c r="N39" s="129" t="s">
        <v>6884</v>
      </c>
    </row>
    <row r="40" spans="1:14" ht="24">
      <c r="A40" s="129" t="s">
        <v>7030</v>
      </c>
      <c r="B40" s="129" t="s">
        <v>6876</v>
      </c>
      <c r="C40" s="129" t="s">
        <v>5496</v>
      </c>
      <c r="D40" s="129" t="s">
        <v>7022</v>
      </c>
      <c r="E40" s="129" t="s">
        <v>5751</v>
      </c>
      <c r="F40" s="129" t="s">
        <v>7031</v>
      </c>
      <c r="G40" s="129" t="s">
        <v>7032</v>
      </c>
      <c r="H40" s="129" t="s">
        <v>7025</v>
      </c>
      <c r="I40" s="129" t="s">
        <v>6880</v>
      </c>
      <c r="J40" s="129" t="s">
        <v>6952</v>
      </c>
      <c r="K40" s="129" t="s">
        <v>6920</v>
      </c>
      <c r="L40" s="129" t="s">
        <v>937</v>
      </c>
      <c r="M40" s="129" t="s">
        <v>7026</v>
      </c>
      <c r="N40" s="129" t="s">
        <v>6884</v>
      </c>
    </row>
    <row r="41" spans="1:14" ht="24">
      <c r="A41" s="129" t="s">
        <v>7033</v>
      </c>
      <c r="B41" s="129" t="s">
        <v>6876</v>
      </c>
      <c r="C41" s="129" t="s">
        <v>5496</v>
      </c>
      <c r="D41" s="129" t="s">
        <v>7022</v>
      </c>
      <c r="E41" s="129" t="s">
        <v>5751</v>
      </c>
      <c r="F41" s="129" t="s">
        <v>7034</v>
      </c>
      <c r="G41" s="129" t="s">
        <v>7035</v>
      </c>
      <c r="H41" s="129" t="s">
        <v>7025</v>
      </c>
      <c r="I41" s="129" t="s">
        <v>6880</v>
      </c>
      <c r="J41" s="129" t="s">
        <v>6952</v>
      </c>
      <c r="K41" s="129" t="s">
        <v>6920</v>
      </c>
      <c r="L41" s="129" t="s">
        <v>937</v>
      </c>
      <c r="M41" s="129" t="s">
        <v>7026</v>
      </c>
      <c r="N41" s="129" t="s">
        <v>6884</v>
      </c>
    </row>
    <row r="42" spans="1:14" ht="24">
      <c r="A42" s="129" t="s">
        <v>7036</v>
      </c>
      <c r="B42" s="129" t="s">
        <v>6876</v>
      </c>
      <c r="C42" s="129" t="s">
        <v>5496</v>
      </c>
      <c r="D42" s="129" t="s">
        <v>7022</v>
      </c>
      <c r="E42" s="129" t="s">
        <v>5751</v>
      </c>
      <c r="F42" s="129" t="s">
        <v>7037</v>
      </c>
      <c r="G42" s="129" t="s">
        <v>7038</v>
      </c>
      <c r="H42" s="129" t="s">
        <v>7025</v>
      </c>
      <c r="I42" s="129" t="s">
        <v>6880</v>
      </c>
      <c r="J42" s="129" t="s">
        <v>6952</v>
      </c>
      <c r="K42" s="129" t="s">
        <v>6920</v>
      </c>
      <c r="L42" s="129" t="s">
        <v>937</v>
      </c>
      <c r="M42" s="129" t="s">
        <v>7026</v>
      </c>
      <c r="N42" s="129" t="s">
        <v>6884</v>
      </c>
    </row>
    <row r="43" spans="1:14" ht="24">
      <c r="A43" s="129" t="s">
        <v>7039</v>
      </c>
      <c r="B43" s="129" t="s">
        <v>6876</v>
      </c>
      <c r="C43" s="129" t="s">
        <v>5496</v>
      </c>
      <c r="D43" s="129" t="s">
        <v>7022</v>
      </c>
      <c r="E43" s="129" t="s">
        <v>5751</v>
      </c>
      <c r="F43" s="129" t="s">
        <v>7040</v>
      </c>
      <c r="G43" s="129" t="s">
        <v>7041</v>
      </c>
      <c r="H43" s="129" t="s">
        <v>7025</v>
      </c>
      <c r="I43" s="129" t="s">
        <v>6880</v>
      </c>
      <c r="J43" s="129" t="s">
        <v>6952</v>
      </c>
      <c r="K43" s="129" t="s">
        <v>6920</v>
      </c>
      <c r="L43" s="129" t="s">
        <v>937</v>
      </c>
      <c r="M43" s="129" t="s">
        <v>7026</v>
      </c>
      <c r="N43" s="129" t="s">
        <v>6884</v>
      </c>
    </row>
    <row r="44" spans="1:14" ht="24">
      <c r="A44" s="129" t="s">
        <v>7042</v>
      </c>
      <c r="B44" s="129" t="s">
        <v>6876</v>
      </c>
      <c r="C44" s="129" t="s">
        <v>5496</v>
      </c>
      <c r="D44" s="129" t="s">
        <v>7022</v>
      </c>
      <c r="E44" s="129" t="s">
        <v>5751</v>
      </c>
      <c r="F44" s="129" t="s">
        <v>7043</v>
      </c>
      <c r="G44" s="129" t="s">
        <v>7044</v>
      </c>
      <c r="H44" s="129" t="s">
        <v>7025</v>
      </c>
      <c r="I44" s="129" t="s">
        <v>6880</v>
      </c>
      <c r="J44" s="129" t="s">
        <v>6952</v>
      </c>
      <c r="K44" s="129" t="s">
        <v>6920</v>
      </c>
      <c r="L44" s="129" t="s">
        <v>937</v>
      </c>
      <c r="M44" s="129" t="s">
        <v>7026</v>
      </c>
      <c r="N44" s="129" t="s">
        <v>6884</v>
      </c>
    </row>
    <row r="45" spans="1:14" ht="24">
      <c r="A45" s="129" t="s">
        <v>7045</v>
      </c>
      <c r="B45" s="129" t="s">
        <v>6876</v>
      </c>
      <c r="C45" s="129" t="s">
        <v>5496</v>
      </c>
      <c r="D45" s="129" t="s">
        <v>7022</v>
      </c>
      <c r="E45" s="129" t="s">
        <v>5751</v>
      </c>
      <c r="F45" s="129" t="s">
        <v>7046</v>
      </c>
      <c r="G45" s="129" t="s">
        <v>7047</v>
      </c>
      <c r="H45" s="129" t="s">
        <v>7025</v>
      </c>
      <c r="I45" s="129" t="s">
        <v>6880</v>
      </c>
      <c r="J45" s="129" t="s">
        <v>6952</v>
      </c>
      <c r="K45" s="129" t="s">
        <v>6920</v>
      </c>
      <c r="L45" s="129" t="s">
        <v>937</v>
      </c>
      <c r="M45" s="129" t="s">
        <v>7026</v>
      </c>
      <c r="N45" s="129" t="s">
        <v>6884</v>
      </c>
    </row>
    <row r="46" spans="1:14" ht="24">
      <c r="A46" s="129" t="s">
        <v>7048</v>
      </c>
      <c r="B46" s="129" t="s">
        <v>6876</v>
      </c>
      <c r="C46" s="129" t="s">
        <v>5496</v>
      </c>
      <c r="D46" s="129" t="s">
        <v>7022</v>
      </c>
      <c r="E46" s="129" t="s">
        <v>5751</v>
      </c>
      <c r="F46" s="129" t="s">
        <v>7049</v>
      </c>
      <c r="G46" s="129" t="s">
        <v>7050</v>
      </c>
      <c r="H46" s="129" t="s">
        <v>7025</v>
      </c>
      <c r="I46" s="129" t="s">
        <v>6880</v>
      </c>
      <c r="J46" s="129" t="s">
        <v>6952</v>
      </c>
      <c r="K46" s="129" t="s">
        <v>6920</v>
      </c>
      <c r="L46" s="129" t="s">
        <v>937</v>
      </c>
      <c r="M46" s="129" t="s">
        <v>7026</v>
      </c>
      <c r="N46" s="129" t="s">
        <v>6884</v>
      </c>
    </row>
    <row r="47" spans="1:14" ht="24">
      <c r="A47" s="129" t="s">
        <v>7051</v>
      </c>
      <c r="B47" s="129" t="s">
        <v>6876</v>
      </c>
      <c r="C47" s="129" t="s">
        <v>5496</v>
      </c>
      <c r="D47" s="129" t="s">
        <v>7022</v>
      </c>
      <c r="E47" s="129" t="s">
        <v>5751</v>
      </c>
      <c r="F47" s="129" t="s">
        <v>7052</v>
      </c>
      <c r="G47" s="129" t="s">
        <v>7053</v>
      </c>
      <c r="H47" s="129" t="s">
        <v>7025</v>
      </c>
      <c r="I47" s="129" t="s">
        <v>6880</v>
      </c>
      <c r="J47" s="129" t="s">
        <v>6952</v>
      </c>
      <c r="K47" s="129" t="s">
        <v>6920</v>
      </c>
      <c r="L47" s="129" t="s">
        <v>937</v>
      </c>
      <c r="M47" s="129" t="s">
        <v>7026</v>
      </c>
      <c r="N47" s="129" t="s">
        <v>6884</v>
      </c>
    </row>
    <row r="48" spans="1:14">
      <c r="A48" s="129" t="s">
        <v>7054</v>
      </c>
      <c r="B48" s="129" t="s">
        <v>6876</v>
      </c>
      <c r="C48" s="129" t="s">
        <v>5496</v>
      </c>
      <c r="D48" s="129" t="s">
        <v>7022</v>
      </c>
      <c r="E48" s="129" t="s">
        <v>5751</v>
      </c>
      <c r="F48" s="129" t="s">
        <v>7055</v>
      </c>
      <c r="G48" s="129" t="s">
        <v>7056</v>
      </c>
      <c r="H48" s="129" t="s">
        <v>7057</v>
      </c>
      <c r="I48" s="129" t="s">
        <v>6880</v>
      </c>
      <c r="J48" s="129" t="s">
        <v>6881</v>
      </c>
      <c r="K48" s="129" t="s">
        <v>7007</v>
      </c>
      <c r="L48" s="129" t="s">
        <v>6913</v>
      </c>
      <c r="M48" s="129" t="s">
        <v>7058</v>
      </c>
      <c r="N48" s="129" t="s">
        <v>6884</v>
      </c>
    </row>
    <row r="49" spans="1:14">
      <c r="A49" s="129" t="s">
        <v>7059</v>
      </c>
      <c r="B49" s="129" t="s">
        <v>6876</v>
      </c>
      <c r="C49" s="129" t="s">
        <v>5496</v>
      </c>
      <c r="D49" s="129" t="s">
        <v>1208</v>
      </c>
      <c r="E49" s="129" t="s">
        <v>5762</v>
      </c>
      <c r="F49" s="129" t="s">
        <v>7060</v>
      </c>
      <c r="G49" s="129" t="s">
        <v>7061</v>
      </c>
      <c r="H49" s="129" t="s">
        <v>7062</v>
      </c>
      <c r="I49" s="129" t="s">
        <v>6880</v>
      </c>
      <c r="J49" s="129" t="s">
        <v>7063</v>
      </c>
      <c r="K49" s="129" t="s">
        <v>6946</v>
      </c>
      <c r="L49" s="129" t="s">
        <v>937</v>
      </c>
      <c r="M49" s="129" t="s">
        <v>7064</v>
      </c>
      <c r="N49" s="129" t="s">
        <v>6884</v>
      </c>
    </row>
    <row r="50" spans="1:14">
      <c r="A50" s="129" t="s">
        <v>7065</v>
      </c>
      <c r="B50" s="129" t="s">
        <v>6876</v>
      </c>
      <c r="C50" s="129" t="s">
        <v>5496</v>
      </c>
      <c r="D50" s="129" t="s">
        <v>1208</v>
      </c>
      <c r="E50" s="129" t="s">
        <v>5771</v>
      </c>
      <c r="F50" s="129" t="s">
        <v>7066</v>
      </c>
      <c r="G50" s="129" t="s">
        <v>7061</v>
      </c>
      <c r="H50" s="129" t="s">
        <v>7062</v>
      </c>
      <c r="I50" s="129" t="s">
        <v>6880</v>
      </c>
      <c r="J50" s="129" t="s">
        <v>7063</v>
      </c>
      <c r="K50" s="129" t="s">
        <v>6946</v>
      </c>
      <c r="L50" s="129" t="s">
        <v>937</v>
      </c>
      <c r="M50" s="129" t="s">
        <v>7067</v>
      </c>
      <c r="N50" s="129" t="s">
        <v>6884</v>
      </c>
    </row>
    <row r="51" spans="1:14">
      <c r="A51" s="129" t="s">
        <v>7068</v>
      </c>
      <c r="B51" s="129" t="s">
        <v>6876</v>
      </c>
      <c r="C51" s="129" t="s">
        <v>5496</v>
      </c>
      <c r="D51" s="129" t="s">
        <v>7069</v>
      </c>
      <c r="E51" s="129"/>
      <c r="F51" s="129" t="s">
        <v>7070</v>
      </c>
      <c r="G51" s="129" t="s">
        <v>7071</v>
      </c>
      <c r="H51" s="129" t="s">
        <v>7072</v>
      </c>
      <c r="I51" s="129" t="s">
        <v>6880</v>
      </c>
      <c r="J51" s="129" t="s">
        <v>6881</v>
      </c>
      <c r="K51" s="129" t="s">
        <v>7073</v>
      </c>
      <c r="L51" s="129" t="s">
        <v>937</v>
      </c>
      <c r="M51" s="129" t="s">
        <v>7074</v>
      </c>
      <c r="N51" s="129" t="s">
        <v>6884</v>
      </c>
    </row>
    <row r="52" spans="1:14" ht="24">
      <c r="A52" s="129" t="s">
        <v>7075</v>
      </c>
      <c r="B52" s="129" t="s">
        <v>6876</v>
      </c>
      <c r="C52" s="129" t="s">
        <v>5501</v>
      </c>
      <c r="D52" s="129" t="s">
        <v>7076</v>
      </c>
      <c r="E52" s="129" t="s">
        <v>5777</v>
      </c>
      <c r="F52" s="129" t="s">
        <v>7077</v>
      </c>
      <c r="G52" s="129" t="s">
        <v>7078</v>
      </c>
      <c r="H52" s="129" t="s">
        <v>7079</v>
      </c>
      <c r="I52" s="129" t="s">
        <v>6880</v>
      </c>
      <c r="J52" s="129" t="s">
        <v>7080</v>
      </c>
      <c r="K52" s="129" t="s">
        <v>6946</v>
      </c>
      <c r="L52" s="129" t="s">
        <v>937</v>
      </c>
      <c r="M52" s="129" t="s">
        <v>7081</v>
      </c>
      <c r="N52" s="129" t="s">
        <v>6884</v>
      </c>
    </row>
    <row r="53" spans="1:14" ht="24">
      <c r="A53" s="129" t="s">
        <v>7082</v>
      </c>
      <c r="B53" s="129" t="s">
        <v>6876</v>
      </c>
      <c r="C53" s="129" t="s">
        <v>5501</v>
      </c>
      <c r="D53" s="129" t="s">
        <v>7076</v>
      </c>
      <c r="E53" s="129" t="s">
        <v>5788</v>
      </c>
      <c r="F53" s="129" t="s">
        <v>7083</v>
      </c>
      <c r="G53" s="129" t="s">
        <v>7078</v>
      </c>
      <c r="H53" s="129" t="s">
        <v>7079</v>
      </c>
      <c r="I53" s="129" t="s">
        <v>6880</v>
      </c>
      <c r="J53" s="129" t="s">
        <v>7080</v>
      </c>
      <c r="K53" s="129" t="s">
        <v>6946</v>
      </c>
      <c r="L53" s="129" t="s">
        <v>937</v>
      </c>
      <c r="M53" s="129" t="s">
        <v>7081</v>
      </c>
      <c r="N53" s="129" t="s">
        <v>6884</v>
      </c>
    </row>
    <row r="54" spans="1:14" ht="24">
      <c r="A54" s="129" t="s">
        <v>7084</v>
      </c>
      <c r="B54" s="129" t="s">
        <v>6876</v>
      </c>
      <c r="C54" s="129" t="s">
        <v>5501</v>
      </c>
      <c r="D54" s="129" t="s">
        <v>7085</v>
      </c>
      <c r="E54" s="129" t="s">
        <v>6051</v>
      </c>
      <c r="F54" s="129" t="s">
        <v>7086</v>
      </c>
      <c r="G54" s="129" t="s">
        <v>7087</v>
      </c>
      <c r="H54" s="129" t="s">
        <v>7088</v>
      </c>
      <c r="I54" s="129" t="s">
        <v>6880</v>
      </c>
      <c r="J54" s="129" t="s">
        <v>6881</v>
      </c>
      <c r="K54" s="129" t="s">
        <v>6920</v>
      </c>
      <c r="L54" s="129" t="s">
        <v>6913</v>
      </c>
      <c r="M54" s="129" t="s">
        <v>7089</v>
      </c>
      <c r="N54" s="129" t="s">
        <v>6884</v>
      </c>
    </row>
    <row r="55" spans="1:14" ht="24">
      <c r="A55" s="129" t="s">
        <v>7090</v>
      </c>
      <c r="B55" s="129" t="s">
        <v>6876</v>
      </c>
      <c r="C55" s="129" t="s">
        <v>6393</v>
      </c>
      <c r="D55" s="129" t="s">
        <v>7091</v>
      </c>
      <c r="E55" s="129" t="s">
        <v>5827</v>
      </c>
      <c r="F55" s="129" t="s">
        <v>7092</v>
      </c>
      <c r="G55" s="129" t="s">
        <v>7093</v>
      </c>
      <c r="H55" s="129" t="s">
        <v>7094</v>
      </c>
      <c r="I55" s="129" t="s">
        <v>6880</v>
      </c>
      <c r="J55" s="129" t="s">
        <v>6881</v>
      </c>
      <c r="K55" s="129" t="s">
        <v>6939</v>
      </c>
      <c r="L55" s="129" t="s">
        <v>6913</v>
      </c>
      <c r="M55" s="129" t="s">
        <v>7095</v>
      </c>
      <c r="N55" s="129" t="s">
        <v>6884</v>
      </c>
    </row>
    <row r="56" spans="1:14">
      <c r="A56" s="129" t="s">
        <v>7096</v>
      </c>
      <c r="B56" s="129" t="s">
        <v>6876</v>
      </c>
      <c r="C56" s="129" t="s">
        <v>6393</v>
      </c>
      <c r="D56" s="129" t="s">
        <v>7097</v>
      </c>
      <c r="E56" s="129" t="s">
        <v>5838</v>
      </c>
      <c r="F56" s="129" t="s">
        <v>7098</v>
      </c>
      <c r="G56" s="129" t="s">
        <v>7099</v>
      </c>
      <c r="H56" s="129" t="s">
        <v>7100</v>
      </c>
      <c r="I56" s="129" t="s">
        <v>6880</v>
      </c>
      <c r="J56" s="129" t="s">
        <v>7101</v>
      </c>
      <c r="K56" s="129" t="s">
        <v>6946</v>
      </c>
      <c r="L56" s="129" t="s">
        <v>937</v>
      </c>
      <c r="M56" s="129" t="s">
        <v>7102</v>
      </c>
      <c r="N56" s="129" t="s">
        <v>6884</v>
      </c>
    </row>
    <row r="57" spans="1:14">
      <c r="A57" s="129" t="s">
        <v>7103</v>
      </c>
      <c r="B57" s="129" t="s">
        <v>6876</v>
      </c>
      <c r="C57" s="129" t="s">
        <v>6393</v>
      </c>
      <c r="D57" s="129" t="s">
        <v>7104</v>
      </c>
      <c r="E57" s="129" t="s">
        <v>6866</v>
      </c>
      <c r="F57" s="129" t="s">
        <v>7105</v>
      </c>
      <c r="G57" s="129" t="s">
        <v>7106</v>
      </c>
      <c r="H57" s="129" t="s">
        <v>7107</v>
      </c>
      <c r="I57" s="129" t="s">
        <v>6880</v>
      </c>
      <c r="J57" s="129" t="s">
        <v>6881</v>
      </c>
      <c r="K57" s="129" t="s">
        <v>6912</v>
      </c>
      <c r="L57" s="129" t="s">
        <v>6913</v>
      </c>
      <c r="M57" s="129" t="s">
        <v>7108</v>
      </c>
      <c r="N57" s="129" t="s">
        <v>6884</v>
      </c>
    </row>
    <row r="58" spans="1:14" ht="24">
      <c r="A58" s="129" t="s">
        <v>7109</v>
      </c>
      <c r="B58" s="129" t="s">
        <v>6876</v>
      </c>
      <c r="C58" s="129" t="s">
        <v>6393</v>
      </c>
      <c r="D58" s="129" t="s">
        <v>5403</v>
      </c>
      <c r="E58" s="129" t="s">
        <v>6835</v>
      </c>
      <c r="F58" s="129" t="s">
        <v>7110</v>
      </c>
      <c r="G58" s="129" t="s">
        <v>7111</v>
      </c>
      <c r="H58" s="129" t="s">
        <v>7112</v>
      </c>
      <c r="I58" s="129" t="s">
        <v>6880</v>
      </c>
      <c r="J58" s="129" t="s">
        <v>6881</v>
      </c>
      <c r="K58" s="129" t="s">
        <v>7113</v>
      </c>
      <c r="L58" s="129" t="s">
        <v>6913</v>
      </c>
      <c r="M58" s="129" t="s">
        <v>7114</v>
      </c>
      <c r="N58" s="129" t="s">
        <v>6884</v>
      </c>
    </row>
    <row r="59" spans="1:14" ht="24">
      <c r="A59" s="129" t="s">
        <v>7115</v>
      </c>
      <c r="B59" s="129" t="s">
        <v>6876</v>
      </c>
      <c r="C59" s="129" t="s">
        <v>6393</v>
      </c>
      <c r="D59" s="129" t="s">
        <v>5403</v>
      </c>
      <c r="E59" s="129" t="s">
        <v>6840</v>
      </c>
      <c r="F59" s="129" t="s">
        <v>7116</v>
      </c>
      <c r="G59" s="129" t="s">
        <v>7111</v>
      </c>
      <c r="H59" s="129" t="s">
        <v>7112</v>
      </c>
      <c r="I59" s="129" t="s">
        <v>6880</v>
      </c>
      <c r="J59" s="129" t="s">
        <v>6881</v>
      </c>
      <c r="K59" s="129" t="s">
        <v>7113</v>
      </c>
      <c r="L59" s="129" t="s">
        <v>6913</v>
      </c>
      <c r="M59" s="129" t="s">
        <v>7114</v>
      </c>
      <c r="N59" s="129" t="s">
        <v>6884</v>
      </c>
    </row>
    <row r="60" spans="1:14" ht="24">
      <c r="A60" s="129" t="s">
        <v>7117</v>
      </c>
      <c r="B60" s="129" t="s">
        <v>6876</v>
      </c>
      <c r="C60" s="129" t="s">
        <v>6393</v>
      </c>
      <c r="D60" s="129" t="s">
        <v>5403</v>
      </c>
      <c r="E60" s="129" t="s">
        <v>6842</v>
      </c>
      <c r="F60" s="129" t="s">
        <v>7118</v>
      </c>
      <c r="G60" s="129" t="s">
        <v>7111</v>
      </c>
      <c r="H60" s="129" t="s">
        <v>7112</v>
      </c>
      <c r="I60" s="129" t="s">
        <v>6880</v>
      </c>
      <c r="J60" s="129" t="s">
        <v>6881</v>
      </c>
      <c r="K60" s="129" t="s">
        <v>7113</v>
      </c>
      <c r="L60" s="129" t="s">
        <v>6913</v>
      </c>
      <c r="M60" s="129" t="s">
        <v>7114</v>
      </c>
      <c r="N60" s="129" t="s">
        <v>6884</v>
      </c>
    </row>
    <row r="61" spans="1:14">
      <c r="A61" s="129" t="s">
        <v>7119</v>
      </c>
      <c r="B61" s="129" t="s">
        <v>6876</v>
      </c>
      <c r="C61" s="129" t="s">
        <v>6393</v>
      </c>
      <c r="D61" s="129" t="s">
        <v>6773</v>
      </c>
      <c r="E61" s="129" t="s">
        <v>5854</v>
      </c>
      <c r="F61" s="129" t="s">
        <v>7120</v>
      </c>
      <c r="G61" s="129" t="s">
        <v>7121</v>
      </c>
      <c r="H61" s="129" t="s">
        <v>7122</v>
      </c>
      <c r="I61" s="129" t="s">
        <v>6880</v>
      </c>
      <c r="J61" s="129" t="s">
        <v>6881</v>
      </c>
      <c r="K61" s="129" t="s">
        <v>6946</v>
      </c>
      <c r="L61" s="129" t="s">
        <v>6913</v>
      </c>
      <c r="M61" s="129" t="s">
        <v>7123</v>
      </c>
      <c r="N61" s="129" t="s">
        <v>6884</v>
      </c>
    </row>
    <row r="62" spans="1:14">
      <c r="A62" s="129" t="s">
        <v>7124</v>
      </c>
      <c r="B62" s="129" t="s">
        <v>6876</v>
      </c>
      <c r="C62" s="129" t="s">
        <v>6393</v>
      </c>
      <c r="D62" s="129" t="s">
        <v>6773</v>
      </c>
      <c r="E62" s="129" t="s">
        <v>5854</v>
      </c>
      <c r="F62" s="129" t="s">
        <v>7125</v>
      </c>
      <c r="G62" s="129" t="s">
        <v>7126</v>
      </c>
      <c r="H62" s="129" t="s">
        <v>7127</v>
      </c>
      <c r="I62" s="129" t="s">
        <v>6880</v>
      </c>
      <c r="J62" s="129" t="s">
        <v>6881</v>
      </c>
      <c r="K62" s="129" t="s">
        <v>6920</v>
      </c>
      <c r="L62" s="129" t="s">
        <v>6913</v>
      </c>
      <c r="M62" s="129" t="s">
        <v>7123</v>
      </c>
      <c r="N62" s="129" t="s">
        <v>6884</v>
      </c>
    </row>
    <row r="63" spans="1:14">
      <c r="A63" s="129" t="s">
        <v>7128</v>
      </c>
      <c r="B63" s="129" t="s">
        <v>6876</v>
      </c>
      <c r="C63" s="129" t="s">
        <v>6393</v>
      </c>
      <c r="D63" s="129" t="s">
        <v>6777</v>
      </c>
      <c r="E63" s="129" t="s">
        <v>5866</v>
      </c>
      <c r="F63" s="129" t="s">
        <v>7129</v>
      </c>
      <c r="G63" s="129" t="s">
        <v>7130</v>
      </c>
      <c r="H63" s="129" t="s">
        <v>7131</v>
      </c>
      <c r="I63" s="129" t="s">
        <v>6880</v>
      </c>
      <c r="J63" s="129" t="s">
        <v>6881</v>
      </c>
      <c r="K63" s="129" t="s">
        <v>6920</v>
      </c>
      <c r="L63" s="129" t="s">
        <v>6913</v>
      </c>
      <c r="M63" s="129" t="s">
        <v>7132</v>
      </c>
      <c r="N63" s="129" t="s">
        <v>6884</v>
      </c>
    </row>
    <row r="64" spans="1:14">
      <c r="A64" s="129" t="s">
        <v>7133</v>
      </c>
      <c r="B64" s="129" t="s">
        <v>6876</v>
      </c>
      <c r="C64" s="129" t="s">
        <v>6393</v>
      </c>
      <c r="D64" s="129" t="s">
        <v>6777</v>
      </c>
      <c r="E64" s="129" t="s">
        <v>6842</v>
      </c>
      <c r="F64" s="129" t="s">
        <v>7134</v>
      </c>
      <c r="G64" s="129" t="s">
        <v>7135</v>
      </c>
      <c r="H64" s="129" t="s">
        <v>7136</v>
      </c>
      <c r="I64" s="129" t="s">
        <v>6880</v>
      </c>
      <c r="J64" s="129" t="s">
        <v>6881</v>
      </c>
      <c r="K64" s="129" t="s">
        <v>7113</v>
      </c>
      <c r="L64" s="129" t="s">
        <v>6913</v>
      </c>
      <c r="M64" s="129" t="s">
        <v>7137</v>
      </c>
      <c r="N64" s="129" t="s">
        <v>6884</v>
      </c>
    </row>
    <row r="65" spans="1:14" ht="24">
      <c r="A65" s="129" t="s">
        <v>7138</v>
      </c>
      <c r="B65" s="129" t="s">
        <v>6876</v>
      </c>
      <c r="C65" s="129" t="s">
        <v>5487</v>
      </c>
      <c r="D65" s="129" t="s">
        <v>1450</v>
      </c>
      <c r="E65" s="129"/>
      <c r="F65" s="129" t="s">
        <v>7139</v>
      </c>
      <c r="G65" s="129" t="s">
        <v>7140</v>
      </c>
      <c r="H65" s="129" t="s">
        <v>7141</v>
      </c>
      <c r="I65" s="129" t="s">
        <v>6880</v>
      </c>
      <c r="J65" s="129" t="s">
        <v>6881</v>
      </c>
      <c r="K65" s="129" t="s">
        <v>1159</v>
      </c>
      <c r="L65" s="129" t="s">
        <v>6913</v>
      </c>
      <c r="M65" s="129" t="s">
        <v>7142</v>
      </c>
      <c r="N65" s="129" t="s">
        <v>6884</v>
      </c>
    </row>
    <row r="66" spans="1:14" ht="24">
      <c r="A66" s="129" t="s">
        <v>7143</v>
      </c>
      <c r="B66" s="129" t="s">
        <v>6876</v>
      </c>
      <c r="C66" s="129" t="s">
        <v>5459</v>
      </c>
      <c r="D66" s="129" t="s">
        <v>1450</v>
      </c>
      <c r="E66" s="129"/>
      <c r="F66" s="129" t="s">
        <v>7139</v>
      </c>
      <c r="G66" s="129" t="s">
        <v>7140</v>
      </c>
      <c r="H66" s="129" t="s">
        <v>7141</v>
      </c>
      <c r="I66" s="129" t="s">
        <v>6880</v>
      </c>
      <c r="J66" s="129" t="s">
        <v>6881</v>
      </c>
      <c r="K66" s="129" t="s">
        <v>1159</v>
      </c>
      <c r="L66" s="129" t="s">
        <v>6913</v>
      </c>
      <c r="M66" s="129" t="s">
        <v>7142</v>
      </c>
      <c r="N66" s="129" t="s">
        <v>6884</v>
      </c>
    </row>
    <row r="67" spans="1:14" ht="24">
      <c r="A67" s="129" t="s">
        <v>7144</v>
      </c>
      <c r="B67" s="129" t="s">
        <v>6876</v>
      </c>
      <c r="C67" s="129" t="s">
        <v>5496</v>
      </c>
      <c r="D67" s="129" t="s">
        <v>1450</v>
      </c>
      <c r="E67" s="129"/>
      <c r="F67" s="129" t="s">
        <v>7139</v>
      </c>
      <c r="G67" s="129" t="s">
        <v>7140</v>
      </c>
      <c r="H67" s="129" t="s">
        <v>7141</v>
      </c>
      <c r="I67" s="129" t="s">
        <v>6880</v>
      </c>
      <c r="J67" s="129" t="s">
        <v>6881</v>
      </c>
      <c r="K67" s="129" t="s">
        <v>1159</v>
      </c>
      <c r="L67" s="129" t="s">
        <v>6913</v>
      </c>
      <c r="M67" s="129" t="s">
        <v>7142</v>
      </c>
      <c r="N67" s="129" t="s">
        <v>6884</v>
      </c>
    </row>
    <row r="68" spans="1:14" ht="24">
      <c r="A68" s="129" t="s">
        <v>7145</v>
      </c>
      <c r="B68" s="129" t="s">
        <v>6876</v>
      </c>
      <c r="C68" s="129" t="s">
        <v>5501</v>
      </c>
      <c r="D68" s="129" t="s">
        <v>1450</v>
      </c>
      <c r="E68" s="129"/>
      <c r="F68" s="129" t="s">
        <v>7139</v>
      </c>
      <c r="G68" s="129" t="s">
        <v>7140</v>
      </c>
      <c r="H68" s="129" t="s">
        <v>7141</v>
      </c>
      <c r="I68" s="129" t="s">
        <v>6880</v>
      </c>
      <c r="J68" s="129" t="s">
        <v>6881</v>
      </c>
      <c r="K68" s="129" t="s">
        <v>1159</v>
      </c>
      <c r="L68" s="129" t="s">
        <v>6913</v>
      </c>
      <c r="M68" s="129" t="s">
        <v>7142</v>
      </c>
      <c r="N68" s="129" t="s">
        <v>6884</v>
      </c>
    </row>
    <row r="69" spans="1:14" ht="24">
      <c r="A69" s="129" t="s">
        <v>7146</v>
      </c>
      <c r="B69" s="129" t="s">
        <v>6876</v>
      </c>
      <c r="C69" s="129" t="s">
        <v>6340</v>
      </c>
      <c r="D69" s="129" t="s">
        <v>1450</v>
      </c>
      <c r="E69" s="129"/>
      <c r="F69" s="129" t="s">
        <v>7139</v>
      </c>
      <c r="G69" s="129" t="s">
        <v>7140</v>
      </c>
      <c r="H69" s="129" t="s">
        <v>7141</v>
      </c>
      <c r="I69" s="129" t="s">
        <v>6880</v>
      </c>
      <c r="J69" s="129" t="s">
        <v>6881</v>
      </c>
      <c r="K69" s="129" t="s">
        <v>1159</v>
      </c>
      <c r="L69" s="129" t="s">
        <v>6913</v>
      </c>
      <c r="M69" s="129" t="s">
        <v>7142</v>
      </c>
      <c r="N69" s="129" t="s">
        <v>6884</v>
      </c>
    </row>
    <row r="70" spans="1:14" ht="24">
      <c r="A70" s="129" t="s">
        <v>7147</v>
      </c>
      <c r="B70" s="129" t="s">
        <v>6876</v>
      </c>
      <c r="C70" s="129" t="s">
        <v>6393</v>
      </c>
      <c r="D70" s="129" t="s">
        <v>1450</v>
      </c>
      <c r="E70" s="129"/>
      <c r="F70" s="129" t="s">
        <v>7139</v>
      </c>
      <c r="G70" s="129" t="s">
        <v>7140</v>
      </c>
      <c r="H70" s="129" t="s">
        <v>7141</v>
      </c>
      <c r="I70" s="129" t="s">
        <v>6880</v>
      </c>
      <c r="J70" s="129" t="s">
        <v>6881</v>
      </c>
      <c r="K70" s="129" t="s">
        <v>1159</v>
      </c>
      <c r="L70" s="129" t="s">
        <v>6913</v>
      </c>
      <c r="M70" s="129" t="s">
        <v>7142</v>
      </c>
      <c r="N70" s="129" t="s">
        <v>6884</v>
      </c>
    </row>
    <row r="71" spans="1:14" ht="24">
      <c r="A71" s="129" t="s">
        <v>7148</v>
      </c>
      <c r="B71" s="129" t="s">
        <v>6876</v>
      </c>
      <c r="C71" s="129" t="s">
        <v>5487</v>
      </c>
      <c r="D71" s="129" t="s">
        <v>7149</v>
      </c>
      <c r="E71" s="129"/>
      <c r="F71" s="129" t="s">
        <v>7150</v>
      </c>
      <c r="G71" s="129" t="s">
        <v>7151</v>
      </c>
      <c r="H71" s="129" t="s">
        <v>7152</v>
      </c>
      <c r="I71" s="129" t="s">
        <v>6880</v>
      </c>
      <c r="J71" s="129" t="s">
        <v>6881</v>
      </c>
      <c r="K71" s="129" t="s">
        <v>7153</v>
      </c>
      <c r="L71" s="129" t="s">
        <v>937</v>
      </c>
      <c r="M71" s="129" t="s">
        <v>7154</v>
      </c>
      <c r="N71" s="129" t="s">
        <v>6884</v>
      </c>
    </row>
    <row r="72" spans="1:14" ht="24">
      <c r="A72" s="129" t="s">
        <v>7155</v>
      </c>
      <c r="B72" s="129" t="s">
        <v>6876</v>
      </c>
      <c r="C72" s="129" t="s">
        <v>5501</v>
      </c>
      <c r="D72" s="129" t="s">
        <v>7156</v>
      </c>
      <c r="E72" s="129" t="s">
        <v>7157</v>
      </c>
      <c r="F72" s="129" t="s">
        <v>7158</v>
      </c>
      <c r="G72" s="129" t="s">
        <v>7159</v>
      </c>
      <c r="H72" s="129" t="s">
        <v>7160</v>
      </c>
      <c r="I72" s="129" t="s">
        <v>6880</v>
      </c>
      <c r="J72" s="129" t="s">
        <v>6881</v>
      </c>
      <c r="K72" s="129" t="s">
        <v>7161</v>
      </c>
      <c r="L72" s="129" t="s">
        <v>6913</v>
      </c>
      <c r="M72" s="129" t="s">
        <v>7162</v>
      </c>
      <c r="N72" s="129" t="s">
        <v>6884</v>
      </c>
    </row>
    <row r="73" spans="1:14" ht="24">
      <c r="A73" s="129" t="s">
        <v>7163</v>
      </c>
      <c r="B73" s="129" t="s">
        <v>6876</v>
      </c>
      <c r="C73" s="129" t="s">
        <v>5501</v>
      </c>
      <c r="D73" s="129" t="s">
        <v>7164</v>
      </c>
      <c r="E73" s="129" t="s">
        <v>7157</v>
      </c>
      <c r="F73" s="129" t="s">
        <v>7165</v>
      </c>
      <c r="G73" s="129" t="s">
        <v>7166</v>
      </c>
      <c r="H73" s="129" t="s">
        <v>7167</v>
      </c>
      <c r="I73" s="129" t="s">
        <v>6880</v>
      </c>
      <c r="J73" s="129" t="s">
        <v>6881</v>
      </c>
      <c r="K73" s="129" t="s">
        <v>7161</v>
      </c>
      <c r="L73" s="129" t="s">
        <v>6913</v>
      </c>
      <c r="M73" s="129" t="s">
        <v>7168</v>
      </c>
      <c r="N73" s="129" t="s">
        <v>6884</v>
      </c>
    </row>
    <row r="74" spans="1:14" ht="24">
      <c r="A74" s="129" t="s">
        <v>7169</v>
      </c>
      <c r="B74" s="129" t="s">
        <v>6876</v>
      </c>
      <c r="C74" s="129" t="s">
        <v>6315</v>
      </c>
      <c r="D74" s="129" t="s">
        <v>7170</v>
      </c>
      <c r="E74" s="129"/>
      <c r="F74" s="129" t="s">
        <v>7171</v>
      </c>
      <c r="G74" s="129" t="s">
        <v>7172</v>
      </c>
      <c r="H74" s="129" t="s">
        <v>7173</v>
      </c>
      <c r="I74" s="129" t="s">
        <v>6880</v>
      </c>
      <c r="J74" s="129" t="s">
        <v>6881</v>
      </c>
      <c r="K74" s="129" t="s">
        <v>7174</v>
      </c>
      <c r="L74" s="129" t="s">
        <v>937</v>
      </c>
      <c r="M74" s="129" t="s">
        <v>7175</v>
      </c>
      <c r="N74" s="129" t="s">
        <v>6884</v>
      </c>
    </row>
    <row r="75" spans="1:14">
      <c r="A75" s="129" t="s">
        <v>7176</v>
      </c>
      <c r="B75" s="129" t="s">
        <v>6876</v>
      </c>
      <c r="C75" s="129" t="s">
        <v>6315</v>
      </c>
      <c r="D75" s="129" t="s">
        <v>6854</v>
      </c>
      <c r="E75" s="129"/>
      <c r="F75" s="129" t="s">
        <v>7177</v>
      </c>
      <c r="G75" s="129" t="s">
        <v>7178</v>
      </c>
      <c r="H75" s="129" t="s">
        <v>7179</v>
      </c>
      <c r="I75" s="129" t="s">
        <v>6880</v>
      </c>
      <c r="J75" s="129" t="s">
        <v>6881</v>
      </c>
      <c r="K75" s="129" t="s">
        <v>7007</v>
      </c>
      <c r="L75" s="129" t="s">
        <v>937</v>
      </c>
      <c r="M75" s="129" t="s">
        <v>7180</v>
      </c>
      <c r="N75" s="129" t="s">
        <v>6884</v>
      </c>
    </row>
    <row r="76" spans="1:14">
      <c r="A76" s="129" t="s">
        <v>7181</v>
      </c>
      <c r="B76" s="129" t="s">
        <v>6876</v>
      </c>
      <c r="C76" s="129" t="s">
        <v>6315</v>
      </c>
      <c r="D76" s="129" t="s">
        <v>39</v>
      </c>
      <c r="E76" s="129"/>
      <c r="F76" s="129" t="s">
        <v>7182</v>
      </c>
      <c r="G76" s="129" t="s">
        <v>7183</v>
      </c>
      <c r="H76" s="129" t="s">
        <v>7184</v>
      </c>
      <c r="I76" s="129" t="s">
        <v>6880</v>
      </c>
      <c r="J76" s="129" t="s">
        <v>6881</v>
      </c>
      <c r="K76" s="129" t="s">
        <v>7007</v>
      </c>
      <c r="L76" s="129" t="s">
        <v>937</v>
      </c>
      <c r="M76" s="129" t="s">
        <v>6457</v>
      </c>
      <c r="N76" s="129" t="s">
        <v>6884</v>
      </c>
    </row>
    <row r="77" spans="1:14">
      <c r="A77" s="129" t="s">
        <v>7185</v>
      </c>
      <c r="B77" s="129" t="s">
        <v>6876</v>
      </c>
      <c r="C77" s="129" t="s">
        <v>6315</v>
      </c>
      <c r="D77" s="129" t="s">
        <v>156</v>
      </c>
      <c r="E77" s="129"/>
      <c r="F77" s="129" t="s">
        <v>7186</v>
      </c>
      <c r="G77" s="129" t="s">
        <v>7187</v>
      </c>
      <c r="H77" s="129" t="s">
        <v>7188</v>
      </c>
      <c r="I77" s="129" t="s">
        <v>6880</v>
      </c>
      <c r="J77" s="129" t="s">
        <v>6881</v>
      </c>
      <c r="K77" s="129" t="s">
        <v>7007</v>
      </c>
      <c r="L77" s="129" t="s">
        <v>6913</v>
      </c>
      <c r="M77" s="129" t="s">
        <v>7008</v>
      </c>
      <c r="N77" s="129" t="s">
        <v>6884</v>
      </c>
    </row>
    <row r="78" spans="1:14">
      <c r="A78" s="129" t="s">
        <v>5383</v>
      </c>
      <c r="B78" s="129" t="s">
        <v>7189</v>
      </c>
      <c r="C78" s="129" t="s">
        <v>6340</v>
      </c>
      <c r="D78" s="129" t="s">
        <v>5384</v>
      </c>
      <c r="E78" s="129"/>
      <c r="F78" s="129" t="s">
        <v>5385</v>
      </c>
      <c r="G78" s="129" t="s">
        <v>5281</v>
      </c>
      <c r="H78" s="129" t="s">
        <v>5386</v>
      </c>
      <c r="I78" s="129" t="s">
        <v>5386</v>
      </c>
      <c r="J78" s="129" t="s">
        <v>6881</v>
      </c>
      <c r="K78" s="129" t="s">
        <v>7190</v>
      </c>
      <c r="L78" s="129" t="s">
        <v>937</v>
      </c>
      <c r="M78" s="129" t="s">
        <v>7191</v>
      </c>
      <c r="N78" s="129" t="s">
        <v>853</v>
      </c>
    </row>
    <row r="79" spans="1:14">
      <c r="A79" s="129" t="s">
        <v>5388</v>
      </c>
      <c r="B79" s="129" t="s">
        <v>7189</v>
      </c>
      <c r="C79" s="129" t="s">
        <v>6340</v>
      </c>
      <c r="D79" s="129" t="s">
        <v>5389</v>
      </c>
      <c r="E79" s="129"/>
      <c r="F79" s="129" t="s">
        <v>5390</v>
      </c>
      <c r="G79" s="129" t="s">
        <v>5281</v>
      </c>
      <c r="H79" s="129" t="s">
        <v>5257</v>
      </c>
      <c r="I79" s="129" t="s">
        <v>5257</v>
      </c>
      <c r="J79" s="129" t="s">
        <v>6881</v>
      </c>
      <c r="K79" s="129" t="s">
        <v>7190</v>
      </c>
      <c r="L79" s="129" t="s">
        <v>937</v>
      </c>
      <c r="M79" s="129" t="s">
        <v>7191</v>
      </c>
      <c r="N79" s="129" t="s">
        <v>853</v>
      </c>
    </row>
    <row r="80" spans="1:14">
      <c r="A80" s="129" t="s">
        <v>5391</v>
      </c>
      <c r="B80" s="129" t="s">
        <v>7189</v>
      </c>
      <c r="C80" s="129" t="s">
        <v>6340</v>
      </c>
      <c r="D80" s="129" t="s">
        <v>5261</v>
      </c>
      <c r="E80" s="129"/>
      <c r="F80" s="129" t="s">
        <v>5392</v>
      </c>
      <c r="G80" s="129" t="s">
        <v>5281</v>
      </c>
      <c r="H80" s="129" t="s">
        <v>5262</v>
      </c>
      <c r="I80" s="129" t="s">
        <v>5262</v>
      </c>
      <c r="J80" s="129" t="s">
        <v>6881</v>
      </c>
      <c r="K80" s="129" t="s">
        <v>7190</v>
      </c>
      <c r="L80" s="129" t="s">
        <v>937</v>
      </c>
      <c r="M80" s="129" t="s">
        <v>7191</v>
      </c>
      <c r="N80" s="129" t="s">
        <v>853</v>
      </c>
    </row>
    <row r="81" spans="1:14">
      <c r="A81" s="129" t="s">
        <v>5393</v>
      </c>
      <c r="B81" s="129" t="s">
        <v>7189</v>
      </c>
      <c r="C81" s="129" t="s">
        <v>6340</v>
      </c>
      <c r="D81" s="129" t="s">
        <v>5267</v>
      </c>
      <c r="E81" s="129"/>
      <c r="F81" s="129" t="s">
        <v>13</v>
      </c>
      <c r="G81" s="129" t="s">
        <v>5281</v>
      </c>
      <c r="H81" s="129" t="s">
        <v>5268</v>
      </c>
      <c r="I81" s="129" t="s">
        <v>5268</v>
      </c>
      <c r="J81" s="129" t="s">
        <v>6881</v>
      </c>
      <c r="K81" s="129" t="s">
        <v>7190</v>
      </c>
      <c r="L81" s="129" t="s">
        <v>937</v>
      </c>
      <c r="M81" s="129" t="s">
        <v>7191</v>
      </c>
      <c r="N81" s="129" t="s">
        <v>853</v>
      </c>
    </row>
    <row r="82" spans="1:14">
      <c r="A82" s="129" t="s">
        <v>5394</v>
      </c>
      <c r="B82" s="129" t="s">
        <v>7189</v>
      </c>
      <c r="C82" s="129" t="s">
        <v>6340</v>
      </c>
      <c r="D82" s="129" t="s">
        <v>1462</v>
      </c>
      <c r="E82" s="129"/>
      <c r="F82" s="129" t="s">
        <v>5395</v>
      </c>
      <c r="G82" s="129" t="s">
        <v>5281</v>
      </c>
      <c r="H82" s="129" t="s">
        <v>5396</v>
      </c>
      <c r="I82" s="129" t="s">
        <v>5396</v>
      </c>
      <c r="J82" s="129" t="s">
        <v>6881</v>
      </c>
      <c r="K82" s="129" t="s">
        <v>7190</v>
      </c>
      <c r="L82" s="129" t="s">
        <v>937</v>
      </c>
      <c r="M82" s="129" t="s">
        <v>7191</v>
      </c>
      <c r="N82" s="129" t="s">
        <v>853</v>
      </c>
    </row>
    <row r="83" spans="1:14">
      <c r="A83" s="129" t="s">
        <v>5397</v>
      </c>
      <c r="B83" s="129" t="s">
        <v>7189</v>
      </c>
      <c r="C83" s="129" t="s">
        <v>6340</v>
      </c>
      <c r="D83" s="129" t="s">
        <v>1459</v>
      </c>
      <c r="E83" s="129"/>
      <c r="F83" s="129" t="s">
        <v>5398</v>
      </c>
      <c r="G83" s="129" t="s">
        <v>5281</v>
      </c>
      <c r="H83" s="129" t="s">
        <v>5280</v>
      </c>
      <c r="I83" s="129" t="s">
        <v>5280</v>
      </c>
      <c r="J83" s="129" t="s">
        <v>6881</v>
      </c>
      <c r="K83" s="129" t="s">
        <v>7190</v>
      </c>
      <c r="L83" s="129" t="s">
        <v>937</v>
      </c>
      <c r="M83" s="129" t="s">
        <v>7191</v>
      </c>
      <c r="N83" s="129" t="s">
        <v>853</v>
      </c>
    </row>
    <row r="84" spans="1:14">
      <c r="A84" s="129" t="s">
        <v>5399</v>
      </c>
      <c r="B84" s="129" t="s">
        <v>7189</v>
      </c>
      <c r="C84" s="129" t="s">
        <v>6340</v>
      </c>
      <c r="D84" s="129" t="s">
        <v>4941</v>
      </c>
      <c r="E84" s="129"/>
      <c r="F84" s="129" t="s">
        <v>5400</v>
      </c>
      <c r="G84" s="129" t="s">
        <v>5281</v>
      </c>
      <c r="H84" s="129" t="s">
        <v>5401</v>
      </c>
      <c r="I84" s="129" t="s">
        <v>5401</v>
      </c>
      <c r="J84" s="129" t="s">
        <v>6881</v>
      </c>
      <c r="K84" s="129" t="s">
        <v>7190</v>
      </c>
      <c r="L84" s="129" t="s">
        <v>937</v>
      </c>
      <c r="M84" s="129" t="s">
        <v>7191</v>
      </c>
      <c r="N84" s="129" t="s">
        <v>853</v>
      </c>
    </row>
    <row r="85" spans="1:14">
      <c r="A85" s="129" t="s">
        <v>5402</v>
      </c>
      <c r="B85" s="129" t="s">
        <v>7189</v>
      </c>
      <c r="C85" s="129" t="s">
        <v>6340</v>
      </c>
      <c r="D85" s="129" t="s">
        <v>5403</v>
      </c>
      <c r="E85" s="129"/>
      <c r="F85" s="129" t="s">
        <v>5404</v>
      </c>
      <c r="G85" s="129" t="s">
        <v>5281</v>
      </c>
      <c r="H85" s="129" t="s">
        <v>4707</v>
      </c>
      <c r="I85" s="129" t="s">
        <v>4707</v>
      </c>
      <c r="J85" s="129" t="s">
        <v>6881</v>
      </c>
      <c r="K85" s="129" t="s">
        <v>7190</v>
      </c>
      <c r="L85" s="129" t="s">
        <v>937</v>
      </c>
      <c r="M85" s="129" t="s">
        <v>7191</v>
      </c>
      <c r="N85" s="129" t="s">
        <v>853</v>
      </c>
    </row>
    <row r="86" spans="1:14">
      <c r="A86" s="129" t="s">
        <v>5405</v>
      </c>
      <c r="B86" s="129" t="s">
        <v>7189</v>
      </c>
      <c r="C86" s="129" t="s">
        <v>6340</v>
      </c>
      <c r="D86" s="129" t="s">
        <v>5406</v>
      </c>
      <c r="E86" s="129"/>
      <c r="F86" s="129" t="s">
        <v>5407</v>
      </c>
      <c r="G86" s="129" t="s">
        <v>5281</v>
      </c>
      <c r="H86" s="129" t="s">
        <v>4701</v>
      </c>
      <c r="I86" s="129" t="s">
        <v>4701</v>
      </c>
      <c r="J86" s="129" t="s">
        <v>6881</v>
      </c>
      <c r="K86" s="129" t="s">
        <v>7190</v>
      </c>
      <c r="L86" s="129" t="s">
        <v>937</v>
      </c>
      <c r="M86" s="129" t="s">
        <v>7191</v>
      </c>
      <c r="N86" s="129" t="s">
        <v>853</v>
      </c>
    </row>
    <row r="87" spans="1:14">
      <c r="A87" s="129" t="s">
        <v>5408</v>
      </c>
      <c r="B87" s="129" t="s">
        <v>7189</v>
      </c>
      <c r="C87" s="129" t="s">
        <v>6340</v>
      </c>
      <c r="D87" s="129" t="s">
        <v>1268</v>
      </c>
      <c r="E87" s="129"/>
      <c r="F87" s="129" t="s">
        <v>5409</v>
      </c>
      <c r="G87" s="129" t="s">
        <v>5281</v>
      </c>
      <c r="H87" s="129" t="s">
        <v>5376</v>
      </c>
      <c r="I87" s="129" t="s">
        <v>5376</v>
      </c>
      <c r="J87" s="129" t="s">
        <v>6881</v>
      </c>
      <c r="K87" s="129" t="s">
        <v>7190</v>
      </c>
      <c r="L87" s="129" t="s">
        <v>937</v>
      </c>
      <c r="M87" s="129" t="s">
        <v>7191</v>
      </c>
      <c r="N87" s="129" t="s">
        <v>853</v>
      </c>
    </row>
    <row r="88" spans="1:14">
      <c r="A88" s="129" t="s">
        <v>5410</v>
      </c>
      <c r="B88" s="129" t="s">
        <v>7189</v>
      </c>
      <c r="C88" s="129" t="s">
        <v>6340</v>
      </c>
      <c r="D88" s="129" t="s">
        <v>1261</v>
      </c>
      <c r="E88" s="129"/>
      <c r="F88" s="129" t="s">
        <v>5411</v>
      </c>
      <c r="G88" s="129" t="s">
        <v>5281</v>
      </c>
      <c r="H88" s="129" t="s">
        <v>5376</v>
      </c>
      <c r="I88" s="129" t="s">
        <v>5376</v>
      </c>
      <c r="J88" s="129" t="s">
        <v>6881</v>
      </c>
      <c r="K88" s="129" t="s">
        <v>7190</v>
      </c>
      <c r="L88" s="129" t="s">
        <v>937</v>
      </c>
      <c r="M88" s="129" t="s">
        <v>7191</v>
      </c>
      <c r="N88" s="129" t="s">
        <v>853</v>
      </c>
    </row>
    <row r="89" spans="1:14">
      <c r="A89" s="129" t="s">
        <v>5412</v>
      </c>
      <c r="B89" s="129" t="s">
        <v>7189</v>
      </c>
      <c r="C89" s="129" t="s">
        <v>6340</v>
      </c>
      <c r="D89" s="129" t="s">
        <v>5413</v>
      </c>
      <c r="E89" s="129"/>
      <c r="F89" s="129" t="s">
        <v>5414</v>
      </c>
      <c r="G89" s="129" t="s">
        <v>5281</v>
      </c>
      <c r="H89" s="129" t="s">
        <v>4699</v>
      </c>
      <c r="I89" s="129" t="s">
        <v>4699</v>
      </c>
      <c r="J89" s="129" t="s">
        <v>6881</v>
      </c>
      <c r="K89" s="129" t="s">
        <v>7190</v>
      </c>
      <c r="L89" s="129" t="s">
        <v>937</v>
      </c>
      <c r="M89" s="129" t="s">
        <v>7191</v>
      </c>
      <c r="N89" s="129" t="s">
        <v>853</v>
      </c>
    </row>
    <row r="90" spans="1:14">
      <c r="A90" s="129" t="s">
        <v>5415</v>
      </c>
      <c r="B90" s="129" t="s">
        <v>7189</v>
      </c>
      <c r="C90" s="129" t="s">
        <v>6340</v>
      </c>
      <c r="D90" s="129" t="s">
        <v>5413</v>
      </c>
      <c r="E90" s="129"/>
      <c r="F90" s="129" t="s">
        <v>5416</v>
      </c>
      <c r="G90" s="129" t="s">
        <v>5281</v>
      </c>
      <c r="H90" s="129" t="s">
        <v>4699</v>
      </c>
      <c r="I90" s="129" t="s">
        <v>4699</v>
      </c>
      <c r="J90" s="129" t="s">
        <v>6881</v>
      </c>
      <c r="K90" s="129" t="s">
        <v>7190</v>
      </c>
      <c r="L90" s="129" t="s">
        <v>937</v>
      </c>
      <c r="M90" s="129" t="s">
        <v>7191</v>
      </c>
      <c r="N90" s="129" t="s">
        <v>853</v>
      </c>
    </row>
    <row r="91" spans="1:14">
      <c r="A91" s="129" t="s">
        <v>5417</v>
      </c>
      <c r="B91" s="129" t="s">
        <v>7189</v>
      </c>
      <c r="C91" s="129" t="s">
        <v>6340</v>
      </c>
      <c r="D91" s="129" t="s">
        <v>5418</v>
      </c>
      <c r="E91" s="129"/>
      <c r="F91" s="129" t="s">
        <v>5419</v>
      </c>
      <c r="G91" s="129" t="s">
        <v>5281</v>
      </c>
      <c r="H91" s="129" t="s">
        <v>5386</v>
      </c>
      <c r="I91" s="129" t="s">
        <v>5386</v>
      </c>
      <c r="J91" s="129" t="s">
        <v>6881</v>
      </c>
      <c r="K91" s="129" t="s">
        <v>7190</v>
      </c>
      <c r="L91" s="129" t="s">
        <v>937</v>
      </c>
      <c r="M91" s="129" t="s">
        <v>7191</v>
      </c>
      <c r="N91" s="129" t="s">
        <v>853</v>
      </c>
    </row>
    <row r="92" spans="1:14">
      <c r="A92" s="129" t="s">
        <v>5420</v>
      </c>
      <c r="B92" s="129" t="s">
        <v>7189</v>
      </c>
      <c r="C92" s="129" t="s">
        <v>6340</v>
      </c>
      <c r="D92" s="129" t="s">
        <v>5421</v>
      </c>
      <c r="E92" s="129"/>
      <c r="F92" s="129" t="s">
        <v>5422</v>
      </c>
      <c r="G92" s="129" t="s">
        <v>5281</v>
      </c>
      <c r="H92" s="129" t="s">
        <v>4707</v>
      </c>
      <c r="I92" s="129" t="s">
        <v>4707</v>
      </c>
      <c r="J92" s="129" t="s">
        <v>6881</v>
      </c>
      <c r="K92" s="129" t="s">
        <v>7190</v>
      </c>
      <c r="L92" s="129" t="s">
        <v>937</v>
      </c>
      <c r="M92" s="129" t="s">
        <v>7191</v>
      </c>
      <c r="N92" s="129" t="s">
        <v>853</v>
      </c>
    </row>
    <row r="93" spans="1:14">
      <c r="A93" s="129" t="s">
        <v>5423</v>
      </c>
      <c r="B93" s="129" t="s">
        <v>7189</v>
      </c>
      <c r="C93" s="129" t="s">
        <v>6340</v>
      </c>
      <c r="D93" s="129" t="s">
        <v>1415</v>
      </c>
      <c r="E93" s="129"/>
      <c r="F93" s="129" t="s">
        <v>5424</v>
      </c>
      <c r="G93" s="129" t="s">
        <v>5281</v>
      </c>
      <c r="H93" s="129" t="s">
        <v>5376</v>
      </c>
      <c r="I93" s="129" t="s">
        <v>5376</v>
      </c>
      <c r="J93" s="129" t="s">
        <v>6881</v>
      </c>
      <c r="K93" s="129" t="s">
        <v>7190</v>
      </c>
      <c r="L93" s="129" t="s">
        <v>937</v>
      </c>
      <c r="M93" s="129" t="s">
        <v>7191</v>
      </c>
      <c r="N93" s="129" t="s">
        <v>853</v>
      </c>
    </row>
    <row r="94" spans="1:14">
      <c r="A94" t="s">
        <v>5425</v>
      </c>
      <c r="B94" t="s">
        <v>7192</v>
      </c>
      <c r="C94" t="s">
        <v>6340</v>
      </c>
      <c r="D94" t="s">
        <v>1436</v>
      </c>
      <c r="F94" t="s">
        <v>7193</v>
      </c>
      <c r="G94" t="s">
        <v>7194</v>
      </c>
      <c r="H94" t="s">
        <v>7195</v>
      </c>
      <c r="I94" t="s">
        <v>7195</v>
      </c>
      <c r="J94" t="s">
        <v>6881</v>
      </c>
      <c r="K94" t="s">
        <v>7190</v>
      </c>
      <c r="L94" t="s">
        <v>937</v>
      </c>
      <c r="M94" t="s">
        <v>7196</v>
      </c>
      <c r="N94" t="s">
        <v>853</v>
      </c>
    </row>
    <row r="95" spans="1:14">
      <c r="A95" t="s">
        <v>7197</v>
      </c>
      <c r="B95" t="s">
        <v>7198</v>
      </c>
      <c r="C95" t="s">
        <v>6340</v>
      </c>
      <c r="D95" t="s">
        <v>7199</v>
      </c>
      <c r="F95" t="s">
        <v>7200</v>
      </c>
      <c r="G95" t="s">
        <v>7201</v>
      </c>
      <c r="H95" t="s">
        <v>7202</v>
      </c>
      <c r="I95" t="s">
        <v>7203</v>
      </c>
      <c r="J95" t="s">
        <v>6881</v>
      </c>
      <c r="K95" t="s">
        <v>7174</v>
      </c>
      <c r="L95" t="s">
        <v>6913</v>
      </c>
      <c r="M95" t="s">
        <v>7204</v>
      </c>
      <c r="N95" t="s">
        <v>853</v>
      </c>
    </row>
    <row r="96" spans="1:14">
      <c r="A96" t="s">
        <v>7205</v>
      </c>
      <c r="B96" t="s">
        <v>7206</v>
      </c>
      <c r="C96" t="s">
        <v>6340</v>
      </c>
      <c r="D96" t="s">
        <v>7207</v>
      </c>
      <c r="F96" t="s">
        <v>7208</v>
      </c>
      <c r="G96" t="s">
        <v>7209</v>
      </c>
      <c r="H96" t="s">
        <v>7210</v>
      </c>
      <c r="I96" t="s">
        <v>7211</v>
      </c>
      <c r="J96" t="s">
        <v>6881</v>
      </c>
      <c r="K96" t="s">
        <v>7212</v>
      </c>
      <c r="L96" t="s">
        <v>937</v>
      </c>
      <c r="M96" t="s">
        <v>7213</v>
      </c>
      <c r="N96" t="s">
        <v>853</v>
      </c>
    </row>
    <row r="97" spans="1:14">
      <c r="A97" t="s">
        <v>7214</v>
      </c>
      <c r="B97" t="s">
        <v>7215</v>
      </c>
      <c r="C97" t="s">
        <v>6340</v>
      </c>
      <c r="D97" t="s">
        <v>7216</v>
      </c>
      <c r="F97" t="s">
        <v>7217</v>
      </c>
      <c r="G97" t="s">
        <v>7218</v>
      </c>
      <c r="H97" t="s">
        <v>7219</v>
      </c>
      <c r="I97" t="s">
        <v>7220</v>
      </c>
      <c r="J97" t="s">
        <v>6881</v>
      </c>
      <c r="K97" t="s">
        <v>7212</v>
      </c>
      <c r="L97" t="s">
        <v>6913</v>
      </c>
      <c r="M97" t="s">
        <v>7221</v>
      </c>
      <c r="N97" t="s">
        <v>853</v>
      </c>
    </row>
    <row r="98" spans="1:14">
      <c r="A98" t="s">
        <v>7222</v>
      </c>
      <c r="B98" t="s">
        <v>1152</v>
      </c>
      <c r="C98" t="s">
        <v>6340</v>
      </c>
      <c r="D98" t="s">
        <v>7223</v>
      </c>
      <c r="F98" t="s">
        <v>7224</v>
      </c>
      <c r="G98" t="s">
        <v>7225</v>
      </c>
      <c r="H98" t="s">
        <v>7226</v>
      </c>
      <c r="I98" t="s">
        <v>7227</v>
      </c>
      <c r="J98" t="s">
        <v>6881</v>
      </c>
      <c r="K98" t="s">
        <v>7190</v>
      </c>
      <c r="L98" t="s">
        <v>6907</v>
      </c>
      <c r="M98" t="s">
        <v>7228</v>
      </c>
      <c r="N98" t="s">
        <v>853</v>
      </c>
    </row>
    <row r="99" spans="1:14">
      <c r="A99" t="s">
        <v>7897</v>
      </c>
      <c r="B99" t="s">
        <v>7898</v>
      </c>
      <c r="C99" t="s">
        <v>6340</v>
      </c>
      <c r="D99" t="s">
        <v>688</v>
      </c>
      <c r="F99" t="s">
        <v>7899</v>
      </c>
      <c r="G99" t="s">
        <v>7900</v>
      </c>
      <c r="H99" t="s">
        <v>7901</v>
      </c>
      <c r="I99" t="s">
        <v>7902</v>
      </c>
      <c r="J99" t="s">
        <v>6881</v>
      </c>
      <c r="K99" t="s">
        <v>7212</v>
      </c>
      <c r="L99" t="s">
        <v>6913</v>
      </c>
      <c r="M99" t="s">
        <v>7903</v>
      </c>
      <c r="N99" t="s">
        <v>853</v>
      </c>
    </row>
    <row r="100" spans="1:14">
      <c r="A100" t="s">
        <v>7897</v>
      </c>
      <c r="B100" t="s">
        <v>7898</v>
      </c>
      <c r="C100" t="s">
        <v>6340</v>
      </c>
      <c r="D100" t="s">
        <v>688</v>
      </c>
      <c r="F100" t="s">
        <v>7899</v>
      </c>
      <c r="G100" t="s">
        <v>7900</v>
      </c>
      <c r="H100" t="s">
        <v>7901</v>
      </c>
      <c r="I100" t="s">
        <v>7902</v>
      </c>
      <c r="J100" t="s">
        <v>6881</v>
      </c>
      <c r="K100" t="s">
        <v>7212</v>
      </c>
      <c r="L100" t="s">
        <v>6913</v>
      </c>
      <c r="M100" t="s">
        <v>7903</v>
      </c>
      <c r="N100" t="s">
        <v>853</v>
      </c>
    </row>
  </sheetData>
  <mergeCells count="2">
    <mergeCell ref="A1:N1"/>
    <mergeCell ref="A3:N3"/>
  </mergeCell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99"/>
  <sheetViews>
    <sheetView workbookViewId="0">
      <selection activeCell="Q17" sqref="Q17:Q18"/>
    </sheetView>
  </sheetViews>
  <sheetFormatPr baseColWidth="10" defaultColWidth="9" defaultRowHeight="14.25"/>
  <cols>
    <col min="1" max="14" width="12" customWidth="1"/>
  </cols>
  <sheetData>
    <row r="1" spans="1:14">
      <c r="A1" t="s">
        <v>7229</v>
      </c>
    </row>
    <row r="3" spans="1:14">
      <c r="A3" t="s">
        <v>7230</v>
      </c>
    </row>
    <row r="5" spans="1:14">
      <c r="A5" t="str">
        <f>HYPERLINK("#'INICIO'!A1","INICIO")</f>
        <v>INICIO</v>
      </c>
      <c r="B5" t="str">
        <f>HYPERLINK("#'DATOS'!A1","DATOS")</f>
        <v>DATOS</v>
      </c>
      <c r="C5" t="str">
        <f>HYPERLINK("#'ENERGÍA'!A1","ENERGÍA")</f>
        <v>ENERGÍA</v>
      </c>
      <c r="D5" t="str">
        <f>HYPERLINK("#'MACRONUTRIENTES'!A1","MACRONUTRIENTES")</f>
        <v>MACRONUTRIENTES</v>
      </c>
      <c r="E5" t="str">
        <f>HYPERLINK("#'AGUA_FIBRA'!A1","AGUA/FIBRA")</f>
        <v>AGUA/FIBRA</v>
      </c>
      <c r="F5" t="str">
        <f>HYPERLINK("#'FICHA_NUTRIENTE'!A1","FICHA/NUTRIENTE")</f>
        <v>FICHA/NUTRIENTE</v>
      </c>
      <c r="G5" t="str">
        <f>HYPERLINK("#'RESULTADOS'!A1","RESULTADOS")</f>
        <v>RESULTADOS</v>
      </c>
      <c r="H5" t="str">
        <f>HYPERLINK("#'DOCUMENTACIÓN'!A1","DOCUMENTACIÓN")</f>
        <v>DOCUMENTACIÓN</v>
      </c>
      <c r="I5" t="str">
        <f>HYPERLINK("#'COBERTURA'!A1","COBERTURA")</f>
        <v>COBERTURA</v>
      </c>
      <c r="J5" t="str">
        <f>HYPERLINK("#'AUDITORÍA_FINAL'!A1","AUDITORÍA")</f>
        <v>AUDITORÍA</v>
      </c>
      <c r="K5" s="152" t="str">
        <f>HYPERLINK("#'CASOS_CLÍNICOS'!A1","VOLVER A CASOS CLÍNICOS")</f>
        <v>VOLVER A CASOS CLÍNICOS</v>
      </c>
      <c r="L5" s="152"/>
      <c r="M5" s="152"/>
      <c r="N5" s="152"/>
    </row>
    <row r="7" spans="1:14" ht="21.95" customHeight="1">
      <c r="A7" s="152" t="s">
        <v>314</v>
      </c>
      <c r="B7" s="152"/>
      <c r="C7" s="152" t="s">
        <v>7231</v>
      </c>
      <c r="D7" s="152"/>
      <c r="E7" s="152" t="s">
        <v>188</v>
      </c>
      <c r="F7" s="152"/>
      <c r="G7" s="152" t="s">
        <v>7232</v>
      </c>
      <c r="H7" s="152"/>
      <c r="I7" s="152" t="s">
        <v>437</v>
      </c>
      <c r="J7" s="152"/>
      <c r="K7" s="301" t="s">
        <v>7233</v>
      </c>
      <c r="L7" s="301"/>
      <c r="M7" s="301"/>
      <c r="N7" s="301"/>
    </row>
    <row r="9" spans="1:14" ht="24" customHeight="1">
      <c r="A9" s="301" t="s">
        <v>7234</v>
      </c>
      <c r="B9" s="301"/>
      <c r="C9" s="301"/>
      <c r="D9" s="301"/>
      <c r="E9" s="301"/>
      <c r="F9" s="301"/>
      <c r="G9" s="301"/>
      <c r="H9" s="301"/>
      <c r="I9" s="301"/>
      <c r="J9" s="301"/>
      <c r="K9" s="301"/>
      <c r="L9" s="301"/>
      <c r="M9" s="301"/>
      <c r="N9" s="301"/>
    </row>
    <row r="10" spans="1:14" ht="20.100000000000001" customHeight="1">
      <c r="A10" s="152" t="s">
        <v>438</v>
      </c>
      <c r="B10" s="152"/>
      <c r="C10" s="152"/>
      <c r="D10" s="152"/>
      <c r="E10" s="152"/>
      <c r="F10" s="152"/>
      <c r="G10" s="152"/>
      <c r="H10" s="152" t="s">
        <v>439</v>
      </c>
      <c r="I10" s="152"/>
      <c r="J10" s="152"/>
      <c r="K10" s="152"/>
      <c r="L10" s="152"/>
      <c r="M10" s="152"/>
      <c r="N10" s="152"/>
    </row>
    <row r="11" spans="1:14" ht="21.95" customHeight="1">
      <c r="A11" s="295" t="s">
        <v>7235</v>
      </c>
      <c r="B11" s="295"/>
      <c r="C11" s="295"/>
      <c r="D11" s="295"/>
      <c r="E11" s="295"/>
      <c r="F11" s="295"/>
      <c r="G11" s="295"/>
      <c r="H11" s="295" t="s">
        <v>7236</v>
      </c>
      <c r="I11" s="295"/>
      <c r="J11" s="295"/>
      <c r="K11" s="295"/>
      <c r="L11" s="295"/>
      <c r="M11" s="295"/>
      <c r="N11" s="295"/>
    </row>
    <row r="12" spans="1:14" ht="21.95" customHeight="1">
      <c r="A12" s="295"/>
      <c r="B12" s="295"/>
      <c r="C12" s="295"/>
      <c r="D12" s="295"/>
      <c r="E12" s="295"/>
      <c r="F12" s="295"/>
      <c r="G12" s="295"/>
      <c r="H12" s="295"/>
      <c r="I12" s="295"/>
      <c r="J12" s="295"/>
      <c r="K12" s="295"/>
      <c r="L12" s="295"/>
      <c r="M12" s="295"/>
      <c r="N12" s="295"/>
    </row>
    <row r="13" spans="1:14" ht="21.95" customHeight="1">
      <c r="A13" s="295"/>
      <c r="B13" s="295"/>
      <c r="C13" s="295"/>
      <c r="D13" s="295"/>
      <c r="E13" s="295"/>
      <c r="F13" s="295"/>
      <c r="G13" s="295"/>
      <c r="H13" s="295"/>
      <c r="I13" s="295"/>
      <c r="J13" s="295"/>
      <c r="K13" s="295"/>
      <c r="L13" s="295"/>
      <c r="M13" s="295"/>
      <c r="N13" s="295"/>
    </row>
    <row r="14" spans="1:14" ht="21.95" customHeight="1">
      <c r="A14" s="295"/>
      <c r="B14" s="295"/>
      <c r="C14" s="295"/>
      <c r="D14" s="295"/>
      <c r="E14" s="295"/>
      <c r="F14" s="295"/>
      <c r="G14" s="295"/>
      <c r="H14" s="295"/>
      <c r="I14" s="295"/>
      <c r="J14" s="295"/>
      <c r="K14" s="295"/>
      <c r="L14" s="295"/>
      <c r="M14" s="295"/>
      <c r="N14" s="295"/>
    </row>
    <row r="16" spans="1:14" ht="20.100000000000001" customHeight="1">
      <c r="A16" s="152" t="s">
        <v>440</v>
      </c>
      <c r="B16" s="152"/>
      <c r="C16" s="152"/>
      <c r="D16" s="152"/>
      <c r="E16" s="152"/>
      <c r="F16" s="152"/>
      <c r="G16" s="152"/>
      <c r="H16" s="152" t="s">
        <v>441</v>
      </c>
      <c r="I16" s="152"/>
      <c r="J16" s="152"/>
      <c r="K16" s="152"/>
      <c r="L16" s="152"/>
      <c r="M16" s="152"/>
      <c r="N16" s="152"/>
    </row>
    <row r="17" spans="1:14" ht="21.95" customHeight="1">
      <c r="A17" s="295" t="s">
        <v>7237</v>
      </c>
      <c r="B17" s="295"/>
      <c r="C17" s="295"/>
      <c r="D17" s="295"/>
      <c r="E17" s="295"/>
      <c r="F17" s="295"/>
      <c r="G17" s="295"/>
      <c r="H17" s="295" t="s">
        <v>7238</v>
      </c>
      <c r="I17" s="295"/>
      <c r="J17" s="295"/>
      <c r="K17" s="295"/>
      <c r="L17" s="295"/>
      <c r="M17" s="295"/>
      <c r="N17" s="295"/>
    </row>
    <row r="18" spans="1:14" ht="21.95" customHeight="1">
      <c r="A18" s="295"/>
      <c r="B18" s="295"/>
      <c r="C18" s="295"/>
      <c r="D18" s="295"/>
      <c r="E18" s="295"/>
      <c r="F18" s="295"/>
      <c r="G18" s="295"/>
      <c r="H18" s="295"/>
      <c r="I18" s="295"/>
      <c r="J18" s="295"/>
      <c r="K18" s="295"/>
      <c r="L18" s="295"/>
      <c r="M18" s="295"/>
      <c r="N18" s="295"/>
    </row>
    <row r="19" spans="1:14" ht="21.95" customHeight="1">
      <c r="A19" s="295"/>
      <c r="B19" s="295"/>
      <c r="C19" s="295"/>
      <c r="D19" s="295"/>
      <c r="E19" s="295"/>
      <c r="F19" s="295"/>
      <c r="G19" s="295"/>
      <c r="H19" s="295"/>
      <c r="I19" s="295"/>
      <c r="J19" s="295"/>
      <c r="K19" s="295"/>
      <c r="L19" s="295"/>
      <c r="M19" s="295"/>
      <c r="N19" s="295"/>
    </row>
    <row r="20" spans="1:14" ht="21.95" customHeight="1">
      <c r="A20" s="295"/>
      <c r="B20" s="295"/>
      <c r="C20" s="295"/>
      <c r="D20" s="295"/>
      <c r="E20" s="295"/>
      <c r="F20" s="295"/>
      <c r="G20" s="295"/>
      <c r="H20" s="295"/>
      <c r="I20" s="295"/>
      <c r="J20" s="295"/>
      <c r="K20" s="295"/>
      <c r="L20" s="295"/>
      <c r="M20" s="295"/>
      <c r="N20" s="295"/>
    </row>
    <row r="22" spans="1:14" ht="20.100000000000001" customHeight="1">
      <c r="A22" s="152" t="s">
        <v>442</v>
      </c>
      <c r="B22" s="152"/>
      <c r="C22" s="152"/>
      <c r="D22" s="152"/>
      <c r="E22" s="152"/>
      <c r="F22" s="152"/>
      <c r="G22" s="152"/>
      <c r="H22" s="152" t="s">
        <v>443</v>
      </c>
      <c r="I22" s="152"/>
      <c r="J22" s="152"/>
      <c r="K22" s="152"/>
      <c r="L22" s="152"/>
      <c r="M22" s="152"/>
      <c r="N22" s="152"/>
    </row>
    <row r="23" spans="1:14" ht="24" customHeight="1">
      <c r="A23" s="295" t="s">
        <v>7239</v>
      </c>
      <c r="B23" s="295"/>
      <c r="C23" s="295"/>
      <c r="D23" s="295"/>
      <c r="E23" s="295"/>
      <c r="F23" s="295"/>
      <c r="G23" s="295"/>
      <c r="H23" s="296" t="s">
        <v>7240</v>
      </c>
      <c r="I23" s="296"/>
      <c r="J23" s="296"/>
      <c r="K23" s="296"/>
      <c r="L23" s="296"/>
      <c r="M23" s="296"/>
      <c r="N23" s="296"/>
    </row>
    <row r="24" spans="1:14" ht="24" customHeight="1">
      <c r="A24" s="295"/>
      <c r="B24" s="295"/>
      <c r="C24" s="295"/>
      <c r="D24" s="295"/>
      <c r="E24" s="295"/>
      <c r="F24" s="295"/>
      <c r="G24" s="295"/>
      <c r="H24" s="296"/>
      <c r="I24" s="296"/>
      <c r="J24" s="296"/>
      <c r="K24" s="296"/>
      <c r="L24" s="296"/>
      <c r="M24" s="296"/>
      <c r="N24" s="296"/>
    </row>
    <row r="25" spans="1:14" ht="24" customHeight="1">
      <c r="A25" s="295"/>
      <c r="B25" s="295"/>
      <c r="C25" s="295"/>
      <c r="D25" s="295"/>
      <c r="E25" s="295"/>
      <c r="F25" s="295"/>
      <c r="G25" s="295"/>
      <c r="H25" s="296"/>
      <c r="I25" s="296"/>
      <c r="J25" s="296"/>
      <c r="K25" s="296"/>
      <c r="L25" s="296"/>
      <c r="M25" s="296"/>
      <c r="N25" s="296"/>
    </row>
    <row r="26" spans="1:14" ht="24" customHeight="1">
      <c r="A26" s="295"/>
      <c r="B26" s="295"/>
      <c r="C26" s="295"/>
      <c r="D26" s="295"/>
      <c r="E26" s="295"/>
      <c r="F26" s="295"/>
      <c r="G26" s="295"/>
      <c r="H26" s="296"/>
      <c r="I26" s="296"/>
      <c r="J26" s="296"/>
      <c r="K26" s="296"/>
      <c r="L26" s="296"/>
      <c r="M26" s="296"/>
      <c r="N26" s="296"/>
    </row>
    <row r="28" spans="1:14" ht="20.100000000000001" customHeight="1">
      <c r="A28" s="152" t="s">
        <v>444</v>
      </c>
      <c r="B28" s="152"/>
      <c r="C28" s="152"/>
      <c r="D28" s="152"/>
      <c r="E28" s="152"/>
      <c r="F28" s="152"/>
      <c r="G28" s="152"/>
      <c r="H28" s="152"/>
      <c r="I28" s="152"/>
      <c r="J28" s="152"/>
      <c r="K28" s="152"/>
      <c r="L28" s="152"/>
      <c r="M28" s="152"/>
      <c r="N28" s="152"/>
    </row>
    <row r="29" spans="1:14" ht="21.95" customHeight="1">
      <c r="A29" s="297" t="s">
        <v>7241</v>
      </c>
      <c r="B29" s="297"/>
      <c r="C29" s="297"/>
      <c r="D29" s="297"/>
      <c r="E29" s="297"/>
      <c r="F29" s="297"/>
      <c r="G29" s="297"/>
      <c r="H29" s="297"/>
      <c r="I29" s="297"/>
      <c r="J29" s="297"/>
      <c r="K29" s="297"/>
      <c r="L29" s="297"/>
      <c r="M29" s="297"/>
      <c r="N29" s="297"/>
    </row>
    <row r="30" spans="1:14" ht="21.95" customHeight="1">
      <c r="A30" s="297"/>
      <c r="B30" s="297"/>
      <c r="C30" s="297"/>
      <c r="D30" s="297"/>
      <c r="E30" s="297"/>
      <c r="F30" s="297"/>
      <c r="G30" s="297"/>
      <c r="H30" s="297"/>
      <c r="I30" s="297"/>
      <c r="J30" s="297"/>
      <c r="K30" s="297"/>
      <c r="L30" s="297"/>
      <c r="M30" s="297"/>
      <c r="N30" s="297"/>
    </row>
    <row r="31" spans="1:14" ht="21.95" customHeight="1">
      <c r="A31" s="297"/>
      <c r="B31" s="297"/>
      <c r="C31" s="297"/>
      <c r="D31" s="297"/>
      <c r="E31" s="297"/>
      <c r="F31" s="297"/>
      <c r="G31" s="297"/>
      <c r="H31" s="297"/>
      <c r="I31" s="297"/>
      <c r="J31" s="297"/>
      <c r="K31" s="297"/>
      <c r="L31" s="297"/>
      <c r="M31" s="297"/>
      <c r="N31" s="297"/>
    </row>
    <row r="32" spans="1:14" ht="21.95" customHeight="1">
      <c r="A32" s="297"/>
      <c r="B32" s="297"/>
      <c r="C32" s="297"/>
      <c r="D32" s="297"/>
      <c r="E32" s="297"/>
      <c r="F32" s="297"/>
      <c r="G32" s="297"/>
      <c r="H32" s="297"/>
      <c r="I32" s="297"/>
      <c r="J32" s="297"/>
      <c r="K32" s="297"/>
      <c r="L32" s="297"/>
      <c r="M32" s="297"/>
      <c r="N32" s="297"/>
    </row>
    <row r="33" spans="1:14" ht="21.95" customHeight="1">
      <c r="A33" s="297"/>
      <c r="B33" s="297"/>
      <c r="C33" s="297"/>
      <c r="D33" s="297"/>
      <c r="E33" s="297"/>
      <c r="F33" s="297"/>
      <c r="G33" s="297"/>
      <c r="H33" s="297"/>
      <c r="I33" s="297"/>
      <c r="J33" s="297"/>
      <c r="K33" s="297"/>
      <c r="L33" s="297"/>
      <c r="M33" s="297"/>
      <c r="N33" s="297"/>
    </row>
    <row r="34" spans="1:14" ht="21.95" customHeight="1">
      <c r="A34" s="297"/>
      <c r="B34" s="297"/>
      <c r="C34" s="297"/>
      <c r="D34" s="297"/>
      <c r="E34" s="297"/>
      <c r="F34" s="297"/>
      <c r="G34" s="297"/>
      <c r="H34" s="297"/>
      <c r="I34" s="297"/>
      <c r="J34" s="297"/>
      <c r="K34" s="297"/>
      <c r="L34" s="297"/>
      <c r="M34" s="297"/>
      <c r="N34" s="297"/>
    </row>
    <row r="35" spans="1:14" ht="30" customHeight="1">
      <c r="A35" s="298" t="s">
        <v>7242</v>
      </c>
      <c r="B35" s="298"/>
      <c r="C35" s="298"/>
      <c r="D35" s="298"/>
      <c r="E35" s="298"/>
      <c r="F35" s="298"/>
      <c r="G35" s="298"/>
      <c r="H35" s="298"/>
      <c r="I35" s="298"/>
      <c r="J35" s="298"/>
      <c r="K35" s="298"/>
      <c r="L35" s="298"/>
      <c r="M35" s="298"/>
      <c r="N35" s="298"/>
    </row>
    <row r="39" spans="1:14" ht="21.95" customHeight="1">
      <c r="A39" s="152" t="s">
        <v>314</v>
      </c>
      <c r="B39" s="152"/>
      <c r="C39" s="152" t="s">
        <v>420</v>
      </c>
      <c r="D39" s="152"/>
      <c r="E39" s="152" t="s">
        <v>188</v>
      </c>
      <c r="F39" s="152"/>
      <c r="G39" s="152" t="s">
        <v>7243</v>
      </c>
      <c r="H39" s="152"/>
      <c r="I39" s="152" t="s">
        <v>437</v>
      </c>
      <c r="J39" s="152"/>
      <c r="K39" s="300" t="s">
        <v>7244</v>
      </c>
      <c r="L39" s="300"/>
      <c r="M39" s="300"/>
      <c r="N39" s="300"/>
    </row>
    <row r="41" spans="1:14" ht="24" customHeight="1">
      <c r="A41" s="300" t="s">
        <v>7245</v>
      </c>
      <c r="B41" s="300"/>
      <c r="C41" s="300"/>
      <c r="D41" s="300"/>
      <c r="E41" s="300"/>
      <c r="F41" s="300"/>
      <c r="G41" s="300"/>
      <c r="H41" s="300"/>
      <c r="I41" s="300"/>
      <c r="J41" s="300"/>
      <c r="K41" s="300"/>
      <c r="L41" s="300"/>
      <c r="M41" s="300"/>
      <c r="N41" s="300"/>
    </row>
    <row r="42" spans="1:14" ht="20.100000000000001" customHeight="1">
      <c r="A42" s="152" t="s">
        <v>438</v>
      </c>
      <c r="B42" s="152"/>
      <c r="C42" s="152"/>
      <c r="D42" s="152"/>
      <c r="E42" s="152"/>
      <c r="F42" s="152"/>
      <c r="G42" s="152"/>
      <c r="H42" s="152" t="s">
        <v>439</v>
      </c>
      <c r="I42" s="152"/>
      <c r="J42" s="152"/>
      <c r="K42" s="152"/>
      <c r="L42" s="152"/>
      <c r="M42" s="152"/>
      <c r="N42" s="152"/>
    </row>
    <row r="43" spans="1:14" ht="21.95" customHeight="1">
      <c r="A43" s="295" t="s">
        <v>7246</v>
      </c>
      <c r="B43" s="295"/>
      <c r="C43" s="295"/>
      <c r="D43" s="295"/>
      <c r="E43" s="295"/>
      <c r="F43" s="295"/>
      <c r="G43" s="295"/>
      <c r="H43" s="295" t="s">
        <v>7247</v>
      </c>
      <c r="I43" s="295"/>
      <c r="J43" s="295"/>
      <c r="K43" s="295"/>
      <c r="L43" s="295"/>
      <c r="M43" s="295"/>
      <c r="N43" s="295"/>
    </row>
    <row r="44" spans="1:14" ht="21.95" customHeight="1">
      <c r="A44" s="295"/>
      <c r="B44" s="295"/>
      <c r="C44" s="295"/>
      <c r="D44" s="295"/>
      <c r="E44" s="295"/>
      <c r="F44" s="295"/>
      <c r="G44" s="295"/>
      <c r="H44" s="295"/>
      <c r="I44" s="295"/>
      <c r="J44" s="295"/>
      <c r="K44" s="295"/>
      <c r="L44" s="295"/>
      <c r="M44" s="295"/>
      <c r="N44" s="295"/>
    </row>
    <row r="45" spans="1:14" ht="21.95" customHeight="1">
      <c r="A45" s="295"/>
      <c r="B45" s="295"/>
      <c r="C45" s="295"/>
      <c r="D45" s="295"/>
      <c r="E45" s="295"/>
      <c r="F45" s="295"/>
      <c r="G45" s="295"/>
      <c r="H45" s="295"/>
      <c r="I45" s="295"/>
      <c r="J45" s="295"/>
      <c r="K45" s="295"/>
      <c r="L45" s="295"/>
      <c r="M45" s="295"/>
      <c r="N45" s="295"/>
    </row>
    <row r="46" spans="1:14" ht="21.95" customHeight="1">
      <c r="A46" s="295"/>
      <c r="B46" s="295"/>
      <c r="C46" s="295"/>
      <c r="D46" s="295"/>
      <c r="E46" s="295"/>
      <c r="F46" s="295"/>
      <c r="G46" s="295"/>
      <c r="H46" s="295"/>
      <c r="I46" s="295"/>
      <c r="J46" s="295"/>
      <c r="K46" s="295"/>
      <c r="L46" s="295"/>
      <c r="M46" s="295"/>
      <c r="N46" s="295"/>
    </row>
    <row r="48" spans="1:14" ht="20.100000000000001" customHeight="1">
      <c r="A48" s="152" t="s">
        <v>440</v>
      </c>
      <c r="B48" s="152"/>
      <c r="C48" s="152"/>
      <c r="D48" s="152"/>
      <c r="E48" s="152"/>
      <c r="F48" s="152"/>
      <c r="G48" s="152"/>
      <c r="H48" s="152" t="s">
        <v>441</v>
      </c>
      <c r="I48" s="152"/>
      <c r="J48" s="152"/>
      <c r="K48" s="152"/>
      <c r="L48" s="152"/>
      <c r="M48" s="152"/>
      <c r="N48" s="152"/>
    </row>
    <row r="49" spans="1:14" ht="21.95" customHeight="1">
      <c r="A49" s="295" t="s">
        <v>7248</v>
      </c>
      <c r="B49" s="295"/>
      <c r="C49" s="295"/>
      <c r="D49" s="295"/>
      <c r="E49" s="295"/>
      <c r="F49" s="295"/>
      <c r="G49" s="295"/>
      <c r="H49" s="295" t="s">
        <v>7249</v>
      </c>
      <c r="I49" s="295"/>
      <c r="J49" s="295"/>
      <c r="K49" s="295"/>
      <c r="L49" s="295"/>
      <c r="M49" s="295"/>
      <c r="N49" s="295"/>
    </row>
    <row r="50" spans="1:14" ht="21.95" customHeight="1">
      <c r="A50" s="295"/>
      <c r="B50" s="295"/>
      <c r="C50" s="295"/>
      <c r="D50" s="295"/>
      <c r="E50" s="295"/>
      <c r="F50" s="295"/>
      <c r="G50" s="295"/>
      <c r="H50" s="295"/>
      <c r="I50" s="295"/>
      <c r="J50" s="295"/>
      <c r="K50" s="295"/>
      <c r="L50" s="295"/>
      <c r="M50" s="295"/>
      <c r="N50" s="295"/>
    </row>
    <row r="51" spans="1:14" ht="21.95" customHeight="1">
      <c r="A51" s="295"/>
      <c r="B51" s="295"/>
      <c r="C51" s="295"/>
      <c r="D51" s="295"/>
      <c r="E51" s="295"/>
      <c r="F51" s="295"/>
      <c r="G51" s="295"/>
      <c r="H51" s="295"/>
      <c r="I51" s="295"/>
      <c r="J51" s="295"/>
      <c r="K51" s="295"/>
      <c r="L51" s="295"/>
      <c r="M51" s="295"/>
      <c r="N51" s="295"/>
    </row>
    <row r="52" spans="1:14" ht="21.95" customHeight="1">
      <c r="A52" s="295"/>
      <c r="B52" s="295"/>
      <c r="C52" s="295"/>
      <c r="D52" s="295"/>
      <c r="E52" s="295"/>
      <c r="F52" s="295"/>
      <c r="G52" s="295"/>
      <c r="H52" s="295"/>
      <c r="I52" s="295"/>
      <c r="J52" s="295"/>
      <c r="K52" s="295"/>
      <c r="L52" s="295"/>
      <c r="M52" s="295"/>
      <c r="N52" s="295"/>
    </row>
    <row r="54" spans="1:14" ht="20.100000000000001" customHeight="1">
      <c r="A54" s="152" t="s">
        <v>442</v>
      </c>
      <c r="B54" s="152"/>
      <c r="C54" s="152"/>
      <c r="D54" s="152"/>
      <c r="E54" s="152"/>
      <c r="F54" s="152"/>
      <c r="G54" s="152"/>
      <c r="H54" s="152" t="s">
        <v>443</v>
      </c>
      <c r="I54" s="152"/>
      <c r="J54" s="152"/>
      <c r="K54" s="152"/>
      <c r="L54" s="152"/>
      <c r="M54" s="152"/>
      <c r="N54" s="152"/>
    </row>
    <row r="55" spans="1:14" ht="24" customHeight="1">
      <c r="A55" s="295" t="s">
        <v>7250</v>
      </c>
      <c r="B55" s="295"/>
      <c r="C55" s="295"/>
      <c r="D55" s="295"/>
      <c r="E55" s="295"/>
      <c r="F55" s="295"/>
      <c r="G55" s="295"/>
      <c r="H55" s="296" t="s">
        <v>7251</v>
      </c>
      <c r="I55" s="296"/>
      <c r="J55" s="296"/>
      <c r="K55" s="296"/>
      <c r="L55" s="296"/>
      <c r="M55" s="296"/>
      <c r="N55" s="296"/>
    </row>
    <row r="56" spans="1:14" ht="24" customHeight="1">
      <c r="A56" s="295"/>
      <c r="B56" s="295"/>
      <c r="C56" s="295"/>
      <c r="D56" s="295"/>
      <c r="E56" s="295"/>
      <c r="F56" s="295"/>
      <c r="G56" s="295"/>
      <c r="H56" s="296"/>
      <c r="I56" s="296"/>
      <c r="J56" s="296"/>
      <c r="K56" s="296"/>
      <c r="L56" s="296"/>
      <c r="M56" s="296"/>
      <c r="N56" s="296"/>
    </row>
    <row r="57" spans="1:14" ht="24" customHeight="1">
      <c r="A57" s="295"/>
      <c r="B57" s="295"/>
      <c r="C57" s="295"/>
      <c r="D57" s="295"/>
      <c r="E57" s="295"/>
      <c r="F57" s="295"/>
      <c r="G57" s="295"/>
      <c r="H57" s="296"/>
      <c r="I57" s="296"/>
      <c r="J57" s="296"/>
      <c r="K57" s="296"/>
      <c r="L57" s="296"/>
      <c r="M57" s="296"/>
      <c r="N57" s="296"/>
    </row>
    <row r="58" spans="1:14" ht="24" customHeight="1">
      <c r="A58" s="295"/>
      <c r="B58" s="295"/>
      <c r="C58" s="295"/>
      <c r="D58" s="295"/>
      <c r="E58" s="295"/>
      <c r="F58" s="295"/>
      <c r="G58" s="295"/>
      <c r="H58" s="296"/>
      <c r="I58" s="296"/>
      <c r="J58" s="296"/>
      <c r="K58" s="296"/>
      <c r="L58" s="296"/>
      <c r="M58" s="296"/>
      <c r="N58" s="296"/>
    </row>
    <row r="60" spans="1:14" ht="20.100000000000001" customHeight="1">
      <c r="A60" s="152" t="s">
        <v>444</v>
      </c>
      <c r="B60" s="152"/>
      <c r="C60" s="152"/>
      <c r="D60" s="152"/>
      <c r="E60" s="152"/>
      <c r="F60" s="152"/>
      <c r="G60" s="152"/>
      <c r="H60" s="152"/>
      <c r="I60" s="152"/>
      <c r="J60" s="152"/>
      <c r="K60" s="152"/>
      <c r="L60" s="152"/>
      <c r="M60" s="152"/>
      <c r="N60" s="152"/>
    </row>
    <row r="61" spans="1:14" ht="21.95" customHeight="1">
      <c r="A61" s="297" t="s">
        <v>7252</v>
      </c>
      <c r="B61" s="297"/>
      <c r="C61" s="297"/>
      <c r="D61" s="297"/>
      <c r="E61" s="297"/>
      <c r="F61" s="297"/>
      <c r="G61" s="297"/>
      <c r="H61" s="297"/>
      <c r="I61" s="297"/>
      <c r="J61" s="297"/>
      <c r="K61" s="297"/>
      <c r="L61" s="297"/>
      <c r="M61" s="297"/>
      <c r="N61" s="297"/>
    </row>
    <row r="62" spans="1:14" ht="21.95" customHeight="1">
      <c r="A62" s="297"/>
      <c r="B62" s="297"/>
      <c r="C62" s="297"/>
      <c r="D62" s="297"/>
      <c r="E62" s="297"/>
      <c r="F62" s="297"/>
      <c r="G62" s="297"/>
      <c r="H62" s="297"/>
      <c r="I62" s="297"/>
      <c r="J62" s="297"/>
      <c r="K62" s="297"/>
      <c r="L62" s="297"/>
      <c r="M62" s="297"/>
      <c r="N62" s="297"/>
    </row>
    <row r="63" spans="1:14" ht="21.95" customHeight="1">
      <c r="A63" s="297"/>
      <c r="B63" s="297"/>
      <c r="C63" s="297"/>
      <c r="D63" s="297"/>
      <c r="E63" s="297"/>
      <c r="F63" s="297"/>
      <c r="G63" s="297"/>
      <c r="H63" s="297"/>
      <c r="I63" s="297"/>
      <c r="J63" s="297"/>
      <c r="K63" s="297"/>
      <c r="L63" s="297"/>
      <c r="M63" s="297"/>
      <c r="N63" s="297"/>
    </row>
    <row r="64" spans="1:14" ht="21.95" customHeight="1">
      <c r="A64" s="297"/>
      <c r="B64" s="297"/>
      <c r="C64" s="297"/>
      <c r="D64" s="297"/>
      <c r="E64" s="297"/>
      <c r="F64" s="297"/>
      <c r="G64" s="297"/>
      <c r="H64" s="297"/>
      <c r="I64" s="297"/>
      <c r="J64" s="297"/>
      <c r="K64" s="297"/>
      <c r="L64" s="297"/>
      <c r="M64" s="297"/>
      <c r="N64" s="297"/>
    </row>
    <row r="65" spans="1:14" ht="21.95" customHeight="1">
      <c r="A65" s="297"/>
      <c r="B65" s="297"/>
      <c r="C65" s="297"/>
      <c r="D65" s="297"/>
      <c r="E65" s="297"/>
      <c r="F65" s="297"/>
      <c r="G65" s="297"/>
      <c r="H65" s="297"/>
      <c r="I65" s="297"/>
      <c r="J65" s="297"/>
      <c r="K65" s="297"/>
      <c r="L65" s="297"/>
      <c r="M65" s="297"/>
      <c r="N65" s="297"/>
    </row>
    <row r="66" spans="1:14" ht="21.95" customHeight="1">
      <c r="A66" s="297"/>
      <c r="B66" s="297"/>
      <c r="C66" s="297"/>
      <c r="D66" s="297"/>
      <c r="E66" s="297"/>
      <c r="F66" s="297"/>
      <c r="G66" s="297"/>
      <c r="H66" s="297"/>
      <c r="I66" s="297"/>
      <c r="J66" s="297"/>
      <c r="K66" s="297"/>
      <c r="L66" s="297"/>
      <c r="M66" s="297"/>
      <c r="N66" s="297"/>
    </row>
    <row r="67" spans="1:14" ht="30" customHeight="1">
      <c r="A67" s="298" t="s">
        <v>7242</v>
      </c>
      <c r="B67" s="298"/>
      <c r="C67" s="298"/>
      <c r="D67" s="298"/>
      <c r="E67" s="298"/>
      <c r="F67" s="298"/>
      <c r="G67" s="298"/>
      <c r="H67" s="298"/>
      <c r="I67" s="298"/>
      <c r="J67" s="298"/>
      <c r="K67" s="298"/>
      <c r="L67" s="298"/>
      <c r="M67" s="298"/>
      <c r="N67" s="298"/>
    </row>
    <row r="71" spans="1:14" ht="21.95" customHeight="1">
      <c r="A71" s="152" t="s">
        <v>314</v>
      </c>
      <c r="B71" s="152"/>
      <c r="C71" s="152" t="s">
        <v>7253</v>
      </c>
      <c r="D71" s="152"/>
      <c r="E71" s="152" t="s">
        <v>188</v>
      </c>
      <c r="F71" s="152"/>
      <c r="G71" s="152" t="s">
        <v>7254</v>
      </c>
      <c r="H71" s="152"/>
      <c r="I71" s="152" t="s">
        <v>437</v>
      </c>
      <c r="J71" s="152"/>
      <c r="K71" s="299" t="s">
        <v>7255</v>
      </c>
      <c r="L71" s="299"/>
      <c r="M71" s="299"/>
      <c r="N71" s="299"/>
    </row>
    <row r="73" spans="1:14" ht="24" customHeight="1">
      <c r="A73" s="299" t="s">
        <v>7256</v>
      </c>
      <c r="B73" s="299"/>
      <c r="C73" s="299"/>
      <c r="D73" s="299"/>
      <c r="E73" s="299"/>
      <c r="F73" s="299"/>
      <c r="G73" s="299"/>
      <c r="H73" s="299"/>
      <c r="I73" s="299"/>
      <c r="J73" s="299"/>
      <c r="K73" s="299"/>
      <c r="L73" s="299"/>
      <c r="M73" s="299"/>
      <c r="N73" s="299"/>
    </row>
    <row r="74" spans="1:14" ht="20.100000000000001" customHeight="1">
      <c r="A74" s="152" t="s">
        <v>438</v>
      </c>
      <c r="B74" s="152"/>
      <c r="C74" s="152"/>
      <c r="D74" s="152"/>
      <c r="E74" s="152"/>
      <c r="F74" s="152"/>
      <c r="G74" s="152"/>
      <c r="H74" s="152" t="s">
        <v>439</v>
      </c>
      <c r="I74" s="152"/>
      <c r="J74" s="152"/>
      <c r="K74" s="152"/>
      <c r="L74" s="152"/>
      <c r="M74" s="152"/>
      <c r="N74" s="152"/>
    </row>
    <row r="75" spans="1:14" ht="21.95" customHeight="1">
      <c r="A75" s="295" t="s">
        <v>7257</v>
      </c>
      <c r="B75" s="295"/>
      <c r="C75" s="295"/>
      <c r="D75" s="295"/>
      <c r="E75" s="295"/>
      <c r="F75" s="295"/>
      <c r="G75" s="295"/>
      <c r="H75" s="295" t="s">
        <v>7258</v>
      </c>
      <c r="I75" s="295"/>
      <c r="J75" s="295"/>
      <c r="K75" s="295"/>
      <c r="L75" s="295"/>
      <c r="M75" s="295"/>
      <c r="N75" s="295"/>
    </row>
    <row r="76" spans="1:14" ht="21.95" customHeight="1">
      <c r="A76" s="295"/>
      <c r="B76" s="295"/>
      <c r="C76" s="295"/>
      <c r="D76" s="295"/>
      <c r="E76" s="295"/>
      <c r="F76" s="295"/>
      <c r="G76" s="295"/>
      <c r="H76" s="295"/>
      <c r="I76" s="295"/>
      <c r="J76" s="295"/>
      <c r="K76" s="295"/>
      <c r="L76" s="295"/>
      <c r="M76" s="295"/>
      <c r="N76" s="295"/>
    </row>
    <row r="77" spans="1:14" ht="21.95" customHeight="1">
      <c r="A77" s="295"/>
      <c r="B77" s="295"/>
      <c r="C77" s="295"/>
      <c r="D77" s="295"/>
      <c r="E77" s="295"/>
      <c r="F77" s="295"/>
      <c r="G77" s="295"/>
      <c r="H77" s="295"/>
      <c r="I77" s="295"/>
      <c r="J77" s="295"/>
      <c r="K77" s="295"/>
      <c r="L77" s="295"/>
      <c r="M77" s="295"/>
      <c r="N77" s="295"/>
    </row>
    <row r="78" spans="1:14" ht="21.95" customHeight="1">
      <c r="A78" s="295"/>
      <c r="B78" s="295"/>
      <c r="C78" s="295"/>
      <c r="D78" s="295"/>
      <c r="E78" s="295"/>
      <c r="F78" s="295"/>
      <c r="G78" s="295"/>
      <c r="H78" s="295"/>
      <c r="I78" s="295"/>
      <c r="J78" s="295"/>
      <c r="K78" s="295"/>
      <c r="L78" s="295"/>
      <c r="M78" s="295"/>
      <c r="N78" s="295"/>
    </row>
    <row r="80" spans="1:14" ht="20.100000000000001" customHeight="1">
      <c r="A80" s="152" t="s">
        <v>440</v>
      </c>
      <c r="B80" s="152"/>
      <c r="C80" s="152"/>
      <c r="D80" s="152"/>
      <c r="E80" s="152"/>
      <c r="F80" s="152"/>
      <c r="G80" s="152"/>
      <c r="H80" s="152" t="s">
        <v>441</v>
      </c>
      <c r="I80" s="152"/>
      <c r="J80" s="152"/>
      <c r="K80" s="152"/>
      <c r="L80" s="152"/>
      <c r="M80" s="152"/>
      <c r="N80" s="152"/>
    </row>
    <row r="81" spans="1:14" ht="21.95" customHeight="1">
      <c r="A81" s="295" t="s">
        <v>7259</v>
      </c>
      <c r="B81" s="295"/>
      <c r="C81" s="295"/>
      <c r="D81" s="295"/>
      <c r="E81" s="295"/>
      <c r="F81" s="295"/>
      <c r="G81" s="295"/>
      <c r="H81" s="295" t="s">
        <v>7260</v>
      </c>
      <c r="I81" s="295"/>
      <c r="J81" s="295"/>
      <c r="K81" s="295"/>
      <c r="L81" s="295"/>
      <c r="M81" s="295"/>
      <c r="N81" s="295"/>
    </row>
    <row r="82" spans="1:14" ht="21.95" customHeight="1">
      <c r="A82" s="295"/>
      <c r="B82" s="295"/>
      <c r="C82" s="295"/>
      <c r="D82" s="295"/>
      <c r="E82" s="295"/>
      <c r="F82" s="295"/>
      <c r="G82" s="295"/>
      <c r="H82" s="295"/>
      <c r="I82" s="295"/>
      <c r="J82" s="295"/>
      <c r="K82" s="295"/>
      <c r="L82" s="295"/>
      <c r="M82" s="295"/>
      <c r="N82" s="295"/>
    </row>
    <row r="83" spans="1:14" ht="21.95" customHeight="1">
      <c r="A83" s="295"/>
      <c r="B83" s="295"/>
      <c r="C83" s="295"/>
      <c r="D83" s="295"/>
      <c r="E83" s="295"/>
      <c r="F83" s="295"/>
      <c r="G83" s="295"/>
      <c r="H83" s="295"/>
      <c r="I83" s="295"/>
      <c r="J83" s="295"/>
      <c r="K83" s="295"/>
      <c r="L83" s="295"/>
      <c r="M83" s="295"/>
      <c r="N83" s="295"/>
    </row>
    <row r="84" spans="1:14" ht="21.95" customHeight="1">
      <c r="A84" s="295"/>
      <c r="B84" s="295"/>
      <c r="C84" s="295"/>
      <c r="D84" s="295"/>
      <c r="E84" s="295"/>
      <c r="F84" s="295"/>
      <c r="G84" s="295"/>
      <c r="H84" s="295"/>
      <c r="I84" s="295"/>
      <c r="J84" s="295"/>
      <c r="K84" s="295"/>
      <c r="L84" s="295"/>
      <c r="M84" s="295"/>
      <c r="N84" s="295"/>
    </row>
    <row r="86" spans="1:14" ht="20.100000000000001" customHeight="1">
      <c r="A86" s="152" t="s">
        <v>442</v>
      </c>
      <c r="B86" s="152"/>
      <c r="C86" s="152"/>
      <c r="D86" s="152"/>
      <c r="E86" s="152"/>
      <c r="F86" s="152"/>
      <c r="G86" s="152"/>
      <c r="H86" s="152" t="s">
        <v>443</v>
      </c>
      <c r="I86" s="152"/>
      <c r="J86" s="152"/>
      <c r="K86" s="152"/>
      <c r="L86" s="152"/>
      <c r="M86" s="152"/>
      <c r="N86" s="152"/>
    </row>
    <row r="87" spans="1:14" ht="24" customHeight="1">
      <c r="A87" s="295" t="s">
        <v>7261</v>
      </c>
      <c r="B87" s="295"/>
      <c r="C87" s="295"/>
      <c r="D87" s="295"/>
      <c r="E87" s="295"/>
      <c r="F87" s="295"/>
      <c r="G87" s="295"/>
      <c r="H87" s="296" t="s">
        <v>7262</v>
      </c>
      <c r="I87" s="296"/>
      <c r="J87" s="296"/>
      <c r="K87" s="296"/>
      <c r="L87" s="296"/>
      <c r="M87" s="296"/>
      <c r="N87" s="296"/>
    </row>
    <row r="88" spans="1:14" ht="24" customHeight="1">
      <c r="A88" s="295"/>
      <c r="B88" s="295"/>
      <c r="C88" s="295"/>
      <c r="D88" s="295"/>
      <c r="E88" s="295"/>
      <c r="F88" s="295"/>
      <c r="G88" s="295"/>
      <c r="H88" s="296"/>
      <c r="I88" s="296"/>
      <c r="J88" s="296"/>
      <c r="K88" s="296"/>
      <c r="L88" s="296"/>
      <c r="M88" s="296"/>
      <c r="N88" s="296"/>
    </row>
    <row r="89" spans="1:14" ht="24" customHeight="1">
      <c r="A89" s="295"/>
      <c r="B89" s="295"/>
      <c r="C89" s="295"/>
      <c r="D89" s="295"/>
      <c r="E89" s="295"/>
      <c r="F89" s="295"/>
      <c r="G89" s="295"/>
      <c r="H89" s="296"/>
      <c r="I89" s="296"/>
      <c r="J89" s="296"/>
      <c r="K89" s="296"/>
      <c r="L89" s="296"/>
      <c r="M89" s="296"/>
      <c r="N89" s="296"/>
    </row>
    <row r="90" spans="1:14" ht="24" customHeight="1">
      <c r="A90" s="295"/>
      <c r="B90" s="295"/>
      <c r="C90" s="295"/>
      <c r="D90" s="295"/>
      <c r="E90" s="295"/>
      <c r="F90" s="295"/>
      <c r="G90" s="295"/>
      <c r="H90" s="296"/>
      <c r="I90" s="296"/>
      <c r="J90" s="296"/>
      <c r="K90" s="296"/>
      <c r="L90" s="296"/>
      <c r="M90" s="296"/>
      <c r="N90" s="296"/>
    </row>
    <row r="92" spans="1:14" ht="20.100000000000001" customHeight="1">
      <c r="A92" s="152" t="s">
        <v>444</v>
      </c>
      <c r="B92" s="152"/>
      <c r="C92" s="152"/>
      <c r="D92" s="152"/>
      <c r="E92" s="152"/>
      <c r="F92" s="152"/>
      <c r="G92" s="152"/>
      <c r="H92" s="152"/>
      <c r="I92" s="152"/>
      <c r="J92" s="152"/>
      <c r="K92" s="152"/>
      <c r="L92" s="152"/>
      <c r="M92" s="152"/>
      <c r="N92" s="152"/>
    </row>
    <row r="93" spans="1:14" ht="21.95" customHeight="1">
      <c r="A93" s="297" t="s">
        <v>7263</v>
      </c>
      <c r="B93" s="297"/>
      <c r="C93" s="297"/>
      <c r="D93" s="297"/>
      <c r="E93" s="297"/>
      <c r="F93" s="297"/>
      <c r="G93" s="297"/>
      <c r="H93" s="297"/>
      <c r="I93" s="297"/>
      <c r="J93" s="297"/>
      <c r="K93" s="297"/>
      <c r="L93" s="297"/>
      <c r="M93" s="297"/>
      <c r="N93" s="297"/>
    </row>
    <row r="94" spans="1:14" ht="21.95" customHeight="1">
      <c r="A94" s="297"/>
      <c r="B94" s="297"/>
      <c r="C94" s="297"/>
      <c r="D94" s="297"/>
      <c r="E94" s="297"/>
      <c r="F94" s="297"/>
      <c r="G94" s="297"/>
      <c r="H94" s="297"/>
      <c r="I94" s="297"/>
      <c r="J94" s="297"/>
      <c r="K94" s="297"/>
      <c r="L94" s="297"/>
      <c r="M94" s="297"/>
      <c r="N94" s="297"/>
    </row>
    <row r="95" spans="1:14" ht="21.95" customHeight="1">
      <c r="A95" s="297"/>
      <c r="B95" s="297"/>
      <c r="C95" s="297"/>
      <c r="D95" s="297"/>
      <c r="E95" s="297"/>
      <c r="F95" s="297"/>
      <c r="G95" s="297"/>
      <c r="H95" s="297"/>
      <c r="I95" s="297"/>
      <c r="J95" s="297"/>
      <c r="K95" s="297"/>
      <c r="L95" s="297"/>
      <c r="M95" s="297"/>
      <c r="N95" s="297"/>
    </row>
    <row r="96" spans="1:14" ht="21.95" customHeight="1">
      <c r="A96" s="297"/>
      <c r="B96" s="297"/>
      <c r="C96" s="297"/>
      <c r="D96" s="297"/>
      <c r="E96" s="297"/>
      <c r="F96" s="297"/>
      <c r="G96" s="297"/>
      <c r="H96" s="297"/>
      <c r="I96" s="297"/>
      <c r="J96" s="297"/>
      <c r="K96" s="297"/>
      <c r="L96" s="297"/>
      <c r="M96" s="297"/>
      <c r="N96" s="297"/>
    </row>
    <row r="97" spans="1:14" ht="21.95" customHeight="1">
      <c r="A97" s="297"/>
      <c r="B97" s="297"/>
      <c r="C97" s="297"/>
      <c r="D97" s="297"/>
      <c r="E97" s="297"/>
      <c r="F97" s="297"/>
      <c r="G97" s="297"/>
      <c r="H97" s="297"/>
      <c r="I97" s="297"/>
      <c r="J97" s="297"/>
      <c r="K97" s="297"/>
      <c r="L97" s="297"/>
      <c r="M97" s="297"/>
      <c r="N97" s="297"/>
    </row>
    <row r="98" spans="1:14" ht="21.95" customHeight="1">
      <c r="A98" s="297"/>
      <c r="B98" s="297"/>
      <c r="C98" s="297"/>
      <c r="D98" s="297"/>
      <c r="E98" s="297"/>
      <c r="F98" s="297"/>
      <c r="G98" s="297"/>
      <c r="H98" s="297"/>
      <c r="I98" s="297"/>
      <c r="J98" s="297"/>
      <c r="K98" s="297"/>
      <c r="L98" s="297"/>
      <c r="M98" s="297"/>
      <c r="N98" s="297"/>
    </row>
    <row r="99" spans="1:14" ht="30" customHeight="1">
      <c r="A99" s="298" t="s">
        <v>7242</v>
      </c>
      <c r="B99" s="298"/>
      <c r="C99" s="298"/>
      <c r="D99" s="298"/>
      <c r="E99" s="298"/>
      <c r="F99" s="298"/>
      <c r="G99" s="298"/>
      <c r="H99" s="298"/>
      <c r="I99" s="298"/>
      <c r="J99" s="298"/>
      <c r="K99" s="298"/>
      <c r="L99" s="298"/>
      <c r="M99" s="298"/>
      <c r="N99" s="298"/>
    </row>
  </sheetData>
  <mergeCells count="67">
    <mergeCell ref="K5:N5"/>
    <mergeCell ref="A7:B7"/>
    <mergeCell ref="C7:D7"/>
    <mergeCell ref="E7:F7"/>
    <mergeCell ref="G7:H7"/>
    <mergeCell ref="I7:J7"/>
    <mergeCell ref="K7:N7"/>
    <mergeCell ref="A9:N9"/>
    <mergeCell ref="A10:G10"/>
    <mergeCell ref="H10:N10"/>
    <mergeCell ref="A11:G14"/>
    <mergeCell ref="H11:N14"/>
    <mergeCell ref="A16:G16"/>
    <mergeCell ref="H16:N16"/>
    <mergeCell ref="A17:G20"/>
    <mergeCell ref="H17:N20"/>
    <mergeCell ref="A22:G22"/>
    <mergeCell ref="H22:N22"/>
    <mergeCell ref="A23:G26"/>
    <mergeCell ref="H23:N26"/>
    <mergeCell ref="A28:N28"/>
    <mergeCell ref="A29:N34"/>
    <mergeCell ref="A35:N35"/>
    <mergeCell ref="K39:N39"/>
    <mergeCell ref="A41:N41"/>
    <mergeCell ref="A42:G42"/>
    <mergeCell ref="H42:N42"/>
    <mergeCell ref="A43:G46"/>
    <mergeCell ref="H43:N46"/>
    <mergeCell ref="A39:B39"/>
    <mergeCell ref="C39:D39"/>
    <mergeCell ref="E39:F39"/>
    <mergeCell ref="G39:H39"/>
    <mergeCell ref="I39:J39"/>
    <mergeCell ref="A48:G48"/>
    <mergeCell ref="H48:N48"/>
    <mergeCell ref="A49:G52"/>
    <mergeCell ref="H49:N52"/>
    <mergeCell ref="A54:G54"/>
    <mergeCell ref="H54:N54"/>
    <mergeCell ref="A55:G58"/>
    <mergeCell ref="H55:N58"/>
    <mergeCell ref="A60:N60"/>
    <mergeCell ref="A61:N66"/>
    <mergeCell ref="A67:N67"/>
    <mergeCell ref="K71:N71"/>
    <mergeCell ref="A73:N73"/>
    <mergeCell ref="A74:G74"/>
    <mergeCell ref="H74:N74"/>
    <mergeCell ref="A75:G78"/>
    <mergeCell ref="H75:N78"/>
    <mergeCell ref="A71:B71"/>
    <mergeCell ref="C71:D71"/>
    <mergeCell ref="E71:F71"/>
    <mergeCell ref="G71:H71"/>
    <mergeCell ref="I71:J71"/>
    <mergeCell ref="A80:G80"/>
    <mergeCell ref="H80:N80"/>
    <mergeCell ref="A81:G84"/>
    <mergeCell ref="H81:N84"/>
    <mergeCell ref="A86:G86"/>
    <mergeCell ref="H86:N86"/>
    <mergeCell ref="A87:G90"/>
    <mergeCell ref="H87:N90"/>
    <mergeCell ref="A92:N92"/>
    <mergeCell ref="A93:N98"/>
    <mergeCell ref="A99:N9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DATOS</vt:lpstr>
      <vt:lpstr>INICIO</vt:lpstr>
      <vt:lpstr>ENERGÍA</vt:lpstr>
      <vt:lpstr>MACRONUTRIENTES</vt:lpstr>
      <vt:lpstr>ÍNDICE_CARGA_GLICÉMICA</vt:lpstr>
      <vt:lpstr>AGUA_FIBRA</vt:lpstr>
      <vt:lpstr>NUTRIENTES</vt:lpstr>
      <vt:lpstr>FICHA_NUTRIENTE</vt:lpstr>
      <vt:lpstr>FUENTES_ALIMENTARIAS</vt:lpstr>
      <vt:lpstr>REQUERIMIENTOS</vt:lpstr>
      <vt:lpstr>INTERACCIONES</vt:lpstr>
      <vt:lpstr>BIOMARCADORES</vt:lpstr>
      <vt:lpstr>CASOS_CLÍNICOS</vt:lpstr>
      <vt:lpstr>RESULTADOS</vt:lpstr>
      <vt:lpstr>RESUMEN_ESTUDIO</vt:lpstr>
      <vt:lpstr>FUENTES</vt:lpstr>
      <vt:lpstr>PRUEBAS</vt:lpstr>
      <vt:lpstr>CONFIG</vt:lpstr>
      <vt:lpstr>DICCIONARIO</vt:lpstr>
      <vt:lpstr>OBSERVACIONES</vt:lpstr>
      <vt:lpstr>CHANGELOG</vt:lpstr>
      <vt:lpstr>ALIMENTOS_INTA</vt:lpstr>
      <vt:lpstr>CALCULOS_ENERGÍA</vt:lpstr>
      <vt:lpstr>CALCULOS_NUTRIENTES</vt:lpstr>
      <vt:lpstr>CALCULOS_ADECUACIÓN</vt:lpstr>
      <vt:lpstr>DRI_BASE</vt:lpstr>
      <vt:lpstr>FICHAS_BASE</vt:lpstr>
      <vt:lpstr>INTERACCIONES_BASE</vt:lpstr>
      <vt:lpstr>BIOMARCADORES_BASE</vt:lpstr>
      <vt:lpstr>CASOS_BASE</vt:lpstr>
      <vt:lpstr>IG_BASE</vt:lpstr>
      <vt:lpstr>LISTAS</vt:lpstr>
      <vt:lpstr>DOCUMENTACIÓN</vt:lpstr>
      <vt:lpstr>COBERTURA</vt:lpstr>
      <vt:lpstr>AUDITORÍA_FINAL</vt:lpstr>
      <vt:lpstr>INDICE_UDD</vt:lpstr>
      <vt:lpstr>FICHAS_ECUACIONES</vt:lpstr>
      <vt:lpstr>COMPARADOR_CRITERIOS</vt:lpstr>
      <vt:lpstr>CASOS_CICLO_VITAL</vt:lpstr>
      <vt:lpstr>PROTOCOLOS_RESUMIDOS</vt:lpstr>
      <vt:lpstr>GLOSARIO_CLINICO</vt:lpstr>
      <vt:lpstr>FUENTES_UDD</vt:lpstr>
      <vt:lpstr>COBERTURA_UDD</vt:lpstr>
      <vt:lpstr>PRUEBAS_UDD</vt:lpstr>
      <vt:lpstr>EJEMPLOS_CASOS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2026-08-06T17:35:04Z</dcterms:created>
  <dcterms:modified xsi:type="dcterms:W3CDTF">2026-08-12T18:58:54Z</dcterms:modified>
</cp:coreProperties>
</file>
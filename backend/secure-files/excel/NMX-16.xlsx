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Daniel\AppData\Local\Temp\Rar$DIa54036.3019\"/>
    </mc:Choice>
  </mc:AlternateContent>
  <xr:revisionPtr revIDLastSave="0" documentId="13_ncr:1_{58E2A079-3533-4FC5-9F9B-324B967A5930}" xr6:coauthVersionLast="47" xr6:coauthVersionMax="47" xr10:uidLastSave="{00000000-0000-0000-0000-000000000000}"/>
  <bookViews>
    <workbookView xWindow="-120" yWindow="-120" windowWidth="29040" windowHeight="15840" tabRatio="500" activeTab="7" xr2:uid="{00000000-000D-0000-FFFF-FFFF00000000}"/>
  </bookViews>
  <sheets>
    <sheet name="DATOS" sheetId="2" r:id="rId1"/>
    <sheet name="INICIO" sheetId="1" r:id="rId2"/>
    <sheet name="MEDIDAS" sheetId="3" r:id="rId3"/>
    <sheet name="CALCULOS" sheetId="4" r:id="rId4"/>
    <sheet name="RESULTADOS" sheetId="5" r:id="rId5"/>
    <sheet name="FUENTES" sheetId="6" r:id="rId6"/>
    <sheet name="PRUEBAS" sheetId="7" r:id="rId7"/>
    <sheet name="CONFIG" sheetId="8" r:id="rId8"/>
    <sheet name="CHANGELOG" sheetId="9" r:id="rId9"/>
  </sheets>
  <definedNames>
    <definedName name="c_CAG">CALCULOS!$B$11</definedName>
    <definedName name="c_CCG">CALCULOS!$B$12</definedName>
    <definedName name="c_Clase">CALCULOS!$B$30</definedName>
    <definedName name="c_Ecto">CALCULOS!$B$21</definedName>
    <definedName name="c_Endo">CALCULOS!$B$19</definedName>
    <definedName name="c_Gate">CALCULOS!$B$16</definedName>
    <definedName name="c_HWR">CALCULOS!$B$13</definedName>
    <definedName name="c_Meso">CALCULOS!$B$20</definedName>
    <definedName name="c_mid">CALCULOS!$B$29</definedName>
    <definedName name="c_mn">CALCULOS!$B$28</definedName>
    <definedName name="c_mx">CALCULOS!$B$27</definedName>
    <definedName name="c_Soma">CALCULOS!$B$22</definedName>
    <definedName name="c_Sum3">CALCULOS!$B$9</definedName>
    <definedName name="c_SX">CALCULOS!$B$25</definedName>
    <definedName name="c_SY">CALCULOS!$B$26</definedName>
    <definedName name="c_TallaM">CALCULOS!$B$8</definedName>
    <definedName name="c_Xcorr">CALCULOS!$B$10</definedName>
    <definedName name="DIA_MAX">CONFIG!$B$19</definedName>
    <definedName name="DIA_MIN">CONFIG!$B$18</definedName>
    <definedName name="ECTO_A1">CONFIG!$B$37</definedName>
    <definedName name="ECTO_A2">CONFIG!$B$39</definedName>
    <definedName name="ECTO_B1">CONFIG!$B$38</definedName>
    <definedName name="ECTO_B2">CONFIG!$B$40</definedName>
    <definedName name="ECTO_T1">CONFIG!$B$35</definedName>
    <definedName name="ECTO_T2">CONFIG!$B$36</definedName>
    <definedName name="EDAD_MAX">CONFIG!$B$11</definedName>
    <definedName name="EDAD_MIN">CONFIG!$B$10</definedName>
    <definedName name="ENDO_C0">CONFIG!$B$24</definedName>
    <definedName name="ENDO_C1">CONFIG!$B$25</definedName>
    <definedName name="ENDO_C2">CONFIG!$B$26</definedName>
    <definedName name="ENDO_C3">CONFIG!$B$27</definedName>
    <definedName name="ENDO_HREF">CONFIG!$B$28</definedName>
    <definedName name="EST_MAX">CONFIG!$B$15</definedName>
    <definedName name="EST_MIN">CONFIG!$B$14</definedName>
    <definedName name="in_Edad">DATOS!$B$11</definedName>
    <definedName name="in_Est">DATOS!$B$13</definedName>
    <definedName name="in_Eval">DATOS!$B$14</definedName>
    <definedName name="in_Fecha">DATOS!$B$8</definedName>
    <definedName name="in_ID">DATOS!$B$7</definedName>
    <definedName name="in_Obs">DATOS!$B$15</definedName>
    <definedName name="in_Pac">DATOS!$B$9</definedName>
    <definedName name="in_Peso">DATOS!$B$12</definedName>
    <definedName name="in_Sexo">DATOS!$B$10</definedName>
    <definedName name="m_ArmG">MEDIDAS!$C$16</definedName>
    <definedName name="m_Calf">MEDIDAS!$C$11</definedName>
    <definedName name="m_CalfG">MEDIDAS!$C$17</definedName>
    <definedName name="m_Fem">MEDIDAS!$C$14</definedName>
    <definedName name="m_Hum">MEDIDAS!$C$13</definedName>
    <definedName name="m_Sub">MEDIDAS!$C$9</definedName>
    <definedName name="m_Sup">MEDIDAS!$C$10</definedName>
    <definedName name="m_Tri">MEDIDAS!$C$8</definedName>
    <definedName name="MESO_CAG">CONFIG!$B$31</definedName>
    <definedName name="MESO_CCG">CONFIG!$B$32</definedName>
    <definedName name="MESO_FB">CONFIG!$B$30</definedName>
    <definedName name="MESO_H">CONFIG!$B$33</definedName>
    <definedName name="MESO_HB">CONFIG!$B$29</definedName>
    <definedName name="MESO_K">CONFIG!$B$34</definedName>
    <definedName name="MIN_COMP">CONFIG!$B$22</definedName>
    <definedName name="PER_MAX">CONFIG!$B$21</definedName>
    <definedName name="PER_MIN">CONFIG!$B$20</definedName>
    <definedName name="PESO_MAX">CONFIG!$B$13</definedName>
    <definedName name="PESO_MIN">CONFIG!$B$12</definedName>
    <definedName name="PLI_MAX">CONFIG!$B$17</definedName>
    <definedName name="PLI_MIN">CONFIG!$B$16</definedName>
    <definedName name="SEXOS">CONFIG!$A$44:$A$45</definedName>
    <definedName name="SINO">CONFIG!$A$48:$A$49</definedName>
    <definedName name="TOL_U">CONFIG!$B$23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3" l="1"/>
  <c r="C3" i="4"/>
  <c r="A4" i="3"/>
  <c r="A3" i="9"/>
  <c r="A3" i="8"/>
  <c r="D70" i="7"/>
  <c r="D69" i="7"/>
  <c r="D68" i="7"/>
  <c r="C63" i="7"/>
  <c r="E63" i="7" s="1"/>
  <c r="E58" i="7"/>
  <c r="F58" i="7" s="1"/>
  <c r="E57" i="7"/>
  <c r="F57" i="7" s="1"/>
  <c r="E56" i="7"/>
  <c r="F56" i="7" s="1"/>
  <c r="E55" i="7"/>
  <c r="F55" i="7" s="1"/>
  <c r="E54" i="7"/>
  <c r="F54" i="7" s="1"/>
  <c r="E53" i="7"/>
  <c r="F53" i="7" s="1"/>
  <c r="E52" i="7"/>
  <c r="F52" i="7" s="1"/>
  <c r="E51" i="7"/>
  <c r="F51" i="7" s="1"/>
  <c r="D47" i="7"/>
  <c r="E47" i="7" s="1"/>
  <c r="D46" i="7"/>
  <c r="E46" i="7" s="1"/>
  <c r="D45" i="7"/>
  <c r="E45" i="7" s="1"/>
  <c r="D44" i="7"/>
  <c r="E44" i="7" s="1"/>
  <c r="D43" i="7"/>
  <c r="E43" i="7" s="1"/>
  <c r="D42" i="7"/>
  <c r="E42" i="7" s="1"/>
  <c r="D41" i="7"/>
  <c r="E41" i="7" s="1"/>
  <c r="H37" i="7"/>
  <c r="J37" i="7" s="1"/>
  <c r="E37" i="7"/>
  <c r="G37" i="7" s="1"/>
  <c r="H36" i="7"/>
  <c r="J36" i="7" s="1"/>
  <c r="E36" i="7"/>
  <c r="G36" i="7" s="1"/>
  <c r="H35" i="7"/>
  <c r="J35" i="7" s="1"/>
  <c r="E35" i="7"/>
  <c r="G35" i="7" s="1"/>
  <c r="H34" i="7"/>
  <c r="J34" i="7" s="1"/>
  <c r="E34" i="7"/>
  <c r="G34" i="7" s="1"/>
  <c r="G30" i="7"/>
  <c r="H30" i="7" s="1"/>
  <c r="E30" i="7"/>
  <c r="E29" i="7"/>
  <c r="G29" i="7" s="1"/>
  <c r="H29" i="7" s="1"/>
  <c r="G28" i="7"/>
  <c r="H28" i="7" s="1"/>
  <c r="E28" i="7"/>
  <c r="E27" i="7"/>
  <c r="G27" i="7" s="1"/>
  <c r="H27" i="7" s="1"/>
  <c r="G26" i="7"/>
  <c r="H26" i="7" s="1"/>
  <c r="E26" i="7"/>
  <c r="E25" i="7"/>
  <c r="G25" i="7" s="1"/>
  <c r="H25" i="7" s="1"/>
  <c r="I21" i="7"/>
  <c r="J21" i="7" s="1"/>
  <c r="G21" i="7"/>
  <c r="G20" i="7"/>
  <c r="I20" i="7" s="1"/>
  <c r="J20" i="7" s="1"/>
  <c r="I19" i="7"/>
  <c r="J19" i="7" s="1"/>
  <c r="G19" i="7"/>
  <c r="G18" i="7"/>
  <c r="I18" i="7" s="1"/>
  <c r="J18" i="7" s="1"/>
  <c r="G17" i="7"/>
  <c r="I17" i="7" s="1"/>
  <c r="J17" i="7" s="1"/>
  <c r="E13" i="7"/>
  <c r="G13" i="7" s="1"/>
  <c r="H13" i="7" s="1"/>
  <c r="G12" i="7"/>
  <c r="H12" i="7" s="1"/>
  <c r="E12" i="7"/>
  <c r="E11" i="7"/>
  <c r="G11" i="7" s="1"/>
  <c r="H11" i="7" s="1"/>
  <c r="E10" i="7"/>
  <c r="G10" i="7" s="1"/>
  <c r="H10" i="7" s="1"/>
  <c r="E9" i="7"/>
  <c r="G9" i="7" s="1"/>
  <c r="H9" i="7" s="1"/>
  <c r="G8" i="7"/>
  <c r="H8" i="7" s="1"/>
  <c r="E8" i="7"/>
  <c r="A4" i="7"/>
  <c r="C4" i="6"/>
  <c r="B4" i="6"/>
  <c r="A4" i="6"/>
  <c r="B39" i="5"/>
  <c r="C29" i="5"/>
  <c r="B29" i="5"/>
  <c r="A29" i="5"/>
  <c r="C28" i="5"/>
  <c r="B28" i="5"/>
  <c r="A28" i="5"/>
  <c r="C27" i="5"/>
  <c r="B27" i="5"/>
  <c r="A27" i="5"/>
  <c r="C26" i="5"/>
  <c r="B26" i="5"/>
  <c r="A26" i="5"/>
  <c r="B11" i="5"/>
  <c r="B10" i="5"/>
  <c r="B9" i="5"/>
  <c r="B8" i="5"/>
  <c r="B7" i="5"/>
  <c r="B6" i="5"/>
  <c r="G3" i="5"/>
  <c r="D3" i="5"/>
  <c r="B3" i="5"/>
  <c r="A3" i="5"/>
  <c r="B39" i="4"/>
  <c r="B45" i="5" s="1"/>
  <c r="B38" i="4"/>
  <c r="B44" i="5" s="1"/>
  <c r="B33" i="4"/>
  <c r="B16" i="4"/>
  <c r="B12" i="5" s="1"/>
  <c r="B13" i="4"/>
  <c r="B21" i="4" s="1"/>
  <c r="B12" i="4"/>
  <c r="B11" i="4"/>
  <c r="B9" i="4"/>
  <c r="B10" i="4" s="1"/>
  <c r="B8" i="4"/>
  <c r="B3" i="4"/>
  <c r="A3" i="4"/>
  <c r="D3" i="2"/>
  <c r="B3" i="2"/>
  <c r="A3" i="2"/>
  <c r="N5" i="1"/>
  <c r="L5" i="1"/>
  <c r="J5" i="1"/>
  <c r="H5" i="1"/>
  <c r="F5" i="1"/>
  <c r="D5" i="1"/>
  <c r="B5" i="1"/>
  <c r="A5" i="1"/>
  <c r="B20" i="4" l="1"/>
  <c r="B35" i="4" s="1"/>
  <c r="B41" i="5" s="1"/>
  <c r="B36" i="5"/>
  <c r="C70" i="7"/>
  <c r="E70" i="7" s="1"/>
  <c r="F70" i="7" s="1"/>
  <c r="B17" i="5"/>
  <c r="B36" i="4"/>
  <c r="B42" i="5" s="1"/>
  <c r="B19" i="4"/>
  <c r="B35" i="5" l="1"/>
  <c r="B16" i="5"/>
  <c r="C69" i="7"/>
  <c r="E69" i="7" s="1"/>
  <c r="F69" i="7" s="1"/>
  <c r="B15" i="5"/>
  <c r="B25" i="4"/>
  <c r="B34" i="4"/>
  <c r="B40" i="5" s="1"/>
  <c r="B28" i="4"/>
  <c r="B22" i="4"/>
  <c r="B18" i="5" s="1"/>
  <c r="C68" i="7"/>
  <c r="E68" i="7" s="1"/>
  <c r="F68" i="7" s="1"/>
  <c r="B37" i="4"/>
  <c r="B43" i="5" s="1"/>
  <c r="B27" i="4"/>
  <c r="B29" i="4" s="1"/>
  <c r="B30" i="4" s="1"/>
  <c r="B19" i="5" s="1"/>
  <c r="B34" i="5"/>
  <c r="B26" i="4"/>
  <c r="D71" i="7"/>
  <c r="C30" i="5" l="1"/>
  <c r="C71" i="7"/>
  <c r="E71" i="7" s="1"/>
  <c r="F71" i="7" s="1"/>
  <c r="B23" i="5"/>
  <c r="B30" i="5"/>
  <c r="C64" i="7" s="1"/>
  <c r="E64" i="7" s="1"/>
  <c r="B22" i="5"/>
  <c r="C62" i="7"/>
  <c r="E62" i="7" s="1"/>
  <c r="C76" i="7" l="1"/>
  <c r="C77" i="7" l="1"/>
  <c r="B78" i="7"/>
</calcChain>
</file>

<file path=xl/sharedStrings.xml><?xml version="1.0" encoding="utf-8"?>
<sst xmlns="http://schemas.openxmlformats.org/spreadsheetml/2006/main" count="666" uniqueCount="476">
  <si>
    <t>NUTRIMETRÍA  ·  NMX-16</t>
  </si>
  <si>
    <t>Calculadora de somatotipo y somatocarta · versión 1.0</t>
  </si>
  <si>
    <t>Navegación — use las pestañas inferiores del libro</t>
  </si>
  <si>
    <t>Ingresar datos</t>
  </si>
  <si>
    <t>Medidas corporales</t>
  </si>
  <si>
    <t>Auditar operaciones</t>
  </si>
  <si>
    <t>Ver resumen</t>
  </si>
  <si>
    <t>Trazabilidad</t>
  </si>
  <si>
    <t>Control de calidad</t>
  </si>
  <si>
    <t>Constantes</t>
  </si>
  <si>
    <t>Historial</t>
  </si>
  <si>
    <t>Código del producto</t>
  </si>
  <si>
    <t>NMX-16</t>
  </si>
  <si>
    <t>Versión</t>
  </si>
  <si>
    <t>1.0</t>
  </si>
  <si>
    <t>Fecha</t>
  </si>
  <si>
    <t>2026-07-14</t>
  </si>
  <si>
    <t>Método</t>
  </si>
  <si>
    <t>Antropométrico de Heath–Carter</t>
  </si>
  <si>
    <t>Formato</t>
  </si>
  <si>
    <t>.xlsx sin macros · Microsoft 365 y Excel 2021</t>
  </si>
  <si>
    <t>Responsable</t>
  </si>
  <si>
    <t>Equipo Nutrimetría (completar por el titular)</t>
  </si>
  <si>
    <t>AVISO DE ALCANCE — LÉALO ANTES DE USAR</t>
  </si>
  <si>
    <t>EXACTITUD MATEMÁTICA ≠ VALIDACIÓN CLÍNICA. Este archivo NO está validado clínicamente.</t>
  </si>
  <si>
    <t>APLICA A: personas ADULTAS (≥18 años).</t>
  </si>
  <si>
    <t>El somatotipo describe la FORMA corporal; NO mide composición ni diagnostica por sí solo.</t>
  </si>
  <si>
    <t>La precisión depende de la técnica de medición (estándar ISAK): puntos anatómicos y plicómetro calibrado.</t>
  </si>
  <si>
    <t>Los tres componentes deben interpretarse en conjunto, no de forma aislada.</t>
  </si>
  <si>
    <t>Un componente cuyo cálculo sea ≤0 se fija en 0,1 por definición del método.</t>
  </si>
  <si>
    <t>PROPÓSITO Y ALCANCE</t>
  </si>
  <si>
    <t>Propósito</t>
  </si>
  <si>
    <t>Proveer una herramienta automatizada para determinar los componentes de endomorfia, mesomorfia y ectomorfia según el método antropométrico de Heath-Carter, permitiendo visualizar la distribución morfológica en la somatocarta como complemento a la evaluación física.</t>
  </si>
  <si>
    <t>Población</t>
  </si>
  <si>
    <t>Personas adultas (≥18 años).</t>
  </si>
  <si>
    <t>Uso</t>
  </si>
  <si>
    <t>Compatibilidad</t>
  </si>
  <si>
    <t>Privacidad</t>
  </si>
  <si>
    <t>Los datos permanecen en el archivo local. El libro no transmite información.</t>
  </si>
  <si>
    <t>CÓMO SE MODELA</t>
  </si>
  <si>
    <t>Endomorfia: polinomio sobre Σ(tríceps+subescapular+supraespinal) corregida por talla (×170,18/estatura).</t>
  </si>
  <si>
    <t>Mesomorfia: diámetros de húmero y fémur + perímetros de brazo y pantorrilla corregidos − 0,131·talla + 4,5.</t>
  </si>
  <si>
    <t>Ectomorfia: según el índice talla/peso^(1/3) (HWR), en tres tramos.</t>
  </si>
  <si>
    <t>Somatocarta: X = ecto − endo · Y = 2·meso − (endo+ecto).</t>
  </si>
  <si>
    <t>Clasificación en 13 categorías según qué componente domina y sus diferencias.</t>
  </si>
  <si>
    <t>Datos de entrada · identificación y datos básicos</t>
  </si>
  <si>
    <t>LEYENDA · Celdas ARENA con texto AZUL = editables. Grises = calculadas. (opcional) = puede quedar vacía.</t>
  </si>
  <si>
    <t>► Las mediciones antropométricas se ingresan en la hoja MEDIDAS.</t>
  </si>
  <si>
    <t>Campo</t>
  </si>
  <si>
    <t>Valor</t>
  </si>
  <si>
    <t>Unidad</t>
  </si>
  <si>
    <t>Validación</t>
  </si>
  <si>
    <t>Ayuda</t>
  </si>
  <si>
    <t>Identificador de la evaluación</t>
  </si>
  <si>
    <t>NMX-2026-0016</t>
  </si>
  <si>
    <t>—</t>
  </si>
  <si>
    <t>Texto libre</t>
  </si>
  <si>
    <t>Código interno.</t>
  </si>
  <si>
    <t>fecha</t>
  </si>
  <si>
    <t>dd/mm/aaaa.</t>
  </si>
  <si>
    <t>Nombre o código del paciente</t>
  </si>
  <si>
    <t>PAC-0083</t>
  </si>
  <si>
    <t>Prefiera un CÓDIGO si comparte el archivo.</t>
  </si>
  <si>
    <t>Sexo biológico</t>
  </si>
  <si>
    <t>Hombre</t>
  </si>
  <si>
    <t>Lista: Hombre / Mujer</t>
  </si>
  <si>
    <t>Referencia; las ecuaciones HC no dependen del sexo.</t>
  </si>
  <si>
    <t>Edad</t>
  </si>
  <si>
    <t>años</t>
  </si>
  <si>
    <t>≥18 y ≤120</t>
  </si>
  <si>
    <t>Solo adultos.</t>
  </si>
  <si>
    <t>Peso</t>
  </si>
  <si>
    <t>kg</t>
  </si>
  <si>
    <t>Entre 25 y 350</t>
  </si>
  <si>
    <t>Necesario para la ectomorfia.</t>
  </si>
  <si>
    <t>Estatura</t>
  </si>
  <si>
    <t>cm</t>
  </si>
  <si>
    <t>Entre 120 y 230</t>
  </si>
  <si>
    <t>Necesaria para las tres componentes.</t>
  </si>
  <si>
    <t>Evaluador</t>
  </si>
  <si>
    <t>EVAL-01</t>
  </si>
  <si>
    <t>Para trazabilidad.</t>
  </si>
  <si>
    <t>Observaciones</t>
  </si>
  <si>
    <t>Contexto, calibración, condiciones.</t>
  </si>
  <si>
    <t>Panel antropométrico · Heath–Carter (lado derecho del cuerpo)</t>
  </si>
  <si>
    <t>Marque los puntos anatómicos antes de medir. Los pliegues van en mm; los diámetros óseos y perímetros, en cm. Endomorfia: tríceps + subescapular + supraespinal. Mesomorfia: húmero, fémur, brazo y pantorrilla (perímetros corregidos con sus pliegues). Ectomorfia: peso y estatura (hoja DATOS).</t>
  </si>
  <si>
    <t>Nº</t>
  </si>
  <si>
    <t>Medida</t>
  </si>
  <si>
    <t>Referencia anatómica / técnica</t>
  </si>
  <si>
    <t>Pliegues cutáneos (mm)</t>
  </si>
  <si>
    <t>Tríceps</t>
  </si>
  <si>
    <t>mm</t>
  </si>
  <si>
    <t>Vertical, cara posterior del brazo, punto medio.</t>
  </si>
  <si>
    <t>Subescapular</t>
  </si>
  <si>
    <t>Oblicuo, 2 cm bajo el ángulo inferior de la escápula.</t>
  </si>
  <si>
    <t>Supraespinal (cresta ilíaca ant.)</t>
  </si>
  <si>
    <t>Oblicuo, sobre la espina ilíaca anterosuperior.</t>
  </si>
  <si>
    <t>Pantorrilla medial</t>
  </si>
  <si>
    <t>Vertical, cara medial, máximo perímetro.</t>
  </si>
  <si>
    <t>Diámetros óseos (cm)</t>
  </si>
  <si>
    <t>Húmero (biepicondíleo)</t>
  </si>
  <si>
    <t>Entre epicóndilo y epitróclea, codo a 90°.</t>
  </si>
  <si>
    <t>Fémur (biepicondíleo)</t>
  </si>
  <si>
    <t>Entre cóndilos femorales, sentado, rodilla a 90°.</t>
  </si>
  <si>
    <t>Perímetros (cm)</t>
  </si>
  <si>
    <t>Brazo flexionado en tensión</t>
  </si>
  <si>
    <t>Máximo, con el brazo contraído.</t>
  </si>
  <si>
    <t>Pantorrilla (máximo)</t>
  </si>
  <si>
    <t>Máximo perímetro de la pantorrilla.</t>
  </si>
  <si>
    <t>► El brazo y la pantorrilla se corrigen automáticamente restando su pliegue: brazo − tríceps/10 y pantorrilla − pliegue de pantorrilla/10.</t>
  </si>
  <si>
    <t>Motor · endomorfia, mesomorfia, ectomorfia y somatocarta</t>
  </si>
  <si>
    <t>Cada celda declara su fórmula. Las guardas devuelven 'ND: …' en vez de errores. Un componente cuyo cálculo sea ≤0 se fija en 0,1 por definición (Carter).</t>
  </si>
  <si>
    <t>BLOQUE 0 · MEDIDAS DERIVADAS</t>
  </si>
  <si>
    <t>Variable</t>
  </si>
  <si>
    <t>Fórmula / cómo se obtiene</t>
  </si>
  <si>
    <t>Estatura en metros</t>
  </si>
  <si>
    <t>m</t>
  </si>
  <si>
    <t>in_Est/100</t>
  </si>
  <si>
    <t>Σ 3 pliegues (endomorfia)</t>
  </si>
  <si>
    <t>tríceps+subescapular+supraespinal</t>
  </si>
  <si>
    <t>Σ corregida por talla (X)</t>
  </si>
  <si>
    <t>Σ3 × (170,18 / estatura)</t>
  </si>
  <si>
    <t>Perímetro de brazo corregido</t>
  </si>
  <si>
    <t>brazo − tríceps/10</t>
  </si>
  <si>
    <t>Perímetro de pantorrilla corregido</t>
  </si>
  <si>
    <t>pantorrilla − pliegue/10</t>
  </si>
  <si>
    <t>Índice talla/peso (HWR)</t>
  </si>
  <si>
    <t>estatura / peso^(1/3)</t>
  </si>
  <si>
    <t>BLOQUE 1 · COMPUERTA DE DATOS IMPOSIBLES</t>
  </si>
  <si>
    <t>¿Cálculo habilitado?</t>
  </si>
  <si>
    <t>Exige edad adulta, peso y estatura válidos</t>
  </si>
  <si>
    <t>BLOQUE 2 · COMPONENTES DEL SOMATOTIPO</t>
  </si>
  <si>
    <t>Endomorfia</t>
  </si>
  <si>
    <t>Polinomio de 3er grado sobre X</t>
  </si>
  <si>
    <t>Mesomorfia</t>
  </si>
  <si>
    <t>Diámetros y perímetros corregidos − 0,131·talla + 4,5</t>
  </si>
  <si>
    <t>Ectomorfia</t>
  </si>
  <si>
    <t>Según el tramo del HWR</t>
  </si>
  <si>
    <t>Somatotipo</t>
  </si>
  <si>
    <t>endo − meso − ecto</t>
  </si>
  <si>
    <t>BLOQUE 3 · SOMATOCARTA Y CLASIFICACIÓN</t>
  </si>
  <si>
    <t>Coordenada X</t>
  </si>
  <si>
    <t>ecto − endo</t>
  </si>
  <si>
    <t>Coordenada Y</t>
  </si>
  <si>
    <t>2·meso − (endo+ecto)</t>
  </si>
  <si>
    <t>Máximo componente</t>
  </si>
  <si>
    <t>Mínimo componente</t>
  </si>
  <si>
    <t>Componente medio</t>
  </si>
  <si>
    <t>Clasificación (13 categorías)</t>
  </si>
  <si>
    <t>Regla de Carter &amp; Heath según dominancia</t>
  </si>
  <si>
    <t>BLOQUE 4 · ADVERTENCIAS</t>
  </si>
  <si>
    <t>Cálculo bloqueado</t>
  </si>
  <si>
    <t>Endomorfia sin datos</t>
  </si>
  <si>
    <t>Mesomorfia sin datos</t>
  </si>
  <si>
    <t>Ectomorfia sin datos</t>
  </si>
  <si>
    <t>Componente en su piso (0,1)</t>
  </si>
  <si>
    <t>Medida fuera de rango habitual</t>
  </si>
  <si>
    <t>Recordatorio metodológico</t>
  </si>
  <si>
    <t>Informe de somatotipo y somatocarta</t>
  </si>
  <si>
    <t>IDENTIFICACIÓN</t>
  </si>
  <si>
    <t>Identificador</t>
  </si>
  <si>
    <t>Paciente</t>
  </si>
  <si>
    <t>Sexo · edad</t>
  </si>
  <si>
    <t>Peso · estatura</t>
  </si>
  <si>
    <t>Estado del cálculo</t>
  </si>
  <si>
    <t>SOMATOTIPO</t>
  </si>
  <si>
    <t>Endomorfia (relativa adiposidad)</t>
  </si>
  <si>
    <t>Mesomorfia (robustez musculoesquelética)</t>
  </si>
  <si>
    <t>Ectomorfia (linealidad)</t>
  </si>
  <si>
    <t>Clasificación</t>
  </si>
  <si>
    <t>SOMATOCARTA</t>
  </si>
  <si>
    <t>Coordenada X (ecto − endo)</t>
  </si>
  <si>
    <t>Coordenada Y (2·meso − (endo+ecto))</t>
  </si>
  <si>
    <t>Serie</t>
  </si>
  <si>
    <t>X</t>
  </si>
  <si>
    <t>Y</t>
  </si>
  <si>
    <t>Sujeto</t>
  </si>
  <si>
    <t>DATOS DE APOYO (gráfico de componentes)</t>
  </si>
  <si>
    <t>Componente</t>
  </si>
  <si>
    <t>ADVERTENCIAS</t>
  </si>
  <si>
    <t>Componente en su piso</t>
  </si>
  <si>
    <t>Medida fuera de rango</t>
  </si>
  <si>
    <t>EXACTITUD MATEMÁTICA ≠ VALIDACIÓN CLÍNICA. Los coeficientes se cotejaron contra el manual de Heath–Carter, pero este archivo NO está validado clínicamente. El somatotipo describe la FORMA corporal; no mide composición por sí solo ni constituye diagnóstico. La precisión depende de la técnica de medición (ISAK).</t>
  </si>
  <si>
    <t>Trazabilidad del método antropométrico de Heath–Carter</t>
  </si>
  <si>
    <t>NIVEL A = manual/publicación oficial del método · B = corroboración por pares · C = fuente secundaria. Solo se usan ECUACIONES y COEFICIENTES (hechos no protegibles). EXACTITUD BIBLIOGRÁFICA ≠ VALIDACIÓN CLÍNICA.</t>
  </si>
  <si>
    <t>Ecuación o dato</t>
  </si>
  <si>
    <t>Autor u organización</t>
  </si>
  <si>
    <t>Año</t>
  </si>
  <si>
    <t>Población / base</t>
  </si>
  <si>
    <t>Fórmula / valor</t>
  </si>
  <si>
    <t>Unidades</t>
  </si>
  <si>
    <t>Limitaciones</t>
  </si>
  <si>
    <t>DOI o fuente</t>
  </si>
  <si>
    <t>Fecha cotejo</t>
  </si>
  <si>
    <t>Licencia / condiciones</t>
  </si>
  <si>
    <t>Nivel</t>
  </si>
  <si>
    <t>Método antropométrico de somatotipo</t>
  </si>
  <si>
    <t>Carter JEL — The Heath-Carter Anthropometric Somatotype, Instruction Manual</t>
  </si>
  <si>
    <t>1990/2002</t>
  </si>
  <si>
    <t>Basado en Heath &amp; Carter (1967); San Diego State University</t>
  </si>
  <si>
    <t>Tres componentes: endomorfia, mesomorfia, ectomorfia</t>
  </si>
  <si>
    <t>unidades adimensionales</t>
  </si>
  <si>
    <t>Describe la FORMA, no la composición; depende de la técnica de medición.</t>
  </si>
  <si>
    <t>somatotype.org · Instruction Manual</t>
  </si>
  <si>
    <t>2026-07-16</t>
  </si>
  <si>
    <t>Manual reproducible para uso docente sin permiso específico (según el propio manual); se usan las ecuaciones.</t>
  </si>
  <si>
    <t>A</t>
  </si>
  <si>
    <t>Endomorfia (corregida por talla)</t>
  </si>
  <si>
    <t>Carter &amp; Heath</t>
  </si>
  <si>
    <t>1990</t>
  </si>
  <si>
    <t>Polinomio de 3er grado</t>
  </si>
  <si>
    <t>Endo = −0,7182 + 0,1451·X − 0,00068·X² + 0,0000014·X³ ; X = Σ3·(170,18/talla)</t>
  </si>
  <si>
    <t>mm; adimensional</t>
  </si>
  <si>
    <t>Σ3 = tríceps+subescapular+supraespinal; sensible a la calidad de los pliegues.</t>
  </si>
  <si>
    <t>Heath-Carter Manual</t>
  </si>
  <si>
    <t>Se usa la ecuación (hecho no protegible).</t>
  </si>
  <si>
    <t>Diámetros óseos y perímetros corregidos</t>
  </si>
  <si>
    <t>Meso = 0,858·húmero + 0,601·fémur + 0,188·brazoC + 0,161·pantorrillaC − 0,131·talla + 4,5</t>
  </si>
  <si>
    <t>cm; adimensional</t>
  </si>
  <si>
    <t>Perímetros corregidos por el pliegue respectivo (÷10 para pasar mm→cm).</t>
  </si>
  <si>
    <t>Ectomorfia (por HWR)</t>
  </si>
  <si>
    <t>Índice talla/peso HWR = talla / peso^(1/3)</t>
  </si>
  <si>
    <t>HWR≥40,75: 0,732·HWR−28,58 · 38,25&lt;HWR&lt;40,75: 0,463·HWR−17,63 · HWR≤38,25: 0,1</t>
  </si>
  <si>
    <t>adimensional</t>
  </si>
  <si>
    <t>Tres tramos; un componente ≤0 se fija en 0,1.</t>
  </si>
  <si>
    <t>Clasificación en 13 categorías</t>
  </si>
  <si>
    <t>Carter &amp; Heath — Somatotyping: development and applications</t>
  </si>
  <si>
    <t>Regla de dominancia de componentes</t>
  </si>
  <si>
    <t>Central / balanceado / ‘-’ / adjetivado según dominancia y diferencias</t>
  </si>
  <si>
    <t>Categoría cualitativa; los valores numéricos son la información primaria.</t>
  </si>
  <si>
    <t>Cambridge University Press, 1990</t>
  </si>
  <si>
    <t>Obra con derechos de autor; se usa el criterio de clasificación (hecho no protegible).</t>
  </si>
  <si>
    <t>B</t>
  </si>
  <si>
    <t>Estandarización de la medición</t>
  </si>
  <si>
    <t>ISAK — International Standards for Anthropometric Assessment</t>
  </si>
  <si>
    <t>2001/vigente</t>
  </si>
  <si>
    <t>Estándar internacional de cineantropometría</t>
  </si>
  <si>
    <t>Puntos anatómicos y técnica de pliegues, diámetros y perímetros</t>
  </si>
  <si>
    <t>mm; cm</t>
  </si>
  <si>
    <t>La reproducibilidad depende de la acreditación del evaluador.</t>
  </si>
  <si>
    <t>ISAK · normas</t>
  </si>
  <si>
    <t>Estándar de la sociedad ISAK; se usa la definición técnica.</t>
  </si>
  <si>
    <t>VERIFICADO (2026-07-23): el umbral bajo del HWR usado en el motor es 38,25, confirmado contra múltiples fuentes revisadas por pares que aplican el método Heath–Carter (p. ej. Frontiers in Physiology, 2025; PMC). La cifra de 38,35 que circula en algunas copias secundarias (diapositivas) es la errata; no se usa aquí. Aun así, se recomienda cotejar contra la edición física del manual de Carter (1990/2002) antes de un uso clínico o docente formal.</t>
  </si>
  <si>
    <t>NOTA EDITORIAL AÑADIDA (2026-07-23): los límites de "impossible data" para pliegues cutáneos en CONFIG (2 mm a 60 mm) son una cota práctica de plicometría/ISAK definida por el equipo del producto, no un valor tomado del manual Heath–Carter. El titular puede ajustarlos en CONFIG!B16:B17 según su propio protocolo.</t>
  </si>
  <si>
    <t>Banco de verificación · el recuento se calcula solo en el RESUMEN</t>
  </si>
  <si>
    <t>REGLA: el valor ESPERADO nunca lee el CONFIG que usa el motor. O es un literal calculado a partir del manual de Heath–Carter, o se reconstruye con los coeficientes publicados escritos de forma explícita. Si alguien corrompe un coeficiente de CONFIG, estas pruebas FALLAN.</t>
  </si>
  <si>
    <t>BLOQUE A · EXACTITUD ENDOMORFIA (polinomio corregido por talla)</t>
  </si>
  <si>
    <t>ID</t>
  </si>
  <si>
    <t>Descripción</t>
  </si>
  <si>
    <t>Σ3</t>
  </si>
  <si>
    <t>Talla</t>
  </si>
  <si>
    <t>Obtenido</t>
  </si>
  <si>
    <t>Esperado</t>
  </si>
  <si>
    <t>Dif.</t>
  </si>
  <si>
    <t>Estado</t>
  </si>
  <si>
    <t>A01</t>
  </si>
  <si>
    <t>Σ30 H176</t>
  </si>
  <si>
    <t>A02</t>
  </si>
  <si>
    <t>Σ45 H165</t>
  </si>
  <si>
    <t>A03</t>
  </si>
  <si>
    <t>Σ60 H180</t>
  </si>
  <si>
    <t>A04</t>
  </si>
  <si>
    <t>Σ20 H170</t>
  </si>
  <si>
    <t>A05</t>
  </si>
  <si>
    <t>Σ90 H160</t>
  </si>
  <si>
    <t>A06</t>
  </si>
  <si>
    <t>Σ15 H190</t>
  </si>
  <si>
    <t>BLOQUE B · EXACTITUD MESOMORFIA</t>
  </si>
  <si>
    <t>Húmero</t>
  </si>
  <si>
    <t>Fémur</t>
  </si>
  <si>
    <t>BrazoC</t>
  </si>
  <si>
    <t>PantC</t>
  </si>
  <si>
    <t>B01</t>
  </si>
  <si>
    <t>B02</t>
  </si>
  <si>
    <t>B03</t>
  </si>
  <si>
    <t>B04</t>
  </si>
  <si>
    <t>B05</t>
  </si>
  <si>
    <t>BLOQUE C · EXACTITUD ECTOMORFIA · los tres tramos del HWR</t>
  </si>
  <si>
    <t>C01</t>
  </si>
  <si>
    <t>Tramo alto</t>
  </si>
  <si>
    <t>C02</t>
  </si>
  <si>
    <t>Tramo alto delgado</t>
  </si>
  <si>
    <t>C03</t>
  </si>
  <si>
    <t>Tramo medio</t>
  </si>
  <si>
    <t>C04</t>
  </si>
  <si>
    <t>Tramo bajo (piso 0,1)</t>
  </si>
  <si>
    <t>C05</t>
  </si>
  <si>
    <t>Muy delgado</t>
  </si>
  <si>
    <t>C06</t>
  </si>
  <si>
    <t>Robusto bajo</t>
  </si>
  <si>
    <t>BLOQUE D · COORDENADAS DE LA SOMATOCARTA</t>
  </si>
  <si>
    <t>Endo</t>
  </si>
  <si>
    <t>Meso</t>
  </si>
  <si>
    <t>Ecto</t>
  </si>
  <si>
    <t>X obt</t>
  </si>
  <si>
    <t>X esp</t>
  </si>
  <si>
    <t>Est.X</t>
  </si>
  <si>
    <t>Y obt</t>
  </si>
  <si>
    <t>Y esp</t>
  </si>
  <si>
    <t>Est.Y</t>
  </si>
  <si>
    <t>D01</t>
  </si>
  <si>
    <t>D02</t>
  </si>
  <si>
    <t>D03</t>
  </si>
  <si>
    <t>D04</t>
  </si>
  <si>
    <t>BLOQUE E · CLASIFICACIÓN EN 13 CATEGORÍAS</t>
  </si>
  <si>
    <t>Endo·Meso·Ecto</t>
  </si>
  <si>
    <t>E01</t>
  </si>
  <si>
    <t>2.95·5.06·1.51</t>
  </si>
  <si>
    <t>Mesomorfo endomórfico</t>
  </si>
  <si>
    <t>E02</t>
  </si>
  <si>
    <t>3.0·3.5·3.2</t>
  </si>
  <si>
    <t>Central</t>
  </si>
  <si>
    <t>E03</t>
  </si>
  <si>
    <t>5.0·2.0·2.0</t>
  </si>
  <si>
    <t>Endomorfo balanceado</t>
  </si>
  <si>
    <t>E04</t>
  </si>
  <si>
    <t>2.0·5.0·2.2</t>
  </si>
  <si>
    <t>Mesomorfo balanceado</t>
  </si>
  <si>
    <t>E05</t>
  </si>
  <si>
    <t>2.0·2.2·6.0</t>
  </si>
  <si>
    <t>Ectomorfo balanceado</t>
  </si>
  <si>
    <t>E06</t>
  </si>
  <si>
    <t>4.5·4.5·1.5</t>
  </si>
  <si>
    <t>Endomorfo-mesomorfo</t>
  </si>
  <si>
    <t>E07</t>
  </si>
  <si>
    <t>1.5·3.0·5.5</t>
  </si>
  <si>
    <t>Ectomorfo mesomórfico</t>
  </si>
  <si>
    <t>BLOQUE F · VALIDACIONES: vacíos, texto, negativos, imposibles</t>
  </si>
  <si>
    <t>Escenario</t>
  </si>
  <si>
    <t>Entrada</t>
  </si>
  <si>
    <t>Comportamiento esperado</t>
  </si>
  <si>
    <t>Comportamiento obtenido</t>
  </si>
  <si>
    <t>F01</t>
  </si>
  <si>
    <t>Edad menor de edad (15)</t>
  </si>
  <si>
    <t>15</t>
  </si>
  <si>
    <t>ERROR: edad fuera del alcance adulto</t>
  </si>
  <si>
    <t>F02</t>
  </si>
  <si>
    <t>Edad textual</t>
  </si>
  <si>
    <t>quince</t>
  </si>
  <si>
    <t>ERROR: edad no numérica</t>
  </si>
  <si>
    <t>F03</t>
  </si>
  <si>
    <t>Peso negativo (−5)</t>
  </si>
  <si>
    <t>-5</t>
  </si>
  <si>
    <t>ERROR: peso fuera de rango</t>
  </si>
  <si>
    <t>F04</t>
  </si>
  <si>
    <t>Estatura imposible (400)</t>
  </si>
  <si>
    <t>400</t>
  </si>
  <si>
    <t>ERROR: estatura fuera de rango</t>
  </si>
  <si>
    <t>F05</t>
  </si>
  <si>
    <t>Diámetro imposible (20)</t>
  </si>
  <si>
    <t>20</t>
  </si>
  <si>
    <t>ERROR: diámetro fuera de rango</t>
  </si>
  <si>
    <t>F06</t>
  </si>
  <si>
    <t>Perímetro imposible (5)</t>
  </si>
  <si>
    <t>5</t>
  </si>
  <si>
    <t>ERROR: perímetro fuera de rango</t>
  </si>
  <si>
    <t>F07</t>
  </si>
  <si>
    <t>Componente negativo → piso 0,1</t>
  </si>
  <si>
    <t>-0.3</t>
  </si>
  <si>
    <t>F08</t>
  </si>
  <si>
    <t>Componente 0 → piso 0,1</t>
  </si>
  <si>
    <t>0</t>
  </si>
  <si>
    <t>BLOQUE G · INTEGRIDAD: cero errores de Excel</t>
  </si>
  <si>
    <t>Rango verificado</t>
  </si>
  <si>
    <t>Nº errores</t>
  </si>
  <si>
    <t>G01</t>
  </si>
  <si>
    <t>CALCULOS!B7:B39</t>
  </si>
  <si>
    <t>G02</t>
  </si>
  <si>
    <t>MEDIDAS!C8:C17</t>
  </si>
  <si>
    <t>G03</t>
  </si>
  <si>
    <t>RESULTADOS!B6:C40</t>
  </si>
  <si>
    <t>BLOQUE H · COTEJO CON EL MOTOR (caso vivo · reconstrucción literal desde MEDIDAS)</t>
  </si>
  <si>
    <t>Verificación</t>
  </si>
  <si>
    <t>Obtenido (motor)</t>
  </si>
  <si>
    <t>Esperado (literal)</t>
  </si>
  <si>
    <t>H01</t>
  </si>
  <si>
    <t>H02</t>
  </si>
  <si>
    <t>H03</t>
  </si>
  <si>
    <t>H04</t>
  </si>
  <si>
    <t>Coordenada Y somatocarta</t>
  </si>
  <si>
    <t>RESUMEN DEL BANCO DE PRUEBAS</t>
  </si>
  <si>
    <t>Casos totales</t>
  </si>
  <si>
    <t>Aprobados</t>
  </si>
  <si>
    <t>Fallidos</t>
  </si>
  <si>
    <t>ESTADO GLOBAL</t>
  </si>
  <si>
    <t>Parámetros, coeficientes y catálogos · versión 1.0</t>
  </si>
  <si>
    <t>Toda constante del modelo vive aquí; ninguna fórmula del libro contiene un coeficiente escrito a mano. Las celdas arena son editables. Cambiar un valor aquí propaga a todo el libro y hace FALLAR las pruebas que cotejan contra la fuente publicada.</t>
  </si>
  <si>
    <t>C1 · PARÁMETROS, LÍMITES Y COEFICIENTES DE HEATH–CARTER</t>
  </si>
  <si>
    <t>Parámetro</t>
  </si>
  <si>
    <t>Prueba</t>
  </si>
  <si>
    <t>Nota/Fuente</t>
  </si>
  <si>
    <t>Idioma</t>
  </si>
  <si>
    <t>Español (es-CL)</t>
  </si>
  <si>
    <t>Versión de las fuentes</t>
  </si>
  <si>
    <t>2026-07 · v1.0</t>
  </si>
  <si>
    <t>Edad mínima (adulto)</t>
  </si>
  <si>
    <t>Edad máxima plausible</t>
  </si>
  <si>
    <t>Peso mínimo posible</t>
  </si>
  <si>
    <t>Peso máximo posible</t>
  </si>
  <si>
    <t>IMPOSIBLE</t>
  </si>
  <si>
    <t>Cota de seguridad para datos imposibles; ver DATOS!D12 y PRUEBAS!F03.</t>
  </si>
  <si>
    <t>Estatura mínima posible</t>
  </si>
  <si>
    <t>Cota de seguridad para datos imposibles; ver DATOS!D13 y PRUEBAS!F04.</t>
  </si>
  <si>
    <t>Estatura máxima posible</t>
  </si>
  <si>
    <t>Pliegue mínimo por sitio</t>
  </si>
  <si>
    <t>Valor editorial (rango práctico de plicometría/ISAK); el manual Heath-Carter no fija este límite. Ajustable por el titular.</t>
  </si>
  <si>
    <t>Pliegue máximo por sitio</t>
  </si>
  <si>
    <t>Diámetro óseo mínimo</t>
  </si>
  <si>
    <t>Cota de seguridad para datos imposibles; ver PRUEBAS!F05.</t>
  </si>
  <si>
    <t>Diámetro óseo máximo</t>
  </si>
  <si>
    <t>Perímetro mínimo</t>
  </si>
  <si>
    <t>Brazo / pantorrilla</t>
  </si>
  <si>
    <t>Perímetro máximo</t>
  </si>
  <si>
    <t>Componente mínimo (piso)</t>
  </si>
  <si>
    <t>Regla</t>
  </si>
  <si>
    <t>Un componente ≤0 se fija en 0,1 (Carter)</t>
  </si>
  <si>
    <t>Tolerancia de pruebas · unidad</t>
  </si>
  <si>
    <t>Umbral</t>
  </si>
  <si>
    <t>Diferencia máxima en unidades de somatotipo</t>
  </si>
  <si>
    <t>Endomorfia · término independiente</t>
  </si>
  <si>
    <t>Coef.</t>
  </si>
  <si>
    <t>Endo = c0 + c1·X − c2·X² + c3·X³</t>
  </si>
  <si>
    <t>Endomorfia · coef. lineal</t>
  </si>
  <si>
    <t>Endomorfia · coef. cuadrático</t>
  </si>
  <si>
    <t>(se resta)</t>
  </si>
  <si>
    <t>Endomorfia · coef. cúbico</t>
  </si>
  <si>
    <t>Endomorfia · estatura de referencia</t>
  </si>
  <si>
    <t>Corrección por talla: Σ3·(170,18/H)</t>
  </si>
  <si>
    <t>Mesomorfia · coef. húmero</t>
  </si>
  <si>
    <t>× diámetro biepicondíleo húmero</t>
  </si>
  <si>
    <t>Mesomorfia · coef. fémur</t>
  </si>
  <si>
    <t>× diámetro biepicondíleo fémur</t>
  </si>
  <si>
    <t>Mesomorfia · coef. perímetro de brazo</t>
  </si>
  <si>
    <t>× brazo corregido</t>
  </si>
  <si>
    <t>Mesomorfia · coef. perímetro de pantorrilla</t>
  </si>
  <si>
    <t>× pantorrilla corregida</t>
  </si>
  <si>
    <t>Mesomorfia · coef. estatura</t>
  </si>
  <si>
    <t>(se resta) × estatura</t>
  </si>
  <si>
    <t>Mesomorfia · constante</t>
  </si>
  <si>
    <t>Término independiente</t>
  </si>
  <si>
    <t>Ectomorfia · umbral alto (HWR)</t>
  </si>
  <si>
    <t>Corte</t>
  </si>
  <si>
    <t>HWR ≥ 40,75 usa el tramo 1</t>
  </si>
  <si>
    <t>Ectomorfia · umbral bajo (HWR)</t>
  </si>
  <si>
    <t>HWR ≤ 38,25 → 0,1</t>
  </si>
  <si>
    <t>Ectomorfia · pendiente tramo 1</t>
  </si>
  <si>
    <t>0,732·HWR − 28,58</t>
  </si>
  <si>
    <t>Ectomorfia · término tramo 1</t>
  </si>
  <si>
    <t>Ectomorfia · pendiente tramo 2</t>
  </si>
  <si>
    <t>0,463·HWR − 17,63</t>
  </si>
  <si>
    <t>Ectomorfia · término tramo 2</t>
  </si>
  <si>
    <t>C2 · SEXOS</t>
  </si>
  <si>
    <t>Nota</t>
  </si>
  <si>
    <t>Referencia; las ecuaciones HC no dependen del sexo</t>
  </si>
  <si>
    <t>Mujer</t>
  </si>
  <si>
    <t>Referencia</t>
  </si>
  <si>
    <t>C3 · LISTA SÍ / NO</t>
  </si>
  <si>
    <t>Sí</t>
  </si>
  <si>
    <t>No</t>
  </si>
  <si>
    <t>C4 · VÉRTICES DE LA SOMATOCARTA (referencia del gráfico)</t>
  </si>
  <si>
    <t>Polo</t>
  </si>
  <si>
    <t>X = ecto − endo</t>
  </si>
  <si>
    <t>Y = 2·meso − (endo+ecto)</t>
  </si>
  <si>
    <t>Endomorfia (7-1-1)</t>
  </si>
  <si>
    <t>Mesomorfia (1-7-1)</t>
  </si>
  <si>
    <t>Ectomorfia (1-1-7)</t>
  </si>
  <si>
    <t>cierre</t>
  </si>
  <si>
    <t>La somatocarta proyecta el somatotipo 3D en un plano 2D. Los tres polos forman el triángulo de referencia; el punto del sujeto se ubica dentro según sus componentes.</t>
  </si>
  <si>
    <t>Historial de versiones</t>
  </si>
  <si>
    <t>Cambio</t>
  </si>
  <si>
    <t>Motivo</t>
  </si>
  <si>
    <t>Versión inicial. Somatotipo antropométrico de Heath–Carter (endomorfia, mesomorfia, ectomorfia), clasificación en 13 categorías y somatocarta (gráfico de dispersión con el punto del sujeto).</t>
  </si>
  <si>
    <t>Primera entrega del producto 16.</t>
  </si>
  <si>
    <t>Equipo Nutrimetría</t>
  </si>
  <si>
    <t>Banco de pruebas con exactitud de las tres ecuaciones (incluidos los tres tramos de ectomorfia), clasificación, coordenadas de la somatocarta, validaciones e integridad; valores esperados independientes del CONFIG.</t>
  </si>
  <si>
    <t>Control de calidad.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</si>
</sst>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m/d/yyyy"/>
    <numFmt numFmtId="165" formatCode="0.0"/>
    <numFmt numFmtId="166" formatCode="0.000"/>
    <numFmt numFmtId="167" formatCode="0.0000"/>
    <numFmt numFmtId="168" formatCode="0.00000"/>
    <numFmt numFmtId="169" formatCode="0.0000000"/>
  </numFmts>
  <fonts count="28" x14ac:knownFonts="1">
    <font>
      <sz val="11"/>
      <color theme="1"/>
      <name val="Calibri"/>
      <family val="2"/>
      <charset val="1"/>
    </font>
    <font>
      <b/>
      <sz val="20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color rgb="FFFFFFFF"/>
      <name val="Arial"/>
      <family val="2"/>
    </font>
    <font>
      <sz val="11"/>
      <color rgb="FF155E6C"/>
      <name val="Arial"/>
      <family val="2"/>
    </font>
    <font>
      <b/>
      <sz val="11"/>
      <color rgb="FF1A1A1A"/>
      <name val="Arial"/>
      <family val="2"/>
    </font>
    <font>
      <b/>
      <sz val="10"/>
      <color rgb="FF1A1A1A"/>
      <name val="Arial"/>
      <family val="2"/>
    </font>
    <font>
      <b/>
      <sz val="11"/>
      <color rgb="FFFFFFFF"/>
      <name val="Arial"/>
      <family val="2"/>
    </font>
    <font>
      <sz val="10"/>
      <color rgb="FF1A1A1A"/>
      <name val="Arial"/>
      <family val="2"/>
    </font>
    <font>
      <b/>
      <sz val="12"/>
      <color rgb="FFFFFFFF"/>
      <name val="Arial"/>
      <family val="2"/>
      <charset val="1"/>
    </font>
    <font>
      <b/>
      <sz val="11"/>
      <color theme="0"/>
      <name val="Arial"/>
      <family val="2"/>
      <charset val="1"/>
    </font>
    <font>
      <sz val="9"/>
      <color rgb="FF5A6B70"/>
      <name val="Arial"/>
      <family val="2"/>
    </font>
    <font>
      <b/>
      <sz val="9"/>
      <color rgb="FFB45309"/>
      <name val="Arial"/>
      <family val="2"/>
    </font>
    <font>
      <b/>
      <sz val="10"/>
      <color rgb="FF1A1A1A"/>
      <name val="Arial"/>
      <family val="2"/>
      <charset val="1"/>
    </font>
    <font>
      <sz val="10"/>
      <color rgb="FF0000CC"/>
      <name val="Arial"/>
      <family val="2"/>
    </font>
    <font>
      <sz val="10"/>
      <color theme="1"/>
      <name val="Arial"/>
      <family val="2"/>
      <charset val="1"/>
    </font>
    <font>
      <sz val="9"/>
      <color theme="1"/>
      <name val="Arial"/>
      <family val="2"/>
      <charset val="1"/>
    </font>
    <font>
      <b/>
      <sz val="10"/>
      <color rgb="FF5A6B70"/>
      <name val="Arial"/>
      <family val="2"/>
      <charset val="1"/>
    </font>
    <font>
      <b/>
      <sz val="10"/>
      <color theme="1"/>
      <name val="Arial"/>
      <family val="2"/>
      <charset val="1"/>
    </font>
    <font>
      <b/>
      <sz val="11"/>
      <color rgb="FFFFFFFF"/>
      <name val="Arial"/>
      <family val="2"/>
      <charset val="1"/>
    </font>
    <font>
      <sz val="10"/>
      <color rgb="FFB45309"/>
      <name val="Arial"/>
      <family val="2"/>
    </font>
    <font>
      <sz val="9"/>
      <color rgb="FF1A1A1A"/>
      <name val="Arial"/>
      <family val="2"/>
    </font>
    <font>
      <b/>
      <sz val="9"/>
      <color rgb="FF1A1A1A"/>
      <name val="Arial"/>
      <family val="2"/>
    </font>
    <font>
      <b/>
      <sz val="9"/>
      <color rgb="FF1C6B72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Arial"/>
      <family val="2"/>
      <charset val="1"/>
    </font>
    <font>
      <sz val="10"/>
      <color rgb="FF5A6B70"/>
      <name val="Arial"/>
      <family val="2"/>
    </font>
    <font>
      <sz val="9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rgb="FF0F3B44"/>
        <bgColor rgb="FF17324D"/>
      </patternFill>
    </fill>
    <fill>
      <patternFill patternType="solid">
        <fgColor rgb="FF1C6B72"/>
        <bgColor rgb="FF155E6C"/>
      </patternFill>
    </fill>
    <fill>
      <patternFill patternType="solid">
        <fgColor rgb="FF17324D"/>
        <bgColor rgb="FF0F3B44"/>
      </patternFill>
    </fill>
    <fill>
      <patternFill patternType="solid">
        <fgColor rgb="FFDCEFF1"/>
        <bgColor rgb="FFDFF0E3"/>
      </patternFill>
    </fill>
    <fill>
      <patternFill patternType="solid">
        <fgColor rgb="FFE7E0F5"/>
        <bgColor rgb="FFDCE8EA"/>
      </patternFill>
    </fill>
    <fill>
      <patternFill patternType="solid">
        <fgColor rgb="FFFBE4D5"/>
        <bgColor rgb="FFFFF6D8"/>
      </patternFill>
    </fill>
    <fill>
      <patternFill patternType="solid">
        <fgColor rgb="FFFFF6D8"/>
        <bgColor rgb="FFF4F6F7"/>
      </patternFill>
    </fill>
    <fill>
      <patternFill patternType="solid">
        <fgColor rgb="FFDCE8EA"/>
        <bgColor rgb="FFDCEFF1"/>
      </patternFill>
    </fill>
    <fill>
      <patternFill patternType="solid">
        <fgColor rgb="FFF4F6F7"/>
        <bgColor rgb="FFFFFFFF"/>
      </patternFill>
    </fill>
    <fill>
      <patternFill patternType="solid">
        <fgColor rgb="FFDFF0E3"/>
        <bgColor rgb="FFDCEFF1"/>
      </patternFill>
    </fill>
    <fill>
      <patternFill patternType="solid">
        <fgColor theme="6" tint="0.39988402966399123"/>
        <bgColor rgb="FFC7D2D6"/>
      </patternFill>
    </fill>
  </fills>
  <borders count="19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7C7CB"/>
      </left>
      <right style="thin">
        <color rgb="FFB7C7CB"/>
      </right>
      <top style="thin">
        <color auto="1"/>
      </top>
      <bottom style="thin">
        <color rgb="FFB7C7CB"/>
      </bottom>
      <diagonal/>
    </border>
    <border>
      <left style="thin">
        <color rgb="FFB7C7CB"/>
      </left>
      <right style="thin">
        <color rgb="FFB7C7CB"/>
      </right>
      <top style="thin">
        <color rgb="FFB7C7CB"/>
      </top>
      <bottom style="thin">
        <color rgb="FFB7C7CB"/>
      </bottom>
      <diagonal/>
    </border>
    <border>
      <left style="thin">
        <color rgb="FFB7C7CB"/>
      </left>
      <right style="thin">
        <color rgb="FFB7C7CB"/>
      </right>
      <top style="thin">
        <color rgb="FFB7C7CB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7C7CB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rgb="FFC7D2D6"/>
      </left>
      <right style="thin">
        <color rgb="FFC7D2D6"/>
      </right>
      <top style="thin">
        <color rgb="FFC7D2D6"/>
      </top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7D2D6"/>
      </left>
      <right style="thin">
        <color rgb="FFC7D2D6"/>
      </right>
      <top style="thin">
        <color rgb="FFC7D2D6"/>
      </top>
      <bottom style="thin">
        <color rgb="FFC7D2D6"/>
      </bottom>
      <diagonal/>
    </border>
    <border>
      <left style="thin">
        <color rgb="FFC7D2D6"/>
      </left>
      <right/>
      <top/>
      <bottom/>
      <diagonal/>
    </border>
    <border>
      <left/>
      <right/>
      <top/>
      <bottom style="thin">
        <color rgb="FFC7D2D6"/>
      </bottom>
      <diagonal/>
    </border>
    <border>
      <left style="thin">
        <color rgb="FFC7D2D6"/>
      </left>
      <right/>
      <top/>
      <bottom style="thin">
        <color rgb="FFC7D2D6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0" fillId="0" borderId="0" xfId="0" applyAlignment="1"/>
    <xf numFmtId="0" fontId="3" fillId="4" borderId="4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10" fillId="4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left" vertical="center"/>
    </xf>
    <xf numFmtId="0" fontId="13" fillId="0" borderId="6" xfId="0" applyFont="1" applyBorder="1" applyAlignment="1">
      <alignment horizontal="left" vertical="center"/>
    </xf>
    <xf numFmtId="0" fontId="14" fillId="8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16" fillId="0" borderId="6" xfId="0" applyFont="1" applyBorder="1" applyAlignment="1">
      <alignment horizontal="left" vertical="center" wrapText="1"/>
    </xf>
    <xf numFmtId="164" fontId="14" fillId="8" borderId="6" xfId="0" applyNumberFormat="1" applyFont="1" applyFill="1" applyBorder="1" applyAlignment="1">
      <alignment horizontal="center" vertical="center"/>
    </xf>
    <xf numFmtId="1" fontId="14" fillId="8" borderId="6" xfId="0" applyNumberFormat="1" applyFont="1" applyFill="1" applyBorder="1" applyAlignment="1">
      <alignment horizontal="center" vertical="center"/>
    </xf>
    <xf numFmtId="165" fontId="14" fillId="8" borderId="6" xfId="0" applyNumberFormat="1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13" fillId="9" borderId="6" xfId="0" applyFont="1" applyFill="1" applyBorder="1" applyAlignment="1">
      <alignment horizontal="left" vertical="center"/>
    </xf>
    <xf numFmtId="0" fontId="8" fillId="9" borderId="6" xfId="0" applyFont="1" applyFill="1" applyBorder="1" applyAlignment="1">
      <alignment horizontal="left" vertical="center"/>
    </xf>
    <xf numFmtId="0" fontId="17" fillId="0" borderId="6" xfId="0" applyFont="1" applyBorder="1" applyAlignment="1">
      <alignment horizontal="center" vertical="center"/>
    </xf>
    <xf numFmtId="0" fontId="15" fillId="9" borderId="6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left" vertical="center"/>
    </xf>
    <xf numFmtId="0" fontId="8" fillId="3" borderId="6" xfId="0" applyFont="1" applyFill="1" applyBorder="1" applyAlignment="1">
      <alignment horizontal="left" vertical="center"/>
    </xf>
    <xf numFmtId="0" fontId="18" fillId="9" borderId="6" xfId="0" applyFont="1" applyFill="1" applyBorder="1" applyAlignment="1">
      <alignment horizontal="left" vertical="center"/>
    </xf>
    <xf numFmtId="0" fontId="18" fillId="0" borderId="6" xfId="0" applyFont="1" applyBorder="1" applyAlignment="1">
      <alignment horizontal="left" vertical="center"/>
    </xf>
    <xf numFmtId="166" fontId="15" fillId="10" borderId="6" xfId="0" applyNumberFormat="1" applyFont="1" applyFill="1" applyBorder="1" applyAlignment="1">
      <alignment horizontal="center" vertical="center"/>
    </xf>
    <xf numFmtId="165" fontId="15" fillId="10" borderId="6" xfId="0" applyNumberFormat="1" applyFont="1" applyFill="1" applyBorder="1" applyAlignment="1">
      <alignment horizontal="center" vertical="center"/>
    </xf>
    <xf numFmtId="2" fontId="15" fillId="10" borderId="6" xfId="0" applyNumberFormat="1" applyFont="1" applyFill="1" applyBorder="1" applyAlignment="1">
      <alignment horizontal="center" vertical="center"/>
    </xf>
    <xf numFmtId="0" fontId="15" fillId="11" borderId="6" xfId="0" applyFont="1" applyFill="1" applyBorder="1" applyAlignment="1">
      <alignment horizontal="center" vertical="center"/>
    </xf>
    <xf numFmtId="2" fontId="15" fillId="11" borderId="6" xfId="0" applyNumberFormat="1" applyFont="1" applyFill="1" applyBorder="1" applyAlignment="1">
      <alignment horizontal="center" vertical="center"/>
    </xf>
    <xf numFmtId="0" fontId="15" fillId="10" borderId="6" xfId="0" applyFont="1" applyFill="1" applyBorder="1" applyAlignment="1">
      <alignment horizontal="center" vertical="center"/>
    </xf>
    <xf numFmtId="0" fontId="19" fillId="3" borderId="6" xfId="0" applyFont="1" applyFill="1" applyBorder="1" applyAlignment="1">
      <alignment horizontal="left" vertical="center"/>
    </xf>
    <xf numFmtId="0" fontId="6" fillId="9" borderId="6" xfId="0" applyFont="1" applyFill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0" fillId="0" borderId="6" xfId="0" applyBorder="1" applyAlignment="1"/>
    <xf numFmtId="0" fontId="0" fillId="0" borderId="14" xfId="0" applyBorder="1" applyAlignment="1"/>
    <xf numFmtId="0" fontId="21" fillId="0" borderId="6" xfId="0" applyFont="1" applyBorder="1" applyAlignment="1">
      <alignment horizontal="left" vertical="center"/>
    </xf>
    <xf numFmtId="165" fontId="8" fillId="0" borderId="6" xfId="0" applyNumberFormat="1" applyFont="1" applyBorder="1" applyAlignment="1">
      <alignment horizontal="center" vertical="center"/>
    </xf>
    <xf numFmtId="2" fontId="8" fillId="11" borderId="6" xfId="0" applyNumberFormat="1" applyFont="1" applyFill="1" applyBorder="1" applyAlignment="1">
      <alignment horizontal="center" vertical="center"/>
    </xf>
    <xf numFmtId="165" fontId="8" fillId="0" borderId="6" xfId="0" applyNumberFormat="1" applyFont="1" applyBorder="1" applyAlignment="1">
      <alignment horizontal="left" vertical="center"/>
    </xf>
    <xf numFmtId="0" fontId="3" fillId="3" borderId="15" xfId="0" applyFont="1" applyFill="1" applyBorder="1" applyAlignment="1">
      <alignment horizontal="left" vertical="center" wrapText="1"/>
    </xf>
    <xf numFmtId="0" fontId="21" fillId="0" borderId="15" xfId="0" applyFont="1" applyBorder="1" applyAlignment="1">
      <alignment horizontal="left" vertical="center" wrapText="1"/>
    </xf>
    <xf numFmtId="0" fontId="23" fillId="0" borderId="15" xfId="0" applyFont="1" applyBorder="1" applyAlignment="1">
      <alignment horizontal="left" vertical="center" wrapText="1"/>
    </xf>
    <xf numFmtId="0" fontId="0" fillId="2" borderId="0" xfId="0" applyFill="1" applyAlignment="1"/>
    <xf numFmtId="0" fontId="3" fillId="3" borderId="15" xfId="0" applyFont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left" vertical="center" wrapText="1"/>
    </xf>
    <xf numFmtId="0" fontId="8" fillId="0" borderId="15" xfId="0" applyFont="1" applyBorder="1" applyAlignment="1">
      <alignment horizontal="center" vertical="center"/>
    </xf>
    <xf numFmtId="0" fontId="21" fillId="0" borderId="15" xfId="0" applyFont="1" applyBorder="1" applyAlignment="1">
      <alignment horizontal="left" vertical="center"/>
    </xf>
    <xf numFmtId="166" fontId="8" fillId="10" borderId="15" xfId="0" applyNumberFormat="1" applyFont="1" applyFill="1" applyBorder="1" applyAlignment="1">
      <alignment horizontal="center" vertical="center"/>
    </xf>
    <xf numFmtId="166" fontId="8" fillId="0" borderId="15" xfId="0" applyNumberFormat="1" applyFont="1" applyBorder="1" applyAlignment="1">
      <alignment horizontal="center" vertical="center"/>
    </xf>
    <xf numFmtId="167" fontId="8" fillId="10" borderId="15" xfId="0" applyNumberFormat="1" applyFont="1" applyFill="1" applyBorder="1" applyAlignment="1">
      <alignment horizontal="center" vertical="center"/>
    </xf>
    <xf numFmtId="0" fontId="21" fillId="10" borderId="15" xfId="0" applyFont="1" applyFill="1" applyBorder="1" applyAlignment="1">
      <alignment horizontal="center" vertical="center"/>
    </xf>
    <xf numFmtId="0" fontId="8" fillId="0" borderId="15" xfId="0" applyFont="1" applyBorder="1" applyAlignment="1">
      <alignment horizontal="left" vertical="center"/>
    </xf>
    <xf numFmtId="165" fontId="8" fillId="0" borderId="15" xfId="0" applyNumberFormat="1" applyFont="1" applyBorder="1" applyAlignment="1">
      <alignment horizontal="center" vertical="center"/>
    </xf>
    <xf numFmtId="2" fontId="8" fillId="0" borderId="15" xfId="0" applyNumberFormat="1" applyFont="1" applyBorder="1" applyAlignment="1">
      <alignment horizontal="center" vertical="center"/>
    </xf>
    <xf numFmtId="0" fontId="21" fillId="0" borderId="15" xfId="0" applyFont="1" applyBorder="1" applyAlignment="1">
      <alignment horizontal="center" vertical="center"/>
    </xf>
    <xf numFmtId="0" fontId="21" fillId="10" borderId="15" xfId="0" applyFont="1" applyFill="1" applyBorder="1" applyAlignment="1">
      <alignment horizontal="left" vertical="center"/>
    </xf>
    <xf numFmtId="0" fontId="8" fillId="10" borderId="15" xfId="0" applyFont="1" applyFill="1" applyBorder="1" applyAlignment="1">
      <alignment horizontal="center" vertical="center"/>
    </xf>
    <xf numFmtId="0" fontId="6" fillId="10" borderId="15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left" vertical="center"/>
    </xf>
    <xf numFmtId="0" fontId="2" fillId="2" borderId="0" xfId="0" applyFont="1" applyFill="1" applyAlignment="1">
      <alignment horizontal="left" vertical="center" indent="1"/>
    </xf>
    <xf numFmtId="0" fontId="7" fillId="3" borderId="0" xfId="0" applyFont="1" applyFill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3" fillId="3" borderId="16" xfId="0" applyFont="1" applyFill="1" applyBorder="1" applyAlignment="1">
      <alignment vertical="center"/>
    </xf>
    <xf numFmtId="0" fontId="25" fillId="3" borderId="17" xfId="0" applyFont="1" applyFill="1" applyBorder="1" applyAlignment="1">
      <alignment vertical="center"/>
    </xf>
    <xf numFmtId="0" fontId="8" fillId="0" borderId="16" xfId="0" applyFont="1" applyBorder="1" applyAlignment="1">
      <alignment vertical="center"/>
    </xf>
    <xf numFmtId="0" fontId="14" fillId="8" borderId="16" xfId="0" applyFont="1" applyFill="1" applyBorder="1" applyAlignment="1">
      <alignment horizontal="center" vertical="center"/>
    </xf>
    <xf numFmtId="0" fontId="26" fillId="0" borderId="15" xfId="0" applyFont="1" applyBorder="1" applyAlignment="1">
      <alignment horizontal="center" vertical="center"/>
    </xf>
    <xf numFmtId="1" fontId="14" fillId="8" borderId="16" xfId="0" applyNumberFormat="1" applyFont="1" applyFill="1" applyBorder="1" applyAlignment="1">
      <alignment horizontal="center" vertical="center"/>
    </xf>
    <xf numFmtId="0" fontId="8" fillId="0" borderId="18" xfId="0" applyFont="1" applyBorder="1" applyAlignment="1">
      <alignment vertical="center"/>
    </xf>
    <xf numFmtId="0" fontId="8" fillId="0" borderId="0" xfId="0" applyFont="1" applyAlignment="1">
      <alignment vertical="center"/>
    </xf>
    <xf numFmtId="1" fontId="14" fillId="8" borderId="15" xfId="0" applyNumberFormat="1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5" xfId="0" applyFont="1" applyBorder="1" applyAlignment="1">
      <alignment horizontal="left" vertical="center" wrapText="1"/>
    </xf>
    <xf numFmtId="165" fontId="14" fillId="8" borderId="15" xfId="0" applyNumberFormat="1" applyFont="1" applyFill="1" applyBorder="1" applyAlignment="1">
      <alignment horizontal="center" vertical="center"/>
    </xf>
    <xf numFmtId="166" fontId="14" fillId="8" borderId="15" xfId="0" applyNumberFormat="1" applyFont="1" applyFill="1" applyBorder="1" applyAlignment="1">
      <alignment horizontal="center" vertical="center"/>
    </xf>
    <xf numFmtId="167" fontId="14" fillId="8" borderId="15" xfId="0" applyNumberFormat="1" applyFont="1" applyFill="1" applyBorder="1" applyAlignment="1">
      <alignment horizontal="center" vertical="center"/>
    </xf>
    <xf numFmtId="168" fontId="14" fillId="8" borderId="15" xfId="0" applyNumberFormat="1" applyFont="1" applyFill="1" applyBorder="1" applyAlignment="1">
      <alignment horizontal="center" vertical="center"/>
    </xf>
    <xf numFmtId="169" fontId="14" fillId="8" borderId="15" xfId="0" applyNumberFormat="1" applyFont="1" applyFill="1" applyBorder="1" applyAlignment="1">
      <alignment horizontal="center" vertical="center"/>
    </xf>
    <xf numFmtId="2" fontId="14" fillId="8" borderId="15" xfId="0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vertical="center"/>
    </xf>
    <xf numFmtId="0" fontId="11" fillId="0" borderId="0" xfId="0" applyFont="1" applyAlignment="1">
      <alignment vertical="center"/>
    </xf>
    <xf numFmtId="0" fontId="1" fillId="2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vertical="center"/>
    </xf>
    <xf numFmtId="0" fontId="3" fillId="4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left" vertical="center" wrapText="1"/>
    </xf>
    <xf numFmtId="0" fontId="6" fillId="6" borderId="6" xfId="0" applyFont="1" applyFill="1" applyBorder="1" applyAlignment="1">
      <alignment horizontal="left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/>
    </xf>
    <xf numFmtId="0" fontId="6" fillId="6" borderId="7" xfId="0" applyFont="1" applyFill="1" applyBorder="1" applyAlignment="1">
      <alignment vertical="center" wrapText="1"/>
    </xf>
    <xf numFmtId="0" fontId="9" fillId="3" borderId="0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/>
    </xf>
    <xf numFmtId="0" fontId="27" fillId="0" borderId="6" xfId="0" applyFont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0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left" vertical="center"/>
    </xf>
    <xf numFmtId="0" fontId="20" fillId="10" borderId="6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0" fillId="12" borderId="13" xfId="0" applyFill="1" applyBorder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8" fillId="10" borderId="6" xfId="0" applyFont="1" applyFill="1" applyBorder="1" applyAlignment="1">
      <alignment horizontal="left" vertical="center"/>
    </xf>
    <xf numFmtId="164" fontId="8" fillId="10" borderId="6" xfId="0" applyNumberFormat="1" applyFont="1" applyFill="1" applyBorder="1" applyAlignment="1">
      <alignment horizontal="left" vertical="center"/>
    </xf>
    <xf numFmtId="165" fontId="8" fillId="10" borderId="6" xfId="0" applyNumberFormat="1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2" fontId="8" fillId="10" borderId="6" xfId="0" applyNumberFormat="1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20" fillId="10" borderId="1" xfId="0" applyFont="1" applyFill="1" applyBorder="1" applyAlignment="1">
      <alignment horizontal="left" vertical="center" wrapText="1"/>
    </xf>
    <xf numFmtId="0" fontId="22" fillId="7" borderId="0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left" vertical="center" wrapText="1"/>
    </xf>
    <xf numFmtId="0" fontId="21" fillId="10" borderId="15" xfId="0" applyFont="1" applyFill="1" applyBorder="1" applyAlignment="1">
      <alignment horizontal="center" vertical="center"/>
    </xf>
    <xf numFmtId="0" fontId="6" fillId="11" borderId="15" xfId="0" applyFont="1" applyFill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3" fillId="3" borderId="16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C6B72"/>
      <rgbColor rgb="FFB7C7CB"/>
      <rgbColor rgb="FF4F81BD"/>
      <rgbColor rgb="FF9999FF"/>
      <rgbColor rgb="FF993366"/>
      <rgbColor rgb="FFFFF6D8"/>
      <rgbColor rgb="FFDCEFF1"/>
      <rgbColor rgb="FF660066"/>
      <rgbColor rgb="FFFF8080"/>
      <rgbColor rgb="FF0066CC"/>
      <rgbColor rgb="FFC7D2D6"/>
      <rgbColor rgb="FF000080"/>
      <rgbColor rgb="FFFF00FF"/>
      <rgbColor rgb="FFFFFF00"/>
      <rgbColor rgb="FF00FFFF"/>
      <rgbColor rgb="FF800080"/>
      <rgbColor rgb="FF800000"/>
      <rgbColor rgb="FF155E6C"/>
      <rgbColor rgb="FF0000FF"/>
      <rgbColor rgb="FF00CCFF"/>
      <rgbColor rgb="FFDCE8EA"/>
      <rgbColor rgb="FFDFF0E3"/>
      <rgbColor rgb="FFF4F6F7"/>
      <rgbColor rgb="FFD9D9D9"/>
      <rgbColor rgb="FFFF99CC"/>
      <rgbColor rgb="FFE7E0F5"/>
      <rgbColor rgb="FFFBE4D5"/>
      <rgbColor rgb="FF3366FF"/>
      <rgbColor rgb="FF33CCCC"/>
      <rgbColor rgb="FFC3D69B"/>
      <rgbColor rgb="FFFFCC00"/>
      <rgbColor rgb="FFFF9900"/>
      <rgbColor rgb="FFFF6600"/>
      <rgbColor rgb="FF5A6B70"/>
      <rgbColor rgb="FFB3B3B3"/>
      <rgbColor rgb="FF17324D"/>
      <rgbColor rgb="FF339966"/>
      <rgbColor rgb="FF003300"/>
      <rgbColor rgb="FF1A1A1A"/>
      <rgbColor rgb="FFB45309"/>
      <rgbColor rgb="FF993366"/>
      <rgbColor rgb="FF333399"/>
      <rgbColor rgb="FF0F3B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L"/>
              <a:t>Somatocarta</a:t>
            </a:r>
          </a:p>
        </c:rich>
      </c:tx>
      <c:layout>
        <c:manualLayout>
          <c:xMode val="edge"/>
          <c:yMode val="edge"/>
          <c:x val="2.4499411071849244E-2"/>
          <c:y val="9.781570596752825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title>
    <c:autoTitleDeleted val="0"/>
    <c:plotArea>
      <c:layout>
        <c:manualLayout>
          <c:layoutTarget val="inner"/>
          <c:xMode val="edge"/>
          <c:yMode val="edge"/>
          <c:x val="0.16370166595803187"/>
          <c:y val="0.14151208544125912"/>
          <c:w val="0.62568310578282338"/>
          <c:h val="0.73216555788225268"/>
        </c:manualLayout>
      </c:layout>
      <c:scatterChart>
        <c:scatterStyle val="lineMarker"/>
        <c:varyColors val="0"/>
        <c:ser>
          <c:idx val="0"/>
          <c:order val="0"/>
          <c:tx>
            <c:v>Triángulo de referencia</c:v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RESULTADOS!$B$26:$B$29</c:f>
              <c:numCache>
                <c:formatCode>0.0</c:formatCode>
                <c:ptCount val="4"/>
                <c:pt idx="0">
                  <c:v>-6</c:v>
                </c:pt>
                <c:pt idx="1">
                  <c:v>0</c:v>
                </c:pt>
                <c:pt idx="2">
                  <c:v>6</c:v>
                </c:pt>
                <c:pt idx="3">
                  <c:v>-6</c:v>
                </c:pt>
              </c:numCache>
            </c:numRef>
          </c:xVal>
          <c:yVal>
            <c:numRef>
              <c:f>RESULTADOS!$C$26:$C$29</c:f>
              <c:numCache>
                <c:formatCode>0.0</c:formatCode>
                <c:ptCount val="4"/>
                <c:pt idx="0">
                  <c:v>-6</c:v>
                </c:pt>
                <c:pt idx="1">
                  <c:v>12</c:v>
                </c:pt>
                <c:pt idx="2">
                  <c:v>-6</c:v>
                </c:pt>
                <c:pt idx="3">
                  <c:v>-6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F1-4116-8973-36F2132145F2}"/>
            </c:ext>
          </c:extLst>
        </c:ser>
        <c:ser>
          <c:idx val="1"/>
          <c:order val="1"/>
          <c:tx>
            <c:v>Sujeto</c:v>
          </c:tx>
          <c:spPr>
            <a:ln w="25400" cap="rnd">
              <a:noFill/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L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RESULTADOS!$B$30</c:f>
              <c:numCache>
                <c:formatCode>0.00</c:formatCode>
                <c:ptCount val="1"/>
                <c:pt idx="0">
                  <c:v>-1.444333656406342</c:v>
                </c:pt>
              </c:numCache>
            </c:numRef>
          </c:xVal>
          <c:yVal>
            <c:numRef>
              <c:f>RESULTADOS!$C$30</c:f>
              <c:numCache>
                <c:formatCode>0.00</c:formatCode>
                <c:ptCount val="1"/>
                <c:pt idx="0">
                  <c:v>5.6662673784085564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F1-4116-8973-36F2132145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90111"/>
        <c:axId val="43987833"/>
      </c:scatterChart>
      <c:valAx>
        <c:axId val="45990111"/>
        <c:scaling>
          <c:orientation val="minMax"/>
          <c:max val="8"/>
          <c:min val="-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X = ecto − endo</a:t>
                </a:r>
              </a:p>
            </c:rich>
          </c:tx>
          <c:layout>
            <c:manualLayout>
              <c:xMode val="edge"/>
              <c:yMode val="edge"/>
              <c:x val="0.3695318528316926"/>
              <c:y val="0.8893674060621784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3987833"/>
        <c:crosses val="autoZero"/>
        <c:crossBetween val="midCat"/>
      </c:valAx>
      <c:valAx>
        <c:axId val="43987833"/>
        <c:scaling>
          <c:orientation val="minMax"/>
          <c:max val="14"/>
          <c:min val="-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L"/>
                  <a:t>Y = 2·meso − (endo+ecto)</a:t>
                </a:r>
              </a:p>
            </c:rich>
          </c:tx>
          <c:layout>
            <c:manualLayout>
              <c:xMode val="edge"/>
              <c:yMode val="edge"/>
              <c:x val="6.7689765738657912E-2"/>
              <c:y val="0.2199917844943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L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L"/>
          </a:p>
        </c:txPr>
        <c:crossAx val="459901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ayout>
        <c:manualLayout>
          <c:xMode val="edge"/>
          <c:yMode val="edge"/>
          <c:x val="0.55702623744470103"/>
          <c:y val="8.3241165778366558E-2"/>
          <c:w val="0.44189551394414922"/>
          <c:h val="5.50217197079392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L"/>
        </a:p>
      </c:txPr>
    </c:legend>
    <c:plotVisOnly val="1"/>
    <c:dispBlanksAs val="gap"/>
    <c:showDLblsOverMax val="1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lang="es-CL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CL" sz="1800" b="1" strike="noStrike" spc="-1">
                <a:solidFill>
                  <a:srgbClr val="000000"/>
                </a:solidFill>
                <a:latin typeface="Calibri"/>
              </a:rPr>
              <a:t>Componentes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RESULTADOS!$B$33</c:f>
              <c:strCache>
                <c:ptCount val="1"/>
                <c:pt idx="0">
                  <c:v>Valor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Arial"/>
                  </a:defRPr>
                </a:pPr>
                <a:endParaRPr lang="es-CL"/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RESULTADOS!$A$34:$A$36</c:f>
              <c:strCache>
                <c:ptCount val="3"/>
                <c:pt idx="0">
                  <c:v>Endomorfia</c:v>
                </c:pt>
                <c:pt idx="1">
                  <c:v>Mesomorfia</c:v>
                </c:pt>
                <c:pt idx="2">
                  <c:v>Ectomorfia</c:v>
                </c:pt>
              </c:strCache>
            </c:strRef>
          </c:cat>
          <c:val>
            <c:numRef>
              <c:f>RESULTADOS!$B$34:$B$36</c:f>
              <c:numCache>
                <c:formatCode>0.0</c:formatCode>
                <c:ptCount val="3"/>
                <c:pt idx="0">
                  <c:v>2.9528331389988969</c:v>
                </c:pt>
                <c:pt idx="1">
                  <c:v>5.0638000000000041</c:v>
                </c:pt>
                <c:pt idx="2">
                  <c:v>1.5084994825925548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75-446B-9B9F-DE093E607E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6420026"/>
        <c:axId val="74578922"/>
      </c:barChart>
      <c:catAx>
        <c:axId val="8642002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74578922"/>
        <c:crosses val="autoZero"/>
        <c:auto val="1"/>
        <c:lblAlgn val="ctr"/>
        <c:lblOffset val="100"/>
        <c:noMultiLvlLbl val="0"/>
      </c:catAx>
      <c:valAx>
        <c:axId val="74578922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CL"/>
          </a:p>
        </c:txPr>
        <c:crossAx val="864200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142875</xdr:colOff>
      <xdr:row>8</xdr:row>
      <xdr:rowOff>76200</xdr:rowOff>
    </xdr:from>
    <xdr:to>
      <xdr:col>17</xdr:col>
      <xdr:colOff>304800</xdr:colOff>
      <xdr:row>28</xdr:row>
      <xdr:rowOff>161280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523800</xdr:colOff>
      <xdr:row>31</xdr:row>
      <xdr:rowOff>171360</xdr:rowOff>
    </xdr:from>
    <xdr:to>
      <xdr:col>16</xdr:col>
      <xdr:colOff>180360</xdr:colOff>
      <xdr:row>44</xdr:row>
      <xdr:rowOff>212760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C6B72"/>
  </sheetPr>
  <dimension ref="A1:E15"/>
  <sheetViews>
    <sheetView showGridLines="0" zoomScaleNormal="100" workbookViewId="0">
      <pane ySplit="6" topLeftCell="A7" activePane="bottomLeft" state="frozen"/>
      <selection pane="bottomLeft" activeCell="B8" sqref="B8:B9"/>
    </sheetView>
  </sheetViews>
  <sheetFormatPr baseColWidth="10" defaultColWidth="8.7109375" defaultRowHeight="15" x14ac:dyDescent="0.25"/>
  <cols>
    <col min="1" max="1" width="38" style="1" customWidth="1"/>
    <col min="2" max="2" width="30" style="1" customWidth="1"/>
    <col min="3" max="3" width="12" style="1" customWidth="1"/>
    <col min="4" max="4" width="24" style="1" customWidth="1"/>
    <col min="5" max="5" width="48" style="1" customWidth="1"/>
  </cols>
  <sheetData>
    <row r="1" spans="1:5" ht="25.5" customHeight="1" x14ac:dyDescent="0.25">
      <c r="A1" s="4" t="s">
        <v>0</v>
      </c>
      <c r="B1" s="5"/>
      <c r="C1" s="5"/>
      <c r="D1" s="5"/>
      <c r="E1" s="5"/>
    </row>
    <row r="2" spans="1:5" ht="15" customHeight="1" x14ac:dyDescent="0.25">
      <c r="A2" s="96" t="s">
        <v>45</v>
      </c>
      <c r="B2" s="96"/>
      <c r="C2" s="96"/>
      <c r="D2" s="96"/>
      <c r="E2" s="96"/>
    </row>
    <row r="3" spans="1:5" ht="15" customHeight="1" x14ac:dyDescent="0.25">
      <c r="A3" s="6" t="str">
        <f>HYPERLINK("#INICIO!A1","◀ INICIO")</f>
        <v>◀ INICIO</v>
      </c>
      <c r="B3" s="97" t="str">
        <f>HYPERLINK("#CALCULOS!A1","▶  CALCULOS")</f>
        <v>▶  CALCULOS</v>
      </c>
      <c r="C3" s="97"/>
      <c r="D3" s="97" t="str">
        <f>HYPERLINK("#RESULTADOS!A1","▶ RESULTADOS")</f>
        <v>▶ RESULTADOS</v>
      </c>
      <c r="E3" s="97"/>
    </row>
    <row r="4" spans="1:5" ht="19.5" customHeight="1" x14ac:dyDescent="0.25">
      <c r="A4" s="98" t="s">
        <v>46</v>
      </c>
      <c r="B4" s="98"/>
      <c r="C4" s="98"/>
      <c r="D4" s="98"/>
      <c r="E4" s="98"/>
    </row>
    <row r="5" spans="1:5" ht="15" customHeight="1" x14ac:dyDescent="0.25">
      <c r="A5" s="99" t="s">
        <v>47</v>
      </c>
      <c r="B5" s="99"/>
      <c r="C5" s="99"/>
      <c r="D5" s="99"/>
      <c r="E5" s="99"/>
    </row>
    <row r="6" spans="1:5" ht="15" customHeight="1" x14ac:dyDescent="0.25">
      <c r="A6" s="7" t="s">
        <v>48</v>
      </c>
      <c r="B6" s="7" t="s">
        <v>49</v>
      </c>
      <c r="C6" s="7" t="s">
        <v>50</v>
      </c>
      <c r="D6" s="7" t="s">
        <v>51</v>
      </c>
      <c r="E6" s="7" t="s">
        <v>52</v>
      </c>
    </row>
    <row r="7" spans="1:5" ht="15" customHeight="1" x14ac:dyDescent="0.25">
      <c r="A7" s="8" t="s">
        <v>53</v>
      </c>
      <c r="B7" s="9" t="s">
        <v>54</v>
      </c>
      <c r="C7" s="10" t="s">
        <v>55</v>
      </c>
      <c r="D7" s="11" t="s">
        <v>56</v>
      </c>
      <c r="E7" s="11" t="s">
        <v>57</v>
      </c>
    </row>
    <row r="8" spans="1:5" ht="15" customHeight="1" x14ac:dyDescent="0.25">
      <c r="A8" s="8" t="s">
        <v>15</v>
      </c>
      <c r="B8" s="12">
        <v>46217</v>
      </c>
      <c r="C8" s="10" t="s">
        <v>58</v>
      </c>
      <c r="D8" s="11" t="s">
        <v>15</v>
      </c>
      <c r="E8" s="11" t="s">
        <v>59</v>
      </c>
    </row>
    <row r="9" spans="1:5" ht="15" customHeight="1" x14ac:dyDescent="0.25">
      <c r="A9" s="8" t="s">
        <v>60</v>
      </c>
      <c r="B9" s="9" t="s">
        <v>61</v>
      </c>
      <c r="C9" s="10" t="s">
        <v>55</v>
      </c>
      <c r="D9" s="11" t="s">
        <v>56</v>
      </c>
      <c r="E9" s="11" t="s">
        <v>62</v>
      </c>
    </row>
    <row r="10" spans="1:5" ht="15" customHeight="1" x14ac:dyDescent="0.25">
      <c r="A10" s="8" t="s">
        <v>63</v>
      </c>
      <c r="B10" s="9" t="s">
        <v>64</v>
      </c>
      <c r="C10" s="10" t="s">
        <v>55</v>
      </c>
      <c r="D10" s="11" t="s">
        <v>65</v>
      </c>
      <c r="E10" s="11" t="s">
        <v>66</v>
      </c>
    </row>
    <row r="11" spans="1:5" ht="15" customHeight="1" x14ac:dyDescent="0.25">
      <c r="A11" s="8" t="s">
        <v>67</v>
      </c>
      <c r="B11" s="13">
        <v>34</v>
      </c>
      <c r="C11" s="10" t="s">
        <v>68</v>
      </c>
      <c r="D11" s="11" t="s">
        <v>69</v>
      </c>
      <c r="E11" s="11" t="s">
        <v>70</v>
      </c>
    </row>
    <row r="12" spans="1:5" ht="15" customHeight="1" x14ac:dyDescent="0.25">
      <c r="A12" s="8" t="s">
        <v>71</v>
      </c>
      <c r="B12" s="14">
        <v>78.5</v>
      </c>
      <c r="C12" s="10" t="s">
        <v>72</v>
      </c>
      <c r="D12" s="11" t="s">
        <v>73</v>
      </c>
      <c r="E12" s="11" t="s">
        <v>74</v>
      </c>
    </row>
    <row r="13" spans="1:5" ht="15" customHeight="1" x14ac:dyDescent="0.25">
      <c r="A13" s="8" t="s">
        <v>75</v>
      </c>
      <c r="B13" s="14">
        <v>176</v>
      </c>
      <c r="C13" s="10" t="s">
        <v>76</v>
      </c>
      <c r="D13" s="11" t="s">
        <v>77</v>
      </c>
      <c r="E13" s="11" t="s">
        <v>78</v>
      </c>
    </row>
    <row r="14" spans="1:5" ht="15" customHeight="1" x14ac:dyDescent="0.25">
      <c r="A14" s="8" t="s">
        <v>79</v>
      </c>
      <c r="B14" s="9" t="s">
        <v>80</v>
      </c>
      <c r="C14" s="10" t="s">
        <v>55</v>
      </c>
      <c r="D14" s="11" t="s">
        <v>56</v>
      </c>
      <c r="E14" s="11" t="s">
        <v>81</v>
      </c>
    </row>
    <row r="15" spans="1:5" ht="15" customHeight="1" x14ac:dyDescent="0.25">
      <c r="A15" s="8" t="s">
        <v>82</v>
      </c>
      <c r="B15" s="9"/>
      <c r="C15" s="10" t="s">
        <v>55</v>
      </c>
      <c r="D15" s="11" t="s">
        <v>56</v>
      </c>
      <c r="E15" s="11" t="s">
        <v>83</v>
      </c>
    </row>
  </sheetData>
  <sheetProtection algorithmName="SHA-512" hashValue="T8KikgMWrVvH2N2HX/DS4asMV6jkybG1iiyVhDk+UwS/pM+vOg1tiZCeEdhEuQfT3zF5WUSOjBNqxuX1OQn1sg==" saltValue="XUvY826etpy6lq5cqUKRtg==" spinCount="100000" sheet="1" objects="1" scenarios="1"/>
  <protectedRanges>
    <protectedRange sqref="B7:B15" name="valores"/>
  </protectedRanges>
  <mergeCells count="5">
    <mergeCell ref="A2:E2"/>
    <mergeCell ref="B3:C3"/>
    <mergeCell ref="D3:E3"/>
    <mergeCell ref="A4:E4"/>
    <mergeCell ref="A5:E5"/>
  </mergeCells>
  <dataValidations count="4">
    <dataValidation type="list" allowBlank="1" sqref="B10" xr:uid="{00000000-0002-0000-0100-000000000000}">
      <formula1>SEXOS</formula1>
      <formula2>0</formula2>
    </dataValidation>
    <dataValidation type="decimal" allowBlank="1" sqref="B11" xr:uid="{00000000-0002-0000-0100-000001000000}">
      <formula1>EDAD_MIN</formula1>
      <formula2>EDAD_MAX</formula2>
    </dataValidation>
    <dataValidation type="decimal" allowBlank="1" sqref="B12" xr:uid="{00000000-0002-0000-0100-000002000000}">
      <formula1>PESO_MIN</formula1>
      <formula2>PESO_MAX</formula2>
    </dataValidation>
    <dataValidation type="decimal" allowBlank="1" sqref="B13" xr:uid="{00000000-0002-0000-0100-000003000000}">
      <formula1>EST_MIN</formula1>
      <formula2>EST_MAX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showGridLines="0" zoomScaleNormal="100" workbookViewId="0">
      <selection activeCell="B5" sqref="B5:C5"/>
    </sheetView>
  </sheetViews>
  <sheetFormatPr baseColWidth="10" defaultColWidth="9.140625" defaultRowHeight="15" x14ac:dyDescent="0.25"/>
  <cols>
    <col min="1" max="1" width="23.28515625" style="1" customWidth="1"/>
    <col min="2" max="2" width="15" style="1" customWidth="1"/>
    <col min="12" max="12" width="11.42578125" style="1" customWidth="1"/>
    <col min="15" max="15" width="12.5703125" style="1" customWidth="1"/>
  </cols>
  <sheetData>
    <row r="1" spans="1:15" ht="25.5" customHeight="1" x14ac:dyDescent="0.25">
      <c r="A1" s="83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83"/>
      <c r="L1" s="83"/>
      <c r="M1" s="83"/>
      <c r="N1" s="83"/>
      <c r="O1" s="83"/>
    </row>
    <row r="2" spans="1:15" ht="15" customHeight="1" x14ac:dyDescent="0.25">
      <c r="A2" s="84" t="s">
        <v>1</v>
      </c>
      <c r="B2" s="84"/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</row>
    <row r="3" spans="1:15" ht="15" customHeight="1" x14ac:dyDescent="0.25">
      <c r="A3" s="85"/>
      <c r="B3" s="85"/>
      <c r="C3" s="85"/>
      <c r="D3" s="85"/>
      <c r="E3" s="85"/>
      <c r="F3" s="85"/>
      <c r="G3" s="85"/>
      <c r="H3" s="85"/>
      <c r="I3" s="85"/>
      <c r="J3" s="85"/>
      <c r="K3" s="85"/>
      <c r="L3" s="85"/>
      <c r="M3" s="85"/>
      <c r="N3" s="85"/>
      <c r="O3" s="85"/>
    </row>
    <row r="4" spans="1:15" ht="27.75" customHeight="1" x14ac:dyDescent="0.25">
      <c r="A4" s="86" t="s">
        <v>2</v>
      </c>
      <c r="B4" s="86"/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  <c r="N4" s="86"/>
      <c r="O4" s="86"/>
    </row>
    <row r="5" spans="1:15" ht="27.75" customHeight="1" x14ac:dyDescent="0.25">
      <c r="A5" s="2" t="str">
        <f>HYPERLINK("#DATOS!A1","▶  DATOS")</f>
        <v>▶  DATOS</v>
      </c>
      <c r="B5" s="87" t="str">
        <f>HYPERLINK("#MEDIDAS!A1","▶  MEDIDAS")</f>
        <v>▶  MEDIDAS</v>
      </c>
      <c r="C5" s="87"/>
      <c r="D5" s="87" t="str">
        <f>HYPERLINK("#CALCULOS!A1","▶  CALCULOS")</f>
        <v>▶  CALCULOS</v>
      </c>
      <c r="E5" s="87"/>
      <c r="F5" s="87" t="str">
        <f>HYPERLINK("#RESULTADOS!A1","▶  RESULTADOS")</f>
        <v>▶  RESULTADOS</v>
      </c>
      <c r="G5" s="87"/>
      <c r="H5" s="87" t="str">
        <f>HYPERLINK("#FUENTES!A1","▶  FUENTES")</f>
        <v>▶  FUENTES</v>
      </c>
      <c r="I5" s="87"/>
      <c r="J5" s="87" t="str">
        <f>HYPERLINK("#PRUEBAS!A1","▶  PRUEBAS")</f>
        <v>▶  PRUEBAS</v>
      </c>
      <c r="K5" s="87"/>
      <c r="L5" s="87" t="str">
        <f>HYPERLINK("#CONFIG!A1","▶  CONFIG")</f>
        <v>▶  CONFIG</v>
      </c>
      <c r="M5" s="87"/>
      <c r="N5" s="87" t="str">
        <f>HYPERLINK("#CHANGELOG!A1","▶  CHANGELOG")</f>
        <v>▶  CHANGELOG</v>
      </c>
      <c r="O5" s="87"/>
    </row>
    <row r="6" spans="1:15" ht="29.25" customHeight="1" x14ac:dyDescent="0.25">
      <c r="A6" s="3" t="s">
        <v>3</v>
      </c>
      <c r="B6" s="91" t="s">
        <v>4</v>
      </c>
      <c r="C6" s="91"/>
      <c r="D6" s="91" t="s">
        <v>5</v>
      </c>
      <c r="E6" s="91"/>
      <c r="F6" s="91" t="s">
        <v>6</v>
      </c>
      <c r="G6" s="91"/>
      <c r="H6" s="91" t="s">
        <v>7</v>
      </c>
      <c r="I6" s="91"/>
      <c r="J6" s="91" t="s">
        <v>8</v>
      </c>
      <c r="K6" s="91"/>
      <c r="L6" s="88" t="s">
        <v>9</v>
      </c>
      <c r="M6" s="88"/>
      <c r="N6" s="88" t="s">
        <v>10</v>
      </c>
      <c r="O6" s="88"/>
    </row>
    <row r="7" spans="1:15" ht="15" customHeight="1" x14ac:dyDescent="0.25">
      <c r="A7" s="89" t="s">
        <v>11</v>
      </c>
      <c r="B7" s="89"/>
      <c r="C7" s="89"/>
      <c r="D7" s="90" t="s">
        <v>12</v>
      </c>
      <c r="E7" s="90"/>
      <c r="F7" s="90"/>
      <c r="G7" s="90"/>
      <c r="H7" s="90"/>
      <c r="I7" s="90"/>
      <c r="J7" s="90"/>
      <c r="K7" s="90"/>
      <c r="L7" s="90"/>
    </row>
    <row r="8" spans="1:15" ht="15" customHeight="1" x14ac:dyDescent="0.25">
      <c r="A8" s="89" t="s">
        <v>13</v>
      </c>
      <c r="B8" s="89"/>
      <c r="C8" s="89"/>
      <c r="D8" s="90" t="s">
        <v>14</v>
      </c>
      <c r="E8" s="90"/>
      <c r="F8" s="90"/>
      <c r="G8" s="90"/>
      <c r="H8" s="90"/>
      <c r="I8" s="90"/>
      <c r="J8" s="90"/>
      <c r="K8" s="90"/>
      <c r="L8" s="90"/>
    </row>
    <row r="9" spans="1:15" ht="15" customHeight="1" x14ac:dyDescent="0.25">
      <c r="A9" s="89" t="s">
        <v>15</v>
      </c>
      <c r="B9" s="89"/>
      <c r="C9" s="89"/>
      <c r="D9" s="90" t="s">
        <v>16</v>
      </c>
      <c r="E9" s="90"/>
      <c r="F9" s="90"/>
      <c r="G9" s="90"/>
      <c r="H9" s="90"/>
      <c r="I9" s="90"/>
      <c r="J9" s="90"/>
      <c r="K9" s="90"/>
      <c r="L9" s="90"/>
    </row>
    <row r="10" spans="1:15" ht="15" customHeight="1" x14ac:dyDescent="0.25">
      <c r="A10" s="89" t="s">
        <v>17</v>
      </c>
      <c r="B10" s="89"/>
      <c r="C10" s="89"/>
      <c r="D10" s="90" t="s">
        <v>18</v>
      </c>
      <c r="E10" s="90"/>
      <c r="F10" s="90"/>
      <c r="G10" s="90"/>
      <c r="H10" s="90"/>
      <c r="I10" s="90"/>
      <c r="J10" s="90"/>
      <c r="K10" s="90"/>
      <c r="L10" s="90"/>
    </row>
    <row r="11" spans="1:15" ht="15" customHeight="1" x14ac:dyDescent="0.25">
      <c r="A11" s="89" t="s">
        <v>19</v>
      </c>
      <c r="B11" s="89"/>
      <c r="C11" s="89"/>
      <c r="D11" s="90" t="s">
        <v>20</v>
      </c>
      <c r="E11" s="90"/>
      <c r="F11" s="90"/>
      <c r="G11" s="90"/>
      <c r="H11" s="90"/>
      <c r="I11" s="90"/>
      <c r="J11" s="90"/>
      <c r="K11" s="90"/>
      <c r="L11" s="90"/>
    </row>
    <row r="12" spans="1:15" ht="15" customHeight="1" x14ac:dyDescent="0.25">
      <c r="A12" s="89" t="s">
        <v>21</v>
      </c>
      <c r="B12" s="89"/>
      <c r="C12" s="89"/>
      <c r="D12" s="90" t="s">
        <v>22</v>
      </c>
      <c r="E12" s="90"/>
      <c r="F12" s="90"/>
      <c r="G12" s="90"/>
      <c r="H12" s="90"/>
      <c r="I12" s="90"/>
      <c r="J12" s="90"/>
      <c r="K12" s="90"/>
      <c r="L12" s="90"/>
    </row>
    <row r="13" spans="1:15" ht="15" customHeight="1" x14ac:dyDescent="0.25">
      <c r="A13" s="92" t="s">
        <v>23</v>
      </c>
      <c r="B13" s="92"/>
      <c r="C13" s="92"/>
      <c r="D13" s="92"/>
      <c r="E13" s="92"/>
      <c r="F13" s="92"/>
      <c r="G13" s="92"/>
      <c r="H13" s="92"/>
      <c r="I13" s="92"/>
      <c r="J13" s="92"/>
      <c r="K13" s="92"/>
      <c r="L13" s="92"/>
    </row>
    <row r="14" spans="1:15" ht="26.25" customHeight="1" x14ac:dyDescent="0.25">
      <c r="A14" s="93" t="s">
        <v>24</v>
      </c>
      <c r="B14" s="93"/>
      <c r="C14" s="93"/>
      <c r="D14" s="93"/>
      <c r="E14" s="93"/>
      <c r="F14" s="93"/>
      <c r="G14" s="93"/>
      <c r="H14" s="93"/>
      <c r="I14" s="93"/>
      <c r="J14" s="93"/>
      <c r="K14" s="93"/>
      <c r="L14" s="93"/>
    </row>
    <row r="15" spans="1:15" ht="24" customHeight="1" x14ac:dyDescent="0.25">
      <c r="A15" s="93" t="s">
        <v>25</v>
      </c>
      <c r="B15" s="93"/>
      <c r="C15" s="93"/>
      <c r="D15" s="93"/>
      <c r="E15" s="93"/>
      <c r="F15" s="93"/>
      <c r="G15" s="93"/>
      <c r="H15" s="93"/>
      <c r="I15" s="93"/>
      <c r="J15" s="93"/>
      <c r="K15" s="93"/>
      <c r="L15" s="93"/>
    </row>
    <row r="16" spans="1:15" ht="21" customHeight="1" x14ac:dyDescent="0.25">
      <c r="A16" s="93" t="s">
        <v>26</v>
      </c>
      <c r="B16" s="93"/>
      <c r="C16" s="93"/>
      <c r="D16" s="93"/>
      <c r="E16" s="93"/>
      <c r="F16" s="93"/>
      <c r="G16" s="93"/>
      <c r="H16" s="93"/>
      <c r="I16" s="93"/>
      <c r="J16" s="93"/>
      <c r="K16" s="93"/>
      <c r="L16" s="93"/>
    </row>
    <row r="17" spans="1:12" ht="21.75" customHeight="1" x14ac:dyDescent="0.25">
      <c r="A17" s="93" t="s">
        <v>27</v>
      </c>
      <c r="B17" s="93"/>
      <c r="C17" s="93"/>
      <c r="D17" s="93"/>
      <c r="E17" s="93"/>
      <c r="F17" s="93"/>
      <c r="G17" s="93"/>
      <c r="H17" s="93"/>
      <c r="I17" s="93"/>
      <c r="J17" s="93"/>
      <c r="K17" s="93"/>
      <c r="L17" s="93"/>
    </row>
    <row r="18" spans="1:12" ht="19.5" customHeight="1" x14ac:dyDescent="0.25">
      <c r="A18" s="93" t="s">
        <v>28</v>
      </c>
      <c r="B18" s="93"/>
      <c r="C18" s="93"/>
      <c r="D18" s="93"/>
      <c r="E18" s="93"/>
      <c r="F18" s="93"/>
      <c r="G18" s="93"/>
      <c r="H18" s="93"/>
      <c r="I18" s="93"/>
      <c r="J18" s="93"/>
      <c r="K18" s="93"/>
      <c r="L18" s="93"/>
    </row>
    <row r="19" spans="1:12" ht="21" customHeight="1" x14ac:dyDescent="0.25">
      <c r="A19" s="93" t="s">
        <v>29</v>
      </c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</row>
    <row r="20" spans="1:12" ht="15" customHeight="1" x14ac:dyDescent="0.25">
      <c r="A20" s="94" t="s">
        <v>30</v>
      </c>
      <c r="B20" s="94"/>
      <c r="C20" s="94"/>
      <c r="D20" s="94"/>
      <c r="E20" s="94"/>
      <c r="F20" s="94"/>
      <c r="G20" s="94"/>
      <c r="H20" s="94"/>
      <c r="I20" s="94"/>
      <c r="J20" s="94"/>
      <c r="K20" s="94"/>
      <c r="L20" s="94"/>
    </row>
    <row r="21" spans="1:12" ht="52.5" customHeight="1" x14ac:dyDescent="0.25">
      <c r="A21" s="89" t="s">
        <v>31</v>
      </c>
      <c r="B21" s="89"/>
      <c r="C21" s="89"/>
      <c r="D21" s="90" t="s">
        <v>32</v>
      </c>
      <c r="E21" s="90"/>
      <c r="F21" s="90"/>
      <c r="G21" s="90"/>
      <c r="H21" s="90"/>
      <c r="I21" s="90"/>
      <c r="J21" s="90"/>
      <c r="K21" s="90"/>
      <c r="L21" s="90"/>
    </row>
    <row r="22" spans="1:12" ht="28.5" customHeight="1" x14ac:dyDescent="0.25">
      <c r="A22" s="89" t="s">
        <v>33</v>
      </c>
      <c r="B22" s="89"/>
      <c r="C22" s="89"/>
      <c r="D22" s="90" t="s">
        <v>34</v>
      </c>
      <c r="E22" s="90"/>
      <c r="F22" s="90"/>
      <c r="G22" s="90"/>
      <c r="H22" s="90"/>
      <c r="I22" s="90"/>
      <c r="J22" s="90"/>
      <c r="K22" s="90"/>
      <c r="L22" s="90"/>
    </row>
    <row r="23" spans="1:12" ht="30" customHeight="1" x14ac:dyDescent="0.25">
      <c r="A23" s="89" t="s">
        <v>35</v>
      </c>
      <c r="B23" s="89"/>
      <c r="C23" s="89"/>
      <c r="D23" s="90" t="s">
        <v>26</v>
      </c>
      <c r="E23" s="90"/>
      <c r="F23" s="90"/>
      <c r="G23" s="90"/>
      <c r="H23" s="90"/>
      <c r="I23" s="90"/>
      <c r="J23" s="90"/>
      <c r="K23" s="90"/>
      <c r="L23" s="90"/>
    </row>
    <row r="24" spans="1:12" ht="24.75" customHeight="1" x14ac:dyDescent="0.25">
      <c r="A24" s="89" t="s">
        <v>36</v>
      </c>
      <c r="B24" s="89"/>
      <c r="C24" s="89"/>
      <c r="D24" s="90" t="s">
        <v>20</v>
      </c>
      <c r="E24" s="90"/>
      <c r="F24" s="90"/>
      <c r="G24" s="90"/>
      <c r="H24" s="90"/>
      <c r="I24" s="90"/>
      <c r="J24" s="90"/>
      <c r="K24" s="90"/>
      <c r="L24" s="90"/>
    </row>
    <row r="25" spans="1:12" ht="21.75" customHeight="1" x14ac:dyDescent="0.25">
      <c r="A25" s="89" t="s">
        <v>37</v>
      </c>
      <c r="B25" s="89"/>
      <c r="C25" s="89"/>
      <c r="D25" s="90" t="s">
        <v>38</v>
      </c>
      <c r="E25" s="90"/>
      <c r="F25" s="90"/>
      <c r="G25" s="90"/>
      <c r="H25" s="90"/>
      <c r="I25" s="90"/>
      <c r="J25" s="90"/>
      <c r="K25" s="90"/>
      <c r="L25" s="90"/>
    </row>
    <row r="26" spans="1:12" ht="15" customHeight="1" x14ac:dyDescent="0.25">
      <c r="A26" s="94" t="s">
        <v>39</v>
      </c>
      <c r="B26" s="94"/>
      <c r="C26" s="94"/>
      <c r="D26" s="94"/>
      <c r="E26" s="94"/>
      <c r="F26" s="94"/>
      <c r="G26" s="94"/>
      <c r="H26" s="94"/>
      <c r="I26" s="94"/>
      <c r="J26" s="94"/>
      <c r="K26" s="94"/>
      <c r="L26" s="94"/>
    </row>
    <row r="27" spans="1:12" ht="30" customHeight="1" x14ac:dyDescent="0.25">
      <c r="A27" s="95" t="s">
        <v>40</v>
      </c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</row>
    <row r="28" spans="1:12" ht="27" customHeight="1" x14ac:dyDescent="0.25">
      <c r="A28" s="95" t="s">
        <v>41</v>
      </c>
      <c r="B28" s="95"/>
      <c r="C28" s="95"/>
      <c r="D28" s="95"/>
      <c r="E28" s="95"/>
      <c r="F28" s="95"/>
      <c r="G28" s="95"/>
      <c r="H28" s="95"/>
      <c r="I28" s="95"/>
      <c r="J28" s="95"/>
      <c r="K28" s="95"/>
      <c r="L28" s="95"/>
    </row>
    <row r="29" spans="1:12" ht="24.75" customHeight="1" x14ac:dyDescent="0.25">
      <c r="A29" s="95" t="s">
        <v>42</v>
      </c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</row>
    <row r="30" spans="1:12" ht="21.75" customHeight="1" x14ac:dyDescent="0.25">
      <c r="A30" s="95" t="s">
        <v>43</v>
      </c>
      <c r="B30" s="95"/>
      <c r="C30" s="95"/>
      <c r="D30" s="95"/>
      <c r="E30" s="95"/>
      <c r="F30" s="95"/>
      <c r="G30" s="95"/>
      <c r="H30" s="95"/>
      <c r="I30" s="95"/>
      <c r="J30" s="95"/>
      <c r="K30" s="95"/>
      <c r="L30" s="95"/>
    </row>
    <row r="31" spans="1:12" ht="19.5" customHeight="1" x14ac:dyDescent="0.25">
      <c r="A31" s="95" t="s">
        <v>44</v>
      </c>
      <c r="B31" s="95"/>
      <c r="C31" s="95"/>
      <c r="D31" s="95"/>
      <c r="E31" s="95"/>
      <c r="F31" s="95"/>
      <c r="G31" s="95"/>
      <c r="H31" s="95"/>
      <c r="I31" s="95"/>
      <c r="J31" s="95"/>
      <c r="K31" s="95"/>
      <c r="L31" s="95"/>
    </row>
  </sheetData>
  <sheetProtection algorithmName="SHA-512" hashValue="keoovoLepVeLgQDiB+xfMXqo93IsRmyOzNoCp5vFqeSRdAAb3r7gTsFdIzWudlPsN4RbvFsJ9uEh1bzHg/fn1g==" saltValue="6jpnxtGrQQKTdBxLE8PPqg==" spinCount="100000" sheet="1" objects="1" scenarios="1"/>
  <mergeCells count="54">
    <mergeCell ref="A27:L27"/>
    <mergeCell ref="A28:L28"/>
    <mergeCell ref="A29:L29"/>
    <mergeCell ref="A30:L30"/>
    <mergeCell ref="A31:L31"/>
    <mergeCell ref="A24:C24"/>
    <mergeCell ref="D24:L24"/>
    <mergeCell ref="A25:C25"/>
    <mergeCell ref="D25:L25"/>
    <mergeCell ref="A26:L26"/>
    <mergeCell ref="A21:C21"/>
    <mergeCell ref="D21:L21"/>
    <mergeCell ref="A22:C22"/>
    <mergeCell ref="D22:L22"/>
    <mergeCell ref="A23:C23"/>
    <mergeCell ref="D23:L23"/>
    <mergeCell ref="A16:L16"/>
    <mergeCell ref="A17:L17"/>
    <mergeCell ref="A18:L18"/>
    <mergeCell ref="A19:L19"/>
    <mergeCell ref="A20:L20"/>
    <mergeCell ref="A12:C12"/>
    <mergeCell ref="D12:L12"/>
    <mergeCell ref="A13:L13"/>
    <mergeCell ref="A14:L14"/>
    <mergeCell ref="A15:L15"/>
    <mergeCell ref="A9:C9"/>
    <mergeCell ref="D9:L9"/>
    <mergeCell ref="A10:C10"/>
    <mergeCell ref="D10:L10"/>
    <mergeCell ref="A11:C11"/>
    <mergeCell ref="D11:L11"/>
    <mergeCell ref="L6:M6"/>
    <mergeCell ref="N6:O6"/>
    <mergeCell ref="A7:C7"/>
    <mergeCell ref="D7:L7"/>
    <mergeCell ref="A8:C8"/>
    <mergeCell ref="D8:L8"/>
    <mergeCell ref="B6:C6"/>
    <mergeCell ref="D6:E6"/>
    <mergeCell ref="F6:G6"/>
    <mergeCell ref="H6:I6"/>
    <mergeCell ref="J6:K6"/>
    <mergeCell ref="A1:O1"/>
    <mergeCell ref="A2:O2"/>
    <mergeCell ref="A3:O3"/>
    <mergeCell ref="A4:O4"/>
    <mergeCell ref="B5:C5"/>
    <mergeCell ref="D5:E5"/>
    <mergeCell ref="F5:G5"/>
    <mergeCell ref="H5:I5"/>
    <mergeCell ref="J5:K5"/>
    <mergeCell ref="L5:M5"/>
    <mergeCell ref="N5:O5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C6B72"/>
  </sheetPr>
  <dimension ref="A1:E19"/>
  <sheetViews>
    <sheetView showGridLines="0" zoomScaleNormal="100" workbookViewId="0">
      <pane ySplit="6" topLeftCell="A7" activePane="bottomLeft" state="frozen"/>
      <selection pane="bottomLeft" activeCell="C10" sqref="C10"/>
    </sheetView>
  </sheetViews>
  <sheetFormatPr baseColWidth="10" defaultColWidth="8.7109375" defaultRowHeight="15" x14ac:dyDescent="0.25"/>
  <cols>
    <col min="1" max="1" width="5" style="1" customWidth="1"/>
    <col min="2" max="2" width="34" style="1" customWidth="1"/>
    <col min="3" max="3" width="12" style="1" customWidth="1"/>
    <col min="4" max="4" width="10" style="1" customWidth="1"/>
    <col min="5" max="5" width="46" style="1" customWidth="1"/>
  </cols>
  <sheetData>
    <row r="1" spans="1:5" ht="25.5" customHeight="1" x14ac:dyDescent="0.25">
      <c r="A1" s="4" t="s">
        <v>0</v>
      </c>
      <c r="B1" s="5"/>
      <c r="C1" s="5"/>
      <c r="D1" s="5"/>
      <c r="E1" s="5"/>
    </row>
    <row r="2" spans="1:5" ht="15" customHeight="1" x14ac:dyDescent="0.25">
      <c r="A2" s="96" t="s">
        <v>84</v>
      </c>
      <c r="B2" s="96"/>
      <c r="C2" s="96"/>
      <c r="D2" s="96"/>
      <c r="E2" s="96"/>
    </row>
    <row r="3" spans="1:5" ht="43.5" customHeight="1" x14ac:dyDescent="0.25">
      <c r="A3" s="98" t="s">
        <v>85</v>
      </c>
      <c r="B3" s="98"/>
      <c r="C3" s="98"/>
      <c r="D3" s="98"/>
      <c r="E3" s="98"/>
    </row>
    <row r="4" spans="1:5" ht="15" customHeight="1" x14ac:dyDescent="0.25">
      <c r="A4" s="101" t="str">
        <f>HYPERLINK("#DATOS!A1","◀ DATOS")</f>
        <v>◀ DATOS</v>
      </c>
      <c r="B4" s="102"/>
      <c r="C4" s="103" t="str">
        <f>HYPERLINK("#CALCULOS!A1","◀  CALCULOS")</f>
        <v>◀  CALCULOS</v>
      </c>
      <c r="D4" s="103"/>
      <c r="E4" s="103"/>
    </row>
    <row r="6" spans="1:5" ht="15" customHeight="1" x14ac:dyDescent="0.25">
      <c r="A6" s="15" t="s">
        <v>86</v>
      </c>
      <c r="B6" s="15" t="s">
        <v>87</v>
      </c>
      <c r="C6" s="15" t="s">
        <v>49</v>
      </c>
      <c r="D6" s="15" t="s">
        <v>50</v>
      </c>
      <c r="E6" s="15" t="s">
        <v>88</v>
      </c>
    </row>
    <row r="7" spans="1:5" ht="15" customHeight="1" x14ac:dyDescent="0.25">
      <c r="A7" s="16" t="s">
        <v>89</v>
      </c>
      <c r="B7" s="16"/>
      <c r="C7" s="17"/>
      <c r="D7" s="17"/>
      <c r="E7" s="17"/>
    </row>
    <row r="8" spans="1:5" ht="15" customHeight="1" x14ac:dyDescent="0.25">
      <c r="A8" s="18">
        <v>1</v>
      </c>
      <c r="B8" s="8" t="s">
        <v>90</v>
      </c>
      <c r="C8" s="14">
        <v>10</v>
      </c>
      <c r="D8" s="10" t="s">
        <v>91</v>
      </c>
      <c r="E8" s="11" t="s">
        <v>92</v>
      </c>
    </row>
    <row r="9" spans="1:5" ht="15" customHeight="1" x14ac:dyDescent="0.25">
      <c r="A9" s="18">
        <v>2</v>
      </c>
      <c r="B9" s="8" t="s">
        <v>93</v>
      </c>
      <c r="C9" s="14">
        <v>12</v>
      </c>
      <c r="D9" s="10" t="s">
        <v>91</v>
      </c>
      <c r="E9" s="11" t="s">
        <v>94</v>
      </c>
    </row>
    <row r="10" spans="1:5" ht="15" customHeight="1" x14ac:dyDescent="0.25">
      <c r="A10" s="18">
        <v>3</v>
      </c>
      <c r="B10" s="8" t="s">
        <v>95</v>
      </c>
      <c r="C10" s="14">
        <v>8</v>
      </c>
      <c r="D10" s="10" t="s">
        <v>91</v>
      </c>
      <c r="E10" s="11" t="s">
        <v>96</v>
      </c>
    </row>
    <row r="11" spans="1:5" ht="15" customHeight="1" x14ac:dyDescent="0.25">
      <c r="A11" s="18">
        <v>4</v>
      </c>
      <c r="B11" s="8" t="s">
        <v>97</v>
      </c>
      <c r="C11" s="14">
        <v>8</v>
      </c>
      <c r="D11" s="10" t="s">
        <v>91</v>
      </c>
      <c r="E11" s="11" t="s">
        <v>98</v>
      </c>
    </row>
    <row r="12" spans="1:5" ht="15" customHeight="1" x14ac:dyDescent="0.25">
      <c r="A12" s="16" t="s">
        <v>99</v>
      </c>
      <c r="B12" s="16"/>
      <c r="C12" s="17"/>
      <c r="D12" s="19"/>
      <c r="E12" s="19"/>
    </row>
    <row r="13" spans="1:5" ht="15" customHeight="1" x14ac:dyDescent="0.25">
      <c r="A13" s="18">
        <v>5</v>
      </c>
      <c r="B13" s="8" t="s">
        <v>100</v>
      </c>
      <c r="C13" s="14">
        <v>7</v>
      </c>
      <c r="D13" s="10" t="s">
        <v>76</v>
      </c>
      <c r="E13" s="11" t="s">
        <v>101</v>
      </c>
    </row>
    <row r="14" spans="1:5" ht="15" customHeight="1" x14ac:dyDescent="0.25">
      <c r="A14" s="18">
        <v>6</v>
      </c>
      <c r="B14" s="8" t="s">
        <v>102</v>
      </c>
      <c r="C14" s="14">
        <v>9.6</v>
      </c>
      <c r="D14" s="10" t="s">
        <v>76</v>
      </c>
      <c r="E14" s="11" t="s">
        <v>103</v>
      </c>
    </row>
    <row r="15" spans="1:5" ht="15" customHeight="1" x14ac:dyDescent="0.25">
      <c r="A15" s="16" t="s">
        <v>104</v>
      </c>
      <c r="B15" s="16"/>
      <c r="C15" s="17"/>
      <c r="D15" s="19"/>
      <c r="E15" s="19"/>
    </row>
    <row r="16" spans="1:5" ht="15" customHeight="1" x14ac:dyDescent="0.25">
      <c r="A16" s="18">
        <v>7</v>
      </c>
      <c r="B16" s="8" t="s">
        <v>105</v>
      </c>
      <c r="C16" s="14">
        <v>33</v>
      </c>
      <c r="D16" s="10" t="s">
        <v>76</v>
      </c>
      <c r="E16" s="11" t="s">
        <v>106</v>
      </c>
    </row>
    <row r="17" spans="1:5" ht="15" customHeight="1" x14ac:dyDescent="0.25">
      <c r="A17" s="18">
        <v>8</v>
      </c>
      <c r="B17" s="8" t="s">
        <v>107</v>
      </c>
      <c r="C17" s="14">
        <v>37</v>
      </c>
      <c r="D17" s="10" t="s">
        <v>76</v>
      </c>
      <c r="E17" s="11" t="s">
        <v>108</v>
      </c>
    </row>
    <row r="18" spans="1:5" x14ac:dyDescent="0.25">
      <c r="A18" s="100" t="s">
        <v>109</v>
      </c>
      <c r="B18" s="100"/>
      <c r="C18" s="100"/>
      <c r="D18" s="100"/>
      <c r="E18" s="100"/>
    </row>
    <row r="19" spans="1:5" ht="15" customHeight="1" x14ac:dyDescent="0.25">
      <c r="A19" s="100"/>
      <c r="B19" s="100"/>
      <c r="C19" s="100"/>
      <c r="D19" s="100"/>
      <c r="E19" s="100"/>
    </row>
  </sheetData>
  <sheetProtection algorithmName="SHA-512" hashValue="tWqlYCQdhhGSOfHFiwPYTfvhqvUqfRRyNBiUJ1DIs884hat548o5gYSCB30Akaugbu9DmyWoOUnj6MvwPTJ8Xg==" saltValue="A1eP5bAQntWaLEWBRRGBLw==" spinCount="100000" sheet="1" objects="1" scenarios="1"/>
  <protectedRanges>
    <protectedRange sqref="C16:C17" name="valores3"/>
    <protectedRange sqref="C8:C11" name="valores1"/>
    <protectedRange sqref="C13:C14" name="valores2"/>
  </protectedRanges>
  <mergeCells count="5">
    <mergeCell ref="A18:E19"/>
    <mergeCell ref="A2:E2"/>
    <mergeCell ref="A3:E3"/>
    <mergeCell ref="A4:B4"/>
    <mergeCell ref="C4:E4"/>
  </mergeCells>
  <dataValidations count="3">
    <dataValidation type="decimal" allowBlank="1" sqref="C8:C11" xr:uid="{00000000-0002-0000-0200-000000000000}">
      <formula1>PLI_MIN</formula1>
      <formula2>PLI_MAX</formula2>
    </dataValidation>
    <dataValidation type="decimal" allowBlank="1" sqref="C13:C14" xr:uid="{00000000-0002-0000-0200-000001000000}">
      <formula1>DIA_MIN</formula1>
      <formula2>DIA_MAX</formula2>
    </dataValidation>
    <dataValidation type="decimal" allowBlank="1" sqref="C16:C17" xr:uid="{00000000-0002-0000-0200-000002000000}">
      <formula1>PER_MIN</formula1>
      <formula2>PER_MAX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C6B72"/>
  </sheetPr>
  <dimension ref="A1:D39"/>
  <sheetViews>
    <sheetView showGridLines="0" zoomScaleNormal="100" workbookViewId="0">
      <pane ySplit="5" topLeftCell="A6" activePane="bottomLeft" state="frozen"/>
      <selection pane="bottomLeft" activeCell="I18" sqref="I18"/>
    </sheetView>
  </sheetViews>
  <sheetFormatPr baseColWidth="10" defaultColWidth="8.7109375" defaultRowHeight="15" x14ac:dyDescent="0.25"/>
  <cols>
    <col min="1" max="1" width="46" style="1" customWidth="1"/>
    <col min="2" max="2" width="25.7109375" style="1" customWidth="1"/>
    <col min="3" max="3" width="12" style="1" customWidth="1"/>
    <col min="4" max="4" width="47.140625" style="1" customWidth="1"/>
  </cols>
  <sheetData>
    <row r="1" spans="1:4" ht="25.5" customHeight="1" x14ac:dyDescent="0.25">
      <c r="A1" s="4" t="s">
        <v>0</v>
      </c>
      <c r="B1" s="5"/>
      <c r="C1" s="5"/>
      <c r="D1" s="5"/>
    </row>
    <row r="2" spans="1:4" ht="15" customHeight="1" x14ac:dyDescent="0.25">
      <c r="A2" s="104" t="s">
        <v>110</v>
      </c>
      <c r="B2" s="104"/>
      <c r="C2" s="104"/>
      <c r="D2" s="104"/>
    </row>
    <row r="3" spans="1:4" ht="15" customHeight="1" x14ac:dyDescent="0.25">
      <c r="A3" s="6" t="str">
        <f>HYPERLINK("#DATOS!A1","◀ DATOS")</f>
        <v>◀ DATOS</v>
      </c>
      <c r="B3" s="20" t="str">
        <f>HYPERLINK("#'MEDIDAS'!A1", "◀ MEDIDAS")</f>
        <v>◀ MEDIDAS</v>
      </c>
      <c r="C3" s="101" t="str">
        <f>HYPERLINK("#RESULTADOS!A1","▶ RESULTADOS")</f>
        <v>▶ RESULTADOS</v>
      </c>
      <c r="D3" s="101"/>
    </row>
    <row r="4" spans="1:4" ht="27.75" customHeight="1" x14ac:dyDescent="0.25">
      <c r="A4" s="98" t="s">
        <v>111</v>
      </c>
      <c r="B4" s="98"/>
      <c r="C4" s="98"/>
      <c r="D4" s="98"/>
    </row>
    <row r="6" spans="1:4" ht="15" customHeight="1" x14ac:dyDescent="0.25">
      <c r="A6" s="21" t="s">
        <v>112</v>
      </c>
      <c r="B6" s="22"/>
      <c r="C6" s="22"/>
      <c r="D6" s="22"/>
    </row>
    <row r="7" spans="1:4" ht="15" customHeight="1" x14ac:dyDescent="0.25">
      <c r="A7" s="23" t="s">
        <v>113</v>
      </c>
      <c r="B7" s="23" t="s">
        <v>49</v>
      </c>
      <c r="C7" s="23" t="s">
        <v>50</v>
      </c>
      <c r="D7" s="23" t="s">
        <v>114</v>
      </c>
    </row>
    <row r="8" spans="1:4" ht="15" customHeight="1" x14ac:dyDescent="0.25">
      <c r="A8" s="24" t="s">
        <v>115</v>
      </c>
      <c r="B8" s="25">
        <f>IF(ISNUMBER(in_Est),in_Est/100,"ND")</f>
        <v>1.76</v>
      </c>
      <c r="C8" s="10" t="s">
        <v>116</v>
      </c>
      <c r="D8" s="11" t="s">
        <v>117</v>
      </c>
    </row>
    <row r="9" spans="1:4" ht="15" customHeight="1" x14ac:dyDescent="0.25">
      <c r="A9" s="24" t="s">
        <v>118</v>
      </c>
      <c r="B9" s="26">
        <f>IF(AND(ISNUMBER(m_Tri),ISNUMBER(m_Sub),ISNUMBER(m_Sup)),m_Tri+m_Sub+m_Sup,"ND: faltan pliegues")</f>
        <v>30</v>
      </c>
      <c r="C9" s="10" t="s">
        <v>91</v>
      </c>
      <c r="D9" s="11" t="s">
        <v>119</v>
      </c>
    </row>
    <row r="10" spans="1:4" ht="15" customHeight="1" x14ac:dyDescent="0.25">
      <c r="A10" s="24" t="s">
        <v>120</v>
      </c>
      <c r="B10" s="25">
        <f>IF(AND(ISNUMBER(c_Sum3),ISNUMBER(in_Est),in_Est&gt;0),c_Sum3*(ENDO_HREF/in_Est),"ND")</f>
        <v>29.007954545454545</v>
      </c>
      <c r="C10" s="10" t="s">
        <v>91</v>
      </c>
      <c r="D10" s="11" t="s">
        <v>121</v>
      </c>
    </row>
    <row r="11" spans="1:4" ht="15" customHeight="1" x14ac:dyDescent="0.25">
      <c r="A11" s="24" t="s">
        <v>122</v>
      </c>
      <c r="B11" s="27">
        <f>IF(AND(ISNUMBER(m_ArmG),ISNUMBER(m_Tri)),m_ArmG-m_Tri/10,"ND")</f>
        <v>32</v>
      </c>
      <c r="C11" s="10" t="s">
        <v>76</v>
      </c>
      <c r="D11" s="11" t="s">
        <v>123</v>
      </c>
    </row>
    <row r="12" spans="1:4" ht="15" customHeight="1" x14ac:dyDescent="0.25">
      <c r="A12" s="24" t="s">
        <v>124</v>
      </c>
      <c r="B12" s="27">
        <f>IF(AND(ISNUMBER(m_CalfG),ISNUMBER(m_Calf)),m_CalfG-m_Calf/10,"ND")</f>
        <v>36.200000000000003</v>
      </c>
      <c r="C12" s="10" t="s">
        <v>76</v>
      </c>
      <c r="D12" s="11" t="s">
        <v>125</v>
      </c>
    </row>
    <row r="13" spans="1:4" ht="15" customHeight="1" x14ac:dyDescent="0.25">
      <c r="A13" s="24" t="s">
        <v>126</v>
      </c>
      <c r="B13" s="25">
        <f>IF(AND(ISNUMBER(in_Est),ISNUMBER(in_Peso),in_Peso&gt;0),in_Est/(in_Peso^(1/3)),"ND")</f>
        <v>41.10450748988054</v>
      </c>
      <c r="C13" s="10" t="s">
        <v>55</v>
      </c>
      <c r="D13" s="11" t="s">
        <v>127</v>
      </c>
    </row>
    <row r="14" spans="1:4" ht="15" customHeight="1" x14ac:dyDescent="0.25">
      <c r="A14" s="21" t="s">
        <v>128</v>
      </c>
      <c r="B14" s="22"/>
      <c r="C14" s="22"/>
      <c r="D14" s="22"/>
    </row>
    <row r="15" spans="1:4" ht="15" customHeight="1" x14ac:dyDescent="0.25">
      <c r="A15" s="23" t="s">
        <v>113</v>
      </c>
      <c r="B15" s="23" t="s">
        <v>49</v>
      </c>
      <c r="C15" s="23" t="s">
        <v>50</v>
      </c>
      <c r="D15" s="23" t="s">
        <v>114</v>
      </c>
    </row>
    <row r="16" spans="1:4" ht="15" customHeight="1" x14ac:dyDescent="0.25">
      <c r="A16" s="24" t="s">
        <v>129</v>
      </c>
      <c r="B16" s="28" t="str">
        <f>IF(AND(ISNUMBER(in_Edad),in_Edad&gt;=EDAD_MIN,in_Edad&lt;=EDAD_MAX,ISNUMBER(in_Peso),in_Peso&gt;=PESO_MIN,in_Peso&lt;=PESO_MAX,ISNUMBER(in_Est),in_Est&gt;=EST_MIN,in_Est&lt;=EST_MAX),"SÍ","NO")</f>
        <v>SÍ</v>
      </c>
      <c r="C16" s="10" t="s">
        <v>55</v>
      </c>
      <c r="D16" s="11" t="s">
        <v>130</v>
      </c>
    </row>
    <row r="17" spans="1:4" ht="15" customHeight="1" x14ac:dyDescent="0.25">
      <c r="A17" s="21" t="s">
        <v>131</v>
      </c>
      <c r="B17" s="22"/>
      <c r="C17" s="22"/>
      <c r="D17" s="22"/>
    </row>
    <row r="18" spans="1:4" ht="15" customHeight="1" x14ac:dyDescent="0.25">
      <c r="A18" s="23" t="s">
        <v>113</v>
      </c>
      <c r="B18" s="23" t="s">
        <v>49</v>
      </c>
      <c r="C18" s="23" t="s">
        <v>50</v>
      </c>
      <c r="D18" s="23" t="s">
        <v>114</v>
      </c>
    </row>
    <row r="19" spans="1:4" ht="15" customHeight="1" x14ac:dyDescent="0.25">
      <c r="A19" s="24" t="s">
        <v>132</v>
      </c>
      <c r="B19" s="29">
        <f>IF(AND(c_Gate="SÍ",ISNUMBER(c_Xcorr)),MAX(MIN_COMP,ENDO_C0+ENDO_C1*c_Xcorr-ENDO_C2*c_Xcorr^2+ENDO_C3*c_Xcorr^3),"ND")</f>
        <v>2.9528331389988969</v>
      </c>
      <c r="C19" s="10" t="s">
        <v>55</v>
      </c>
      <c r="D19" s="11" t="s">
        <v>133</v>
      </c>
    </row>
    <row r="20" spans="1:4" ht="15" customHeight="1" x14ac:dyDescent="0.25">
      <c r="A20" s="24" t="s">
        <v>134</v>
      </c>
      <c r="B20" s="29">
        <f>IF(AND(c_Gate="SÍ",ISNUMBER(m_Hum),ISNUMBER(m_Fem),ISNUMBER(c_CAG),ISNUMBER(c_CCG),ISNUMBER(in_Est)),MAX(MIN_COMP,MESO_HB*m_Hum+MESO_FB*m_Fem+MESO_CAG*c_CAG+MESO_CCG*c_CCG-MESO_H*in_Est+MESO_K),"ND")</f>
        <v>5.0638000000000041</v>
      </c>
      <c r="C20" s="10" t="s">
        <v>55</v>
      </c>
      <c r="D20" s="11" t="s">
        <v>135</v>
      </c>
    </row>
    <row r="21" spans="1:4" ht="15" customHeight="1" x14ac:dyDescent="0.25">
      <c r="A21" s="24" t="s">
        <v>136</v>
      </c>
      <c r="B21" s="29">
        <f>IF(AND(c_Gate="SÍ",ISNUMBER(c_HWR)),MAX(MIN_COMP,IF(c_HWR&gt;=ECTO_T1,ECTO_A1*c_HWR-ECTO_B1,IF(c_HWR&gt;ECTO_T2,ECTO_A2*c_HWR-ECTO_B2,MIN_COMP))),"ND")</f>
        <v>1.5084994825925548</v>
      </c>
      <c r="C21" s="10" t="s">
        <v>55</v>
      </c>
      <c r="D21" s="11" t="s">
        <v>137</v>
      </c>
    </row>
    <row r="22" spans="1:4" ht="15" customHeight="1" x14ac:dyDescent="0.25">
      <c r="A22" s="24" t="s">
        <v>138</v>
      </c>
      <c r="B22" s="30" t="str">
        <f>IF(AND(ISNUMBER(c_Endo),ISNUMBER(c_Meso),ISNUMBER(c_Ecto)),TEXT(c_Endo,"0.0")&amp;" - "&amp;TEXT(c_Meso,"0.0")&amp;" - "&amp;TEXT(c_Ecto,"0.0"),"ND")</f>
        <v>03 - 05 - 02</v>
      </c>
      <c r="C22" s="10" t="s">
        <v>55</v>
      </c>
      <c r="D22" s="11" t="s">
        <v>139</v>
      </c>
    </row>
    <row r="23" spans="1:4" ht="15" customHeight="1" x14ac:dyDescent="0.25">
      <c r="A23" s="31" t="s">
        <v>140</v>
      </c>
      <c r="B23" s="22"/>
      <c r="C23" s="22"/>
      <c r="D23" s="22"/>
    </row>
    <row r="24" spans="1:4" ht="15" customHeight="1" x14ac:dyDescent="0.25">
      <c r="A24" s="23" t="s">
        <v>113</v>
      </c>
      <c r="B24" s="23" t="s">
        <v>49</v>
      </c>
      <c r="C24" s="23" t="s">
        <v>50</v>
      </c>
      <c r="D24" s="23" t="s">
        <v>114</v>
      </c>
    </row>
    <row r="25" spans="1:4" ht="15" customHeight="1" x14ac:dyDescent="0.25">
      <c r="A25" s="24" t="s">
        <v>141</v>
      </c>
      <c r="B25" s="25">
        <f>IF(AND(ISNUMBER(c_Endo),ISNUMBER(c_Ecto)),c_Ecto-c_Endo,"ND")</f>
        <v>-1.444333656406342</v>
      </c>
      <c r="C25" s="10" t="s">
        <v>55</v>
      </c>
      <c r="D25" s="11" t="s">
        <v>142</v>
      </c>
    </row>
    <row r="26" spans="1:4" ht="15" customHeight="1" x14ac:dyDescent="0.25">
      <c r="A26" s="24" t="s">
        <v>143</v>
      </c>
      <c r="B26" s="25">
        <f>IF(AND(ISNUMBER(c_Endo),ISNUMBER(c_Meso),ISNUMBER(c_Ecto)),2*c_Meso-(c_Endo+c_Ecto),"ND")</f>
        <v>5.6662673784085564</v>
      </c>
      <c r="C26" s="10" t="s">
        <v>55</v>
      </c>
      <c r="D26" s="11" t="s">
        <v>144</v>
      </c>
    </row>
    <row r="27" spans="1:4" ht="15" customHeight="1" x14ac:dyDescent="0.25">
      <c r="A27" s="24" t="s">
        <v>145</v>
      </c>
      <c r="B27" s="27">
        <f>IF(ISNUMBER(c_Endo),MAX(c_Endo,c_Meso,c_Ecto),"ND")</f>
        <v>5.0638000000000041</v>
      </c>
      <c r="C27" s="10" t="s">
        <v>55</v>
      </c>
      <c r="D27" s="11"/>
    </row>
    <row r="28" spans="1:4" ht="15" customHeight="1" x14ac:dyDescent="0.25">
      <c r="A28" s="24" t="s">
        <v>146</v>
      </c>
      <c r="B28" s="27">
        <f>IF(ISNUMBER(c_Endo),MIN(c_Endo,c_Meso,c_Ecto),"ND")</f>
        <v>1.5084994825925548</v>
      </c>
      <c r="C28" s="10" t="s">
        <v>55</v>
      </c>
      <c r="D28" s="11"/>
    </row>
    <row r="29" spans="1:4" ht="15" customHeight="1" x14ac:dyDescent="0.25">
      <c r="A29" s="24" t="s">
        <v>147</v>
      </c>
      <c r="B29" s="27">
        <f>IF(ISNUMBER(c_Endo),c_Endo+c_Meso+c_Ecto-c_mx-c_mn,"ND")</f>
        <v>2.9528331389988978</v>
      </c>
      <c r="C29" s="10" t="s">
        <v>55</v>
      </c>
      <c r="D29" s="11"/>
    </row>
    <row r="30" spans="1:4" ht="15" customHeight="1" x14ac:dyDescent="0.25">
      <c r="A30" s="24" t="s">
        <v>148</v>
      </c>
      <c r="B30" s="28" t="str">
        <f>IF(AND(ISNUMBER(c_Endo),ISNUMBER(c_Meso),ISNUMBER(c_Ecto)),IF((c_mx-c_mn)&lt;=1,"Central",IF((c_mx-c_mid)&lt;=0.5,IF(c_mn=c_Ecto,"Endomorfo-mesomorfo",IF(c_mn=c_Endo,"Mesomorfo-ectomorfo","Endomorfo-ectomorfo")),IF((c_mid-c_mn)&lt;=0.5,IF(c_mx=c_Meso,"Mesomorfo",IF(c_mx=c_Endo,"Endomorfo","Ectomorfo"))&amp;" balanceado",IF(c_mx=c_Meso,"Mesomorfo",IF(c_mx=c_Endo,"Endomorfo","Ectomorfo"))&amp;" "&amp;IF(c_mid=c_Endo,"endomórfico",IF(c_mid=c_Meso,"mesomórfico","ectomórfico"))))),"ND")</f>
        <v>Mesomorfo endomórfico</v>
      </c>
      <c r="C30" s="10" t="s">
        <v>55</v>
      </c>
      <c r="D30" s="11" t="s">
        <v>149</v>
      </c>
    </row>
    <row r="31" spans="1:4" ht="15" customHeight="1" x14ac:dyDescent="0.25">
      <c r="A31" s="21" t="s">
        <v>150</v>
      </c>
      <c r="B31" s="22"/>
      <c r="C31" s="22"/>
      <c r="D31" s="22"/>
    </row>
    <row r="32" spans="1:4" ht="15" customHeight="1" x14ac:dyDescent="0.25">
      <c r="A32" s="32" t="s">
        <v>113</v>
      </c>
      <c r="B32" s="32" t="s">
        <v>49</v>
      </c>
      <c r="C32" s="32" t="s">
        <v>50</v>
      </c>
      <c r="D32" s="32" t="s">
        <v>114</v>
      </c>
    </row>
    <row r="33" spans="1:4" ht="15" customHeight="1" x14ac:dyDescent="0.25">
      <c r="A33" s="33" t="s">
        <v>151</v>
      </c>
      <c r="B33" s="105" t="str">
        <f>IF(c_Gate="NO","Corrija los datos imposibles (edad, peso o estatura) antes de interpretar.","—")</f>
        <v>—</v>
      </c>
      <c r="C33" s="105"/>
      <c r="D33" s="105"/>
    </row>
    <row r="34" spans="1:4" ht="15" customHeight="1" x14ac:dyDescent="0.25">
      <c r="A34" s="33" t="s">
        <v>152</v>
      </c>
      <c r="B34" s="105" t="str">
        <f>IF(ISNUMBER(c_Endo),"—","Faltan pliegues (tríceps, subescapular o supraespinal) para la endomorfia.")</f>
        <v>—</v>
      </c>
      <c r="C34" s="105"/>
      <c r="D34" s="105"/>
    </row>
    <row r="35" spans="1:4" ht="15" customHeight="1" x14ac:dyDescent="0.25">
      <c r="A35" s="33" t="s">
        <v>153</v>
      </c>
      <c r="B35" s="105" t="str">
        <f>IF(ISNUMBER(c_Meso),"—","Faltan diámetros o perímetros para la mesomorfia.")</f>
        <v>—</v>
      </c>
      <c r="C35" s="105"/>
      <c r="D35" s="105"/>
    </row>
    <row r="36" spans="1:4" ht="15" customHeight="1" x14ac:dyDescent="0.25">
      <c r="A36" s="33" t="s">
        <v>154</v>
      </c>
      <c r="B36" s="105" t="str">
        <f>IF(ISNUMBER(c_Ecto),"—","Falta peso o estatura para la ectomorfia.")</f>
        <v>—</v>
      </c>
      <c r="C36" s="105"/>
      <c r="D36" s="105"/>
    </row>
    <row r="37" spans="1:4" ht="15" customHeight="1" x14ac:dyDescent="0.25">
      <c r="A37" s="33" t="s">
        <v>155</v>
      </c>
      <c r="B37" s="105" t="str">
        <f>IF(OR(AND(ISNUMBER(c_Endo),c_Endo&lt;=MIN_COMP),AND(ISNUMBER(c_Meso),c_Meso&lt;=MIN_COMP),AND(ISNUMBER(c_Ecto),c_Ecto&lt;=MIN_COMP)),"Algún componente quedó en su valor mínimo (0,1): revise las mediciones extremas.","—")</f>
        <v>—</v>
      </c>
      <c r="C37" s="105"/>
      <c r="D37" s="105"/>
    </row>
    <row r="38" spans="1:4" ht="15" customHeight="1" x14ac:dyDescent="0.25">
      <c r="A38" s="33" t="s">
        <v>156</v>
      </c>
      <c r="B38" s="105" t="str">
        <f>IF(OR(AND(ISNUMBER(m_Hum),OR(m_Hum&lt;DIA_MIN,m_Hum&gt;DIA_MAX)),AND(ISNUMBER(m_Fem),OR(m_Fem&lt;DIA_MIN,m_Fem&gt;DIA_MAX)),AND(ISNUMBER(m_ArmG),OR(m_ArmG&lt;PER_MIN,m_ArmG&gt;PER_MAX)),AND(ISNUMBER(m_CalfG),OR(m_CalfG&lt;PER_MIN,m_CalfG&gt;PER_MAX))),"Algún diámetro o perímetro está fuera del rango habitual: verifique la medición.","—")</f>
        <v>—</v>
      </c>
      <c r="C38" s="105"/>
      <c r="D38" s="105"/>
    </row>
    <row r="39" spans="1:4" ht="23.25" customHeight="1" x14ac:dyDescent="0.25">
      <c r="A39" s="33" t="s">
        <v>157</v>
      </c>
      <c r="B39" s="105" t="str">
        <f>"Exactitud matemática ≠ validación clínica. El somatotipo describe la FORMA corporal, no diagnostica ni mide composición por sí solo."</f>
        <v>Exactitud matemática ≠ validación clínica. El somatotipo describe la FORMA corporal, no diagnostica ni mide composición por sí solo.</v>
      </c>
      <c r="C39" s="105"/>
      <c r="D39" s="105"/>
    </row>
  </sheetData>
  <sheetProtection algorithmName="SHA-512" hashValue="jVbGzqTWOIDEYpE7toz1PpbU+Hjz5il1sBT2jp90WjbL4N0G2z5HsaYqdXiVLS8kmvjAQ2sJ8ANJYY84Zwykbg==" saltValue="Viv3dE9yJK/Zbm3tZI+DkQ==" spinCount="100000" sheet="1" objects="1" scenarios="1"/>
  <mergeCells count="10">
    <mergeCell ref="B35:D35"/>
    <mergeCell ref="B36:D36"/>
    <mergeCell ref="B37:D37"/>
    <mergeCell ref="B38:D38"/>
    <mergeCell ref="B39:D39"/>
    <mergeCell ref="A2:D2"/>
    <mergeCell ref="C3:D3"/>
    <mergeCell ref="A4:D4"/>
    <mergeCell ref="B33:D33"/>
    <mergeCell ref="B34:D34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1C6B72"/>
  </sheetPr>
  <dimension ref="A1:H48"/>
  <sheetViews>
    <sheetView showGridLines="0" zoomScaleNormal="100" workbookViewId="0">
      <selection activeCell="K48" sqref="K48"/>
    </sheetView>
  </sheetViews>
  <sheetFormatPr baseColWidth="10" defaultColWidth="8.7109375" defaultRowHeight="15" x14ac:dyDescent="0.25"/>
  <cols>
    <col min="1" max="1" width="34" style="1" customWidth="1"/>
    <col min="2" max="2" width="20" style="1" customWidth="1"/>
    <col min="3" max="3" width="16" style="1" customWidth="1"/>
    <col min="4" max="4" width="18" style="1" customWidth="1"/>
    <col min="5" max="6" width="16" style="1" customWidth="1"/>
  </cols>
  <sheetData>
    <row r="1" spans="1:8" ht="25.5" customHeight="1" x14ac:dyDescent="0.25">
      <c r="A1" s="106" t="s">
        <v>0</v>
      </c>
      <c r="B1" s="106"/>
      <c r="C1" s="106"/>
      <c r="D1" s="106"/>
      <c r="E1" s="106"/>
      <c r="F1" s="106"/>
      <c r="G1" s="106"/>
      <c r="H1" s="106"/>
    </row>
    <row r="2" spans="1:8" ht="15" customHeight="1" x14ac:dyDescent="0.25">
      <c r="A2" s="104" t="s">
        <v>158</v>
      </c>
      <c r="B2" s="104"/>
      <c r="C2" s="104"/>
      <c r="D2" s="104"/>
      <c r="E2" s="104"/>
      <c r="F2" s="104"/>
      <c r="G2" s="104"/>
      <c r="H2" s="104"/>
    </row>
    <row r="3" spans="1:8" ht="22.5" customHeight="1" x14ac:dyDescent="0.25">
      <c r="A3" s="6" t="str">
        <f>HYPERLINK("#DATOS!A1","◀ DATOS")</f>
        <v>◀ DATOS</v>
      </c>
      <c r="B3" s="103" t="str">
        <f>HYPERLINK("#'MEDIDAS'!A1", "◀ MEDIDAS")</f>
        <v>◀ MEDIDAS</v>
      </c>
      <c r="C3" s="103"/>
      <c r="D3" s="103" t="str">
        <f>HYPERLINK("#CALCULOS!A1","◀  CALCULOS")</f>
        <v>◀  CALCULOS</v>
      </c>
      <c r="E3" s="103"/>
      <c r="F3" s="103"/>
      <c r="G3" s="97" t="str">
        <f>HYPERLINK("#FUENTES!A1","▶  FUENTES")</f>
        <v>▶  FUENTES</v>
      </c>
      <c r="H3" s="97"/>
    </row>
    <row r="4" spans="1:8" ht="17.25" customHeight="1" x14ac:dyDescent="0.25">
      <c r="A4" s="107"/>
      <c r="B4" s="107"/>
      <c r="C4" s="107"/>
      <c r="D4" s="107"/>
      <c r="E4" s="107"/>
      <c r="F4" s="107"/>
      <c r="G4" s="107"/>
      <c r="H4" s="107"/>
    </row>
    <row r="5" spans="1:8" ht="15" customHeight="1" x14ac:dyDescent="0.25">
      <c r="A5" s="108" t="s">
        <v>159</v>
      </c>
      <c r="B5" s="108"/>
      <c r="C5" s="108"/>
      <c r="D5" s="108"/>
      <c r="E5" s="108"/>
      <c r="F5" s="108"/>
      <c r="G5" s="108"/>
      <c r="H5" s="108"/>
    </row>
    <row r="6" spans="1:8" ht="15" customHeight="1" x14ac:dyDescent="0.25">
      <c r="A6" s="33" t="s">
        <v>160</v>
      </c>
      <c r="B6" s="109" t="str">
        <f>in_ID</f>
        <v>NMX-2026-0016</v>
      </c>
      <c r="C6" s="109"/>
      <c r="D6" s="109"/>
      <c r="E6" s="109"/>
      <c r="F6" s="109"/>
      <c r="G6" s="109"/>
      <c r="H6" s="109"/>
    </row>
    <row r="7" spans="1:8" ht="15" customHeight="1" x14ac:dyDescent="0.25">
      <c r="A7" s="33" t="s">
        <v>15</v>
      </c>
      <c r="B7" s="110">
        <f>in_Fecha</f>
        <v>46217</v>
      </c>
      <c r="C7" s="110"/>
      <c r="D7" s="110"/>
      <c r="E7" s="110"/>
      <c r="F7" s="110"/>
      <c r="G7" s="110"/>
      <c r="H7" s="110"/>
    </row>
    <row r="8" spans="1:8" ht="15" customHeight="1" x14ac:dyDescent="0.25">
      <c r="A8" s="33" t="s">
        <v>161</v>
      </c>
      <c r="B8" s="109" t="str">
        <f>in_Pac</f>
        <v>PAC-0083</v>
      </c>
      <c r="C8" s="109"/>
      <c r="D8" s="109"/>
      <c r="E8" s="109"/>
      <c r="F8" s="109"/>
      <c r="G8" s="109"/>
      <c r="H8" s="109"/>
    </row>
    <row r="9" spans="1:8" ht="15" customHeight="1" x14ac:dyDescent="0.25">
      <c r="A9" s="33" t="s">
        <v>79</v>
      </c>
      <c r="B9" s="109" t="str">
        <f>in_Eval</f>
        <v>EVAL-01</v>
      </c>
      <c r="C9" s="109"/>
      <c r="D9" s="109"/>
      <c r="E9" s="109"/>
      <c r="F9" s="109"/>
      <c r="G9" s="109"/>
      <c r="H9" s="109"/>
    </row>
    <row r="10" spans="1:8" ht="15" customHeight="1" x14ac:dyDescent="0.25">
      <c r="A10" s="33" t="s">
        <v>162</v>
      </c>
      <c r="B10" s="109" t="str">
        <f>in_Sexo&amp;" · "&amp;IF(ISNUMBER(in_Edad),in_Edad&amp;" años","(edad no válida)")</f>
        <v>Hombre · 34 años</v>
      </c>
      <c r="C10" s="109"/>
      <c r="D10" s="109"/>
      <c r="E10" s="109"/>
      <c r="F10" s="109"/>
      <c r="G10" s="109"/>
      <c r="H10" s="109"/>
    </row>
    <row r="11" spans="1:8" ht="15" customHeight="1" x14ac:dyDescent="0.25">
      <c r="A11" s="33" t="s">
        <v>163</v>
      </c>
      <c r="B11" s="109" t="str">
        <f>IF(ISNUMBER(in_Peso),ROUND(in_Peso,1)&amp;" kg","(?)")&amp;" · "&amp;IF(ISNUMBER(in_Est),ROUND(in_Est,1)&amp;" cm","(?)")</f>
        <v>78,5 kg · 176 cm</v>
      </c>
      <c r="C11" s="109"/>
      <c r="D11" s="109"/>
      <c r="E11" s="109"/>
      <c r="F11" s="109"/>
      <c r="G11" s="109"/>
      <c r="H11" s="109"/>
    </row>
    <row r="12" spans="1:8" ht="15" customHeight="1" x14ac:dyDescent="0.25">
      <c r="A12" s="33" t="s">
        <v>164</v>
      </c>
      <c r="B12" s="109" t="str">
        <f>IF(c_Gate="SÍ","HABILITADO","BLOQUEADO — corrija los datos imposibles")</f>
        <v>HABILITADO</v>
      </c>
      <c r="C12" s="109"/>
      <c r="D12" s="109"/>
      <c r="E12" s="109"/>
      <c r="F12" s="109"/>
      <c r="G12" s="109"/>
      <c r="H12" s="109"/>
    </row>
    <row r="13" spans="1:8" ht="15" customHeight="1" x14ac:dyDescent="0.25">
      <c r="A13" s="107"/>
      <c r="B13" s="107"/>
      <c r="C13" s="107"/>
      <c r="D13" s="107"/>
      <c r="E13" s="107"/>
      <c r="F13" s="107"/>
      <c r="G13" s="107"/>
      <c r="H13" s="107"/>
    </row>
    <row r="14" spans="1:8" ht="15" customHeight="1" x14ac:dyDescent="0.25">
      <c r="A14" s="108" t="s">
        <v>165</v>
      </c>
      <c r="B14" s="108"/>
      <c r="C14" s="108"/>
      <c r="D14" s="108"/>
      <c r="E14" s="108"/>
      <c r="F14" s="108"/>
      <c r="G14" s="108"/>
      <c r="H14" s="108"/>
    </row>
    <row r="15" spans="1:8" ht="15" customHeight="1" x14ac:dyDescent="0.25">
      <c r="A15" s="33" t="s">
        <v>166</v>
      </c>
      <c r="B15" s="111">
        <f>c_Endo</f>
        <v>2.9528331389988969</v>
      </c>
      <c r="C15" s="111"/>
      <c r="D15" s="111"/>
      <c r="E15" s="111"/>
      <c r="F15" s="111"/>
      <c r="G15" s="111"/>
      <c r="H15" s="111"/>
    </row>
    <row r="16" spans="1:8" ht="15" customHeight="1" x14ac:dyDescent="0.25">
      <c r="A16" s="33" t="s">
        <v>167</v>
      </c>
      <c r="B16" s="111">
        <f>c_Meso</f>
        <v>5.0638000000000041</v>
      </c>
      <c r="C16" s="111"/>
      <c r="D16" s="111"/>
      <c r="E16" s="111"/>
      <c r="F16" s="111"/>
      <c r="G16" s="111"/>
      <c r="H16" s="111"/>
    </row>
    <row r="17" spans="1:8" ht="15" customHeight="1" x14ac:dyDescent="0.25">
      <c r="A17" s="33" t="s">
        <v>168</v>
      </c>
      <c r="B17" s="111">
        <f>c_Ecto</f>
        <v>1.5084994825925548</v>
      </c>
      <c r="C17" s="111"/>
      <c r="D17" s="111"/>
      <c r="E17" s="111"/>
      <c r="F17" s="111"/>
      <c r="G17" s="111"/>
      <c r="H17" s="111"/>
    </row>
    <row r="18" spans="1:8" ht="15" customHeight="1" x14ac:dyDescent="0.25">
      <c r="A18" s="34" t="s">
        <v>138</v>
      </c>
      <c r="B18" s="112" t="str">
        <f>c_Soma</f>
        <v>03 - 05 - 02</v>
      </c>
      <c r="C18" s="112"/>
      <c r="D18" s="112"/>
      <c r="E18" s="112"/>
      <c r="F18" s="112"/>
      <c r="G18" s="112"/>
      <c r="H18" s="112"/>
    </row>
    <row r="19" spans="1:8" ht="15" customHeight="1" x14ac:dyDescent="0.25">
      <c r="A19" s="34" t="s">
        <v>169</v>
      </c>
      <c r="B19" s="112" t="str">
        <f>c_Clase</f>
        <v>Mesomorfo endomórfico</v>
      </c>
      <c r="C19" s="112"/>
      <c r="D19" s="112"/>
      <c r="E19" s="112"/>
      <c r="F19" s="112"/>
      <c r="G19" s="112"/>
      <c r="H19" s="112"/>
    </row>
    <row r="20" spans="1:8" ht="15" customHeight="1" x14ac:dyDescent="0.25">
      <c r="A20" s="35"/>
      <c r="B20" s="36"/>
      <c r="C20" s="36"/>
      <c r="D20" s="36"/>
      <c r="E20" s="36"/>
      <c r="F20" s="36"/>
    </row>
    <row r="21" spans="1:8" ht="15" customHeight="1" x14ac:dyDescent="0.25">
      <c r="A21" s="108" t="s">
        <v>170</v>
      </c>
      <c r="B21" s="108"/>
      <c r="C21" s="108"/>
      <c r="D21" s="108"/>
      <c r="E21" s="108"/>
      <c r="F21" s="108"/>
      <c r="G21" s="108"/>
      <c r="H21" s="108"/>
    </row>
    <row r="22" spans="1:8" ht="15" customHeight="1" x14ac:dyDescent="0.25">
      <c r="A22" s="33" t="s">
        <v>171</v>
      </c>
      <c r="B22" s="113">
        <f>c_SX</f>
        <v>-1.444333656406342</v>
      </c>
      <c r="C22" s="113"/>
      <c r="D22" s="113"/>
      <c r="E22" s="113"/>
      <c r="F22" s="113"/>
      <c r="G22" s="113"/>
      <c r="H22" s="113"/>
    </row>
    <row r="23" spans="1:8" ht="15" customHeight="1" x14ac:dyDescent="0.25">
      <c r="A23" s="33" t="s">
        <v>172</v>
      </c>
      <c r="B23" s="113">
        <f>c_SY</f>
        <v>5.6662673784085564</v>
      </c>
      <c r="C23" s="113"/>
      <c r="D23" s="113"/>
      <c r="E23" s="113"/>
      <c r="F23" s="113"/>
      <c r="G23" s="113"/>
      <c r="H23" s="113"/>
    </row>
    <row r="24" spans="1:8" ht="15" customHeight="1" x14ac:dyDescent="0.25">
      <c r="A24" s="107"/>
      <c r="B24" s="107"/>
      <c r="C24" s="107"/>
      <c r="D24" s="107"/>
      <c r="E24" s="107"/>
      <c r="F24" s="107"/>
      <c r="G24" s="107"/>
      <c r="H24" s="107"/>
    </row>
    <row r="25" spans="1:8" ht="15" customHeight="1" x14ac:dyDescent="0.25">
      <c r="A25" s="32" t="s">
        <v>173</v>
      </c>
      <c r="B25" s="32" t="s">
        <v>174</v>
      </c>
      <c r="C25" s="32" t="s">
        <v>175</v>
      </c>
    </row>
    <row r="26" spans="1:8" ht="15" customHeight="1" x14ac:dyDescent="0.25">
      <c r="A26" s="37" t="str">
        <f>CONFIG!A53</f>
        <v>Endomorfia (7-1-1)</v>
      </c>
      <c r="B26" s="38">
        <f>CONFIG!B53</f>
        <v>-6</v>
      </c>
      <c r="C26" s="38">
        <f>CONFIG!C53</f>
        <v>-6</v>
      </c>
    </row>
    <row r="27" spans="1:8" ht="15" customHeight="1" x14ac:dyDescent="0.25">
      <c r="A27" s="37" t="str">
        <f>CONFIG!A54</f>
        <v>Mesomorfia (1-7-1)</v>
      </c>
      <c r="B27" s="38">
        <f>CONFIG!B54</f>
        <v>0</v>
      </c>
      <c r="C27" s="38">
        <f>CONFIG!C54</f>
        <v>12</v>
      </c>
    </row>
    <row r="28" spans="1:8" ht="15" customHeight="1" x14ac:dyDescent="0.25">
      <c r="A28" s="37" t="str">
        <f>CONFIG!A55</f>
        <v>Ectomorfia (1-1-7)</v>
      </c>
      <c r="B28" s="38">
        <f>CONFIG!B55</f>
        <v>6</v>
      </c>
      <c r="C28" s="38">
        <f>CONFIG!C55</f>
        <v>-6</v>
      </c>
    </row>
    <row r="29" spans="1:8" ht="15" customHeight="1" x14ac:dyDescent="0.25">
      <c r="A29" s="37" t="str">
        <f>CONFIG!A56</f>
        <v>cierre</v>
      </c>
      <c r="B29" s="38">
        <f>CONFIG!B56</f>
        <v>-6</v>
      </c>
      <c r="C29" s="38">
        <f>CONFIG!C56</f>
        <v>-6</v>
      </c>
    </row>
    <row r="30" spans="1:8" ht="15" customHeight="1" x14ac:dyDescent="0.25">
      <c r="A30" s="34" t="s">
        <v>176</v>
      </c>
      <c r="B30" s="39">
        <f>c_SX</f>
        <v>-1.444333656406342</v>
      </c>
      <c r="C30" s="39">
        <f>c_SY</f>
        <v>5.6662673784085564</v>
      </c>
    </row>
    <row r="31" spans="1:8" ht="15" customHeight="1" x14ac:dyDescent="0.25">
      <c r="A31" s="114"/>
      <c r="B31" s="114"/>
      <c r="C31" s="114"/>
    </row>
    <row r="32" spans="1:8" ht="15" customHeight="1" x14ac:dyDescent="0.25">
      <c r="A32" s="108" t="s">
        <v>177</v>
      </c>
      <c r="B32" s="108"/>
      <c r="C32" s="108"/>
      <c r="D32" s="108"/>
      <c r="E32" s="108"/>
      <c r="F32" s="108"/>
      <c r="G32" s="108"/>
      <c r="H32" s="108"/>
    </row>
    <row r="33" spans="1:8" ht="15" customHeight="1" x14ac:dyDescent="0.25">
      <c r="A33" s="32" t="s">
        <v>178</v>
      </c>
      <c r="B33" s="32" t="s">
        <v>49</v>
      </c>
    </row>
    <row r="34" spans="1:8" ht="15" customHeight="1" x14ac:dyDescent="0.25">
      <c r="A34" s="33" t="s">
        <v>132</v>
      </c>
      <c r="B34" s="40">
        <f>IF(ISNUMBER(c_Endo),c_Endo,0)</f>
        <v>2.9528331389988969</v>
      </c>
    </row>
    <row r="35" spans="1:8" ht="15" customHeight="1" x14ac:dyDescent="0.25">
      <c r="A35" s="33" t="s">
        <v>134</v>
      </c>
      <c r="B35" s="40">
        <f>IF(ISNUMBER(c_Meso),c_Meso,0)</f>
        <v>5.0638000000000041</v>
      </c>
    </row>
    <row r="36" spans="1:8" ht="15" customHeight="1" x14ac:dyDescent="0.25">
      <c r="A36" s="33" t="s">
        <v>136</v>
      </c>
      <c r="B36" s="40">
        <f>IF(ISNUMBER(c_Ecto),c_Ecto,0)</f>
        <v>1.5084994825925548</v>
      </c>
    </row>
    <row r="37" spans="1:8" ht="15" customHeight="1" x14ac:dyDescent="0.25">
      <c r="A37" s="35"/>
      <c r="B37" s="35"/>
    </row>
    <row r="38" spans="1:8" ht="15" customHeight="1" x14ac:dyDescent="0.25">
      <c r="A38" s="108" t="s">
        <v>179</v>
      </c>
      <c r="B38" s="108"/>
      <c r="C38" s="108"/>
      <c r="D38" s="108"/>
      <c r="E38" s="108"/>
      <c r="F38" s="108"/>
      <c r="G38" s="108"/>
      <c r="H38" s="108"/>
    </row>
    <row r="39" spans="1:8" ht="15" customHeight="1" x14ac:dyDescent="0.25">
      <c r="A39" s="33" t="s">
        <v>151</v>
      </c>
      <c r="B39" s="115" t="str">
        <f>CALCULOS!B33</f>
        <v>—</v>
      </c>
      <c r="C39" s="115"/>
      <c r="D39" s="115"/>
      <c r="E39" s="115"/>
      <c r="F39" s="115"/>
      <c r="G39" s="115"/>
      <c r="H39" s="115"/>
    </row>
    <row r="40" spans="1:8" ht="15" customHeight="1" x14ac:dyDescent="0.25">
      <c r="A40" s="33" t="s">
        <v>152</v>
      </c>
      <c r="B40" s="115" t="str">
        <f>CALCULOS!B34</f>
        <v>—</v>
      </c>
      <c r="C40" s="115"/>
      <c r="D40" s="115"/>
      <c r="E40" s="115"/>
      <c r="F40" s="115"/>
      <c r="G40" s="115"/>
      <c r="H40" s="115"/>
    </row>
    <row r="41" spans="1:8" ht="15" customHeight="1" x14ac:dyDescent="0.25">
      <c r="A41" s="33" t="s">
        <v>153</v>
      </c>
      <c r="B41" s="115" t="str">
        <f>CALCULOS!B35</f>
        <v>—</v>
      </c>
      <c r="C41" s="115"/>
      <c r="D41" s="115"/>
      <c r="E41" s="115"/>
      <c r="F41" s="115"/>
      <c r="G41" s="115"/>
      <c r="H41" s="115"/>
    </row>
    <row r="42" spans="1:8" ht="15" customHeight="1" x14ac:dyDescent="0.25">
      <c r="A42" s="33" t="s">
        <v>154</v>
      </c>
      <c r="B42" s="115" t="str">
        <f>CALCULOS!B36</f>
        <v>—</v>
      </c>
      <c r="C42" s="115"/>
      <c r="D42" s="115"/>
      <c r="E42" s="115"/>
      <c r="F42" s="115"/>
      <c r="G42" s="115"/>
      <c r="H42" s="115"/>
    </row>
    <row r="43" spans="1:8" ht="15" customHeight="1" x14ac:dyDescent="0.25">
      <c r="A43" s="33" t="s">
        <v>180</v>
      </c>
      <c r="B43" s="115" t="str">
        <f>CALCULOS!B37</f>
        <v>—</v>
      </c>
      <c r="C43" s="115"/>
      <c r="D43" s="115"/>
      <c r="E43" s="115"/>
      <c r="F43" s="115"/>
      <c r="G43" s="115"/>
      <c r="H43" s="115"/>
    </row>
    <row r="44" spans="1:8" ht="15" customHeight="1" x14ac:dyDescent="0.25">
      <c r="A44" s="33" t="s">
        <v>181</v>
      </c>
      <c r="B44" s="115" t="str">
        <f>CALCULOS!B38</f>
        <v>—</v>
      </c>
      <c r="C44" s="115"/>
      <c r="D44" s="115"/>
      <c r="E44" s="115"/>
      <c r="F44" s="115"/>
      <c r="G44" s="115"/>
      <c r="H44" s="115"/>
    </row>
    <row r="45" spans="1:8" ht="23.25" customHeight="1" x14ac:dyDescent="0.25">
      <c r="A45" s="33" t="s">
        <v>157</v>
      </c>
      <c r="B45" s="115" t="str">
        <f>CALCULOS!B39</f>
        <v>Exactitud matemática ≠ validación clínica. El somatotipo describe la FORMA corporal, no diagnostica ni mide composición por sí solo.</v>
      </c>
      <c r="C45" s="115"/>
      <c r="D45" s="115"/>
      <c r="E45" s="115"/>
      <c r="F45" s="115"/>
      <c r="G45" s="115"/>
      <c r="H45" s="115"/>
    </row>
    <row r="46" spans="1:8" ht="15" customHeight="1" x14ac:dyDescent="0.25">
      <c r="A46" s="116" t="s">
        <v>182</v>
      </c>
      <c r="B46" s="116"/>
      <c r="C46" s="116"/>
      <c r="D46" s="116"/>
      <c r="E46" s="116"/>
      <c r="F46" s="116"/>
      <c r="G46" s="116"/>
      <c r="H46" s="116"/>
    </row>
    <row r="47" spans="1:8" ht="39" customHeight="1" x14ac:dyDescent="0.25">
      <c r="A47" s="116"/>
      <c r="B47" s="116"/>
      <c r="C47" s="116"/>
      <c r="D47" s="116"/>
      <c r="E47" s="116"/>
      <c r="F47" s="116"/>
      <c r="G47" s="116"/>
      <c r="H47" s="116"/>
    </row>
    <row r="48" spans="1:8" ht="15" customHeight="1" x14ac:dyDescent="0.25">
      <c r="A48" s="107"/>
      <c r="B48" s="107"/>
      <c r="C48" s="107"/>
      <c r="D48" s="107"/>
      <c r="E48" s="107"/>
      <c r="F48" s="107"/>
      <c r="G48" s="107"/>
      <c r="H48" s="107"/>
    </row>
  </sheetData>
  <mergeCells count="37">
    <mergeCell ref="A46:H47"/>
    <mergeCell ref="A48:H48"/>
    <mergeCell ref="B41:H41"/>
    <mergeCell ref="B42:H42"/>
    <mergeCell ref="B43:H43"/>
    <mergeCell ref="B44:H44"/>
    <mergeCell ref="B45:H45"/>
    <mergeCell ref="A31:C31"/>
    <mergeCell ref="A32:H32"/>
    <mergeCell ref="A38:H38"/>
    <mergeCell ref="B39:H39"/>
    <mergeCell ref="B40:H40"/>
    <mergeCell ref="B19:H19"/>
    <mergeCell ref="A21:H21"/>
    <mergeCell ref="B22:H22"/>
    <mergeCell ref="B23:H23"/>
    <mergeCell ref="A24:H24"/>
    <mergeCell ref="A14:H14"/>
    <mergeCell ref="B15:H15"/>
    <mergeCell ref="B16:H16"/>
    <mergeCell ref="B17:H17"/>
    <mergeCell ref="B18:H18"/>
    <mergeCell ref="B9:H9"/>
    <mergeCell ref="B10:H10"/>
    <mergeCell ref="B11:H11"/>
    <mergeCell ref="B12:H12"/>
    <mergeCell ref="A13:H13"/>
    <mergeCell ref="A4:H4"/>
    <mergeCell ref="A5:H5"/>
    <mergeCell ref="B6:H6"/>
    <mergeCell ref="B7:H7"/>
    <mergeCell ref="B8:H8"/>
    <mergeCell ref="A1:H1"/>
    <mergeCell ref="A2:H2"/>
    <mergeCell ref="B3:C3"/>
    <mergeCell ref="D3:F3"/>
    <mergeCell ref="G3:H3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5A6B70"/>
  </sheetPr>
  <dimension ref="A1:K15"/>
  <sheetViews>
    <sheetView showGridLines="0" zoomScaleNormal="100" workbookViewId="0">
      <pane ySplit="5" topLeftCell="A6" activePane="bottomLeft" state="frozen"/>
      <selection pane="bottomLeft" activeCell="A13" sqref="A13:K13"/>
    </sheetView>
  </sheetViews>
  <sheetFormatPr baseColWidth="10" defaultColWidth="8.7109375" defaultRowHeight="15" x14ac:dyDescent="0.25"/>
  <cols>
    <col min="1" max="1" width="24" style="1" customWidth="1"/>
    <col min="2" max="2" width="30" style="1" customWidth="1"/>
    <col min="3" max="3" width="10" style="1" customWidth="1"/>
    <col min="4" max="4" width="30" style="1" customWidth="1"/>
    <col min="5" max="5" width="36" style="1" customWidth="1"/>
    <col min="6" max="6" width="12" style="1" customWidth="1"/>
    <col min="7" max="7" width="34" style="1" customWidth="1"/>
    <col min="8" max="8" width="22" style="1" customWidth="1"/>
    <col min="9" max="9" width="12" style="1" customWidth="1"/>
    <col min="10" max="10" width="30" style="1" customWidth="1"/>
    <col min="11" max="11" width="8" style="1" customWidth="1"/>
  </cols>
  <sheetData>
    <row r="1" spans="1:11" ht="25.5" customHeight="1" x14ac:dyDescent="0.2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15" customHeight="1" x14ac:dyDescent="0.25">
      <c r="A2" s="104" t="s">
        <v>183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</row>
    <row r="3" spans="1:11" ht="33.75" customHeight="1" x14ac:dyDescent="0.25">
      <c r="A3" s="98" t="s">
        <v>184</v>
      </c>
      <c r="B3" s="98"/>
      <c r="C3" s="98"/>
      <c r="D3" s="98"/>
      <c r="E3" s="98"/>
      <c r="F3" s="98"/>
      <c r="G3" s="98"/>
      <c r="H3" s="98"/>
      <c r="I3" s="98"/>
      <c r="J3" s="98"/>
      <c r="K3" s="98"/>
    </row>
    <row r="4" spans="1:11" ht="15" customHeight="1" x14ac:dyDescent="0.25">
      <c r="A4" s="6" t="str">
        <f>HYPERLINK("#INICIO!A1","◀ INICIO")</f>
        <v>◀ INICIO</v>
      </c>
      <c r="B4" s="6" t="str">
        <f>HYPERLINK("#DATOS!A1","◀ DATOS")</f>
        <v>◀ DATOS</v>
      </c>
      <c r="C4" s="103" t="str">
        <f>HYPERLINK("#CALCULOS!A1","◀  CALCULOS")</f>
        <v>◀  CALCULOS</v>
      </c>
      <c r="D4" s="103"/>
      <c r="E4" s="103"/>
    </row>
    <row r="5" spans="1:11" ht="15" customHeight="1" x14ac:dyDescent="0.25">
      <c r="A5" s="41" t="s">
        <v>185</v>
      </c>
      <c r="B5" s="41" t="s">
        <v>186</v>
      </c>
      <c r="C5" s="41" t="s">
        <v>187</v>
      </c>
      <c r="D5" s="41" t="s">
        <v>188</v>
      </c>
      <c r="E5" s="41" t="s">
        <v>189</v>
      </c>
      <c r="F5" s="41" t="s">
        <v>190</v>
      </c>
      <c r="G5" s="41" t="s">
        <v>191</v>
      </c>
      <c r="H5" s="41" t="s">
        <v>192</v>
      </c>
      <c r="I5" s="41" t="s">
        <v>193</v>
      </c>
      <c r="J5" s="41" t="s">
        <v>194</v>
      </c>
      <c r="K5" s="41" t="s">
        <v>195</v>
      </c>
    </row>
    <row r="6" spans="1:11" ht="57.75" customHeight="1" x14ac:dyDescent="0.25">
      <c r="A6" s="42" t="s">
        <v>196</v>
      </c>
      <c r="B6" s="42" t="s">
        <v>197</v>
      </c>
      <c r="C6" s="42" t="s">
        <v>198</v>
      </c>
      <c r="D6" s="42" t="s">
        <v>199</v>
      </c>
      <c r="E6" s="42" t="s">
        <v>200</v>
      </c>
      <c r="F6" s="42" t="s">
        <v>201</v>
      </c>
      <c r="G6" s="42" t="s">
        <v>202</v>
      </c>
      <c r="H6" s="42" t="s">
        <v>203</v>
      </c>
      <c r="I6" s="42" t="s">
        <v>204</v>
      </c>
      <c r="J6" s="42" t="s">
        <v>205</v>
      </c>
      <c r="K6" s="43" t="s">
        <v>206</v>
      </c>
    </row>
    <row r="7" spans="1:11" ht="57.75" customHeight="1" x14ac:dyDescent="0.25">
      <c r="A7" s="42" t="s">
        <v>207</v>
      </c>
      <c r="B7" s="42" t="s">
        <v>208</v>
      </c>
      <c r="C7" s="42" t="s">
        <v>209</v>
      </c>
      <c r="D7" s="42" t="s">
        <v>210</v>
      </c>
      <c r="E7" s="42" t="s">
        <v>211</v>
      </c>
      <c r="F7" s="42" t="s">
        <v>212</v>
      </c>
      <c r="G7" s="42" t="s">
        <v>213</v>
      </c>
      <c r="H7" s="42" t="s">
        <v>214</v>
      </c>
      <c r="I7" s="42" t="s">
        <v>204</v>
      </c>
      <c r="J7" s="42" t="s">
        <v>215</v>
      </c>
      <c r="K7" s="43" t="s">
        <v>206</v>
      </c>
    </row>
    <row r="8" spans="1:11" ht="57.75" customHeight="1" x14ac:dyDescent="0.25">
      <c r="A8" s="42" t="s">
        <v>134</v>
      </c>
      <c r="B8" s="42" t="s">
        <v>208</v>
      </c>
      <c r="C8" s="42" t="s">
        <v>209</v>
      </c>
      <c r="D8" s="42" t="s">
        <v>216</v>
      </c>
      <c r="E8" s="42" t="s">
        <v>217</v>
      </c>
      <c r="F8" s="42" t="s">
        <v>218</v>
      </c>
      <c r="G8" s="42" t="s">
        <v>219</v>
      </c>
      <c r="H8" s="42" t="s">
        <v>214</v>
      </c>
      <c r="I8" s="42" t="s">
        <v>204</v>
      </c>
      <c r="J8" s="42" t="s">
        <v>215</v>
      </c>
      <c r="K8" s="43" t="s">
        <v>206</v>
      </c>
    </row>
    <row r="9" spans="1:11" ht="57.75" customHeight="1" x14ac:dyDescent="0.25">
      <c r="A9" s="42" t="s">
        <v>220</v>
      </c>
      <c r="B9" s="42" t="s">
        <v>208</v>
      </c>
      <c r="C9" s="42" t="s">
        <v>209</v>
      </c>
      <c r="D9" s="42" t="s">
        <v>221</v>
      </c>
      <c r="E9" s="42" t="s">
        <v>222</v>
      </c>
      <c r="F9" s="42" t="s">
        <v>223</v>
      </c>
      <c r="G9" s="42" t="s">
        <v>224</v>
      </c>
      <c r="H9" s="42" t="s">
        <v>214</v>
      </c>
      <c r="I9" s="42" t="s">
        <v>204</v>
      </c>
      <c r="J9" s="42" t="s">
        <v>215</v>
      </c>
      <c r="K9" s="43" t="s">
        <v>206</v>
      </c>
    </row>
    <row r="10" spans="1:11" ht="57.75" customHeight="1" x14ac:dyDescent="0.25">
      <c r="A10" s="42" t="s">
        <v>225</v>
      </c>
      <c r="B10" s="42" t="s">
        <v>226</v>
      </c>
      <c r="C10" s="42" t="s">
        <v>209</v>
      </c>
      <c r="D10" s="42" t="s">
        <v>227</v>
      </c>
      <c r="E10" s="42" t="s">
        <v>228</v>
      </c>
      <c r="F10" s="42" t="s">
        <v>55</v>
      </c>
      <c r="G10" s="42" t="s">
        <v>229</v>
      </c>
      <c r="H10" s="42" t="s">
        <v>230</v>
      </c>
      <c r="I10" s="42" t="s">
        <v>204</v>
      </c>
      <c r="J10" s="42" t="s">
        <v>231</v>
      </c>
      <c r="K10" s="43" t="s">
        <v>232</v>
      </c>
    </row>
    <row r="11" spans="1:11" ht="57.75" customHeight="1" x14ac:dyDescent="0.25">
      <c r="A11" s="42" t="s">
        <v>233</v>
      </c>
      <c r="B11" s="42" t="s">
        <v>234</v>
      </c>
      <c r="C11" s="42" t="s">
        <v>235</v>
      </c>
      <c r="D11" s="42" t="s">
        <v>236</v>
      </c>
      <c r="E11" s="42" t="s">
        <v>237</v>
      </c>
      <c r="F11" s="42" t="s">
        <v>238</v>
      </c>
      <c r="G11" s="42" t="s">
        <v>239</v>
      </c>
      <c r="H11" s="42" t="s">
        <v>240</v>
      </c>
      <c r="I11" s="42" t="s">
        <v>204</v>
      </c>
      <c r="J11" s="42" t="s">
        <v>241</v>
      </c>
      <c r="K11" s="43" t="s">
        <v>206</v>
      </c>
    </row>
    <row r="13" spans="1:11" ht="33.75" customHeight="1" x14ac:dyDescent="0.25">
      <c r="A13" s="98" t="s">
        <v>242</v>
      </c>
      <c r="B13" s="98"/>
      <c r="C13" s="98"/>
      <c r="D13" s="98"/>
      <c r="E13" s="98"/>
      <c r="F13" s="98"/>
      <c r="G13" s="98"/>
      <c r="H13" s="98"/>
      <c r="I13" s="98"/>
      <c r="J13" s="98"/>
      <c r="K13" s="98"/>
    </row>
    <row r="15" spans="1:11" ht="84.75" customHeight="1" x14ac:dyDescent="0.25">
      <c r="A15" s="98" t="s">
        <v>243</v>
      </c>
      <c r="B15" s="98"/>
      <c r="C15" s="98"/>
      <c r="D15" s="98"/>
      <c r="E15" s="98"/>
      <c r="F15" s="98"/>
      <c r="G15" s="98"/>
      <c r="H15" s="98"/>
      <c r="I15" s="98"/>
      <c r="J15" s="98"/>
      <c r="K15" s="98"/>
    </row>
  </sheetData>
  <sheetProtection algorithmName="SHA-512" hashValue="i/BwAi/S5LqmNOPveT/ZQs6nhuAaCFWDlFMJgKUoIf2ImpXeShOshTvAv26vSBlxXys3FFWZ0RA5ZPMBIomoFw==" saltValue="xokvz1j+MdK2gJLLjG/5rA==" spinCount="100000" sheet="1" objects="1" scenarios="1"/>
  <mergeCells count="7">
    <mergeCell ref="A13:K13"/>
    <mergeCell ref="A15:K15"/>
    <mergeCell ref="A2:D2"/>
    <mergeCell ref="E2:H2"/>
    <mergeCell ref="I2:K2"/>
    <mergeCell ref="A3:K3"/>
    <mergeCell ref="C4:E4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5A6B70"/>
  </sheetPr>
  <dimension ref="A1:M78"/>
  <sheetViews>
    <sheetView showGridLines="0" zoomScaleNormal="100" workbookViewId="0">
      <pane ySplit="5" topLeftCell="A6" activePane="bottomLeft" state="frozen"/>
      <selection pane="bottomLeft" activeCell="A39" sqref="A39:M39"/>
    </sheetView>
  </sheetViews>
  <sheetFormatPr baseColWidth="10" defaultColWidth="8.7109375" defaultRowHeight="15" x14ac:dyDescent="0.25"/>
  <cols>
    <col min="1" max="1" width="6" style="1" customWidth="1"/>
    <col min="2" max="2" width="36" style="1" customWidth="1"/>
    <col min="3" max="7" width="10" style="1" customWidth="1"/>
    <col min="8" max="9" width="12" style="1" customWidth="1"/>
    <col min="10" max="10" width="10" style="1" customWidth="1"/>
    <col min="11" max="12" width="11" style="1" customWidth="1"/>
    <col min="13" max="13" width="10" style="1" customWidth="1"/>
  </cols>
  <sheetData>
    <row r="1" spans="1:13" ht="25.5" customHeight="1" x14ac:dyDescent="0.25">
      <c r="A1" s="4" t="s">
        <v>0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3" ht="15" customHeight="1" x14ac:dyDescent="0.25">
      <c r="A2" s="104" t="s">
        <v>244</v>
      </c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  <c r="M2" s="104"/>
    </row>
    <row r="3" spans="1:13" ht="33.75" customHeight="1" x14ac:dyDescent="0.25">
      <c r="A3" s="98" t="s">
        <v>245</v>
      </c>
      <c r="B3" s="98"/>
      <c r="C3" s="98"/>
      <c r="D3" s="98"/>
      <c r="E3" s="98"/>
      <c r="F3" s="98"/>
      <c r="G3" s="98"/>
      <c r="H3" s="98"/>
      <c r="I3" s="98"/>
      <c r="J3" s="98"/>
      <c r="K3" s="98"/>
      <c r="L3" s="98"/>
      <c r="M3" s="98"/>
    </row>
    <row r="4" spans="1:13" ht="25.5" customHeight="1" x14ac:dyDescent="0.25">
      <c r="A4" s="101" t="str">
        <f>HYPERLINK("#INICIO!A1","◀ INICIO")</f>
        <v>◀ INICIO</v>
      </c>
      <c r="B4" s="101"/>
      <c r="C4" s="101"/>
      <c r="D4" s="101"/>
    </row>
    <row r="6" spans="1:13" ht="15" customHeight="1" x14ac:dyDescent="0.25">
      <c r="A6" s="117" t="s">
        <v>246</v>
      </c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117"/>
      <c r="M6" s="117"/>
    </row>
    <row r="7" spans="1:13" ht="15" customHeight="1" x14ac:dyDescent="0.25">
      <c r="A7" s="46" t="s">
        <v>247</v>
      </c>
      <c r="B7" s="46" t="s">
        <v>248</v>
      </c>
      <c r="C7" s="46" t="s">
        <v>249</v>
      </c>
      <c r="D7" s="46" t="s">
        <v>250</v>
      </c>
      <c r="E7" s="46" t="s">
        <v>251</v>
      </c>
      <c r="F7" s="46" t="s">
        <v>252</v>
      </c>
      <c r="G7" s="46" t="s">
        <v>253</v>
      </c>
      <c r="H7" s="46" t="s">
        <v>254</v>
      </c>
      <c r="I7" s="46"/>
      <c r="J7" s="46"/>
      <c r="K7" s="46"/>
      <c r="L7" s="46"/>
      <c r="M7" s="46"/>
    </row>
    <row r="8" spans="1:13" ht="15" customHeight="1" x14ac:dyDescent="0.25">
      <c r="A8" s="47" t="s">
        <v>255</v>
      </c>
      <c r="B8" s="48" t="s">
        <v>256</v>
      </c>
      <c r="C8" s="47">
        <v>30</v>
      </c>
      <c r="D8" s="47">
        <v>176</v>
      </c>
      <c r="E8" s="49">
        <f t="shared" ref="E8:E13" si="0">MAX(0.1,-0.7182+0.1451*(C8*(170.18/D8))-0.00068*(C8*(170.18/D8))^2+0.0000014*(C8*(170.18/D8))^3)</f>
        <v>2.9528331389988969</v>
      </c>
      <c r="F8" s="50">
        <v>2.952833</v>
      </c>
      <c r="G8" s="51">
        <f t="shared" ref="G8:G13" si="1">E8-F8</f>
        <v>1.3899889683699485E-7</v>
      </c>
      <c r="H8" s="52" t="str">
        <f t="shared" ref="H8:H13" si="2">IF(ABS(G8)&lt;=TOL_U,"APROBADO","FALLIDO")</f>
        <v>APROBADO</v>
      </c>
      <c r="I8" s="53"/>
      <c r="J8" s="53"/>
      <c r="K8" s="53"/>
      <c r="L8" s="53"/>
      <c r="M8" s="53"/>
    </row>
    <row r="9" spans="1:13" ht="15" customHeight="1" x14ac:dyDescent="0.25">
      <c r="A9" s="47" t="s">
        <v>257</v>
      </c>
      <c r="B9" s="48" t="s">
        <v>258</v>
      </c>
      <c r="C9" s="47">
        <v>45</v>
      </c>
      <c r="D9" s="47">
        <v>165</v>
      </c>
      <c r="E9" s="49">
        <f t="shared" si="0"/>
        <v>4.6914420739741924</v>
      </c>
      <c r="F9" s="50">
        <v>4.6914420000000003</v>
      </c>
      <c r="G9" s="51">
        <f t="shared" si="1"/>
        <v>7.3974192105197289E-8</v>
      </c>
      <c r="H9" s="52" t="str">
        <f t="shared" si="2"/>
        <v>APROBADO</v>
      </c>
      <c r="I9" s="53"/>
      <c r="J9" s="53"/>
      <c r="K9" s="53"/>
      <c r="L9" s="53"/>
      <c r="M9" s="53"/>
    </row>
    <row r="10" spans="1:13" ht="15" customHeight="1" x14ac:dyDescent="0.25">
      <c r="A10" s="47" t="s">
        <v>259</v>
      </c>
      <c r="B10" s="48" t="s">
        <v>260</v>
      </c>
      <c r="C10" s="47">
        <v>60</v>
      </c>
      <c r="D10" s="47">
        <v>180</v>
      </c>
      <c r="E10" s="49">
        <f t="shared" si="0"/>
        <v>5.5802155350283273</v>
      </c>
      <c r="F10" s="50">
        <v>5.5802160000000001</v>
      </c>
      <c r="G10" s="51">
        <f t="shared" si="1"/>
        <v>-4.6497167272008255E-7</v>
      </c>
      <c r="H10" s="52" t="str">
        <f t="shared" si="2"/>
        <v>APROBADO</v>
      </c>
      <c r="I10" s="53"/>
      <c r="J10" s="53"/>
      <c r="K10" s="53"/>
      <c r="L10" s="53"/>
      <c r="M10" s="53"/>
    </row>
    <row r="11" spans="1:13" ht="15" customHeight="1" x14ac:dyDescent="0.25">
      <c r="A11" s="47" t="s">
        <v>261</v>
      </c>
      <c r="B11" s="48" t="s">
        <v>262</v>
      </c>
      <c r="C11" s="47">
        <v>20</v>
      </c>
      <c r="D11" s="47">
        <v>170</v>
      </c>
      <c r="E11" s="49">
        <f t="shared" si="0"/>
        <v>1.9255320150942643</v>
      </c>
      <c r="F11" s="50">
        <v>1.925532</v>
      </c>
      <c r="G11" s="51">
        <f t="shared" si="1"/>
        <v>1.5094264282922154E-8</v>
      </c>
      <c r="H11" s="52" t="str">
        <f t="shared" si="2"/>
        <v>APROBADO</v>
      </c>
      <c r="I11" s="53"/>
      <c r="J11" s="53"/>
      <c r="K11" s="53"/>
      <c r="L11" s="53"/>
      <c r="M11" s="53"/>
    </row>
    <row r="12" spans="1:13" ht="15" customHeight="1" x14ac:dyDescent="0.25">
      <c r="A12" s="47" t="s">
        <v>263</v>
      </c>
      <c r="B12" s="48" t="s">
        <v>264</v>
      </c>
      <c r="C12" s="47">
        <v>90</v>
      </c>
      <c r="D12" s="47">
        <v>160</v>
      </c>
      <c r="E12" s="49">
        <f t="shared" si="0"/>
        <v>8.1685532071471041</v>
      </c>
      <c r="F12" s="50">
        <v>8.1685529999999993</v>
      </c>
      <c r="G12" s="51">
        <f t="shared" si="1"/>
        <v>2.0714710480262966E-7</v>
      </c>
      <c r="H12" s="52" t="str">
        <f t="shared" si="2"/>
        <v>APROBADO</v>
      </c>
      <c r="I12" s="53"/>
      <c r="J12" s="53"/>
      <c r="K12" s="53"/>
      <c r="L12" s="53"/>
      <c r="M12" s="53"/>
    </row>
    <row r="13" spans="1:13" ht="15" customHeight="1" x14ac:dyDescent="0.25">
      <c r="A13" s="47" t="s">
        <v>265</v>
      </c>
      <c r="B13" s="48" t="s">
        <v>266</v>
      </c>
      <c r="C13" s="47">
        <v>15</v>
      </c>
      <c r="D13" s="47">
        <v>190</v>
      </c>
      <c r="E13" s="49">
        <f t="shared" si="0"/>
        <v>1.1119076122737217</v>
      </c>
      <c r="F13" s="50">
        <v>1.1119079999999999</v>
      </c>
      <c r="G13" s="51">
        <f t="shared" si="1"/>
        <v>-3.8772627819483318E-7</v>
      </c>
      <c r="H13" s="52" t="str">
        <f t="shared" si="2"/>
        <v>APROBADO</v>
      </c>
      <c r="I13" s="53"/>
      <c r="J13" s="53"/>
      <c r="K13" s="53"/>
      <c r="L13" s="53"/>
      <c r="M13" s="53"/>
    </row>
    <row r="15" spans="1:13" ht="15" customHeight="1" x14ac:dyDescent="0.25">
      <c r="A15" s="117" t="s">
        <v>267</v>
      </c>
      <c r="B15" s="117"/>
      <c r="C15" s="117"/>
      <c r="D15" s="117"/>
      <c r="E15" s="117"/>
      <c r="F15" s="117"/>
      <c r="G15" s="117"/>
      <c r="H15" s="117"/>
      <c r="I15" s="117"/>
      <c r="J15" s="117"/>
      <c r="K15" s="117"/>
      <c r="L15" s="117"/>
      <c r="M15" s="117"/>
    </row>
    <row r="16" spans="1:13" ht="15" customHeight="1" x14ac:dyDescent="0.25">
      <c r="A16" s="46" t="s">
        <v>247</v>
      </c>
      <c r="B16" s="46" t="s">
        <v>268</v>
      </c>
      <c r="C16" s="46" t="s">
        <v>269</v>
      </c>
      <c r="D16" s="46" t="s">
        <v>270</v>
      </c>
      <c r="E16" s="46" t="s">
        <v>271</v>
      </c>
      <c r="F16" s="46" t="s">
        <v>250</v>
      </c>
      <c r="G16" s="46" t="s">
        <v>251</v>
      </c>
      <c r="H16" s="46" t="s">
        <v>252</v>
      </c>
      <c r="I16" s="46" t="s">
        <v>253</v>
      </c>
      <c r="J16" s="46" t="s">
        <v>254</v>
      </c>
      <c r="K16" s="46"/>
      <c r="L16" s="46"/>
      <c r="M16" s="46"/>
    </row>
    <row r="17" spans="1:13" ht="15" customHeight="1" x14ac:dyDescent="0.25">
      <c r="A17" s="47" t="s">
        <v>272</v>
      </c>
      <c r="B17" s="54">
        <v>7</v>
      </c>
      <c r="C17" s="54">
        <v>9.6</v>
      </c>
      <c r="D17" s="54">
        <v>32</v>
      </c>
      <c r="E17" s="54">
        <v>36.200000000000003</v>
      </c>
      <c r="F17" s="47">
        <v>176</v>
      </c>
      <c r="G17" s="49">
        <f>MAX(0.1,0.858*B17+0.601*C17+0.188*D17+0.161*E17-0.131*F17+4.5)</f>
        <v>5.0638000000000041</v>
      </c>
      <c r="H17" s="50">
        <v>5.0637999999999996</v>
      </c>
      <c r="I17" s="51">
        <f>G17-H17</f>
        <v>0</v>
      </c>
      <c r="J17" s="52" t="str">
        <f>IF(ABS(I17)&lt;=TOL_U,"APROBADO","FALLIDO")</f>
        <v>APROBADO</v>
      </c>
      <c r="K17" s="53"/>
      <c r="L17" s="53"/>
      <c r="M17" s="53"/>
    </row>
    <row r="18" spans="1:13" ht="15" customHeight="1" x14ac:dyDescent="0.25">
      <c r="A18" s="47" t="s">
        <v>273</v>
      </c>
      <c r="B18" s="54">
        <v>6.5</v>
      </c>
      <c r="C18" s="54">
        <v>9</v>
      </c>
      <c r="D18" s="54">
        <v>28</v>
      </c>
      <c r="E18" s="54">
        <v>34</v>
      </c>
      <c r="F18" s="47">
        <v>165</v>
      </c>
      <c r="G18" s="49">
        <f>MAX(0.1,0.858*B18+0.601*C18+0.188*D18+0.161*E18-0.131*F18+4.5)</f>
        <v>4.6089999999999982</v>
      </c>
      <c r="H18" s="50">
        <v>4.609</v>
      </c>
      <c r="I18" s="51">
        <f>G18-H18</f>
        <v>0</v>
      </c>
      <c r="J18" s="52" t="str">
        <f>IF(ABS(I18)&lt;=TOL_U,"APROBADO","FALLIDO")</f>
        <v>APROBADO</v>
      </c>
      <c r="K18" s="53"/>
      <c r="L18" s="53"/>
      <c r="M18" s="53"/>
    </row>
    <row r="19" spans="1:13" ht="15" customHeight="1" x14ac:dyDescent="0.25">
      <c r="A19" s="47" t="s">
        <v>274</v>
      </c>
      <c r="B19" s="54">
        <v>7.5</v>
      </c>
      <c r="C19" s="54">
        <v>10.199999999999999</v>
      </c>
      <c r="D19" s="54">
        <v>36</v>
      </c>
      <c r="E19" s="54">
        <v>39</v>
      </c>
      <c r="F19" s="47">
        <v>182</v>
      </c>
      <c r="G19" s="49">
        <f>MAX(0.1,0.858*B19+0.601*C19+0.188*D19+0.161*E19-0.131*F19+4.5)</f>
        <v>6.2701999999999956</v>
      </c>
      <c r="H19" s="50">
        <v>6.2702</v>
      </c>
      <c r="I19" s="51">
        <f>G19-H19</f>
        <v>0</v>
      </c>
      <c r="J19" s="52" t="str">
        <f>IF(ABS(I19)&lt;=TOL_U,"APROBADO","FALLIDO")</f>
        <v>APROBADO</v>
      </c>
      <c r="K19" s="53"/>
      <c r="L19" s="53"/>
      <c r="M19" s="53"/>
    </row>
    <row r="20" spans="1:13" ht="15" customHeight="1" x14ac:dyDescent="0.25">
      <c r="A20" s="47" t="s">
        <v>275</v>
      </c>
      <c r="B20" s="54">
        <v>6</v>
      </c>
      <c r="C20" s="54">
        <v>8.5</v>
      </c>
      <c r="D20" s="54">
        <v>26</v>
      </c>
      <c r="E20" s="54">
        <v>32</v>
      </c>
      <c r="F20" s="47">
        <v>158</v>
      </c>
      <c r="G20" s="49">
        <f>MAX(0.1,0.858*B20+0.601*C20+0.188*D20+0.161*E20-0.131*F20+4.5)</f>
        <v>4.0984999999999978</v>
      </c>
      <c r="H20" s="50">
        <v>4.0984999999999996</v>
      </c>
      <c r="I20" s="51">
        <f>G20-H20</f>
        <v>0</v>
      </c>
      <c r="J20" s="52" t="str">
        <f>IF(ABS(I20)&lt;=TOL_U,"APROBADO","FALLIDO")</f>
        <v>APROBADO</v>
      </c>
      <c r="K20" s="53"/>
      <c r="L20" s="53"/>
      <c r="M20" s="53"/>
    </row>
    <row r="21" spans="1:13" ht="15" customHeight="1" x14ac:dyDescent="0.25">
      <c r="A21" s="47" t="s">
        <v>276</v>
      </c>
      <c r="B21" s="54">
        <v>8</v>
      </c>
      <c r="C21" s="54">
        <v>10.5</v>
      </c>
      <c r="D21" s="54">
        <v>40</v>
      </c>
      <c r="E21" s="54">
        <v>41</v>
      </c>
      <c r="F21" s="47">
        <v>190</v>
      </c>
      <c r="G21" s="49">
        <f>MAX(0.1,0.858*B21+0.601*C21+0.188*D21+0.161*E21-0.131*F21+4.5)</f>
        <v>6.9054999999999964</v>
      </c>
      <c r="H21" s="50">
        <v>6.9055</v>
      </c>
      <c r="I21" s="51">
        <f>G21-H21</f>
        <v>0</v>
      </c>
      <c r="J21" s="52" t="str">
        <f>IF(ABS(I21)&lt;=TOL_U,"APROBADO","FALLIDO")</f>
        <v>APROBADO</v>
      </c>
      <c r="K21" s="53"/>
      <c r="L21" s="53"/>
      <c r="M21" s="53"/>
    </row>
    <row r="23" spans="1:13" ht="15" customHeight="1" x14ac:dyDescent="0.25">
      <c r="A23" s="117" t="s">
        <v>277</v>
      </c>
      <c r="B23" s="117"/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</row>
    <row r="24" spans="1:13" ht="15" customHeight="1" x14ac:dyDescent="0.25">
      <c r="A24" s="46" t="s">
        <v>247</v>
      </c>
      <c r="B24" s="46" t="s">
        <v>248</v>
      </c>
      <c r="C24" s="46" t="s">
        <v>250</v>
      </c>
      <c r="D24" s="46" t="s">
        <v>71</v>
      </c>
      <c r="E24" s="46" t="s">
        <v>251</v>
      </c>
      <c r="F24" s="46" t="s">
        <v>252</v>
      </c>
      <c r="G24" s="46" t="s">
        <v>253</v>
      </c>
      <c r="H24" s="118" t="s">
        <v>254</v>
      </c>
      <c r="I24" s="118"/>
      <c r="J24" s="118"/>
      <c r="K24" s="118"/>
      <c r="L24" s="118"/>
      <c r="M24" s="118"/>
    </row>
    <row r="25" spans="1:13" ht="15" customHeight="1" x14ac:dyDescent="0.25">
      <c r="A25" s="47" t="s">
        <v>278</v>
      </c>
      <c r="B25" s="48" t="s">
        <v>279</v>
      </c>
      <c r="C25" s="47">
        <v>176</v>
      </c>
      <c r="D25" s="54">
        <v>78.5</v>
      </c>
      <c r="E25" s="49">
        <f t="shared" ref="E25:E30" si="3">MAX(0.1,IF(C25/(D25^(1/3))&gt;=40.75,0.732*(C25/(D25^(1/3)))-28.58,IF(C25/(D25^(1/3))&gt;38.25,0.463*(C25/(D25^(1/3)))-17.63,0.1)))</f>
        <v>1.5084994825925548</v>
      </c>
      <c r="F25" s="50">
        <v>1.508499</v>
      </c>
      <c r="G25" s="51">
        <f t="shared" ref="G25:G30" si="4">E25-F25</f>
        <v>4.8259255480687102E-7</v>
      </c>
      <c r="H25" s="119" t="str">
        <f t="shared" ref="H25:H30" si="5">IF(ABS(G25)&lt;=TOL_U,"APROBADO","FALLIDO")</f>
        <v>APROBADO</v>
      </c>
      <c r="I25" s="119"/>
      <c r="J25" s="119"/>
      <c r="K25" s="119"/>
      <c r="L25" s="119"/>
      <c r="M25" s="119"/>
    </row>
    <row r="26" spans="1:13" ht="15" customHeight="1" x14ac:dyDescent="0.25">
      <c r="A26" s="47" t="s">
        <v>280</v>
      </c>
      <c r="B26" s="48" t="s">
        <v>281</v>
      </c>
      <c r="C26" s="47">
        <v>180</v>
      </c>
      <c r="D26" s="54">
        <v>60</v>
      </c>
      <c r="E26" s="49">
        <f t="shared" si="3"/>
        <v>5.0763102707248535</v>
      </c>
      <c r="F26" s="50">
        <v>5.0763100000000003</v>
      </c>
      <c r="G26" s="51">
        <f t="shared" si="4"/>
        <v>2.7072485320189799E-7</v>
      </c>
      <c r="H26" s="119" t="str">
        <f t="shared" si="5"/>
        <v>APROBADO</v>
      </c>
      <c r="I26" s="119"/>
      <c r="J26" s="119"/>
      <c r="K26" s="119"/>
      <c r="L26" s="119"/>
      <c r="M26" s="119"/>
    </row>
    <row r="27" spans="1:13" ht="15" customHeight="1" x14ac:dyDescent="0.25">
      <c r="A27" s="47" t="s">
        <v>282</v>
      </c>
      <c r="B27" s="48" t="s">
        <v>283</v>
      </c>
      <c r="C27" s="47">
        <v>170</v>
      </c>
      <c r="D27" s="54">
        <v>72</v>
      </c>
      <c r="E27" s="49">
        <f t="shared" si="3"/>
        <v>1.332256088175658</v>
      </c>
      <c r="F27" s="50">
        <v>1.3322560000000001</v>
      </c>
      <c r="G27" s="51">
        <f t="shared" si="4"/>
        <v>8.8175657886324643E-8</v>
      </c>
      <c r="H27" s="119" t="str">
        <f t="shared" si="5"/>
        <v>APROBADO</v>
      </c>
      <c r="I27" s="119"/>
      <c r="J27" s="119"/>
      <c r="K27" s="119"/>
      <c r="L27" s="119"/>
      <c r="M27" s="119"/>
    </row>
    <row r="28" spans="1:13" ht="15" customHeight="1" x14ac:dyDescent="0.25">
      <c r="A28" s="47" t="s">
        <v>284</v>
      </c>
      <c r="B28" s="48" t="s">
        <v>285</v>
      </c>
      <c r="C28" s="47">
        <v>160</v>
      </c>
      <c r="D28" s="54">
        <v>85</v>
      </c>
      <c r="E28" s="49">
        <f t="shared" si="3"/>
        <v>0.1</v>
      </c>
      <c r="F28" s="50">
        <v>0.1</v>
      </c>
      <c r="G28" s="51">
        <f t="shared" si="4"/>
        <v>0</v>
      </c>
      <c r="H28" s="119" t="str">
        <f t="shared" si="5"/>
        <v>APROBADO</v>
      </c>
      <c r="I28" s="119"/>
      <c r="J28" s="119"/>
      <c r="K28" s="119"/>
      <c r="L28" s="119"/>
      <c r="M28" s="119"/>
    </row>
    <row r="29" spans="1:13" ht="15" customHeight="1" x14ac:dyDescent="0.25">
      <c r="A29" s="47" t="s">
        <v>286</v>
      </c>
      <c r="B29" s="48" t="s">
        <v>287</v>
      </c>
      <c r="C29" s="47">
        <v>190</v>
      </c>
      <c r="D29" s="54">
        <v>62</v>
      </c>
      <c r="E29" s="49">
        <f t="shared" si="3"/>
        <v>6.559921381331236</v>
      </c>
      <c r="F29" s="50">
        <v>6.5599210000000001</v>
      </c>
      <c r="G29" s="51">
        <f t="shared" si="4"/>
        <v>3.8133123592132279E-7</v>
      </c>
      <c r="H29" s="119" t="str">
        <f t="shared" si="5"/>
        <v>APROBADO</v>
      </c>
      <c r="I29" s="119"/>
      <c r="J29" s="119"/>
      <c r="K29" s="119"/>
      <c r="L29" s="119"/>
      <c r="M29" s="119"/>
    </row>
    <row r="30" spans="1:13" ht="15" customHeight="1" x14ac:dyDescent="0.25">
      <c r="A30" s="47" t="s">
        <v>288</v>
      </c>
      <c r="B30" s="48" t="s">
        <v>289</v>
      </c>
      <c r="C30" s="47">
        <v>165</v>
      </c>
      <c r="D30" s="54">
        <v>90</v>
      </c>
      <c r="E30" s="49">
        <f t="shared" si="3"/>
        <v>0.1</v>
      </c>
      <c r="F30" s="50">
        <v>0.1</v>
      </c>
      <c r="G30" s="51">
        <f t="shared" si="4"/>
        <v>0</v>
      </c>
      <c r="H30" s="119" t="str">
        <f t="shared" si="5"/>
        <v>APROBADO</v>
      </c>
      <c r="I30" s="119"/>
      <c r="J30" s="119"/>
      <c r="K30" s="119"/>
      <c r="L30" s="119"/>
      <c r="M30" s="119"/>
    </row>
    <row r="32" spans="1:13" ht="15" customHeight="1" x14ac:dyDescent="0.25">
      <c r="A32" s="117" t="s">
        <v>290</v>
      </c>
      <c r="B32" s="117"/>
      <c r="C32" s="117"/>
      <c r="D32" s="117"/>
      <c r="E32" s="117"/>
      <c r="F32" s="117"/>
      <c r="G32" s="117"/>
      <c r="H32" s="117"/>
      <c r="I32" s="117"/>
      <c r="J32" s="117"/>
      <c r="K32" s="117"/>
      <c r="L32" s="117"/>
      <c r="M32" s="117"/>
    </row>
    <row r="33" spans="1:13" ht="15" customHeight="1" x14ac:dyDescent="0.25">
      <c r="A33" s="46" t="s">
        <v>247</v>
      </c>
      <c r="B33" s="46" t="s">
        <v>291</v>
      </c>
      <c r="C33" s="46" t="s">
        <v>292</v>
      </c>
      <c r="D33" s="46" t="s">
        <v>293</v>
      </c>
      <c r="E33" s="46" t="s">
        <v>294</v>
      </c>
      <c r="F33" s="46" t="s">
        <v>295</v>
      </c>
      <c r="G33" s="46" t="s">
        <v>296</v>
      </c>
      <c r="H33" s="46" t="s">
        <v>297</v>
      </c>
      <c r="I33" s="46" t="s">
        <v>298</v>
      </c>
      <c r="J33" s="118" t="s">
        <v>299</v>
      </c>
      <c r="K33" s="118"/>
      <c r="L33" s="118"/>
      <c r="M33" s="118"/>
    </row>
    <row r="34" spans="1:13" ht="15" customHeight="1" x14ac:dyDescent="0.25">
      <c r="A34" s="47" t="s">
        <v>300</v>
      </c>
      <c r="B34" s="55">
        <v>2.95</v>
      </c>
      <c r="C34" s="55">
        <v>5.0599999999999996</v>
      </c>
      <c r="D34" s="55">
        <v>1.51</v>
      </c>
      <c r="E34" s="49">
        <f>D34-B34</f>
        <v>-1.4400000000000002</v>
      </c>
      <c r="F34" s="50">
        <v>-1.44</v>
      </c>
      <c r="G34" s="52" t="str">
        <f>IF(ABS(E34-F34)&lt;=TOL_U,"APROBADO","FALLIDO")</f>
        <v>APROBADO</v>
      </c>
      <c r="H34" s="49">
        <f>2*C34-(B34+D34)</f>
        <v>5.6599999999999993</v>
      </c>
      <c r="I34" s="50">
        <v>5.66</v>
      </c>
      <c r="J34" s="119" t="str">
        <f>IF(ABS(H34-I34)&lt;=TOL_U,"APROBADO","FALLIDO")</f>
        <v>APROBADO</v>
      </c>
      <c r="K34" s="119"/>
      <c r="L34" s="119"/>
      <c r="M34" s="119"/>
    </row>
    <row r="35" spans="1:13" ht="15" customHeight="1" x14ac:dyDescent="0.25">
      <c r="A35" s="47" t="s">
        <v>301</v>
      </c>
      <c r="B35" s="55">
        <v>4</v>
      </c>
      <c r="C35" s="55">
        <v>4</v>
      </c>
      <c r="D35" s="55">
        <v>2</v>
      </c>
      <c r="E35" s="49">
        <f>D35-B35</f>
        <v>-2</v>
      </c>
      <c r="F35" s="50">
        <v>-2</v>
      </c>
      <c r="G35" s="52" t="str">
        <f>IF(ABS(E35-F35)&lt;=TOL_U,"APROBADO","FALLIDO")</f>
        <v>APROBADO</v>
      </c>
      <c r="H35" s="49">
        <f>2*C35-(B35+D35)</f>
        <v>2</v>
      </c>
      <c r="I35" s="50">
        <v>2</v>
      </c>
      <c r="J35" s="119" t="str">
        <f>IF(ABS(H35-I35)&lt;=TOL_U,"APROBADO","FALLIDO")</f>
        <v>APROBADO</v>
      </c>
      <c r="K35" s="119"/>
      <c r="L35" s="119"/>
      <c r="M35" s="119"/>
    </row>
    <row r="36" spans="1:13" ht="15" customHeight="1" x14ac:dyDescent="0.25">
      <c r="A36" s="47" t="s">
        <v>302</v>
      </c>
      <c r="B36" s="55">
        <v>1.5</v>
      </c>
      <c r="C36" s="55">
        <v>2</v>
      </c>
      <c r="D36" s="55">
        <v>5.5</v>
      </c>
      <c r="E36" s="49">
        <f>D36-B36</f>
        <v>4</v>
      </c>
      <c r="F36" s="50">
        <v>4</v>
      </c>
      <c r="G36" s="52" t="str">
        <f>IF(ABS(E36-F36)&lt;=TOL_U,"APROBADO","FALLIDO")</f>
        <v>APROBADO</v>
      </c>
      <c r="H36" s="49">
        <f>2*C36-(B36+D36)</f>
        <v>-3</v>
      </c>
      <c r="I36" s="50">
        <v>-3</v>
      </c>
      <c r="J36" s="119" t="str">
        <f>IF(ABS(H36-I36)&lt;=TOL_U,"APROBADO","FALLIDO")</f>
        <v>APROBADO</v>
      </c>
      <c r="K36" s="119"/>
      <c r="L36" s="119"/>
      <c r="M36" s="119"/>
    </row>
    <row r="37" spans="1:13" ht="15" customHeight="1" x14ac:dyDescent="0.25">
      <c r="A37" s="47" t="s">
        <v>303</v>
      </c>
      <c r="B37" s="55">
        <v>3</v>
      </c>
      <c r="C37" s="55">
        <v>3</v>
      </c>
      <c r="D37" s="55">
        <v>3</v>
      </c>
      <c r="E37" s="49">
        <f>D37-B37</f>
        <v>0</v>
      </c>
      <c r="F37" s="50">
        <v>0</v>
      </c>
      <c r="G37" s="52" t="str">
        <f>IF(ABS(E37-F37)&lt;=TOL_U,"APROBADO","FALLIDO")</f>
        <v>APROBADO</v>
      </c>
      <c r="H37" s="49">
        <f>2*C37-(B37+D37)</f>
        <v>0</v>
      </c>
      <c r="I37" s="50">
        <v>0</v>
      </c>
      <c r="J37" s="119" t="str">
        <f>IF(ABS(H37-I37)&lt;=TOL_U,"APROBADO","FALLIDO")</f>
        <v>APROBADO</v>
      </c>
      <c r="K37" s="119"/>
      <c r="L37" s="119"/>
      <c r="M37" s="119"/>
    </row>
    <row r="39" spans="1:13" ht="15" customHeight="1" x14ac:dyDescent="0.25">
      <c r="A39" s="117" t="s">
        <v>304</v>
      </c>
      <c r="B39" s="117"/>
      <c r="C39" s="117"/>
      <c r="D39" s="117"/>
      <c r="E39" s="117"/>
      <c r="F39" s="117"/>
      <c r="G39" s="117"/>
      <c r="H39" s="117"/>
      <c r="I39" s="117"/>
      <c r="J39" s="117"/>
      <c r="K39" s="117"/>
      <c r="L39" s="117"/>
      <c r="M39" s="117"/>
    </row>
    <row r="40" spans="1:13" ht="15" customHeight="1" x14ac:dyDescent="0.25">
      <c r="A40" s="46" t="s">
        <v>247</v>
      </c>
      <c r="B40" s="46" t="s">
        <v>305</v>
      </c>
      <c r="C40" s="46" t="s">
        <v>252</v>
      </c>
      <c r="D40" s="46" t="s">
        <v>251</v>
      </c>
      <c r="E40" s="118" t="s">
        <v>254</v>
      </c>
      <c r="F40" s="118"/>
      <c r="G40" s="118"/>
      <c r="H40" s="118"/>
      <c r="I40" s="118"/>
      <c r="J40" s="118"/>
      <c r="K40" s="118"/>
      <c r="L40" s="118"/>
      <c r="M40" s="118"/>
    </row>
    <row r="41" spans="1:13" ht="15" customHeight="1" x14ac:dyDescent="0.25">
      <c r="A41" s="47" t="s">
        <v>306</v>
      </c>
      <c r="B41" s="56" t="s">
        <v>307</v>
      </c>
      <c r="C41" s="48" t="s">
        <v>308</v>
      </c>
      <c r="D41" s="57" t="str">
        <f>IF((5.06-1.51)&lt;=1,"Central",IF((5.06-2.95)&lt;=0.5,IF(1.51=1.51,"Endomorfo-mesomorfo",IF(1.51=2.95,"Mesomorfo-ectomorfo","Endomorfo-ectomorfo")),IF((2.95-1.51)&lt;=0.5,IF(5.06=5.06,"Mesomorfo",IF(5.06=2.95,"Endomorfo","Ectomorfo"))&amp;" balanceado",IF(5.06=5.06,"Mesomorfo",IF(5.06=2.95,"Endomorfo","Ectomorfo"))&amp;" "&amp;IF(2.95=2.95,"endomórfico",IF(2.95=5.06,"mesomórfico","ectomórfico")))))</f>
        <v>Mesomorfo endomórfico</v>
      </c>
      <c r="E41" s="119" t="str">
        <f t="shared" ref="E41:E47" si="6">IF(D41=C41,"APROBADO","FALLIDO")</f>
        <v>APROBADO</v>
      </c>
      <c r="F41" s="119"/>
      <c r="G41" s="119"/>
      <c r="H41" s="119"/>
      <c r="I41" s="119"/>
      <c r="J41" s="119"/>
      <c r="K41" s="119"/>
      <c r="L41" s="119"/>
      <c r="M41" s="119"/>
    </row>
    <row r="42" spans="1:13" ht="15" customHeight="1" x14ac:dyDescent="0.25">
      <c r="A42" s="47" t="s">
        <v>309</v>
      </c>
      <c r="B42" s="56" t="s">
        <v>310</v>
      </c>
      <c r="C42" s="48" t="s">
        <v>311</v>
      </c>
      <c r="D42" s="57" t="str">
        <f>IF((3.5-3)&lt;=1,"Central",IF((3.5-3.2)&lt;=0.5,IF(3=3.2,"Endomorfo-mesomorfo",IF(3=3,"Mesomorfo-ectomorfo","Endomorfo-ectomorfo")),IF((3.2-3)&lt;=0.5,IF(3.5=3.5,"Mesomorfo",IF(3.5=3,"Endomorfo","Ectomorfo"))&amp;" balanceado",IF(3.5=3.5,"Mesomorfo",IF(3.5=3,"Endomorfo","Ectomorfo"))&amp;" "&amp;IF(3.2=3,"endomórfico",IF(3.2=3.5,"mesomórfico","ectomórfico")))))</f>
        <v>Central</v>
      </c>
      <c r="E42" s="119" t="str">
        <f t="shared" si="6"/>
        <v>APROBADO</v>
      </c>
      <c r="F42" s="119"/>
      <c r="G42" s="119"/>
      <c r="H42" s="119"/>
      <c r="I42" s="119"/>
      <c r="J42" s="119"/>
      <c r="K42" s="119"/>
      <c r="L42" s="119"/>
      <c r="M42" s="119"/>
    </row>
    <row r="43" spans="1:13" ht="15" customHeight="1" x14ac:dyDescent="0.25">
      <c r="A43" s="47" t="s">
        <v>312</v>
      </c>
      <c r="B43" s="56" t="s">
        <v>313</v>
      </c>
      <c r="C43" s="48" t="s">
        <v>314</v>
      </c>
      <c r="D43" s="57" t="str">
        <f>IF((5-2)&lt;=1,"Central",IF((5-2)&lt;=0.5,IF(2=2,"Endomorfo-mesomorfo",IF(2=5,"Mesomorfo-ectomorfo","Endomorfo-ectomorfo")),IF((2-2)&lt;=0.5,IF(5=2,"Mesomorfo",IF(5=5,"Endomorfo","Ectomorfo"))&amp;" balanceado",IF(5=2,"Mesomorfo",IF(5=5,"Endomorfo","Ectomorfo"))&amp;" "&amp;IF(2=5,"endomórfico",IF(2=2,"mesomórfico","ectomórfico")))))</f>
        <v>Endomorfo balanceado</v>
      </c>
      <c r="E43" s="119" t="str">
        <f t="shared" si="6"/>
        <v>APROBADO</v>
      </c>
      <c r="F43" s="119"/>
      <c r="G43" s="119"/>
      <c r="H43" s="119"/>
      <c r="I43" s="119"/>
      <c r="J43" s="119"/>
      <c r="K43" s="119"/>
      <c r="L43" s="119"/>
      <c r="M43" s="119"/>
    </row>
    <row r="44" spans="1:13" ht="15" customHeight="1" x14ac:dyDescent="0.25">
      <c r="A44" s="47" t="s">
        <v>315</v>
      </c>
      <c r="B44" s="56" t="s">
        <v>316</v>
      </c>
      <c r="C44" s="48" t="s">
        <v>317</v>
      </c>
      <c r="D44" s="57" t="str">
        <f>IF((5-2)&lt;=1,"Central",IF((5-2.2)&lt;=0.5,IF(2=2.2,"Endomorfo-mesomorfo",IF(2=2,"Mesomorfo-ectomorfo","Endomorfo-ectomorfo")),IF((2.2-2)&lt;=0.5,IF(5=5,"Mesomorfo",IF(5=2,"Endomorfo","Ectomorfo"))&amp;" balanceado",IF(5=5,"Mesomorfo",IF(5=2,"Endomorfo","Ectomorfo"))&amp;" "&amp;IF(2.2=2,"endomórfico",IF(2.2=5,"mesomórfico","ectomórfico")))))</f>
        <v>Mesomorfo balanceado</v>
      </c>
      <c r="E44" s="119" t="str">
        <f t="shared" si="6"/>
        <v>APROBADO</v>
      </c>
      <c r="F44" s="119"/>
      <c r="G44" s="119"/>
      <c r="H44" s="119"/>
      <c r="I44" s="119"/>
      <c r="J44" s="119"/>
      <c r="K44" s="119"/>
      <c r="L44" s="119"/>
      <c r="M44" s="119"/>
    </row>
    <row r="45" spans="1:13" ht="15" customHeight="1" x14ac:dyDescent="0.25">
      <c r="A45" s="47" t="s">
        <v>318</v>
      </c>
      <c r="B45" s="56" t="s">
        <v>319</v>
      </c>
      <c r="C45" s="48" t="s">
        <v>320</v>
      </c>
      <c r="D45" s="57" t="str">
        <f>IF((6-2)&lt;=1,"Central",IF((6-2.2)&lt;=0.5,IF(2=6,"Endomorfo-mesomorfo",IF(2=2,"Mesomorfo-ectomorfo","Endomorfo-ectomorfo")),IF((2.2-2)&lt;=0.5,IF(6=2.2,"Mesomorfo",IF(6=2,"Endomorfo","Ectomorfo"))&amp;" balanceado",IF(6=2.2,"Mesomorfo",IF(6=2,"Endomorfo","Ectomorfo"))&amp;" "&amp;IF(2.2=2,"endomórfico",IF(2.2=2.2,"mesomórfico","ectomórfico")))))</f>
        <v>Ectomorfo balanceado</v>
      </c>
      <c r="E45" s="119" t="str">
        <f t="shared" si="6"/>
        <v>APROBADO</v>
      </c>
      <c r="F45" s="119"/>
      <c r="G45" s="119"/>
      <c r="H45" s="119"/>
      <c r="I45" s="119"/>
      <c r="J45" s="119"/>
      <c r="K45" s="119"/>
      <c r="L45" s="119"/>
      <c r="M45" s="119"/>
    </row>
    <row r="46" spans="1:13" ht="15" customHeight="1" x14ac:dyDescent="0.25">
      <c r="A46" s="47" t="s">
        <v>321</v>
      </c>
      <c r="B46" s="56" t="s">
        <v>322</v>
      </c>
      <c r="C46" s="48" t="s">
        <v>323</v>
      </c>
      <c r="D46" s="57" t="str">
        <f>IF((4.5-1.5)&lt;=1,"Central",IF((4.5-4.5)&lt;=0.5,IF(1.5=1.5,"Endomorfo-mesomorfo",IF(1.5=4.5,"Mesomorfo-ectomorfo","Endomorfo-ectomorfo")),IF((4.5-1.5)&lt;=0.5,IF(4.5=4.5,"Mesomorfo",IF(4.5=4.5,"Endomorfo","Ectomorfo"))&amp;" balanceado",IF(4.5=4.5,"Mesomorfo",IF(4.5=4.5,"Endomorfo","Ectomorfo"))&amp;" "&amp;IF(4.5=4.5,"endomórfico",IF(4.5=4.5,"mesomórfico","ectomórfico")))))</f>
        <v>Endomorfo-mesomorfo</v>
      </c>
      <c r="E46" s="119" t="str">
        <f t="shared" si="6"/>
        <v>APROBADO</v>
      </c>
      <c r="F46" s="119"/>
      <c r="G46" s="119"/>
      <c r="H46" s="119"/>
      <c r="I46" s="119"/>
      <c r="J46" s="119"/>
      <c r="K46" s="119"/>
      <c r="L46" s="119"/>
      <c r="M46" s="119"/>
    </row>
    <row r="47" spans="1:13" ht="15" customHeight="1" x14ac:dyDescent="0.25">
      <c r="A47" s="47" t="s">
        <v>324</v>
      </c>
      <c r="B47" s="56" t="s">
        <v>325</v>
      </c>
      <c r="C47" s="48" t="s">
        <v>326</v>
      </c>
      <c r="D47" s="57" t="str">
        <f>IF((5.5-1.5)&lt;=1,"Central",IF((5.5-3)&lt;=0.5,IF(1.5=5.5,"Endomorfo-mesomorfo",IF(1.5=1.5,"Mesomorfo-ectomorfo","Endomorfo-ectomorfo")),IF((3-1.5)&lt;=0.5,IF(5.5=3,"Mesomorfo",IF(5.5=1.5,"Endomorfo","Ectomorfo"))&amp;" balanceado",IF(5.5=3,"Mesomorfo",IF(5.5=1.5,"Endomorfo","Ectomorfo"))&amp;" "&amp;IF(3=1.5,"endomórfico",IF(3=3,"mesomórfico","ectomórfico")))))</f>
        <v>Ectomorfo mesomórfico</v>
      </c>
      <c r="E47" s="119" t="str">
        <f t="shared" si="6"/>
        <v>APROBADO</v>
      </c>
      <c r="F47" s="119"/>
      <c r="G47" s="119"/>
      <c r="H47" s="119"/>
      <c r="I47" s="119"/>
      <c r="J47" s="119"/>
      <c r="K47" s="119"/>
      <c r="L47" s="119"/>
      <c r="M47" s="119"/>
    </row>
    <row r="49" spans="1:13" ht="15" customHeight="1" x14ac:dyDescent="0.25">
      <c r="A49" s="117" t="s">
        <v>327</v>
      </c>
      <c r="B49" s="117"/>
      <c r="C49" s="117"/>
      <c r="D49" s="117"/>
      <c r="E49" s="117"/>
      <c r="F49" s="117"/>
      <c r="G49" s="117"/>
      <c r="H49" s="117"/>
      <c r="I49" s="117"/>
      <c r="J49" s="117"/>
      <c r="K49" s="117"/>
      <c r="L49" s="117"/>
      <c r="M49" s="117"/>
    </row>
    <row r="50" spans="1:13" ht="32.25" customHeight="1" x14ac:dyDescent="0.25">
      <c r="A50" s="46" t="s">
        <v>247</v>
      </c>
      <c r="B50" s="46" t="s">
        <v>328</v>
      </c>
      <c r="C50" s="46" t="s">
        <v>329</v>
      </c>
      <c r="D50" s="46" t="s">
        <v>330</v>
      </c>
      <c r="E50" s="46" t="s">
        <v>331</v>
      </c>
      <c r="F50" s="118" t="s">
        <v>254</v>
      </c>
      <c r="G50" s="118"/>
      <c r="H50" s="118"/>
      <c r="I50" s="118"/>
      <c r="J50" s="118"/>
      <c r="K50" s="118"/>
      <c r="L50" s="118"/>
      <c r="M50" s="118"/>
    </row>
    <row r="51" spans="1:13" ht="15" customHeight="1" x14ac:dyDescent="0.25">
      <c r="A51" s="47" t="s">
        <v>332</v>
      </c>
      <c r="B51" s="48" t="s">
        <v>333</v>
      </c>
      <c r="C51" s="56" t="s">
        <v>334</v>
      </c>
      <c r="D51" s="48" t="s">
        <v>335</v>
      </c>
      <c r="E51" s="57" t="str">
        <f>IF(NOT(ISNUMBER(15)),"ERROR: edad no numérica",IF(AND(15&gt;=18,15&lt;=120),"OK","ERROR: edad fuera del alcance adulto"))</f>
        <v>ERROR: edad fuera del alcance adulto</v>
      </c>
      <c r="F51" s="119" t="str">
        <f t="shared" ref="F51:F58" si="7">IF(E51=D51,"APROBADO","FALLIDO")</f>
        <v>APROBADO</v>
      </c>
      <c r="G51" s="119"/>
      <c r="H51" s="119"/>
      <c r="I51" s="119"/>
      <c r="J51" s="119"/>
      <c r="K51" s="119"/>
      <c r="L51" s="119"/>
      <c r="M51" s="119"/>
    </row>
    <row r="52" spans="1:13" ht="15" customHeight="1" x14ac:dyDescent="0.25">
      <c r="A52" s="47" t="s">
        <v>336</v>
      </c>
      <c r="B52" s="48" t="s">
        <v>337</v>
      </c>
      <c r="C52" s="56" t="s">
        <v>338</v>
      </c>
      <c r="D52" s="48" t="s">
        <v>339</v>
      </c>
      <c r="E52" s="57" t="str">
        <f>IF(NOT(ISNUMBER("quince")),"ERROR: edad no numérica",IF(AND("quince"&gt;=18,"quince"&lt;=120),"OK","ERROR: edad fuera del alcance adulto"))</f>
        <v>ERROR: edad no numérica</v>
      </c>
      <c r="F52" s="119" t="str">
        <f t="shared" si="7"/>
        <v>APROBADO</v>
      </c>
      <c r="G52" s="119"/>
      <c r="H52" s="119"/>
      <c r="I52" s="119"/>
      <c r="J52" s="119"/>
      <c r="K52" s="119"/>
      <c r="L52" s="119"/>
      <c r="M52" s="119"/>
    </row>
    <row r="53" spans="1:13" ht="15" customHeight="1" x14ac:dyDescent="0.25">
      <c r="A53" s="47" t="s">
        <v>340</v>
      </c>
      <c r="B53" s="48" t="s">
        <v>341</v>
      </c>
      <c r="C53" s="56" t="s">
        <v>342</v>
      </c>
      <c r="D53" s="48" t="s">
        <v>343</v>
      </c>
      <c r="E53" s="57" t="str">
        <f>IF(NOT(ISNUMBER(-5)),"ERROR: peso no numérico",IF(AND(-5&gt;=25,-5&lt;=350),"OK","ERROR: peso fuera de rango"))</f>
        <v>ERROR: peso fuera de rango</v>
      </c>
      <c r="F53" s="119" t="str">
        <f t="shared" si="7"/>
        <v>APROBADO</v>
      </c>
      <c r="G53" s="119"/>
      <c r="H53" s="119"/>
      <c r="I53" s="119"/>
      <c r="J53" s="119"/>
      <c r="K53" s="119"/>
      <c r="L53" s="119"/>
      <c r="M53" s="119"/>
    </row>
    <row r="54" spans="1:13" ht="15" customHeight="1" x14ac:dyDescent="0.25">
      <c r="A54" s="47" t="s">
        <v>344</v>
      </c>
      <c r="B54" s="48" t="s">
        <v>345</v>
      </c>
      <c r="C54" s="56" t="s">
        <v>346</v>
      </c>
      <c r="D54" s="48" t="s">
        <v>347</v>
      </c>
      <c r="E54" s="57" t="str">
        <f>IF(NOT(ISNUMBER(400)),"ERROR: estatura no numérico",IF(AND(400&gt;=120,400&lt;=230),"OK","ERROR: estatura fuera de rango"))</f>
        <v>ERROR: estatura fuera de rango</v>
      </c>
      <c r="F54" s="119" t="str">
        <f t="shared" si="7"/>
        <v>APROBADO</v>
      </c>
      <c r="G54" s="119"/>
      <c r="H54" s="119"/>
      <c r="I54" s="119"/>
      <c r="J54" s="119"/>
      <c r="K54" s="119"/>
      <c r="L54" s="119"/>
      <c r="M54" s="119"/>
    </row>
    <row r="55" spans="1:13" ht="15" customHeight="1" x14ac:dyDescent="0.25">
      <c r="A55" s="47" t="s">
        <v>348</v>
      </c>
      <c r="B55" s="48" t="s">
        <v>349</v>
      </c>
      <c r="C55" s="56" t="s">
        <v>350</v>
      </c>
      <c r="D55" s="48" t="s">
        <v>351</v>
      </c>
      <c r="E55" s="57" t="str">
        <f>IF(NOT(ISNUMBER(20)),"ERROR: diámetro no numérico",IF(AND(20&gt;=3,20&lt;=15),"OK","ERROR: diámetro fuera de rango"))</f>
        <v>ERROR: diámetro fuera de rango</v>
      </c>
      <c r="F55" s="119" t="str">
        <f t="shared" si="7"/>
        <v>APROBADO</v>
      </c>
      <c r="G55" s="119"/>
      <c r="H55" s="119"/>
      <c r="I55" s="119"/>
      <c r="J55" s="119"/>
      <c r="K55" s="119"/>
      <c r="L55" s="119"/>
      <c r="M55" s="119"/>
    </row>
    <row r="56" spans="1:13" ht="15" customHeight="1" x14ac:dyDescent="0.25">
      <c r="A56" s="47" t="s">
        <v>352</v>
      </c>
      <c r="B56" s="48" t="s">
        <v>353</v>
      </c>
      <c r="C56" s="56" t="s">
        <v>354</v>
      </c>
      <c r="D56" s="48" t="s">
        <v>355</v>
      </c>
      <c r="E56" s="57" t="str">
        <f>IF(NOT(ISNUMBER(5)),"ERROR: perímetro no numérico",IF(AND(5&gt;=15,5&lt;=80),"OK","ERROR: perímetro fuera de rango"))</f>
        <v>ERROR: perímetro fuera de rango</v>
      </c>
      <c r="F56" s="119" t="str">
        <f t="shared" si="7"/>
        <v>APROBADO</v>
      </c>
      <c r="G56" s="119"/>
      <c r="H56" s="119"/>
      <c r="I56" s="119"/>
      <c r="J56" s="119"/>
      <c r="K56" s="119"/>
      <c r="L56" s="119"/>
      <c r="M56" s="119"/>
    </row>
    <row r="57" spans="1:13" ht="15" customHeight="1" x14ac:dyDescent="0.25">
      <c r="A57" s="47" t="s">
        <v>356</v>
      </c>
      <c r="B57" s="48" t="s">
        <v>357</v>
      </c>
      <c r="C57" s="56" t="s">
        <v>358</v>
      </c>
      <c r="D57" s="48">
        <v>0.1</v>
      </c>
      <c r="E57" s="57">
        <f>MAX(0.1,-0.3)</f>
        <v>0.1</v>
      </c>
      <c r="F57" s="119" t="str">
        <f t="shared" si="7"/>
        <v>APROBADO</v>
      </c>
      <c r="G57" s="119"/>
      <c r="H57" s="119"/>
      <c r="I57" s="119"/>
      <c r="J57" s="119"/>
      <c r="K57" s="119"/>
      <c r="L57" s="119"/>
      <c r="M57" s="119"/>
    </row>
    <row r="58" spans="1:13" ht="15" customHeight="1" x14ac:dyDescent="0.25">
      <c r="A58" s="47" t="s">
        <v>359</v>
      </c>
      <c r="B58" s="48" t="s">
        <v>360</v>
      </c>
      <c r="C58" s="56" t="s">
        <v>361</v>
      </c>
      <c r="D58" s="48">
        <v>0.1</v>
      </c>
      <c r="E58" s="57">
        <f>MAX(0.1,0)</f>
        <v>0.1</v>
      </c>
      <c r="F58" s="119" t="str">
        <f t="shared" si="7"/>
        <v>APROBADO</v>
      </c>
      <c r="G58" s="119"/>
      <c r="H58" s="119"/>
      <c r="I58" s="119"/>
      <c r="J58" s="119"/>
      <c r="K58" s="119"/>
      <c r="L58" s="119"/>
      <c r="M58" s="119"/>
    </row>
    <row r="60" spans="1:13" ht="15" customHeight="1" x14ac:dyDescent="0.25">
      <c r="A60" s="117" t="s">
        <v>362</v>
      </c>
      <c r="B60" s="117"/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</row>
    <row r="61" spans="1:13" ht="15" customHeight="1" x14ac:dyDescent="0.25">
      <c r="A61" s="46" t="s">
        <v>247</v>
      </c>
      <c r="B61" s="46" t="s">
        <v>363</v>
      </c>
      <c r="C61" s="46" t="s">
        <v>364</v>
      </c>
      <c r="D61" s="46" t="s">
        <v>252</v>
      </c>
      <c r="E61" s="118" t="s">
        <v>254</v>
      </c>
      <c r="F61" s="118"/>
      <c r="G61" s="118"/>
      <c r="H61" s="118"/>
      <c r="I61" s="118"/>
      <c r="J61" s="118"/>
      <c r="K61" s="118"/>
      <c r="L61" s="118"/>
      <c r="M61" s="118"/>
    </row>
    <row r="62" spans="1:13" ht="15" customHeight="1" x14ac:dyDescent="0.25">
      <c r="A62" s="47" t="s">
        <v>365</v>
      </c>
      <c r="B62" s="48" t="s">
        <v>366</v>
      </c>
      <c r="C62" s="58">
        <f>SUMPRODUCT(--ISERROR(CALCULOS!B7:B39))</f>
        <v>0</v>
      </c>
      <c r="D62" s="47">
        <v>0</v>
      </c>
      <c r="E62" s="119" t="str">
        <f>IF(C62=D62,"APROBADO","FALLIDO")</f>
        <v>APROBADO</v>
      </c>
      <c r="F62" s="119"/>
      <c r="G62" s="119"/>
      <c r="H62" s="119"/>
      <c r="I62" s="119"/>
      <c r="J62" s="119"/>
      <c r="K62" s="119"/>
      <c r="L62" s="119"/>
      <c r="M62" s="119"/>
    </row>
    <row r="63" spans="1:13" ht="15" customHeight="1" x14ac:dyDescent="0.25">
      <c r="A63" s="47" t="s">
        <v>367</v>
      </c>
      <c r="B63" s="48" t="s">
        <v>368</v>
      </c>
      <c r="C63" s="58">
        <f>SUMPRODUCT(--ISERROR(MEDIDAS!C8:C17))</f>
        <v>0</v>
      </c>
      <c r="D63" s="47">
        <v>0</v>
      </c>
      <c r="E63" s="119" t="str">
        <f>IF(C63=D63,"APROBADO","FALLIDO")</f>
        <v>APROBADO</v>
      </c>
      <c r="F63" s="119"/>
      <c r="G63" s="119"/>
      <c r="H63" s="119"/>
      <c r="I63" s="119"/>
      <c r="J63" s="119"/>
      <c r="K63" s="119"/>
      <c r="L63" s="119"/>
      <c r="M63" s="119"/>
    </row>
    <row r="64" spans="1:13" ht="15" customHeight="1" x14ac:dyDescent="0.25">
      <c r="A64" s="47" t="s">
        <v>369</v>
      </c>
      <c r="B64" s="48" t="s">
        <v>370</v>
      </c>
      <c r="C64" s="58">
        <f>SUMPRODUCT(--ISERROR(RESULTADOS!B6:C40))</f>
        <v>0</v>
      </c>
      <c r="D64" s="47">
        <v>0</v>
      </c>
      <c r="E64" s="119" t="str">
        <f>IF(C64=D64,"APROBADO","FALLIDO")</f>
        <v>APROBADO</v>
      </c>
      <c r="F64" s="119"/>
      <c r="G64" s="119"/>
      <c r="H64" s="119"/>
      <c r="I64" s="119"/>
      <c r="J64" s="119"/>
      <c r="K64" s="119"/>
      <c r="L64" s="119"/>
      <c r="M64" s="119"/>
    </row>
    <row r="66" spans="1:13" ht="15" customHeight="1" x14ac:dyDescent="0.25">
      <c r="A66" s="117" t="s">
        <v>371</v>
      </c>
      <c r="B66" s="117"/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</row>
    <row r="67" spans="1:13" ht="21.75" customHeight="1" x14ac:dyDescent="0.25">
      <c r="A67" s="46" t="s">
        <v>247</v>
      </c>
      <c r="B67" s="46" t="s">
        <v>372</v>
      </c>
      <c r="C67" s="46" t="s">
        <v>373</v>
      </c>
      <c r="D67" s="46" t="s">
        <v>374</v>
      </c>
      <c r="E67" s="46" t="s">
        <v>253</v>
      </c>
      <c r="F67" s="118" t="s">
        <v>254</v>
      </c>
      <c r="G67" s="118"/>
      <c r="H67" s="118"/>
      <c r="I67" s="118"/>
      <c r="J67" s="118"/>
      <c r="K67" s="118"/>
      <c r="L67" s="118"/>
      <c r="M67" s="118"/>
    </row>
    <row r="68" spans="1:13" ht="15" customHeight="1" x14ac:dyDescent="0.25">
      <c r="A68" s="47" t="s">
        <v>375</v>
      </c>
      <c r="B68" s="48" t="s">
        <v>132</v>
      </c>
      <c r="C68" s="49">
        <f>c_Endo</f>
        <v>2.9528331389988969</v>
      </c>
      <c r="D68" s="49">
        <f>MAX(0.1,-0.7182+0.1451*((m_Tri+m_Sub+m_Sup)*(170.18/in_Est))-0.00068*((m_Tri+m_Sub+m_Sup)*(170.18/in_Est))^2+0.0000014*((m_Tri+m_Sub+m_Sup)*(170.18/in_Est))^3)</f>
        <v>2.9528331389988969</v>
      </c>
      <c r="E68" s="51">
        <f>C68-D68</f>
        <v>0</v>
      </c>
      <c r="F68" s="119" t="str">
        <f>IF(ABS(E68)&lt;=TOL_U,"APROBADO","FALLIDO")</f>
        <v>APROBADO</v>
      </c>
      <c r="G68" s="119"/>
      <c r="H68" s="119"/>
      <c r="I68" s="119"/>
      <c r="J68" s="119"/>
      <c r="K68" s="119"/>
      <c r="L68" s="119"/>
      <c r="M68" s="119"/>
    </row>
    <row r="69" spans="1:13" ht="15" customHeight="1" x14ac:dyDescent="0.25">
      <c r="A69" s="47" t="s">
        <v>376</v>
      </c>
      <c r="B69" s="48" t="s">
        <v>134</v>
      </c>
      <c r="C69" s="49">
        <f>c_Meso</f>
        <v>5.0638000000000041</v>
      </c>
      <c r="D69" s="49">
        <f>MAX(0.1,0.858*m_Hum+0.601*m_Fem+0.188*(m_ArmG-m_Tri/10)+0.161*(m_CalfG-m_Calf/10)-0.131*in_Est+4.5)</f>
        <v>5.0638000000000041</v>
      </c>
      <c r="E69" s="51">
        <f>C69-D69</f>
        <v>0</v>
      </c>
      <c r="F69" s="119" t="str">
        <f>IF(ABS(E69)&lt;=TOL_U,"APROBADO","FALLIDO")</f>
        <v>APROBADO</v>
      </c>
      <c r="G69" s="119"/>
      <c r="H69" s="119"/>
      <c r="I69" s="119"/>
      <c r="J69" s="119"/>
      <c r="K69" s="119"/>
      <c r="L69" s="119"/>
      <c r="M69" s="119"/>
    </row>
    <row r="70" spans="1:13" ht="15" customHeight="1" x14ac:dyDescent="0.25">
      <c r="A70" s="47" t="s">
        <v>377</v>
      </c>
      <c r="B70" s="48" t="s">
        <v>136</v>
      </c>
      <c r="C70" s="49">
        <f>c_Ecto</f>
        <v>1.5084994825925548</v>
      </c>
      <c r="D70" s="49">
        <f>MAX(0.1,IF(in_Est/(in_Peso^(1/3))&gt;=40.75,0.732*(in_Est/(in_Peso^(1/3)))-28.58,IF(in_Est/(in_Peso^(1/3))&gt;38.25,0.463*(in_Est/(in_Peso^(1/3)))-17.63,0.1)))</f>
        <v>1.5084994825925548</v>
      </c>
      <c r="E70" s="51">
        <f>C70-D70</f>
        <v>0</v>
      </c>
      <c r="F70" s="119" t="str">
        <f>IF(ABS(E70)&lt;=TOL_U,"APROBADO","FALLIDO")</f>
        <v>APROBADO</v>
      </c>
      <c r="G70" s="119"/>
      <c r="H70" s="119"/>
      <c r="I70" s="119"/>
      <c r="J70" s="119"/>
      <c r="K70" s="119"/>
      <c r="L70" s="119"/>
      <c r="M70" s="119"/>
    </row>
    <row r="71" spans="1:13" ht="15" customHeight="1" x14ac:dyDescent="0.25">
      <c r="A71" s="47" t="s">
        <v>378</v>
      </c>
      <c r="B71" s="48" t="s">
        <v>379</v>
      </c>
      <c r="C71" s="49">
        <f>c_SY</f>
        <v>5.6662673784085564</v>
      </c>
      <c r="D71" s="49">
        <f>2*c_Meso-(c_Endo+c_Ecto)</f>
        <v>5.6662673784085564</v>
      </c>
      <c r="E71" s="51">
        <f>C71-D71</f>
        <v>0</v>
      </c>
      <c r="F71" s="119" t="str">
        <f>IF(ABS(E71)&lt;=TOL_U,"APROBADO","FALLIDO")</f>
        <v>APROBADO</v>
      </c>
      <c r="G71" s="119"/>
      <c r="H71" s="119"/>
      <c r="I71" s="119"/>
      <c r="J71" s="119"/>
      <c r="K71" s="119"/>
      <c r="L71" s="119"/>
      <c r="M71" s="119"/>
    </row>
    <row r="74" spans="1:13" ht="15" customHeight="1" x14ac:dyDescent="0.25">
      <c r="A74" s="117" t="s">
        <v>380</v>
      </c>
      <c r="B74" s="117"/>
      <c r="C74" s="117"/>
      <c r="D74" s="117"/>
      <c r="E74" s="117"/>
      <c r="F74" s="117"/>
      <c r="G74" s="117"/>
      <c r="H74" s="117"/>
      <c r="I74" s="117"/>
      <c r="J74" s="117"/>
      <c r="K74" s="117"/>
      <c r="L74" s="117"/>
      <c r="M74" s="117"/>
    </row>
    <row r="75" spans="1:13" ht="15" customHeight="1" x14ac:dyDescent="0.25">
      <c r="A75" s="53" t="s">
        <v>381</v>
      </c>
      <c r="C75" s="59">
        <v>47</v>
      </c>
    </row>
    <row r="76" spans="1:13" ht="15" customHeight="1" x14ac:dyDescent="0.25">
      <c r="A76" s="53" t="s">
        <v>382</v>
      </c>
      <c r="C76" s="59">
        <f>IF(H8="APROBADO",1,0)+IF(H9="APROBADO",1,0)+IF(H10="APROBADO",1,0)+IF(H11="APROBADO",1,0)+IF(H12="APROBADO",1,0)+IF(H13="APROBADO",1,0)+IF(J17="APROBADO",1,0)+IF(J18="APROBADO",1,0)+IF(J19="APROBADO",1,0)+IF(J20="APROBADO",1,0)+IF(J21="APROBADO",1,0)+IF(H25="APROBADO",1,0)+IF(H26="APROBADO",1,0)+IF(H27="APROBADO",1,0)+IF(H28="APROBADO",1,0)+IF(H29="APROBADO",1,0)+IF(H30="APROBADO",1,0)+IF(G34="APROBADO",1,0)+IF(J34="APROBADO",1,0)+IF(G35="APROBADO",1,0)+IF(J35="APROBADO",1,0)+IF(G36="APROBADO",1,0)+IF(J36="APROBADO",1,0)+IF(G37="APROBADO",1,0)+IF(J37="APROBADO",1,0)+IF(E41="APROBADO",1,0)+IF(E42="APROBADO",1,0)+IF(E43="APROBADO",1,0)+IF(E44="APROBADO",1,0)+IF(E45="APROBADO",1,0)+IF(E46="APROBADO",1,0)+IF(E47="APROBADO",1,0)+IF(F51="APROBADO",1,0)+IF(F52="APROBADO",1,0)+IF(F53="APROBADO",1,0)+IF(F54="APROBADO",1,0)+IF(F55="APROBADO",1,0)+IF(F56="APROBADO",1,0)+IF(F57="APROBADO",1,0)+IF(F58="APROBADO",1,0)+IF(E62="APROBADO",1,0)+IF(E63="APROBADO",1,0)+IF(E64="APROBADO",1,0)+IF(F68="APROBADO",1,0)+IF(F69="APROBADO",1,0)+IF(F70="APROBADO",1,0)+IF(F71="APROBADO",1,0)</f>
        <v>47</v>
      </c>
    </row>
    <row r="77" spans="1:13" ht="15" customHeight="1" x14ac:dyDescent="0.25">
      <c r="A77" s="53" t="s">
        <v>383</v>
      </c>
      <c r="C77" s="59">
        <f>47-C76</f>
        <v>0</v>
      </c>
    </row>
    <row r="78" spans="1:13" ht="15" customHeight="1" x14ac:dyDescent="0.25">
      <c r="A78" s="60" t="s">
        <v>384</v>
      </c>
      <c r="B78" s="120" t="str">
        <f>IF(C76=47,"TODAS LAS PRUEBAS APROBADAS","HAY PRUEBAS FALLIDAS — REVISAR")</f>
        <v>TODAS LAS PRUEBAS APROBADAS</v>
      </c>
      <c r="C78" s="120"/>
      <c r="D78" s="120"/>
      <c r="E78" s="120"/>
      <c r="F78" s="120"/>
    </row>
  </sheetData>
  <sheetProtection algorithmName="SHA-512" hashValue="qf//ON3i9ijMZ3FAyMcnp6e4I4Kc/trmYVnN0YLvpoZByfMPTOZYBtULDVywH92rW7A/920ubM6PXwStKPaSWg==" saltValue="5gy5c5bIGOBk4weG7LswmQ==" spinCount="100000" sheet="1" objects="1" scenarios="1"/>
  <mergeCells count="51">
    <mergeCell ref="B78:F78"/>
    <mergeCell ref="F68:M68"/>
    <mergeCell ref="F69:M69"/>
    <mergeCell ref="F70:M70"/>
    <mergeCell ref="F71:M71"/>
    <mergeCell ref="A74:M74"/>
    <mergeCell ref="E62:M62"/>
    <mergeCell ref="E63:M63"/>
    <mergeCell ref="E64:M64"/>
    <mergeCell ref="A66:M66"/>
    <mergeCell ref="F67:M67"/>
    <mergeCell ref="F56:M56"/>
    <mergeCell ref="F57:M57"/>
    <mergeCell ref="F58:M58"/>
    <mergeCell ref="A60:M60"/>
    <mergeCell ref="E61:M61"/>
    <mergeCell ref="F51:M51"/>
    <mergeCell ref="F52:M52"/>
    <mergeCell ref="F53:M53"/>
    <mergeCell ref="F54:M54"/>
    <mergeCell ref="F55:M55"/>
    <mergeCell ref="E45:M45"/>
    <mergeCell ref="E46:M46"/>
    <mergeCell ref="E47:M47"/>
    <mergeCell ref="A49:M49"/>
    <mergeCell ref="F50:M50"/>
    <mergeCell ref="E40:M40"/>
    <mergeCell ref="E41:M41"/>
    <mergeCell ref="E42:M42"/>
    <mergeCell ref="E43:M43"/>
    <mergeCell ref="E44:M44"/>
    <mergeCell ref="J34:M34"/>
    <mergeCell ref="J35:M35"/>
    <mergeCell ref="J36:M36"/>
    <mergeCell ref="J37:M37"/>
    <mergeCell ref="A39:M39"/>
    <mergeCell ref="H28:M28"/>
    <mergeCell ref="H29:M29"/>
    <mergeCell ref="H30:M30"/>
    <mergeCell ref="A32:M32"/>
    <mergeCell ref="J33:M33"/>
    <mergeCell ref="A23:M23"/>
    <mergeCell ref="H24:M24"/>
    <mergeCell ref="H25:M25"/>
    <mergeCell ref="H26:M26"/>
    <mergeCell ref="H27:M27"/>
    <mergeCell ref="A2:M2"/>
    <mergeCell ref="A3:M3"/>
    <mergeCell ref="A4:D4"/>
    <mergeCell ref="A6:M6"/>
    <mergeCell ref="A15:M15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5A6B70"/>
  </sheetPr>
  <dimension ref="A1:L58"/>
  <sheetViews>
    <sheetView showGridLines="0" tabSelected="1" zoomScaleNormal="100" workbookViewId="0">
      <pane ySplit="5" topLeftCell="A6" activePane="bottomLeft" state="frozen"/>
      <selection pane="bottomLeft" activeCell="E54" sqref="E54"/>
    </sheetView>
  </sheetViews>
  <sheetFormatPr baseColWidth="10" defaultColWidth="8.7109375" defaultRowHeight="15" x14ac:dyDescent="0.25"/>
  <cols>
    <col min="1" max="1" width="30.28515625" style="1" customWidth="1"/>
    <col min="2" max="2" width="36.7109375" style="1" customWidth="1"/>
    <col min="3" max="3" width="18.140625" style="1" customWidth="1"/>
    <col min="4" max="4" width="14" style="1" customWidth="1"/>
    <col min="5" max="5" width="99.5703125" style="1" bestFit="1" customWidth="1"/>
  </cols>
  <sheetData>
    <row r="1" spans="1:12" ht="25.5" customHeight="1" x14ac:dyDescent="0.25">
      <c r="A1" s="61" t="s">
        <v>0</v>
      </c>
      <c r="B1" s="5"/>
      <c r="C1" s="5"/>
      <c r="D1" s="5"/>
      <c r="E1" s="5"/>
    </row>
    <row r="2" spans="1:12" ht="15" customHeight="1" x14ac:dyDescent="0.25">
      <c r="A2" s="104" t="s">
        <v>385</v>
      </c>
      <c r="B2" s="104"/>
      <c r="C2" s="104"/>
      <c r="D2" s="104"/>
      <c r="E2" s="104"/>
    </row>
    <row r="3" spans="1:12" ht="15" customHeight="1" x14ac:dyDescent="0.25">
      <c r="A3" s="101" t="str">
        <f>HYPERLINK("#INICIO!A1","◀ INICIO")</f>
        <v>◀ INICIO</v>
      </c>
      <c r="B3" s="101"/>
      <c r="C3" s="101"/>
      <c r="D3" s="101"/>
    </row>
    <row r="4" spans="1:12" ht="42" customHeight="1" x14ac:dyDescent="0.25">
      <c r="A4" s="98" t="s">
        <v>386</v>
      </c>
      <c r="B4" s="98"/>
      <c r="C4" s="98"/>
      <c r="D4" s="98"/>
      <c r="E4" s="98"/>
    </row>
    <row r="6" spans="1:12" ht="15" customHeight="1" x14ac:dyDescent="0.25">
      <c r="A6" s="62" t="s">
        <v>387</v>
      </c>
      <c r="B6" s="63"/>
      <c r="C6" s="63"/>
      <c r="D6" s="63"/>
      <c r="E6" s="63"/>
    </row>
    <row r="7" spans="1:12" ht="15" customHeight="1" x14ac:dyDescent="0.25">
      <c r="A7" s="64" t="s">
        <v>388</v>
      </c>
      <c r="B7" s="64" t="s">
        <v>49</v>
      </c>
      <c r="C7" s="65" t="s">
        <v>50</v>
      </c>
      <c r="D7" s="65" t="s">
        <v>389</v>
      </c>
      <c r="E7" s="65" t="s">
        <v>390</v>
      </c>
    </row>
    <row r="8" spans="1:12" ht="15" customHeight="1" x14ac:dyDescent="0.25">
      <c r="A8" s="66" t="s">
        <v>391</v>
      </c>
      <c r="B8" s="67" t="s">
        <v>392</v>
      </c>
      <c r="C8" s="68"/>
      <c r="D8" s="68"/>
      <c r="E8" s="68"/>
    </row>
    <row r="9" spans="1:12" ht="15" customHeight="1" x14ac:dyDescent="0.25">
      <c r="A9" s="66" t="s">
        <v>393</v>
      </c>
      <c r="B9" s="67" t="s">
        <v>394</v>
      </c>
      <c r="C9" s="68"/>
      <c r="D9" s="68"/>
      <c r="E9" s="68"/>
    </row>
    <row r="10" spans="1:12" ht="15" customHeight="1" x14ac:dyDescent="0.25">
      <c r="A10" s="66" t="s">
        <v>395</v>
      </c>
      <c r="B10" s="69">
        <v>18</v>
      </c>
      <c r="C10" s="68"/>
      <c r="D10" s="68"/>
      <c r="E10" s="68"/>
    </row>
    <row r="11" spans="1:12" ht="15" customHeight="1" x14ac:dyDescent="0.25">
      <c r="A11" s="66" t="s">
        <v>396</v>
      </c>
      <c r="B11" s="69">
        <v>120</v>
      </c>
      <c r="C11" s="68"/>
      <c r="D11" s="68"/>
      <c r="E11" s="68"/>
    </row>
    <row r="12" spans="1:12" ht="15" customHeight="1" x14ac:dyDescent="0.25">
      <c r="A12" s="70" t="s">
        <v>397</v>
      </c>
      <c r="B12" s="69">
        <v>25</v>
      </c>
      <c r="C12" s="68"/>
      <c r="D12" s="68"/>
      <c r="E12" s="68"/>
    </row>
    <row r="13" spans="1:12" ht="15" customHeight="1" x14ac:dyDescent="0.25">
      <c r="A13" s="66" t="s">
        <v>398</v>
      </c>
      <c r="B13" s="69">
        <v>350</v>
      </c>
      <c r="C13" s="68" t="s">
        <v>72</v>
      </c>
      <c r="D13" s="68" t="s">
        <v>399</v>
      </c>
      <c r="E13" s="68" t="s">
        <v>400</v>
      </c>
      <c r="F13" s="71"/>
      <c r="G13" s="71"/>
      <c r="H13" s="71"/>
      <c r="I13" s="71"/>
      <c r="J13" s="71"/>
      <c r="K13" s="71"/>
      <c r="L13" s="71"/>
    </row>
    <row r="14" spans="1:12" ht="26.25" customHeight="1" x14ac:dyDescent="0.25">
      <c r="A14" s="66" t="s">
        <v>401</v>
      </c>
      <c r="B14" s="69">
        <v>120</v>
      </c>
      <c r="C14" s="68" t="s">
        <v>76</v>
      </c>
      <c r="D14" s="68" t="s">
        <v>399</v>
      </c>
      <c r="E14" s="68" t="s">
        <v>402</v>
      </c>
      <c r="F14" s="71"/>
      <c r="G14" s="71"/>
      <c r="H14" s="71"/>
      <c r="I14" s="71"/>
      <c r="J14" s="71"/>
      <c r="K14" s="71"/>
      <c r="L14" s="71"/>
    </row>
    <row r="15" spans="1:12" ht="24" customHeight="1" x14ac:dyDescent="0.25">
      <c r="A15" s="66" t="s">
        <v>403</v>
      </c>
      <c r="B15" s="69">
        <v>230</v>
      </c>
      <c r="C15" s="68" t="s">
        <v>76</v>
      </c>
      <c r="D15" s="68" t="s">
        <v>399</v>
      </c>
      <c r="E15" s="68" t="s">
        <v>402</v>
      </c>
      <c r="F15" s="71"/>
      <c r="G15" s="71"/>
      <c r="H15" s="71"/>
      <c r="I15" s="71"/>
      <c r="J15" s="71"/>
      <c r="K15" s="71"/>
      <c r="L15" s="71"/>
    </row>
    <row r="16" spans="1:12" ht="21" customHeight="1" x14ac:dyDescent="0.25">
      <c r="A16" s="66" t="s">
        <v>404</v>
      </c>
      <c r="B16" s="69">
        <v>2</v>
      </c>
      <c r="C16" s="68" t="s">
        <v>91</v>
      </c>
      <c r="D16" s="68" t="s">
        <v>399</v>
      </c>
      <c r="E16" s="68" t="s">
        <v>405</v>
      </c>
      <c r="F16" s="71"/>
      <c r="G16" s="71"/>
      <c r="H16" s="71"/>
      <c r="I16" s="71"/>
      <c r="J16" s="71"/>
      <c r="K16" s="71"/>
      <c r="L16" s="71"/>
    </row>
    <row r="17" spans="1:12" ht="21.75" customHeight="1" x14ac:dyDescent="0.25">
      <c r="A17" s="66" t="s">
        <v>406</v>
      </c>
      <c r="B17" s="69">
        <v>60</v>
      </c>
      <c r="C17" s="68" t="s">
        <v>91</v>
      </c>
      <c r="D17" s="68" t="s">
        <v>399</v>
      </c>
      <c r="E17" s="68" t="s">
        <v>405</v>
      </c>
      <c r="F17" s="71"/>
      <c r="G17" s="71"/>
      <c r="H17" s="71"/>
      <c r="I17" s="71"/>
      <c r="J17" s="71"/>
      <c r="K17" s="71"/>
      <c r="L17" s="71"/>
    </row>
    <row r="18" spans="1:12" ht="19.5" customHeight="1" x14ac:dyDescent="0.25">
      <c r="A18" s="66" t="s">
        <v>407</v>
      </c>
      <c r="B18" s="69">
        <v>3</v>
      </c>
      <c r="C18" s="68" t="s">
        <v>76</v>
      </c>
      <c r="D18" s="68" t="s">
        <v>399</v>
      </c>
      <c r="E18" s="68" t="s">
        <v>408</v>
      </c>
      <c r="F18" s="71"/>
      <c r="G18" s="71"/>
      <c r="H18" s="71"/>
      <c r="I18" s="71"/>
      <c r="J18" s="71"/>
      <c r="K18" s="71"/>
      <c r="L18" s="71"/>
    </row>
    <row r="19" spans="1:12" ht="21" customHeight="1" x14ac:dyDescent="0.25">
      <c r="A19" s="66" t="s">
        <v>409</v>
      </c>
      <c r="B19" s="69">
        <v>15</v>
      </c>
      <c r="C19" s="68" t="s">
        <v>76</v>
      </c>
      <c r="D19" s="68" t="s">
        <v>399</v>
      </c>
      <c r="E19" s="68" t="s">
        <v>408</v>
      </c>
      <c r="F19" s="71"/>
      <c r="G19" s="71"/>
      <c r="H19" s="71"/>
      <c r="I19" s="71"/>
      <c r="J19" s="71"/>
      <c r="K19" s="71"/>
      <c r="L19" s="71"/>
    </row>
    <row r="20" spans="1:12" ht="15" customHeight="1" x14ac:dyDescent="0.25">
      <c r="A20" s="53" t="s">
        <v>410</v>
      </c>
      <c r="B20" s="72">
        <v>15</v>
      </c>
      <c r="C20" s="68" t="s">
        <v>76</v>
      </c>
      <c r="D20" s="73" t="s">
        <v>399</v>
      </c>
      <c r="E20" s="74" t="s">
        <v>411</v>
      </c>
    </row>
    <row r="21" spans="1:12" ht="15" customHeight="1" x14ac:dyDescent="0.25">
      <c r="A21" s="53" t="s">
        <v>412</v>
      </c>
      <c r="B21" s="72">
        <v>80</v>
      </c>
      <c r="C21" s="68" t="s">
        <v>76</v>
      </c>
      <c r="D21" s="73" t="s">
        <v>399</v>
      </c>
      <c r="E21" s="74"/>
    </row>
    <row r="22" spans="1:12" ht="15" customHeight="1" x14ac:dyDescent="0.25">
      <c r="A22" s="53" t="s">
        <v>413</v>
      </c>
      <c r="B22" s="75">
        <v>0.1</v>
      </c>
      <c r="C22" s="68" t="s">
        <v>55</v>
      </c>
      <c r="D22" s="73" t="s">
        <v>414</v>
      </c>
      <c r="E22" s="74" t="s">
        <v>415</v>
      </c>
    </row>
    <row r="23" spans="1:12" ht="15" customHeight="1" x14ac:dyDescent="0.25">
      <c r="A23" s="53" t="s">
        <v>416</v>
      </c>
      <c r="B23" s="76">
        <v>0.01</v>
      </c>
      <c r="C23" s="68" t="s">
        <v>55</v>
      </c>
      <c r="D23" s="73" t="s">
        <v>417</v>
      </c>
      <c r="E23" s="74" t="s">
        <v>418</v>
      </c>
    </row>
    <row r="24" spans="1:12" ht="15" customHeight="1" x14ac:dyDescent="0.25">
      <c r="A24" s="53" t="s">
        <v>419</v>
      </c>
      <c r="B24" s="77">
        <v>-0.71819999999999995</v>
      </c>
      <c r="C24" s="68" t="s">
        <v>55</v>
      </c>
      <c r="D24" s="73" t="s">
        <v>420</v>
      </c>
      <c r="E24" s="74" t="s">
        <v>421</v>
      </c>
    </row>
    <row r="25" spans="1:12" ht="15" customHeight="1" x14ac:dyDescent="0.25">
      <c r="A25" s="53" t="s">
        <v>422</v>
      </c>
      <c r="B25" s="77">
        <v>0.14510000000000001</v>
      </c>
      <c r="C25" s="68" t="s">
        <v>55</v>
      </c>
      <c r="D25" s="73" t="s">
        <v>420</v>
      </c>
      <c r="E25" s="74"/>
    </row>
    <row r="26" spans="1:12" ht="15" customHeight="1" x14ac:dyDescent="0.25">
      <c r="A26" s="53" t="s">
        <v>423</v>
      </c>
      <c r="B26" s="78">
        <v>6.8000000000000005E-4</v>
      </c>
      <c r="C26" s="68" t="s">
        <v>55</v>
      </c>
      <c r="D26" s="73" t="s">
        <v>420</v>
      </c>
      <c r="E26" s="74" t="s">
        <v>424</v>
      </c>
    </row>
    <row r="27" spans="1:12" ht="15" customHeight="1" x14ac:dyDescent="0.25">
      <c r="A27" s="53" t="s">
        <v>425</v>
      </c>
      <c r="B27" s="79">
        <v>1.3999999999999999E-6</v>
      </c>
      <c r="C27" s="68" t="s">
        <v>55</v>
      </c>
      <c r="D27" s="73" t="s">
        <v>420</v>
      </c>
      <c r="E27" s="74"/>
    </row>
    <row r="28" spans="1:12" ht="15" customHeight="1" x14ac:dyDescent="0.25">
      <c r="A28" s="53" t="s">
        <v>426</v>
      </c>
      <c r="B28" s="80">
        <v>170.18</v>
      </c>
      <c r="C28" s="68" t="s">
        <v>76</v>
      </c>
      <c r="D28" s="73" t="s">
        <v>420</v>
      </c>
      <c r="E28" s="74" t="s">
        <v>427</v>
      </c>
    </row>
    <row r="29" spans="1:12" ht="15" customHeight="1" x14ac:dyDescent="0.25">
      <c r="A29" s="53" t="s">
        <v>428</v>
      </c>
      <c r="B29" s="76">
        <v>0.85799999999999998</v>
      </c>
      <c r="C29" s="68" t="s">
        <v>55</v>
      </c>
      <c r="D29" s="73" t="s">
        <v>420</v>
      </c>
      <c r="E29" s="74" t="s">
        <v>429</v>
      </c>
    </row>
    <row r="30" spans="1:12" ht="15" customHeight="1" x14ac:dyDescent="0.25">
      <c r="A30" s="53" t="s">
        <v>430</v>
      </c>
      <c r="B30" s="76">
        <v>0.60099999999999998</v>
      </c>
      <c r="C30" s="68" t="s">
        <v>55</v>
      </c>
      <c r="D30" s="73" t="s">
        <v>420</v>
      </c>
      <c r="E30" s="74" t="s">
        <v>431</v>
      </c>
    </row>
    <row r="31" spans="1:12" ht="15" customHeight="1" x14ac:dyDescent="0.25">
      <c r="A31" s="53" t="s">
        <v>432</v>
      </c>
      <c r="B31" s="76">
        <v>0.188</v>
      </c>
      <c r="C31" s="68" t="s">
        <v>55</v>
      </c>
      <c r="D31" s="73" t="s">
        <v>420</v>
      </c>
      <c r="E31" s="74" t="s">
        <v>433</v>
      </c>
    </row>
    <row r="32" spans="1:12" ht="15" customHeight="1" x14ac:dyDescent="0.25">
      <c r="A32" s="53" t="s">
        <v>434</v>
      </c>
      <c r="B32" s="76">
        <v>0.161</v>
      </c>
      <c r="C32" s="68" t="s">
        <v>55</v>
      </c>
      <c r="D32" s="73" t="s">
        <v>420</v>
      </c>
      <c r="E32" s="74" t="s">
        <v>435</v>
      </c>
    </row>
    <row r="33" spans="1:5" ht="15" customHeight="1" x14ac:dyDescent="0.25">
      <c r="A33" s="53" t="s">
        <v>436</v>
      </c>
      <c r="B33" s="76">
        <v>0.13100000000000001</v>
      </c>
      <c r="C33" s="68" t="s">
        <v>55</v>
      </c>
      <c r="D33" s="73" t="s">
        <v>420</v>
      </c>
      <c r="E33" s="74" t="s">
        <v>437</v>
      </c>
    </row>
    <row r="34" spans="1:5" ht="15" customHeight="1" x14ac:dyDescent="0.25">
      <c r="A34" s="53" t="s">
        <v>438</v>
      </c>
      <c r="B34" s="75">
        <v>4.5</v>
      </c>
      <c r="C34" s="68" t="s">
        <v>55</v>
      </c>
      <c r="D34" s="73" t="s">
        <v>420</v>
      </c>
      <c r="E34" s="74" t="s">
        <v>439</v>
      </c>
    </row>
    <row r="35" spans="1:5" ht="15" customHeight="1" x14ac:dyDescent="0.25">
      <c r="A35" s="53" t="s">
        <v>440</v>
      </c>
      <c r="B35" s="80">
        <v>40.75</v>
      </c>
      <c r="C35" s="68" t="s">
        <v>55</v>
      </c>
      <c r="D35" s="73" t="s">
        <v>441</v>
      </c>
      <c r="E35" s="74" t="s">
        <v>442</v>
      </c>
    </row>
    <row r="36" spans="1:5" ht="15" customHeight="1" x14ac:dyDescent="0.25">
      <c r="A36" s="53" t="s">
        <v>443</v>
      </c>
      <c r="B36" s="80">
        <v>38.25</v>
      </c>
      <c r="C36" s="68" t="s">
        <v>55</v>
      </c>
      <c r="D36" s="73" t="s">
        <v>441</v>
      </c>
      <c r="E36" s="74" t="s">
        <v>444</v>
      </c>
    </row>
    <row r="37" spans="1:5" ht="15" customHeight="1" x14ac:dyDescent="0.25">
      <c r="A37" s="53" t="s">
        <v>445</v>
      </c>
      <c r="B37" s="76">
        <v>0.73199999999999998</v>
      </c>
      <c r="C37" s="68" t="s">
        <v>55</v>
      </c>
      <c r="D37" s="73" t="s">
        <v>420</v>
      </c>
      <c r="E37" s="74" t="s">
        <v>446</v>
      </c>
    </row>
    <row r="38" spans="1:5" ht="15" customHeight="1" x14ac:dyDescent="0.25">
      <c r="A38" s="53" t="s">
        <v>447</v>
      </c>
      <c r="B38" s="80">
        <v>28.58</v>
      </c>
      <c r="C38" s="68" t="s">
        <v>55</v>
      </c>
      <c r="D38" s="73" t="s">
        <v>420</v>
      </c>
      <c r="E38" s="74"/>
    </row>
    <row r="39" spans="1:5" ht="15" customHeight="1" x14ac:dyDescent="0.25">
      <c r="A39" s="53" t="s">
        <v>448</v>
      </c>
      <c r="B39" s="76">
        <v>0.46300000000000002</v>
      </c>
      <c r="C39" s="68" t="s">
        <v>55</v>
      </c>
      <c r="D39" s="73" t="s">
        <v>420</v>
      </c>
      <c r="E39" s="74" t="s">
        <v>449</v>
      </c>
    </row>
    <row r="40" spans="1:5" ht="15" customHeight="1" x14ac:dyDescent="0.25">
      <c r="A40" s="53" t="s">
        <v>450</v>
      </c>
      <c r="B40" s="80">
        <v>17.63</v>
      </c>
      <c r="C40" s="68" t="s">
        <v>55</v>
      </c>
      <c r="D40" s="73" t="s">
        <v>420</v>
      </c>
      <c r="E40" s="74"/>
    </row>
    <row r="42" spans="1:5" ht="15" customHeight="1" x14ac:dyDescent="0.25">
      <c r="A42" s="122" t="s">
        <v>451</v>
      </c>
      <c r="B42" s="122"/>
      <c r="C42" s="122"/>
      <c r="D42" s="122"/>
      <c r="E42" s="122"/>
    </row>
    <row r="43" spans="1:5" ht="15" customHeight="1" x14ac:dyDescent="0.25">
      <c r="A43" s="45" t="s">
        <v>49</v>
      </c>
      <c r="B43" s="123" t="s">
        <v>452</v>
      </c>
      <c r="C43" s="123"/>
    </row>
    <row r="44" spans="1:5" ht="15" customHeight="1" x14ac:dyDescent="0.25">
      <c r="A44" s="53" t="s">
        <v>64</v>
      </c>
      <c r="B44" s="81" t="s">
        <v>453</v>
      </c>
      <c r="C44" s="82"/>
    </row>
    <row r="45" spans="1:5" ht="15" customHeight="1" x14ac:dyDescent="0.25">
      <c r="A45" s="53" t="s">
        <v>454</v>
      </c>
      <c r="B45" s="121" t="s">
        <v>455</v>
      </c>
      <c r="C45" s="121"/>
    </row>
    <row r="47" spans="1:5" ht="15" customHeight="1" x14ac:dyDescent="0.25">
      <c r="A47" s="62" t="s">
        <v>456</v>
      </c>
    </row>
    <row r="48" spans="1:5" ht="15" customHeight="1" x14ac:dyDescent="0.25">
      <c r="A48" s="53" t="s">
        <v>457</v>
      </c>
    </row>
    <row r="49" spans="1:5" ht="15" customHeight="1" x14ac:dyDescent="0.25">
      <c r="A49" s="53" t="s">
        <v>458</v>
      </c>
    </row>
    <row r="51" spans="1:5" ht="15" customHeight="1" x14ac:dyDescent="0.25">
      <c r="A51" s="122" t="s">
        <v>459</v>
      </c>
      <c r="B51" s="122"/>
      <c r="C51" s="122"/>
      <c r="D51" s="122"/>
      <c r="E51" s="122"/>
    </row>
    <row r="52" spans="1:5" ht="15" customHeight="1" x14ac:dyDescent="0.25">
      <c r="A52" s="45" t="s">
        <v>460</v>
      </c>
      <c r="B52" s="45" t="s">
        <v>461</v>
      </c>
      <c r="C52" s="45" t="s">
        <v>462</v>
      </c>
    </row>
    <row r="53" spans="1:5" ht="15" customHeight="1" x14ac:dyDescent="0.25">
      <c r="A53" s="48" t="s">
        <v>463</v>
      </c>
      <c r="B53" s="47">
        <v>-6</v>
      </c>
      <c r="C53" s="47">
        <v>-6</v>
      </c>
    </row>
    <row r="54" spans="1:5" ht="15" customHeight="1" x14ac:dyDescent="0.25">
      <c r="A54" s="48" t="s">
        <v>464</v>
      </c>
      <c r="B54" s="47">
        <v>0</v>
      </c>
      <c r="C54" s="47">
        <v>12</v>
      </c>
    </row>
    <row r="55" spans="1:5" ht="15" customHeight="1" x14ac:dyDescent="0.25">
      <c r="A55" s="48" t="s">
        <v>465</v>
      </c>
      <c r="B55" s="47">
        <v>6</v>
      </c>
      <c r="C55" s="47">
        <v>-6</v>
      </c>
    </row>
    <row r="56" spans="1:5" ht="15" customHeight="1" x14ac:dyDescent="0.25">
      <c r="A56" s="48" t="s">
        <v>466</v>
      </c>
      <c r="B56" s="47">
        <v>-6</v>
      </c>
      <c r="C56" s="47">
        <v>-6</v>
      </c>
    </row>
    <row r="58" spans="1:5" ht="27.75" customHeight="1" x14ac:dyDescent="0.25">
      <c r="A58" s="98" t="s">
        <v>467</v>
      </c>
      <c r="B58" s="98"/>
      <c r="C58" s="98"/>
      <c r="D58" s="98"/>
      <c r="E58" s="98"/>
    </row>
  </sheetData>
  <sheetProtection algorithmName="SHA-512" hashValue="iWEAMGxrLtMHPPO0heaWfAEPrSqZ2f7zOHIjMjDpRkrNyrtknM0MRYMmcnjiXi/oV6g39CWo8pSPceMa/4Fa5w==" saltValue="u921zj+9IlG2oBz3YJpwOQ==" spinCount="100000" sheet="1" objects="1" scenarios="1"/>
  <protectedRanges>
    <protectedRange sqref="B9:B41" name="valores"/>
  </protectedRanges>
  <mergeCells count="8">
    <mergeCell ref="B45:C45"/>
    <mergeCell ref="A51:E51"/>
    <mergeCell ref="A58:E58"/>
    <mergeCell ref="A2:E2"/>
    <mergeCell ref="A3:D3"/>
    <mergeCell ref="A4:E4"/>
    <mergeCell ref="A42:E42"/>
    <mergeCell ref="B43:C43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5A6B70"/>
  </sheetPr>
  <dimension ref="A1:E7"/>
  <sheetViews>
    <sheetView showGridLines="0" zoomScaleNormal="100" workbookViewId="0">
      <selection activeCell="D29" sqref="D29"/>
    </sheetView>
  </sheetViews>
  <sheetFormatPr baseColWidth="10" defaultColWidth="8.7109375" defaultRowHeight="15" x14ac:dyDescent="0.25"/>
  <cols>
    <col min="1" max="1" width="12" style="1" customWidth="1"/>
    <col min="2" max="2" width="14" style="1" customWidth="1"/>
    <col min="3" max="3" width="56" style="1" customWidth="1"/>
    <col min="4" max="4" width="40" style="1" customWidth="1"/>
    <col min="5" max="5" width="20" style="1" customWidth="1"/>
  </cols>
  <sheetData>
    <row r="1" spans="1:5" ht="25.5" customHeight="1" x14ac:dyDescent="0.25">
      <c r="A1" s="4" t="s">
        <v>0</v>
      </c>
      <c r="B1" s="5"/>
      <c r="C1" s="5"/>
      <c r="D1" s="5"/>
      <c r="E1" s="5"/>
    </row>
    <row r="2" spans="1:5" ht="15" customHeight="1" x14ac:dyDescent="0.25">
      <c r="A2" s="104" t="s">
        <v>468</v>
      </c>
      <c r="B2" s="104"/>
      <c r="C2" s="104"/>
      <c r="D2" s="104"/>
      <c r="E2" s="104"/>
    </row>
    <row r="3" spans="1:5" ht="15" customHeight="1" x14ac:dyDescent="0.25">
      <c r="A3" s="101" t="str">
        <f>HYPERLINK("#INICIO!A1","◀ INICIO")</f>
        <v>◀ INICIO</v>
      </c>
      <c r="B3" s="101"/>
      <c r="C3" s="101"/>
      <c r="D3" s="101"/>
    </row>
    <row r="5" spans="1:5" ht="15" customHeight="1" x14ac:dyDescent="0.25">
      <c r="A5" s="45" t="s">
        <v>13</v>
      </c>
      <c r="B5" s="45" t="s">
        <v>15</v>
      </c>
      <c r="C5" s="45" t="s">
        <v>469</v>
      </c>
      <c r="D5" s="45" t="s">
        <v>470</v>
      </c>
      <c r="E5" s="45" t="s">
        <v>21</v>
      </c>
    </row>
    <row r="6" spans="1:5" ht="55.5" customHeight="1" x14ac:dyDescent="0.25">
      <c r="A6" s="47" t="s">
        <v>14</v>
      </c>
      <c r="B6" s="47" t="s">
        <v>16</v>
      </c>
      <c r="C6" s="42" t="s">
        <v>471</v>
      </c>
      <c r="D6" s="42" t="s">
        <v>472</v>
      </c>
      <c r="E6" s="48" t="s">
        <v>473</v>
      </c>
    </row>
    <row r="7" spans="1:5" ht="55.5" customHeight="1" x14ac:dyDescent="0.25">
      <c r="A7" s="47" t="s">
        <v>14</v>
      </c>
      <c r="B7" s="47" t="s">
        <v>16</v>
      </c>
      <c r="C7" s="42" t="s">
        <v>474</v>
      </c>
      <c r="D7" s="42" t="s">
        <v>475</v>
      </c>
      <c r="E7" s="48" t="s">
        <v>473</v>
      </c>
    </row>
  </sheetData>
  <sheetProtection algorithmName="SHA-512" hashValue="6whWRta5srGeIjMwhR4hHT52Eyv9i/3/rlX30CAmA0oh9RhpOidXsqt0My4SD5SDlD1AMTSUoxdapJDINMeiMA==" saltValue="kCMvN/7dkwaCKi8dAw4SlQ==" spinCount="100000" sheet="1" objects="1" scenarios="1"/>
  <mergeCells count="2">
    <mergeCell ref="A2:E2"/>
    <mergeCell ref="A3:D3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67</vt:i4>
      </vt:variant>
    </vt:vector>
  </HeadingPairs>
  <TitlesOfParts>
    <vt:vector size="76" baseType="lpstr">
      <vt:lpstr>DATOS</vt:lpstr>
      <vt:lpstr>INICIO</vt:lpstr>
      <vt:lpstr>MEDIDAS</vt:lpstr>
      <vt:lpstr>CALCULOS</vt:lpstr>
      <vt:lpstr>RESULTADOS</vt:lpstr>
      <vt:lpstr>FUENTES</vt:lpstr>
      <vt:lpstr>PRUEBAS</vt:lpstr>
      <vt:lpstr>CONFIG</vt:lpstr>
      <vt:lpstr>CHANGELOG</vt:lpstr>
      <vt:lpstr>c_CAG</vt:lpstr>
      <vt:lpstr>c_CCG</vt:lpstr>
      <vt:lpstr>c_Clase</vt:lpstr>
      <vt:lpstr>c_Ecto</vt:lpstr>
      <vt:lpstr>c_Endo</vt:lpstr>
      <vt:lpstr>c_Gate</vt:lpstr>
      <vt:lpstr>c_HWR</vt:lpstr>
      <vt:lpstr>c_Meso</vt:lpstr>
      <vt:lpstr>c_mid</vt:lpstr>
      <vt:lpstr>c_mn</vt:lpstr>
      <vt:lpstr>c_mx</vt:lpstr>
      <vt:lpstr>c_Soma</vt:lpstr>
      <vt:lpstr>c_Sum3</vt:lpstr>
      <vt:lpstr>c_SX</vt:lpstr>
      <vt:lpstr>c_SY</vt:lpstr>
      <vt:lpstr>c_TallaM</vt:lpstr>
      <vt:lpstr>c_Xcorr</vt:lpstr>
      <vt:lpstr>DIA_MAX</vt:lpstr>
      <vt:lpstr>DIA_MIN</vt:lpstr>
      <vt:lpstr>ECTO_A1</vt:lpstr>
      <vt:lpstr>ECTO_A2</vt:lpstr>
      <vt:lpstr>ECTO_B1</vt:lpstr>
      <vt:lpstr>ECTO_B2</vt:lpstr>
      <vt:lpstr>ECTO_T1</vt:lpstr>
      <vt:lpstr>ECTO_T2</vt:lpstr>
      <vt:lpstr>EDAD_MAX</vt:lpstr>
      <vt:lpstr>EDAD_MIN</vt:lpstr>
      <vt:lpstr>ENDO_C0</vt:lpstr>
      <vt:lpstr>ENDO_C1</vt:lpstr>
      <vt:lpstr>ENDO_C2</vt:lpstr>
      <vt:lpstr>ENDO_C3</vt:lpstr>
      <vt:lpstr>ENDO_HREF</vt:lpstr>
      <vt:lpstr>EST_MAX</vt:lpstr>
      <vt:lpstr>EST_MIN</vt:lpstr>
      <vt:lpstr>in_Edad</vt:lpstr>
      <vt:lpstr>in_Est</vt:lpstr>
      <vt:lpstr>in_Eval</vt:lpstr>
      <vt:lpstr>in_Fecha</vt:lpstr>
      <vt:lpstr>in_ID</vt:lpstr>
      <vt:lpstr>in_Obs</vt:lpstr>
      <vt:lpstr>in_Pac</vt:lpstr>
      <vt:lpstr>in_Peso</vt:lpstr>
      <vt:lpstr>in_Sexo</vt:lpstr>
      <vt:lpstr>m_ArmG</vt:lpstr>
      <vt:lpstr>m_Calf</vt:lpstr>
      <vt:lpstr>m_CalfG</vt:lpstr>
      <vt:lpstr>m_Fem</vt:lpstr>
      <vt:lpstr>m_Hum</vt:lpstr>
      <vt:lpstr>m_Sub</vt:lpstr>
      <vt:lpstr>m_Sup</vt:lpstr>
      <vt:lpstr>m_Tri</vt:lpstr>
      <vt:lpstr>MESO_CAG</vt:lpstr>
      <vt:lpstr>MESO_CCG</vt:lpstr>
      <vt:lpstr>MESO_FB</vt:lpstr>
      <vt:lpstr>MESO_H</vt:lpstr>
      <vt:lpstr>MESO_HB</vt:lpstr>
      <vt:lpstr>MESO_K</vt:lpstr>
      <vt:lpstr>MIN_COMP</vt:lpstr>
      <vt:lpstr>PER_MAX</vt:lpstr>
      <vt:lpstr>PER_MIN</vt:lpstr>
      <vt:lpstr>PESO_MAX</vt:lpstr>
      <vt:lpstr>PESO_MIN</vt:lpstr>
      <vt:lpstr>PLI_MAX</vt:lpstr>
      <vt:lpstr>PLI_MIN</vt:lpstr>
      <vt:lpstr>SEXOS</vt:lpstr>
      <vt:lpstr>SINO</vt:lpstr>
      <vt:lpstr>TOL_U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Daniel</cp:lastModifiedBy>
  <cp:revision>6</cp:revision>
  <dcterms:created xsi:type="dcterms:W3CDTF">2026-07-17T03:36:44Z</dcterms:created>
  <dcterms:modified xsi:type="dcterms:W3CDTF">2026-08-12T18:08:34Z</dcterms:modified>
  <dc:language>en-US</dc:language>
</cp:coreProperties>
</file>
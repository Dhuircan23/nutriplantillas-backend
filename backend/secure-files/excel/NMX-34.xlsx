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aniel\Downloads\"/>
    </mc:Choice>
  </mc:AlternateContent>
  <xr:revisionPtr revIDLastSave="0" documentId="13_ncr:1_{0B797E44-8468-4920-AD2C-7B4745392F93}" xr6:coauthVersionLast="47" xr6:coauthVersionMax="47" xr10:uidLastSave="{00000000-0000-0000-0000-000000000000}"/>
  <bookViews>
    <workbookView xWindow="-120" yWindow="-120" windowWidth="29040" windowHeight="15840" tabRatio="505" activeTab="1" xr2:uid="{00000000-000D-0000-FFFF-FFFF00000000}"/>
  </bookViews>
  <sheets>
    <sheet name="INICIO" sheetId="1" r:id="rId1"/>
    <sheet name="DATOS" sheetId="2" r:id="rId2"/>
    <sheet name="CALCULO" sheetId="3" r:id="rId3"/>
    <sheet name="SENSIBILIDAD" sheetId="4" r:id="rId4"/>
    <sheet name="INTERPRETACION" sheetId="5" r:id="rId5"/>
    <sheet name="FUENTES" sheetId="6" r:id="rId6"/>
    <sheet name="PRUEBAS" sheetId="7" r:id="rId7"/>
    <sheet name="CONFIG" sheetId="8" r:id="rId8"/>
    <sheet name="CHANGELOG" sheetId="9" r:id="rId9"/>
  </sheets>
  <definedNames>
    <definedName name="k_edad">CONFIG!$B$11</definedName>
    <definedName name="k_hombre">CONFIG!$B$12</definedName>
    <definedName name="k_kmConst">CONFIG!$D$17</definedName>
    <definedName name="k_kmFFM">CONFIG!$D$18</definedName>
    <definedName name="k_mujer">CONFIG!$B$13</definedName>
    <definedName name="k_peso">CONFIG!$B$9</definedName>
    <definedName name="k_talla">CONFIG!$B$10</definedName>
    <definedName name="k_tol">CONFIG!$E$25</definedName>
    <definedName name="lst_metodo">CONFIG!$B$32:$B$35</definedName>
    <definedName name="lst_sexo">CONFIG!$A$32:$A$33</definedName>
    <definedName name="lst_si">CONFIG!$D$32:$D$33</definedName>
    <definedName name="u_edadMax">CONFIG!$E$24</definedName>
    <definedName name="u_edadMin">CONFIG!$E$23</definedName>
    <definedName name="u_equiv">CONFIG!$E$21</definedName>
    <definedName name="u_implaus">CONFIG!$E$22</definedName>
    <definedName name="v_base">CALCULO!$C$18</definedName>
    <definedName name="v_difEdad">CALCULO!$C$21</definedName>
    <definedName name="v_edad">DATOS!$C$12</definedName>
    <definedName name="v_edadMet">CALCULO!$C$19</definedName>
    <definedName name="v_grasa">DATOS!$C$16</definedName>
    <definedName name="v_mlg">DATOS!$C$23</definedName>
    <definedName name="v_peso">DATOS!$C$14</definedName>
    <definedName name="v_sexo">DATOS!$C$13</definedName>
    <definedName name="v_talla">DATOS!$C$15</definedName>
    <definedName name="v_tmb">CALCULO!$C$9</definedName>
    <definedName name="v_tmbPob">CALCULO!$C$13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5" l="1"/>
  <c r="A4" i="9"/>
  <c r="A4" i="8"/>
  <c r="C27" i="7"/>
  <c r="E27" i="7" s="1"/>
  <c r="C18" i="7"/>
  <c r="E18" i="7" s="1"/>
  <c r="A4" i="7"/>
  <c r="A4" i="6"/>
  <c r="C40" i="5"/>
  <c r="C13" i="5"/>
  <c r="C24" i="4"/>
  <c r="C25" i="4" s="1"/>
  <c r="C23" i="4"/>
  <c r="C19" i="7" s="1"/>
  <c r="E19" i="7" s="1"/>
  <c r="A20" i="4"/>
  <c r="B20" i="4" s="1"/>
  <c r="C20" i="4" s="1"/>
  <c r="A19" i="4"/>
  <c r="B19" i="4" s="1"/>
  <c r="C19" i="4" s="1"/>
  <c r="A18" i="4"/>
  <c r="B18" i="4" s="1"/>
  <c r="C18" i="4" s="1"/>
  <c r="A17" i="4"/>
  <c r="B17" i="4" s="1"/>
  <c r="C17" i="4" s="1"/>
  <c r="A16" i="4"/>
  <c r="B16" i="4" s="1"/>
  <c r="C16" i="4" s="1"/>
  <c r="A15" i="4"/>
  <c r="B15" i="4" s="1"/>
  <c r="C15" i="4" s="1"/>
  <c r="A14" i="4"/>
  <c r="B14" i="4" s="1"/>
  <c r="C14" i="4" s="1"/>
  <c r="A13" i="4"/>
  <c r="B13" i="4" s="1"/>
  <c r="C13" i="4" s="1"/>
  <c r="A12" i="4"/>
  <c r="B12" i="4" s="1"/>
  <c r="C12" i="4" s="1"/>
  <c r="A4" i="4"/>
  <c r="C20" i="3"/>
  <c r="C12" i="3"/>
  <c r="C18" i="3" s="1"/>
  <c r="A4" i="3"/>
  <c r="C24" i="2"/>
  <c r="C23" i="2"/>
  <c r="C9" i="7" s="1"/>
  <c r="E9" i="7" s="1"/>
  <c r="C22" i="2"/>
  <c r="A4" i="2"/>
  <c r="O5" i="1"/>
  <c r="M5" i="1"/>
  <c r="K5" i="1"/>
  <c r="I5" i="1"/>
  <c r="G5" i="1"/>
  <c r="E5" i="1"/>
  <c r="C5" i="1"/>
  <c r="A5" i="1"/>
  <c r="C8" i="3" l="1"/>
  <c r="C26" i="4"/>
  <c r="D15" i="4"/>
  <c r="D18" i="4"/>
  <c r="D14" i="4"/>
  <c r="D17" i="4"/>
  <c r="D12" i="4"/>
  <c r="C21" i="7" s="1"/>
  <c r="E21" i="7" s="1"/>
  <c r="C38" i="5"/>
  <c r="C28" i="7"/>
  <c r="E28" i="7" s="1"/>
  <c r="C39" i="5"/>
  <c r="C13" i="7"/>
  <c r="E13" i="7" s="1"/>
  <c r="D16" i="4"/>
  <c r="D19" i="4"/>
  <c r="D13" i="4"/>
  <c r="D20" i="4"/>
  <c r="C20" i="7"/>
  <c r="E20" i="7" s="1"/>
  <c r="C16" i="5"/>
  <c r="C13" i="3"/>
  <c r="C11" i="7" s="1"/>
  <c r="E11" i="7" s="1"/>
  <c r="C9" i="3"/>
  <c r="C14" i="3" l="1"/>
  <c r="C12" i="7" s="1"/>
  <c r="E12" i="7" s="1"/>
  <c r="C10" i="7"/>
  <c r="E10" i="7" s="1"/>
  <c r="C41" i="5"/>
  <c r="C23" i="7"/>
  <c r="E23" i="7" s="1"/>
  <c r="C22" i="7"/>
  <c r="E22" i="7" s="1"/>
  <c r="C19" i="3"/>
  <c r="C24" i="7" s="1"/>
  <c r="E24" i="7" s="1"/>
  <c r="C25" i="3"/>
  <c r="E19" i="4" l="1"/>
  <c r="E13" i="4"/>
  <c r="C25" i="7"/>
  <c r="E25" i="7" s="1"/>
  <c r="C22" i="3"/>
  <c r="C21" i="3"/>
  <c r="C14" i="7"/>
  <c r="E14" i="7" s="1"/>
  <c r="C12" i="5"/>
  <c r="E12" i="4"/>
  <c r="E14" i="4"/>
  <c r="E15" i="4"/>
  <c r="E17" i="4"/>
  <c r="E18" i="4"/>
  <c r="E16" i="4"/>
  <c r="C17" i="7"/>
  <c r="E17" i="7" s="1"/>
  <c r="C16" i="7"/>
  <c r="E16" i="7" s="1"/>
  <c r="E20" i="4"/>
  <c r="C15" i="7" l="1"/>
  <c r="E15" i="7" s="1"/>
  <c r="C15" i="5"/>
  <c r="C26" i="7" s="1"/>
  <c r="E26" i="7" s="1"/>
  <c r="C30" i="7" s="1"/>
  <c r="C14" i="5"/>
  <c r="D30" i="7" l="1"/>
  <c r="E30" i="7" s="1"/>
</calcChain>
</file>

<file path=xl/sharedStrings.xml><?xml version="1.0" encoding="utf-8"?>
<sst xmlns="http://schemas.openxmlformats.org/spreadsheetml/2006/main" count="330" uniqueCount="268">
  <si>
    <t>NUTRIMETRÍA  ·  NMX-34</t>
  </si>
  <si>
    <t>Indicador educativo de edad metabólica · versión 1.0 · Fase 7 · especialidades y productos complementarios</t>
  </si>
  <si>
    <t>Navegación — use las pestañas inferiores del libro</t>
  </si>
  <si>
    <t>Persona y mediciones</t>
  </si>
  <si>
    <t>De dónde sale el número</t>
  </si>
  <si>
    <t>Cuánto se mueve</t>
  </si>
  <si>
    <t>Qué significa y qué no</t>
  </si>
  <si>
    <t>Evidencia y advertencias</t>
  </si>
  <si>
    <t>Control de calidad</t>
  </si>
  <si>
    <t>Constantes</t>
  </si>
  <si>
    <t>Historial</t>
  </si>
  <si>
    <t>Código del producto</t>
  </si>
  <si>
    <t>NMX-34</t>
  </si>
  <si>
    <t>Versión</t>
  </si>
  <si>
    <t>1.0</t>
  </si>
  <si>
    <t>Fecha</t>
  </si>
  <si>
    <t>2026-07-24</t>
  </si>
  <si>
    <t>Naturaleza</t>
  </si>
  <si>
    <t>Indicador EDUCATIVO y de comunicación · NO es un instrumento diagnóstico</t>
  </si>
  <si>
    <t>Ecuaciones</t>
  </si>
  <si>
    <t>Katch-McArdle sin edad · Mifflin-St Jeor con edad</t>
  </si>
  <si>
    <t>Formato</t>
  </si>
  <si>
    <t>.xlsx sin macros · Microsoft 365 (Windows) y Excel 2021 · sin funciones matriciales</t>
  </si>
  <si>
    <t>Responsable</t>
  </si>
  <si>
    <t>Equipo Nutrimetría (completar por el titular)</t>
  </si>
  <si>
    <t>ADVERTENCIA PRINCIPAL</t>
  </si>
  <si>
    <t>ESTE INDICADOR NO ES UN DIAGNÓSTICO. No mide envejecimiento biológico, no evalúa salud metabólica, no detecta enfermedad y no reemplaza ninguna evaluación clínica.</t>
  </si>
  <si>
    <t>La edad metabólica NO es un constructo validado: se popularizó a través de básculas de bioimpedancia comerciales y carece de definición consensuada, método de referencia y ecuaciones normativas revisadas por pares.</t>
  </si>
  <si>
    <t>El número que entrega este libro es, en rigor, una forma de expresar en años cuánta masa libre de grasa tiene la persona respecto del promedio poblacional para su peso, talla y sexo. Nada más que eso.</t>
  </si>
  <si>
    <t>El resultado depende por completo del porcentaje de grasa corporal, que se estima con error: cada punto de grasa desplaza el resultado varios años. La hoja SENSIBILIDAD lo cuantifica para su caso.</t>
  </si>
  <si>
    <t>NO utilice este indicador en personas con trastorno de la conducta alimentaria o alto riesgo, ni en quienes puedan reaccionar con angustia frente a una cifra corporal.</t>
  </si>
  <si>
    <t>Si el objetivo es informar sobre composición corporal, la masa libre de grasa y su índice dicen lo mismo sin envolverlo en una edad.</t>
  </si>
  <si>
    <t>POR QUÉ ESTE LIBRO CALCULA ALGO NO VALIDADO</t>
  </si>
  <si>
    <t>Porque existe demanda del indicador y las personas ya lo reciben de sus básculas, sin ver de dónde sale.</t>
  </si>
  <si>
    <t>Porque es preferible calcularlo de forma transparente, con cada paso a la vista y con sus límites explícitos, que dejarlo en manos de un algoritmo propietario que no publica sus fórmulas.</t>
  </si>
  <si>
    <t>Porque el propio libro demuestra la debilidad del concepto: la hoja CÁLCULO muestra que invertir la misma ecuación devuelve la edad cronológica exacta, y la hoja SENSIBILIDAD muestra cuán frágil es el resultado.</t>
  </si>
  <si>
    <t>FLUJO DE USO</t>
  </si>
  <si>
    <t>En DATOS registre edad, sexo, peso, talla y porcentaje de grasa, indicando con qué método se obtuvo ese último dato.</t>
  </si>
  <si>
    <t>CÁLCULO muestra los tres pasos: tasa metabólica desde la masa magra, tasa poblacional para la edad real, y la edad despejada. Revise también la demostración de circularidad al final de la hoja.</t>
  </si>
  <si>
    <t>SENSIBILIDAD cuantifica cuánto cambiaría el resultado si la grasa se hubiera estimado con error.</t>
  </si>
  <si>
    <t>INTERPRETACIÓN entrega la lectura correcta, la tabla de qué es y qué no es, y la guía de qué decir y qué no decir.</t>
  </si>
  <si>
    <t>Lea FUENTES antes de entregar cualquier resultado: allí está el origen del concepto y su falta de validación.</t>
  </si>
  <si>
    <t>Si el indicador no aporta a esa persona en particular, use directamente las alternativas del final de INTERPRETACIÓN.</t>
  </si>
  <si>
    <t>Datos de la persona y de la medición</t>
  </si>
  <si>
    <t>Este libro entrega un indicador EDUCATIVO. No diagnostica, no mide envejecimiento y no evalúa salud metabólica. Léalo junto con la hoja INTERPRETACIÓN antes de mostrar cualquier resultado a una persona.</t>
  </si>
  <si>
    <t>PERSONA</t>
  </si>
  <si>
    <t>Nombre o identificador</t>
  </si>
  <si>
    <t>Caso de ejemplo</t>
  </si>
  <si>
    <t>Edad cronológica (años)</t>
  </si>
  <si>
    <t>Edad real cumplida</t>
  </si>
  <si>
    <t>Sexo</t>
  </si>
  <si>
    <t>Masculino</t>
  </si>
  <si>
    <t>Peso (kg)</t>
  </si>
  <si>
    <t>Balanza calibrada</t>
  </si>
  <si>
    <t>Talla (cm)</t>
  </si>
  <si>
    <t>Estadiómetro</t>
  </si>
  <si>
    <t>Porcentaje de grasa corporal</t>
  </si>
  <si>
    <t>Es el dato que MÁS influye en el resultado</t>
  </si>
  <si>
    <t>Método usado para estimar la grasa</t>
  </si>
  <si>
    <t>Pliegues cutáneos</t>
  </si>
  <si>
    <t>Determina el error del resultado</t>
  </si>
  <si>
    <t>Fecha de la evaluación</t>
  </si>
  <si>
    <t>2026-07-23</t>
  </si>
  <si>
    <t>Profesional responsable</t>
  </si>
  <si>
    <t>—</t>
  </si>
  <si>
    <t>COMPOSICIÓN DERIVADA</t>
  </si>
  <si>
    <t>Masa grasa (kg)</t>
  </si>
  <si>
    <t>MASA LIBRE DE GRASA (kg)</t>
  </si>
  <si>
    <t>Índice de masa corporal</t>
  </si>
  <si>
    <t>TODO el resultado depende del porcentaje de grasa que usted ingrese. Un error de dos puntos en esa estimación desplaza la edad metabólica en varios años, como se demuestra en la hoja SENSIBILIDAD. Registre siempre con qué método se obtuvo.</t>
  </si>
  <si>
    <t>De dónde sale el número · cada paso a la vista</t>
  </si>
  <si>
    <t>PASO 1 · TASA METABÓLICA BASAL A PARTIR DE LA MASA LIBRE DE GRASA</t>
  </si>
  <si>
    <t>Se usa una ecuación que NO incluye la edad: así el resultado no queda predeterminado por ella.</t>
  </si>
  <si>
    <t>Masa libre de grasa (kg)</t>
  </si>
  <si>
    <t>TMB estimada sin usar la edad (kcal/día)</t>
  </si>
  <si>
    <t>370 + 21,6 × masa libre de grasa</t>
  </si>
  <si>
    <t>PASO 2 · TMB QUE PREDICE LA ECUACIÓN POBLACIONAL PARA SU EDAD REAL</t>
  </si>
  <si>
    <t>Constante por sexo</t>
  </si>
  <si>
    <t>TMB poblacional a la edad cronológica (kcal/día)</t>
  </si>
  <si>
    <t>Diferencia entre ambas estimaciones (kcal/día)</t>
  </si>
  <si>
    <t>Si es positiva, la persona tiene más masa magra que el promedio de su edad</t>
  </si>
  <si>
    <t>PASO 3 · A QUÉ EDAD LA ECUACIÓN POBLACIONAL PREDECIRÍA ESA MISMA TMB</t>
  </si>
  <si>
    <t>Se despeja la edad de la ecuación poblacional, igualándola a la TMB del paso 1. Esa edad despejada es lo que se llama edad metabólica.</t>
  </si>
  <si>
    <t>Parte de la ecuación que no depende de la edad</t>
  </si>
  <si>
    <t>EDAD METABÓLICA (años)</t>
  </si>
  <si>
    <t>Base sin edad menos TMB del paso 1, dividido por 5</t>
  </si>
  <si>
    <t>Diferencia (años)</t>
  </si>
  <si>
    <t>¿El valor está dentro del rango que se muestra?</t>
  </si>
  <si>
    <t>LA CIRCULARIDAD QUE CONVIENE CONOCER</t>
  </si>
  <si>
    <t>Si en el paso 1 se usara la ecuación CON edad en vez de la de masa magra</t>
  </si>
  <si>
    <t>Observe el resultado y compárelo con la edad cronológica</t>
  </si>
  <si>
    <t>Qué demuestra</t>
  </si>
  <si>
    <t>Que invertir la MISMA ecuación devuelve exactamente la edad cronológica, con diferencia cero. Es una identidad algebraica: el procedimiento no mide el metabolismo de la persona, solo confirma que el modelo es coherente consigo mismo. La edad metabólica es una reexpresión de la masa libre de grasa frente al promedio poblacional, no una medición fisiológica independiente.</t>
  </si>
  <si>
    <t>Consecuencia práctica: el número NO surge de medir el metabolismo de la persona. Surge de comparar dos ecuaciones distintas, una basada en masa magra y otra en edad. Es, en rigor, una forma de expresar cuánta masa libre de grasa tiene la persona respecto del promedio poblacional para su peso y talla, traducida a años.</t>
  </si>
  <si>
    <t>Cuánto se mueve el resultado ante pequeños cambios</t>
  </si>
  <si>
    <t>Antes de mostrar una edad metabólica conviene saber cuán frágil es. Esta hoja calcula cuánto cambia el resultado si el porcentaje de grasa se estimó con un error de uno o dos puntos, algo perfectamente posible con cualquier método de campo.</t>
  </si>
  <si>
    <t>EFECTO DE UN ERROR EN LA ESTIMACIÓN DE LA GRASA CORPORAL</t>
  </si>
  <si>
    <t>Grasa corporal supuesta</t>
  </si>
  <si>
    <t>TMB (kcal/día)</t>
  </si>
  <si>
    <t>Edad metabólica (años)</t>
  </si>
  <si>
    <t>Diferencia con el resultado actual</t>
  </si>
  <si>
    <t>CUÁNTO PESA CADA UNIDAD</t>
  </si>
  <si>
    <t>Años de edad metabólica por cada kilo de masa libre de grasa</t>
  </si>
  <si>
    <t>Es una constante fija: 21,6 dividido por 5</t>
  </si>
  <si>
    <t>Años de edad metabólica por cada punto de grasa corporal</t>
  </si>
  <si>
    <t>Efecto de un error de dos puntos en la grasa corporal</t>
  </si>
  <si>
    <t>Qué significa que sea una constante</t>
  </si>
  <si>
    <t>Compare la magnitud del error con la diferencia que se quiere comunicar. Si la edad metabólica difiere de la cronológica en menos años que el error propio del método de estimación de la grasa, el resultado no permite afirmar nada.</t>
  </si>
  <si>
    <t>Qué significa y qué NO significa este número</t>
  </si>
  <si>
    <t>ESTE INDICADOR NO ES UN DIAGNÓSTICO. No mide envejecimiento, no evalúa salud metabólica, no detecta enfermedad y no reemplaza ninguna evaluación clínica. Es un recurso de comunicación construido a partir de dos ecuaciones de estimación, y su valor depende por completo de un dato que se estima con error: el porcentaje de grasa corporal.</t>
  </si>
  <si>
    <t>RESULTADO OBTENIDO</t>
  </si>
  <si>
    <t>EDAD METABÓLICA</t>
  </si>
  <si>
    <t>Edad cronológica</t>
  </si>
  <si>
    <t>Lectura del resultado</t>
  </si>
  <si>
    <t>Margen de error del propio método</t>
  </si>
  <si>
    <t>QUÉ ES Y QUÉ NO ES</t>
  </si>
  <si>
    <t>QUÉ ES</t>
  </si>
  <si>
    <t>Una forma de expresar en años cuánta masa libre de grasa tiene la persona respecto del promedio poblacional para su peso, talla y sexo.</t>
  </si>
  <si>
    <t>Un recurso de comunicación: para muchas personas «edad» resulta más comprensible que «kilos de masa magra».</t>
  </si>
  <si>
    <t>Un valor que se mueve con el entrenamiento de fuerza y con la alimentación, porque se mueve la masa magra.</t>
  </si>
  <si>
    <t>QUÉ NO ES</t>
  </si>
  <si>
    <t>Una medida de envejecimiento biológico. El envejecimiento se estudia con marcadores propios, como los relojes epigenéticos, que no tienen relación con esta aritmética.</t>
  </si>
  <si>
    <t>Una medida de salud metabólica. No informa sobre glicemia, presión arterial, perfil lipídico, resistencia a la insulina ni hígado graso.</t>
  </si>
  <si>
    <t>Un diagnóstico. No detecta ni descarta ninguna enfermedad.</t>
  </si>
  <si>
    <t>Una medición del metabolismo. La tasa metabólica no se midió: se estimó con una ecuación.</t>
  </si>
  <si>
    <t>Un valor comparable entre dispositivos. Cada báscula de bioimpedancia usa un algoritmo propietario distinto y no publicado: dos aparatos dan cifras diferentes para la misma persona el mismo día.</t>
  </si>
  <si>
    <t>CÓMO COMUNICARLO A LA PERSONA</t>
  </si>
  <si>
    <t>Diga</t>
  </si>
  <si>
    <t>«Tu masa muscular está por sobre el promedio de personas de tu peso y estatura. Si lo traducimos a una escala de edad, equivale a la de alguien de X años.»</t>
  </si>
  <si>
    <t>No diga</t>
  </si>
  <si>
    <t>«Tu cuerpo tiene X años» o «estás envejeciendo más rápido». Ninguna de las dos afirmaciones se sostiene con este cálculo.</t>
  </si>
  <si>
    <t>«Este número se mueve si cambia tu masa muscular. Sirve para seguir tu propio progreso.»</t>
  </si>
  <si>
    <t>«Tu metabolismo está dañado» o «tienes el metabolismo lento». El libro no midió el metabolismo.</t>
  </si>
  <si>
    <t>«El resultado depende de cuán bien estimamos tu grasa corporal, así que lo tomamos como una referencia aproximada.»</t>
  </si>
  <si>
    <t>Nada que compare a la persona con otras. El indicador sirve para seguimiento individual.</t>
  </si>
  <si>
    <t>Precaución</t>
  </si>
  <si>
    <t>Si la persona reacciona con angustia ante la cifra, no insista: retire el indicador y trabaje con medidas directas de composición corporal. En personas con trastorno de la conducta alimentaria o alto riesgo, NO utilice este indicador.</t>
  </si>
  <si>
    <t>ALTERNATIVAS MÁS INFORMATIVAS</t>
  </si>
  <si>
    <t>Masa libre de grasa en kilos</t>
  </si>
  <si>
    <t>Es el dato real que está detrás del indicador, sin traducción a años</t>
  </si>
  <si>
    <t>Índice de masa libre de grasa</t>
  </si>
  <si>
    <t>Permite comparar entre personas de distinta estatura</t>
  </si>
  <si>
    <t>El dato que se midió, sin transformar</t>
  </si>
  <si>
    <t>Tasa metabólica estimada</t>
  </si>
  <si>
    <t>La estimación de partida, en sus propias unidades</t>
  </si>
  <si>
    <t>Si el objetivo es informar sobre composición corporal, los indicadores de este último bloque dicen lo mismo sin necesidad de convertirlo en una edad. Reserve la edad metabólica para cuando el valor comunicacional justifique el riesgo de que se interprete como un diagnóstico.</t>
  </si>
  <si>
    <t>Origen del concepto, ecuaciones y advertencias</t>
  </si>
  <si>
    <t>ORIGEN Y ESTADO DEL CONCEPTO</t>
  </si>
  <si>
    <t>Elemento</t>
  </si>
  <si>
    <t>Detalle</t>
  </si>
  <si>
    <t>Procedencia del concepto</t>
  </si>
  <si>
    <t>La edad metabólica se popularizó a través de las básculas de bioimpedancia de uso doméstico y de gimnasio. No proviene de la literatura clínica ni de un consenso de sociedades científicas: es un dato que los fabricantes incorporaron a sus dispositivos como recurso de comunicación.</t>
  </si>
  <si>
    <t>Ausencia de validación</t>
  </si>
  <si>
    <t>No existe una definición consensuada, ni un método de referencia, ni ecuaciones normativas publicadas y revisadas por pares para este constructo específico. Los algoritmos de los dispositivos comerciales son propietarios y no están publicados, de modo que no pueden reproducirse ni auditarse.</t>
  </si>
  <si>
    <t>Consecuencia práctica</t>
  </si>
  <si>
    <t>Dos dispositivos distintos entregan edades metabólicas diferentes para la misma persona el mismo día, sin que exista forma de decidir cuál es correcta. Por eso este libro hace visible cada paso del cálculo: al menos su resultado es reproducible y auditable.</t>
  </si>
  <si>
    <t>Ecuación usada para la tasa metabólica sin edad</t>
  </si>
  <si>
    <t>Katch y McArdle: tasa metabólica basal igual a 370 más 21,6 por la masa libre de grasa en kilos. Se eligió porque NO contiene la edad como variable, condición necesaria para que el resultado no quede predeterminado.</t>
  </si>
  <si>
    <t>Ecuación poblacional con edad</t>
  </si>
  <si>
    <t>Mifflin MD, St Jeor ST y cols., «A new predictive equation for resting energy expenditure in healthy individuals», American Journal of Clinical Nutrition, 1990; 51: 241-247. Es una de las ecuaciones de estimación de gasto en reposo con mejor desempeño en población general adulta.</t>
  </si>
  <si>
    <t>La circularidad del método</t>
  </si>
  <si>
    <t>Si la tasa metabólica se estimara con la misma ecuación que contiene la edad y luego se despejara esa edad, el resultado devolvería exactamente la edad cronológica. La hoja CÁLCULO lo demuestra numéricamente. La edad metabólica solo entrega un valor distinto porque se combinan dos ecuaciones construidas sobre supuestos diferentes: ese cruce es el origen del número, no una medición del metabolismo.</t>
  </si>
  <si>
    <t>Sensibilidad al dato de entrada</t>
  </si>
  <si>
    <t>La conversión entre masa libre de grasa y años es un cociente fijo entre coeficientes: 21,6 dividido por 5, es decir 4,32 años por cada kilo de masa magra. Un error de dos puntos porcentuales en la estimación de la grasa corporal, perfectamente posible con pliegues o bioimpedancia, desplaza el resultado en varios años.</t>
  </si>
  <si>
    <t>Qué sí está validado</t>
  </si>
  <si>
    <t>Lo que sí tiene respaldo es la medición de la composición corporal en sí misma y su seguimiento en el tiempo con el mismo método y el mismo evaluador. Ese es el dato útil; la traducción a años es solo una envoltura.</t>
  </si>
  <si>
    <t>Envejecimiento biológico</t>
  </si>
  <si>
    <t>El envejecimiento biológico se estudia con marcadores propios, como los relojes epigenéticos basados en patrones de metilación del ADN, que no guardan relación con esta aritmética. No presente la edad metabólica como si midiera lo mismo.</t>
  </si>
  <si>
    <t>Uso responsable</t>
  </si>
  <si>
    <t>Este libro entrega el indicador porque existe demanda de él y porque es preferible calcularlo de forma transparente y con sus límites explícitos, antes que dejarlo en manos de un dispositivo que no muestra sus fórmulas. No lo use como diagnóstico, no lo use para comparar personas y no lo use en quienes puedan reaccionar con angustia frente a una cifra corporal.</t>
  </si>
  <si>
    <t>Control de calidad del motor de cálculo</t>
  </si>
  <si>
    <t>Los valores esperados se calcularon de forma independiente del motor del libro (verificación externa).</t>
  </si>
  <si>
    <t>Bloque</t>
  </si>
  <si>
    <t>Descripción de la prueba</t>
  </si>
  <si>
    <t>Obtenido</t>
  </si>
  <si>
    <t>Esperado</t>
  </si>
  <si>
    <t>Estado</t>
  </si>
  <si>
    <t>A</t>
  </si>
  <si>
    <t>Masa libre de grasa (82 kg con 22% de grasa)</t>
  </si>
  <si>
    <t>TMB sin usar la edad (370 + 21,6 × 63,96)</t>
  </si>
  <si>
    <t>TMB poblacional a los 45 años</t>
  </si>
  <si>
    <t>Diferencia entre ambas estimaciones</t>
  </si>
  <si>
    <t>B</t>
  </si>
  <si>
    <t>Diferencia con la edad cronológica</t>
  </si>
  <si>
    <t>C</t>
  </si>
  <si>
    <t>Invertir la MISMA ecuación devuelve la edad cronológica</t>
  </si>
  <si>
    <t>La diferencia de esa inversión es exactamente cero</t>
  </si>
  <si>
    <t>El libro declara la circularidad</t>
  </si>
  <si>
    <t>DECLARA</t>
  </si>
  <si>
    <t>D</t>
  </si>
  <si>
    <t>Años por cada kilo de masa libre de grasa (21,6 ÷ 5)</t>
  </si>
  <si>
    <t>Años por cada punto de grasa corporal</t>
  </si>
  <si>
    <t>Edad metabólica si la grasa fuera 4 puntos menor</t>
  </si>
  <si>
    <t>Edad metabólica si la grasa fuera 4 puntos mayor</t>
  </si>
  <si>
    <t>El rango completo abarca más de 28 años</t>
  </si>
  <si>
    <t>AMPLIO</t>
  </si>
  <si>
    <t>La fila central coincide con el resultado principal</t>
  </si>
  <si>
    <t>E</t>
  </si>
  <si>
    <t>El resultado queda dentro del rango de presentación</t>
  </si>
  <si>
    <t>DENTRO</t>
  </si>
  <si>
    <t>La lectura evita afirmar años de menos</t>
  </si>
  <si>
    <t>CORRECTA</t>
  </si>
  <si>
    <t>F</t>
  </si>
  <si>
    <t>Un valor ausente NO se interpreta como cero</t>
  </si>
  <si>
    <t>ND</t>
  </si>
  <si>
    <t>Sin porcentaje de grasa no se calcula edad metabólica</t>
  </si>
  <si>
    <t>HAY DATO</t>
  </si>
  <si>
    <t>RESUMEN</t>
  </si>
  <si>
    <t>Pruebas aprobadas</t>
  </si>
  <si>
    <t>Configuración · coeficientes de las ecuaciones utilizadas</t>
  </si>
  <si>
    <t>ECUACIÓN POBLACIONAL CON EDAD · Mifflin-St Jeor (1990)</t>
  </si>
  <si>
    <t>TMB = 10 × peso(kg) + 6,25 × talla(cm) − 5 × edad(años) + constante según sexo</t>
  </si>
  <si>
    <t>Coeficiente</t>
  </si>
  <si>
    <t>Valor</t>
  </si>
  <si>
    <t>Qué representa</t>
  </si>
  <si>
    <t>Peso (por kg)</t>
  </si>
  <si>
    <t>Cuánto suma cada kilo de peso corporal</t>
  </si>
  <si>
    <t>Talla (por cm)</t>
  </si>
  <si>
    <t>Cuánto suma cada centímetro de estatura</t>
  </si>
  <si>
    <t>Edad (por año)</t>
  </si>
  <si>
    <t>Cuánto RESTA cada año de edad · es el coeficiente que hace posible despejar una edad</t>
  </si>
  <si>
    <t>Constante · masculino</t>
  </si>
  <si>
    <t>Ajuste por sexo</t>
  </si>
  <si>
    <t>Constante · femenino</t>
  </si>
  <si>
    <t>ECUACIÓN SIN EDAD · Katch-McArdle, basada en masa libre de grasa</t>
  </si>
  <si>
    <t>TMB = 370 + 21,6 × masa libre de grasa (kg)   ·   NO contiene la edad como variable</t>
  </si>
  <si>
    <t>Constante</t>
  </si>
  <si>
    <t>Coeficiente por kg de masa libre de grasa</t>
  </si>
  <si>
    <t>UMBRALES DE PRESENTACIÓN</t>
  </si>
  <si>
    <t>Diferencia en años bajo la cual el resultado se considera equivalente</t>
  </si>
  <si>
    <t>años</t>
  </si>
  <si>
    <t>Diferencia en años sobre la cual el resultado se marca como implausible</t>
  </si>
  <si>
    <t>Edad mínima que se muestra</t>
  </si>
  <si>
    <t>Edad máxima que se muestra</t>
  </si>
  <si>
    <t>Tolerancia de las pruebas</t>
  </si>
  <si>
    <t>±</t>
  </si>
  <si>
    <t>Los umbrales de esta hoja NO provienen de literatura científica: son convenciones de presentación que este libro define para evitar mostrar cifras absurdas. La edad metabólica no tiene puntos de corte establecidos porque no es una magnitud validada.</t>
  </si>
  <si>
    <t>LISTAS</t>
  </si>
  <si>
    <t>SEXO</t>
  </si>
  <si>
    <t>METODO</t>
  </si>
  <si>
    <t>SI</t>
  </si>
  <si>
    <t>Femenino</t>
  </si>
  <si>
    <t>Sí</t>
  </si>
  <si>
    <t>Bioimpedancia</t>
  </si>
  <si>
    <t>No</t>
  </si>
  <si>
    <t>Densitometría</t>
  </si>
  <si>
    <t>Estimación clínica</t>
  </si>
  <si>
    <t>Historial de versiones</t>
  </si>
  <si>
    <t>Cambio</t>
  </si>
  <si>
    <t>Versión inicial de NMX-34: indicador educativo de edad metabólica con el cálculo desglosado paso a paso.</t>
  </si>
  <si>
    <t>Fase 7 · Especialidades y productos complementarios.</t>
  </si>
  <si>
    <t>Se usa una ecuación SIN edad para estimar la tasa metabólica y otra CON edad para despejarla.</t>
  </si>
  <si>
    <t>Si se usara la misma ecuación en ambos pasos, el resultado devolvería la edad cronológica por identidad algebraica.</t>
  </si>
  <si>
    <t>La hoja CÁLCULO demuestra numéricamente esa circularidad.</t>
  </si>
  <si>
    <t>Es la limitación central del concepto y ninguna calculadora comercial la declara.</t>
  </si>
  <si>
    <t>Hoja SENSIBILIDAD que muestra cuánto se mueve el resultado ante errores de uno a cuatro puntos en la estimación de la grasa corporal.</t>
  </si>
  <si>
    <t>El resultado depende por completo de un dato que se estima con error.</t>
  </si>
  <si>
    <t>La lectura traduce el resultado a masa libre de grasa y prohíbe expresamente comunicarlo como años de más o de menos.</t>
  </si>
  <si>
    <t>Evitar que un indicador comunicacional se interprete como diagnóstico.</t>
  </si>
  <si>
    <t>Guía de qué decir y qué no decir, con precaución explícita en trastornos de la conducta alimentaria.</t>
  </si>
  <si>
    <t>Una cifra corporal presentada como edad puede generar angustia.</t>
  </si>
  <si>
    <t>Bloque de alternativas más informativas: masa libre de grasa, su índice y el porcentaje de grasa.</t>
  </si>
  <si>
    <t>Si el objetivo es informar composición corporal, esos indicadores lo hacen sin envolverlo en una edad.</t>
  </si>
  <si>
    <t>Diseño visual, barra de navegación y enlaces de retorno replicados de NMX-10 aprobado.</t>
  </si>
  <si>
    <t>Unificar la identidad de la colección.</t>
  </si>
  <si>
    <t>1.0.1</t>
  </si>
  <si>
    <t>2026-08-01</t>
  </si>
  <si>
    <t>Redactada la declaracion de circularidad en CALCULO!C26 (frente a Que demuestra), que incluye el termino identidad algebraica requerido por la prueba documental. El motor numerico no cambia. 20 pruebas aprobadas.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</si>
</sst>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22">
    <font>
      <sz val="11"/>
      <color theme="1"/>
      <name val="Calibri"/>
      <family val="2"/>
      <charset val="1"/>
    </font>
    <font>
      <b/>
      <sz val="20"/>
      <color rgb="FFFFFFFF"/>
      <name val="Arial"/>
      <family val="2"/>
      <charset val="1"/>
    </font>
    <font>
      <b/>
      <sz val="14"/>
      <color rgb="FFFFFFFF"/>
      <name val="Arial"/>
      <family val="2"/>
      <charset val="1"/>
    </font>
    <font>
      <b/>
      <sz val="10"/>
      <color rgb="FFFFFFFF"/>
      <name val="Aptos"/>
      <charset val="1"/>
    </font>
    <font>
      <sz val="11"/>
      <color rgb="FF155E6C"/>
      <name val="Aptos"/>
      <charset val="1"/>
    </font>
    <font>
      <b/>
      <sz val="11"/>
      <color rgb="FF1A1A1A"/>
      <name val="Arial"/>
      <family val="2"/>
      <charset val="1"/>
    </font>
    <font>
      <b/>
      <sz val="10"/>
      <color rgb="FF1A1A1A"/>
      <name val="Arial"/>
      <family val="2"/>
      <charset val="1"/>
    </font>
    <font>
      <b/>
      <sz val="11"/>
      <color rgb="FFFFFFFF"/>
      <name val="Arial"/>
      <family val="2"/>
      <charset val="1"/>
    </font>
    <font>
      <b/>
      <sz val="10"/>
      <color rgb="FF155E6C"/>
      <name val="Arial"/>
      <family val="2"/>
      <charset val="1"/>
    </font>
    <font>
      <b/>
      <sz val="12"/>
      <color rgb="FF1A1A1A"/>
      <name val="Arial"/>
      <family val="2"/>
      <charset val="1"/>
    </font>
    <font>
      <b/>
      <sz val="10"/>
      <color rgb="FF0000CC"/>
      <name val="Arial"/>
      <family val="2"/>
      <charset val="1"/>
    </font>
    <font>
      <b/>
      <sz val="11"/>
      <color rgb="FF5A6B70"/>
      <name val="Arial"/>
      <family val="2"/>
      <charset val="1"/>
    </font>
    <font>
      <sz val="9"/>
      <color rgb="FF5A6B70"/>
      <name val="Arial"/>
      <family val="2"/>
      <charset val="1"/>
    </font>
    <font>
      <b/>
      <sz val="14"/>
      <color rgb="FF1C6B72"/>
      <name val="Arial"/>
      <family val="2"/>
      <charset val="1"/>
    </font>
    <font>
      <b/>
      <sz val="10"/>
      <color rgb="FFB45309"/>
      <name val="Arial"/>
      <family val="2"/>
      <charset val="1"/>
    </font>
    <font>
      <b/>
      <sz val="10"/>
      <color rgb="FFFFFFFF"/>
      <name val="Arial"/>
      <family val="2"/>
      <charset val="1"/>
    </font>
    <font>
      <sz val="10"/>
      <color rgb="FF1A1A1A"/>
      <name val="Arial"/>
      <family val="2"/>
      <charset val="1"/>
    </font>
    <font>
      <b/>
      <sz val="16"/>
      <color rgb="FF1C6B72"/>
      <name val="Arial"/>
      <family val="2"/>
      <charset val="1"/>
    </font>
    <font>
      <b/>
      <sz val="9"/>
      <color rgb="FF1A1A1A"/>
      <name val="Arial"/>
      <family val="2"/>
      <charset val="1"/>
    </font>
    <font>
      <sz val="9"/>
      <color rgb="FF1A1A1A"/>
      <name val="Arial"/>
      <family val="2"/>
      <charset val="1"/>
    </font>
    <font>
      <b/>
      <sz val="10"/>
      <color rgb="FF1C6B72"/>
      <name val="Arial"/>
      <family val="2"/>
      <charset val="1"/>
    </font>
    <font>
      <b/>
      <sz val="11"/>
      <color rgb="FF1C6B72"/>
      <name val="Arial"/>
      <family val="2"/>
      <charset val="1"/>
    </font>
  </fonts>
  <fills count="12">
    <fill>
      <patternFill patternType="none"/>
    </fill>
    <fill>
      <patternFill patternType="gray125"/>
    </fill>
    <fill>
      <patternFill patternType="solid">
        <fgColor rgb="FF0F3B44"/>
        <bgColor rgb="FF17324D"/>
      </patternFill>
    </fill>
    <fill>
      <patternFill patternType="solid">
        <fgColor rgb="FF1C6B72"/>
        <bgColor rgb="FF155E6C"/>
      </patternFill>
    </fill>
    <fill>
      <patternFill patternType="solid">
        <fgColor rgb="FF17324D"/>
        <bgColor rgb="FF0F3B44"/>
      </patternFill>
    </fill>
    <fill>
      <patternFill patternType="solid">
        <fgColor rgb="FFDCEFF1"/>
        <bgColor rgb="FFDFF0E3"/>
      </patternFill>
    </fill>
    <fill>
      <patternFill patternType="solid">
        <fgColor rgb="FFE7E0F5"/>
        <bgColor rgb="FFD8E7E2"/>
      </patternFill>
    </fill>
    <fill>
      <patternFill patternType="solid">
        <fgColor rgb="FFFBE4D5"/>
        <bgColor rgb="FFFCEFCE"/>
      </patternFill>
    </fill>
    <fill>
      <patternFill patternType="solid">
        <fgColor rgb="FFFCEFCE"/>
        <bgColor rgb="FFFBE4D5"/>
      </patternFill>
    </fill>
    <fill>
      <patternFill patternType="solid">
        <fgColor rgb="FFF4F6F7"/>
        <bgColor rgb="FFFFFFFF"/>
      </patternFill>
    </fill>
    <fill>
      <patternFill patternType="solid">
        <fgColor rgb="FFDFF0E3"/>
        <bgColor rgb="FFDCEFF1"/>
      </patternFill>
    </fill>
    <fill>
      <patternFill patternType="solid">
        <fgColor rgb="FFB45309"/>
        <bgColor rgb="FF993366"/>
      </patternFill>
    </fill>
  </fills>
  <borders count="10">
    <border>
      <left/>
      <right/>
      <top/>
      <bottom/>
      <diagonal/>
    </border>
    <border>
      <left style="thin">
        <color rgb="FFB7C7CB"/>
      </left>
      <right style="thin">
        <color rgb="FFB7C7CB"/>
      </right>
      <top style="thin">
        <color rgb="FFB7C7CB"/>
      </top>
      <bottom style="thin">
        <color rgb="FFB7C7CB"/>
      </bottom>
      <diagonal/>
    </border>
    <border>
      <left style="thin">
        <color auto="1"/>
      </left>
      <right style="thin">
        <color auto="1"/>
      </right>
      <top style="thin">
        <color auto="1"/>
      </top>
      <bottom style="thin">
        <color auto="1"/>
      </bottom>
      <diagonal/>
    </border>
    <border>
      <left style="thin">
        <color rgb="FFB7C7CB"/>
      </left>
      <right/>
      <top style="thin">
        <color rgb="FFB7C7CB"/>
      </top>
      <bottom style="thin">
        <color rgb="FFB7C7CB"/>
      </bottom>
      <diagonal/>
    </border>
    <border>
      <left/>
      <right style="thin">
        <color rgb="FFB7C7CB"/>
      </right>
      <top style="thin">
        <color rgb="FFB7C7CB"/>
      </top>
      <bottom style="thin">
        <color rgb="FFB7C7CB"/>
      </bottom>
      <diagonal/>
    </border>
    <border>
      <left style="thin">
        <color rgb="FFB7C7CB"/>
      </left>
      <right style="thin">
        <color rgb="FFB7C7CB"/>
      </right>
      <top/>
      <bottom style="thin">
        <color rgb="FFB7C7CB"/>
      </bottom>
      <diagonal/>
    </border>
    <border>
      <left style="thin">
        <color rgb="FFB7C7CB"/>
      </left>
      <right style="thin">
        <color rgb="FFB7C7CB"/>
      </right>
      <top style="thin">
        <color rgb="FFB7C7CB"/>
      </top>
      <bottom/>
      <diagonal/>
    </border>
    <border>
      <left style="thin">
        <color rgb="FFB7C7CB"/>
      </left>
      <right/>
      <top/>
      <bottom style="thin">
        <color rgb="FFB7C7CB"/>
      </bottom>
      <diagonal/>
    </border>
    <border>
      <left/>
      <right/>
      <top style="thin">
        <color rgb="FFB7C7CB"/>
      </top>
      <bottom style="thin">
        <color rgb="FFB7C7CB"/>
      </bottom>
      <diagonal/>
    </border>
    <border>
      <left style="thin">
        <color rgb="FFB7C7CB"/>
      </left>
      <right/>
      <top/>
      <bottom/>
      <diagonal/>
    </border>
  </borders>
  <cellStyleXfs count="1">
    <xf numFmtId="0" fontId="0" fillId="0" borderId="0"/>
  </cellStyleXfs>
  <cellXfs count="68">
    <xf numFmtId="0" fontId="0" fillId="0" borderId="0" xfId="0"/>
    <xf numFmtId="0" fontId="0" fillId="0" borderId="0" xfId="0" applyAlignment="1"/>
    <xf numFmtId="0" fontId="15" fillId="3" borderId="1" xfId="0" applyFont="1" applyFill="1" applyBorder="1" applyAlignment="1">
      <alignment horizontal="center" vertical="center" wrapText="1"/>
    </xf>
    <xf numFmtId="164" fontId="16" fillId="9" borderId="1" xfId="0" applyNumberFormat="1" applyFont="1" applyFill="1" applyBorder="1" applyAlignment="1">
      <alignment horizontal="center" vertical="center"/>
    </xf>
    <xf numFmtId="164" fontId="5" fillId="10" borderId="1" xfId="0" applyNumberFormat="1" applyFont="1" applyFill="1" applyBorder="1" applyAlignment="1">
      <alignment horizontal="center" vertical="center"/>
    </xf>
    <xf numFmtId="165" fontId="14" fillId="7"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0" fontId="15" fillId="3" borderId="1" xfId="0" applyFont="1" applyFill="1" applyBorder="1" applyAlignment="1">
      <alignment horizontal="center" vertical="center"/>
    </xf>
    <xf numFmtId="0" fontId="15" fillId="11" borderId="1" xfId="0" applyFont="1" applyFill="1" applyBorder="1" applyAlignment="1">
      <alignment horizontal="center" vertical="center"/>
    </xf>
    <xf numFmtId="0" fontId="6" fillId="10" borderId="1" xfId="0" applyFont="1" applyFill="1" applyBorder="1" applyAlignment="1">
      <alignment horizontal="center" vertical="center"/>
    </xf>
    <xf numFmtId="0" fontId="6" fillId="7" borderId="1" xfId="0" applyFont="1" applyFill="1" applyBorder="1" applyAlignment="1">
      <alignment horizontal="center" vertical="center"/>
    </xf>
    <xf numFmtId="0" fontId="18" fillId="9" borderId="1" xfId="0" applyFont="1" applyFill="1" applyBorder="1" applyAlignment="1">
      <alignment horizontal="left" vertical="top" wrapText="1"/>
    </xf>
    <xf numFmtId="0" fontId="12" fillId="0" borderId="0" xfId="0" applyFont="1" applyAlignment="1">
      <alignment horizontal="left" vertical="center"/>
    </xf>
    <xf numFmtId="0" fontId="19" fillId="9" borderId="1" xfId="0" applyFont="1" applyFill="1" applyBorder="1" applyAlignment="1">
      <alignment horizontal="center" vertical="center"/>
    </xf>
    <xf numFmtId="0" fontId="19" fillId="9" borderId="1" xfId="0" applyFont="1" applyFill="1" applyBorder="1" applyAlignment="1">
      <alignment horizontal="left" vertical="center"/>
    </xf>
    <xf numFmtId="0" fontId="18" fillId="10" borderId="1" xfId="0" applyFont="1" applyFill="1" applyBorder="1" applyAlignment="1">
      <alignment horizontal="center" vertical="center"/>
    </xf>
    <xf numFmtId="164" fontId="19" fillId="9" borderId="1" xfId="0" applyNumberFormat="1" applyFont="1" applyFill="1" applyBorder="1" applyAlignment="1">
      <alignment horizontal="center" vertical="center"/>
    </xf>
    <xf numFmtId="0" fontId="20" fillId="5" borderId="1" xfId="0" applyFont="1" applyFill="1" applyBorder="1" applyAlignment="1">
      <alignment horizontal="center" vertical="center"/>
    </xf>
    <xf numFmtId="0" fontId="20" fillId="5" borderId="1" xfId="0" applyFont="1" applyFill="1" applyBorder="1" applyAlignment="1">
      <alignment horizontal="left" vertical="center"/>
    </xf>
    <xf numFmtId="0" fontId="16" fillId="9" borderId="1" xfId="0" applyFont="1" applyFill="1" applyBorder="1" applyAlignment="1">
      <alignment horizontal="left" vertical="center"/>
    </xf>
    <xf numFmtId="0" fontId="10" fillId="8" borderId="1" xfId="0" applyFont="1" applyFill="1" applyBorder="1" applyAlignment="1">
      <alignment horizontal="center" vertical="center"/>
    </xf>
    <xf numFmtId="0" fontId="12" fillId="9" borderId="2" xfId="0" applyFont="1" applyFill="1" applyBorder="1" applyAlignment="1">
      <alignment horizontal="center" vertical="center"/>
    </xf>
    <xf numFmtId="0" fontId="10" fillId="8" borderId="4" xfId="0" applyFont="1" applyFill="1" applyBorder="1" applyAlignment="1">
      <alignment horizontal="center" vertical="center"/>
    </xf>
    <xf numFmtId="0" fontId="19" fillId="9" borderId="1" xfId="0" applyFont="1" applyFill="1" applyBorder="1" applyAlignment="1">
      <alignment horizontal="center" vertical="top"/>
    </xf>
    <xf numFmtId="0" fontId="9" fillId="5" borderId="1" xfId="0" applyFont="1" applyFill="1" applyBorder="1" applyAlignment="1">
      <alignment horizontal="center" vertical="center"/>
    </xf>
    <xf numFmtId="0" fontId="6"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3" borderId="1" xfId="0" applyFont="1" applyFill="1" applyBorder="1" applyAlignment="1">
      <alignment horizontal="left" vertical="center"/>
    </xf>
    <xf numFmtId="0" fontId="6" fillId="7" borderId="1" xfId="0" applyFont="1" applyFill="1" applyBorder="1" applyAlignment="1">
      <alignment horizontal="left" vertical="center" wrapText="1"/>
    </xf>
    <xf numFmtId="0" fontId="5" fillId="6" borderId="2" xfId="0" applyFont="1" applyFill="1" applyBorder="1" applyAlignment="1">
      <alignment horizontal="left" vertical="center"/>
    </xf>
    <xf numFmtId="0" fontId="6" fillId="6" borderId="2"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1" fillId="2" borderId="0" xfId="0" applyFont="1" applyFill="1" applyBorder="1" applyAlignment="1">
      <alignment horizontal="left" vertical="center"/>
    </xf>
    <xf numFmtId="0" fontId="2" fillId="3" borderId="0" xfId="0" applyFont="1" applyFill="1" applyBorder="1" applyAlignment="1">
      <alignment horizontal="left" vertical="center" wrapText="1"/>
    </xf>
    <xf numFmtId="0" fontId="2" fillId="3" borderId="1" xfId="0" applyFont="1" applyFill="1" applyBorder="1" applyAlignment="1">
      <alignment horizontal="left" vertical="center"/>
    </xf>
    <xf numFmtId="0" fontId="3" fillId="4" borderId="1" xfId="0" applyFont="1" applyFill="1" applyBorder="1" applyAlignment="1">
      <alignment horizontal="center" vertical="center"/>
    </xf>
    <xf numFmtId="0" fontId="5" fillId="6" borderId="1" xfId="0" applyFont="1" applyFill="1" applyBorder="1" applyAlignment="1">
      <alignment horizontal="left" vertical="center"/>
    </xf>
    <xf numFmtId="0" fontId="5" fillId="10" borderId="1" xfId="0" applyFont="1" applyFill="1" applyBorder="1" applyAlignment="1">
      <alignment horizontal="left" vertical="center"/>
    </xf>
    <xf numFmtId="0" fontId="6" fillId="9" borderId="1" xfId="0" applyFont="1" applyFill="1" applyBorder="1" applyAlignment="1">
      <alignment horizontal="left" vertical="center" wrapText="1"/>
    </xf>
    <xf numFmtId="0" fontId="9" fillId="7" borderId="1" xfId="0" applyFont="1" applyFill="1" applyBorder="1" applyAlignment="1">
      <alignment horizontal="left" vertical="top" wrapText="1"/>
    </xf>
    <xf numFmtId="0" fontId="10" fillId="8" borderId="1" xfId="0" applyFont="1" applyFill="1" applyBorder="1" applyAlignment="1">
      <alignment horizontal="left" vertical="center" wrapText="1"/>
    </xf>
    <xf numFmtId="0" fontId="11" fillId="0" borderId="0" xfId="0" applyFont="1" applyBorder="1" applyAlignment="1">
      <alignment horizontal="left" vertical="center" wrapText="1"/>
    </xf>
    <xf numFmtId="0" fontId="5" fillId="6" borderId="1" xfId="0" applyFont="1" applyFill="1" applyBorder="1" applyAlignment="1">
      <alignment horizontal="left" vertical="center" wrapText="1"/>
    </xf>
    <xf numFmtId="0" fontId="14" fillId="7" borderId="1" xfId="0" applyFont="1" applyFill="1" applyBorder="1" applyAlignment="1">
      <alignment horizontal="left" vertical="center" wrapText="1"/>
    </xf>
    <xf numFmtId="0" fontId="13" fillId="10" borderId="1" xfId="0" applyFont="1" applyFill="1" applyBorder="1" applyAlignment="1">
      <alignment horizontal="center" vertical="center"/>
    </xf>
    <xf numFmtId="0" fontId="12" fillId="0" borderId="0" xfId="0" applyFont="1" applyBorder="1" applyAlignment="1">
      <alignment horizontal="left" vertical="center" wrapText="1"/>
    </xf>
    <xf numFmtId="0" fontId="12" fillId="0" borderId="0" xfId="0" applyFont="1" applyBorder="1" applyAlignment="1">
      <alignment horizontal="left" vertical="center"/>
    </xf>
    <xf numFmtId="0" fontId="6" fillId="7" borderId="1" xfId="0" applyFont="1" applyFill="1" applyBorder="1" applyAlignment="1">
      <alignment horizontal="left" vertical="top" wrapText="1"/>
    </xf>
    <xf numFmtId="0" fontId="16" fillId="7" borderId="1" xfId="0" applyFont="1" applyFill="1" applyBorder="1" applyAlignment="1">
      <alignment horizontal="left" vertical="center" wrapText="1"/>
    </xf>
    <xf numFmtId="0" fontId="16" fillId="10" borderId="1"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4" fillId="7" borderId="1" xfId="0" applyFont="1" applyFill="1" applyBorder="1" applyAlignment="1">
      <alignment horizontal="left" vertical="top" wrapText="1"/>
    </xf>
    <xf numFmtId="164" fontId="17" fillId="10" borderId="1" xfId="0" applyNumberFormat="1" applyFont="1" applyFill="1" applyBorder="1" applyAlignment="1">
      <alignment horizontal="center" vertical="center"/>
    </xf>
    <xf numFmtId="0" fontId="19" fillId="9" borderId="1" xfId="0" applyFont="1" applyFill="1" applyBorder="1" applyAlignment="1">
      <alignment horizontal="left" vertical="top" wrapText="1"/>
    </xf>
    <xf numFmtId="0" fontId="15" fillId="3" borderId="1" xfId="0" applyFont="1" applyFill="1" applyBorder="1" applyAlignment="1">
      <alignment horizontal="center" vertical="center"/>
    </xf>
    <xf numFmtId="0" fontId="16" fillId="9" borderId="1" xfId="0" applyFont="1" applyFill="1" applyBorder="1" applyAlignment="1">
      <alignment horizontal="left" vertical="center"/>
    </xf>
    <xf numFmtId="0" fontId="16" fillId="9" borderId="2" xfId="0" applyFont="1" applyFill="1" applyBorder="1" applyAlignment="1">
      <alignment horizontal="left" vertical="center"/>
    </xf>
    <xf numFmtId="0" fontId="9" fillId="7" borderId="5" xfId="0" applyFont="1" applyFill="1" applyBorder="1" applyAlignment="1">
      <alignment horizontal="left" vertical="top" wrapText="1"/>
    </xf>
    <xf numFmtId="0" fontId="15" fillId="3" borderId="6" xfId="0" applyFont="1" applyFill="1" applyBorder="1" applyAlignment="1">
      <alignment horizontal="center" vertical="center"/>
    </xf>
    <xf numFmtId="0" fontId="12" fillId="9" borderId="1" xfId="0" applyFont="1" applyFill="1" applyBorder="1" applyAlignment="1">
      <alignment horizontal="left" vertical="center" wrapText="1"/>
    </xf>
    <xf numFmtId="0" fontId="21" fillId="5" borderId="1" xfId="0" applyFont="1" applyFill="1" applyBorder="1" applyAlignment="1">
      <alignment horizontal="left" vertical="center"/>
    </xf>
    <xf numFmtId="0" fontId="2" fillId="3" borderId="3" xfId="0" applyFont="1" applyFill="1" applyBorder="1" applyAlignment="1">
      <alignment horizontal="center" vertical="center"/>
    </xf>
    <xf numFmtId="0" fontId="19" fillId="9" borderId="3" xfId="0" applyFont="1" applyFill="1" applyBorder="1" applyAlignment="1">
      <alignment horizontal="center" vertical="top"/>
    </xf>
    <xf numFmtId="0" fontId="19" fillId="9" borderId="8" xfId="0" applyFont="1" applyFill="1" applyBorder="1" applyAlignment="1">
      <alignment horizontal="center" vertical="top"/>
    </xf>
    <xf numFmtId="0" fontId="19" fillId="9" borderId="4" xfId="0" applyFont="1" applyFill="1" applyBorder="1" applyAlignment="1">
      <alignment horizontal="center" vertical="top"/>
    </xf>
    <xf numFmtId="0" fontId="3" fillId="4" borderId="9" xfId="0" applyFont="1" applyFill="1" applyBorder="1" applyAlignment="1">
      <alignment horizontal="center" vertical="center"/>
    </xf>
    <xf numFmtId="0" fontId="3" fillId="4" borderId="0" xfId="0" applyFont="1" applyFill="1" applyBorder="1" applyAlignment="1">
      <alignment horizontal="center" vertical="center"/>
    </xf>
    <xf numFmtId="0" fontId="15" fillId="3"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1C6B72"/>
      <rgbColor rgb="FFB7C7CB"/>
      <rgbColor rgb="FF878787"/>
      <rgbColor rgb="FF9999FF"/>
      <rgbColor rgb="FF993366"/>
      <rgbColor rgb="FFFCEFCE"/>
      <rgbColor rgb="FFDCEFF1"/>
      <rgbColor rgb="FF660066"/>
      <rgbColor rgb="FFFF8080"/>
      <rgbColor rgb="FF0066CC"/>
      <rgbColor rgb="FFD9D9D9"/>
      <rgbColor rgb="FF000080"/>
      <rgbColor rgb="FFFF00FF"/>
      <rgbColor rgb="FFFFFF00"/>
      <rgbColor rgb="FF00FFFF"/>
      <rgbColor rgb="FF800080"/>
      <rgbColor rgb="FF800000"/>
      <rgbColor rgb="FF155E6C"/>
      <rgbColor rgb="FF0000FF"/>
      <rgbColor rgb="FF00CCFF"/>
      <rgbColor rgb="FFD8E7E2"/>
      <rgbColor rgb="FFDFF0E3"/>
      <rgbColor rgb="FFF4F6F7"/>
      <rgbColor rgb="FFE7E0F5"/>
      <rgbColor rgb="FFFF99CC"/>
      <rgbColor rgb="FFCC99FF"/>
      <rgbColor rgb="FFFBE4D5"/>
      <rgbColor rgb="FF4A7EBB"/>
      <rgbColor rgb="FF33CCCC"/>
      <rgbColor rgb="FF99CC00"/>
      <rgbColor rgb="FFFFCC00"/>
      <rgbColor rgb="FFFF9900"/>
      <rgbColor rgb="FFFF6600"/>
      <rgbColor rgb="FF5A6B70"/>
      <rgbColor rgb="FF969696"/>
      <rgbColor rgb="FF17324D"/>
      <rgbColor rgb="FF339966"/>
      <rgbColor rgb="FF003300"/>
      <rgbColor rgb="FF1A1A1A"/>
      <rgbColor rgb="FFB45309"/>
      <rgbColor rgb="FF993366"/>
      <rgbColor rgb="FF333399"/>
      <rgbColor rgb="FF0F3B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800" b="1" i="0" u="none" strike="noStrike" kern="1200" baseline="0">
                <a:solidFill>
                  <a:schemeClr val="dk1">
                    <a:lumMod val="75000"/>
                    <a:lumOff val="25000"/>
                  </a:schemeClr>
                </a:solidFill>
                <a:latin typeface="+mn-lt"/>
                <a:ea typeface="+mn-ea"/>
                <a:cs typeface="+mn-cs"/>
              </a:defRPr>
            </a:pPr>
            <a:r>
              <a:rPr lang="es-CL"/>
              <a:t>Cómo cambia la edad metabólica según el porcentaje de grasa supuesto</a:t>
            </a:r>
          </a:p>
        </c:rich>
      </c:tx>
      <c:layout>
        <c:manualLayout>
          <c:xMode val="edge"/>
          <c:yMode val="edge"/>
          <c:x val="0.197622090116118"/>
          <c:y val="4.7005222802533601E-2"/>
        </c:manualLayout>
      </c:layout>
      <c:overlay val="0"/>
      <c:spPr>
        <a:noFill/>
        <a:ln>
          <a:noFill/>
        </a:ln>
        <a:effectLst/>
      </c:spPr>
    </c:title>
    <c:autoTitleDeleted val="0"/>
    <c:plotArea>
      <c:layout/>
      <c:lineChart>
        <c:grouping val="standard"/>
        <c:varyColors val="1"/>
        <c:ser>
          <c:idx val="0"/>
          <c:order val="0"/>
          <c:tx>
            <c:strRef>
              <c:f>SENSIBILIDAD!$D$11</c:f>
              <c:strCache>
                <c:ptCount val="1"/>
                <c:pt idx="0">
                  <c:v>Edad metabólica (años)</c:v>
                </c:pt>
              </c:strCache>
            </c:strRef>
          </c:tx>
          <c:marker>
            <c:symbol val="circle"/>
            <c:size val="17"/>
          </c:marker>
          <c:dPt>
            <c:idx val="0"/>
            <c:marker>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1-6950-478A-A4D1-930247716FED}"/>
              </c:ext>
            </c:extLst>
          </c:dPt>
          <c:dPt>
            <c:idx val="1"/>
            <c:marker>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3-6950-478A-A4D1-930247716FED}"/>
              </c:ext>
            </c:extLst>
          </c:dPt>
          <c:dPt>
            <c:idx val="2"/>
            <c:marker>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05-6950-478A-A4D1-930247716FED}"/>
              </c:ext>
            </c:extLst>
          </c:dPt>
          <c:dPt>
            <c:idx val="3"/>
            <c:marker>
              <c:spPr>
                <a:solidFill>
                  <a:schemeClr val="accent4"/>
                </a:solidFill>
                <a:ln>
                  <a:noFill/>
                </a:ln>
                <a:effectLst/>
              </c:spPr>
            </c:marker>
            <c:bubble3D val="0"/>
            <c:spPr>
              <a:ln w="31750" cap="rnd">
                <a:solidFill>
                  <a:schemeClr val="accent4"/>
                </a:solidFill>
                <a:round/>
              </a:ln>
              <a:effectLst/>
            </c:spPr>
            <c:extLst>
              <c:ext xmlns:c16="http://schemas.microsoft.com/office/drawing/2014/chart" uri="{C3380CC4-5D6E-409C-BE32-E72D297353CC}">
                <c16:uniqueId val="{00000007-6950-478A-A4D1-930247716FED}"/>
              </c:ext>
            </c:extLst>
          </c:dPt>
          <c:dPt>
            <c:idx val="4"/>
            <c:marker>
              <c:spPr>
                <a:solidFill>
                  <a:schemeClr val="accent5"/>
                </a:solidFill>
                <a:ln>
                  <a:noFill/>
                </a:ln>
                <a:effectLst/>
              </c:spPr>
            </c:marker>
            <c:bubble3D val="0"/>
            <c:spPr>
              <a:ln w="31750" cap="rnd">
                <a:solidFill>
                  <a:schemeClr val="accent5"/>
                </a:solidFill>
                <a:round/>
              </a:ln>
              <a:effectLst/>
            </c:spPr>
            <c:extLst>
              <c:ext xmlns:c16="http://schemas.microsoft.com/office/drawing/2014/chart" uri="{C3380CC4-5D6E-409C-BE32-E72D297353CC}">
                <c16:uniqueId val="{00000009-6950-478A-A4D1-930247716FED}"/>
              </c:ext>
            </c:extLst>
          </c:dPt>
          <c:dPt>
            <c:idx val="5"/>
            <c:marker>
              <c:spPr>
                <a:solidFill>
                  <a:schemeClr val="accent6"/>
                </a:solidFill>
                <a:ln>
                  <a:noFill/>
                </a:ln>
                <a:effectLst/>
              </c:spPr>
            </c:marker>
            <c:bubble3D val="0"/>
            <c:spPr>
              <a:ln w="31750" cap="rnd">
                <a:solidFill>
                  <a:schemeClr val="accent6"/>
                </a:solidFill>
                <a:round/>
              </a:ln>
              <a:effectLst/>
            </c:spPr>
            <c:extLst>
              <c:ext xmlns:c16="http://schemas.microsoft.com/office/drawing/2014/chart" uri="{C3380CC4-5D6E-409C-BE32-E72D297353CC}">
                <c16:uniqueId val="{0000000B-6950-478A-A4D1-930247716FED}"/>
              </c:ext>
            </c:extLst>
          </c:dPt>
          <c:dPt>
            <c:idx val="6"/>
            <c:marker>
              <c:spPr>
                <a:solidFill>
                  <a:schemeClr val="accent1">
                    <a:lumMod val="60000"/>
                  </a:schemeClr>
                </a:solidFill>
                <a:ln>
                  <a:noFill/>
                </a:ln>
                <a:effectLst/>
              </c:spPr>
            </c:marker>
            <c:bubble3D val="0"/>
            <c:spPr>
              <a:ln w="31750" cap="rnd">
                <a:solidFill>
                  <a:schemeClr val="accent1">
                    <a:lumMod val="60000"/>
                  </a:schemeClr>
                </a:solidFill>
                <a:round/>
              </a:ln>
              <a:effectLst/>
            </c:spPr>
            <c:extLst>
              <c:ext xmlns:c16="http://schemas.microsoft.com/office/drawing/2014/chart" uri="{C3380CC4-5D6E-409C-BE32-E72D297353CC}">
                <c16:uniqueId val="{0000000D-6950-478A-A4D1-930247716FED}"/>
              </c:ext>
            </c:extLst>
          </c:dPt>
          <c:dPt>
            <c:idx val="7"/>
            <c:marker>
              <c:spPr>
                <a:solidFill>
                  <a:schemeClr val="accent2">
                    <a:lumMod val="60000"/>
                  </a:schemeClr>
                </a:solidFill>
                <a:ln>
                  <a:noFill/>
                </a:ln>
                <a:effectLst/>
              </c:spPr>
            </c:marker>
            <c:bubble3D val="0"/>
            <c:spPr>
              <a:ln w="31750" cap="rnd">
                <a:solidFill>
                  <a:schemeClr val="accent2">
                    <a:lumMod val="60000"/>
                  </a:schemeClr>
                </a:solidFill>
                <a:round/>
              </a:ln>
              <a:effectLst/>
            </c:spPr>
            <c:extLst>
              <c:ext xmlns:c16="http://schemas.microsoft.com/office/drawing/2014/chart" uri="{C3380CC4-5D6E-409C-BE32-E72D297353CC}">
                <c16:uniqueId val="{0000000F-6950-478A-A4D1-930247716FED}"/>
              </c:ext>
            </c:extLst>
          </c:dPt>
          <c:dPt>
            <c:idx val="8"/>
            <c:marker>
              <c:spPr>
                <a:solidFill>
                  <a:schemeClr val="accent3">
                    <a:lumMod val="60000"/>
                  </a:schemeClr>
                </a:solidFill>
                <a:ln>
                  <a:noFill/>
                </a:ln>
                <a:effectLst/>
              </c:spPr>
            </c:marker>
            <c:bubble3D val="0"/>
            <c:spPr>
              <a:ln w="31750" cap="rnd">
                <a:solidFill>
                  <a:schemeClr val="accent3">
                    <a:lumMod val="60000"/>
                  </a:schemeClr>
                </a:solidFill>
                <a:round/>
              </a:ln>
              <a:effectLst/>
            </c:spPr>
            <c:extLst>
              <c:ext xmlns:c16="http://schemas.microsoft.com/office/drawing/2014/chart" uri="{C3380CC4-5D6E-409C-BE32-E72D297353CC}">
                <c16:uniqueId val="{00000011-6950-478A-A4D1-930247716FED}"/>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L"/>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6950-478A-A4D1-930247716FED}"/>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L"/>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6950-478A-A4D1-930247716FED}"/>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L"/>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6950-478A-A4D1-930247716FED}"/>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L"/>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6950-478A-A4D1-930247716FED}"/>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L"/>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6950-478A-A4D1-930247716FED}"/>
                </c:ext>
              </c:extLst>
            </c:dLbl>
            <c:dLbl>
              <c:idx val="5"/>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L"/>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6950-478A-A4D1-930247716FED}"/>
                </c:ext>
              </c:extLst>
            </c:dLbl>
            <c:dLbl>
              <c:idx val="6"/>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L"/>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6950-478A-A4D1-930247716FED}"/>
                </c:ext>
              </c:extLst>
            </c:dLbl>
            <c:dLbl>
              <c:idx val="7"/>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L"/>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6950-478A-A4D1-930247716FED}"/>
                </c:ext>
              </c:extLst>
            </c:dLbl>
            <c:dLbl>
              <c:idx val="8"/>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L"/>
                </a:p>
              </c:txPr>
              <c:dLblPos val="ct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6950-478A-A4D1-930247716FED}"/>
                </c:ext>
              </c:extLst>
            </c:dLbl>
            <c:spPr>
              <a:noFill/>
              <a:ln>
                <a:noFill/>
              </a:ln>
              <a:effectLst/>
            </c:sp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SENSIBILIDAD!$A$12:$A$20</c:f>
              <c:numCache>
                <c:formatCode>0.0</c:formatCode>
                <c:ptCount val="9"/>
                <c:pt idx="0">
                  <c:v>18</c:v>
                </c:pt>
                <c:pt idx="1">
                  <c:v>19</c:v>
                </c:pt>
                <c:pt idx="2">
                  <c:v>20</c:v>
                </c:pt>
                <c:pt idx="3">
                  <c:v>21</c:v>
                </c:pt>
                <c:pt idx="4">
                  <c:v>22</c:v>
                </c:pt>
                <c:pt idx="5">
                  <c:v>23</c:v>
                </c:pt>
                <c:pt idx="6">
                  <c:v>24</c:v>
                </c:pt>
                <c:pt idx="7">
                  <c:v>25</c:v>
                </c:pt>
                <c:pt idx="8">
                  <c:v>26</c:v>
                </c:pt>
              </c:numCache>
            </c:numRef>
          </c:cat>
          <c:val>
            <c:numRef>
              <c:f>SENSIBILIDAD!$D$12:$D$20</c:f>
              <c:numCache>
                <c:formatCode>0.0</c:formatCode>
                <c:ptCount val="9"/>
                <c:pt idx="0">
                  <c:v>23.023199999999953</c:v>
                </c:pt>
                <c:pt idx="1">
                  <c:v>26.565599999999996</c:v>
                </c:pt>
                <c:pt idx="2">
                  <c:v>30.107999999999947</c:v>
                </c:pt>
                <c:pt idx="3">
                  <c:v>33.650399999999991</c:v>
                </c:pt>
                <c:pt idx="4">
                  <c:v>37.192799999999991</c:v>
                </c:pt>
                <c:pt idx="5">
                  <c:v>40.735199999999985</c:v>
                </c:pt>
                <c:pt idx="6">
                  <c:v>44.277599999999985</c:v>
                </c:pt>
                <c:pt idx="7">
                  <c:v>47.819999999999979</c:v>
                </c:pt>
                <c:pt idx="8">
                  <c:v>51.36239999999998</c:v>
                </c:pt>
              </c:numCache>
            </c:numRef>
          </c:val>
          <c:smooth val="0"/>
          <c:extLst>
            <c:ext xmlns:c16="http://schemas.microsoft.com/office/drawing/2014/chart" uri="{C3380CC4-5D6E-409C-BE32-E72D297353CC}">
              <c16:uniqueId val="{00000012-6950-478A-A4D1-930247716FED}"/>
            </c:ext>
          </c:extLst>
        </c:ser>
        <c:dLbls>
          <c:dLblPos val="ctr"/>
          <c:showLegendKey val="0"/>
          <c:showVal val="1"/>
          <c:showCatName val="0"/>
          <c:showSerName val="0"/>
          <c:showPercent val="0"/>
          <c:showBubbleSize val="0"/>
        </c:dLbls>
        <c:hiLowLines>
          <c:spPr>
            <a:ln w="9525">
              <a:solidFill>
                <a:schemeClr val="dk1">
                  <a:lumMod val="35000"/>
                  <a:lumOff val="65000"/>
                </a:schemeClr>
              </a:solidFill>
              <a:prstDash val="dash"/>
            </a:ln>
            <a:effectLst/>
          </c:spPr>
        </c:hiLowLines>
        <c:marker val="1"/>
        <c:smooth val="0"/>
        <c:axId val="33327496"/>
        <c:axId val="57857139"/>
      </c:lineChart>
      <c:catAx>
        <c:axId val="33327496"/>
        <c:scaling>
          <c:orientation val="minMax"/>
        </c:scaling>
        <c:delete val="0"/>
        <c:axPos val="b"/>
        <c:title>
          <c:tx>
            <c:rich>
              <a:bodyPr rot="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r>
                  <a:rPr lang="es-CL"/>
                  <a:t>porcentaje de grasa corporal</a:t>
                </a:r>
              </a:p>
            </c:rich>
          </c:tx>
          <c:overlay val="0"/>
          <c:spPr>
            <a:noFill/>
            <a:ln>
              <a:noFill/>
            </a:ln>
            <a:effectLst/>
          </c:spPr>
        </c:title>
        <c:numFmt formatCode="0.0"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L"/>
          </a:p>
        </c:txPr>
        <c:crossAx val="57857139"/>
        <c:crosses val="autoZero"/>
        <c:auto val="1"/>
        <c:lblAlgn val="ctr"/>
        <c:lblOffset val="100"/>
        <c:noMultiLvlLbl val="0"/>
      </c:catAx>
      <c:valAx>
        <c:axId val="578571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wrap="square" anchor="ctr" anchorCtr="1"/>
              <a:lstStyle/>
              <a:p>
                <a:pPr>
                  <a:defRPr sz="900" b="1" i="0" u="none" strike="noStrike" kern="1200" baseline="0">
                    <a:solidFill>
                      <a:schemeClr val="dk1">
                        <a:lumMod val="75000"/>
                        <a:lumOff val="25000"/>
                      </a:schemeClr>
                    </a:solidFill>
                    <a:latin typeface="+mn-lt"/>
                    <a:ea typeface="+mn-ea"/>
                    <a:cs typeface="+mn-cs"/>
                  </a:defRPr>
                </a:pPr>
                <a:r>
                  <a:rPr lang="es-CL"/>
                  <a:t>edad metabólica (años)</a:t>
                </a:r>
              </a:p>
            </c:rich>
          </c:tx>
          <c:layout>
            <c:manualLayout>
              <c:xMode val="edge"/>
              <c:yMode val="edge"/>
              <c:x val="5.5558642146785899E-5"/>
              <c:y val="0.19102122458050899"/>
            </c:manualLayout>
          </c:layout>
          <c:overlay val="0"/>
          <c:spPr>
            <a:noFill/>
            <a:ln>
              <a:noFill/>
            </a:ln>
            <a:effectLst/>
          </c:spPr>
        </c:title>
        <c:numFmt formatCode="0.0" sourceLinked="1"/>
        <c:majorTickMark val="none"/>
        <c:minorTickMark val="none"/>
        <c:tickLblPos val="nextTo"/>
        <c:crossAx val="3332749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L"/>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L"/>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657360</xdr:colOff>
      <xdr:row>10</xdr:row>
      <xdr:rowOff>0</xdr:rowOff>
    </xdr:from>
    <xdr:to>
      <xdr:col>14</xdr:col>
      <xdr:colOff>259560</xdr:colOff>
      <xdr:row>20</xdr:row>
      <xdr:rowOff>324360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F3B44"/>
  </sheetPr>
  <dimension ref="A1:Q35"/>
  <sheetViews>
    <sheetView showGridLines="0" zoomScaleNormal="100" workbookViewId="0">
      <selection activeCell="P10" sqref="P10"/>
    </sheetView>
  </sheetViews>
  <sheetFormatPr baseColWidth="10" defaultColWidth="9.140625" defaultRowHeight="15"/>
  <cols>
    <col min="1" max="1" width="18.5703125" style="1" customWidth="1"/>
    <col min="2" max="2" width="15" style="1" customWidth="1"/>
    <col min="3" max="3" width="12" style="1" customWidth="1"/>
    <col min="4" max="5" width="11" style="1" customWidth="1"/>
    <col min="6" max="7" width="10" style="1" customWidth="1"/>
    <col min="8" max="8" width="11.7109375" style="1" customWidth="1"/>
    <col min="9" max="9" width="10" style="1" customWidth="1"/>
    <col min="10" max="10" width="11.28515625" style="1" customWidth="1"/>
    <col min="11" max="11" width="15.42578125" style="1" customWidth="1"/>
    <col min="12" max="12" width="9" style="1" customWidth="1"/>
    <col min="13" max="16" width="11" style="1" customWidth="1"/>
    <col min="17" max="17" width="12" style="1" customWidth="1"/>
  </cols>
  <sheetData>
    <row r="1" spans="1:17" ht="25.5" customHeight="1">
      <c r="A1" s="32" t="s">
        <v>0</v>
      </c>
      <c r="B1" s="32"/>
      <c r="C1" s="32"/>
      <c r="D1" s="32"/>
      <c r="E1" s="32"/>
      <c r="F1" s="32"/>
      <c r="G1" s="32"/>
      <c r="H1" s="32"/>
      <c r="I1" s="32"/>
      <c r="J1" s="32"/>
      <c r="K1" s="32"/>
      <c r="L1" s="32"/>
      <c r="M1" s="32"/>
      <c r="N1" s="32"/>
      <c r="O1" s="32"/>
      <c r="P1" s="32"/>
      <c r="Q1" s="32"/>
    </row>
    <row r="2" spans="1:17" ht="15" customHeight="1">
      <c r="A2" s="33" t="s">
        <v>1</v>
      </c>
      <c r="B2" s="33"/>
      <c r="C2" s="33"/>
      <c r="D2" s="33"/>
      <c r="E2" s="33"/>
      <c r="F2" s="33"/>
      <c r="G2" s="33"/>
      <c r="H2" s="33"/>
      <c r="I2" s="33"/>
      <c r="J2" s="33"/>
      <c r="K2" s="33"/>
      <c r="L2" s="33"/>
      <c r="M2" s="33"/>
      <c r="N2" s="33"/>
      <c r="O2" s="33"/>
      <c r="P2" s="33"/>
      <c r="Q2" s="33"/>
    </row>
    <row r="3" spans="1:17" ht="15" customHeight="1">
      <c r="A3" s="33"/>
      <c r="B3" s="33"/>
      <c r="C3" s="33"/>
      <c r="D3" s="33"/>
      <c r="E3" s="33"/>
      <c r="F3" s="33"/>
      <c r="G3" s="33"/>
      <c r="H3" s="33"/>
      <c r="I3" s="33"/>
      <c r="J3" s="33"/>
      <c r="K3" s="33"/>
      <c r="L3" s="33"/>
      <c r="M3" s="33"/>
      <c r="N3" s="33"/>
      <c r="O3" s="33"/>
      <c r="P3" s="33"/>
      <c r="Q3" s="33"/>
    </row>
    <row r="4" spans="1:17" ht="27.75" customHeight="1">
      <c r="A4" s="34" t="s">
        <v>2</v>
      </c>
      <c r="B4" s="34"/>
      <c r="C4" s="34"/>
      <c r="D4" s="34"/>
      <c r="E4" s="34"/>
      <c r="F4" s="34"/>
      <c r="G4" s="34"/>
      <c r="H4" s="34"/>
      <c r="I4" s="34"/>
      <c r="J4" s="34"/>
      <c r="K4" s="34"/>
      <c r="L4" s="34"/>
      <c r="M4" s="34"/>
      <c r="N4" s="34"/>
      <c r="O4" s="34"/>
      <c r="P4" s="34"/>
      <c r="Q4" s="34"/>
    </row>
    <row r="5" spans="1:17" ht="27.75" customHeight="1">
      <c r="A5" s="35" t="str">
        <f>HYPERLINK("#DATOS!A1","▶  DATOS")</f>
        <v>▶  DATOS</v>
      </c>
      <c r="B5" s="35"/>
      <c r="C5" s="35" t="str">
        <f>HYPERLINK("#CALCULO!A1","▶  CALCULO")</f>
        <v>▶  CALCULO</v>
      </c>
      <c r="D5" s="35"/>
      <c r="E5" s="35" t="str">
        <f>HYPERLINK("#SENSIBILIDAD!A1","▶  SENSIBILIDAD")</f>
        <v>▶  SENSIBILIDAD</v>
      </c>
      <c r="F5" s="35"/>
      <c r="G5" s="35" t="str">
        <f>HYPERLINK("#INTERPRETACION!A1","▶  INTERPRETACION")</f>
        <v>▶  INTERPRETACION</v>
      </c>
      <c r="H5" s="35"/>
      <c r="I5" s="35" t="str">
        <f>HYPERLINK("#FUENTES!A1","▶  FUENTES")</f>
        <v>▶  FUENTES</v>
      </c>
      <c r="J5" s="35"/>
      <c r="K5" s="35" t="str">
        <f>HYPERLINK("#PRUEBAS!A1","▶  PRUEBAS")</f>
        <v>▶  PRUEBAS</v>
      </c>
      <c r="L5" s="35"/>
      <c r="M5" s="35" t="str">
        <f>HYPERLINK("#CONFIG!A1","▶  CONFIG")</f>
        <v>▶  CONFIG</v>
      </c>
      <c r="N5" s="35"/>
      <c r="O5" s="35" t="str">
        <f>HYPERLINK("#CHANGELOG!A1","▶  CHANGELOG")</f>
        <v>▶  CHANGELOG</v>
      </c>
      <c r="P5" s="35"/>
      <c r="Q5" s="35"/>
    </row>
    <row r="6" spans="1:17" ht="29.25" customHeight="1">
      <c r="A6" s="31" t="s">
        <v>3</v>
      </c>
      <c r="B6" s="31"/>
      <c r="C6" s="31" t="s">
        <v>4</v>
      </c>
      <c r="D6" s="31"/>
      <c r="E6" s="31" t="s">
        <v>5</v>
      </c>
      <c r="F6" s="31"/>
      <c r="G6" s="31" t="s">
        <v>6</v>
      </c>
      <c r="H6" s="31"/>
      <c r="I6" s="31" t="s">
        <v>7</v>
      </c>
      <c r="J6" s="31"/>
      <c r="K6" s="31" t="s">
        <v>8</v>
      </c>
      <c r="L6" s="31"/>
      <c r="M6" s="31" t="s">
        <v>9</v>
      </c>
      <c r="N6" s="31"/>
      <c r="O6" s="31" t="s">
        <v>10</v>
      </c>
      <c r="P6" s="31"/>
      <c r="Q6" s="31"/>
    </row>
    <row r="8" spans="1:17" ht="22.5" customHeight="1">
      <c r="A8" s="29" t="s">
        <v>11</v>
      </c>
      <c r="B8" s="29"/>
      <c r="C8" s="30" t="s">
        <v>12</v>
      </c>
      <c r="D8" s="30"/>
      <c r="E8" s="30"/>
      <c r="F8" s="30"/>
      <c r="G8" s="30"/>
      <c r="H8" s="30"/>
      <c r="I8" s="30"/>
      <c r="J8" s="30"/>
      <c r="K8" s="30"/>
    </row>
    <row r="9" spans="1:17" ht="22.5" customHeight="1">
      <c r="A9" s="29" t="s">
        <v>13</v>
      </c>
      <c r="B9" s="29"/>
      <c r="C9" s="30" t="s">
        <v>14</v>
      </c>
      <c r="D9" s="30"/>
      <c r="E9" s="30"/>
      <c r="F9" s="30"/>
      <c r="G9" s="30"/>
      <c r="H9" s="30"/>
      <c r="I9" s="30"/>
      <c r="J9" s="30"/>
      <c r="K9" s="30"/>
    </row>
    <row r="10" spans="1:17" ht="22.5" customHeight="1">
      <c r="A10" s="29" t="s">
        <v>15</v>
      </c>
      <c r="B10" s="29"/>
      <c r="C10" s="30" t="s">
        <v>16</v>
      </c>
      <c r="D10" s="30"/>
      <c r="E10" s="30"/>
      <c r="F10" s="30"/>
      <c r="G10" s="30"/>
      <c r="H10" s="30"/>
      <c r="I10" s="30"/>
      <c r="J10" s="30"/>
      <c r="K10" s="30"/>
    </row>
    <row r="11" spans="1:17" ht="22.5" customHeight="1">
      <c r="A11" s="29" t="s">
        <v>17</v>
      </c>
      <c r="B11" s="29"/>
      <c r="C11" s="30" t="s">
        <v>18</v>
      </c>
      <c r="D11" s="30"/>
      <c r="E11" s="30"/>
      <c r="F11" s="30"/>
      <c r="G11" s="30"/>
      <c r="H11" s="30"/>
      <c r="I11" s="30"/>
      <c r="J11" s="30"/>
      <c r="K11" s="30"/>
    </row>
    <row r="12" spans="1:17" ht="22.5" customHeight="1">
      <c r="A12" s="29" t="s">
        <v>19</v>
      </c>
      <c r="B12" s="29"/>
      <c r="C12" s="30" t="s">
        <v>20</v>
      </c>
      <c r="D12" s="30"/>
      <c r="E12" s="30"/>
      <c r="F12" s="30"/>
      <c r="G12" s="30"/>
      <c r="H12" s="30"/>
      <c r="I12" s="30"/>
      <c r="J12" s="30"/>
      <c r="K12" s="30"/>
    </row>
    <row r="13" spans="1:17" ht="22.5" customHeight="1">
      <c r="A13" s="29" t="s">
        <v>21</v>
      </c>
      <c r="B13" s="29"/>
      <c r="C13" s="30" t="s">
        <v>22</v>
      </c>
      <c r="D13" s="30"/>
      <c r="E13" s="30"/>
      <c r="F13" s="30"/>
      <c r="G13" s="30"/>
      <c r="H13" s="30"/>
      <c r="I13" s="30"/>
      <c r="J13" s="30"/>
      <c r="K13" s="30"/>
    </row>
    <row r="14" spans="1:17" ht="22.5" customHeight="1">
      <c r="A14" s="29" t="s">
        <v>23</v>
      </c>
      <c r="B14" s="29"/>
      <c r="C14" s="30" t="s">
        <v>24</v>
      </c>
      <c r="D14" s="30"/>
      <c r="E14" s="30"/>
      <c r="F14" s="30"/>
      <c r="G14" s="30"/>
      <c r="H14" s="30"/>
      <c r="I14" s="30"/>
      <c r="J14" s="30"/>
      <c r="K14" s="30"/>
    </row>
    <row r="16" spans="1:17" ht="19.5" customHeight="1">
      <c r="A16" s="27" t="s">
        <v>25</v>
      </c>
      <c r="B16" s="27"/>
      <c r="C16" s="27"/>
      <c r="D16" s="27"/>
      <c r="E16" s="27"/>
      <c r="F16" s="27"/>
      <c r="G16" s="27"/>
      <c r="H16" s="27"/>
      <c r="I16" s="27"/>
      <c r="J16" s="27"/>
      <c r="K16" s="27"/>
      <c r="L16" s="27"/>
      <c r="M16" s="27"/>
      <c r="N16" s="27"/>
      <c r="O16" s="27"/>
      <c r="P16" s="27"/>
      <c r="Q16" s="27"/>
    </row>
    <row r="17" spans="1:17" ht="30" customHeight="1">
      <c r="A17" s="28" t="s">
        <v>26</v>
      </c>
      <c r="B17" s="28"/>
      <c r="C17" s="28"/>
      <c r="D17" s="28"/>
      <c r="E17" s="28"/>
      <c r="F17" s="28"/>
      <c r="G17" s="28"/>
      <c r="H17" s="28"/>
      <c r="I17" s="28"/>
      <c r="J17" s="28"/>
      <c r="K17" s="28"/>
      <c r="L17" s="28"/>
      <c r="M17" s="28"/>
      <c r="N17" s="28"/>
      <c r="O17" s="28"/>
      <c r="P17" s="28"/>
      <c r="Q17" s="28"/>
    </row>
    <row r="18" spans="1:17" ht="30" customHeight="1">
      <c r="A18" s="28" t="s">
        <v>27</v>
      </c>
      <c r="B18" s="28"/>
      <c r="C18" s="28"/>
      <c r="D18" s="28"/>
      <c r="E18" s="28"/>
      <c r="F18" s="28"/>
      <c r="G18" s="28"/>
      <c r="H18" s="28"/>
      <c r="I18" s="28"/>
      <c r="J18" s="28"/>
      <c r="K18" s="28"/>
      <c r="L18" s="28"/>
      <c r="M18" s="28"/>
      <c r="N18" s="28"/>
      <c r="O18" s="28"/>
      <c r="P18" s="28"/>
      <c r="Q18" s="28"/>
    </row>
    <row r="19" spans="1:17" ht="30" customHeight="1">
      <c r="A19" s="28" t="s">
        <v>28</v>
      </c>
      <c r="B19" s="28"/>
      <c r="C19" s="28"/>
      <c r="D19" s="28"/>
      <c r="E19" s="28"/>
      <c r="F19" s="28"/>
      <c r="G19" s="28"/>
      <c r="H19" s="28"/>
      <c r="I19" s="28"/>
      <c r="J19" s="28"/>
      <c r="K19" s="28"/>
      <c r="L19" s="28"/>
      <c r="M19" s="28"/>
      <c r="N19" s="28"/>
      <c r="O19" s="28"/>
      <c r="P19" s="28"/>
      <c r="Q19" s="28"/>
    </row>
    <row r="20" spans="1:17" ht="30" customHeight="1">
      <c r="A20" s="28" t="s">
        <v>29</v>
      </c>
      <c r="B20" s="28"/>
      <c r="C20" s="28"/>
      <c r="D20" s="28"/>
      <c r="E20" s="28"/>
      <c r="F20" s="28"/>
      <c r="G20" s="28"/>
      <c r="H20" s="28"/>
      <c r="I20" s="28"/>
      <c r="J20" s="28"/>
      <c r="K20" s="28"/>
      <c r="L20" s="28"/>
      <c r="M20" s="28"/>
      <c r="N20" s="28"/>
      <c r="O20" s="28"/>
      <c r="P20" s="28"/>
      <c r="Q20" s="28"/>
    </row>
    <row r="21" spans="1:17" ht="30" customHeight="1">
      <c r="A21" s="28" t="s">
        <v>30</v>
      </c>
      <c r="B21" s="28"/>
      <c r="C21" s="28"/>
      <c r="D21" s="28"/>
      <c r="E21" s="28"/>
      <c r="F21" s="28"/>
      <c r="G21" s="28"/>
      <c r="H21" s="28"/>
      <c r="I21" s="28"/>
      <c r="J21" s="28"/>
      <c r="K21" s="28"/>
      <c r="L21" s="28"/>
      <c r="M21" s="28"/>
      <c r="N21" s="28"/>
      <c r="O21" s="28"/>
      <c r="P21" s="28"/>
      <c r="Q21" s="28"/>
    </row>
    <row r="22" spans="1:17" ht="30" customHeight="1">
      <c r="A22" s="28" t="s">
        <v>31</v>
      </c>
      <c r="B22" s="28"/>
      <c r="C22" s="28"/>
      <c r="D22" s="28"/>
      <c r="E22" s="28"/>
      <c r="F22" s="28"/>
      <c r="G22" s="28"/>
      <c r="H22" s="28"/>
      <c r="I22" s="28"/>
      <c r="J22" s="28"/>
      <c r="K22" s="28"/>
      <c r="L22" s="28"/>
      <c r="M22" s="28"/>
      <c r="N22" s="28"/>
      <c r="O22" s="28"/>
      <c r="P22" s="28"/>
      <c r="Q22" s="28"/>
    </row>
    <row r="24" spans="1:17" ht="19.5" customHeight="1">
      <c r="A24" s="27" t="s">
        <v>32</v>
      </c>
      <c r="B24" s="27"/>
      <c r="C24" s="27"/>
      <c r="D24" s="27"/>
      <c r="E24" s="27"/>
      <c r="F24" s="27"/>
      <c r="G24" s="27"/>
      <c r="H24" s="27"/>
      <c r="I24" s="27"/>
      <c r="J24" s="27"/>
      <c r="K24" s="27"/>
      <c r="L24" s="27"/>
      <c r="M24" s="27"/>
      <c r="N24" s="27"/>
      <c r="O24" s="27"/>
      <c r="P24" s="27"/>
      <c r="Q24" s="27"/>
    </row>
    <row r="25" spans="1:17" ht="27.75" customHeight="1">
      <c r="A25" s="26" t="s">
        <v>33</v>
      </c>
      <c r="B25" s="26"/>
      <c r="C25" s="26"/>
      <c r="D25" s="26"/>
      <c r="E25" s="26"/>
      <c r="F25" s="26"/>
      <c r="G25" s="26"/>
      <c r="H25" s="26"/>
      <c r="I25" s="26"/>
      <c r="J25" s="26"/>
      <c r="K25" s="26"/>
      <c r="L25" s="26"/>
      <c r="M25" s="26"/>
      <c r="N25" s="26"/>
      <c r="O25" s="26"/>
      <c r="P25" s="26"/>
      <c r="Q25" s="26"/>
    </row>
    <row r="26" spans="1:17" ht="27.75" customHeight="1">
      <c r="A26" s="26" t="s">
        <v>34</v>
      </c>
      <c r="B26" s="26"/>
      <c r="C26" s="26"/>
      <c r="D26" s="26"/>
      <c r="E26" s="26"/>
      <c r="F26" s="26"/>
      <c r="G26" s="26"/>
      <c r="H26" s="26"/>
      <c r="I26" s="26"/>
      <c r="J26" s="26"/>
      <c r="K26" s="26"/>
      <c r="L26" s="26"/>
      <c r="M26" s="26"/>
      <c r="N26" s="26"/>
      <c r="O26" s="26"/>
      <c r="P26" s="26"/>
      <c r="Q26" s="26"/>
    </row>
    <row r="27" spans="1:17" ht="27.75" customHeight="1">
      <c r="A27" s="26" t="s">
        <v>35</v>
      </c>
      <c r="B27" s="26"/>
      <c r="C27" s="26"/>
      <c r="D27" s="26"/>
      <c r="E27" s="26"/>
      <c r="F27" s="26"/>
      <c r="G27" s="26"/>
      <c r="H27" s="26"/>
      <c r="I27" s="26"/>
      <c r="J27" s="26"/>
      <c r="K27" s="26"/>
      <c r="L27" s="26"/>
      <c r="M27" s="26"/>
      <c r="N27" s="26"/>
      <c r="O27" s="26"/>
      <c r="P27" s="26"/>
      <c r="Q27" s="26"/>
    </row>
    <row r="29" spans="1:17" ht="19.5" customHeight="1">
      <c r="A29" s="27" t="s">
        <v>36</v>
      </c>
      <c r="B29" s="27"/>
      <c r="C29" s="27"/>
      <c r="D29" s="27"/>
      <c r="E29" s="27"/>
      <c r="F29" s="27"/>
      <c r="G29" s="27"/>
      <c r="H29" s="27"/>
      <c r="I29" s="27"/>
      <c r="J29" s="27"/>
      <c r="K29" s="27"/>
      <c r="L29" s="27"/>
      <c r="M29" s="27"/>
      <c r="N29" s="27"/>
      <c r="O29" s="27"/>
      <c r="P29" s="27"/>
      <c r="Q29" s="27"/>
    </row>
    <row r="30" spans="1:17" ht="33.75" customHeight="1">
      <c r="A30" s="24">
        <v>1</v>
      </c>
      <c r="B30" s="24"/>
      <c r="C30" s="25" t="s">
        <v>37</v>
      </c>
      <c r="D30" s="25"/>
      <c r="E30" s="25"/>
      <c r="F30" s="25"/>
      <c r="G30" s="25"/>
      <c r="H30" s="25"/>
      <c r="I30" s="25"/>
      <c r="J30" s="25"/>
      <c r="K30" s="25"/>
      <c r="L30" s="25"/>
      <c r="M30" s="25"/>
      <c r="N30" s="25"/>
      <c r="O30" s="25"/>
      <c r="P30" s="25"/>
      <c r="Q30" s="25"/>
    </row>
    <row r="31" spans="1:17" ht="33.75" customHeight="1">
      <c r="A31" s="24">
        <v>2</v>
      </c>
      <c r="B31" s="24"/>
      <c r="C31" s="25" t="s">
        <v>38</v>
      </c>
      <c r="D31" s="25"/>
      <c r="E31" s="25"/>
      <c r="F31" s="25"/>
      <c r="G31" s="25"/>
      <c r="H31" s="25"/>
      <c r="I31" s="25"/>
      <c r="J31" s="25"/>
      <c r="K31" s="25"/>
      <c r="L31" s="25"/>
      <c r="M31" s="25"/>
      <c r="N31" s="25"/>
      <c r="O31" s="25"/>
      <c r="P31" s="25"/>
      <c r="Q31" s="25"/>
    </row>
    <row r="32" spans="1:17" ht="33.75" customHeight="1">
      <c r="A32" s="24">
        <v>3</v>
      </c>
      <c r="B32" s="24"/>
      <c r="C32" s="25" t="s">
        <v>39</v>
      </c>
      <c r="D32" s="25"/>
      <c r="E32" s="25"/>
      <c r="F32" s="25"/>
      <c r="G32" s="25"/>
      <c r="H32" s="25"/>
      <c r="I32" s="25"/>
      <c r="J32" s="25"/>
      <c r="K32" s="25"/>
      <c r="L32" s="25"/>
      <c r="M32" s="25"/>
      <c r="N32" s="25"/>
      <c r="O32" s="25"/>
      <c r="P32" s="25"/>
      <c r="Q32" s="25"/>
    </row>
    <row r="33" spans="1:17" ht="33.75" customHeight="1">
      <c r="A33" s="24">
        <v>4</v>
      </c>
      <c r="B33" s="24"/>
      <c r="C33" s="25" t="s">
        <v>40</v>
      </c>
      <c r="D33" s="25"/>
      <c r="E33" s="25"/>
      <c r="F33" s="25"/>
      <c r="G33" s="25"/>
      <c r="H33" s="25"/>
      <c r="I33" s="25"/>
      <c r="J33" s="25"/>
      <c r="K33" s="25"/>
      <c r="L33" s="25"/>
      <c r="M33" s="25"/>
      <c r="N33" s="25"/>
      <c r="O33" s="25"/>
      <c r="P33" s="25"/>
      <c r="Q33" s="25"/>
    </row>
    <row r="34" spans="1:17" ht="33.75" customHeight="1">
      <c r="A34" s="24">
        <v>5</v>
      </c>
      <c r="B34" s="24"/>
      <c r="C34" s="25" t="s">
        <v>41</v>
      </c>
      <c r="D34" s="25"/>
      <c r="E34" s="25"/>
      <c r="F34" s="25"/>
      <c r="G34" s="25"/>
      <c r="H34" s="25"/>
      <c r="I34" s="25"/>
      <c r="J34" s="25"/>
      <c r="K34" s="25"/>
      <c r="L34" s="25"/>
      <c r="M34" s="25"/>
      <c r="N34" s="25"/>
      <c r="O34" s="25"/>
      <c r="P34" s="25"/>
      <c r="Q34" s="25"/>
    </row>
    <row r="35" spans="1:17" ht="33.75" customHeight="1">
      <c r="A35" s="24">
        <v>6</v>
      </c>
      <c r="B35" s="24"/>
      <c r="C35" s="25" t="s">
        <v>42</v>
      </c>
      <c r="D35" s="25"/>
      <c r="E35" s="25"/>
      <c r="F35" s="25"/>
      <c r="G35" s="25"/>
      <c r="H35" s="25"/>
      <c r="I35" s="25"/>
      <c r="J35" s="25"/>
      <c r="K35" s="25"/>
      <c r="L35" s="25"/>
      <c r="M35" s="25"/>
      <c r="N35" s="25"/>
      <c r="O35" s="25"/>
      <c r="P35" s="25"/>
      <c r="Q35" s="25"/>
    </row>
  </sheetData>
  <mergeCells count="57">
    <mergeCell ref="A1:Q1"/>
    <mergeCell ref="A2:Q3"/>
    <mergeCell ref="A4:Q4"/>
    <mergeCell ref="A5:B5"/>
    <mergeCell ref="C5:D5"/>
    <mergeCell ref="E5:F5"/>
    <mergeCell ref="G5:H5"/>
    <mergeCell ref="I5:J5"/>
    <mergeCell ref="K5:L5"/>
    <mergeCell ref="M5:N5"/>
    <mergeCell ref="O5:Q5"/>
    <mergeCell ref="K6:L6"/>
    <mergeCell ref="M6:N6"/>
    <mergeCell ref="O6:Q6"/>
    <mergeCell ref="A8:B8"/>
    <mergeCell ref="C8:K8"/>
    <mergeCell ref="A6:B6"/>
    <mergeCell ref="C6:D6"/>
    <mergeCell ref="E6:F6"/>
    <mergeCell ref="G6:H6"/>
    <mergeCell ref="I6:J6"/>
    <mergeCell ref="A9:B9"/>
    <mergeCell ref="C9:K9"/>
    <mergeCell ref="A10:B10"/>
    <mergeCell ref="C10:K10"/>
    <mergeCell ref="A11:B11"/>
    <mergeCell ref="C11:K11"/>
    <mergeCell ref="A12:B12"/>
    <mergeCell ref="C12:K12"/>
    <mergeCell ref="A13:B13"/>
    <mergeCell ref="C13:K13"/>
    <mergeCell ref="A14:B14"/>
    <mergeCell ref="C14:K14"/>
    <mergeCell ref="A16:Q16"/>
    <mergeCell ref="A17:Q17"/>
    <mergeCell ref="A18:Q18"/>
    <mergeCell ref="A19:Q19"/>
    <mergeCell ref="A20:Q20"/>
    <mergeCell ref="A21:Q21"/>
    <mergeCell ref="A22:Q22"/>
    <mergeCell ref="A24:Q24"/>
    <mergeCell ref="A25:Q25"/>
    <mergeCell ref="A26:Q26"/>
    <mergeCell ref="A27:Q27"/>
    <mergeCell ref="A29:Q29"/>
    <mergeCell ref="A30:B30"/>
    <mergeCell ref="C30:Q30"/>
    <mergeCell ref="A31:B31"/>
    <mergeCell ref="C31:Q31"/>
    <mergeCell ref="A35:B35"/>
    <mergeCell ref="C35:Q35"/>
    <mergeCell ref="A32:B32"/>
    <mergeCell ref="C32:Q32"/>
    <mergeCell ref="A33:B33"/>
    <mergeCell ref="C33:Q33"/>
    <mergeCell ref="A34:B34"/>
    <mergeCell ref="C34:Q3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FCEFCE"/>
  </sheetPr>
  <dimension ref="A1:Q28"/>
  <sheetViews>
    <sheetView showGridLines="0" tabSelected="1" zoomScaleNormal="100" workbookViewId="0">
      <selection activeCell="C16" sqref="C16:K16"/>
    </sheetView>
  </sheetViews>
  <sheetFormatPr baseColWidth="10" defaultColWidth="9.140625" defaultRowHeight="15"/>
  <cols>
    <col min="1" max="1" width="18.5703125" style="1" customWidth="1"/>
    <col min="2" max="2" width="20.140625" style="1" customWidth="1"/>
    <col min="3" max="3" width="12" style="1" customWidth="1"/>
    <col min="4" max="5" width="11" style="1" customWidth="1"/>
    <col min="6" max="7"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6" width="11" style="1" customWidth="1"/>
    <col min="17" max="17" width="12" style="1" customWidth="1"/>
  </cols>
  <sheetData>
    <row r="1" spans="1:17" ht="25.5" customHeight="1">
      <c r="A1" s="32" t="s">
        <v>0</v>
      </c>
      <c r="B1" s="32"/>
      <c r="C1" s="32"/>
      <c r="D1" s="32"/>
      <c r="E1" s="32"/>
      <c r="F1" s="32"/>
      <c r="G1" s="32"/>
      <c r="H1" s="32"/>
      <c r="I1" s="32"/>
      <c r="J1" s="32"/>
      <c r="K1" s="32"/>
      <c r="L1" s="32"/>
      <c r="M1" s="32"/>
      <c r="N1" s="32"/>
      <c r="O1" s="32"/>
      <c r="P1" s="32"/>
      <c r="Q1" s="32"/>
    </row>
    <row r="2" spans="1:17" ht="15" customHeight="1">
      <c r="A2" s="33" t="s">
        <v>43</v>
      </c>
      <c r="B2" s="33"/>
      <c r="C2" s="33"/>
      <c r="D2" s="33"/>
      <c r="E2" s="33"/>
      <c r="F2" s="33"/>
      <c r="G2" s="33"/>
      <c r="H2" s="33"/>
      <c r="I2" s="33"/>
      <c r="J2" s="33"/>
      <c r="K2" s="33"/>
      <c r="L2" s="33"/>
      <c r="M2" s="33"/>
      <c r="N2" s="33"/>
      <c r="O2" s="33"/>
      <c r="P2" s="33"/>
      <c r="Q2" s="33"/>
    </row>
    <row r="3" spans="1:17" ht="15" customHeight="1">
      <c r="A3" s="33"/>
      <c r="B3" s="33"/>
      <c r="C3" s="33"/>
      <c r="D3" s="33"/>
      <c r="E3" s="33"/>
      <c r="F3" s="33"/>
      <c r="G3" s="33"/>
      <c r="H3" s="33"/>
      <c r="I3" s="33"/>
      <c r="J3" s="33"/>
      <c r="K3" s="33"/>
      <c r="L3" s="33"/>
      <c r="M3" s="33"/>
      <c r="N3" s="33"/>
      <c r="O3" s="33"/>
      <c r="P3" s="33"/>
      <c r="Q3" s="33"/>
    </row>
    <row r="4" spans="1:17" ht="24" customHeight="1">
      <c r="A4" s="35" t="str">
        <f>HYPERLINK("#INICIO!A1","▶  VOLVER A INICIO")</f>
        <v>▶  VOLVER A INICIO</v>
      </c>
      <c r="B4" s="35"/>
    </row>
    <row r="6" spans="1:17" ht="15" customHeight="1">
      <c r="A6" s="39" t="s">
        <v>44</v>
      </c>
      <c r="B6" s="39"/>
      <c r="C6" s="39"/>
      <c r="D6" s="39"/>
      <c r="E6" s="39"/>
      <c r="F6" s="39"/>
      <c r="G6" s="39"/>
      <c r="H6" s="39"/>
      <c r="I6" s="39"/>
      <c r="J6" s="39"/>
      <c r="K6" s="39"/>
      <c r="L6" s="39"/>
      <c r="M6" s="39"/>
      <c r="N6" s="39"/>
      <c r="O6" s="39"/>
      <c r="P6" s="39"/>
      <c r="Q6" s="39"/>
    </row>
    <row r="7" spans="1:17" ht="15" customHeight="1">
      <c r="A7" s="39"/>
      <c r="B7" s="39"/>
      <c r="C7" s="39"/>
      <c r="D7" s="39"/>
      <c r="E7" s="39"/>
      <c r="F7" s="39"/>
      <c r="G7" s="39"/>
      <c r="H7" s="39"/>
      <c r="I7" s="39"/>
      <c r="J7" s="39"/>
      <c r="K7" s="39"/>
      <c r="L7" s="39"/>
      <c r="M7" s="39"/>
      <c r="N7" s="39"/>
      <c r="O7" s="39"/>
      <c r="P7" s="39"/>
      <c r="Q7" s="39"/>
    </row>
    <row r="8" spans="1:17" ht="15" customHeight="1">
      <c r="A8" s="39"/>
      <c r="B8" s="39"/>
      <c r="C8" s="39"/>
      <c r="D8" s="39"/>
      <c r="E8" s="39"/>
      <c r="F8" s="39"/>
      <c r="G8" s="39"/>
      <c r="H8" s="39"/>
      <c r="I8" s="39"/>
      <c r="J8" s="39"/>
      <c r="K8" s="39"/>
      <c r="L8" s="39"/>
      <c r="M8" s="39"/>
      <c r="N8" s="39"/>
      <c r="O8" s="39"/>
      <c r="P8" s="39"/>
      <c r="Q8" s="39"/>
    </row>
    <row r="10" spans="1:17" ht="19.5" customHeight="1">
      <c r="A10" s="27" t="s">
        <v>45</v>
      </c>
      <c r="B10" s="27"/>
      <c r="C10" s="27"/>
      <c r="D10" s="27"/>
      <c r="E10" s="27"/>
      <c r="F10" s="27"/>
      <c r="G10" s="27"/>
      <c r="H10" s="27"/>
      <c r="I10" s="27"/>
      <c r="J10" s="27"/>
      <c r="K10" s="27"/>
      <c r="L10" s="27"/>
      <c r="M10" s="27"/>
      <c r="N10" s="27"/>
      <c r="O10" s="27"/>
      <c r="P10" s="27"/>
      <c r="Q10" s="27"/>
    </row>
    <row r="11" spans="1:17" ht="18" customHeight="1">
      <c r="A11" s="36" t="s">
        <v>46</v>
      </c>
      <c r="B11" s="36"/>
      <c r="C11" s="40" t="s">
        <v>47</v>
      </c>
      <c r="D11" s="40"/>
      <c r="E11" s="40"/>
      <c r="F11" s="40"/>
      <c r="G11" s="40"/>
      <c r="H11" s="40"/>
      <c r="I11" s="40"/>
      <c r="J11" s="40"/>
      <c r="K11" s="40"/>
    </row>
    <row r="12" spans="1:17" ht="18" customHeight="1">
      <c r="A12" s="36" t="s">
        <v>48</v>
      </c>
      <c r="B12" s="36"/>
      <c r="C12" s="40">
        <v>45</v>
      </c>
      <c r="D12" s="40"/>
      <c r="E12" s="40"/>
      <c r="F12" s="40"/>
      <c r="G12" s="40"/>
      <c r="H12" s="40"/>
      <c r="I12" s="40"/>
      <c r="J12" s="40"/>
      <c r="K12" s="40"/>
      <c r="L12" s="41" t="s">
        <v>49</v>
      </c>
      <c r="M12" s="41"/>
      <c r="N12" s="41"/>
      <c r="O12" s="41"/>
      <c r="P12" s="41"/>
      <c r="Q12" s="41"/>
    </row>
    <row r="13" spans="1:17" ht="18" customHeight="1">
      <c r="A13" s="36" t="s">
        <v>50</v>
      </c>
      <c r="B13" s="36"/>
      <c r="C13" s="40" t="s">
        <v>51</v>
      </c>
      <c r="D13" s="40"/>
      <c r="E13" s="40"/>
      <c r="F13" s="40"/>
      <c r="G13" s="40"/>
      <c r="H13" s="40"/>
      <c r="I13" s="40"/>
      <c r="J13" s="40"/>
      <c r="K13" s="40"/>
    </row>
    <row r="14" spans="1:17" ht="18" customHeight="1">
      <c r="A14" s="36" t="s">
        <v>52</v>
      </c>
      <c r="B14" s="36"/>
      <c r="C14" s="40">
        <v>82</v>
      </c>
      <c r="D14" s="40"/>
      <c r="E14" s="40"/>
      <c r="F14" s="40"/>
      <c r="G14" s="40"/>
      <c r="H14" s="40"/>
      <c r="I14" s="40"/>
      <c r="J14" s="40"/>
      <c r="K14" s="40"/>
      <c r="L14" s="41" t="s">
        <v>53</v>
      </c>
      <c r="M14" s="41"/>
      <c r="N14" s="41"/>
      <c r="O14" s="41"/>
      <c r="P14" s="41"/>
      <c r="Q14" s="41"/>
    </row>
    <row r="15" spans="1:17" ht="18" customHeight="1">
      <c r="A15" s="36" t="s">
        <v>54</v>
      </c>
      <c r="B15" s="36"/>
      <c r="C15" s="40">
        <v>178</v>
      </c>
      <c r="D15" s="40"/>
      <c r="E15" s="40"/>
      <c r="F15" s="40"/>
      <c r="G15" s="40"/>
      <c r="H15" s="40"/>
      <c r="I15" s="40"/>
      <c r="J15" s="40"/>
      <c r="K15" s="40"/>
      <c r="L15" s="41" t="s">
        <v>55</v>
      </c>
      <c r="M15" s="41"/>
      <c r="N15" s="41"/>
      <c r="O15" s="41"/>
      <c r="P15" s="41"/>
      <c r="Q15" s="41"/>
    </row>
    <row r="16" spans="1:17" ht="18" customHeight="1">
      <c r="A16" s="36" t="s">
        <v>56</v>
      </c>
      <c r="B16" s="36"/>
      <c r="C16" s="40">
        <v>22</v>
      </c>
      <c r="D16" s="40"/>
      <c r="E16" s="40"/>
      <c r="F16" s="40"/>
      <c r="G16" s="40"/>
      <c r="H16" s="40"/>
      <c r="I16" s="40"/>
      <c r="J16" s="40"/>
      <c r="K16" s="40"/>
      <c r="L16" s="41" t="s">
        <v>57</v>
      </c>
      <c r="M16" s="41"/>
      <c r="N16" s="41"/>
      <c r="O16" s="41"/>
      <c r="P16" s="41"/>
      <c r="Q16" s="41"/>
    </row>
    <row r="17" spans="1:17" ht="18" customHeight="1">
      <c r="A17" s="36" t="s">
        <v>58</v>
      </c>
      <c r="B17" s="36"/>
      <c r="C17" s="40" t="s">
        <v>59</v>
      </c>
      <c r="D17" s="40"/>
      <c r="E17" s="40"/>
      <c r="F17" s="40"/>
      <c r="G17" s="40"/>
      <c r="H17" s="40"/>
      <c r="I17" s="40"/>
      <c r="J17" s="40"/>
      <c r="K17" s="40"/>
      <c r="L17" s="41" t="s">
        <v>60</v>
      </c>
      <c r="M17" s="41"/>
      <c r="N17" s="41"/>
      <c r="O17" s="41"/>
      <c r="P17" s="41"/>
      <c r="Q17" s="41"/>
    </row>
    <row r="18" spans="1:17" ht="18" customHeight="1">
      <c r="A18" s="36" t="s">
        <v>61</v>
      </c>
      <c r="B18" s="36"/>
      <c r="C18" s="40" t="s">
        <v>62</v>
      </c>
      <c r="D18" s="40"/>
      <c r="E18" s="40"/>
      <c r="F18" s="40"/>
      <c r="G18" s="40"/>
      <c r="H18" s="40"/>
      <c r="I18" s="40"/>
      <c r="J18" s="40"/>
      <c r="K18" s="40"/>
    </row>
    <row r="19" spans="1:17" ht="18" customHeight="1">
      <c r="A19" s="36" t="s">
        <v>63</v>
      </c>
      <c r="B19" s="36"/>
      <c r="C19" s="40" t="s">
        <v>64</v>
      </c>
      <c r="D19" s="40"/>
      <c r="E19" s="40"/>
      <c r="F19" s="40"/>
      <c r="G19" s="40"/>
      <c r="H19" s="40"/>
      <c r="I19" s="40"/>
      <c r="J19" s="40"/>
      <c r="K19" s="40"/>
    </row>
    <row r="21" spans="1:17" ht="19.5" customHeight="1">
      <c r="A21" s="27" t="s">
        <v>65</v>
      </c>
      <c r="B21" s="27"/>
      <c r="C21" s="27"/>
      <c r="D21" s="27"/>
      <c r="E21" s="27"/>
      <c r="F21" s="27"/>
      <c r="G21" s="27"/>
      <c r="H21" s="27"/>
      <c r="I21" s="27"/>
      <c r="J21" s="27"/>
      <c r="K21" s="27"/>
      <c r="L21" s="27"/>
      <c r="M21" s="27"/>
      <c r="N21" s="27"/>
      <c r="O21" s="27"/>
      <c r="P21" s="27"/>
      <c r="Q21" s="27"/>
    </row>
    <row r="22" spans="1:17" ht="18" customHeight="1">
      <c r="A22" s="36" t="s">
        <v>66</v>
      </c>
      <c r="B22" s="36"/>
      <c r="C22" s="38">
        <f>IF(OR(NOT(ISNUMBER(C14)),NOT(ISNUMBER(C16))),"ND",C14*C16/100)</f>
        <v>18.04</v>
      </c>
      <c r="D22" s="38"/>
      <c r="E22" s="38"/>
      <c r="F22" s="38"/>
      <c r="G22" s="38"/>
      <c r="H22" s="38"/>
      <c r="I22" s="38"/>
      <c r="J22" s="38"/>
      <c r="K22" s="38"/>
    </row>
    <row r="23" spans="1:17" ht="18" customHeight="1">
      <c r="A23" s="36" t="s">
        <v>67</v>
      </c>
      <c r="B23" s="36"/>
      <c r="C23" s="37">
        <f>IF(OR(NOT(ISNUMBER(C14)),NOT(ISNUMBER(C16))),"ND: falta peso o porcentaje de grasa",C14*(1-C16/100))</f>
        <v>63.96</v>
      </c>
      <c r="D23" s="37"/>
      <c r="E23" s="37"/>
      <c r="F23" s="37"/>
      <c r="G23" s="37"/>
      <c r="H23" s="37"/>
      <c r="I23" s="37"/>
      <c r="J23" s="37"/>
      <c r="K23" s="37"/>
    </row>
    <row r="24" spans="1:17" ht="18" customHeight="1">
      <c r="A24" s="36" t="s">
        <v>68</v>
      </c>
      <c r="B24" s="36"/>
      <c r="C24" s="38">
        <f>IF(OR(NOT(ISNUMBER(C14)),NOT(ISNUMBER(C15)),C15=0),"ND",C14/((C15/100)^2))</f>
        <v>25.880570635020831</v>
      </c>
      <c r="D24" s="38"/>
      <c r="E24" s="38"/>
      <c r="F24" s="38"/>
      <c r="G24" s="38"/>
      <c r="H24" s="38"/>
      <c r="I24" s="38"/>
      <c r="J24" s="38"/>
      <c r="K24" s="38"/>
    </row>
    <row r="26" spans="1:17" ht="15" customHeight="1">
      <c r="A26" s="39" t="s">
        <v>69</v>
      </c>
      <c r="B26" s="39"/>
      <c r="C26" s="39"/>
      <c r="D26" s="39"/>
      <c r="E26" s="39"/>
      <c r="F26" s="39"/>
      <c r="G26" s="39"/>
      <c r="H26" s="39"/>
      <c r="I26" s="39"/>
      <c r="J26" s="39"/>
      <c r="K26" s="39"/>
      <c r="L26" s="39"/>
      <c r="M26" s="39"/>
      <c r="N26" s="39"/>
      <c r="O26" s="39"/>
      <c r="P26" s="39"/>
      <c r="Q26" s="39"/>
    </row>
    <row r="27" spans="1:17" ht="15" customHeight="1">
      <c r="A27" s="39"/>
      <c r="B27" s="39"/>
      <c r="C27" s="39"/>
      <c r="D27" s="39"/>
      <c r="E27" s="39"/>
      <c r="F27" s="39"/>
      <c r="G27" s="39"/>
      <c r="H27" s="39"/>
      <c r="I27" s="39"/>
      <c r="J27" s="39"/>
      <c r="K27" s="39"/>
      <c r="L27" s="39"/>
      <c r="M27" s="39"/>
      <c r="N27" s="39"/>
      <c r="O27" s="39"/>
      <c r="P27" s="39"/>
      <c r="Q27" s="39"/>
    </row>
    <row r="28" spans="1:17" ht="15" customHeight="1">
      <c r="A28" s="39"/>
      <c r="B28" s="39"/>
      <c r="C28" s="39"/>
      <c r="D28" s="39"/>
      <c r="E28" s="39"/>
      <c r="F28" s="39"/>
      <c r="G28" s="39"/>
      <c r="H28" s="39"/>
      <c r="I28" s="39"/>
      <c r="J28" s="39"/>
      <c r="K28" s="39"/>
      <c r="L28" s="39"/>
      <c r="M28" s="39"/>
      <c r="N28" s="39"/>
      <c r="O28" s="39"/>
      <c r="P28" s="39"/>
      <c r="Q28" s="39"/>
    </row>
  </sheetData>
  <mergeCells count="36">
    <mergeCell ref="A1:Q1"/>
    <mergeCell ref="A2:Q3"/>
    <mergeCell ref="A4:B4"/>
    <mergeCell ref="A6:Q8"/>
    <mergeCell ref="A10:Q10"/>
    <mergeCell ref="A11:B11"/>
    <mergeCell ref="C11:K11"/>
    <mergeCell ref="A12:B12"/>
    <mergeCell ref="C12:K12"/>
    <mergeCell ref="L12:Q12"/>
    <mergeCell ref="A13:B13"/>
    <mergeCell ref="C13:K13"/>
    <mergeCell ref="A14:B14"/>
    <mergeCell ref="C14:K14"/>
    <mergeCell ref="L14:Q14"/>
    <mergeCell ref="A15:B15"/>
    <mergeCell ref="C15:K15"/>
    <mergeCell ref="L15:Q15"/>
    <mergeCell ref="A16:B16"/>
    <mergeCell ref="C16:K16"/>
    <mergeCell ref="L16:Q16"/>
    <mergeCell ref="A17:B17"/>
    <mergeCell ref="C17:K17"/>
    <mergeCell ref="L17:Q17"/>
    <mergeCell ref="A18:B18"/>
    <mergeCell ref="C18:K18"/>
    <mergeCell ref="A19:B19"/>
    <mergeCell ref="C19:K19"/>
    <mergeCell ref="A21:Q21"/>
    <mergeCell ref="A22:B22"/>
    <mergeCell ref="C22:K22"/>
    <mergeCell ref="A23:B23"/>
    <mergeCell ref="C23:K23"/>
    <mergeCell ref="A24:B24"/>
    <mergeCell ref="C24:K24"/>
    <mergeCell ref="A26:Q28"/>
  </mergeCells>
  <dataValidations count="2">
    <dataValidation type="list" allowBlank="1" sqref="C13" xr:uid="{00000000-0002-0000-0100-000000000000}">
      <formula1>lst_sexo</formula1>
      <formula2>0</formula2>
    </dataValidation>
    <dataValidation type="list" allowBlank="1" sqref="C17" xr:uid="{00000000-0002-0000-0100-000001000000}">
      <formula1>lst_metodo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1C6B72"/>
  </sheetPr>
  <dimension ref="A1:Q31"/>
  <sheetViews>
    <sheetView showGridLines="0" zoomScaleNormal="100" workbookViewId="0">
      <selection activeCell="B35" sqref="B35"/>
    </sheetView>
  </sheetViews>
  <sheetFormatPr baseColWidth="10" defaultColWidth="9.140625" defaultRowHeight="15"/>
  <cols>
    <col min="1" max="1" width="18.5703125" style="1" customWidth="1"/>
    <col min="2" max="2" width="60.28515625" style="1" customWidth="1"/>
    <col min="3" max="3" width="12" style="1" customWidth="1"/>
    <col min="4" max="5" width="11" style="1" customWidth="1"/>
    <col min="6" max="7"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6" width="11" style="1" customWidth="1"/>
    <col min="17" max="17" width="12" style="1" customWidth="1"/>
  </cols>
  <sheetData>
    <row r="1" spans="1:17" ht="25.5" customHeight="1">
      <c r="A1" s="32" t="s">
        <v>0</v>
      </c>
      <c r="B1" s="32"/>
      <c r="C1" s="32"/>
      <c r="D1" s="32"/>
      <c r="E1" s="32"/>
      <c r="F1" s="32"/>
      <c r="G1" s="32"/>
      <c r="H1" s="32"/>
      <c r="I1" s="32"/>
      <c r="J1" s="32"/>
      <c r="K1" s="32"/>
      <c r="L1" s="32"/>
      <c r="M1" s="32"/>
      <c r="N1" s="32"/>
      <c r="O1" s="32"/>
      <c r="P1" s="32"/>
      <c r="Q1" s="32"/>
    </row>
    <row r="2" spans="1:17" ht="15" customHeight="1">
      <c r="A2" s="33" t="s">
        <v>70</v>
      </c>
      <c r="B2" s="33"/>
      <c r="C2" s="33"/>
      <c r="D2" s="33"/>
      <c r="E2" s="33"/>
      <c r="F2" s="33"/>
      <c r="G2" s="33"/>
      <c r="H2" s="33"/>
      <c r="I2" s="33"/>
      <c r="J2" s="33"/>
      <c r="K2" s="33"/>
      <c r="L2" s="33"/>
      <c r="M2" s="33"/>
      <c r="N2" s="33"/>
      <c r="O2" s="33"/>
      <c r="P2" s="33"/>
      <c r="Q2" s="33"/>
    </row>
    <row r="3" spans="1:17" ht="15" customHeight="1">
      <c r="A3" s="33"/>
      <c r="B3" s="33"/>
      <c r="C3" s="33"/>
      <c r="D3" s="33"/>
      <c r="E3" s="33"/>
      <c r="F3" s="33"/>
      <c r="G3" s="33"/>
      <c r="H3" s="33"/>
      <c r="I3" s="33"/>
      <c r="J3" s="33"/>
      <c r="K3" s="33"/>
      <c r="L3" s="33"/>
      <c r="M3" s="33"/>
      <c r="N3" s="33"/>
      <c r="O3" s="33"/>
      <c r="P3" s="33"/>
      <c r="Q3" s="33"/>
    </row>
    <row r="4" spans="1:17" ht="24" customHeight="1">
      <c r="A4" s="35" t="str">
        <f>HYPERLINK("#INICIO!A1","▶  VOLVER A INICIO")</f>
        <v>▶  VOLVER A INICIO</v>
      </c>
      <c r="B4" s="35"/>
    </row>
    <row r="6" spans="1:17" ht="19.5" customHeight="1">
      <c r="A6" s="27" t="s">
        <v>71</v>
      </c>
      <c r="B6" s="27"/>
      <c r="C6" s="27"/>
      <c r="D6" s="27"/>
      <c r="E6" s="27"/>
      <c r="F6" s="27"/>
      <c r="G6" s="27"/>
      <c r="H6" s="27"/>
      <c r="I6" s="27"/>
      <c r="J6" s="27"/>
      <c r="K6" s="27"/>
      <c r="L6" s="27"/>
      <c r="M6" s="27"/>
      <c r="N6" s="27"/>
      <c r="O6" s="27"/>
      <c r="P6" s="27"/>
      <c r="Q6" s="27"/>
    </row>
    <row r="7" spans="1:17" ht="15" customHeight="1">
      <c r="A7" s="46" t="s">
        <v>72</v>
      </c>
      <c r="B7" s="46"/>
      <c r="C7" s="46"/>
      <c r="D7" s="46"/>
      <c r="E7" s="46"/>
      <c r="F7" s="46"/>
      <c r="G7" s="46"/>
      <c r="H7" s="46"/>
      <c r="I7" s="46"/>
      <c r="J7" s="46"/>
      <c r="K7" s="46"/>
      <c r="L7" s="46"/>
      <c r="M7" s="46"/>
      <c r="N7" s="46"/>
      <c r="O7" s="46"/>
      <c r="P7" s="46"/>
      <c r="Q7" s="46"/>
    </row>
    <row r="8" spans="1:17" ht="18" customHeight="1">
      <c r="A8" s="36" t="s">
        <v>73</v>
      </c>
      <c r="B8" s="36"/>
      <c r="C8" s="38">
        <f>v_mlg</f>
        <v>63.96</v>
      </c>
      <c r="D8" s="38"/>
      <c r="E8" s="38"/>
      <c r="F8" s="38"/>
      <c r="G8" s="38"/>
      <c r="H8" s="38"/>
      <c r="I8" s="38"/>
      <c r="J8" s="38"/>
      <c r="K8" s="38"/>
    </row>
    <row r="9" spans="1:17" ht="18" customHeight="1">
      <c r="A9" s="36" t="s">
        <v>74</v>
      </c>
      <c r="B9" s="36"/>
      <c r="C9" s="37">
        <f>IF(NOT(ISNUMBER(v_mlg)),"ND",k_kmConst+k_kmFFM*v_mlg)</f>
        <v>1751.5360000000001</v>
      </c>
      <c r="D9" s="37"/>
      <c r="E9" s="37"/>
      <c r="F9" s="37"/>
      <c r="G9" s="37"/>
      <c r="H9" s="37"/>
      <c r="I9" s="37"/>
      <c r="J9" s="37"/>
      <c r="K9" s="37"/>
      <c r="L9" s="41" t="s">
        <v>75</v>
      </c>
      <c r="M9" s="41"/>
      <c r="N9" s="41"/>
      <c r="O9" s="41"/>
      <c r="P9" s="41"/>
      <c r="Q9" s="41"/>
    </row>
    <row r="11" spans="1:17" ht="19.5" customHeight="1">
      <c r="A11" s="27" t="s">
        <v>76</v>
      </c>
      <c r="B11" s="27"/>
      <c r="C11" s="27"/>
      <c r="D11" s="27"/>
      <c r="E11" s="27"/>
      <c r="F11" s="27"/>
      <c r="G11" s="27"/>
      <c r="H11" s="27"/>
      <c r="I11" s="27"/>
      <c r="J11" s="27"/>
      <c r="K11" s="27"/>
      <c r="L11" s="27"/>
      <c r="M11" s="27"/>
      <c r="N11" s="27"/>
      <c r="O11" s="27"/>
      <c r="P11" s="27"/>
      <c r="Q11" s="27"/>
    </row>
    <row r="12" spans="1:17" ht="18" customHeight="1">
      <c r="A12" s="36" t="s">
        <v>77</v>
      </c>
      <c r="B12" s="36"/>
      <c r="C12" s="38">
        <f>IF(COUNTIF(lst_sexo,v_sexo)=0,"ND",IF(v_sexo="Masculino",k_hombre,k_mujer))</f>
        <v>5</v>
      </c>
      <c r="D12" s="38"/>
      <c r="E12" s="38"/>
      <c r="F12" s="38"/>
      <c r="G12" s="38"/>
      <c r="H12" s="38"/>
      <c r="I12" s="38"/>
      <c r="J12" s="38"/>
      <c r="K12" s="38"/>
    </row>
    <row r="13" spans="1:17" ht="18" customHeight="1">
      <c r="A13" s="36" t="s">
        <v>78</v>
      </c>
      <c r="B13" s="36"/>
      <c r="C13" s="38">
        <f>IF(OR(NOT(ISNUMBER(v_peso)),NOT(ISNUMBER(v_talla)),NOT(ISNUMBER(v_edad)),NOT(ISNUMBER(C12))),"ND",k_peso*v_peso+k_talla*v_talla+k_edad*v_edad+C12)</f>
        <v>1712.5</v>
      </c>
      <c r="D13" s="38"/>
      <c r="E13" s="38"/>
      <c r="F13" s="38"/>
      <c r="G13" s="38"/>
      <c r="H13" s="38"/>
      <c r="I13" s="38"/>
      <c r="J13" s="38"/>
      <c r="K13" s="38"/>
    </row>
    <row r="14" spans="1:17" ht="25.5" customHeight="1">
      <c r="A14" s="36" t="s">
        <v>79</v>
      </c>
      <c r="B14" s="36"/>
      <c r="C14" s="38">
        <f>IF(OR(NOT(ISNUMBER(C9)),NOT(ISNUMBER(C13))),"ND",C9-C13)</f>
        <v>39.036000000000058</v>
      </c>
      <c r="D14" s="38"/>
      <c r="E14" s="38"/>
      <c r="F14" s="38"/>
      <c r="G14" s="38"/>
      <c r="H14" s="38"/>
      <c r="I14" s="38"/>
      <c r="J14" s="38"/>
      <c r="K14" s="38"/>
      <c r="L14" s="41" t="s">
        <v>80</v>
      </c>
      <c r="M14" s="41"/>
      <c r="N14" s="41"/>
      <c r="O14" s="41"/>
      <c r="P14" s="41"/>
      <c r="Q14" s="41"/>
    </row>
    <row r="16" spans="1:17" ht="19.5" customHeight="1">
      <c r="A16" s="27" t="s">
        <v>81</v>
      </c>
      <c r="B16" s="27"/>
      <c r="C16" s="27"/>
      <c r="D16" s="27"/>
      <c r="E16" s="27"/>
      <c r="F16" s="27"/>
      <c r="G16" s="27"/>
      <c r="H16" s="27"/>
      <c r="I16" s="27"/>
      <c r="J16" s="27"/>
      <c r="K16" s="27"/>
      <c r="L16" s="27"/>
      <c r="M16" s="27"/>
      <c r="N16" s="27"/>
      <c r="O16" s="27"/>
      <c r="P16" s="27"/>
      <c r="Q16" s="27"/>
    </row>
    <row r="17" spans="1:17" ht="15" customHeight="1">
      <c r="A17" s="45" t="s">
        <v>82</v>
      </c>
      <c r="B17" s="45"/>
      <c r="C17" s="45"/>
      <c r="D17" s="45"/>
      <c r="E17" s="45"/>
      <c r="F17" s="45"/>
      <c r="G17" s="45"/>
      <c r="H17" s="45"/>
      <c r="I17" s="45"/>
      <c r="J17" s="45"/>
      <c r="K17" s="45"/>
      <c r="L17" s="45"/>
      <c r="M17" s="45"/>
      <c r="N17" s="45"/>
      <c r="O17" s="45"/>
      <c r="P17" s="45"/>
      <c r="Q17" s="45"/>
    </row>
    <row r="18" spans="1:17" ht="18" customHeight="1">
      <c r="A18" s="36" t="s">
        <v>83</v>
      </c>
      <c r="B18" s="36"/>
      <c r="C18" s="38">
        <f>IF(OR(NOT(ISNUMBER(v_peso)),NOT(ISNUMBER(v_talla)),NOT(ISNUMBER(C12))),"ND",k_peso*v_peso+k_talla*v_talla+C12)</f>
        <v>1937.5</v>
      </c>
      <c r="D18" s="38"/>
      <c r="E18" s="38"/>
      <c r="F18" s="38"/>
      <c r="G18" s="38"/>
      <c r="H18" s="38"/>
      <c r="I18" s="38"/>
      <c r="J18" s="38"/>
      <c r="K18" s="38"/>
    </row>
    <row r="19" spans="1:17" ht="27.75" customHeight="1">
      <c r="A19" s="36" t="s">
        <v>84</v>
      </c>
      <c r="B19" s="36"/>
      <c r="C19" s="44">
        <f>IF(OR(NOT(ISNUMBER(C18)),NOT(ISNUMBER(C9)),k_edad=0),"ND",(C18-C9)/(-k_edad))</f>
        <v>37.192799999999991</v>
      </c>
      <c r="D19" s="44"/>
      <c r="E19" s="44"/>
      <c r="F19" s="44"/>
      <c r="G19" s="44"/>
      <c r="H19" s="44"/>
      <c r="I19" s="44"/>
      <c r="J19" s="44"/>
      <c r="K19" s="44"/>
      <c r="L19" s="41" t="s">
        <v>85</v>
      </c>
      <c r="M19" s="41"/>
      <c r="N19" s="41"/>
      <c r="O19" s="41"/>
      <c r="P19" s="41"/>
      <c r="Q19" s="41"/>
    </row>
    <row r="20" spans="1:17" ht="18" customHeight="1">
      <c r="A20" s="36" t="s">
        <v>48</v>
      </c>
      <c r="B20" s="36"/>
      <c r="C20" s="38">
        <f>v_edad</f>
        <v>45</v>
      </c>
      <c r="D20" s="38"/>
      <c r="E20" s="38"/>
      <c r="F20" s="38"/>
      <c r="G20" s="38"/>
      <c r="H20" s="38"/>
      <c r="I20" s="38"/>
      <c r="J20" s="38"/>
      <c r="K20" s="38"/>
    </row>
    <row r="21" spans="1:17" ht="18" customHeight="1">
      <c r="A21" s="36" t="s">
        <v>86</v>
      </c>
      <c r="B21" s="36"/>
      <c r="C21" s="38">
        <f>IF(NOT(ISNUMBER(C19)),"ND",C19-v_edad)</f>
        <v>-7.8072000000000088</v>
      </c>
      <c r="D21" s="38"/>
      <c r="E21" s="38"/>
      <c r="F21" s="38"/>
      <c r="G21" s="38"/>
      <c r="H21" s="38"/>
      <c r="I21" s="38"/>
      <c r="J21" s="38"/>
      <c r="K21" s="38"/>
    </row>
    <row r="22" spans="1:17" ht="27.75" customHeight="1">
      <c r="A22" s="36" t="s">
        <v>87</v>
      </c>
      <c r="B22" s="36"/>
      <c r="C22" s="43" t="str">
        <f>IF(NOT(ISNUMBER(C19)),"ND",IF(OR(C19&lt;u_edadMin,C19&gt;u_edadMax),"FUERA DE RANGO: el resultado cae fuera del intervalo mostrable. No lo presente como una edad.","Dentro del rango de presentación"))</f>
        <v>Dentro del rango de presentación</v>
      </c>
      <c r="D22" s="43"/>
      <c r="E22" s="43"/>
      <c r="F22" s="43"/>
      <c r="G22" s="43"/>
      <c r="H22" s="43"/>
      <c r="I22" s="43"/>
      <c r="J22" s="43"/>
      <c r="K22" s="43"/>
    </row>
    <row r="24" spans="1:17" ht="19.5" customHeight="1">
      <c r="A24" s="27" t="s">
        <v>88</v>
      </c>
      <c r="B24" s="27"/>
      <c r="C24" s="27"/>
      <c r="D24" s="27"/>
      <c r="E24" s="27"/>
      <c r="F24" s="27"/>
      <c r="G24" s="27"/>
      <c r="H24" s="27"/>
      <c r="I24" s="27"/>
      <c r="J24" s="27"/>
      <c r="K24" s="27"/>
      <c r="L24" s="27"/>
      <c r="M24" s="27"/>
      <c r="N24" s="27"/>
      <c r="O24" s="27"/>
      <c r="P24" s="27"/>
      <c r="Q24" s="27"/>
    </row>
    <row r="25" spans="1:17" ht="24" customHeight="1">
      <c r="A25" s="42" t="s">
        <v>89</v>
      </c>
      <c r="B25" s="42"/>
      <c r="C25" s="38">
        <f>IF(OR(NOT(ISNUMBER(C18)),NOT(ISNUMBER(C13))),"ND",(C18-C13)/(-k_edad))</f>
        <v>45</v>
      </c>
      <c r="D25" s="38"/>
      <c r="E25" s="38"/>
      <c r="F25" s="38"/>
      <c r="G25" s="38"/>
      <c r="H25" s="38"/>
      <c r="I25" s="38"/>
      <c r="J25" s="38"/>
      <c r="K25" s="38"/>
      <c r="L25" s="41" t="s">
        <v>90</v>
      </c>
      <c r="M25" s="41"/>
      <c r="N25" s="41"/>
      <c r="O25" s="41"/>
      <c r="P25" s="41"/>
      <c r="Q25" s="41"/>
    </row>
    <row r="26" spans="1:17" ht="51.75" customHeight="1">
      <c r="A26" s="36" t="s">
        <v>91</v>
      </c>
      <c r="B26" s="36"/>
      <c r="C26" s="28" t="s">
        <v>92</v>
      </c>
      <c r="D26" s="28"/>
      <c r="E26" s="28"/>
      <c r="F26" s="28"/>
      <c r="G26" s="28"/>
      <c r="H26" s="28"/>
      <c r="I26" s="28"/>
      <c r="J26" s="28"/>
      <c r="K26" s="28"/>
    </row>
    <row r="28" spans="1:17" ht="15" customHeight="1">
      <c r="A28" s="39" t="s">
        <v>93</v>
      </c>
      <c r="B28" s="39"/>
      <c r="C28" s="39"/>
      <c r="D28" s="39"/>
      <c r="E28" s="39"/>
      <c r="F28" s="39"/>
      <c r="G28" s="39"/>
      <c r="H28" s="39"/>
      <c r="I28" s="39"/>
      <c r="J28" s="39"/>
      <c r="K28" s="39"/>
      <c r="L28" s="39"/>
      <c r="M28" s="39"/>
      <c r="N28" s="39"/>
      <c r="O28" s="39"/>
      <c r="P28" s="39"/>
      <c r="Q28" s="39"/>
    </row>
    <row r="29" spans="1:17" ht="15" customHeight="1">
      <c r="A29" s="39"/>
      <c r="B29" s="39"/>
      <c r="C29" s="39"/>
      <c r="D29" s="39"/>
      <c r="E29" s="39"/>
      <c r="F29" s="39"/>
      <c r="G29" s="39"/>
      <c r="H29" s="39"/>
      <c r="I29" s="39"/>
      <c r="J29" s="39"/>
      <c r="K29" s="39"/>
      <c r="L29" s="39"/>
      <c r="M29" s="39"/>
      <c r="N29" s="39"/>
      <c r="O29" s="39"/>
      <c r="P29" s="39"/>
      <c r="Q29" s="39"/>
    </row>
    <row r="30" spans="1:17" ht="15" customHeight="1">
      <c r="A30" s="39"/>
      <c r="B30" s="39"/>
      <c r="C30" s="39"/>
      <c r="D30" s="39"/>
      <c r="E30" s="39"/>
      <c r="F30" s="39"/>
      <c r="G30" s="39"/>
      <c r="H30" s="39"/>
      <c r="I30" s="39"/>
      <c r="J30" s="39"/>
      <c r="K30" s="39"/>
      <c r="L30" s="39"/>
      <c r="M30" s="39"/>
      <c r="N30" s="39"/>
      <c r="O30" s="39"/>
      <c r="P30" s="39"/>
      <c r="Q30" s="39"/>
    </row>
    <row r="31" spans="1:17" ht="15" customHeight="1">
      <c r="A31" s="39"/>
      <c r="B31" s="39"/>
      <c r="C31" s="39"/>
      <c r="D31" s="39"/>
      <c r="E31" s="39"/>
      <c r="F31" s="39"/>
      <c r="G31" s="39"/>
      <c r="H31" s="39"/>
      <c r="I31" s="39"/>
      <c r="J31" s="39"/>
      <c r="K31" s="39"/>
      <c r="L31" s="39"/>
      <c r="M31" s="39"/>
      <c r="N31" s="39"/>
      <c r="O31" s="39"/>
      <c r="P31" s="39"/>
      <c r="Q31" s="39"/>
    </row>
  </sheetData>
  <mergeCells count="38">
    <mergeCell ref="A1:Q1"/>
    <mergeCell ref="A2:Q3"/>
    <mergeCell ref="A4:B4"/>
    <mergeCell ref="A6:Q6"/>
    <mergeCell ref="A7:Q7"/>
    <mergeCell ref="A8:B8"/>
    <mergeCell ref="C8:K8"/>
    <mergeCell ref="A9:B9"/>
    <mergeCell ref="C9:K9"/>
    <mergeCell ref="L9:Q9"/>
    <mergeCell ref="A11:Q11"/>
    <mergeCell ref="A12:B12"/>
    <mergeCell ref="C12:K12"/>
    <mergeCell ref="A13:B13"/>
    <mergeCell ref="C13:K13"/>
    <mergeCell ref="A14:B14"/>
    <mergeCell ref="C14:K14"/>
    <mergeCell ref="L14:Q14"/>
    <mergeCell ref="A16:Q16"/>
    <mergeCell ref="A17:Q17"/>
    <mergeCell ref="A18:B18"/>
    <mergeCell ref="C18:K18"/>
    <mergeCell ref="A19:B19"/>
    <mergeCell ref="C19:K19"/>
    <mergeCell ref="L19:Q19"/>
    <mergeCell ref="A20:B20"/>
    <mergeCell ref="C20:K20"/>
    <mergeCell ref="A21:B21"/>
    <mergeCell ref="C21:K21"/>
    <mergeCell ref="A22:B22"/>
    <mergeCell ref="C22:K22"/>
    <mergeCell ref="A28:Q31"/>
    <mergeCell ref="A24:Q24"/>
    <mergeCell ref="A25:B25"/>
    <mergeCell ref="C25:K25"/>
    <mergeCell ref="L25:Q25"/>
    <mergeCell ref="A26:B26"/>
    <mergeCell ref="C26:K2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E7E0F5"/>
  </sheetPr>
  <dimension ref="A1:Q30"/>
  <sheetViews>
    <sheetView showGridLines="0" topLeftCell="A13" zoomScaleNormal="100" workbookViewId="0">
      <selection activeCell="Q18" sqref="Q18"/>
    </sheetView>
  </sheetViews>
  <sheetFormatPr baseColWidth="10" defaultColWidth="9.140625" defaultRowHeight="15"/>
  <cols>
    <col min="1" max="1" width="26" style="1" customWidth="1"/>
    <col min="2" max="2" width="39.42578125" style="1" customWidth="1"/>
    <col min="3" max="3" width="20" style="1" customWidth="1"/>
    <col min="4" max="4" width="22" style="1" customWidth="1"/>
    <col min="5" max="5" width="28" style="1" customWidth="1"/>
    <col min="6" max="7"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6" width="11" style="1" customWidth="1"/>
    <col min="17" max="17" width="12" style="1" customWidth="1"/>
  </cols>
  <sheetData>
    <row r="1" spans="1:17" ht="25.5" customHeight="1">
      <c r="A1" s="32" t="s">
        <v>0</v>
      </c>
      <c r="B1" s="32"/>
      <c r="C1" s="32"/>
      <c r="D1" s="32"/>
      <c r="E1" s="32"/>
      <c r="F1" s="32"/>
      <c r="G1" s="32"/>
      <c r="H1" s="32"/>
      <c r="I1" s="32"/>
      <c r="J1" s="32"/>
      <c r="K1" s="32"/>
      <c r="L1" s="32"/>
      <c r="M1" s="32"/>
      <c r="N1" s="32"/>
      <c r="O1" s="32"/>
      <c r="P1" s="32"/>
      <c r="Q1" s="32"/>
    </row>
    <row r="2" spans="1:17" ht="15" customHeight="1">
      <c r="A2" s="33" t="s">
        <v>94</v>
      </c>
      <c r="B2" s="33"/>
      <c r="C2" s="33"/>
      <c r="D2" s="33"/>
      <c r="E2" s="33"/>
      <c r="F2" s="33"/>
      <c r="G2" s="33"/>
      <c r="H2" s="33"/>
      <c r="I2" s="33"/>
      <c r="J2" s="33"/>
      <c r="K2" s="33"/>
      <c r="L2" s="33"/>
      <c r="M2" s="33"/>
      <c r="N2" s="33"/>
      <c r="O2" s="33"/>
      <c r="P2" s="33"/>
      <c r="Q2" s="33"/>
    </row>
    <row r="3" spans="1:17" ht="15" customHeight="1">
      <c r="A3" s="33"/>
      <c r="B3" s="33"/>
      <c r="C3" s="33"/>
      <c r="D3" s="33"/>
      <c r="E3" s="33"/>
      <c r="F3" s="33"/>
      <c r="G3" s="33"/>
      <c r="H3" s="33"/>
      <c r="I3" s="33"/>
      <c r="J3" s="33"/>
      <c r="K3" s="33"/>
      <c r="L3" s="33"/>
      <c r="M3" s="33"/>
      <c r="N3" s="33"/>
      <c r="O3" s="33"/>
      <c r="P3" s="33"/>
      <c r="Q3" s="33"/>
    </row>
    <row r="4" spans="1:17" ht="24" customHeight="1">
      <c r="A4" s="35" t="str">
        <f>HYPERLINK("#INICIO!A1","▶  VOLVER A INICIO")</f>
        <v>▶  VOLVER A INICIO</v>
      </c>
      <c r="B4" s="35"/>
    </row>
    <row r="6" spans="1:17" ht="15" customHeight="1">
      <c r="A6" s="47" t="s">
        <v>95</v>
      </c>
      <c r="B6" s="47"/>
      <c r="C6" s="47"/>
      <c r="D6" s="47"/>
      <c r="E6" s="47"/>
      <c r="F6" s="47"/>
      <c r="G6" s="47"/>
      <c r="H6" s="47"/>
      <c r="I6" s="47"/>
      <c r="J6" s="47"/>
      <c r="K6" s="47"/>
      <c r="L6" s="47"/>
      <c r="M6" s="47"/>
      <c r="N6" s="47"/>
      <c r="O6" s="47"/>
      <c r="P6" s="47"/>
      <c r="Q6" s="47"/>
    </row>
    <row r="7" spans="1:17" ht="15" customHeight="1">
      <c r="A7" s="47"/>
      <c r="B7" s="47"/>
      <c r="C7" s="47"/>
      <c r="D7" s="47"/>
      <c r="E7" s="47"/>
      <c r="F7" s="47"/>
      <c r="G7" s="47"/>
      <c r="H7" s="47"/>
      <c r="I7" s="47"/>
      <c r="J7" s="47"/>
      <c r="K7" s="47"/>
      <c r="L7" s="47"/>
      <c r="M7" s="47"/>
      <c r="N7" s="47"/>
      <c r="O7" s="47"/>
      <c r="P7" s="47"/>
      <c r="Q7" s="47"/>
    </row>
    <row r="8" spans="1:17" ht="15" customHeight="1">
      <c r="A8" s="47"/>
      <c r="B8" s="47"/>
      <c r="C8" s="47"/>
      <c r="D8" s="47"/>
      <c r="E8" s="47"/>
      <c r="F8" s="47"/>
      <c r="G8" s="47"/>
      <c r="H8" s="47"/>
      <c r="I8" s="47"/>
      <c r="J8" s="47"/>
      <c r="K8" s="47"/>
      <c r="L8" s="47"/>
      <c r="M8" s="47"/>
      <c r="N8" s="47"/>
      <c r="O8" s="47"/>
      <c r="P8" s="47"/>
      <c r="Q8" s="47"/>
    </row>
    <row r="10" spans="1:17" ht="19.5" customHeight="1">
      <c r="A10" s="27" t="s">
        <v>96</v>
      </c>
      <c r="B10" s="27"/>
      <c r="C10" s="27"/>
      <c r="D10" s="27"/>
      <c r="E10" s="27"/>
      <c r="F10" s="27"/>
      <c r="G10" s="27"/>
      <c r="H10" s="27"/>
      <c r="I10" s="27"/>
      <c r="J10" s="27"/>
      <c r="K10" s="27"/>
      <c r="L10" s="27"/>
      <c r="M10" s="27"/>
      <c r="N10" s="27"/>
      <c r="O10" s="27"/>
      <c r="P10" s="27"/>
      <c r="Q10" s="27"/>
    </row>
    <row r="11" spans="1:17" ht="33.75" customHeight="1">
      <c r="A11" s="2" t="s">
        <v>97</v>
      </c>
      <c r="B11" s="2" t="s">
        <v>73</v>
      </c>
      <c r="C11" s="2" t="s">
        <v>98</v>
      </c>
      <c r="D11" s="2" t="s">
        <v>99</v>
      </c>
      <c r="E11" s="2" t="s">
        <v>100</v>
      </c>
    </row>
    <row r="12" spans="1:17" ht="21.75" customHeight="1">
      <c r="A12" s="3">
        <f>IF(NOT(ISNUMBER(v_grasa)),"ND",v_grasa+-4)</f>
        <v>18</v>
      </c>
      <c r="B12" s="3">
        <f t="shared" ref="B12:B20" si="0">IF(NOT(ISNUMBER(A12)),"ND",v_peso*(1-A12/100))</f>
        <v>67.240000000000009</v>
      </c>
      <c r="C12" s="3">
        <f t="shared" ref="C12:C20" si="1">IF(NOT(ISNUMBER(B12)),"ND",k_kmConst+k_kmFFM*B12)</f>
        <v>1822.3840000000002</v>
      </c>
      <c r="D12" s="4">
        <f t="shared" ref="D12:D20" si="2">IF(NOT(ISNUMBER(C12)),"ND",(v_base-C12)/(-k_edad))</f>
        <v>23.023199999999953</v>
      </c>
      <c r="E12" s="5">
        <f t="shared" ref="E12:E20" si="3">IF(OR(NOT(ISNUMBER(D12)),NOT(ISNUMBER(v_edadMet))),"ND",D12-v_edadMet)</f>
        <v>-14.169600000000038</v>
      </c>
    </row>
    <row r="13" spans="1:17" ht="21.75" customHeight="1">
      <c r="A13" s="3">
        <f>IF(NOT(ISNUMBER(v_grasa)),"ND",v_grasa+-3)</f>
        <v>19</v>
      </c>
      <c r="B13" s="3">
        <f t="shared" si="0"/>
        <v>66.42</v>
      </c>
      <c r="C13" s="3">
        <f t="shared" si="1"/>
        <v>1804.672</v>
      </c>
      <c r="D13" s="4">
        <f t="shared" si="2"/>
        <v>26.565599999999996</v>
      </c>
      <c r="E13" s="5">
        <f t="shared" si="3"/>
        <v>-10.627199999999995</v>
      </c>
    </row>
    <row r="14" spans="1:17" ht="21.75" customHeight="1">
      <c r="A14" s="3">
        <f>IF(NOT(ISNUMBER(v_grasa)),"ND",v_grasa+-2)</f>
        <v>20</v>
      </c>
      <c r="B14" s="3">
        <f t="shared" si="0"/>
        <v>65.600000000000009</v>
      </c>
      <c r="C14" s="3">
        <f t="shared" si="1"/>
        <v>1786.9600000000003</v>
      </c>
      <c r="D14" s="4">
        <f t="shared" si="2"/>
        <v>30.107999999999947</v>
      </c>
      <c r="E14" s="5">
        <f t="shared" si="3"/>
        <v>-7.084800000000044</v>
      </c>
    </row>
    <row r="15" spans="1:17" ht="21.75" customHeight="1">
      <c r="A15" s="3">
        <f>IF(NOT(ISNUMBER(v_grasa)),"ND",v_grasa+-1)</f>
        <v>21</v>
      </c>
      <c r="B15" s="3">
        <f t="shared" si="0"/>
        <v>64.78</v>
      </c>
      <c r="C15" s="3">
        <f t="shared" si="1"/>
        <v>1769.248</v>
      </c>
      <c r="D15" s="4">
        <f t="shared" si="2"/>
        <v>33.650399999999991</v>
      </c>
      <c r="E15" s="5">
        <f t="shared" si="3"/>
        <v>-3.5424000000000007</v>
      </c>
    </row>
    <row r="16" spans="1:17" ht="21.75" customHeight="1">
      <c r="A16" s="6">
        <f>IF(NOT(ISNUMBER(v_grasa)),"ND",v_grasa+0)</f>
        <v>22</v>
      </c>
      <c r="B16" s="6">
        <f t="shared" si="0"/>
        <v>63.96</v>
      </c>
      <c r="C16" s="6">
        <f t="shared" si="1"/>
        <v>1751.5360000000001</v>
      </c>
      <c r="D16" s="6">
        <f t="shared" si="2"/>
        <v>37.192799999999991</v>
      </c>
      <c r="E16" s="6">
        <f t="shared" si="3"/>
        <v>0</v>
      </c>
    </row>
    <row r="17" spans="1:17" ht="21.75" customHeight="1">
      <c r="A17" s="3">
        <f>IF(NOT(ISNUMBER(v_grasa)),"ND",v_grasa+1)</f>
        <v>23</v>
      </c>
      <c r="B17" s="3">
        <f t="shared" si="0"/>
        <v>63.14</v>
      </c>
      <c r="C17" s="3">
        <f t="shared" si="1"/>
        <v>1733.8240000000001</v>
      </c>
      <c r="D17" s="4">
        <f t="shared" si="2"/>
        <v>40.735199999999985</v>
      </c>
      <c r="E17" s="5">
        <f t="shared" si="3"/>
        <v>3.5423999999999936</v>
      </c>
    </row>
    <row r="18" spans="1:17" ht="21.75" customHeight="1">
      <c r="A18" s="3">
        <f>IF(NOT(ISNUMBER(v_grasa)),"ND",v_grasa+2)</f>
        <v>24</v>
      </c>
      <c r="B18" s="3">
        <f t="shared" si="0"/>
        <v>62.32</v>
      </c>
      <c r="C18" s="3">
        <f t="shared" si="1"/>
        <v>1716.1120000000001</v>
      </c>
      <c r="D18" s="4">
        <f t="shared" si="2"/>
        <v>44.277599999999985</v>
      </c>
      <c r="E18" s="5">
        <f t="shared" si="3"/>
        <v>7.0847999999999942</v>
      </c>
    </row>
    <row r="19" spans="1:17" ht="21.75" customHeight="1">
      <c r="A19" s="3">
        <f>IF(NOT(ISNUMBER(v_grasa)),"ND",v_grasa+3)</f>
        <v>25</v>
      </c>
      <c r="B19" s="3">
        <f t="shared" si="0"/>
        <v>61.5</v>
      </c>
      <c r="C19" s="3">
        <f t="shared" si="1"/>
        <v>1698.4</v>
      </c>
      <c r="D19" s="4">
        <f t="shared" si="2"/>
        <v>47.819999999999979</v>
      </c>
      <c r="E19" s="5">
        <f t="shared" si="3"/>
        <v>10.627199999999988</v>
      </c>
    </row>
    <row r="20" spans="1:17" ht="21.75" customHeight="1">
      <c r="A20" s="3">
        <f>IF(NOT(ISNUMBER(v_grasa)),"ND",v_grasa+4)</f>
        <v>26</v>
      </c>
      <c r="B20" s="3">
        <f t="shared" si="0"/>
        <v>60.68</v>
      </c>
      <c r="C20" s="3">
        <f t="shared" si="1"/>
        <v>1680.6880000000001</v>
      </c>
      <c r="D20" s="4">
        <f t="shared" si="2"/>
        <v>51.36239999999998</v>
      </c>
      <c r="E20" s="5">
        <f t="shared" si="3"/>
        <v>14.169599999999988</v>
      </c>
    </row>
    <row r="21" spans="1:17" ht="40.5" customHeight="1"/>
    <row r="22" spans="1:17" ht="19.5" customHeight="1">
      <c r="A22" s="27" t="s">
        <v>101</v>
      </c>
      <c r="B22" s="27"/>
      <c r="C22" s="27"/>
      <c r="D22" s="27"/>
      <c r="E22" s="27"/>
      <c r="F22" s="27"/>
      <c r="G22" s="27"/>
      <c r="H22" s="27"/>
      <c r="I22" s="27"/>
      <c r="J22" s="27"/>
      <c r="K22" s="27"/>
      <c r="L22" s="27"/>
      <c r="M22" s="27"/>
      <c r="N22" s="27"/>
      <c r="O22" s="27"/>
      <c r="P22" s="27"/>
      <c r="Q22" s="27"/>
    </row>
    <row r="23" spans="1:17" ht="18" customHeight="1">
      <c r="A23" s="36" t="s">
        <v>102</v>
      </c>
      <c r="B23" s="36"/>
      <c r="C23" s="37">
        <f>IF(k_edad=0,"ND",k_kmFFM/(-k_edad))</f>
        <v>4.32</v>
      </c>
      <c r="D23" s="37"/>
      <c r="E23" s="37"/>
      <c r="F23" s="37"/>
      <c r="G23" s="37"/>
      <c r="H23" s="37"/>
      <c r="I23" s="37"/>
      <c r="J23" s="37"/>
      <c r="K23" s="37"/>
      <c r="L23" s="45" t="s">
        <v>103</v>
      </c>
      <c r="M23" s="45"/>
      <c r="N23" s="45"/>
      <c r="O23" s="45"/>
      <c r="P23" s="45"/>
      <c r="Q23" s="45"/>
    </row>
    <row r="24" spans="1:17" ht="18" customHeight="1">
      <c r="A24" s="36" t="s">
        <v>104</v>
      </c>
      <c r="B24" s="36"/>
      <c r="C24" s="38">
        <f>IF(OR(NOT(ISNUMBER(v_peso)),k_edad=0),"ND",v_peso/100*k_kmFFM/(-k_edad))</f>
        <v>3.5423999999999998</v>
      </c>
      <c r="D24" s="38"/>
      <c r="E24" s="38"/>
      <c r="F24" s="38"/>
      <c r="G24" s="38"/>
      <c r="H24" s="38"/>
      <c r="I24" s="38"/>
      <c r="J24" s="38"/>
      <c r="K24" s="38"/>
    </row>
    <row r="25" spans="1:17" ht="30" customHeight="1">
      <c r="A25" s="36" t="s">
        <v>105</v>
      </c>
      <c r="B25" s="36"/>
      <c r="C25" s="43" t="str">
        <f>IF(NOT(ISNUMBER(C24)),"ND","Un error de dos puntos porcentuales en la estimación de la grasa desplaza el resultado en "&amp;TEXT(2*C24,"0.0")&amp;" años. Ningún método de campo tiene esa precisión.")</f>
        <v>Un error de dos puntos porcentuales en la estimación de la grasa desplaza el resultado en 07 años. Ningún método de campo tiene esa precisión.</v>
      </c>
      <c r="D25" s="43"/>
      <c r="E25" s="43"/>
      <c r="F25" s="43"/>
      <c r="G25" s="43"/>
      <c r="H25" s="43"/>
      <c r="I25" s="43"/>
      <c r="J25" s="43"/>
      <c r="K25" s="43"/>
    </row>
    <row r="26" spans="1:17" ht="30" customHeight="1">
      <c r="A26" s="36" t="s">
        <v>106</v>
      </c>
      <c r="B26" s="36"/>
      <c r="C26" s="43" t="str">
        <f>IF(NOT(ISNUMBER(C23)),"ND","La conversión entre masa magra y años es un cociente fijo entre dos coeficientes de ecuaciones distintas. No refleja ningún proceso biológico de envejecimiento: es aritmética.")</f>
        <v>La conversión entre masa magra y años es un cociente fijo entre dos coeficientes de ecuaciones distintas. No refleja ningún proceso biológico de envejecimiento: es aritmética.</v>
      </c>
      <c r="D26" s="43"/>
      <c r="E26" s="43"/>
      <c r="F26" s="43"/>
      <c r="G26" s="43"/>
      <c r="H26" s="43"/>
      <c r="I26" s="43"/>
      <c r="J26" s="43"/>
      <c r="K26" s="43"/>
    </row>
    <row r="28" spans="1:17" ht="15" customHeight="1">
      <c r="A28" s="47" t="s">
        <v>107</v>
      </c>
      <c r="B28" s="47"/>
      <c r="C28" s="47"/>
      <c r="D28" s="47"/>
      <c r="E28" s="47"/>
      <c r="F28" s="47"/>
      <c r="G28" s="47"/>
      <c r="H28" s="47"/>
      <c r="I28" s="47"/>
      <c r="J28" s="47"/>
      <c r="K28" s="47"/>
      <c r="L28" s="47"/>
      <c r="M28" s="47"/>
      <c r="N28" s="47"/>
      <c r="O28" s="47"/>
      <c r="P28" s="47"/>
      <c r="Q28" s="47"/>
    </row>
    <row r="29" spans="1:17" ht="15" customHeight="1">
      <c r="A29" s="47"/>
      <c r="B29" s="47"/>
      <c r="C29" s="47"/>
      <c r="D29" s="47"/>
      <c r="E29" s="47"/>
      <c r="F29" s="47"/>
      <c r="G29" s="47"/>
      <c r="H29" s="47"/>
      <c r="I29" s="47"/>
      <c r="J29" s="47"/>
      <c r="K29" s="47"/>
      <c r="L29" s="47"/>
      <c r="M29" s="47"/>
      <c r="N29" s="47"/>
      <c r="O29" s="47"/>
      <c r="P29" s="47"/>
      <c r="Q29" s="47"/>
    </row>
    <row r="30" spans="1:17" ht="15" customHeight="1">
      <c r="A30" s="47"/>
      <c r="B30" s="47"/>
      <c r="C30" s="47"/>
      <c r="D30" s="47"/>
      <c r="E30" s="47"/>
      <c r="F30" s="47"/>
      <c r="G30" s="47"/>
      <c r="H30" s="47"/>
      <c r="I30" s="47"/>
      <c r="J30" s="47"/>
      <c r="K30" s="47"/>
      <c r="L30" s="47"/>
      <c r="M30" s="47"/>
      <c r="N30" s="47"/>
      <c r="O30" s="47"/>
      <c r="P30" s="47"/>
      <c r="Q30" s="47"/>
    </row>
  </sheetData>
  <mergeCells count="16">
    <mergeCell ref="A1:Q1"/>
    <mergeCell ref="A2:Q3"/>
    <mergeCell ref="A4:B4"/>
    <mergeCell ref="A6:Q8"/>
    <mergeCell ref="A10:Q10"/>
    <mergeCell ref="A22:Q22"/>
    <mergeCell ref="A23:B23"/>
    <mergeCell ref="C23:K23"/>
    <mergeCell ref="L23:Q23"/>
    <mergeCell ref="A24:B24"/>
    <mergeCell ref="C24:K24"/>
    <mergeCell ref="A25:B25"/>
    <mergeCell ref="C25:K25"/>
    <mergeCell ref="A26:B26"/>
    <mergeCell ref="C26:K26"/>
    <mergeCell ref="A28:Q30"/>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FBE4D5"/>
  </sheetPr>
  <dimension ref="A1:Q45"/>
  <sheetViews>
    <sheetView showGridLines="0" zoomScaleNormal="100" workbookViewId="0">
      <selection activeCell="A4" sqref="A4:D4"/>
    </sheetView>
  </sheetViews>
  <sheetFormatPr baseColWidth="10" defaultColWidth="9.140625" defaultRowHeight="15"/>
  <cols>
    <col min="1" max="1" width="18.5703125" style="1" customWidth="1"/>
    <col min="2" max="2" width="19" style="1" customWidth="1"/>
    <col min="3" max="3" width="12" style="1" customWidth="1"/>
    <col min="4" max="5" width="11" style="1" customWidth="1"/>
    <col min="6" max="7"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6" width="11" style="1" customWidth="1"/>
    <col min="17" max="17" width="12" style="1" customWidth="1"/>
  </cols>
  <sheetData>
    <row r="1" spans="1:17" ht="25.5" customHeight="1">
      <c r="A1" s="32" t="s">
        <v>0</v>
      </c>
      <c r="B1" s="32"/>
      <c r="C1" s="32"/>
      <c r="D1" s="32"/>
      <c r="E1" s="32"/>
      <c r="F1" s="32"/>
      <c r="G1" s="32"/>
      <c r="H1" s="32"/>
      <c r="I1" s="32"/>
      <c r="J1" s="32"/>
      <c r="K1" s="32"/>
      <c r="L1" s="32"/>
      <c r="M1" s="32"/>
      <c r="N1" s="32"/>
      <c r="O1" s="32"/>
      <c r="P1" s="32"/>
      <c r="Q1" s="32"/>
    </row>
    <row r="2" spans="1:17" ht="15" customHeight="1">
      <c r="A2" s="33" t="s">
        <v>108</v>
      </c>
      <c r="B2" s="33"/>
      <c r="C2" s="33"/>
      <c r="D2" s="33"/>
      <c r="E2" s="33"/>
      <c r="F2" s="33"/>
      <c r="G2" s="33"/>
      <c r="H2" s="33"/>
      <c r="I2" s="33"/>
      <c r="J2" s="33"/>
      <c r="K2" s="33"/>
      <c r="L2" s="33"/>
      <c r="M2" s="33"/>
      <c r="N2" s="33"/>
      <c r="O2" s="33"/>
      <c r="P2" s="33"/>
      <c r="Q2" s="33"/>
    </row>
    <row r="3" spans="1:17" ht="15" customHeight="1">
      <c r="A3" s="33"/>
      <c r="B3" s="33"/>
      <c r="C3" s="33"/>
      <c r="D3" s="33"/>
      <c r="E3" s="33"/>
      <c r="F3" s="33"/>
      <c r="G3" s="33"/>
      <c r="H3" s="33"/>
      <c r="I3" s="33"/>
      <c r="J3" s="33"/>
      <c r="K3" s="33"/>
      <c r="L3" s="33"/>
      <c r="M3" s="33"/>
      <c r="N3" s="33"/>
      <c r="O3" s="33"/>
      <c r="P3" s="33"/>
      <c r="Q3" s="33"/>
    </row>
    <row r="4" spans="1:17" ht="24" customHeight="1">
      <c r="A4" s="65" t="str">
        <f>HYPERLINK("#INICIO!A1","▶  VOLVER A INICIO")</f>
        <v>▶  VOLVER A INICIO</v>
      </c>
      <c r="B4" s="66"/>
      <c r="C4" s="66"/>
      <c r="D4" s="66"/>
    </row>
    <row r="6" spans="1:17" ht="15" customHeight="1">
      <c r="A6" s="47" t="s">
        <v>109</v>
      </c>
      <c r="B6" s="47"/>
      <c r="C6" s="47"/>
      <c r="D6" s="47"/>
      <c r="E6" s="47"/>
      <c r="F6" s="47"/>
      <c r="G6" s="47"/>
      <c r="H6" s="47"/>
      <c r="I6" s="47"/>
      <c r="J6" s="47"/>
      <c r="K6" s="47"/>
      <c r="L6" s="47"/>
      <c r="M6" s="47"/>
      <c r="N6" s="47"/>
      <c r="O6" s="47"/>
      <c r="P6" s="47"/>
      <c r="Q6" s="47"/>
    </row>
    <row r="7" spans="1:17" ht="15" customHeight="1">
      <c r="A7" s="47"/>
      <c r="B7" s="47"/>
      <c r="C7" s="47"/>
      <c r="D7" s="47"/>
      <c r="E7" s="47"/>
      <c r="F7" s="47"/>
      <c r="G7" s="47"/>
      <c r="H7" s="47"/>
      <c r="I7" s="47"/>
      <c r="J7" s="47"/>
      <c r="K7" s="47"/>
      <c r="L7" s="47"/>
      <c r="M7" s="47"/>
      <c r="N7" s="47"/>
      <c r="O7" s="47"/>
      <c r="P7" s="47"/>
      <c r="Q7" s="47"/>
    </row>
    <row r="8" spans="1:17" ht="15" customHeight="1">
      <c r="A8" s="47"/>
      <c r="B8" s="47"/>
      <c r="C8" s="47"/>
      <c r="D8" s="47"/>
      <c r="E8" s="47"/>
      <c r="F8" s="47"/>
      <c r="G8" s="47"/>
      <c r="H8" s="47"/>
      <c r="I8" s="47"/>
      <c r="J8" s="47"/>
      <c r="K8" s="47"/>
      <c r="L8" s="47"/>
      <c r="M8" s="47"/>
      <c r="N8" s="47"/>
      <c r="O8" s="47"/>
      <c r="P8" s="47"/>
      <c r="Q8" s="47"/>
    </row>
    <row r="9" spans="1:17" ht="15" customHeight="1">
      <c r="A9" s="47"/>
      <c r="B9" s="47"/>
      <c r="C9" s="47"/>
      <c r="D9" s="47"/>
      <c r="E9" s="47"/>
      <c r="F9" s="47"/>
      <c r="G9" s="47"/>
      <c r="H9" s="47"/>
      <c r="I9" s="47"/>
      <c r="J9" s="47"/>
      <c r="K9" s="47"/>
      <c r="L9" s="47"/>
      <c r="M9" s="47"/>
      <c r="N9" s="47"/>
      <c r="O9" s="47"/>
      <c r="P9" s="47"/>
      <c r="Q9" s="47"/>
    </row>
    <row r="11" spans="1:17" ht="19.5" customHeight="1">
      <c r="A11" s="27" t="s">
        <v>110</v>
      </c>
      <c r="B11" s="27"/>
      <c r="C11" s="27"/>
      <c r="D11" s="27"/>
      <c r="E11" s="27"/>
      <c r="F11" s="27"/>
      <c r="G11" s="27"/>
      <c r="H11" s="27"/>
      <c r="I11" s="27"/>
      <c r="J11" s="27"/>
      <c r="K11" s="27"/>
      <c r="L11" s="27"/>
      <c r="M11" s="27"/>
      <c r="N11" s="27"/>
      <c r="O11" s="27"/>
      <c r="P11" s="27"/>
      <c r="Q11" s="27"/>
    </row>
    <row r="12" spans="1:17" ht="31.5" customHeight="1">
      <c r="A12" s="36" t="s">
        <v>111</v>
      </c>
      <c r="B12" s="36"/>
      <c r="C12" s="52">
        <f>v_edadMet</f>
        <v>37.192799999999991</v>
      </c>
      <c r="D12" s="52"/>
      <c r="E12" s="52"/>
      <c r="F12" s="52"/>
      <c r="G12" s="52"/>
      <c r="H12" s="52"/>
      <c r="I12" s="52"/>
      <c r="J12" s="52"/>
      <c r="K12" s="52"/>
    </row>
    <row r="13" spans="1:17" ht="18" customHeight="1">
      <c r="A13" s="36" t="s">
        <v>112</v>
      </c>
      <c r="B13" s="36"/>
      <c r="C13" s="38">
        <f>v_edad</f>
        <v>45</v>
      </c>
      <c r="D13" s="38"/>
      <c r="E13" s="38"/>
      <c r="F13" s="38"/>
      <c r="G13" s="38"/>
      <c r="H13" s="38"/>
      <c r="I13" s="38"/>
      <c r="J13" s="38"/>
      <c r="K13" s="38"/>
    </row>
    <row r="14" spans="1:17" ht="18" customHeight="1">
      <c r="A14" s="36" t="s">
        <v>86</v>
      </c>
      <c r="B14" s="36"/>
      <c r="C14" s="38">
        <f>v_difEdad</f>
        <v>-7.8072000000000088</v>
      </c>
      <c r="D14" s="38"/>
      <c r="E14" s="38"/>
      <c r="F14" s="38"/>
      <c r="G14" s="38"/>
      <c r="H14" s="38"/>
      <c r="I14" s="38"/>
      <c r="J14" s="38"/>
      <c r="K14" s="38"/>
    </row>
    <row r="15" spans="1:17" ht="57.75" customHeight="1">
      <c r="A15" s="36" t="s">
        <v>113</v>
      </c>
      <c r="B15" s="36"/>
      <c r="C15" s="51" t="str">
        <f>IF(NOT(ISNUMBER(v_difEdad)),"ND",IF(ABS(v_difEdad)&gt;u_implaus,"DIFERENCIA IMPLAUSIBLE de "&amp;TEXT(v_difEdad,"+0.0;-0.0")&amp;" años. Una separación de esta magnitud refleja un porcentaje de grasa muy alejado del promedio poblacional, no un envejecimiento real. NO comunique esta cifra como una edad.",IF(ABS(v_difEdad)&lt;=u_equiv,"La diferencia es menor que el error propio del método: el resultado es equivalente a la edad cronológica y no permite afirmar nada.",IF(v_difEdad&lt;0,"El resultado queda por debajo de la edad cronológica. Significa que la persona tiene MÁS masa libre de grasa que el promedio poblacional para su peso y talla. Comuníquelo así, no como años de menos.","El resultado queda por encima de la edad cronológica. Significa que la persona tiene MENOS masa libre de grasa que el promedio poblacional para su peso y talla. Comuníquelo así, no como años de más."))))</f>
        <v>El resultado queda por debajo de la edad cronológica. Significa que la persona tiene MÁS masa libre de grasa que el promedio poblacional para su peso y talla. Comuníquelo así, no como años de menos.</v>
      </c>
      <c r="D15" s="51"/>
      <c r="E15" s="51"/>
      <c r="F15" s="51"/>
      <c r="G15" s="51"/>
      <c r="H15" s="51"/>
      <c r="I15" s="51"/>
      <c r="J15" s="51"/>
      <c r="K15" s="51"/>
    </row>
    <row r="16" spans="1:17" ht="31.5" customHeight="1">
      <c r="A16" s="36" t="s">
        <v>114</v>
      </c>
      <c r="B16" s="36"/>
      <c r="C16" s="43" t="str">
        <f>IF(NOT(ISNUMBER(SENSIBILIDAD!C24)),"ND","Un error de dos puntos en la estimación de la grasa desplaza el resultado en "&amp;TEXT(2*SENSIBILIDAD!C24,"0.0")&amp;" años. Compare esa cifra con la diferencia obtenida antes de sacar conclusiones.")</f>
        <v>Un error de dos puntos en la estimación de la grasa desplaza el resultado en 07 años. Compare esa cifra con la diferencia obtenida antes de sacar conclusiones.</v>
      </c>
      <c r="D16" s="43"/>
      <c r="E16" s="43"/>
      <c r="F16" s="43"/>
      <c r="G16" s="43"/>
      <c r="H16" s="43"/>
      <c r="I16" s="43"/>
      <c r="J16" s="43"/>
      <c r="K16" s="43"/>
    </row>
    <row r="18" spans="1:17" ht="19.5" customHeight="1">
      <c r="A18" s="27" t="s">
        <v>115</v>
      </c>
      <c r="B18" s="27"/>
      <c r="C18" s="27"/>
      <c r="D18" s="27"/>
      <c r="E18" s="27"/>
      <c r="F18" s="27"/>
      <c r="G18" s="27"/>
      <c r="H18" s="27"/>
      <c r="I18" s="27"/>
      <c r="J18" s="27"/>
      <c r="K18" s="27"/>
      <c r="L18" s="27"/>
      <c r="M18" s="27"/>
      <c r="N18" s="27"/>
      <c r="O18" s="27"/>
      <c r="P18" s="27"/>
      <c r="Q18" s="27"/>
    </row>
    <row r="19" spans="1:17" ht="31.5" customHeight="1">
      <c r="A19" s="7" t="s">
        <v>116</v>
      </c>
      <c r="B19" s="50" t="s">
        <v>117</v>
      </c>
      <c r="C19" s="50"/>
      <c r="D19" s="50"/>
      <c r="E19" s="50"/>
      <c r="F19" s="50"/>
      <c r="G19" s="50"/>
      <c r="H19" s="50"/>
      <c r="I19" s="50"/>
      <c r="J19" s="50"/>
      <c r="K19" s="50"/>
      <c r="L19" s="50"/>
      <c r="M19" s="50"/>
      <c r="N19" s="50"/>
      <c r="O19" s="50"/>
      <c r="P19" s="50"/>
      <c r="Q19" s="50"/>
    </row>
    <row r="20" spans="1:17" ht="31.5" customHeight="1">
      <c r="A20" s="7" t="s">
        <v>116</v>
      </c>
      <c r="B20" s="50" t="s">
        <v>118</v>
      </c>
      <c r="C20" s="50"/>
      <c r="D20" s="50"/>
      <c r="E20" s="50"/>
      <c r="F20" s="50"/>
      <c r="G20" s="50"/>
      <c r="H20" s="50"/>
      <c r="I20" s="50"/>
      <c r="J20" s="50"/>
      <c r="K20" s="50"/>
      <c r="L20" s="50"/>
      <c r="M20" s="50"/>
      <c r="N20" s="50"/>
      <c r="O20" s="50"/>
      <c r="P20" s="50"/>
      <c r="Q20" s="50"/>
    </row>
    <row r="21" spans="1:17" ht="31.5" customHeight="1">
      <c r="A21" s="7" t="s">
        <v>116</v>
      </c>
      <c r="B21" s="50" t="s">
        <v>119</v>
      </c>
      <c r="C21" s="50"/>
      <c r="D21" s="50"/>
      <c r="E21" s="50"/>
      <c r="F21" s="50"/>
      <c r="G21" s="50"/>
      <c r="H21" s="50"/>
      <c r="I21" s="50"/>
      <c r="J21" s="50"/>
      <c r="K21" s="50"/>
      <c r="L21" s="50"/>
      <c r="M21" s="50"/>
      <c r="N21" s="50"/>
      <c r="O21" s="50"/>
      <c r="P21" s="50"/>
      <c r="Q21" s="50"/>
    </row>
    <row r="22" spans="1:17" ht="31.5" customHeight="1">
      <c r="A22" s="8" t="s">
        <v>120</v>
      </c>
      <c r="B22" s="48" t="s">
        <v>121</v>
      </c>
      <c r="C22" s="48"/>
      <c r="D22" s="48"/>
      <c r="E22" s="48"/>
      <c r="F22" s="48"/>
      <c r="G22" s="48"/>
      <c r="H22" s="48"/>
      <c r="I22" s="48"/>
      <c r="J22" s="48"/>
      <c r="K22" s="48"/>
      <c r="L22" s="48"/>
      <c r="M22" s="48"/>
      <c r="N22" s="48"/>
      <c r="O22" s="48"/>
      <c r="P22" s="48"/>
      <c r="Q22" s="48"/>
    </row>
    <row r="23" spans="1:17" ht="31.5" customHeight="1">
      <c r="A23" s="8" t="s">
        <v>120</v>
      </c>
      <c r="B23" s="48" t="s">
        <v>122</v>
      </c>
      <c r="C23" s="48"/>
      <c r="D23" s="48"/>
      <c r="E23" s="48"/>
      <c r="F23" s="48"/>
      <c r="G23" s="48"/>
      <c r="H23" s="48"/>
      <c r="I23" s="48"/>
      <c r="J23" s="48"/>
      <c r="K23" s="48"/>
      <c r="L23" s="48"/>
      <c r="M23" s="48"/>
      <c r="N23" s="48"/>
      <c r="O23" s="48"/>
      <c r="P23" s="48"/>
      <c r="Q23" s="48"/>
    </row>
    <row r="24" spans="1:17" ht="31.5" customHeight="1">
      <c r="A24" s="8" t="s">
        <v>120</v>
      </c>
      <c r="B24" s="48" t="s">
        <v>123</v>
      </c>
      <c r="C24" s="48"/>
      <c r="D24" s="48"/>
      <c r="E24" s="48"/>
      <c r="F24" s="48"/>
      <c r="G24" s="48"/>
      <c r="H24" s="48"/>
      <c r="I24" s="48"/>
      <c r="J24" s="48"/>
      <c r="K24" s="48"/>
      <c r="L24" s="48"/>
      <c r="M24" s="48"/>
      <c r="N24" s="48"/>
      <c r="O24" s="48"/>
      <c r="P24" s="48"/>
      <c r="Q24" s="48"/>
    </row>
    <row r="25" spans="1:17" ht="31.5" customHeight="1">
      <c r="A25" s="8" t="s">
        <v>120</v>
      </c>
      <c r="B25" s="48" t="s">
        <v>124</v>
      </c>
      <c r="C25" s="48"/>
      <c r="D25" s="48"/>
      <c r="E25" s="48"/>
      <c r="F25" s="48"/>
      <c r="G25" s="48"/>
      <c r="H25" s="48"/>
      <c r="I25" s="48"/>
      <c r="J25" s="48"/>
      <c r="K25" s="48"/>
      <c r="L25" s="48"/>
      <c r="M25" s="48"/>
      <c r="N25" s="48"/>
      <c r="O25" s="48"/>
      <c r="P25" s="48"/>
      <c r="Q25" s="48"/>
    </row>
    <row r="26" spans="1:17" ht="31.5" customHeight="1">
      <c r="A26" s="8" t="s">
        <v>120</v>
      </c>
      <c r="B26" s="48" t="s">
        <v>125</v>
      </c>
      <c r="C26" s="48"/>
      <c r="D26" s="48"/>
      <c r="E26" s="48"/>
      <c r="F26" s="48"/>
      <c r="G26" s="48"/>
      <c r="H26" s="48"/>
      <c r="I26" s="48"/>
      <c r="J26" s="48"/>
      <c r="K26" s="48"/>
      <c r="L26" s="48"/>
      <c r="M26" s="48"/>
      <c r="N26" s="48"/>
      <c r="O26" s="48"/>
      <c r="P26" s="48"/>
      <c r="Q26" s="48"/>
    </row>
    <row r="28" spans="1:17" ht="19.5" customHeight="1">
      <c r="A28" s="27" t="s">
        <v>126</v>
      </c>
      <c r="B28" s="27"/>
      <c r="C28" s="27"/>
      <c r="D28" s="27"/>
      <c r="E28" s="27"/>
      <c r="F28" s="27"/>
      <c r="G28" s="27"/>
      <c r="H28" s="27"/>
      <c r="I28" s="27"/>
      <c r="J28" s="27"/>
      <c r="K28" s="27"/>
      <c r="L28" s="27"/>
      <c r="M28" s="27"/>
      <c r="N28" s="27"/>
      <c r="O28" s="27"/>
      <c r="P28" s="27"/>
      <c r="Q28" s="27"/>
    </row>
    <row r="29" spans="1:17" ht="33.75" customHeight="1">
      <c r="A29" s="9" t="s">
        <v>127</v>
      </c>
      <c r="B29" s="49" t="s">
        <v>128</v>
      </c>
      <c r="C29" s="49"/>
      <c r="D29" s="49"/>
      <c r="E29" s="49"/>
      <c r="F29" s="49"/>
      <c r="G29" s="49"/>
      <c r="H29" s="49"/>
      <c r="I29" s="49"/>
      <c r="J29" s="49"/>
      <c r="K29" s="49"/>
      <c r="L29" s="49"/>
      <c r="M29" s="49"/>
      <c r="N29" s="49"/>
      <c r="O29" s="49"/>
      <c r="P29" s="49"/>
      <c r="Q29" s="49"/>
    </row>
    <row r="30" spans="1:17" ht="33.75" customHeight="1">
      <c r="A30" s="10" t="s">
        <v>129</v>
      </c>
      <c r="B30" s="48" t="s">
        <v>130</v>
      </c>
      <c r="C30" s="48"/>
      <c r="D30" s="48"/>
      <c r="E30" s="48"/>
      <c r="F30" s="48"/>
      <c r="G30" s="48"/>
      <c r="H30" s="48"/>
      <c r="I30" s="48"/>
      <c r="J30" s="48"/>
      <c r="K30" s="48"/>
      <c r="L30" s="48"/>
      <c r="M30" s="48"/>
      <c r="N30" s="48"/>
      <c r="O30" s="48"/>
      <c r="P30" s="48"/>
      <c r="Q30" s="48"/>
    </row>
    <row r="31" spans="1:17" ht="33.75" customHeight="1">
      <c r="A31" s="9" t="s">
        <v>127</v>
      </c>
      <c r="B31" s="49" t="s">
        <v>131</v>
      </c>
      <c r="C31" s="49"/>
      <c r="D31" s="49"/>
      <c r="E31" s="49"/>
      <c r="F31" s="49"/>
      <c r="G31" s="49"/>
      <c r="H31" s="49"/>
      <c r="I31" s="49"/>
      <c r="J31" s="49"/>
      <c r="K31" s="49"/>
      <c r="L31" s="49"/>
      <c r="M31" s="49"/>
      <c r="N31" s="49"/>
      <c r="O31" s="49"/>
      <c r="P31" s="49"/>
      <c r="Q31" s="49"/>
    </row>
    <row r="32" spans="1:17" ht="33.75" customHeight="1">
      <c r="A32" s="10" t="s">
        <v>129</v>
      </c>
      <c r="B32" s="48" t="s">
        <v>132</v>
      </c>
      <c r="C32" s="48"/>
      <c r="D32" s="48"/>
      <c r="E32" s="48"/>
      <c r="F32" s="48"/>
      <c r="G32" s="48"/>
      <c r="H32" s="48"/>
      <c r="I32" s="48"/>
      <c r="J32" s="48"/>
      <c r="K32" s="48"/>
      <c r="L32" s="48"/>
      <c r="M32" s="48"/>
      <c r="N32" s="48"/>
      <c r="O32" s="48"/>
      <c r="P32" s="48"/>
      <c r="Q32" s="48"/>
    </row>
    <row r="33" spans="1:17" ht="33.75" customHeight="1">
      <c r="A33" s="9" t="s">
        <v>127</v>
      </c>
      <c r="B33" s="49" t="s">
        <v>133</v>
      </c>
      <c r="C33" s="49"/>
      <c r="D33" s="49"/>
      <c r="E33" s="49"/>
      <c r="F33" s="49"/>
      <c r="G33" s="49"/>
      <c r="H33" s="49"/>
      <c r="I33" s="49"/>
      <c r="J33" s="49"/>
      <c r="K33" s="49"/>
      <c r="L33" s="49"/>
      <c r="M33" s="49"/>
      <c r="N33" s="49"/>
      <c r="O33" s="49"/>
      <c r="P33" s="49"/>
      <c r="Q33" s="49"/>
    </row>
    <row r="34" spans="1:17" ht="33.75" customHeight="1">
      <c r="A34" s="10" t="s">
        <v>129</v>
      </c>
      <c r="B34" s="48" t="s">
        <v>134</v>
      </c>
      <c r="C34" s="48"/>
      <c r="D34" s="48"/>
      <c r="E34" s="48"/>
      <c r="F34" s="48"/>
      <c r="G34" s="48"/>
      <c r="H34" s="48"/>
      <c r="I34" s="48"/>
      <c r="J34" s="48"/>
      <c r="K34" s="48"/>
      <c r="L34" s="48"/>
      <c r="M34" s="48"/>
      <c r="N34" s="48"/>
      <c r="O34" s="48"/>
      <c r="P34" s="48"/>
      <c r="Q34" s="48"/>
    </row>
    <row r="35" spans="1:17" ht="33.75" customHeight="1">
      <c r="A35" s="10" t="s">
        <v>135</v>
      </c>
      <c r="B35" s="43" t="s">
        <v>136</v>
      </c>
      <c r="C35" s="43"/>
      <c r="D35" s="43"/>
      <c r="E35" s="43"/>
      <c r="F35" s="43"/>
      <c r="G35" s="43"/>
      <c r="H35" s="43"/>
      <c r="I35" s="43"/>
      <c r="J35" s="43"/>
      <c r="K35" s="43"/>
      <c r="L35" s="43"/>
      <c r="M35" s="43"/>
      <c r="N35" s="43"/>
      <c r="O35" s="43"/>
      <c r="P35" s="43"/>
      <c r="Q35" s="43"/>
    </row>
    <row r="37" spans="1:17" ht="19.5" customHeight="1">
      <c r="A37" s="27" t="s">
        <v>137</v>
      </c>
      <c r="B37" s="27"/>
      <c r="C37" s="27"/>
      <c r="D37" s="27"/>
      <c r="E37" s="27"/>
      <c r="F37" s="27"/>
      <c r="G37" s="27"/>
      <c r="H37" s="27"/>
      <c r="I37" s="27"/>
      <c r="J37" s="27"/>
      <c r="K37" s="27"/>
      <c r="L37" s="27"/>
      <c r="M37" s="27"/>
      <c r="N37" s="27"/>
      <c r="O37" s="27"/>
      <c r="P37" s="27"/>
      <c r="Q37" s="27"/>
    </row>
    <row r="38" spans="1:17" ht="18" customHeight="1">
      <c r="A38" s="36" t="s">
        <v>138</v>
      </c>
      <c r="B38" s="36"/>
      <c r="C38" s="38">
        <f>v_mlg</f>
        <v>63.96</v>
      </c>
      <c r="D38" s="38"/>
      <c r="E38" s="38"/>
      <c r="F38" s="38"/>
      <c r="G38" s="38"/>
      <c r="H38" s="38"/>
      <c r="I38" s="38"/>
      <c r="J38" s="38"/>
      <c r="K38" s="38"/>
      <c r="L38" s="45" t="s">
        <v>139</v>
      </c>
      <c r="M38" s="45"/>
      <c r="N38" s="45"/>
      <c r="O38" s="45"/>
      <c r="P38" s="45"/>
      <c r="Q38" s="45"/>
    </row>
    <row r="39" spans="1:17" ht="18" customHeight="1">
      <c r="A39" s="36" t="s">
        <v>140</v>
      </c>
      <c r="B39" s="36"/>
      <c r="C39" s="38">
        <f>IF(OR(NOT(ISNUMBER(v_mlg)),NOT(ISNUMBER(v_talla)),v_talla=0),"ND",v_mlg/((v_talla/100)^2))</f>
        <v>20.186845095316247</v>
      </c>
      <c r="D39" s="38"/>
      <c r="E39" s="38"/>
      <c r="F39" s="38"/>
      <c r="G39" s="38"/>
      <c r="H39" s="38"/>
      <c r="I39" s="38"/>
      <c r="J39" s="38"/>
      <c r="K39" s="38"/>
      <c r="L39" s="45" t="s">
        <v>141</v>
      </c>
      <c r="M39" s="45"/>
      <c r="N39" s="45"/>
      <c r="O39" s="45"/>
      <c r="P39" s="45"/>
      <c r="Q39" s="45"/>
    </row>
    <row r="40" spans="1:17" ht="18" customHeight="1">
      <c r="A40" s="36" t="s">
        <v>56</v>
      </c>
      <c r="B40" s="36"/>
      <c r="C40" s="38">
        <f>v_grasa</f>
        <v>22</v>
      </c>
      <c r="D40" s="38"/>
      <c r="E40" s="38"/>
      <c r="F40" s="38"/>
      <c r="G40" s="38"/>
      <c r="H40" s="38"/>
      <c r="I40" s="38"/>
      <c r="J40" s="38"/>
      <c r="K40" s="38"/>
      <c r="L40" s="45" t="s">
        <v>142</v>
      </c>
      <c r="M40" s="45"/>
      <c r="N40" s="45"/>
      <c r="O40" s="45"/>
      <c r="P40" s="45"/>
      <c r="Q40" s="45"/>
    </row>
    <row r="41" spans="1:17" ht="18" customHeight="1">
      <c r="A41" s="36" t="s">
        <v>143</v>
      </c>
      <c r="B41" s="36"/>
      <c r="C41" s="38">
        <f>v_tmb</f>
        <v>1751.5360000000001</v>
      </c>
      <c r="D41" s="38"/>
      <c r="E41" s="38"/>
      <c r="F41" s="38"/>
      <c r="G41" s="38"/>
      <c r="H41" s="38"/>
      <c r="I41" s="38"/>
      <c r="J41" s="38"/>
      <c r="K41" s="38"/>
      <c r="L41" s="45" t="s">
        <v>144</v>
      </c>
      <c r="M41" s="45"/>
      <c r="N41" s="45"/>
      <c r="O41" s="45"/>
      <c r="P41" s="45"/>
      <c r="Q41" s="45"/>
    </row>
    <row r="43" spans="1:17" ht="15" customHeight="1">
      <c r="A43" s="47" t="s">
        <v>145</v>
      </c>
      <c r="B43" s="47"/>
      <c r="C43" s="47"/>
      <c r="D43" s="47"/>
      <c r="E43" s="47"/>
      <c r="F43" s="47"/>
      <c r="G43" s="47"/>
      <c r="H43" s="47"/>
      <c r="I43" s="47"/>
      <c r="J43" s="47"/>
      <c r="K43" s="47"/>
      <c r="L43" s="47"/>
      <c r="M43" s="47"/>
      <c r="N43" s="47"/>
      <c r="O43" s="47"/>
      <c r="P43" s="47"/>
      <c r="Q43" s="47"/>
    </row>
    <row r="44" spans="1:17" ht="15" customHeight="1">
      <c r="A44" s="47"/>
      <c r="B44" s="47"/>
      <c r="C44" s="47"/>
      <c r="D44" s="47"/>
      <c r="E44" s="47"/>
      <c r="F44" s="47"/>
      <c r="G44" s="47"/>
      <c r="H44" s="47"/>
      <c r="I44" s="47"/>
      <c r="J44" s="47"/>
      <c r="K44" s="47"/>
      <c r="L44" s="47"/>
      <c r="M44" s="47"/>
      <c r="N44" s="47"/>
      <c r="O44" s="47"/>
      <c r="P44" s="47"/>
      <c r="Q44" s="47"/>
    </row>
    <row r="45" spans="1:17" ht="15" customHeight="1">
      <c r="A45" s="47"/>
      <c r="B45" s="47"/>
      <c r="C45" s="47"/>
      <c r="D45" s="47"/>
      <c r="E45" s="47"/>
      <c r="F45" s="47"/>
      <c r="G45" s="47"/>
      <c r="H45" s="47"/>
      <c r="I45" s="47"/>
      <c r="J45" s="47"/>
      <c r="K45" s="47"/>
      <c r="L45" s="47"/>
      <c r="M45" s="47"/>
      <c r="N45" s="47"/>
      <c r="O45" s="47"/>
      <c r="P45" s="47"/>
      <c r="Q45" s="47"/>
    </row>
  </sheetData>
  <mergeCells count="46">
    <mergeCell ref="A1:Q1"/>
    <mergeCell ref="A2:Q3"/>
    <mergeCell ref="A6:Q9"/>
    <mergeCell ref="A11:Q11"/>
    <mergeCell ref="A4:D4"/>
    <mergeCell ref="A12:B12"/>
    <mergeCell ref="C12:K12"/>
    <mergeCell ref="A13:B13"/>
    <mergeCell ref="C13:K13"/>
    <mergeCell ref="A14:B14"/>
    <mergeCell ref="C14:K14"/>
    <mergeCell ref="A15:B15"/>
    <mergeCell ref="C15:K15"/>
    <mergeCell ref="A16:B16"/>
    <mergeCell ref="C16:K16"/>
    <mergeCell ref="A18:Q18"/>
    <mergeCell ref="B19:Q19"/>
    <mergeCell ref="B20:Q20"/>
    <mergeCell ref="B21:Q21"/>
    <mergeCell ref="B22:Q22"/>
    <mergeCell ref="B23:Q23"/>
    <mergeCell ref="B24:Q24"/>
    <mergeCell ref="B25:Q25"/>
    <mergeCell ref="B26:Q26"/>
    <mergeCell ref="A28:Q28"/>
    <mergeCell ref="B29:Q29"/>
    <mergeCell ref="B30:Q30"/>
    <mergeCell ref="B31:Q31"/>
    <mergeCell ref="B32:Q32"/>
    <mergeCell ref="B33:Q33"/>
    <mergeCell ref="B34:Q34"/>
    <mergeCell ref="B35:Q35"/>
    <mergeCell ref="A37:Q37"/>
    <mergeCell ref="A38:B38"/>
    <mergeCell ref="C38:K38"/>
    <mergeCell ref="L38:Q38"/>
    <mergeCell ref="A41:B41"/>
    <mergeCell ref="C41:K41"/>
    <mergeCell ref="L41:Q41"/>
    <mergeCell ref="A43:Q45"/>
    <mergeCell ref="A39:B39"/>
    <mergeCell ref="C39:K39"/>
    <mergeCell ref="L39:Q39"/>
    <mergeCell ref="A40:B40"/>
    <mergeCell ref="C40:K40"/>
    <mergeCell ref="L40:Q4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D8E7E2"/>
  </sheetPr>
  <dimension ref="A1:Q17"/>
  <sheetViews>
    <sheetView showGridLines="0" topLeftCell="A2" zoomScaleNormal="100" workbookViewId="0">
      <selection sqref="A1:Q1"/>
    </sheetView>
  </sheetViews>
  <sheetFormatPr baseColWidth="10" defaultColWidth="9.140625" defaultRowHeight="15"/>
  <cols>
    <col min="1" max="1" width="34" style="1" customWidth="1"/>
    <col min="2" max="2" width="15" style="1" customWidth="1"/>
    <col min="3" max="3" width="12" style="1" customWidth="1"/>
    <col min="4" max="5" width="11" style="1" customWidth="1"/>
    <col min="6" max="7"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6" width="11" style="1" customWidth="1"/>
    <col min="17" max="17" width="12" style="1" customWidth="1"/>
  </cols>
  <sheetData>
    <row r="1" spans="1:17" ht="25.5" customHeight="1">
      <c r="A1" s="32" t="s">
        <v>0</v>
      </c>
      <c r="B1" s="32"/>
      <c r="C1" s="32"/>
      <c r="D1" s="32"/>
      <c r="E1" s="32"/>
      <c r="F1" s="32"/>
      <c r="G1" s="32"/>
      <c r="H1" s="32"/>
      <c r="I1" s="32"/>
      <c r="J1" s="32"/>
      <c r="K1" s="32"/>
      <c r="L1" s="32"/>
      <c r="M1" s="32"/>
      <c r="N1" s="32"/>
      <c r="O1" s="32"/>
      <c r="P1" s="32"/>
      <c r="Q1" s="32"/>
    </row>
    <row r="2" spans="1:17" ht="15" customHeight="1">
      <c r="A2" s="33" t="s">
        <v>146</v>
      </c>
      <c r="B2" s="33"/>
      <c r="C2" s="33"/>
      <c r="D2" s="33"/>
      <c r="E2" s="33"/>
      <c r="F2" s="33"/>
      <c r="G2" s="33"/>
      <c r="H2" s="33"/>
      <c r="I2" s="33"/>
      <c r="J2" s="33"/>
      <c r="K2" s="33"/>
      <c r="L2" s="33"/>
      <c r="M2" s="33"/>
      <c r="N2" s="33"/>
      <c r="O2" s="33"/>
      <c r="P2" s="33"/>
      <c r="Q2" s="33"/>
    </row>
    <row r="3" spans="1:17" ht="15" customHeight="1">
      <c r="A3" s="33"/>
      <c r="B3" s="33"/>
      <c r="C3" s="33"/>
      <c r="D3" s="33"/>
      <c r="E3" s="33"/>
      <c r="F3" s="33"/>
      <c r="G3" s="33"/>
      <c r="H3" s="33"/>
      <c r="I3" s="33"/>
      <c r="J3" s="33"/>
      <c r="K3" s="33"/>
      <c r="L3" s="33"/>
      <c r="M3" s="33"/>
      <c r="N3" s="33"/>
      <c r="O3" s="33"/>
      <c r="P3" s="33"/>
      <c r="Q3" s="33"/>
    </row>
    <row r="4" spans="1:17" ht="24" customHeight="1">
      <c r="A4" s="35" t="str">
        <f>HYPERLINK("#INICIO!A1","▶  VOLVER A INICIO")</f>
        <v>▶  VOLVER A INICIO</v>
      </c>
      <c r="B4" s="35"/>
    </row>
    <row r="6" spans="1:17" ht="19.5" customHeight="1">
      <c r="A6" s="27" t="s">
        <v>147</v>
      </c>
      <c r="B6" s="27"/>
      <c r="C6" s="27"/>
      <c r="D6" s="27"/>
      <c r="E6" s="27"/>
      <c r="F6" s="27"/>
      <c r="G6" s="27"/>
      <c r="H6" s="27"/>
      <c r="I6" s="27"/>
      <c r="J6" s="27"/>
      <c r="K6" s="27"/>
      <c r="L6" s="27"/>
      <c r="M6" s="27"/>
      <c r="N6" s="27"/>
      <c r="O6" s="27"/>
      <c r="P6" s="27"/>
      <c r="Q6" s="27"/>
    </row>
    <row r="7" spans="1:17" ht="15" customHeight="1">
      <c r="A7" s="7" t="s">
        <v>148</v>
      </c>
      <c r="B7" s="54" t="s">
        <v>149</v>
      </c>
      <c r="C7" s="54"/>
      <c r="D7" s="54"/>
      <c r="E7" s="54"/>
      <c r="F7" s="54"/>
      <c r="G7" s="54"/>
      <c r="H7" s="54"/>
      <c r="I7" s="54"/>
      <c r="J7" s="54"/>
      <c r="K7" s="54"/>
      <c r="L7" s="54"/>
      <c r="M7" s="54"/>
      <c r="N7" s="54"/>
      <c r="O7" s="54"/>
      <c r="P7" s="54"/>
      <c r="Q7" s="54"/>
    </row>
    <row r="8" spans="1:17" ht="61.5" customHeight="1">
      <c r="A8" s="11" t="s">
        <v>150</v>
      </c>
      <c r="B8" s="53" t="s">
        <v>151</v>
      </c>
      <c r="C8" s="53"/>
      <c r="D8" s="53"/>
      <c r="E8" s="53"/>
      <c r="F8" s="53"/>
      <c r="G8" s="53"/>
      <c r="H8" s="53"/>
      <c r="I8" s="53"/>
      <c r="J8" s="53"/>
      <c r="K8" s="53"/>
      <c r="L8" s="53"/>
      <c r="M8" s="53"/>
      <c r="N8" s="53"/>
      <c r="O8" s="53"/>
      <c r="P8" s="53"/>
      <c r="Q8" s="53"/>
    </row>
    <row r="9" spans="1:17" ht="61.5" customHeight="1">
      <c r="A9" s="11" t="s">
        <v>152</v>
      </c>
      <c r="B9" s="53" t="s">
        <v>153</v>
      </c>
      <c r="C9" s="53"/>
      <c r="D9" s="53"/>
      <c r="E9" s="53"/>
      <c r="F9" s="53"/>
      <c r="G9" s="53"/>
      <c r="H9" s="53"/>
      <c r="I9" s="53"/>
      <c r="J9" s="53"/>
      <c r="K9" s="53"/>
      <c r="L9" s="53"/>
      <c r="M9" s="53"/>
      <c r="N9" s="53"/>
      <c r="O9" s="53"/>
      <c r="P9" s="53"/>
      <c r="Q9" s="53"/>
    </row>
    <row r="10" spans="1:17" ht="61.5" customHeight="1">
      <c r="A10" s="11" t="s">
        <v>154</v>
      </c>
      <c r="B10" s="53" t="s">
        <v>155</v>
      </c>
      <c r="C10" s="53"/>
      <c r="D10" s="53"/>
      <c r="E10" s="53"/>
      <c r="F10" s="53"/>
      <c r="G10" s="53"/>
      <c r="H10" s="53"/>
      <c r="I10" s="53"/>
      <c r="J10" s="53"/>
      <c r="K10" s="53"/>
      <c r="L10" s="53"/>
      <c r="M10" s="53"/>
      <c r="N10" s="53"/>
      <c r="O10" s="53"/>
      <c r="P10" s="53"/>
      <c r="Q10" s="53"/>
    </row>
    <row r="11" spans="1:17" ht="61.5" customHeight="1">
      <c r="A11" s="11" t="s">
        <v>156</v>
      </c>
      <c r="B11" s="53" t="s">
        <v>157</v>
      </c>
      <c r="C11" s="53"/>
      <c r="D11" s="53"/>
      <c r="E11" s="53"/>
      <c r="F11" s="53"/>
      <c r="G11" s="53"/>
      <c r="H11" s="53"/>
      <c r="I11" s="53"/>
      <c r="J11" s="53"/>
      <c r="K11" s="53"/>
      <c r="L11" s="53"/>
      <c r="M11" s="53"/>
      <c r="N11" s="53"/>
      <c r="O11" s="53"/>
      <c r="P11" s="53"/>
      <c r="Q11" s="53"/>
    </row>
    <row r="12" spans="1:17" ht="61.5" customHeight="1">
      <c r="A12" s="11" t="s">
        <v>158</v>
      </c>
      <c r="B12" s="53" t="s">
        <v>159</v>
      </c>
      <c r="C12" s="53"/>
      <c r="D12" s="53"/>
      <c r="E12" s="53"/>
      <c r="F12" s="53"/>
      <c r="G12" s="53"/>
      <c r="H12" s="53"/>
      <c r="I12" s="53"/>
      <c r="J12" s="53"/>
      <c r="K12" s="53"/>
      <c r="L12" s="53"/>
      <c r="M12" s="53"/>
      <c r="N12" s="53"/>
      <c r="O12" s="53"/>
      <c r="P12" s="53"/>
      <c r="Q12" s="53"/>
    </row>
    <row r="13" spans="1:17" ht="61.5" customHeight="1">
      <c r="A13" s="11" t="s">
        <v>160</v>
      </c>
      <c r="B13" s="53" t="s">
        <v>161</v>
      </c>
      <c r="C13" s="53"/>
      <c r="D13" s="53"/>
      <c r="E13" s="53"/>
      <c r="F13" s="53"/>
      <c r="G13" s="53"/>
      <c r="H13" s="53"/>
      <c r="I13" s="53"/>
      <c r="J13" s="53"/>
      <c r="K13" s="53"/>
      <c r="L13" s="53"/>
      <c r="M13" s="53"/>
      <c r="N13" s="53"/>
      <c r="O13" s="53"/>
      <c r="P13" s="53"/>
      <c r="Q13" s="53"/>
    </row>
    <row r="14" spans="1:17" ht="61.5" customHeight="1">
      <c r="A14" s="11" t="s">
        <v>162</v>
      </c>
      <c r="B14" s="53" t="s">
        <v>163</v>
      </c>
      <c r="C14" s="53"/>
      <c r="D14" s="53"/>
      <c r="E14" s="53"/>
      <c r="F14" s="53"/>
      <c r="G14" s="53"/>
      <c r="H14" s="53"/>
      <c r="I14" s="53"/>
      <c r="J14" s="53"/>
      <c r="K14" s="53"/>
      <c r="L14" s="53"/>
      <c r="M14" s="53"/>
      <c r="N14" s="53"/>
      <c r="O14" s="53"/>
      <c r="P14" s="53"/>
      <c r="Q14" s="53"/>
    </row>
    <row r="15" spans="1:17" ht="61.5" customHeight="1">
      <c r="A15" s="11" t="s">
        <v>164</v>
      </c>
      <c r="B15" s="53" t="s">
        <v>165</v>
      </c>
      <c r="C15" s="53"/>
      <c r="D15" s="53"/>
      <c r="E15" s="53"/>
      <c r="F15" s="53"/>
      <c r="G15" s="53"/>
      <c r="H15" s="53"/>
      <c r="I15" s="53"/>
      <c r="J15" s="53"/>
      <c r="K15" s="53"/>
      <c r="L15" s="53"/>
      <c r="M15" s="53"/>
      <c r="N15" s="53"/>
      <c r="O15" s="53"/>
      <c r="P15" s="53"/>
      <c r="Q15" s="53"/>
    </row>
    <row r="16" spans="1:17" ht="61.5" customHeight="1">
      <c r="A16" s="11" t="s">
        <v>166</v>
      </c>
      <c r="B16" s="53" t="s">
        <v>167</v>
      </c>
      <c r="C16" s="53"/>
      <c r="D16" s="53"/>
      <c r="E16" s="53"/>
      <c r="F16" s="53"/>
      <c r="G16" s="53"/>
      <c r="H16" s="53"/>
      <c r="I16" s="53"/>
      <c r="J16" s="53"/>
      <c r="K16" s="53"/>
      <c r="L16" s="53"/>
      <c r="M16" s="53"/>
      <c r="N16" s="53"/>
      <c r="O16" s="53"/>
      <c r="P16" s="53"/>
      <c r="Q16" s="53"/>
    </row>
    <row r="17" spans="1:17" ht="61.5" customHeight="1">
      <c r="A17" s="11" t="s">
        <v>168</v>
      </c>
      <c r="B17" s="53" t="s">
        <v>169</v>
      </c>
      <c r="C17" s="53"/>
      <c r="D17" s="53"/>
      <c r="E17" s="53"/>
      <c r="F17" s="53"/>
      <c r="G17" s="53"/>
      <c r="H17" s="53"/>
      <c r="I17" s="53"/>
      <c r="J17" s="53"/>
      <c r="K17" s="53"/>
      <c r="L17" s="53"/>
      <c r="M17" s="53"/>
      <c r="N17" s="53"/>
      <c r="O17" s="53"/>
      <c r="P17" s="53"/>
      <c r="Q17" s="53"/>
    </row>
  </sheetData>
  <mergeCells count="15">
    <mergeCell ref="A1:Q1"/>
    <mergeCell ref="A2:Q3"/>
    <mergeCell ref="A4:B4"/>
    <mergeCell ref="A6:Q6"/>
    <mergeCell ref="B7:Q7"/>
    <mergeCell ref="B8:Q8"/>
    <mergeCell ref="B9:Q9"/>
    <mergeCell ref="B10:Q10"/>
    <mergeCell ref="B11:Q11"/>
    <mergeCell ref="B12:Q12"/>
    <mergeCell ref="B13:Q13"/>
    <mergeCell ref="B14:Q14"/>
    <mergeCell ref="B15:Q15"/>
    <mergeCell ref="B16:Q16"/>
    <mergeCell ref="B17:Q1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FBE4D5"/>
  </sheetPr>
  <dimension ref="A1:Q30"/>
  <sheetViews>
    <sheetView showGridLines="0" zoomScaleNormal="100" workbookViewId="0">
      <selection sqref="A1:Q1"/>
    </sheetView>
  </sheetViews>
  <sheetFormatPr baseColWidth="10" defaultColWidth="9.140625" defaultRowHeight="15"/>
  <cols>
    <col min="1" max="1" width="18.5703125" style="1" customWidth="1"/>
    <col min="2" max="2" width="56" style="1" customWidth="1"/>
    <col min="3" max="5" width="20" style="1" customWidth="1"/>
    <col min="6" max="7"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6" width="11" style="1" customWidth="1"/>
    <col min="17" max="17" width="12" style="1" customWidth="1"/>
  </cols>
  <sheetData>
    <row r="1" spans="1:17" ht="25.5" customHeight="1">
      <c r="A1" s="32" t="s">
        <v>0</v>
      </c>
      <c r="B1" s="32"/>
      <c r="C1" s="32"/>
      <c r="D1" s="32"/>
      <c r="E1" s="32"/>
      <c r="F1" s="32"/>
      <c r="G1" s="32"/>
      <c r="H1" s="32"/>
      <c r="I1" s="32"/>
      <c r="J1" s="32"/>
      <c r="K1" s="32"/>
      <c r="L1" s="32"/>
      <c r="M1" s="32"/>
      <c r="N1" s="32"/>
      <c r="O1" s="32"/>
      <c r="P1" s="32"/>
      <c r="Q1" s="32"/>
    </row>
    <row r="2" spans="1:17" ht="15" customHeight="1">
      <c r="A2" s="33" t="s">
        <v>170</v>
      </c>
      <c r="B2" s="33"/>
      <c r="C2" s="33"/>
      <c r="D2" s="33"/>
      <c r="E2" s="33"/>
      <c r="F2" s="33"/>
      <c r="G2" s="33"/>
      <c r="H2" s="33"/>
      <c r="I2" s="33"/>
      <c r="J2" s="33"/>
      <c r="K2" s="33"/>
      <c r="L2" s="33"/>
      <c r="M2" s="33"/>
      <c r="N2" s="33"/>
      <c r="O2" s="33"/>
      <c r="P2" s="33"/>
      <c r="Q2" s="33"/>
    </row>
    <row r="3" spans="1:17" ht="15" customHeight="1">
      <c r="A3" s="33"/>
      <c r="B3" s="33"/>
      <c r="C3" s="33"/>
      <c r="D3" s="33"/>
      <c r="E3" s="33"/>
      <c r="F3" s="33"/>
      <c r="G3" s="33"/>
      <c r="H3" s="33"/>
      <c r="I3" s="33"/>
      <c r="J3" s="33"/>
      <c r="K3" s="33"/>
      <c r="L3" s="33"/>
      <c r="M3" s="33"/>
      <c r="N3" s="33"/>
      <c r="O3" s="33"/>
      <c r="P3" s="33"/>
      <c r="Q3" s="33"/>
    </row>
    <row r="4" spans="1:17" ht="24" customHeight="1">
      <c r="A4" s="35" t="str">
        <f>HYPERLINK("#INICIO!A1","▶  VOLVER A INICIO")</f>
        <v>▶  VOLVER A INICIO</v>
      </c>
      <c r="B4" s="35"/>
    </row>
    <row r="6" spans="1:17" ht="15" customHeight="1">
      <c r="A6" s="12" t="s">
        <v>171</v>
      </c>
    </row>
    <row r="8" spans="1:17" ht="15" customHeight="1">
      <c r="A8" s="7" t="s">
        <v>172</v>
      </c>
      <c r="B8" s="7" t="s">
        <v>173</v>
      </c>
      <c r="C8" s="7" t="s">
        <v>174</v>
      </c>
      <c r="D8" s="7" t="s">
        <v>175</v>
      </c>
      <c r="E8" s="7" t="s">
        <v>176</v>
      </c>
    </row>
    <row r="9" spans="1:17" ht="15" customHeight="1">
      <c r="A9" s="13" t="s">
        <v>177</v>
      </c>
      <c r="B9" s="14" t="s">
        <v>178</v>
      </c>
      <c r="C9" s="13">
        <f>DATOS!C23</f>
        <v>63.96</v>
      </c>
      <c r="D9" s="13">
        <v>63.96</v>
      </c>
      <c r="E9" s="15" t="str">
        <f t="shared" ref="E9:E28" si="0">IF(AND(ISNUMBER(C9),ISNUMBER(D9)),IF(ABS(C9-D9)&lt;=0.001,"APROBADO","REVISAR"),IF(EXACT(C9&amp;"",D9&amp;""),"APROBADO","REVISAR"))</f>
        <v>APROBADO</v>
      </c>
    </row>
    <row r="10" spans="1:17" ht="15" customHeight="1">
      <c r="A10" s="13" t="s">
        <v>177</v>
      </c>
      <c r="B10" s="14" t="s">
        <v>179</v>
      </c>
      <c r="C10" s="13">
        <f>CALCULO!C9</f>
        <v>1751.5360000000001</v>
      </c>
      <c r="D10" s="13">
        <v>1751.5360000000001</v>
      </c>
      <c r="E10" s="15" t="str">
        <f t="shared" si="0"/>
        <v>APROBADO</v>
      </c>
    </row>
    <row r="11" spans="1:17" ht="15" customHeight="1">
      <c r="A11" s="13" t="s">
        <v>177</v>
      </c>
      <c r="B11" s="14" t="s">
        <v>180</v>
      </c>
      <c r="C11" s="13">
        <f>CALCULO!C13</f>
        <v>1712.5</v>
      </c>
      <c r="D11" s="13">
        <v>1712.5</v>
      </c>
      <c r="E11" s="15" t="str">
        <f t="shared" si="0"/>
        <v>APROBADO</v>
      </c>
    </row>
    <row r="12" spans="1:17" ht="15" customHeight="1">
      <c r="A12" s="13" t="s">
        <v>177</v>
      </c>
      <c r="B12" s="14" t="s">
        <v>181</v>
      </c>
      <c r="C12" s="13">
        <f>CALCULO!C14</f>
        <v>39.036000000000058</v>
      </c>
      <c r="D12" s="13">
        <v>39.036000000000001</v>
      </c>
      <c r="E12" s="15" t="str">
        <f t="shared" si="0"/>
        <v>APROBADO</v>
      </c>
    </row>
    <row r="13" spans="1:17" ht="15" customHeight="1">
      <c r="A13" s="13" t="s">
        <v>182</v>
      </c>
      <c r="B13" s="14" t="s">
        <v>83</v>
      </c>
      <c r="C13" s="13">
        <f>CALCULO!C18</f>
        <v>1937.5</v>
      </c>
      <c r="D13" s="13">
        <v>1937.5</v>
      </c>
      <c r="E13" s="15" t="str">
        <f t="shared" si="0"/>
        <v>APROBADO</v>
      </c>
    </row>
    <row r="14" spans="1:17" ht="15" customHeight="1">
      <c r="A14" s="13" t="s">
        <v>182</v>
      </c>
      <c r="B14" s="14" t="s">
        <v>111</v>
      </c>
      <c r="C14" s="13">
        <f>CALCULO!C19</f>
        <v>37.192799999999991</v>
      </c>
      <c r="D14" s="13">
        <v>37.192799999999998</v>
      </c>
      <c r="E14" s="15" t="str">
        <f t="shared" si="0"/>
        <v>APROBADO</v>
      </c>
    </row>
    <row r="15" spans="1:17" ht="15" customHeight="1">
      <c r="A15" s="13" t="s">
        <v>182</v>
      </c>
      <c r="B15" s="14" t="s">
        <v>183</v>
      </c>
      <c r="C15" s="13">
        <f>CALCULO!C21</f>
        <v>-7.8072000000000088</v>
      </c>
      <c r="D15" s="13">
        <v>-7.8071999999999999</v>
      </c>
      <c r="E15" s="15" t="str">
        <f t="shared" si="0"/>
        <v>APROBADO</v>
      </c>
    </row>
    <row r="16" spans="1:17" ht="15" customHeight="1">
      <c r="A16" s="13" t="s">
        <v>184</v>
      </c>
      <c r="B16" s="14" t="s">
        <v>185</v>
      </c>
      <c r="C16" s="13">
        <f>CALCULO!C25</f>
        <v>45</v>
      </c>
      <c r="D16" s="13">
        <v>45</v>
      </c>
      <c r="E16" s="15" t="str">
        <f t="shared" si="0"/>
        <v>APROBADO</v>
      </c>
    </row>
    <row r="17" spans="1:5" ht="15" customHeight="1">
      <c r="A17" s="13" t="s">
        <v>184</v>
      </c>
      <c r="B17" s="14" t="s">
        <v>186</v>
      </c>
      <c r="C17" s="13">
        <f>CALCULO!C25-DATOS!C12</f>
        <v>0</v>
      </c>
      <c r="D17" s="13">
        <v>0</v>
      </c>
      <c r="E17" s="15" t="str">
        <f t="shared" si="0"/>
        <v>APROBADO</v>
      </c>
    </row>
    <row r="18" spans="1:5" ht="15" customHeight="1">
      <c r="A18" s="13" t="s">
        <v>184</v>
      </c>
      <c r="B18" s="14" t="s">
        <v>187</v>
      </c>
      <c r="C18" s="13" t="str">
        <f>IF(ISNUMBER(SEARCH("identidad algebraica",CALCULO!C26)),"DECLARA","NO DECLARA")</f>
        <v>DECLARA</v>
      </c>
      <c r="D18" s="13" t="s">
        <v>188</v>
      </c>
      <c r="E18" s="15" t="str">
        <f t="shared" si="0"/>
        <v>APROBADO</v>
      </c>
    </row>
    <row r="19" spans="1:5" ht="15" customHeight="1">
      <c r="A19" s="13" t="s">
        <v>189</v>
      </c>
      <c r="B19" s="14" t="s">
        <v>190</v>
      </c>
      <c r="C19" s="13">
        <f>SENSIBILIDAD!C23</f>
        <v>4.32</v>
      </c>
      <c r="D19" s="13">
        <v>4.32</v>
      </c>
      <c r="E19" s="15" t="str">
        <f t="shared" si="0"/>
        <v>APROBADO</v>
      </c>
    </row>
    <row r="20" spans="1:5" ht="15" customHeight="1">
      <c r="A20" s="13" t="s">
        <v>189</v>
      </c>
      <c r="B20" s="14" t="s">
        <v>191</v>
      </c>
      <c r="C20" s="13">
        <f>SENSIBILIDAD!C24</f>
        <v>3.5423999999999998</v>
      </c>
      <c r="D20" s="13">
        <v>3.5424000000000002</v>
      </c>
      <c r="E20" s="15" t="str">
        <f t="shared" si="0"/>
        <v>APROBADO</v>
      </c>
    </row>
    <row r="21" spans="1:5" ht="15" customHeight="1">
      <c r="A21" s="13" t="s">
        <v>189</v>
      </c>
      <c r="B21" s="14" t="s">
        <v>192</v>
      </c>
      <c r="C21" s="16">
        <f>SENSIBILIDAD!D12</f>
        <v>23.023199999999953</v>
      </c>
      <c r="D21" s="13">
        <v>23.023199999999999</v>
      </c>
      <c r="E21" s="15" t="str">
        <f t="shared" si="0"/>
        <v>APROBADO</v>
      </c>
    </row>
    <row r="22" spans="1:5" ht="15" customHeight="1">
      <c r="A22" s="13" t="s">
        <v>189</v>
      </c>
      <c r="B22" s="14" t="s">
        <v>193</v>
      </c>
      <c r="C22" s="16">
        <f>SENSIBILIDAD!D20</f>
        <v>51.36239999999998</v>
      </c>
      <c r="D22" s="13">
        <v>51.362400000000001</v>
      </c>
      <c r="E22" s="15" t="str">
        <f t="shared" si="0"/>
        <v>APROBADO</v>
      </c>
    </row>
    <row r="23" spans="1:5" ht="15" customHeight="1">
      <c r="A23" s="13" t="s">
        <v>189</v>
      </c>
      <c r="B23" s="14" t="s">
        <v>194</v>
      </c>
      <c r="C23" s="13" t="str">
        <f>IF(SENSIBILIDAD!D20-SENSIBILIDAD!D12&gt;28,"AMPLIO","ESTRECHO")</f>
        <v>AMPLIO</v>
      </c>
      <c r="D23" s="13" t="s">
        <v>195</v>
      </c>
      <c r="E23" s="15" t="str">
        <f t="shared" si="0"/>
        <v>APROBADO</v>
      </c>
    </row>
    <row r="24" spans="1:5" ht="15" customHeight="1">
      <c r="A24" s="13" t="s">
        <v>189</v>
      </c>
      <c r="B24" s="14" t="s">
        <v>196</v>
      </c>
      <c r="C24" s="13">
        <f>SENSIBILIDAD!D16-CALCULO!C19</f>
        <v>0</v>
      </c>
      <c r="D24" s="13">
        <v>0</v>
      </c>
      <c r="E24" s="15" t="str">
        <f t="shared" si="0"/>
        <v>APROBADO</v>
      </c>
    </row>
    <row r="25" spans="1:5" ht="15" customHeight="1">
      <c r="A25" s="13" t="s">
        <v>197</v>
      </c>
      <c r="B25" s="14" t="s">
        <v>198</v>
      </c>
      <c r="C25" s="13" t="str">
        <f>IF(AND(CALCULO!C19&gt;=u_edadMin,CALCULO!C19&lt;=u_edadMax),"DENTRO","FUERA")</f>
        <v>DENTRO</v>
      </c>
      <c r="D25" s="13" t="s">
        <v>199</v>
      </c>
      <c r="E25" s="15" t="str">
        <f t="shared" si="0"/>
        <v>APROBADO</v>
      </c>
    </row>
    <row r="26" spans="1:5" ht="15" customHeight="1">
      <c r="A26" s="13" t="s">
        <v>197</v>
      </c>
      <c r="B26" s="14" t="s">
        <v>200</v>
      </c>
      <c r="C26" s="13" t="str">
        <f>IF(ISNUMBER(SEARCH("no como años de menos",INTERPRETACION!C15)),"CORRECTA","REVISAR")</f>
        <v>CORRECTA</v>
      </c>
      <c r="D26" s="13" t="s">
        <v>201</v>
      </c>
      <c r="E26" s="15" t="str">
        <f t="shared" si="0"/>
        <v>APROBADO</v>
      </c>
    </row>
    <row r="27" spans="1:5" ht="15" customHeight="1">
      <c r="A27" s="13" t="s">
        <v>202</v>
      </c>
      <c r="B27" s="14" t="s">
        <v>203</v>
      </c>
      <c r="C27" s="13" t="str">
        <f>IF(ISNUMBER(""),"NUMERO","ND")</f>
        <v>ND</v>
      </c>
      <c r="D27" s="13" t="s">
        <v>204</v>
      </c>
      <c r="E27" s="15" t="str">
        <f t="shared" si="0"/>
        <v>APROBADO</v>
      </c>
    </row>
    <row r="28" spans="1:5" ht="15" customHeight="1">
      <c r="A28" s="13" t="s">
        <v>202</v>
      </c>
      <c r="B28" s="14" t="s">
        <v>205</v>
      </c>
      <c r="C28" s="13" t="str">
        <f>IF(ISNUMBER(DATOS!C23),"HAY DATO","ND")</f>
        <v>HAY DATO</v>
      </c>
      <c r="D28" s="13" t="s">
        <v>206</v>
      </c>
      <c r="E28" s="15" t="str">
        <f t="shared" si="0"/>
        <v>APROBADO</v>
      </c>
    </row>
    <row r="30" spans="1:5" ht="15" customHeight="1">
      <c r="A30" s="17" t="s">
        <v>207</v>
      </c>
      <c r="B30" s="18" t="s">
        <v>208</v>
      </c>
      <c r="C30" s="17">
        <f>COUNTIF(E9:E28,"APROBADO")</f>
        <v>20</v>
      </c>
      <c r="D30" s="17">
        <f>COUNTA(E9:E28)</f>
        <v>20</v>
      </c>
      <c r="E30" s="17" t="str">
        <f>IF(C30=D30,"TODAS APROBADAS","HAY PRUEBAS POR REVISAR")</f>
        <v>TODAS APROBADAS</v>
      </c>
    </row>
  </sheetData>
  <mergeCells count="3">
    <mergeCell ref="A1:Q1"/>
    <mergeCell ref="A2:Q3"/>
    <mergeCell ref="A4:B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5A6B70"/>
  </sheetPr>
  <dimension ref="A1:Q38"/>
  <sheetViews>
    <sheetView showGridLines="0" topLeftCell="A19" zoomScaleNormal="100" workbookViewId="0">
      <selection activeCell="T6" sqref="T6"/>
    </sheetView>
  </sheetViews>
  <sheetFormatPr baseColWidth="10" defaultColWidth="9.140625" defaultRowHeight="15"/>
  <cols>
    <col min="1" max="1" width="44" style="1" customWidth="1"/>
    <col min="2" max="2" width="15" style="1" customWidth="1"/>
    <col min="3" max="3" width="12" style="1" customWidth="1"/>
    <col min="4" max="4" width="14" style="1" customWidth="1"/>
    <col min="5" max="5" width="11" style="1" customWidth="1"/>
    <col min="6" max="7"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6" width="11" style="1" customWidth="1"/>
    <col min="17" max="17" width="12" style="1" customWidth="1"/>
  </cols>
  <sheetData>
    <row r="1" spans="1:17" ht="25.5" customHeight="1">
      <c r="A1" s="32" t="s">
        <v>0</v>
      </c>
      <c r="B1" s="32"/>
      <c r="C1" s="32"/>
      <c r="D1" s="32"/>
      <c r="E1" s="32"/>
      <c r="F1" s="32"/>
      <c r="G1" s="32"/>
      <c r="H1" s="32"/>
      <c r="I1" s="32"/>
      <c r="J1" s="32"/>
      <c r="K1" s="32"/>
      <c r="L1" s="32"/>
      <c r="M1" s="32"/>
      <c r="N1" s="32"/>
      <c r="O1" s="32"/>
      <c r="P1" s="32"/>
      <c r="Q1" s="32"/>
    </row>
    <row r="2" spans="1:17" ht="15" customHeight="1">
      <c r="A2" s="33" t="s">
        <v>209</v>
      </c>
      <c r="B2" s="33"/>
      <c r="C2" s="33"/>
      <c r="D2" s="33"/>
      <c r="E2" s="33"/>
      <c r="F2" s="33"/>
      <c r="G2" s="33"/>
      <c r="H2" s="33"/>
      <c r="I2" s="33"/>
      <c r="J2" s="33"/>
      <c r="K2" s="33"/>
      <c r="L2" s="33"/>
      <c r="M2" s="33"/>
      <c r="N2" s="33"/>
      <c r="O2" s="33"/>
      <c r="P2" s="33"/>
      <c r="Q2" s="33"/>
    </row>
    <row r="3" spans="1:17" ht="15" customHeight="1">
      <c r="A3" s="33"/>
      <c r="B3" s="33"/>
      <c r="C3" s="33"/>
      <c r="D3" s="33"/>
      <c r="E3" s="33"/>
      <c r="F3" s="33"/>
      <c r="G3" s="33"/>
      <c r="H3" s="33"/>
      <c r="I3" s="33"/>
      <c r="J3" s="33"/>
      <c r="K3" s="33"/>
      <c r="L3" s="33"/>
      <c r="M3" s="33"/>
      <c r="N3" s="33"/>
      <c r="O3" s="33"/>
      <c r="P3" s="33"/>
      <c r="Q3" s="33"/>
    </row>
    <row r="4" spans="1:17" ht="24" customHeight="1">
      <c r="A4" s="35" t="str">
        <f>HYPERLINK("#INICIO!A1","▶  VOLVER A INICIO")</f>
        <v>▶  VOLVER A INICIO</v>
      </c>
      <c r="B4" s="35"/>
    </row>
    <row r="6" spans="1:17" ht="19.5" customHeight="1">
      <c r="A6" s="27" t="s">
        <v>210</v>
      </c>
      <c r="B6" s="27"/>
      <c r="C6" s="27"/>
      <c r="D6" s="27"/>
      <c r="E6" s="27"/>
      <c r="F6" s="27"/>
      <c r="G6" s="27"/>
      <c r="H6" s="27"/>
      <c r="I6" s="27"/>
      <c r="J6" s="27"/>
      <c r="K6" s="27"/>
      <c r="L6" s="27"/>
      <c r="M6" s="27"/>
      <c r="N6" s="27"/>
      <c r="O6" s="27"/>
      <c r="P6" s="27"/>
      <c r="Q6" s="27"/>
    </row>
    <row r="7" spans="1:17" ht="15" customHeight="1">
      <c r="A7" s="60" t="s">
        <v>211</v>
      </c>
      <c r="B7" s="60"/>
      <c r="C7" s="60"/>
      <c r="D7" s="60"/>
      <c r="E7" s="60"/>
      <c r="F7" s="60"/>
      <c r="G7" s="60"/>
      <c r="H7" s="60"/>
      <c r="I7" s="60"/>
      <c r="J7" s="60"/>
      <c r="K7" s="60"/>
      <c r="L7" s="60"/>
      <c r="M7" s="60"/>
      <c r="N7" s="60"/>
      <c r="O7" s="60"/>
      <c r="P7" s="60"/>
      <c r="Q7" s="60"/>
    </row>
    <row r="8" spans="1:17" ht="18" customHeight="1">
      <c r="A8" s="7" t="s">
        <v>212</v>
      </c>
      <c r="B8" s="7" t="s">
        <v>213</v>
      </c>
      <c r="C8" s="61" t="s">
        <v>214</v>
      </c>
      <c r="D8" s="61"/>
      <c r="E8" s="61"/>
      <c r="F8" s="61"/>
      <c r="G8" s="61"/>
      <c r="H8" s="61"/>
      <c r="I8" s="61"/>
      <c r="J8" s="61"/>
      <c r="K8" s="61"/>
      <c r="L8" s="61"/>
      <c r="M8" s="61"/>
      <c r="N8" s="61"/>
      <c r="O8" s="61"/>
      <c r="P8" s="61"/>
      <c r="Q8" s="61"/>
    </row>
    <row r="9" spans="1:17" ht="15" customHeight="1">
      <c r="A9" s="19" t="s">
        <v>215</v>
      </c>
      <c r="B9" s="20">
        <v>10</v>
      </c>
      <c r="C9" s="59" t="s">
        <v>216</v>
      </c>
      <c r="D9" s="59"/>
      <c r="E9" s="59"/>
      <c r="F9" s="59"/>
      <c r="G9" s="59"/>
      <c r="H9" s="59"/>
      <c r="I9" s="59"/>
      <c r="J9" s="59"/>
      <c r="K9" s="59"/>
      <c r="L9" s="59"/>
      <c r="M9" s="59"/>
      <c r="N9" s="59"/>
      <c r="O9" s="59"/>
      <c r="P9" s="59"/>
      <c r="Q9" s="59"/>
    </row>
    <row r="10" spans="1:17" ht="15" customHeight="1">
      <c r="A10" s="19" t="s">
        <v>217</v>
      </c>
      <c r="B10" s="20">
        <v>6.25</v>
      </c>
      <c r="C10" s="59" t="s">
        <v>218</v>
      </c>
      <c r="D10" s="59"/>
      <c r="E10" s="59"/>
      <c r="F10" s="59"/>
      <c r="G10" s="59"/>
      <c r="H10" s="59"/>
      <c r="I10" s="59"/>
      <c r="J10" s="59"/>
      <c r="K10" s="59"/>
      <c r="L10" s="59"/>
      <c r="M10" s="59"/>
      <c r="N10" s="59"/>
      <c r="O10" s="59"/>
      <c r="P10" s="59"/>
      <c r="Q10" s="59"/>
    </row>
    <row r="11" spans="1:17" ht="15" customHeight="1">
      <c r="A11" s="19" t="s">
        <v>219</v>
      </c>
      <c r="B11" s="20">
        <v>-5</v>
      </c>
      <c r="C11" s="59" t="s">
        <v>220</v>
      </c>
      <c r="D11" s="59"/>
      <c r="E11" s="59"/>
      <c r="F11" s="59"/>
      <c r="G11" s="59"/>
      <c r="H11" s="59"/>
      <c r="I11" s="59"/>
      <c r="J11" s="59"/>
      <c r="K11" s="59"/>
      <c r="L11" s="59"/>
      <c r="M11" s="59"/>
      <c r="N11" s="59"/>
      <c r="O11" s="59"/>
      <c r="P11" s="59"/>
      <c r="Q11" s="59"/>
    </row>
    <row r="12" spans="1:17" ht="15" customHeight="1">
      <c r="A12" s="19" t="s">
        <v>221</v>
      </c>
      <c r="B12" s="20">
        <v>5</v>
      </c>
      <c r="C12" s="59" t="s">
        <v>222</v>
      </c>
      <c r="D12" s="59"/>
      <c r="E12" s="59"/>
      <c r="F12" s="59"/>
      <c r="G12" s="59"/>
      <c r="H12" s="59"/>
      <c r="I12" s="59"/>
      <c r="J12" s="59"/>
      <c r="K12" s="59"/>
      <c r="L12" s="59"/>
      <c r="M12" s="59"/>
      <c r="N12" s="59"/>
      <c r="O12" s="59"/>
      <c r="P12" s="59"/>
      <c r="Q12" s="59"/>
    </row>
    <row r="13" spans="1:17" ht="15" customHeight="1">
      <c r="A13" s="19" t="s">
        <v>223</v>
      </c>
      <c r="B13" s="20">
        <v>-161</v>
      </c>
      <c r="C13" s="59" t="s">
        <v>222</v>
      </c>
      <c r="D13" s="59"/>
      <c r="E13" s="59"/>
      <c r="F13" s="59"/>
      <c r="G13" s="59"/>
      <c r="H13" s="59"/>
      <c r="I13" s="59"/>
      <c r="J13" s="59"/>
      <c r="K13" s="59"/>
      <c r="L13" s="59"/>
      <c r="M13" s="59"/>
      <c r="N13" s="59"/>
      <c r="O13" s="59"/>
      <c r="P13" s="59"/>
      <c r="Q13" s="59"/>
    </row>
    <row r="15" spans="1:17" ht="19.5" customHeight="1">
      <c r="A15" s="27" t="s">
        <v>224</v>
      </c>
      <c r="B15" s="27"/>
      <c r="C15" s="27"/>
      <c r="D15" s="27"/>
      <c r="E15" s="27"/>
      <c r="F15" s="27"/>
      <c r="G15" s="27"/>
      <c r="H15" s="27"/>
      <c r="I15" s="27"/>
      <c r="J15" s="27"/>
      <c r="K15" s="27"/>
      <c r="L15" s="27"/>
      <c r="M15" s="27"/>
      <c r="N15" s="27"/>
      <c r="O15" s="27"/>
      <c r="P15" s="27"/>
      <c r="Q15" s="27"/>
    </row>
    <row r="16" spans="1:17" ht="15" customHeight="1">
      <c r="A16" s="60" t="s">
        <v>225</v>
      </c>
      <c r="B16" s="60"/>
      <c r="C16" s="60"/>
      <c r="D16" s="60"/>
      <c r="E16" s="60"/>
      <c r="F16" s="60"/>
      <c r="G16" s="60"/>
      <c r="H16" s="60"/>
      <c r="I16" s="60"/>
      <c r="J16" s="60"/>
      <c r="K16" s="60"/>
      <c r="L16" s="60"/>
      <c r="M16" s="60"/>
      <c r="N16" s="60"/>
      <c r="O16" s="60"/>
      <c r="P16" s="60"/>
      <c r="Q16" s="60"/>
    </row>
    <row r="17" spans="1:17" ht="15" customHeight="1">
      <c r="A17" s="55" t="s">
        <v>226</v>
      </c>
      <c r="B17" s="55"/>
      <c r="C17" s="55"/>
      <c r="D17" s="20">
        <v>370</v>
      </c>
    </row>
    <row r="18" spans="1:17" ht="15" customHeight="1">
      <c r="A18" s="55" t="s">
        <v>227</v>
      </c>
      <c r="B18" s="55"/>
      <c r="C18" s="55"/>
      <c r="D18" s="20">
        <v>21.6</v>
      </c>
    </row>
    <row r="20" spans="1:17" ht="19.5" customHeight="1">
      <c r="A20" s="27" t="s">
        <v>228</v>
      </c>
      <c r="B20" s="27"/>
      <c r="C20" s="27"/>
      <c r="D20" s="27"/>
      <c r="E20" s="27"/>
      <c r="F20" s="27"/>
      <c r="G20" s="27"/>
      <c r="H20" s="27"/>
      <c r="I20" s="27"/>
      <c r="J20" s="27"/>
      <c r="K20" s="27"/>
      <c r="L20" s="27"/>
      <c r="M20" s="27"/>
      <c r="N20" s="27"/>
      <c r="O20" s="27"/>
      <c r="P20" s="27"/>
      <c r="Q20" s="27"/>
    </row>
    <row r="21" spans="1:17" ht="15" customHeight="1">
      <c r="A21" s="56" t="s">
        <v>229</v>
      </c>
      <c r="B21" s="56"/>
      <c r="C21" s="56"/>
      <c r="D21" s="21" t="s">
        <v>230</v>
      </c>
      <c r="E21" s="22">
        <v>3</v>
      </c>
    </row>
    <row r="22" spans="1:17" ht="15" customHeight="1">
      <c r="A22" s="56" t="s">
        <v>231</v>
      </c>
      <c r="B22" s="56"/>
      <c r="C22" s="56"/>
      <c r="D22" s="21" t="s">
        <v>230</v>
      </c>
      <c r="E22" s="22">
        <v>15</v>
      </c>
    </row>
    <row r="23" spans="1:17" ht="15" customHeight="1">
      <c r="A23" s="56" t="s">
        <v>232</v>
      </c>
      <c r="B23" s="56"/>
      <c r="C23" s="56"/>
      <c r="D23" s="21" t="s">
        <v>230</v>
      </c>
      <c r="E23" s="22">
        <v>18</v>
      </c>
    </row>
    <row r="24" spans="1:17" ht="15" customHeight="1">
      <c r="A24" s="56" t="s">
        <v>233</v>
      </c>
      <c r="B24" s="56"/>
      <c r="C24" s="56"/>
      <c r="D24" s="21" t="s">
        <v>230</v>
      </c>
      <c r="E24" s="22">
        <v>90</v>
      </c>
    </row>
    <row r="25" spans="1:17" ht="15" customHeight="1">
      <c r="A25" s="56" t="s">
        <v>234</v>
      </c>
      <c r="B25" s="56"/>
      <c r="C25" s="56"/>
      <c r="D25" s="21" t="s">
        <v>235</v>
      </c>
      <c r="E25" s="22">
        <v>1E-4</v>
      </c>
    </row>
    <row r="26" spans="1:17" ht="15" customHeight="1">
      <c r="A26" s="57" t="s">
        <v>236</v>
      </c>
      <c r="B26" s="57"/>
      <c r="C26" s="57"/>
      <c r="D26" s="57"/>
      <c r="E26" s="57"/>
      <c r="F26" s="57"/>
      <c r="G26" s="57"/>
      <c r="H26" s="57"/>
      <c r="I26" s="57"/>
      <c r="J26" s="57"/>
      <c r="K26" s="57"/>
      <c r="L26" s="57"/>
      <c r="M26" s="57"/>
      <c r="N26" s="57"/>
      <c r="O26" s="57"/>
      <c r="P26" s="57"/>
      <c r="Q26" s="57"/>
    </row>
    <row r="27" spans="1:17" ht="15" customHeight="1">
      <c r="A27" s="57"/>
      <c r="B27" s="57"/>
      <c r="C27" s="57"/>
      <c r="D27" s="57"/>
      <c r="E27" s="57"/>
      <c r="F27" s="57"/>
      <c r="G27" s="57"/>
      <c r="H27" s="57"/>
      <c r="I27" s="57"/>
      <c r="J27" s="57"/>
      <c r="K27" s="57"/>
      <c r="L27" s="57"/>
      <c r="M27" s="57"/>
      <c r="N27" s="57"/>
      <c r="O27" s="57"/>
      <c r="P27" s="57"/>
      <c r="Q27" s="57"/>
    </row>
    <row r="28" spans="1:17" ht="15" customHeight="1">
      <c r="A28" s="57"/>
      <c r="B28" s="57"/>
      <c r="C28" s="57"/>
      <c r="D28" s="57"/>
      <c r="E28" s="57"/>
      <c r="F28" s="57"/>
      <c r="G28" s="57"/>
      <c r="H28" s="57"/>
      <c r="I28" s="57"/>
      <c r="J28" s="57"/>
      <c r="K28" s="57"/>
      <c r="L28" s="57"/>
      <c r="M28" s="57"/>
      <c r="N28" s="57"/>
      <c r="O28" s="57"/>
      <c r="P28" s="57"/>
      <c r="Q28" s="57"/>
    </row>
    <row r="30" spans="1:17" ht="19.5" customHeight="1">
      <c r="A30" s="27" t="s">
        <v>237</v>
      </c>
      <c r="B30" s="27"/>
      <c r="C30" s="27"/>
      <c r="D30" s="27"/>
      <c r="E30" s="27"/>
      <c r="F30" s="27"/>
      <c r="G30" s="27"/>
      <c r="H30" s="27"/>
      <c r="I30" s="27"/>
      <c r="J30" s="27"/>
      <c r="K30" s="27"/>
      <c r="L30" s="27"/>
      <c r="M30" s="27"/>
      <c r="N30" s="27"/>
      <c r="O30" s="27"/>
      <c r="P30" s="27"/>
      <c r="Q30" s="27"/>
    </row>
    <row r="31" spans="1:17" ht="15" customHeight="1">
      <c r="A31" s="7" t="s">
        <v>238</v>
      </c>
      <c r="B31" s="58" t="s">
        <v>239</v>
      </c>
      <c r="C31" s="58"/>
      <c r="D31" s="7" t="s">
        <v>240</v>
      </c>
    </row>
    <row r="32" spans="1:17" ht="15" customHeight="1">
      <c r="A32" s="19" t="s">
        <v>241</v>
      </c>
      <c r="B32" s="55" t="s">
        <v>59</v>
      </c>
      <c r="C32" s="55"/>
      <c r="D32" s="19" t="s">
        <v>242</v>
      </c>
    </row>
    <row r="33" spans="1:7" ht="15" customHeight="1">
      <c r="A33" s="19" t="s">
        <v>51</v>
      </c>
      <c r="B33" s="55" t="s">
        <v>243</v>
      </c>
      <c r="C33" s="55"/>
      <c r="D33" s="19" t="s">
        <v>244</v>
      </c>
    </row>
    <row r="34" spans="1:7" ht="15" customHeight="1">
      <c r="B34" s="55" t="s">
        <v>245</v>
      </c>
      <c r="C34" s="55"/>
    </row>
    <row r="35" spans="1:7" ht="15" customHeight="1">
      <c r="B35" s="55" t="s">
        <v>246</v>
      </c>
      <c r="C35" s="55"/>
    </row>
    <row r="38" spans="1:7" ht="15" customHeight="1">
      <c r="G38" s="19"/>
    </row>
  </sheetData>
  <mergeCells count="28">
    <mergeCell ref="A1:Q1"/>
    <mergeCell ref="A2:Q3"/>
    <mergeCell ref="A4:B4"/>
    <mergeCell ref="A6:Q6"/>
    <mergeCell ref="A7:Q7"/>
    <mergeCell ref="C8:Q8"/>
    <mergeCell ref="C9:Q9"/>
    <mergeCell ref="C10:Q10"/>
    <mergeCell ref="C11:Q11"/>
    <mergeCell ref="C12:Q12"/>
    <mergeCell ref="C13:Q13"/>
    <mergeCell ref="A15:Q15"/>
    <mergeCell ref="A16:Q16"/>
    <mergeCell ref="A17:C17"/>
    <mergeCell ref="A18:C18"/>
    <mergeCell ref="A20:Q20"/>
    <mergeCell ref="A21:C21"/>
    <mergeCell ref="A22:C22"/>
    <mergeCell ref="A23:C23"/>
    <mergeCell ref="A24:C24"/>
    <mergeCell ref="B33:C33"/>
    <mergeCell ref="B34:C34"/>
    <mergeCell ref="B35:C35"/>
    <mergeCell ref="A25:C25"/>
    <mergeCell ref="A26:Q28"/>
    <mergeCell ref="A30:Q30"/>
    <mergeCell ref="B31:C31"/>
    <mergeCell ref="B32:C3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B7C7CB"/>
  </sheetPr>
  <dimension ref="A1:Q15"/>
  <sheetViews>
    <sheetView showGridLines="0" zoomScaleNormal="100" workbookViewId="0">
      <selection activeCell="A4" sqref="A4:F4"/>
    </sheetView>
  </sheetViews>
  <sheetFormatPr baseColWidth="10" defaultColWidth="9.140625" defaultRowHeight="15"/>
  <cols>
    <col min="1" max="1" width="12" style="1" customWidth="1"/>
    <col min="2" max="2" width="14" style="1" customWidth="1"/>
    <col min="3" max="3" width="12" style="1" customWidth="1"/>
    <col min="4" max="5" width="11" style="1" customWidth="1"/>
    <col min="6" max="7" width="10" style="1" customWidth="1"/>
    <col min="8" max="8" width="9.85546875" style="1" customWidth="1"/>
    <col min="9" max="9" width="10" style="1" customWidth="1"/>
    <col min="10" max="10" width="11.28515625" style="1" customWidth="1"/>
    <col min="11" max="11" width="15.42578125" style="1" customWidth="1"/>
    <col min="12" max="12" width="9" style="1" customWidth="1"/>
    <col min="13" max="16" width="11" style="1" customWidth="1"/>
    <col min="17" max="17" width="12" style="1" customWidth="1"/>
  </cols>
  <sheetData>
    <row r="1" spans="1:17" ht="25.5" customHeight="1">
      <c r="A1" s="32" t="s">
        <v>0</v>
      </c>
      <c r="B1" s="32"/>
      <c r="C1" s="32"/>
      <c r="D1" s="32"/>
      <c r="E1" s="32"/>
      <c r="F1" s="32"/>
      <c r="G1" s="32"/>
      <c r="H1" s="32"/>
      <c r="I1" s="32"/>
      <c r="J1" s="32"/>
      <c r="K1" s="32"/>
      <c r="L1" s="32"/>
      <c r="M1" s="32"/>
      <c r="N1" s="32"/>
      <c r="O1" s="32"/>
      <c r="P1" s="32"/>
      <c r="Q1" s="32"/>
    </row>
    <row r="2" spans="1:17" ht="15" customHeight="1">
      <c r="A2" s="33" t="s">
        <v>247</v>
      </c>
      <c r="B2" s="33"/>
      <c r="C2" s="33"/>
      <c r="D2" s="33"/>
      <c r="E2" s="33"/>
      <c r="F2" s="33"/>
      <c r="G2" s="33"/>
      <c r="H2" s="33"/>
      <c r="I2" s="33"/>
      <c r="J2" s="33"/>
      <c r="K2" s="33"/>
      <c r="L2" s="33"/>
      <c r="M2" s="33"/>
      <c r="N2" s="33"/>
      <c r="O2" s="33"/>
      <c r="P2" s="33"/>
      <c r="Q2" s="33"/>
    </row>
    <row r="3" spans="1:17" ht="15" customHeight="1">
      <c r="A3" s="33"/>
      <c r="B3" s="33"/>
      <c r="C3" s="33"/>
      <c r="D3" s="33"/>
      <c r="E3" s="33"/>
      <c r="F3" s="33"/>
      <c r="G3" s="33"/>
      <c r="H3" s="33"/>
      <c r="I3" s="33"/>
      <c r="J3" s="33"/>
      <c r="K3" s="33"/>
      <c r="L3" s="33"/>
      <c r="M3" s="33"/>
      <c r="N3" s="33"/>
      <c r="O3" s="33"/>
      <c r="P3" s="33"/>
      <c r="Q3" s="33"/>
    </row>
    <row r="4" spans="1:17" ht="24" customHeight="1">
      <c r="A4" s="65" t="str">
        <f>HYPERLINK("#INICIO!A1","▶  VOLVER A INICIO")</f>
        <v>▶  VOLVER A INICIO</v>
      </c>
      <c r="B4" s="66"/>
      <c r="C4" s="66"/>
      <c r="D4" s="66"/>
      <c r="E4" s="66"/>
      <c r="F4" s="66"/>
    </row>
    <row r="6" spans="1:17" ht="15" customHeight="1">
      <c r="A6" s="7" t="s">
        <v>13</v>
      </c>
      <c r="B6" s="7" t="s">
        <v>15</v>
      </c>
      <c r="C6" s="67" t="s">
        <v>248</v>
      </c>
      <c r="D6" s="67"/>
      <c r="E6" s="67"/>
      <c r="F6" s="67"/>
      <c r="G6" s="67"/>
      <c r="H6" s="67"/>
      <c r="I6" s="67"/>
      <c r="J6" s="67"/>
      <c r="K6" s="67"/>
      <c r="L6" s="67"/>
      <c r="M6" s="67"/>
      <c r="N6" s="67"/>
      <c r="O6" s="67"/>
      <c r="P6" s="67"/>
      <c r="Q6" s="67"/>
    </row>
    <row r="7" spans="1:17" ht="45.75" customHeight="1">
      <c r="A7" s="23" t="s">
        <v>14</v>
      </c>
      <c r="B7" s="23" t="s">
        <v>16</v>
      </c>
      <c r="C7" s="53" t="s">
        <v>249</v>
      </c>
      <c r="D7" s="53"/>
      <c r="E7" s="53"/>
      <c r="F7" s="53"/>
      <c r="G7" s="53"/>
      <c r="H7" s="53"/>
      <c r="I7" s="53"/>
      <c r="J7" s="53" t="s">
        <v>250</v>
      </c>
      <c r="K7" s="53"/>
      <c r="L7" s="53"/>
      <c r="M7" s="53"/>
      <c r="N7" s="53"/>
      <c r="O7" s="53"/>
      <c r="P7" s="53"/>
      <c r="Q7" s="53"/>
    </row>
    <row r="8" spans="1:17" ht="45.75" customHeight="1">
      <c r="A8" s="23" t="s">
        <v>14</v>
      </c>
      <c r="B8" s="23" t="s">
        <v>16</v>
      </c>
      <c r="C8" s="53" t="s">
        <v>251</v>
      </c>
      <c r="D8" s="53"/>
      <c r="E8" s="53"/>
      <c r="F8" s="53"/>
      <c r="G8" s="53"/>
      <c r="H8" s="53"/>
      <c r="I8" s="53"/>
      <c r="J8" s="53" t="s">
        <v>252</v>
      </c>
      <c r="K8" s="53"/>
      <c r="L8" s="53"/>
      <c r="M8" s="53"/>
      <c r="N8" s="53"/>
      <c r="O8" s="53"/>
      <c r="P8" s="53"/>
      <c r="Q8" s="53"/>
    </row>
    <row r="9" spans="1:17" ht="45.75" customHeight="1">
      <c r="A9" s="23" t="s">
        <v>14</v>
      </c>
      <c r="B9" s="23" t="s">
        <v>16</v>
      </c>
      <c r="C9" s="53" t="s">
        <v>253</v>
      </c>
      <c r="D9" s="53"/>
      <c r="E9" s="53"/>
      <c r="F9" s="53"/>
      <c r="G9" s="53"/>
      <c r="H9" s="53"/>
      <c r="I9" s="53"/>
      <c r="J9" s="53" t="s">
        <v>254</v>
      </c>
      <c r="K9" s="53"/>
      <c r="L9" s="53"/>
      <c r="M9" s="53"/>
      <c r="N9" s="53"/>
      <c r="O9" s="53"/>
      <c r="P9" s="53"/>
      <c r="Q9" s="53"/>
    </row>
    <row r="10" spans="1:17" ht="45.75" customHeight="1">
      <c r="A10" s="23" t="s">
        <v>14</v>
      </c>
      <c r="B10" s="23" t="s">
        <v>16</v>
      </c>
      <c r="C10" s="53" t="s">
        <v>255</v>
      </c>
      <c r="D10" s="53"/>
      <c r="E10" s="53"/>
      <c r="F10" s="53"/>
      <c r="G10" s="53"/>
      <c r="H10" s="53"/>
      <c r="I10" s="53"/>
      <c r="J10" s="53" t="s">
        <v>256</v>
      </c>
      <c r="K10" s="53"/>
      <c r="L10" s="53"/>
      <c r="M10" s="53"/>
      <c r="N10" s="53"/>
      <c r="O10" s="53"/>
      <c r="P10" s="53"/>
      <c r="Q10" s="53"/>
    </row>
    <row r="11" spans="1:17" ht="45.75" customHeight="1">
      <c r="A11" s="23" t="s">
        <v>14</v>
      </c>
      <c r="B11" s="23" t="s">
        <v>16</v>
      </c>
      <c r="C11" s="53" t="s">
        <v>257</v>
      </c>
      <c r="D11" s="53"/>
      <c r="E11" s="53"/>
      <c r="F11" s="53"/>
      <c r="G11" s="53"/>
      <c r="H11" s="53"/>
      <c r="I11" s="53"/>
      <c r="J11" s="53" t="s">
        <v>258</v>
      </c>
      <c r="K11" s="53"/>
      <c r="L11" s="53"/>
      <c r="M11" s="53"/>
      <c r="N11" s="53"/>
      <c r="O11" s="53"/>
      <c r="P11" s="53"/>
      <c r="Q11" s="53"/>
    </row>
    <row r="12" spans="1:17" ht="45.75" customHeight="1">
      <c r="A12" s="23" t="s">
        <v>14</v>
      </c>
      <c r="B12" s="23" t="s">
        <v>16</v>
      </c>
      <c r="C12" s="53" t="s">
        <v>259</v>
      </c>
      <c r="D12" s="53"/>
      <c r="E12" s="53"/>
      <c r="F12" s="53"/>
      <c r="G12" s="53"/>
      <c r="H12" s="53"/>
      <c r="I12" s="53"/>
      <c r="J12" s="53" t="s">
        <v>260</v>
      </c>
      <c r="K12" s="53"/>
      <c r="L12" s="53"/>
      <c r="M12" s="53"/>
      <c r="N12" s="53"/>
      <c r="O12" s="53"/>
      <c r="P12" s="53"/>
      <c r="Q12" s="53"/>
    </row>
    <row r="13" spans="1:17" ht="45.75" customHeight="1">
      <c r="A13" s="23" t="s">
        <v>14</v>
      </c>
      <c r="B13" s="23" t="s">
        <v>16</v>
      </c>
      <c r="C13" s="53" t="s">
        <v>261</v>
      </c>
      <c r="D13" s="53"/>
      <c r="E13" s="53"/>
      <c r="F13" s="53"/>
      <c r="G13" s="53"/>
      <c r="H13" s="53"/>
      <c r="I13" s="53"/>
      <c r="J13" s="53" t="s">
        <v>262</v>
      </c>
      <c r="K13" s="53"/>
      <c r="L13" s="53"/>
      <c r="M13" s="53"/>
      <c r="N13" s="53"/>
      <c r="O13" s="53"/>
      <c r="P13" s="53"/>
      <c r="Q13" s="53"/>
    </row>
    <row r="14" spans="1:17" ht="45.75" customHeight="1">
      <c r="A14" s="23" t="s">
        <v>14</v>
      </c>
      <c r="B14" s="23" t="s">
        <v>16</v>
      </c>
      <c r="C14" s="53" t="s">
        <v>263</v>
      </c>
      <c r="D14" s="53"/>
      <c r="E14" s="53"/>
      <c r="F14" s="53"/>
      <c r="G14" s="53"/>
      <c r="H14" s="53"/>
      <c r="I14" s="53"/>
      <c r="J14" s="53" t="s">
        <v>264</v>
      </c>
      <c r="K14" s="53"/>
      <c r="L14" s="53"/>
      <c r="M14" s="53"/>
      <c r="N14" s="53"/>
      <c r="O14" s="53"/>
      <c r="P14" s="53"/>
      <c r="Q14" s="53"/>
    </row>
    <row r="15" spans="1:17" ht="51.75" customHeight="1">
      <c r="A15" s="23" t="s">
        <v>265</v>
      </c>
      <c r="B15" s="23" t="s">
        <v>266</v>
      </c>
      <c r="C15" s="62" t="s">
        <v>267</v>
      </c>
      <c r="D15" s="63"/>
      <c r="E15" s="63"/>
      <c r="F15" s="63"/>
      <c r="G15" s="63"/>
      <c r="H15" s="63"/>
      <c r="I15" s="63"/>
      <c r="J15" s="63"/>
      <c r="K15" s="63"/>
      <c r="L15" s="63"/>
      <c r="M15" s="63"/>
      <c r="N15" s="63"/>
      <c r="O15" s="63"/>
      <c r="P15" s="63"/>
      <c r="Q15" s="64"/>
    </row>
  </sheetData>
  <mergeCells count="21">
    <mergeCell ref="A1:Q1"/>
    <mergeCell ref="A2:Q3"/>
    <mergeCell ref="C6:Q6"/>
    <mergeCell ref="C7:I7"/>
    <mergeCell ref="J7:Q7"/>
    <mergeCell ref="C14:I14"/>
    <mergeCell ref="J14:Q14"/>
    <mergeCell ref="C15:Q15"/>
    <mergeCell ref="A4:F4"/>
    <mergeCell ref="C11:I11"/>
    <mergeCell ref="J11:Q11"/>
    <mergeCell ref="C12:I12"/>
    <mergeCell ref="J12:Q12"/>
    <mergeCell ref="C13:I13"/>
    <mergeCell ref="J13:Q13"/>
    <mergeCell ref="C8:I8"/>
    <mergeCell ref="J8:Q8"/>
    <mergeCell ref="C9:I9"/>
    <mergeCell ref="J9:Q9"/>
    <mergeCell ref="C10:I10"/>
    <mergeCell ref="J10:Q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26</vt:i4>
      </vt:variant>
    </vt:vector>
  </HeadingPairs>
  <TitlesOfParts>
    <vt:vector size="35" baseType="lpstr">
      <vt:lpstr>INICIO</vt:lpstr>
      <vt:lpstr>DATOS</vt:lpstr>
      <vt:lpstr>CALCULO</vt:lpstr>
      <vt:lpstr>SENSIBILIDAD</vt:lpstr>
      <vt:lpstr>INTERPRETACION</vt:lpstr>
      <vt:lpstr>FUENTES</vt:lpstr>
      <vt:lpstr>PRUEBAS</vt:lpstr>
      <vt:lpstr>CONFIG</vt:lpstr>
      <vt:lpstr>CHANGELOG</vt:lpstr>
      <vt:lpstr>k_edad</vt:lpstr>
      <vt:lpstr>k_hombre</vt:lpstr>
      <vt:lpstr>k_kmConst</vt:lpstr>
      <vt:lpstr>k_kmFFM</vt:lpstr>
      <vt:lpstr>k_mujer</vt:lpstr>
      <vt:lpstr>k_peso</vt:lpstr>
      <vt:lpstr>k_talla</vt:lpstr>
      <vt:lpstr>k_tol</vt:lpstr>
      <vt:lpstr>lst_metodo</vt:lpstr>
      <vt:lpstr>lst_sexo</vt:lpstr>
      <vt:lpstr>lst_si</vt:lpstr>
      <vt:lpstr>u_edadMax</vt:lpstr>
      <vt:lpstr>u_edadMin</vt:lpstr>
      <vt:lpstr>u_equiv</vt:lpstr>
      <vt:lpstr>u_implaus</vt:lpstr>
      <vt:lpstr>v_base</vt:lpstr>
      <vt:lpstr>v_difEdad</vt:lpstr>
      <vt:lpstr>v_edad</vt:lpstr>
      <vt:lpstr>v_edadMet</vt:lpstr>
      <vt:lpstr>v_grasa</vt:lpstr>
      <vt:lpstr>v_mlg</vt:lpstr>
      <vt:lpstr>v_peso</vt:lpstr>
      <vt:lpstr>v_sexo</vt:lpstr>
      <vt:lpstr>v_talla</vt:lpstr>
      <vt:lpstr>v_tmb</vt:lpstr>
      <vt:lpstr>v_tmbPob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2</cp:revision>
  <dcterms:created xsi:type="dcterms:W3CDTF">2026-07-24T02:59:51Z</dcterms:created>
  <dcterms:modified xsi:type="dcterms:W3CDTF">2026-08-17T21:46:46Z</dcterms:modified>
  <dc:language>en-US</dc:language>
</cp:coreProperties>
</file>
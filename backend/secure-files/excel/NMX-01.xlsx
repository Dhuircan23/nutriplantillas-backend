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Downloads\"/>
    </mc:Choice>
  </mc:AlternateContent>
  <xr:revisionPtr revIDLastSave="0" documentId="8_{3C8629C5-945D-43DE-A203-57622E2A0B94}" xr6:coauthVersionLast="47" xr6:coauthVersionMax="47" xr10:uidLastSave="{00000000-0000-0000-0000-000000000000}"/>
  <bookViews>
    <workbookView xWindow="-120" yWindow="-120" windowWidth="29040" windowHeight="15840" tabRatio="891" activeTab="13" xr2:uid="{00000000-000D-0000-FFFF-FFFF00000000}"/>
  </bookViews>
  <sheets>
    <sheet name="INICIO" sheetId="1" r:id="rId1"/>
    <sheet name="DATOS" sheetId="2" r:id="rId2"/>
    <sheet name="ECUACIONES" sheetId="3" r:id="rId3"/>
    <sheet name="CALCULOS" sheetId="4" r:id="rId4"/>
    <sheet name="RESULTADOS" sheetId="5" r:id="rId5"/>
    <sheet name="ACTIVIDADES" sheetId="6" r:id="rId6"/>
    <sheet name="FUENTES" sheetId="7" r:id="rId7"/>
    <sheet name="PRUEBAS" sheetId="8" r:id="rId8"/>
    <sheet name="CONFIG" sheetId="9" r:id="rId9"/>
    <sheet name="CHANGELOG" sheetId="10" r:id="rId10"/>
    <sheet name="AUDITORIA" sheetId="11" r:id="rId11"/>
    <sheet name="BASE_MET_ADULT_2024" sheetId="12" r:id="rId12"/>
    <sheet name="BASE_MET_OLDER_2024" sheetId="13" r:id="rId13"/>
    <sheet name="BASE_MET_WHEELCHAIR_2024" sheetId="14" r:id="rId14"/>
  </sheets>
  <definedNames>
    <definedName name="a_Horas">ACTIVIDADES!$B$20</definedName>
    <definedName name="a_IndiceMET">ACTIVIDADES!$B$22</definedName>
    <definedName name="a_PAL">ACTIVIDADES!$B$27</definedName>
    <definedName name="a_SumaMETh">ACTIVIDADES!$B$21</definedName>
    <definedName name="a_TEE">ACTIVIDADES!$B$25</definedName>
    <definedName name="AJUSTE_MAX">CONFIG!$B$22</definedName>
    <definedName name="AMPL_MAX">CONFIG!$B$34</definedName>
    <definedName name="c_Energia">CALCULOS!$B$48</definedName>
    <definedName name="c_ETA">CALCULOS!$B$40</definedName>
    <definedName name="c_FA">CALCULOS!$B$13</definedName>
    <definedName name="c_GAF">CALCULOS!$B$38</definedName>
    <definedName name="c_Gate">CALCULOS!$B$33</definedName>
    <definedName name="c_GEB">CALCULOS!$B$37</definedName>
    <definedName name="c_GET">CALCULOS!$B$41</definedName>
    <definedName name="c_IMC">CALCULOS!$B$8</definedName>
    <definedName name="c_MLG">CALCULOS!$B$10</definedName>
    <definedName name="c_TallaM">CALCULOS!$B$7</definedName>
    <definedName name="COD_ACT">CONFIG!$A$131:$A$144</definedName>
    <definedName name="e_Ampl">ECUACIONES!$B$23</definedName>
    <definedName name="e_GEBsel">ECUACIONES!$B$28</definedName>
    <definedName name="EDAD_MAX">CONFIG!$B$12</definedName>
    <definedName name="EDAD_MIN">CONFIG!$B$11</definedName>
    <definedName name="EST_MAX">CONFIG!$B$16</definedName>
    <definedName name="EST_MIN">CONFIG!$B$15</definedName>
    <definedName name="EST_RA">CONFIG!$B$29</definedName>
    <definedName name="EST_RB">CONFIG!$B$28</definedName>
    <definedName name="ETA_DEF">CONFIG!$B$25</definedName>
    <definedName name="ETA_MAX">CONFIG!$B$21</definedName>
    <definedName name="FA_MAX">CONFIG!$B$20</definedName>
    <definedName name="FA_MIN">CONFIG!$B$19</definedName>
    <definedName name="FA_VAL">CONFIG!$B$51:$B$57</definedName>
    <definedName name="GRA_MIN">CONFIG!$B$33</definedName>
    <definedName name="GRASA_MAX">CONFIG!$B$18</definedName>
    <definedName name="GRASA_MIN">CONFIG!$B$17</definedName>
    <definedName name="HORAS_DIA">CONFIG!$B$23</definedName>
    <definedName name="IMC_RA">CONFIG!$B$31</definedName>
    <definedName name="IMC_RB">CONFIG!$B$30</definedName>
    <definedName name="in_Ajuste">DATOS!$B$16</definedName>
    <definedName name="in_Ecu">DATOS!$B$22</definedName>
    <definedName name="in_Edad">DATOS!$B$10</definedName>
    <definedName name="in_Est">DATOS!$B$12</definedName>
    <definedName name="in_FAcat">DATOS!$B$18</definedName>
    <definedName name="in_FAman">DATOS!$B$19</definedName>
    <definedName name="in_Fecha">DATOS!$B$7</definedName>
    <definedName name="in_Grasa">DATOS!$B$13</definedName>
    <definedName name="in_ID">DATOS!$B$6</definedName>
    <definedName name="in_Metodo">DATOS!$B$17</definedName>
    <definedName name="in_MLG">DATOS!$B$14</definedName>
    <definedName name="in_ModoETA">DATOS!$B$20</definedName>
    <definedName name="in_ModoGra">DATOS!$B$26</definedName>
    <definedName name="in_ModoPro">DATOS!$B$24</definedName>
    <definedName name="in_Motivo">DATOS!$B$23</definedName>
    <definedName name="in_Obj">DATOS!$B$15</definedName>
    <definedName name="in_Obs">DATOS!$B$28</definedName>
    <definedName name="in_Pac">DATOS!$B$8</definedName>
    <definedName name="in_Peso">DATOS!$B$11</definedName>
    <definedName name="in_pETA">DATOS!$B$21</definedName>
    <definedName name="in_Sexo">DATOS!$B$9</definedName>
    <definedName name="in_ValGra">DATOS!$B$27</definedName>
    <definedName name="in_ValPro">DATOS!$B$25</definedName>
    <definedName name="KCHO">CONFIG!$B$10</definedName>
    <definedName name="KGRA">CONFIG!$B$9</definedName>
    <definedName name="KPRO">CONFIG!$B$8</definedName>
    <definedName name="LISTA_ACT">CONFIG!$B$131:$B$144</definedName>
    <definedName name="LISTA_ECU">CONFIG!$B$120:$B$126</definedName>
    <definedName name="LISTA_ETA">CONFIG!$A$68:$A$70</definedName>
    <definedName name="LISTA_FA">CONFIG!$A$51:$A$57</definedName>
    <definedName name="LISTA_METODO">CONFIG!$A$46:$A$47</definedName>
    <definedName name="LISTA_MODO">CONFIG!$A$74:$A$75</definedName>
    <definedName name="LISTA_OBJ">CONFIG!$A$61:$A$64</definedName>
    <definedName name="MET_KCAL">CONFIG!$B$35</definedName>
    <definedName name="MET_VAL">CONFIG!$C$131:$C$144</definedName>
    <definedName name="MJ_KCAL">CONFIG!$B$36</definedName>
    <definedName name="OBJ_PCT">CONFIG!$B$61:$B$64</definedName>
    <definedName name="PAL_ESPECIAL_REPOSO">CONFIG!$F$55</definedName>
    <definedName name="PAL_FAO_MAX">CONFIG!$G$53</definedName>
    <definedName name="PAL_SELECTOR_MAX">CONFIG!$B$57</definedName>
    <definedName name="PAL_SELECTOR_MIN">CONFIG!$B$51</definedName>
    <definedName name="PAL_VIGOROSO_MIN">CONFIG!$F$53</definedName>
    <definedName name="PESO_MAX">CONFIG!$B$14</definedName>
    <definedName name="PESO_MIN">CONFIG!$B$13</definedName>
    <definedName name="PESO_RA">CONFIG!$B$27</definedName>
    <definedName name="PESO_RB">CONFIG!$B$26</definedName>
    <definedName name="PRO_MAX">CONFIG!$B$32</definedName>
    <definedName name="SEXOS">CONFIG!$A$41:$A$42</definedName>
    <definedName name="tblPAL_FAO">CONFIG!$E$50:$H$53</definedName>
    <definedName name="tblPAL_SELECTOR">CONFIG!$A$50:$D$57</definedName>
    <definedName name="TOL_KCAL">CONFIG!$B$24</definedName>
    <definedName name="TOL_MJ">CONFIG!$B$37</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1" l="1"/>
  <c r="A2" i="10"/>
  <c r="A3" i="9"/>
  <c r="K140" i="8"/>
  <c r="J140" i="8"/>
  <c r="I140" i="8"/>
  <c r="K139" i="8"/>
  <c r="J139" i="8"/>
  <c r="I139" i="8"/>
  <c r="K138" i="8"/>
  <c r="J138" i="8"/>
  <c r="I138" i="8"/>
  <c r="K137" i="8"/>
  <c r="J137" i="8"/>
  <c r="I137" i="8"/>
  <c r="K136" i="8"/>
  <c r="J136" i="8"/>
  <c r="I136" i="8"/>
  <c r="E148" i="8"/>
  <c r="K135" i="8"/>
  <c r="J135" i="8"/>
  <c r="I135" i="8"/>
  <c r="E147" i="8"/>
  <c r="K134" i="8"/>
  <c r="J134" i="8"/>
  <c r="I134" i="8"/>
  <c r="K133" i="8"/>
  <c r="J133" i="8"/>
  <c r="I133" i="8"/>
  <c r="K132" i="8"/>
  <c r="J132" i="8"/>
  <c r="I132" i="8"/>
  <c r="B120" i="8"/>
  <c r="G116" i="8"/>
  <c r="F115" i="8"/>
  <c r="H115" i="8" s="1"/>
  <c r="F114" i="8"/>
  <c r="H114" i="8" s="1"/>
  <c r="F113" i="8"/>
  <c r="H113" i="8" s="1"/>
  <c r="F112" i="8"/>
  <c r="H112" i="8" s="1"/>
  <c r="F111" i="8"/>
  <c r="H111" i="8" s="1"/>
  <c r="F110" i="8"/>
  <c r="H110" i="8" s="1"/>
  <c r="F109" i="8"/>
  <c r="H109" i="8" s="1"/>
  <c r="F108" i="8"/>
  <c r="H108" i="8" s="1"/>
  <c r="F107" i="8"/>
  <c r="H107" i="8" s="1"/>
  <c r="F106" i="8"/>
  <c r="H106" i="8" s="1"/>
  <c r="F105" i="8"/>
  <c r="H105" i="8" s="1"/>
  <c r="E100" i="8"/>
  <c r="D99" i="8"/>
  <c r="F99" i="8" s="1"/>
  <c r="D98" i="8"/>
  <c r="F98" i="8" s="1"/>
  <c r="D97" i="8"/>
  <c r="F97" i="8" s="1"/>
  <c r="D96" i="8"/>
  <c r="F96" i="8" s="1"/>
  <c r="D95" i="8"/>
  <c r="F95" i="8" s="1"/>
  <c r="D94" i="8"/>
  <c r="F94" i="8" s="1"/>
  <c r="D93" i="8"/>
  <c r="F93" i="8" s="1"/>
  <c r="F76" i="8"/>
  <c r="F75" i="8"/>
  <c r="H71" i="8"/>
  <c r="H70" i="8"/>
  <c r="F60" i="8"/>
  <c r="G60" i="8" s="1"/>
  <c r="F59" i="8"/>
  <c r="G59" i="8" s="1"/>
  <c r="F58" i="8"/>
  <c r="G58" i="8" s="1"/>
  <c r="F57" i="8"/>
  <c r="G57" i="8" s="1"/>
  <c r="F56" i="8"/>
  <c r="G56" i="8" s="1"/>
  <c r="F55" i="8"/>
  <c r="G55" i="8" s="1"/>
  <c r="F54" i="8"/>
  <c r="G54" i="8" s="1"/>
  <c r="F53" i="8"/>
  <c r="G53" i="8" s="1"/>
  <c r="F52" i="8"/>
  <c r="G52" i="8" s="1"/>
  <c r="F51" i="8"/>
  <c r="G51" i="8" s="1"/>
  <c r="F50" i="8"/>
  <c r="G50" i="8" s="1"/>
  <c r="F49" i="8"/>
  <c r="G49" i="8" s="1"/>
  <c r="F48" i="8"/>
  <c r="G48" i="8" s="1"/>
  <c r="F47" i="8"/>
  <c r="G47" i="8" s="1"/>
  <c r="F46" i="8"/>
  <c r="G46" i="8" s="1"/>
  <c r="F45" i="8"/>
  <c r="G45" i="8" s="1"/>
  <c r="H40" i="8"/>
  <c r="H39" i="8"/>
  <c r="I39" i="8" s="1"/>
  <c r="J39" i="8" s="1"/>
  <c r="I38" i="8"/>
  <c r="H38" i="8"/>
  <c r="H33" i="8"/>
  <c r="M33" i="8" s="1"/>
  <c r="N33" i="8" s="1"/>
  <c r="G33" i="8"/>
  <c r="F33" i="8"/>
  <c r="G32" i="8"/>
  <c r="F32" i="8"/>
  <c r="G31" i="8"/>
  <c r="F31" i="8"/>
  <c r="G30" i="8"/>
  <c r="F30" i="8"/>
  <c r="G29" i="8"/>
  <c r="F29" i="8"/>
  <c r="G28" i="8"/>
  <c r="F28" i="8"/>
  <c r="G27" i="8"/>
  <c r="F27" i="8"/>
  <c r="G26" i="8"/>
  <c r="F26" i="8"/>
  <c r="G25" i="8"/>
  <c r="F25" i="8"/>
  <c r="G24" i="8"/>
  <c r="F24" i="8"/>
  <c r="G23" i="8"/>
  <c r="F23" i="8"/>
  <c r="G22" i="8"/>
  <c r="F22" i="8"/>
  <c r="G21" i="8"/>
  <c r="F21" i="8"/>
  <c r="N17" i="8"/>
  <c r="M17" i="8"/>
  <c r="L17" i="8"/>
  <c r="K17" i="8"/>
  <c r="J17" i="8"/>
  <c r="I17" i="8"/>
  <c r="N16" i="8"/>
  <c r="M16" i="8"/>
  <c r="L16" i="8"/>
  <c r="K16" i="8"/>
  <c r="J16" i="8"/>
  <c r="I16" i="8"/>
  <c r="N15" i="8"/>
  <c r="M15" i="8"/>
  <c r="L15" i="8"/>
  <c r="K15" i="8"/>
  <c r="J15" i="8"/>
  <c r="I15" i="8"/>
  <c r="N14" i="8"/>
  <c r="M14" i="8"/>
  <c r="L14" i="8"/>
  <c r="K14" i="8"/>
  <c r="J14" i="8"/>
  <c r="I14" i="8"/>
  <c r="N13" i="8"/>
  <c r="M13" i="8"/>
  <c r="L13" i="8"/>
  <c r="K13" i="8"/>
  <c r="J13" i="8"/>
  <c r="I13" i="8"/>
  <c r="N12" i="8"/>
  <c r="M12" i="8"/>
  <c r="L12" i="8"/>
  <c r="K12" i="8"/>
  <c r="J12" i="8"/>
  <c r="I12" i="8"/>
  <c r="N11" i="8"/>
  <c r="M11" i="8"/>
  <c r="L11" i="8"/>
  <c r="K11" i="8"/>
  <c r="J11" i="8"/>
  <c r="I11" i="8"/>
  <c r="N10" i="8"/>
  <c r="M10" i="8"/>
  <c r="L10" i="8"/>
  <c r="K10" i="8"/>
  <c r="J10" i="8"/>
  <c r="I10" i="8"/>
  <c r="N9" i="8"/>
  <c r="M9" i="8"/>
  <c r="L9" i="8"/>
  <c r="K9" i="8"/>
  <c r="J9" i="8"/>
  <c r="I9" i="8"/>
  <c r="N8" i="8"/>
  <c r="M8" i="8"/>
  <c r="L8" i="8"/>
  <c r="K8" i="8"/>
  <c r="J8" i="8"/>
  <c r="I8" i="8"/>
  <c r="A4" i="8"/>
  <c r="A4" i="7"/>
  <c r="B23" i="6"/>
  <c r="B20" i="6"/>
  <c r="B15" i="4" s="1"/>
  <c r="F18" i="6"/>
  <c r="F17" i="6"/>
  <c r="F16" i="6"/>
  <c r="F15" i="6"/>
  <c r="F14" i="6"/>
  <c r="F13" i="6"/>
  <c r="F12" i="6"/>
  <c r="F11" i="6"/>
  <c r="F10" i="6"/>
  <c r="F9" i="6"/>
  <c r="F8" i="6"/>
  <c r="F7" i="6"/>
  <c r="D4" i="6"/>
  <c r="B4" i="6"/>
  <c r="A2" i="6"/>
  <c r="C32" i="5"/>
  <c r="C23" i="5"/>
  <c r="C22" i="5"/>
  <c r="C21" i="5"/>
  <c r="B13" i="5"/>
  <c r="D100" i="8" s="1"/>
  <c r="B7" i="5"/>
  <c r="B6" i="5"/>
  <c r="B5" i="5"/>
  <c r="C2" i="5"/>
  <c r="A2" i="5"/>
  <c r="B82" i="4"/>
  <c r="B78" i="5" s="1"/>
  <c r="B81" i="4"/>
  <c r="B77" i="5" s="1"/>
  <c r="B79" i="4"/>
  <c r="B75" i="5" s="1"/>
  <c r="B74" i="4"/>
  <c r="B70" i="5" s="1"/>
  <c r="B73" i="4"/>
  <c r="B69" i="5" s="1"/>
  <c r="B72" i="4"/>
  <c r="B68" i="5" s="1"/>
  <c r="B69" i="4"/>
  <c r="B65" i="5" s="1"/>
  <c r="B63" i="4"/>
  <c r="C56" i="4"/>
  <c r="B56" i="4"/>
  <c r="C55" i="4"/>
  <c r="B55" i="4"/>
  <c r="C54" i="4"/>
  <c r="B54" i="4"/>
  <c r="C53" i="4"/>
  <c r="B53" i="4"/>
  <c r="B46" i="4"/>
  <c r="B45" i="4"/>
  <c r="B42" i="4"/>
  <c r="A24" i="5" s="1"/>
  <c r="B39" i="4"/>
  <c r="B32" i="4"/>
  <c r="B31" i="4"/>
  <c r="B30" i="4"/>
  <c r="B29" i="4"/>
  <c r="B28" i="4"/>
  <c r="B27" i="4"/>
  <c r="B25" i="4"/>
  <c r="B24" i="4"/>
  <c r="B23" i="4"/>
  <c r="B22" i="4"/>
  <c r="B21" i="4"/>
  <c r="B20" i="4"/>
  <c r="B14" i="4"/>
  <c r="B13" i="4"/>
  <c r="B10" i="4"/>
  <c r="B30" i="3" s="1"/>
  <c r="B9" i="4"/>
  <c r="B7" i="4"/>
  <c r="B8" i="4" s="1"/>
  <c r="B75" i="4" s="1"/>
  <c r="B71" i="5" s="1"/>
  <c r="A3" i="4"/>
  <c r="B31" i="3"/>
  <c r="C29" i="3"/>
  <c r="B29" i="3"/>
  <c r="C28" i="3"/>
  <c r="G13" i="3"/>
  <c r="D13" i="3"/>
  <c r="B13" i="3"/>
  <c r="A42" i="5" s="1"/>
  <c r="A13" i="3"/>
  <c r="G12" i="3"/>
  <c r="D12" i="3"/>
  <c r="B12" i="3"/>
  <c r="A41" i="5" s="1"/>
  <c r="A12" i="3"/>
  <c r="G11" i="3"/>
  <c r="D11" i="3"/>
  <c r="B11" i="3"/>
  <c r="A40" i="5" s="1"/>
  <c r="A11" i="3"/>
  <c r="G10" i="3"/>
  <c r="D10" i="3"/>
  <c r="B10" i="3"/>
  <c r="A39" i="5" s="1"/>
  <c r="A10" i="3"/>
  <c r="G9" i="3"/>
  <c r="D9" i="3"/>
  <c r="B9" i="3"/>
  <c r="A38" i="5" s="1"/>
  <c r="A9" i="3"/>
  <c r="G8" i="3"/>
  <c r="D8" i="3"/>
  <c r="B8" i="3"/>
  <c r="A37" i="5" s="1"/>
  <c r="A8" i="3"/>
  <c r="G7" i="3"/>
  <c r="D7" i="3"/>
  <c r="B7" i="3"/>
  <c r="A36" i="5" s="1"/>
  <c r="A7" i="3"/>
  <c r="A2" i="3"/>
  <c r="C31" i="2"/>
  <c r="H10" i="2"/>
  <c r="H14" i="6" s="1"/>
  <c r="E2" i="2"/>
  <c r="C2" i="2"/>
  <c r="A2" i="2"/>
  <c r="P5" i="1"/>
  <c r="N5" i="1"/>
  <c r="L5" i="1"/>
  <c r="J5" i="1"/>
  <c r="H5" i="1"/>
  <c r="F5" i="1"/>
  <c r="D5" i="1"/>
  <c r="B5" i="1"/>
  <c r="A5" i="1"/>
  <c r="L132" i="8" l="1"/>
  <c r="L135" i="8"/>
  <c r="E9" i="3"/>
  <c r="G38" i="5" s="1"/>
  <c r="H26" i="8"/>
  <c r="M26" i="8" s="1"/>
  <c r="N26" i="8" s="1"/>
  <c r="H28" i="8"/>
  <c r="M28" i="8" s="1"/>
  <c r="N28" i="8" s="1"/>
  <c r="H30" i="8"/>
  <c r="M30" i="8" s="1"/>
  <c r="N30" i="8" s="1"/>
  <c r="F100" i="8"/>
  <c r="H21" i="8"/>
  <c r="M21" i="8" s="1"/>
  <c r="N21" i="8" s="1"/>
  <c r="H25" i="8"/>
  <c r="M25" i="8" s="1"/>
  <c r="N25" i="8" s="1"/>
  <c r="E11" i="3"/>
  <c r="E71" i="8" s="1"/>
  <c r="B11" i="4"/>
  <c r="E7" i="3"/>
  <c r="P7" i="3" s="1"/>
  <c r="E12" i="3"/>
  <c r="L12" i="3" s="1"/>
  <c r="H8" i="2"/>
  <c r="E8" i="3"/>
  <c r="E66" i="8" s="1"/>
  <c r="E13" i="3"/>
  <c r="G42" i="5" s="1"/>
  <c r="B12" i="4"/>
  <c r="B11" i="5" s="1"/>
  <c r="D91" i="8" s="1"/>
  <c r="F91" i="8" s="1"/>
  <c r="E10" i="3"/>
  <c r="O10" i="3" s="1"/>
  <c r="H22" i="8"/>
  <c r="J22" i="8" s="1"/>
  <c r="K22" i="8" s="1"/>
  <c r="F5" i="6"/>
  <c r="B24" i="6" s="1"/>
  <c r="H29" i="8"/>
  <c r="M29" i="8" s="1"/>
  <c r="N29" i="8" s="1"/>
  <c r="J38" i="8"/>
  <c r="K38" i="8" s="1"/>
  <c r="O38" i="8" s="1"/>
  <c r="H24" i="8"/>
  <c r="M24" i="8" s="1"/>
  <c r="N24" i="8" s="1"/>
  <c r="H31" i="8"/>
  <c r="M31" i="8" s="1"/>
  <c r="N31" i="8" s="1"/>
  <c r="O17" i="8"/>
  <c r="Q17" i="8" s="1"/>
  <c r="R17" i="8" s="1"/>
  <c r="H27" i="8"/>
  <c r="J27" i="8" s="1"/>
  <c r="K27" i="8" s="1"/>
  <c r="H16" i="6"/>
  <c r="O12" i="8"/>
  <c r="Q12" i="8" s="1"/>
  <c r="R12" i="8" s="1"/>
  <c r="O14" i="8"/>
  <c r="Q14" i="8" s="1"/>
  <c r="R14" i="8" s="1"/>
  <c r="H23" i="8"/>
  <c r="J23" i="8" s="1"/>
  <c r="K23" i="8" s="1"/>
  <c r="H32" i="8"/>
  <c r="M32" i="8" s="1"/>
  <c r="N32" i="8" s="1"/>
  <c r="N39" i="8"/>
  <c r="K39" i="8"/>
  <c r="O39" i="8" s="1"/>
  <c r="H9" i="2"/>
  <c r="B21" i="6"/>
  <c r="F77" i="8" s="1"/>
  <c r="O10" i="8"/>
  <c r="Q10" i="8" s="1"/>
  <c r="R10" i="8" s="1"/>
  <c r="O15" i="8"/>
  <c r="Q15" i="8" s="1"/>
  <c r="R15" i="8" s="1"/>
  <c r="L134" i="8"/>
  <c r="L136" i="8"/>
  <c r="L140" i="8"/>
  <c r="H8" i="6"/>
  <c r="O9" i="8"/>
  <c r="Q9" i="8" s="1"/>
  <c r="R9" i="8" s="1"/>
  <c r="O13" i="8"/>
  <c r="Q13" i="8" s="1"/>
  <c r="R13" i="8" s="1"/>
  <c r="L133" i="8"/>
  <c r="B26" i="4"/>
  <c r="B33" i="4" s="1"/>
  <c r="B80" i="4"/>
  <c r="B76" i="5" s="1"/>
  <c r="B12" i="5"/>
  <c r="D92" i="8" s="1"/>
  <c r="F92" i="8" s="1"/>
  <c r="A1" i="6"/>
  <c r="B5" i="6"/>
  <c r="H10" i="6"/>
  <c r="H18" i="6"/>
  <c r="O16" i="8"/>
  <c r="Q16" i="8" s="1"/>
  <c r="R16" i="8" s="1"/>
  <c r="K33" i="8"/>
  <c r="O33" i="8" s="1"/>
  <c r="J33" i="8"/>
  <c r="L137" i="8"/>
  <c r="E75" i="8"/>
  <c r="G75" i="8" s="1"/>
  <c r="H75" i="8" s="1"/>
  <c r="D20" i="6"/>
  <c r="I40" i="8"/>
  <c r="J40" i="8" s="1"/>
  <c r="B10" i="5"/>
  <c r="O11" i="8"/>
  <c r="Q11" i="8" s="1"/>
  <c r="R11" i="8" s="1"/>
  <c r="L139" i="8"/>
  <c r="G4" i="6"/>
  <c r="H17" i="6"/>
  <c r="H15" i="6"/>
  <c r="H13" i="6"/>
  <c r="H11" i="6"/>
  <c r="H9" i="6"/>
  <c r="H7" i="6"/>
  <c r="G5" i="6"/>
  <c r="F4" i="6"/>
  <c r="F116" i="8"/>
  <c r="H116" i="8" s="1"/>
  <c r="H12" i="6"/>
  <c r="O8" i="8"/>
  <c r="Q8" i="8" s="1"/>
  <c r="L138" i="8"/>
  <c r="M8" i="3" l="1"/>
  <c r="M22" i="8"/>
  <c r="N22" i="8" s="1"/>
  <c r="O22" i="8" s="1"/>
  <c r="J26" i="8"/>
  <c r="K26" i="8" s="1"/>
  <c r="O26" i="8" s="1"/>
  <c r="E68" i="8"/>
  <c r="L13" i="3"/>
  <c r="M13" i="3"/>
  <c r="N7" i="3"/>
  <c r="O7" i="3"/>
  <c r="E69" i="8"/>
  <c r="P9" i="3"/>
  <c r="N9" i="3"/>
  <c r="O9" i="3"/>
  <c r="G36" i="5"/>
  <c r="L7" i="3"/>
  <c r="J21" i="8"/>
  <c r="K21" i="8" s="1"/>
  <c r="O21" i="8" s="1"/>
  <c r="E65" i="8"/>
  <c r="M7" i="3"/>
  <c r="J25" i="8"/>
  <c r="K25" i="8" s="1"/>
  <c r="O25" i="8" s="1"/>
  <c r="M9" i="3"/>
  <c r="L9" i="3"/>
  <c r="E67" i="8"/>
  <c r="J28" i="8"/>
  <c r="K28" i="8" s="1"/>
  <c r="O28" i="8" s="1"/>
  <c r="O11" i="3"/>
  <c r="J30" i="8"/>
  <c r="K30" i="8" s="1"/>
  <c r="O30" i="8" s="1"/>
  <c r="L10" i="3"/>
  <c r="G37" i="5"/>
  <c r="N8" i="3"/>
  <c r="P8" i="3"/>
  <c r="O8" i="3"/>
  <c r="N11" i="3"/>
  <c r="L8" i="3"/>
  <c r="G39" i="5"/>
  <c r="N10" i="3"/>
  <c r="J29" i="8"/>
  <c r="K29" i="8" s="1"/>
  <c r="O29" i="8" s="1"/>
  <c r="P11" i="3"/>
  <c r="E70" i="8"/>
  <c r="M10" i="3"/>
  <c r="M11" i="3"/>
  <c r="L11" i="3"/>
  <c r="G40" i="5"/>
  <c r="P10" i="3"/>
  <c r="J31" i="8"/>
  <c r="K31" i="8" s="1"/>
  <c r="O31" i="8" s="1"/>
  <c r="J32" i="8"/>
  <c r="K32" i="8" s="1"/>
  <c r="O32" i="8" s="1"/>
  <c r="G41" i="5"/>
  <c r="M12" i="3"/>
  <c r="F12" i="3" s="1"/>
  <c r="B41" i="5" s="1"/>
  <c r="N38" i="8"/>
  <c r="P38" i="8" s="1"/>
  <c r="M27" i="8"/>
  <c r="N27" i="8" s="1"/>
  <c r="O27" i="8" s="1"/>
  <c r="E76" i="8"/>
  <c r="G76" i="8" s="1"/>
  <c r="H76" i="8" s="1"/>
  <c r="E79" i="8"/>
  <c r="H79" i="8" s="1"/>
  <c r="B22" i="6"/>
  <c r="M23" i="8"/>
  <c r="N23" i="8" s="1"/>
  <c r="O23" i="8" s="1"/>
  <c r="G142" i="8"/>
  <c r="J24" i="8"/>
  <c r="K24" i="8" s="1"/>
  <c r="O24" i="8" s="1"/>
  <c r="A3" i="6"/>
  <c r="E142" i="8"/>
  <c r="P39" i="8"/>
  <c r="B70" i="4"/>
  <c r="B66" i="5" s="1"/>
  <c r="B9" i="5"/>
  <c r="B8" i="5"/>
  <c r="B68" i="4"/>
  <c r="B64" i="5" s="1"/>
  <c r="B25" i="6"/>
  <c r="N40" i="8"/>
  <c r="K40" i="8"/>
  <c r="O40" i="8" s="1"/>
  <c r="R8" i="8"/>
  <c r="B123" i="8"/>
  <c r="D24" i="6"/>
  <c r="A21" i="6"/>
  <c r="D6" i="6"/>
  <c r="A22" i="6"/>
  <c r="C21" i="6"/>
  <c r="F6" i="6"/>
  <c r="A24" i="6"/>
  <c r="F13" i="3" l="1"/>
  <c r="D68" i="8" s="1"/>
  <c r="F7" i="3"/>
  <c r="B36" i="5" s="1"/>
  <c r="F9" i="3"/>
  <c r="B38" i="5" s="1"/>
  <c r="D67" i="8"/>
  <c r="F67" i="8" s="1"/>
  <c r="G67" i="8" s="1"/>
  <c r="F10" i="3"/>
  <c r="D70" i="8" s="1"/>
  <c r="F70" i="8" s="1"/>
  <c r="G70" i="8" s="1"/>
  <c r="G79" i="8"/>
  <c r="F8" i="3"/>
  <c r="B37" i="5" s="1"/>
  <c r="F11" i="3"/>
  <c r="B40" i="5" s="1"/>
  <c r="B126" i="8"/>
  <c r="B125" i="8"/>
  <c r="B124" i="8"/>
  <c r="P40" i="8"/>
  <c r="E77" i="8"/>
  <c r="G77" i="8" s="1"/>
  <c r="H77" i="8" s="1"/>
  <c r="D89" i="8"/>
  <c r="F89" i="8" s="1"/>
  <c r="D90" i="8"/>
  <c r="F90" i="8" s="1"/>
  <c r="B42" i="5"/>
  <c r="D66" i="8" l="1"/>
  <c r="F66" i="8" s="1"/>
  <c r="G66" i="8" s="1"/>
  <c r="D65" i="8"/>
  <c r="F65" i="8" s="1"/>
  <c r="G65" i="8" s="1"/>
  <c r="D69" i="8"/>
  <c r="F69" i="8" s="1"/>
  <c r="G69" i="8" s="1"/>
  <c r="B39" i="5"/>
  <c r="D71" i="8"/>
  <c r="F71" i="8" s="1"/>
  <c r="G71" i="8" s="1"/>
  <c r="C84" i="8"/>
  <c r="E84" i="8" s="1"/>
  <c r="B17" i="3"/>
  <c r="B18" i="3" s="1"/>
  <c r="B28" i="3"/>
  <c r="J7" i="3" s="1"/>
  <c r="E36" i="5" s="1"/>
  <c r="F68" i="8"/>
  <c r="G68" i="8" s="1"/>
  <c r="B20" i="3" l="1"/>
  <c r="B46" i="5" s="1"/>
  <c r="B19" i="3"/>
  <c r="B45" i="5" s="1"/>
  <c r="B43" i="5"/>
  <c r="K7" i="3"/>
  <c r="F36" i="5" s="1"/>
  <c r="J12" i="3"/>
  <c r="E41" i="5" s="1"/>
  <c r="B26" i="6"/>
  <c r="B27" i="6" s="1"/>
  <c r="J11" i="3"/>
  <c r="E40" i="5" s="1"/>
  <c r="K10" i="3"/>
  <c r="F39" i="5" s="1"/>
  <c r="B21" i="3"/>
  <c r="B47" i="5" s="1"/>
  <c r="K13" i="3"/>
  <c r="F42" i="5" s="1"/>
  <c r="J9" i="3"/>
  <c r="E38" i="5" s="1"/>
  <c r="K12" i="3"/>
  <c r="F41" i="5" s="1"/>
  <c r="J13" i="3"/>
  <c r="E42" i="5" s="1"/>
  <c r="B37" i="4"/>
  <c r="B38" i="4" s="1"/>
  <c r="K11" i="3"/>
  <c r="F40" i="5" s="1"/>
  <c r="J8" i="3"/>
  <c r="E37" i="5" s="1"/>
  <c r="K8" i="3"/>
  <c r="F37" i="5" s="1"/>
  <c r="J10" i="3"/>
  <c r="E39" i="5" s="1"/>
  <c r="K9" i="3"/>
  <c r="F38" i="5" s="1"/>
  <c r="B44" i="5"/>
  <c r="H12" i="3"/>
  <c r="C41" i="5" s="1"/>
  <c r="H9" i="3"/>
  <c r="C38" i="5" s="1"/>
  <c r="I12" i="3"/>
  <c r="D41" i="5" s="1"/>
  <c r="I10" i="3"/>
  <c r="D39" i="5" s="1"/>
  <c r="H10" i="3"/>
  <c r="C39" i="5" s="1"/>
  <c r="I9" i="3"/>
  <c r="D38" i="5" s="1"/>
  <c r="I11" i="3"/>
  <c r="D40" i="5" s="1"/>
  <c r="H13" i="3"/>
  <c r="C42" i="5" s="1"/>
  <c r="I13" i="3"/>
  <c r="D42" i="5" s="1"/>
  <c r="I8" i="3"/>
  <c r="D37" i="5" s="1"/>
  <c r="H7" i="3"/>
  <c r="C36" i="5" s="1"/>
  <c r="I7" i="3"/>
  <c r="D36" i="5" s="1"/>
  <c r="H11" i="3"/>
  <c r="C40" i="5" s="1"/>
  <c r="H8" i="3"/>
  <c r="C37" i="5" s="1"/>
  <c r="B53" i="5" l="1"/>
  <c r="B17" i="5"/>
  <c r="B22" i="3"/>
  <c r="B48" i="5" s="1"/>
  <c r="F78" i="8"/>
  <c r="B40" i="4"/>
  <c r="B54" i="5"/>
  <c r="B18" i="5"/>
  <c r="E78" i="8"/>
  <c r="B16" i="4"/>
  <c r="G78" i="8" l="1"/>
  <c r="H78" i="8" s="1"/>
  <c r="B23" i="3"/>
  <c r="B71" i="4" s="1"/>
  <c r="B67" i="5" s="1"/>
  <c r="B55" i="5"/>
  <c r="B19" i="5"/>
  <c r="B41" i="4"/>
  <c r="B24" i="3" l="1"/>
  <c r="C49" i="5" s="1"/>
  <c r="B49" i="5"/>
  <c r="B20" i="5"/>
  <c r="C19" i="5" s="1"/>
  <c r="B47" i="4"/>
  <c r="B56" i="5" l="1"/>
  <c r="B21" i="5"/>
  <c r="C20" i="5"/>
  <c r="C17" i="5"/>
  <c r="C18" i="5"/>
  <c r="B48" i="4"/>
  <c r="D54" i="4" l="1"/>
  <c r="B49" i="4"/>
  <c r="B23" i="5" s="1"/>
  <c r="D53" i="4"/>
  <c r="B22" i="5"/>
  <c r="B61" i="4"/>
  <c r="F53" i="4" l="1"/>
  <c r="E53" i="4"/>
  <c r="B28" i="5"/>
  <c r="B29" i="5"/>
  <c r="F54" i="4"/>
  <c r="E54" i="4"/>
  <c r="C29" i="5" s="1"/>
  <c r="C28" i="5" l="1"/>
  <c r="B76" i="4"/>
  <c r="B72" i="5" s="1"/>
  <c r="D29" i="5"/>
  <c r="G54" i="4"/>
  <c r="B60" i="5"/>
  <c r="D28" i="5"/>
  <c r="B59" i="5"/>
  <c r="G53" i="4"/>
  <c r="D55" i="4"/>
  <c r="F55" i="4" l="1"/>
  <c r="E55" i="4"/>
  <c r="B30" i="5"/>
  <c r="B78" i="4"/>
  <c r="D56" i="4"/>
  <c r="B31" i="5" s="1"/>
  <c r="E28" i="5"/>
  <c r="B77" i="4"/>
  <c r="B73" i="5" s="1"/>
  <c r="E29" i="5"/>
  <c r="B74" i="5" l="1"/>
  <c r="C30" i="5"/>
  <c r="E56" i="4"/>
  <c r="C31" i="5" s="1"/>
  <c r="D30" i="5"/>
  <c r="B61" i="5"/>
  <c r="G55" i="4"/>
  <c r="F56" i="4"/>
  <c r="D31" i="5" s="1"/>
  <c r="B60" i="4"/>
  <c r="B62" i="4" s="1"/>
  <c r="B64" i="4" l="1"/>
  <c r="D32" i="5" s="1"/>
  <c r="B32" i="5"/>
  <c r="E30" i="5"/>
  <c r="G56" i="4"/>
  <c r="E31" i="5" s="1"/>
  <c r="C83" i="8"/>
  <c r="E83" i="8" s="1"/>
  <c r="C85" i="8"/>
  <c r="E85" i="8" s="1"/>
  <c r="B121" i="8" l="1"/>
  <c r="B122" i="8"/>
  <c r="B127" i="8" s="1"/>
</calcChain>
</file>

<file path=xl/sharedStrings.xml><?xml version="1.0" encoding="utf-8"?>
<sst xmlns="http://schemas.openxmlformats.org/spreadsheetml/2006/main" count="5659" uniqueCount="2523">
  <si>
    <t>NUTRIMETRÍA  ·  NMX-01</t>
  </si>
  <si>
    <t>Navegación — use las pestañas inferiores del libro</t>
  </si>
  <si>
    <t>Ingresar datos</t>
  </si>
  <si>
    <t>Revisar motores</t>
  </si>
  <si>
    <t>Auditar operaciones</t>
  </si>
  <si>
    <t>Ver resumen</t>
  </si>
  <si>
    <t>Revisar PAL</t>
  </si>
  <si>
    <t>Consultar evidencia</t>
  </si>
  <si>
    <t>Ver QA</t>
  </si>
  <si>
    <t>Ajustes y límites</t>
  </si>
  <si>
    <t>Registro de versiones y cambios</t>
  </si>
  <si>
    <t>Código del producto</t>
  </si>
  <si>
    <t>NMX-01</t>
  </si>
  <si>
    <t>Versión</t>
  </si>
  <si>
    <t>Fecha</t>
  </si>
  <si>
    <t>Base</t>
  </si>
  <si>
    <t>v1.0 (2026-07-12), auditada contra el 'Dossier de verificación bibliográfica y metodológica'</t>
  </si>
  <si>
    <t>Formato</t>
  </si>
  <si>
    <t>.xlsx sin macros · Microsoft 365 (Windows) y Excel 2021</t>
  </si>
  <si>
    <t>Responsable</t>
  </si>
  <si>
    <t>Equipo Nutrimetría (completar por el titular)</t>
  </si>
  <si>
    <t>AVISO DE ALCANCE — LÉALO ANTES DE USAR EL LIBRO</t>
  </si>
  <si>
    <t>EXACTITUD MATEMÁTICA ≠ VALIDACIÓN CLÍNICA. Este libro cotejó sus coeficientes contra las fuentes documentadas en</t>
  </si>
  <si>
    <t>la hoja FUENTES. Eso NO significa que las ecuaciones estén validadas para su paciente concreto ni para población chilena.</t>
  </si>
  <si>
    <t>ESTE ARCHIVO NO ESTÁ VALIDADO CLÍNICAMENTE. La calorimetría indirecta sigue siendo la referencia de medición.</t>
  </si>
  <si>
    <t>PROPÓSITO Y ALCANCE</t>
  </si>
  <si>
    <t>Propósito</t>
  </si>
  <si>
    <t>Estimar gasto energético basal/de reposo y requerimiento energético diario mediante siete ecuaciones predictivas y un nivel de actividad física (PAL).</t>
  </si>
  <si>
    <t>Población</t>
  </si>
  <si>
    <t>Uso</t>
  </si>
  <si>
    <t>Apoyo educativo y profesional. No sustituye calorimetría indirecta, evaluación clínica ni juicio del nutricionista.</t>
  </si>
  <si>
    <t>Compatibilidad</t>
  </si>
  <si>
    <t>Microsoft 365 y Excel 2021 para Windows. No utiliza VBA, complementos ni conexiones permanentes.</t>
  </si>
  <si>
    <t>Privacidad</t>
  </si>
  <si>
    <t>Los datos permanecen en el archivo local. El libro no transmite información.</t>
  </si>
  <si>
    <t>CÓMO SE MODELA EL GASTO (sin doble conteo) — confirmado por el dossier</t>
  </si>
  <si>
    <t>GEB   = gasto energético basal, según la ecuación seleccionada.</t>
  </si>
  <si>
    <t>GAF   = GEB × (Factor de actividad − 1).   Se resta 1 para NO volver a contar el basal ya incluido en el PAL.</t>
  </si>
  <si>
    <t>ETA   = 0 por defecto. FAO define PAL = gasto total 24 h / metabolismo basal 24 h: el efecto térmico YA está dentro.</t>
  </si>
  <si>
    <t xml:space="preserve">        Si usted activa un ETA explícito sobre un PAL, el libro se lo permite pero ADVIERTE del doble conteo.</t>
  </si>
  <si>
    <t>GET   = GEB + GAF + ETA   ( = GEB × PAL cuando ETA = 0 ).</t>
  </si>
  <si>
    <t>Energía objetivo = GET × (1 + % de ajuste).      Carbohidratos = por diferencia.</t>
  </si>
  <si>
    <t>Flujo de uso</t>
  </si>
  <si>
    <t>1</t>
  </si>
  <si>
    <t>Abra DATOS e ingrese sexo, edad, peso, estatura, porcentaje de grasa opcional, PAL y ecuación principal.</t>
  </si>
  <si>
    <t>2</t>
  </si>
  <si>
    <t>Revise RESULTADOS para la estimación principal y la comparación entre ecuaciones.</t>
  </si>
  <si>
    <t>3</t>
  </si>
  <si>
    <t>Use ECUACIONES y FUENTES para auditar fórmulas, poblaciones y limitaciones.</t>
  </si>
  <si>
    <t>4</t>
  </si>
  <si>
    <t>Consulte PRUEBAS para verificar casos sintéticos y controles manuales.</t>
  </si>
  <si>
    <t>5</t>
  </si>
  <si>
    <t>Interprete diferencias como incertidumbre predictiva; no como diagnóstico.</t>
  </si>
  <si>
    <t>MET → PAL: la conversión que la v1.1 hace explícita</t>
  </si>
  <si>
    <t>Un MET es un múltiplo del metabolismo en reposo ESTÁNDAR (≈1 kcal/kg/h), no del GEB de esta persona.</t>
  </si>
  <si>
    <t>Por eso Σ(MET×h)/24 es un ÍNDICE MET-h/día, y NO el PAL. La v1.0 los confundía. La v1.1 hace:</t>
  </si>
  <si>
    <t xml:space="preserve">   1)  Σ(MET × horas)                        → índice MET-h/día  (se muestra, pero no se usa como PAL)</t>
  </si>
  <si>
    <t xml:space="preserve">   2)  TEE = Σ(MET × horas) × Peso × 1 kcal/kg/h   → energía total estimada del día</t>
  </si>
  <si>
    <t xml:space="preserve">   3)  PAL = TEE / GEB                        → este SÍ es el factor de actividad que usa el motor</t>
  </si>
  <si>
    <t>Consecuencia: dos personas del mismo peso con el mismo día de actividades, pero distinto GEB, reciben PAL distinto.</t>
  </si>
  <si>
    <t>Sigue siendo una APROXIMACIÓN: el MET estándar no se ajusta al metabolismo individual. Ver hoja ACTIVIDADES.</t>
  </si>
  <si>
    <t>DATOS · Variables ingresadas por el usuario</t>
  </si>
  <si>
    <t>LEYENDA · Celdas ARENA con texto AZUL = editables.  Celdas grises = calculadas y protegidas.  (opcional) = puede quedar vacía.</t>
  </si>
  <si>
    <t>► Viene cargado un CASO DE EJEMPLO realista. Reemplace los valores por los de su paciente.</t>
  </si>
  <si>
    <t>Campo</t>
  </si>
  <si>
    <t>Valor</t>
  </si>
  <si>
    <t>Unidad</t>
  </si>
  <si>
    <t>Validación</t>
  </si>
  <si>
    <t>Ayuda</t>
  </si>
  <si>
    <t>Identificador de la evaluación</t>
  </si>
  <si>
    <t>NMX-2026-0001</t>
  </si>
  <si>
    <t>—</t>
  </si>
  <si>
    <t>Texto libre</t>
  </si>
  <si>
    <t>Código interno de la evaluación.</t>
  </si>
  <si>
    <t>fecha</t>
  </si>
  <si>
    <t>dd/mm/aaaa.</t>
  </si>
  <si>
    <t>Nombre o código del paciente</t>
  </si>
  <si>
    <t>PAC-0042</t>
  </si>
  <si>
    <t>Prefiera un CÓDIGO si va a compartir el archivo.</t>
  </si>
  <si>
    <t>Sexo biológico</t>
  </si>
  <si>
    <t>Hombre</t>
  </si>
  <si>
    <t>Lista: Hombre / Mujer</t>
  </si>
  <si>
    <t>LIMITACIÓN DEL MODELO: las 7 ecuaciones se derivaron por sexo biológico. Si no aplica, documéntelo en Observaciones.</t>
  </si>
  <si>
    <t>Edad</t>
  </si>
  <si>
    <t>años</t>
  </si>
  <si>
    <t>≥18 y ≤120 (IMPOSIBLE fuera de rango)</t>
  </si>
  <si>
    <t>Solo adultos.</t>
  </si>
  <si>
    <t>Peso</t>
  </si>
  <si>
    <t>kg</t>
  </si>
  <si>
    <t>&gt;0, entre PESO_MIN y PESO_MAX</t>
  </si>
  <si>
    <t>Balanza calibrada, ropa ligera, sin calzado.</t>
  </si>
  <si>
    <t>Estatura</t>
  </si>
  <si>
    <t>cm</t>
  </si>
  <si>
    <t>&gt;0, entre EST_MIN y EST_MAX</t>
  </si>
  <si>
    <t>Estadiómetro, plano de Frankfort.</t>
  </si>
  <si>
    <t>% de grasa corporal (opcional)</t>
  </si>
  <si>
    <t>%</t>
  </si>
  <si>
    <t>Entre GRASA_MIN y GRASA_MAX</t>
  </si>
  <si>
    <t>Deje VACÍA si no la tiene.</t>
  </si>
  <si>
    <t>MLG medida (opcional)</t>
  </si>
  <si>
    <t>Numérica y menor que el peso</t>
  </si>
  <si>
    <t>Si la ingresa, TIENE PRIORIDAD sobre el % de grasa. Sin % de grasa ni MLG, Cunningham 1980 y 1991 NO se calculan.</t>
  </si>
  <si>
    <t>Objetivo</t>
  </si>
  <si>
    <t>Aumento de peso</t>
  </si>
  <si>
    <t>Lista (CONFIG C5)</t>
  </si>
  <si>
    <t>Descriptivo. El % real lo fija el campo siguiente.</t>
  </si>
  <si>
    <t>% de ajuste energético</t>
  </si>
  <si>
    <t>|%| ≤ AJUSTE_MAX</t>
  </si>
  <si>
    <t>NEGATIVO = déficit. POSITIVO = superávit. 0 = mantenimiento. Se aplica sobre el GET.</t>
  </si>
  <si>
    <t>Método de actividad</t>
  </si>
  <si>
    <t>Factor de actividad global</t>
  </si>
  <si>
    <t>Lista (CONFIG C3)</t>
  </si>
  <si>
    <t>Factor de actividad global (catálogo)</t>
  </si>
  <si>
    <t>Lista (CONFIG C4)</t>
  </si>
  <si>
    <t>Factor de actividad manual (opcional)</t>
  </si>
  <si>
    <t>Entre FA_MIN y FA_MAX</t>
  </si>
  <si>
    <t>Si lo escribe, SOBREESCRIBE al catálogo. Deje VACÍO para usar el catálogo.</t>
  </si>
  <si>
    <t>Tratamiento del efecto térmico (ETA)</t>
  </si>
  <si>
    <t>Incluido en el factor de actividad (recomendado)</t>
  </si>
  <si>
    <t>Lista (CONFIG C6)</t>
  </si>
  <si>
    <t>Por defecto el ETA vale 0 porque el PAL ya lo contiene. Activarlo aparte lo duplicaría.</t>
  </si>
  <si>
    <t>% de efecto térmico</t>
  </si>
  <si>
    <t>Entre 0 y ETA_MAX</t>
  </si>
  <si>
    <t>Solo se usa si el modo de ETA es explícito.</t>
  </si>
  <si>
    <t>Ecuación seleccionada</t>
  </si>
  <si>
    <t>Cunningham (1991) · alias secundario: Katch–McArdle</t>
  </si>
  <si>
    <t>Lista (CONFIG C11) · 7 opciones</t>
  </si>
  <si>
    <t>Las 7 ecuaciones se calculan igualmente. Esta define el GEB que alimenta el resto del libro.</t>
  </si>
  <si>
    <t>Motivo de selección</t>
  </si>
  <si>
    <t>Adulto sano sin composición corporal medida; Mifflin–St Jeor es la de mejor desempeño documentado en este perfil.</t>
  </si>
  <si>
    <t>Texto OBLIGATORIO</t>
  </si>
  <si>
    <t>El libro advierte si lo deja vacío: una selección sin justificación no es auditable.</t>
  </si>
  <si>
    <t>Modo de distribución · PROTEÍNA</t>
  </si>
  <si>
    <t>g/kg de peso</t>
  </si>
  <si>
    <t>Lista (CONFIG C7)</t>
  </si>
  <si>
    <t>'% de la energía' o 'g/kg de peso'.</t>
  </si>
  <si>
    <t>Valor de PROTEÍNA</t>
  </si>
  <si>
    <t>% o g/kg</t>
  </si>
  <si>
    <t>≥0</t>
  </si>
  <si>
    <t>Se interpreta según el modo elegido arriba.</t>
  </si>
  <si>
    <t>Modo de distribución · GRASA</t>
  </si>
  <si>
    <t>% de la energía</t>
  </si>
  <si>
    <t>Valor de GRASA</t>
  </si>
  <si>
    <t>Observaciones</t>
  </si>
  <si>
    <t>Contexto clínico, criterios adoptados, fuente de un MET personalizado, etc.</t>
  </si>
  <si>
    <t>► Los CARBOHIDRATOS no se ingresan: se calculan POR DIFERENCIA, una vez fijadas la proteína y la grasa.</t>
  </si>
  <si>
    <t>► % de ajuste sugerido para el objetivo elegido:</t>
  </si>
  <si>
    <t>(referencial; usted decide el % real en la fila 16)</t>
  </si>
  <si>
    <t>ECUACIONES · Gasto energético basal (7 ecuaciones)</t>
  </si>
  <si>
    <t>Cada ecuación se calcula si y solo si están presentes sus variables indispensables; si falta alguna, devuelve ND y explica por qué. La columna 'Fórmula publicada' es documental: el cálculo usa siempre los coeficientes de CONFIG (C8, C9 y C10), visibles en las columnas L a P. Esta hoja NO depende de la compuerta de CALCULOS: se resuelve antes, porque el PAL estimado de ACTIVIDADES necesita el GEB. GUARDAS ESPECÍFICAS POR ECUACIÓN (v1.1.1): la estatura solo se exige a Mifflin y a Harris–Benedict revisada, las únicas que la usan. La edad se exige a todas porque el alcance del producto es solo adultos. Ver CONFIG C11.</t>
  </si>
  <si>
    <t>COMPARACIÓN DE LAS 7 ECUACIONES</t>
  </si>
  <si>
    <t>ID</t>
  </si>
  <si>
    <t>Ecuación</t>
  </si>
  <si>
    <t>Fórmula publicada (hombre | mujer)</t>
  </si>
  <si>
    <t>Variables indispensables</t>
  </si>
  <si>
    <t>¿Datos disponibles?</t>
  </si>
  <si>
    <t>GEB (kcal/día)</t>
  </si>
  <si>
    <t>Aplicabilidad por edad</t>
  </si>
  <si>
    <t>Dif. vs promedio (kcal)</t>
  </si>
  <si>
    <t>Dif. vs promedio (%)</t>
  </si>
  <si>
    <t>Dif. vs seleccionada (kcal)</t>
  </si>
  <si>
    <t>Dif. vs seleccionada (%)</t>
  </si>
  <si>
    <t>a</t>
  </si>
  <si>
    <t>b_peso</t>
  </si>
  <si>
    <t>b_estatura</t>
  </si>
  <si>
    <t>b_edad</t>
  </si>
  <si>
    <t>b_MLG</t>
  </si>
  <si>
    <t>10·P + 6,25·T − 5·E + 5   |   10·P + 6,25·T − 5·E − 161</t>
  </si>
  <si>
    <t>88,362 + 13,397·P + 4,799·T − 5,677·E   |   447,593 + 9,247·P + 3,098·T − 4,330·E</t>
  </si>
  <si>
    <t>879 + 10,2·P   |   795 + 7,18·P</t>
  </si>
  <si>
    <t>500 + 22·MLG   (idéntica en ambos sexos)</t>
  </si>
  <si>
    <t>370 + 21,6·FFM   (idéntica en ambos sexos) · fuente primaria: Cunningham 1991</t>
  </si>
  <si>
    <t>Bandas 18–30 / 30–60 / ≥60 · GEB = a + b·P (tabla canónica, CONFIG C9)</t>
  </si>
  <si>
    <t>Bandas 18–30 / 30–60 / ≥60 · GEB = a + b·P (CONFIG C10) · NUEVO en v1.1</t>
  </si>
  <si>
    <t>ESTADÍSTICOS (las ecuaciones que devuelven ND quedan EXCLUIDAS)</t>
  </si>
  <si>
    <t>Estadístico</t>
  </si>
  <si>
    <t>Nota</t>
  </si>
  <si>
    <t>Ecuaciones efectivamente calculadas (n)</t>
  </si>
  <si>
    <t>COUNT ignora los ND: las no calculables quedan fuera de TODOS los estadísticos.</t>
  </si>
  <si>
    <t>Promedio</t>
  </si>
  <si>
    <t>kcal/día</t>
  </si>
  <si>
    <t>Media de las calculadas.</t>
  </si>
  <si>
    <t>Mediana</t>
  </si>
  <si>
    <t>Menos sensible a un valor extremo.</t>
  </si>
  <si>
    <t>Mínimo</t>
  </si>
  <si>
    <t>Máximo</t>
  </si>
  <si>
    <t>Rango (máximo − mínimo)</t>
  </si>
  <si>
    <t>Discrepancia entre ecuaciones.</t>
  </si>
  <si>
    <t>Amplitud relativa (rango / promedio)</t>
  </si>
  <si>
    <t>Si supera AMPL_MAX (CONFIG C1), el libro advierte de la dispersión.</t>
  </si>
  <si>
    <t>Estado de la dispersión</t>
  </si>
  <si>
    <t>SELECCIÓN DE LA ECUACIÓN</t>
  </si>
  <si>
    <t>Elemento</t>
  </si>
  <si>
    <t>Estado</t>
  </si>
  <si>
    <t>GEB de la ecuación seleccionada</t>
  </si>
  <si>
    <t>Motivo de selección registrado</t>
  </si>
  <si>
    <t>Sugerencia automática del libro</t>
  </si>
  <si>
    <t>Sugerencia, NO imposición: la decisión y su motivo son suyos.</t>
  </si>
  <si>
    <t>Nivel de verificación de la ecuación seleccionada</t>
  </si>
  <si>
    <t>A = fuente primaria cotejada · B = resumen primario o corroboración por pares · C = fuente secundaria</t>
  </si>
  <si>
    <t>Sin constantes dentro de las fórmulas: todas provienen de CONFIG. Sin IFERROR: cada guarda es explícita y devuelve la causa. DATO IMPOSIBLE (bloquea) y DATO POCO FRECUENTE (solo advierte) son categorías separadas.</t>
  </si>
  <si>
    <t>0 · CAPA BASE — se resuelve ANTES de la compuerta (el PAL por METs necesita el GEB)</t>
  </si>
  <si>
    <t>Variable</t>
  </si>
  <si>
    <t>Fórmula / nota</t>
  </si>
  <si>
    <t>m</t>
  </si>
  <si>
    <t>Estatura (cm) / 100</t>
  </si>
  <si>
    <t>IMC</t>
  </si>
  <si>
    <t>kg/m²</t>
  </si>
  <si>
    <t>Peso / estatura². Guarda explícita contra la división por cero.</t>
  </si>
  <si>
    <t>% de grasa utilizado</t>
  </si>
  <si>
    <t>Prioriza el % ingresado; si no, lo deriva de la MLG.</t>
  </si>
  <si>
    <t>Masa libre de grasa utilizada</t>
  </si>
  <si>
    <t>La MLG MEDIDA tiene prioridad sobre la derivada del % de grasa. Alimenta a Cunningham 1980 y 1991.</t>
  </si>
  <si>
    <t>Masa grasa</t>
  </si>
  <si>
    <t>Peso − MLG</t>
  </si>
  <si>
    <t>Origen de la MLG</t>
  </si>
  <si>
    <t>Trazabilidad del dato.</t>
  </si>
  <si>
    <t>Factor de actividad efectivo (FA)</t>
  </si>
  <si>
    <t>Prioridad: PAL derivado de ACTIVIDADES › factor manual › catálogo.</t>
  </si>
  <si>
    <t>Origen del factor</t>
  </si>
  <si>
    <t>Trazabilidad de dónde salió el número.</t>
  </si>
  <si>
    <t>Horas registradas en ACTIVIDADES</t>
  </si>
  <si>
    <t>h</t>
  </si>
  <si>
    <t>Debe ser 24 con el método por actividades.</t>
  </si>
  <si>
    <t>PAL estimado en ACTIVIDADES (TEE/GEB)</t>
  </si>
  <si>
    <t>v1.1: ya NO es el promedio de METs. Ver hoja ACTIVIDADES.</t>
  </si>
  <si>
    <t>1 · VALIDACIÓN — DATOS IMPOSIBLES (bloquean el cálculo)</t>
  </si>
  <si>
    <t>Verificación</t>
  </si>
  <si>
    <t>Regla aplicada</t>
  </si>
  <si>
    <t>Debe existir en el catálogo CONFIG C2.</t>
  </si>
  <si>
    <t>Edad adulta</t>
  </si>
  <si>
    <t>Vacío → texto → rango [EDAD_MIN, EDAD_MAX].</t>
  </si>
  <si>
    <t>Peso mayor que cero</t>
  </si>
  <si>
    <t>Bloquea vacíos, texto, cero y negativos.</t>
  </si>
  <si>
    <t>Estatura mayor que cero</t>
  </si>
  <si>
    <t>Bloquea vacíos, texto, cero y negativos. Evita la división por cero del IMC.</t>
  </si>
  <si>
    <t>% de grasa (opcional)</t>
  </si>
  <si>
    <t>Opcional. Rango configurable.</t>
  </si>
  <si>
    <t>MLG menor que el peso (opcional)</t>
  </si>
  <si>
    <t>Imposibilidad fisiológica.</t>
  </si>
  <si>
    <t>Factor de actividad efectivo</t>
  </si>
  <si>
    <t>Se valida el factor EFECTIVO, venga del catálogo, del campo manual o del PAL derivado.</t>
  </si>
  <si>
    <t>Rango [0, ETA_MAX].</t>
  </si>
  <si>
    <t>|ajuste| ≤ AJUSTE_MAX.</t>
  </si>
  <si>
    <t>Registro de ACTIVIDADES = 24 h</t>
  </si>
  <si>
    <t>Solo se exige con el método por actividades.</t>
  </si>
  <si>
    <t>Proteína no negativa</t>
  </si>
  <si>
    <t>Se aplica en ambos modos.</t>
  </si>
  <si>
    <t>Grasa no negativa</t>
  </si>
  <si>
    <t>% de proteína + % de grasa ≤ 100 %</t>
  </si>
  <si>
    <t>Con g/kg, el control equivalente es que los carbohidratos por diferencia no sean negativos (bloque 4).</t>
  </si>
  <si>
    <t>¿CÁLCULO HABILITADO?</t>
  </si>
  <si>
    <t>Compuerta única. Si es NO, todo lo que sigue devuelve vacío o 'ND', nunca un error de Excel.</t>
  </si>
  <si>
    <t>2 · COMPONENTES DEL GASTO — GET = GEB + GAF + ETA</t>
  </si>
  <si>
    <t>GEB · gasto energético basal</t>
  </si>
  <si>
    <t>Ecuación seleccionada en DATOS (hoja ECUACIONES).</t>
  </si>
  <si>
    <t>GAF · gasto por actividad física</t>
  </si>
  <si>
    <t>GEB × (FA − 1). Se resta 1 para NO volver a contar el basal ya incluido en el factor.</t>
  </si>
  <si>
    <t>Modo de efecto térmico</t>
  </si>
  <si>
    <t>Elegido en DATOS.</t>
  </si>
  <si>
    <t>ETA · efecto térmico de los alimentos</t>
  </si>
  <si>
    <t>Modo 1: 0 (el PAL ya lo incluye). Modo 2: % de (GEB+GAF). Modo 3: se resuelve como % del GET.</t>
  </si>
  <si>
    <t>GET · gasto energético total</t>
  </si>
  <si>
    <t>Con ETA = 0 esto equivale exactamente a GEB × FA.</t>
  </si>
  <si>
    <t>Control de doble conteo</t>
  </si>
  <si>
    <t>3 · AJUSTE POR OBJETIVO Y ENERGÍA OBJETIVO</t>
  </si>
  <si>
    <t>% de ajuste aplicado</t>
  </si>
  <si>
    <t>Negativo = déficit; positivo = superávit.</t>
  </si>
  <si>
    <t>Ajuste energético</t>
  </si>
  <si>
    <t>GET × % de ajuste. Se aplica sobre el GET, nunca sobre el GEB.</t>
  </si>
  <si>
    <t>ENERGÍA OBJETIVO</t>
  </si>
  <si>
    <t>GET + ajuste. Es la energía que se reparte entre los macronutrientes.</t>
  </si>
  <si>
    <t>Energía objetivo por kg de peso</t>
  </si>
  <si>
    <t>kcal/kg/día</t>
  </si>
  <si>
    <t>4 · MACRONUTRIENTES · los CARBOHIDRATOS se obtienen POR DIFERENCIA</t>
  </si>
  <si>
    <t>Macronutriente</t>
  </si>
  <si>
    <t>Modo</t>
  </si>
  <si>
    <t>Valor ingresado</t>
  </si>
  <si>
    <t>g/día</t>
  </si>
  <si>
    <t>g/kg/día</t>
  </si>
  <si>
    <t>Proteína</t>
  </si>
  <si>
    <t>Grasa</t>
  </si>
  <si>
    <t>Carbohidratos (por diferencia)</t>
  </si>
  <si>
    <t>TOTAL</t>
  </si>
  <si>
    <t>Los gramos se redondean a enteros (así se prescribe). Las kcal se reconstruyen DESDE el gramo redondeado, de modo que el cuadre de abajo mide una diferencia real, no una ficticia.</t>
  </si>
  <si>
    <t>5 · CUADRE ENERGÉTICO</t>
  </si>
  <si>
    <t>Suma de kcal de los macronutrientes</t>
  </si>
  <si>
    <t>Energía objetivo</t>
  </si>
  <si>
    <t>Diferencia (macros − objetivo)</t>
  </si>
  <si>
    <t>Tolerancia configurada</t>
  </si>
  <si>
    <t>ESTADO DEL CUADRE</t>
  </si>
  <si>
    <t>6 · ADVERTENCIAS (no bloquean: separan lo POCO FRECUENTE de lo IMPOSIBLE)</t>
  </si>
  <si>
    <t>Chequeo</t>
  </si>
  <si>
    <t>Resultado</t>
  </si>
  <si>
    <t>Cálculo bloqueado</t>
  </si>
  <si>
    <t>Motivo de selección no registrado</t>
  </si>
  <si>
    <t>Ecuación fuera de su rango de derivación</t>
  </si>
  <si>
    <t>Dispersión entre ecuaciones</t>
  </si>
  <si>
    <t>Doble conteo del efecto térmico</t>
  </si>
  <si>
    <t>Peso poco frecuente</t>
  </si>
  <si>
    <t>Estatura poco frecuente</t>
  </si>
  <si>
    <t>IMC poco frecuente</t>
  </si>
  <si>
    <t>Proteína por encima de lo plausible</t>
  </si>
  <si>
    <t>Grasa por debajo de lo plausible</t>
  </si>
  <si>
    <t>Carbohidratos negativos</t>
  </si>
  <si>
    <t>Coherencia entre objetivo y signo del ajuste</t>
  </si>
  <si>
    <t>Factor de actividad elevado</t>
  </si>
  <si>
    <t>Método por actividades: MET no es PAL</t>
  </si>
  <si>
    <t>Nivel de verificación de la ecuación elegida</t>
  </si>
  <si>
    <t>IDENTIFICACIÓN</t>
  </si>
  <si>
    <t>Paciente</t>
  </si>
  <si>
    <t>Sexo · edad</t>
  </si>
  <si>
    <t>Peso · estatura</t>
  </si>
  <si>
    <t>MLG utilizada · origen</t>
  </si>
  <si>
    <t>Método de actividad · factor</t>
  </si>
  <si>
    <t>Nota técnica (QA v1.1.1): este bloque NO usa la función TEXT() con códigos de formato que contengan un punto decimal. En Excel en español el punto se interpreta como separador de millares y un factor de 1,55 se presentaría como 0,002. Se usa ROUND(), que respeta la configuración regional del usuario.</t>
  </si>
  <si>
    <t>DESGLOSE DEL GASTO Y ENERGÍA OBJETIVO</t>
  </si>
  <si>
    <t>Componente</t>
  </si>
  <si>
    <t>% del GET</t>
  </si>
  <si>
    <t>Cómo se obtiene</t>
  </si>
  <si>
    <t>GEB × (FA − 1)</t>
  </si>
  <si>
    <t>0 si el PAL ya lo incluye</t>
  </si>
  <si>
    <t>GEB + GAF + ETA</t>
  </si>
  <si>
    <t>Ajuste por objetivo</t>
  </si>
  <si>
    <t>GET × % de ajuste</t>
  </si>
  <si>
    <t>GET + ajuste</t>
  </si>
  <si>
    <t>Energía objetivo por kg</t>
  </si>
  <si>
    <t>Energía objetivo / peso</t>
  </si>
  <si>
    <t>DISTRIBUCIÓN DE MACRONUTRIENTES</t>
  </si>
  <si>
    <t>Comprobación · kcal de los macros − energía objetivo</t>
  </si>
  <si>
    <t>Ecuaciones calculadas (n)</t>
  </si>
  <si>
    <t>Rango (máx − mín)</t>
  </si>
  <si>
    <t>Amplitud relativa</t>
  </si>
  <si>
    <t>DATOS DE APOYO PARA LOS GRÁFICOS</t>
  </si>
  <si>
    <t>Componente del gasto</t>
  </si>
  <si>
    <t>GEB (basal)</t>
  </si>
  <si>
    <t>Actividad (GAF)</t>
  </si>
  <si>
    <t>Efecto térmico (ETA)</t>
  </si>
  <si>
    <t>Carbohidratos</t>
  </si>
  <si>
    <t>ADVERTENCIAS</t>
  </si>
  <si>
    <t>Ecuación fuera de rango de derivación</t>
  </si>
  <si>
    <t>Proteína sobre lo plausible</t>
  </si>
  <si>
    <t>Grasa bajo lo plausible</t>
  </si>
  <si>
    <t>Objetivo vs signo del ajuste</t>
  </si>
  <si>
    <t>EXACTITUD MATEMÁTICA ≠ VALIDACIÓN CLÍNICA. Los coeficientes fueron cotejados contra las fuentes de la hoja FUENTES, pero este archivo NO está validado clínicamente. Son estimaciones poblacionales, no mediciones. No constituyen diagnóstico ni prescripción, y no reemplazan la calorimetría indirecta ni la evaluación profesional.</t>
  </si>
  <si>
    <t>Fecha de cotejo: 2026-07-12, contra el 'Dossier de verificación bibliográfica y metodológica NMX-01 v1.1'. NIVEL A = publicación primaria con texto completo o documento institucional oficial · NIVEL B = resumen primario exacto y/o corroboración consistente en literatura revisada por pares · NIVEL C = depende de fuentes secundarias. EXACTITUD BIBLIOGRÁFICA ≠ VALIDACIÓN CLÍNICA.</t>
  </si>
  <si>
    <t>Ecuación o dato</t>
  </si>
  <si>
    <t>Autor u organización</t>
  </si>
  <si>
    <t>Año</t>
  </si>
  <si>
    <t>Población de derivación</t>
  </si>
  <si>
    <t>Fórmula / valor</t>
  </si>
  <si>
    <t>Unidades</t>
  </si>
  <si>
    <t>Limitaciones</t>
  </si>
  <si>
    <t>DOI o URL</t>
  </si>
  <si>
    <t>Fecha de cotejo</t>
  </si>
  <si>
    <t>Licencia / condiciones</t>
  </si>
  <si>
    <t>Nivel</t>
  </si>
  <si>
    <t>Estado de verificación · cambios en v1.1</t>
  </si>
  <si>
    <t>Mifflin–St Jeor (E1)</t>
  </si>
  <si>
    <t>Mifflin MD, St Jeor ST, Hill LA, Scott BJ, Daugherty SA, Koh YO — Am J Clin Nutr 51:241-247</t>
  </si>
  <si>
    <t>1990</t>
  </si>
  <si>
    <t>498 adultos sanos de EE. UU. (247 mujeres, 251 hombres), 19–78 años, de IMC normal a obesidad</t>
  </si>
  <si>
    <t>H: 10·P + 6,25·T − 5·E + 5   ·   M: 10·P + 6,25·T − 5·E − 161</t>
  </si>
  <si>
    <t>P kg; T cm; E años; kcal/día</t>
  </si>
  <si>
    <t>Derivada en población estadounidense. Menor precisión en deportistas y obesidad extrema.</t>
  </si>
  <si>
    <t>10.1093/ajcn/51.2.241</t>
  </si>
  <si>
    <t>2026-07-12</t>
  </si>
  <si>
    <t>Artículo con derechos de autor. Solo se usa la ECUACIÓN (hecho no protegible).</t>
  </si>
  <si>
    <t>B</t>
  </si>
  <si>
    <t>SIN CAMBIO NUMÉRICO. El resumen primario contiene la fórmula exacta; texto completo no inspeccionado.</t>
  </si>
  <si>
    <t>Harris–Benedict revisada (E2)</t>
  </si>
  <si>
    <t>Roza AM, Shizgal HM — Am J Clin Nutr 40:168-182</t>
  </si>
  <si>
    <t>1984</t>
  </si>
  <si>
    <t>337 adultos (168 hombres, 169 mujeres); reanálisis de la base de Harris y Benedict</t>
  </si>
  <si>
    <t>H: 88,362 + 13,397·P + 4,799·T − 5,677·E   ·   M: 447,593 + 9,247·P + 3,098·T − 4,330·E</t>
  </si>
  <si>
    <t>El rango exacto de edad de la muestra no se especifica con precisión.</t>
  </si>
  <si>
    <t>10.1093/ajcn/40.1.168</t>
  </si>
  <si>
    <t>Artículo con derechos de autor. Solo se usa la ecuación.</t>
  </si>
  <si>
    <t>A</t>
  </si>
  <si>
    <t>SIN CAMBIO NUMÉRICO. SUBE de nivel: el dossier confirma el cotejo contra el PDF primario (tabla 3).</t>
  </si>
  <si>
    <t>Owen (E3)</t>
  </si>
  <si>
    <t>Owen OE, Kavle E, Owen RS et al. (mujeres 1986) · Owen OE, Holup JL, D'Alessio DA et al. (hombres 1987) — Am J Clin Nutr</t>
  </si>
  <si>
    <t>1986/1987</t>
  </si>
  <si>
    <t>44 mujeres (8 atletas) y 60 hombres, 18–82 años, 43–171 kg; calorimetría indirecta</t>
  </si>
  <si>
    <t>H: 879 + 10,2·P   ·   M: 795 + 7,18·P</t>
  </si>
  <si>
    <t>P kg; kcal/día</t>
  </si>
  <si>
    <t>Solo usa el peso. Owen publicó una recta APARTE para mujeres atletas (50,4 + 21,1·P) que NO se incluye aquí.</t>
  </si>
  <si>
    <t>10.1093/ajcn/44.1.1 · 10.1093/ajcn/46.6.875</t>
  </si>
  <si>
    <t>SIN CAMBIO NUMÉRICO. Corroborada en literatura revisada por pares; texto completo tras acceso editorial.</t>
  </si>
  <si>
    <t>Cunningham 1980 (E4)</t>
  </si>
  <si>
    <t>Cunningham JJ — Am J Clin Nutr 33:2372-2374</t>
  </si>
  <si>
    <t>1980</t>
  </si>
  <si>
    <t>Reanálisis de la base de Harris–Benedict; la MLG resultó el único predictor relevante</t>
  </si>
  <si>
    <t>TMB = 500 + 22 · MLG</t>
  </si>
  <si>
    <t>MLG kg; kcal/día</t>
  </si>
  <si>
    <t>Exige una MLG fiable: el resultado hereda por completo el error del método de composición corporal.</t>
  </si>
  <si>
    <t>10.1093/ajcn/33.11.2372</t>
  </si>
  <si>
    <t>SIN CAMBIO NUMÉRICO. SUBE de nivel: PDF primario accesible. Es una ecuación DISTINTA de Cunningham 1991.</t>
  </si>
  <si>
    <t>Cunningham 1991 (E5) · alias secundario: Katch–McArdle</t>
  </si>
  <si>
    <t>Cunningham JJ. Body composition as a determinant of energy expenditure — Am J Clin Nutr 54:963-969</t>
  </si>
  <si>
    <t>1991</t>
  </si>
  <si>
    <t>Revisión sintética con ecuación general propuesta a partir de la masa libre de grasa</t>
  </si>
  <si>
    <t>REE = 370 + 21,6 · FFM</t>
  </si>
  <si>
    <t>FFM (MLG) kg; kcal/día</t>
  </si>
  <si>
    <t>El alias 'Katch–McArdle' proviene de libros de texto (nivel C) y NO de una publicación primaria de esos autores. La fórmula es la misma; la atribución cambia.</t>
  </si>
  <si>
    <t>10.1093/ajcn/54.6.963</t>
  </si>
  <si>
    <t>Artículo con derechos de autor. Solo se usa la ecuación. El alias es de uso didáctico.</t>
  </si>
  <si>
    <t>⚑ CORRECCIÓN P0 EN v1.1. La v1.0 atribuía esta fórmula a McArdle/Katch/Katch (libro) y la declaraba NO VERIFICADA. Fuente primaria correcta: Cunningham 1991. SIN CAMBIO NUMÉRICO: los coeficientes 370 y 21,6 se mantienen.</t>
  </si>
  <si>
    <t>Schofield adultos (E6) · tabla canónica</t>
  </si>
  <si>
    <t>Schofield WN — Hum Nutr Clin Nutr 39 Suppl 1:5-41</t>
  </si>
  <si>
    <t>1985</t>
  </si>
  <si>
    <t>Metaanálisis de ~11.000 mediciones de TMB. Este libro usa solo las bandas adultas 18–30 / 30–60 / ≥60</t>
  </si>
  <si>
    <t>H: 15,057·P+692,2 | 11,472·P+873,1 | 11,711·P+587,7   ·   M: 14,818·P+486,6 | 8,126·P+845,6 | 9,082·P+658,5</t>
  </si>
  <si>
    <t>P kg; kcal/día (convertidos desde MJ/día × 239,0057)</t>
  </si>
  <si>
    <t>Sobrerrepresentación de sujetos italianos; sobrestima la TMB en poblaciones tropicales. Henry (2005) propuso su reemplazo.</t>
  </si>
  <si>
    <t>Hum Nutr Clin Nutr 1985;39 Suppl 1:5-41</t>
  </si>
  <si>
    <t>Publicación con derechos de autor. Solo se usan los coeficientes.</t>
  </si>
  <si>
    <t>⚑ CAMBIO NUMÉRICO EN v1.1. La v1.0 usaba la tabla FAO/WHO/UNU REDONDEADA en kcal (15,3·P+679 …), que NO es la misma. Se congela una tabla canónica única derivada de MJ/día. La tabla antigua queda documentada en CONFIG C9b, desconectada del motor.</t>
  </si>
  <si>
    <t>Henry / Oxford (E7)</t>
  </si>
  <si>
    <t>Henry CJK — Public Health Nutr 8(7A):1133-1152</t>
  </si>
  <si>
    <t>2005</t>
  </si>
  <si>
    <t>10.552 valores de TMB; excluye la sobrerrepresentación italiana de Schofield e incorpora más datos de zonas tropicales</t>
  </si>
  <si>
    <t>H: 16,0·P+545 | 14,2·P+593 | 13,5·P+514   ·   M: 13,1·P+558 | 9,74·P+694 | 10,1·P+569</t>
  </si>
  <si>
    <t>P kg; kcal/día (el artículo publica también la tabla en MJ/día)</t>
  </si>
  <si>
    <t>Solo peso: el propio análisis informó que añadir la talla no mejora significativamente la predicción media. No aplicar las bandas adultas a menores de 18 años.</t>
  </si>
  <si>
    <t>10.1079/PHN2005801</t>
  </si>
  <si>
    <t>Artículo con derechos de autor. Solo se usan los coeficientes.</t>
  </si>
  <si>
    <t>⚑ NUEVA EN v1.1. La v1.0 la omitió por no poder verificar los coeficientes. El dossier los aporta (tabla 12). La tabla en kcal es una conversión REDONDEADA de la tabla en MJ: difieren hasta ~4,64 kcal (0,315 %) en el rango de pesos probado. PRUEBAS lo contrasta con una tolerancia RELATIVA del 1 %.</t>
  </si>
  <si>
    <t>Efecto térmico de los alimentos</t>
  </si>
  <si>
    <t>Westerterp KR — Nutr Metab (Lond) 1:5</t>
  </si>
  <si>
    <t>2004</t>
  </si>
  <si>
    <t>Revisión sobre termogénesis inducida por la dieta en adultos</t>
  </si>
  <si>
    <t>TID ≈ 5–15 % del gasto diario en dieta mixta y equilibrio energético</t>
  </si>
  <si>
    <t>El rango sirve para EXPLICAR la magnitud, no para justificar sumarla aparte cuando ya se usa un PAL.</t>
  </si>
  <si>
    <t>10.1186/1743-7075-1-5</t>
  </si>
  <si>
    <t>Acceso abierto (BioMed Central).</t>
  </si>
  <si>
    <t>⚑ CORREGIDO EN v1.1: la v1.0 decía '≈10 %'. El rango correcto es 5–15 %.</t>
  </si>
  <si>
    <t>Factores generales de Atwater</t>
  </si>
  <si>
    <t>Merrill AL, Watt BK — Energy Value of Foods: Basis and Derivation. USDA Agriculture Handbook 74</t>
  </si>
  <si>
    <t>1973</t>
  </si>
  <si>
    <t>Documento institucional del USDA sobre factores generales y específicos</t>
  </si>
  <si>
    <t>Proteína 4 kcal/g · Carbohidratos 4 kcal/g · Grasa 9 kcal/g</t>
  </si>
  <si>
    <t>kcal/g</t>
  </si>
  <si>
    <t>Son factores GENERALES. Existen factores específicos por alimento que este libro NO aplica: se declara explícitamente.</t>
  </si>
  <si>
    <t>USDA Agriculture Handbook No. 74 (1973)</t>
  </si>
  <si>
    <t>Documento institucional de dominio público (obra del gobierno de EE. UU.).</t>
  </si>
  <si>
    <t>SIN CAMBIO NUMÉRICO. Se sustituye la cita a FAO FNP 77 por la fuente institucional primaria indicada en el dossier.</t>
  </si>
  <si>
    <t>REGLA DEL DOSSIER: el valor ESPERADO nunca lee la tabla CONFIG que usa el motor. O bien está fijado a partir del cálculo literal de la fuente primaria, o bien se reconstruye con una fórmula que escribe los coeficientes publicados de forma explícita. Así, si alguien corrompe un coeficiente de CONFIG, estas pruebas FALLAN.</t>
  </si>
  <si>
    <t>BLOQUE A · EXACTITUD DE LAS 7 ECUACIONES (tolerancia ±0,5 kcal)</t>
  </si>
  <si>
    <t>Descripción</t>
  </si>
  <si>
    <t>Sexo</t>
  </si>
  <si>
    <t>Ec.</t>
  </si>
  <si>
    <t>Peso (kg)</t>
  </si>
  <si>
    <t>Estatura (cm)</t>
  </si>
  <si>
    <t>% grasa</t>
  </si>
  <si>
    <t>MLG (kg)</t>
  </si>
  <si>
    <t>b_est</t>
  </si>
  <si>
    <t>Obtenido (kcal)</t>
  </si>
  <si>
    <t>Esperado (kcal)</t>
  </si>
  <si>
    <t>Diferencia</t>
  </si>
  <si>
    <t>A01</t>
  </si>
  <si>
    <t>Adulto normal 1 · Mifflin–St Jeor</t>
  </si>
  <si>
    <t>E1</t>
  </si>
  <si>
    <t>A02</t>
  </si>
  <si>
    <t>Adulto normal 2 · Mifflin–St Jeor</t>
  </si>
  <si>
    <t>Mujer</t>
  </si>
  <si>
    <t>A03</t>
  </si>
  <si>
    <t>Adulto normal 3 · Harris–Benedict revisada</t>
  </si>
  <si>
    <t>E2</t>
  </si>
  <si>
    <t>A04</t>
  </si>
  <si>
    <t>Harris–Benedict revisada · mujer</t>
  </si>
  <si>
    <t>A05</t>
  </si>
  <si>
    <t>Owen · hombre con obesidad</t>
  </si>
  <si>
    <t>E3</t>
  </si>
  <si>
    <t>A06</t>
  </si>
  <si>
    <t>Owen · mujer mayor</t>
  </si>
  <si>
    <t>A07</t>
  </si>
  <si>
    <t>CON % de grasa · Cunningham 1980</t>
  </si>
  <si>
    <t>E4</t>
  </si>
  <si>
    <t>A08</t>
  </si>
  <si>
    <t>CON % de grasa · Cunningham 1991 (alias Katch–McArdle)</t>
  </si>
  <si>
    <t>E5</t>
  </si>
  <si>
    <t>A09</t>
  </si>
  <si>
    <t>SIN % de grasa · Schofield canónica, banda 30–60</t>
  </si>
  <si>
    <t>E6</t>
  </si>
  <si>
    <t>A10</t>
  </si>
  <si>
    <t>SIN % de grasa · Schofield canónica, banda ≥60</t>
  </si>
  <si>
    <t>BLOQUE H · HENRY / OXFORD 2005 — NUEVO · fronteras exactas de edad · tolerancia ±0,1 kcal (dossier §3)</t>
  </si>
  <si>
    <t>a (motor)</t>
  </si>
  <si>
    <t>b (motor)</t>
  </si>
  <si>
    <t>Esperado kcal (tabla primaria)</t>
  </si>
  <si>
    <t>Dif. kcal</t>
  </si>
  <si>
    <t>Estado kcal</t>
  </si>
  <si>
    <t>Esperado desde la tabla MJ (kcal)</t>
  </si>
  <si>
    <t>Dif. kcal ↔ MJ</t>
  </si>
  <si>
    <t>Estado MJ</t>
  </si>
  <si>
    <t>ESTADO DEL CASO</t>
  </si>
  <si>
    <t>H01</t>
  </si>
  <si>
    <t>Hombre · banda 18–30 · frontera inferior exacta</t>
  </si>
  <si>
    <t>H02</t>
  </si>
  <si>
    <t>Hombre · banda 18–30 · frontera superior (29,99)</t>
  </si>
  <si>
    <t>H03</t>
  </si>
  <si>
    <t>Hombre · banda 30–60 · frontera inferior exacta</t>
  </si>
  <si>
    <t>H04</t>
  </si>
  <si>
    <t>Hombre · banda 30–60 · frontera superior (59,99)</t>
  </si>
  <si>
    <t>H05</t>
  </si>
  <si>
    <t>Hombre · banda ≥60 · frontera inferior exacta</t>
  </si>
  <si>
    <t>H06</t>
  </si>
  <si>
    <t>Hombre · banda ≥60 · adulto mayor</t>
  </si>
  <si>
    <t>H07</t>
  </si>
  <si>
    <t>Mujer · banda 18–30 · frontera inferior exacta</t>
  </si>
  <si>
    <t>H08</t>
  </si>
  <si>
    <t>Mujer · banda 18–30 · frontera superior (29,99)</t>
  </si>
  <si>
    <t>H09</t>
  </si>
  <si>
    <t>Mujer · banda 30–60 · frontera inferior exacta</t>
  </si>
  <si>
    <t>H10</t>
  </si>
  <si>
    <t>Mujer · banda 30–60 · frontera superior (59,99)</t>
  </si>
  <si>
    <t>H11</t>
  </si>
  <si>
    <t>Mujer · banda ≥60 · frontera inferior exacta</t>
  </si>
  <si>
    <t>H12</t>
  </si>
  <si>
    <t>Mujer · banda ≥60 · adulta mayor</t>
  </si>
  <si>
    <t>H13</t>
  </si>
  <si>
    <t>FUERA DE ALCANCE · edad 17,99 (menor de edad)</t>
  </si>
  <si>
    <t>ND: fuera del alcance adulto</t>
  </si>
  <si>
    <t>La columna 'Esperado desde la tabla MJ' contrasta las DOS tablas publicadas por Henry. Difieren hasta ~4,6 kcal (≈0,3 %) porque la tabla en kcal del artículo está REDONDEADA a 3 cifras significativas. NO es un error del libro. El contraste existe para detectar una conversión DUPLICADA u OMITIDA, que produciría cientos de kcal de error: por eso el umbral es RELATIVO (TOL_MJ = 1 %) y no absoluto. H13 comprueba que a los 17,99 años el motor devuelve ND.</t>
  </si>
  <si>
    <t>BLOQUE B · CADENA DEL GASTO: actividad, efecto térmico, GET y energía objetivo (±0,5 kcal)</t>
  </si>
  <si>
    <t>Escenario</t>
  </si>
  <si>
    <t>GEB</t>
  </si>
  <si>
    <t>FA</t>
  </si>
  <si>
    <t>Modo ETA (1/2/3)</t>
  </si>
  <si>
    <t>% ETA</t>
  </si>
  <si>
    <t>% ajuste</t>
  </si>
  <si>
    <t>GAF obt.</t>
  </si>
  <si>
    <t>ETA obt.</t>
  </si>
  <si>
    <t>GET obt.</t>
  </si>
  <si>
    <t>Energía obt.</t>
  </si>
  <si>
    <t>GET esp.</t>
  </si>
  <si>
    <t>Energía esp.</t>
  </si>
  <si>
    <t>Dif. GET</t>
  </si>
  <si>
    <t>Dif. energía</t>
  </si>
  <si>
    <t>B01</t>
  </si>
  <si>
    <t>B02</t>
  </si>
  <si>
    <t>PAL derivado de actividades (1,85) · ETA explícito como % del GET · mantenimiento</t>
  </si>
  <si>
    <t>B03</t>
  </si>
  <si>
    <t>B01 es la PRUEBA DE NO DOBLE CONTEO: con el modo por defecto el ETA vale exactamente 0 y GET = GEB × PAL. B02 y B03 ejercitan los dos modos explícitos de ETA (que el libro permite, pero advirtiendo).</t>
  </si>
  <si>
    <t>BLOQUE C · VALIDACIONES: imposibles, vacíos, ceros, negativos, extremos y macros</t>
  </si>
  <si>
    <t>Escenario probado</t>
  </si>
  <si>
    <t>Entrada 1</t>
  </si>
  <si>
    <t>Entrada 2</t>
  </si>
  <si>
    <t>Comportamiento esperado</t>
  </si>
  <si>
    <t>Comportamiento obtenido</t>
  </si>
  <si>
    <t>C01</t>
  </si>
  <si>
    <t>Edad inválida (menor de edad: 15 años)</t>
  </si>
  <si>
    <t>ERROR: edad fuera del alcance (solo adultos)</t>
  </si>
  <si>
    <t>C02</t>
  </si>
  <si>
    <t>Edad inválida (texto)</t>
  </si>
  <si>
    <t>treinta</t>
  </si>
  <si>
    <t>ERROR: no es numérico</t>
  </si>
  <si>
    <t>C03</t>
  </si>
  <si>
    <t>Peso negativo (−70 kg)</t>
  </si>
  <si>
    <t>ERROR: el peso debe ser mayor que cero</t>
  </si>
  <si>
    <t>C04</t>
  </si>
  <si>
    <t>Peso CERO</t>
  </si>
  <si>
    <t>C05</t>
  </si>
  <si>
    <t>Estatura VACÍA</t>
  </si>
  <si>
    <t>ERROR: vacío</t>
  </si>
  <si>
    <t>C06</t>
  </si>
  <si>
    <t>Estatura imposible (400 cm)</t>
  </si>
  <si>
    <t>ERROR: estatura imposible</t>
  </si>
  <si>
    <t>C07</t>
  </si>
  <si>
    <t>% de grasa fuera de rango (90 %)</t>
  </si>
  <si>
    <t>ERROR: % de grasa imposible</t>
  </si>
  <si>
    <t>C08</t>
  </si>
  <si>
    <t>% de grasa ausente (uso legítimo: es opcional)</t>
  </si>
  <si>
    <t>NO INGRESADO (opcional)</t>
  </si>
  <si>
    <t>C09</t>
  </si>
  <si>
    <t>MLG (80 kg) ≥ peso (75 kg)</t>
  </si>
  <si>
    <t>ERROR: la MLG es mayor o igual al peso</t>
  </si>
  <si>
    <t>C10</t>
  </si>
  <si>
    <t>Macros &gt; 100 % (60 % + 50 %)</t>
  </si>
  <si>
    <t>ERROR: los % de proteína y grasa superan el 100 %</t>
  </si>
  <si>
    <t>C11</t>
  </si>
  <si>
    <t>Proteína negativa (−1,2 g/kg)</t>
  </si>
  <si>
    <t>ERROR: la proteína no puede ser negativa</t>
  </si>
  <si>
    <t>C12</t>
  </si>
  <si>
    <t>Registro de actividades de 23 h</t>
  </si>
  <si>
    <t>ERROR: el registro de ACTIVIDADES no suma 24 h</t>
  </si>
  <si>
    <t>C13</t>
  </si>
  <si>
    <t>Factor de actividad imposible (3,5)</t>
  </si>
  <si>
    <t>ERROR: factor de actividad fuera de límites</t>
  </si>
  <si>
    <t>C14</t>
  </si>
  <si>
    <t>Macros suman EXACTAMENTE 100 % (30 % + 70 %)</t>
  </si>
  <si>
    <t>OK</t>
  </si>
  <si>
    <t>C15</t>
  </si>
  <si>
    <t>Macros suman 99,9 % (30 % + 69,9 %)</t>
  </si>
  <si>
    <t>C16</t>
  </si>
  <si>
    <t>Macros suman 100,1 % (30 % + 70,1 %)</t>
  </si>
  <si>
    <t>BLOQUE D · COMPARACIÓN MANUAL CON LAS PUBLICACIONES (sobre el caso vivo de DATOS)</t>
  </si>
  <si>
    <t>El 'Esperado' reproduce LITERALMENTE la ecuación publicada usando las celdas de DATOS, SIN pasar por CONFIG. El 'Obtenido' se lee de la hoja ECUACIONES. Verifica la cadena DATOS → CONFIG → ECUACIONES y sigue siendo válido aunque usted cambie el caso. Desde la v1.1.1 cubre LAS SIETE ecuaciones (D01–D07), no solo cuatro.</t>
  </si>
  <si>
    <t>Fórmula publicada aplicada literalmente</t>
  </si>
  <si>
    <t>Obtenido por el libro (kcal)</t>
  </si>
  <si>
    <t>Esperado · cálculo literal (kcal)</t>
  </si>
  <si>
    <t>MLG reconstruida desde DATOS (sin leer el motor)</t>
  </si>
  <si>
    <t>D01</t>
  </si>
  <si>
    <t>Mifflin–St Jeor (1990)</t>
  </si>
  <si>
    <t>H: 10P+6,25T−5E+5 | M: 10P+6,25T−5E−161</t>
  </si>
  <si>
    <t>D02</t>
  </si>
  <si>
    <t>Harris–Benedict revisada (1984)</t>
  </si>
  <si>
    <t>H: 88,362+13,397P+4,799T−5,677E | M: 447,593+9,247P+3,098T−4,330E</t>
  </si>
  <si>
    <t>D03</t>
  </si>
  <si>
    <t>Schofield (1985) · TABLA CANÓNICA v1.1</t>
  </si>
  <si>
    <t>H: 15,057/11,472/11,711 · M: 14,818/8,126/9,082</t>
  </si>
  <si>
    <t>D04</t>
  </si>
  <si>
    <t>Henry / Oxford (2005) · NUEVA en v1.1</t>
  </si>
  <si>
    <t>H: 16,0/14,2/13,5 · M: 13,1/9,74/10,1</t>
  </si>
  <si>
    <t>D05</t>
  </si>
  <si>
    <t>Owen (1986/1987) · AÑADIDA en v1.1.1</t>
  </si>
  <si>
    <t>H: 879+10,2·P   |   M: 795+7,18·P</t>
  </si>
  <si>
    <t>D06</t>
  </si>
  <si>
    <t>Cunningham (1980) · MLG reconstruida desde DATOS (v1.1.2)</t>
  </si>
  <si>
    <t>500 + 22 · MLG</t>
  </si>
  <si>
    <t>v1.1.2 · Antes, el valor ESPERADO de D06/D07 leía CALCULOS!B10, la MLG que produce el propio motor. Una derivación incorrecta de la MLG habría afectado por igual al obtenido y al esperado, y el caso habría seguido aprobando. Ahora la MLG del lado esperado se reconstruye SOLO desde DATOS (MLG medida válida, o si no derivada del % de grasa válido). Los coeficientes 500/22 y 370/21,6 siguen escritos literalmente.</t>
  </si>
  <si>
    <t>D07</t>
  </si>
  <si>
    <t>Cunningham (1991) · alias Katch–McArdle · MLG reconstruida desde DATOS (v1.1.2)</t>
  </si>
  <si>
    <t>370 + 21,6 · FFM</t>
  </si>
  <si>
    <t>BLOQUE E · CONVERSIÓN MET → ENERGÍA → PAL (auditoría P0 del dossier §5)</t>
  </si>
  <si>
    <t>Obtenido</t>
  </si>
  <si>
    <t>Esperado</t>
  </si>
  <si>
    <t>E01</t>
  </si>
  <si>
    <t>Las horas registradas en ACTIVIDADES suman exactamente 24</t>
  </si>
  <si>
    <t>E02</t>
  </si>
  <si>
    <t>Σ(MET × h) recalculado fila a fila, sin usar la columna F de ACTIVIDADES</t>
  </si>
  <si>
    <t>E03</t>
  </si>
  <si>
    <t>TEE = Σ(MET×h) × Peso × 1 kcal/kg/h   ◄ conversión NUEVA en v1.1</t>
  </si>
  <si>
    <t>E04</t>
  </si>
  <si>
    <t>PAL ESTIMADO = TEE / GEB   (NO es el promedio de METs)</t>
  </si>
  <si>
    <t>E05</t>
  </si>
  <si>
    <t>Dos personas de IGUAL peso (80 kg) y el MISMO día de actividades, pero con distinto GEB, deben recibir un PAL ESTIMADO DISTINTO. Si el libro devolviera el mismo, seguiría equiparando el índice MET con el PAL.</t>
  </si>
  <si>
    <t>distinto de 0</t>
  </si>
  <si>
    <t>BLOQUE F · INTEGRIDAD: cero errores de Excel (VALUE, DIV/0, REF, N/A, NAME, NUM) en las hojas de cálculo</t>
  </si>
  <si>
    <t>Rango verificado</t>
  </si>
  <si>
    <t>Nº de celdas con error</t>
  </si>
  <si>
    <t>F01</t>
  </si>
  <si>
    <t>CALCULOS!B7:B82 (toda la cadena de cálculo)</t>
  </si>
  <si>
    <t>F02</t>
  </si>
  <si>
    <t>ECUACIONES!F7:F13 (las 7 ecuaciones)</t>
  </si>
  <si>
    <t>F03</t>
  </si>
  <si>
    <t>RESULTADOS!B5:B78 (informe completo)</t>
  </si>
  <si>
    <t>BLOQUE G · PRESENTACIÓN Y LOCALIZACIÓN REGIONAL (corrección QA NMX-QA-01)</t>
  </si>
  <si>
    <t>Entrada</t>
  </si>
  <si>
    <t>G01</t>
  </si>
  <si>
    <t>RESULTADOS!B9 presenta el MISMO peso que usa el motor</t>
  </si>
  <si>
    <t>EL VALOR PRESENTADO COINCIDE</t>
  </si>
  <si>
    <t>G02</t>
  </si>
  <si>
    <t>RESULTADOS!B9 presenta la MISMA estatura que usa el motor</t>
  </si>
  <si>
    <t>G03</t>
  </si>
  <si>
    <t>RESULTADOS!B11 presenta la MISMA MLG que usa el motor</t>
  </si>
  <si>
    <t>G04</t>
  </si>
  <si>
    <t>RESULTADOS!B12 presenta el MISMO factor de actividad que usa el motor  ◄ DEFECTO NMX-QA-01</t>
  </si>
  <si>
    <t>G05</t>
  </si>
  <si>
    <t>Un FA de 1,55 no se corrompe a 0,002 al presentarse</t>
  </si>
  <si>
    <t>G06</t>
  </si>
  <si>
    <t>GEB 1340,25 × (FA 1,55 − 1) → GAF exacto</t>
  </si>
  <si>
    <t>G07</t>
  </si>
  <si>
    <t>GAF presentado con 2 decimales</t>
  </si>
  <si>
    <t>G08</t>
  </si>
  <si>
    <t>Un peso de 68,5 conserva su decimal al presentarse</t>
  </si>
  <si>
    <t>G09</t>
  </si>
  <si>
    <t>Una MLG de 52,4 conserva su decimal al presentarse</t>
  </si>
  <si>
    <t>G10</t>
  </si>
  <si>
    <t>Observaciones VACÍAS → se presenta un guion, no un cero</t>
  </si>
  <si>
    <t>G11</t>
  </si>
  <si>
    <t>Observaciones CON TEXTO → se reproduce el texto íntegro</t>
  </si>
  <si>
    <t>Paciente con hipotiroidismo controlado.</t>
  </si>
  <si>
    <t>G12</t>
  </si>
  <si>
    <t>RESULTADOS!B13 coincide con la guarda aplicada al valor real de DATOS</t>
  </si>
  <si>
    <t>G01–G04 son pruebas DE COMPORTAMIENTO, no de inspección: comprueban que el número que aparece escrito en el informe sea literalmente el mismo que usa el motor. Con el defecto NMX-QA-01, en un Excel en español RESULTADOS!B12 contenía '0,002' mientras el motor usaba 1,55 y la búsqueda fallaba. Al no depender de FORMULATEXT ni de la configuración regional, estas pruebas detectan la reaparición del defecto en cualquier instalación de Excel.</t>
  </si>
  <si>
    <t>BLOQUE I · DERIVACIÓN DE LA MASA LIBRE DE GRASA (independiente del motor) · NUEVO en v1.1.2</t>
  </si>
  <si>
    <t>MLG ingresada (kg)</t>
  </si>
  <si>
    <t>% de grasa</t>
  </si>
  <si>
    <t>MLG obtenida (regla replicada)</t>
  </si>
  <si>
    <t>MLG esperada (a mano)</t>
  </si>
  <si>
    <t>I01</t>
  </si>
  <si>
    <t>MLG medida válida</t>
  </si>
  <si>
    <t>I02</t>
  </si>
  <si>
    <t>MLG derivada del % de grasa (20 %)</t>
  </si>
  <si>
    <t>I03</t>
  </si>
  <si>
    <t>MLG AUSENTE: ni MLG medida ni % de grasa</t>
  </si>
  <si>
    <t>ND</t>
  </si>
  <si>
    <t>I04</t>
  </si>
  <si>
    <t>MLG IGUAL al peso (imposible)</t>
  </si>
  <si>
    <t>I05</t>
  </si>
  <si>
    <t>MLG SUPERIOR al peso (imposible)</t>
  </si>
  <si>
    <t>I06</t>
  </si>
  <si>
    <t>MLG inválida (&gt;peso) pero % de grasa válido → cae a la derivación</t>
  </si>
  <si>
    <t>I07</t>
  </si>
  <si>
    <t>PRIORIDAD: MLG medida válida + % de grasa → gana la medida</t>
  </si>
  <si>
    <t>I08</t>
  </si>
  <si>
    <t>% de grasa TEXTUAL</t>
  </si>
  <si>
    <t>veinte por ciento</t>
  </si>
  <si>
    <t>I09</t>
  </si>
  <si>
    <t>% de grasa CERO (por debajo del mínimo fisiológico)</t>
  </si>
  <si>
    <t>I10</t>
  </si>
  <si>
    <t>% de grasa NEGATIVO</t>
  </si>
  <si>
    <t>I11</t>
  </si>
  <si>
    <t>% de grasa POR ENCIMA del límite (90 %)</t>
  </si>
  <si>
    <t>I12</t>
  </si>
  <si>
    <t>EXTREMO A EXTREMO: la MLG que produce el MOTOR (CALCULOS!B10) coincide con la regla reconstruida desde DATOS. Es la prueba que faltaba: si alguien corrompe la derivación del motor, ESTE caso falla.</t>
  </si>
  <si>
    <t>La columna 'MLG obtenida' replica la REGLA de derivación con las entradas de prueba de cada fila; la 'MLG esperada' está calculada a mano. I12 compara además el resultado del MOTOR contra la regla reconstruida solo desde DATOS: sin ese caso, una MLG mal derivada pasaba inadvertida.</t>
  </si>
  <si>
    <t>RESUMEN DEL BANCO DE PRUEBAS</t>
  </si>
  <si>
    <t>Casos totales</t>
  </si>
  <si>
    <t>Aprobados</t>
  </si>
  <si>
    <t>Fallidos</t>
  </si>
  <si>
    <t>Error absoluto máximo del bloque A (kcal)</t>
  </si>
  <si>
    <t>Error absoluto máximo del bloque H · Henry (kcal)</t>
  </si>
  <si>
    <t>Contraste MJ↔kcal (Henry) · discrepancia máxima ABSOLUTA</t>
  </si>
  <si>
    <t>Contraste MJ↔kcal (Henry) · discrepancia máxima RELATIVA</t>
  </si>
  <si>
    <t>ESTADO GLOBAL</t>
  </si>
  <si>
    <t>Toda constante del modelo vive aquí; ninguna fórmula contiene un coeficiente escrito a mano. Las celdas arena son editables. Las tablas con fondo lila son NUEVAS o MODIFICADAS en la v1.1.</t>
  </si>
  <si>
    <t>C1 · PARÁMETROS · LÍMITES DE 'DATO IMPOSIBLE' Y UMBRALES DE 'DATO POCO FRECUENTE'</t>
  </si>
  <si>
    <t>Parámetro</t>
  </si>
  <si>
    <t>Tipo</t>
  </si>
  <si>
    <t>Nota / fuente</t>
  </si>
  <si>
    <t>Idioma</t>
  </si>
  <si>
    <t>Español (es-CL)</t>
  </si>
  <si>
    <t>Interfaz</t>
  </si>
  <si>
    <t>Versión de las fuentes</t>
  </si>
  <si>
    <t>Ver hoja FUENTES</t>
  </si>
  <si>
    <t>Factor energético · proteína</t>
  </si>
  <si>
    <t>Constante</t>
  </si>
  <si>
    <t>Sistema general de Atwater (Merrill &amp; Watt, USDA AH-74, 1973)</t>
  </si>
  <si>
    <t>Factor energético · grasa</t>
  </si>
  <si>
    <t>Factor energético · carbohidratos</t>
  </si>
  <si>
    <t>Edad mínima (adulto)</t>
  </si>
  <si>
    <t>IMPOSIBLE</t>
  </si>
  <si>
    <t>Alcance v1.0/v1.1: solo adultos</t>
  </si>
  <si>
    <t>Edad máxima plausible</t>
  </si>
  <si>
    <t>Límite operativo</t>
  </si>
  <si>
    <t>Peso mínimo posible</t>
  </si>
  <si>
    <t>Bajo este valor se considera imposible en un adulto</t>
  </si>
  <si>
    <t>Peso máximo posible</t>
  </si>
  <si>
    <t>Estatura mínima posible</t>
  </si>
  <si>
    <t>Estatura máxima posible</t>
  </si>
  <si>
    <t>% de grasa mínimo</t>
  </si>
  <si>
    <t>Grasa esencial</t>
  </si>
  <si>
    <t>% de grasa máximo</t>
  </si>
  <si>
    <t>Factor de actividad mínimo</t>
  </si>
  <si>
    <t>Un FA &lt; 1 implicaría gastar menos que el basal</t>
  </si>
  <si>
    <t>Factor de actividad máximo</t>
  </si>
  <si>
    <t>% de efecto térmico máximo</t>
  </si>
  <si>
    <t>Límite operativo del campo</t>
  </si>
  <si>
    <t>% de ajuste energético máximo</t>
  </si>
  <si>
    <t>En valor absoluto</t>
  </si>
  <si>
    <t>Horas del día</t>
  </si>
  <si>
    <t>El registro de ACTIVIDADES debe cuadrar</t>
  </si>
  <si>
    <t>Tolerancia de cuadre energético</t>
  </si>
  <si>
    <t>Umbral</t>
  </si>
  <si>
    <t>Diferencia máxima aceptada por el redondeo de gramos</t>
  </si>
  <si>
    <t>% de efecto térmico por defecto</t>
  </si>
  <si>
    <t>Sugerencia</t>
  </si>
  <si>
    <t>Westerterp 2004: la TID de una dieta mixta ronda el 5–15 % del gasto diario</t>
  </si>
  <si>
    <t>Peso poco frecuente · bajo</t>
  </si>
  <si>
    <t>POCO FRECUENTE</t>
  </si>
  <si>
    <t>Alerta, NO bloquea</t>
  </si>
  <si>
    <t>Peso poco frecuente · alto</t>
  </si>
  <si>
    <t>Estatura poco frecuente · baja</t>
  </si>
  <si>
    <t>Estatura poco frecuente · alta</t>
  </si>
  <si>
    <t>IMC poco frecuente · bajo</t>
  </si>
  <si>
    <t>IMC poco frecuente · alto</t>
  </si>
  <si>
    <t>Proteína máxima plausible</t>
  </si>
  <si>
    <t>Grasa mínima plausible</t>
  </si>
  <si>
    <t>% energía</t>
  </si>
  <si>
    <t>Amplitud relativa de alerta entre ecuaciones</t>
  </si>
  <si>
    <t>Si (máx−mín)/promedio la supera, se advierte de la dispersión</t>
  </si>
  <si>
    <t>Equivalente energético de 1 MET</t>
  </si>
  <si>
    <t>kcal/kg/h</t>
  </si>
  <si>
    <t>Constante · NUEVO v1.1</t>
  </si>
  <si>
    <t>Convención estándar (≈3,5 mL O2/kg/min). Es un reposo ESTÁNDAR, no el GEB individual</t>
  </si>
  <si>
    <t>Conversión MJ → kcal</t>
  </si>
  <si>
    <t>kcal/MJ</t>
  </si>
  <si>
    <t>1 kcal = 4,184 kJ exactos</t>
  </si>
  <si>
    <t>Tolerancia RELATIVA del contraste MJ ↔ kcal (Henry)</t>
  </si>
  <si>
    <t>Umbral · NUEVO v1.1</t>
  </si>
  <si>
    <t>La tabla en kcal de Henry está REDONDEADA a 3 cifras significativas: difiere de su propia tabla en MJ hasta ~4,6 kcal (≈0,3 %). El contraste sirve para detectar una conversión DUPLICADA u OMITIDA, que daría cientos de kcal de error, no unidades. Por eso el umbral es relativo (1 %) y no absoluto</t>
  </si>
  <si>
    <t>C2 · SEXO BIOLÓGICO</t>
  </si>
  <si>
    <t>Coeficientes derivados en varones</t>
  </si>
  <si>
    <t>Coeficientes derivados en mujeres</t>
  </si>
  <si>
    <t>C3 · MÉTODO DE ACTIVIDAD</t>
  </si>
  <si>
    <t>Método</t>
  </si>
  <si>
    <t>Factor único del catálogo C4, o el factor manual de DATOS.</t>
  </si>
  <si>
    <t>Cálculo por actividades</t>
  </si>
  <si>
    <t>C5 · OBJETIVOS</t>
  </si>
  <si>
    <t>% de ajuste sugerido</t>
  </si>
  <si>
    <t>Mantenimiento</t>
  </si>
  <si>
    <t>Sin ajuste: la energía objetivo es igual al GET.</t>
  </si>
  <si>
    <t>Reducción de peso</t>
  </si>
  <si>
    <t>Sugerencia referencial. El % real lo escribe usted en DATOS.</t>
  </si>
  <si>
    <t>Ajuste personalizado</t>
  </si>
  <si>
    <t>El % lo define íntegramente el profesional.</t>
  </si>
  <si>
    <t>C6 · TRATAMIENTO DEL EFECTO TÉRMICO DE LOS ALIMENTOS (ETA)</t>
  </si>
  <si>
    <t>Qué hace</t>
  </si>
  <si>
    <t>Riesgo de doble conteo</t>
  </si>
  <si>
    <t>ETA = 0. Por definición, el PAL ya contiene el ETA.</t>
  </si>
  <si>
    <t>Ninguno.</t>
  </si>
  <si>
    <t>Explícito · % del gasto basal + actividad</t>
  </si>
  <si>
    <t>ETA = %ETA × (GEB + GAF).</t>
  </si>
  <si>
    <t>ALTO si el FA es un PAL: el ETA se contaría dos veces.</t>
  </si>
  <si>
    <t>Explícito · % de la energía total</t>
  </si>
  <si>
    <t>ETA = (GEB + GAF) × %ETA / (1 − %ETA).</t>
  </si>
  <si>
    <t>ALTO si el FA es un PAL. Solo válido si su factor EXCLUYE el ETA y puede documentarlo.</t>
  </si>
  <si>
    <t>C7 · MODO DE DISTRIBUCIÓN DE PROTEÍNA Y GRASA</t>
  </si>
  <si>
    <t>Interpretación del valor ingresado en DATOS</t>
  </si>
  <si>
    <t>Fracción de la energía objetivo (0,25 = 25 %).</t>
  </si>
  <si>
    <t>Gramos por kg de peso corporal (1,6 = 1,6 g/kg).</t>
  </si>
  <si>
    <t>Prioridad explícita: el modo elegido para cada macro se aplica de forma EXCLUYENTE. Nunca se aplican simultáneamente la regla de % y la de g/kg sobre el mismo macronutriente.</t>
  </si>
  <si>
    <t>C8 · COEFICIENTES LINEALES  ·  GEB = a + b_peso·P + b_estatura·T + b_edad·E + b_MLG·MLG</t>
  </si>
  <si>
    <t>b_peso (kg)</t>
  </si>
  <si>
    <t>b_estatura (cm)</t>
  </si>
  <si>
    <t>b_edad (años)</t>
  </si>
  <si>
    <t>b_MLG (kg)</t>
  </si>
  <si>
    <t>Harris–Benedict revisada · Roza &amp; Shizgal (1984)</t>
  </si>
  <si>
    <t>Owen (1986/1987)</t>
  </si>
  <si>
    <t>Cunningham (1980)</t>
  </si>
  <si>
    <t>C9 · SCHOFIELD (1985) — TABLA CANÓNICA ADULTA  ·  MODIFICADA EN v1.1  ·  GEB = a + b·P</t>
  </si>
  <si>
    <t>Edad desde (≥)</t>
  </si>
  <si>
    <t>Edad hasta (&lt;)</t>
  </si>
  <si>
    <t>b_peso (kcal/kg)</t>
  </si>
  <si>
    <t>a (kcal)</t>
  </si>
  <si>
    <t>Ecuación original (MJ/día)</t>
  </si>
  <si>
    <t>Nota de unidades</t>
  </si>
  <si>
    <t>0,063·P + 2,896 MJ/día</t>
  </si>
  <si>
    <t>kcal = MJ × 239,0057</t>
  </si>
  <si>
    <t>0,048·P + 3,653 MJ/día</t>
  </si>
  <si>
    <t>0,049·P + 2,459 MJ/día</t>
  </si>
  <si>
    <t>0,062·P + 2,036 MJ/día</t>
  </si>
  <si>
    <t>0,034·P + 3,538 MJ/día</t>
  </si>
  <si>
    <t>0,038·P + 2,755 MJ/día</t>
  </si>
  <si>
    <t>TABLA CANÓNICA ÚNICA. La v1.0 usaba la tabla FAO/WHO/UNU redondeada en kcal (15,3P+679 …), que NO es la misma. Se conserva abajo SOLO como documentación histórica y NO está conectada al motor.</t>
  </si>
  <si>
    <t>C9b · TABLA FAO/WHO/UNU 1985 (kcal redondeadas) — DOCUMENTACIÓN HISTÓRICA · NO CONECTADA AL MOTOR</t>
  </si>
  <si>
    <t>Edad desde</t>
  </si>
  <si>
    <t>Edad hasta</t>
  </si>
  <si>
    <t>Usada por NMX-01 v1.0. Ya NO se usa.</t>
  </si>
  <si>
    <t>C10 · HENRY / OXFORD (2005) — SOLO PESO · NUEVO EN v1.1  ·  GEB = a + b·P</t>
  </si>
  <si>
    <t>b_peso (MJ/kg)</t>
  </si>
  <si>
    <t>a (MJ)</t>
  </si>
  <si>
    <t>El motor usa la columna en kcal. Las columnas en MJ están para el contraste de unidades de la hoja PRUEBAS: la tabla en kcal de Henry es una conversión REDONDEADA (3 cifras significativas) de la tabla en MJ, así que no coinciden al decimal. La discrepancia medida por PRUEBAS llega hasta 4,64 kcal (0,315 %) en el rango de pesos probado. Eso NO es un error de doble conversión: una conversión duplicada u omitida daría CIENTOS de kcal. Por eso la tolerancia del contraste es RELATIVA (1 %) y no absoluta.</t>
  </si>
  <si>
    <t>C11 · CATÁLOGO DE ECUACIONES · niveles de verificación A / B / C</t>
  </si>
  <si>
    <t>Nombre (lista desplegable)</t>
  </si>
  <si>
    <t>Edad mín.</t>
  </si>
  <si>
    <t>Edad máx.</t>
  </si>
  <si>
    <t>Requiere MLG</t>
  </si>
  <si>
    <t>Requiere estatura</t>
  </si>
  <si>
    <t>Variables indispensables de la ECUACIÓN</t>
  </si>
  <si>
    <t>Justificación del nivel</t>
  </si>
  <si>
    <t>NO</t>
  </si>
  <si>
    <t>SÍ</t>
  </si>
  <si>
    <t>sexo, peso, estatura, edad</t>
  </si>
  <si>
    <t>Resumen primario exacto; corroboración consistente. DOI 10.1093/ajcn/51.2.241</t>
  </si>
  <si>
    <t>Cotejada contra PDF primario (tabla 3). DOI 10.1093/ajcn/40.1.168</t>
  </si>
  <si>
    <t>sexo, peso</t>
  </si>
  <si>
    <t>Corroborada en literatura revisada por pares; texto completo tras acceso editorial</t>
  </si>
  <si>
    <t>MLG</t>
  </si>
  <si>
    <t>PDF primario accesible. DOI 10.1093/ajcn/33.11.2372</t>
  </si>
  <si>
    <t>MLG (FFM)</t>
  </si>
  <si>
    <t>Fuente primaria de 370+21,6·FFM: Cunningham 1991, DOI 10.1093/ajcn/54.6.963. El nombre 'Katch–McArdle' es un alias de nivel C</t>
  </si>
  <si>
    <t>Schofield (1985) adultos · tabla canónica</t>
  </si>
  <si>
    <t>sexo, peso, banda etaria</t>
  </si>
  <si>
    <t>Referencia primaria; tabla canónica derivada de MJ/día. NO mezclar con la tabla FAO redondeada en kcal</t>
  </si>
  <si>
    <t>E7</t>
  </si>
  <si>
    <t>Henry / Oxford (2005) adultos · solo peso</t>
  </si>
  <si>
    <t>PDF primario con tablas. DOI 10.1079/PHN2005801. Base de 10.552 valores, con más datos de zonas tropicales</t>
  </si>
  <si>
    <t>REGLA DE GUARDAS (v1.1.1): cada ecuación exige SOLO sus variables indispensables. La ESTATURA se exige únicamente a Mifflin y a Harris–Benedict revisada, las dos que la usan. La EDAD se exige a TODAS: no porque Owen o Cunningham la empleen en su fórmula, sino porque el alcance del producto es SOLO ADULTOS y de ella dependen la banda etaria y el rango de derivación. El PESO y el SEXO los exigen todas.</t>
  </si>
  <si>
    <t>CHANGELOG</t>
  </si>
  <si>
    <t>Prio</t>
  </si>
  <si>
    <t>Cambio</t>
  </si>
  <si>
    <t>Motivo / fuente</t>
  </si>
  <si>
    <t>Impacto numérico</t>
  </si>
  <si>
    <t>1.0</t>
  </si>
  <si>
    <t>Versión inicial. 10 hojas, 6 ecuaciones, 31 casos de prueba.</t>
  </si>
  <si>
    <t>Primera entrega de NMX-01.</t>
  </si>
  <si>
    <t>Equipo Nutrimetría</t>
  </si>
  <si>
    <t>1.1</t>
  </si>
  <si>
    <t>P0</t>
  </si>
  <si>
    <t>REATRIBUCIÓN: la fórmula 370 + 21,6 × MLG deja de atribuirse a 'Katch–McArdle' (libro de texto) y pasa a 'Cunningham (1991) · alias secundario: Katch–McArdle'. Sube de nivel C a nivel B.</t>
  </si>
  <si>
    <t>Dossier §2 y §7. Fuente primaria: Cunningham JJ, Am J Clin Nutr 1991;54:963-969, DOI 10.1093/ajcn/54.6.963. Cunningham 1980 (500+22·MLG) y Cunningham 1991 (370+21,6·FFM) son ecuaciones DISTINTAS y se mantienen separadas.</t>
  </si>
  <si>
    <t>NINGUNO. Los coeficientes 370 y 21,6 no cambian.</t>
  </si>
  <si>
    <t>MET → PAL: el promedio de METs deja de usarse como factor de actividad. Ahora ACTIVIDADES calcula TEE = Σ(MET×h) × Peso × 1 kcal/kg/h y luego PAL = TEE / GEB.</t>
  </si>
  <si>
    <t>Dossier §5: un MET es múltiplo del reposo ESTÁNDAR (≈1 kcal/kg/h), no del GEB individual. FAO define PAL = TEE/BMR. Promediar MET×h produce un índice MET-h/día, NO el PAL.</t>
  </si>
  <si>
    <t>SÍ. Con el día de ejemplo, el factor pasa de 1,669 (índice MET, v1.0) a 1,853 (PAL ESTIMADO como TEE/GEB, v1.1) para un GEB de 1720. Sigue siendo una APROXIMACIÓN: el MET parte de un reposo estándar, no del metabolismo individual. Dos personas de igual peso y distinto GEB ahora reciben PAL distinto.</t>
  </si>
  <si>
    <t>El MET de 'Dormir' (código 07030) se corrige de 0,95 a 1,0.</t>
  </si>
  <si>
    <t>Dossier §5, tabla de códigos verificados del Compendium 2011.</t>
  </si>
  <si>
    <t>SÍ. Σ(MET×h) del día de ejemplo aumenta en 0,4 MET·h.</t>
  </si>
  <si>
    <t>P1</t>
  </si>
  <si>
    <t>SE AÑADE Henry / Oxford (2005), solo peso, con bandas adultas 18≤E&lt;30, 30≤E&lt;60 y E≥60 (ecuación E7). Se guardan también las columnas en MJ/día para el contraste de unidades.</t>
  </si>
  <si>
    <t>Dossier §3, tabla 12. Henry CJK, Public Health Nutr 2005;8(7A):1133-52, DOI 10.1079/PHN2005801. NIVEL A. La v1.0 la omitió por no poder verificar los coeficientes.</t>
  </si>
  <si>
    <t>SÍ. Hay una séptima ecuación: cambian el promedio, la mediana, el mínimo, el máximo y el rango.</t>
  </si>
  <si>
    <t>SCHOFIELD: se congela una TABLA CANÓNICA ÚNICA (H: 15,057/11,472/11,711 · M: 14,818/8,126/9,082), derivada de la publicación en MJ/día. La tabla anterior queda en CONFIG C9b, documentada y DESCONECTADA del motor.</t>
  </si>
  <si>
    <t>Dossier §2: 'fijar una sola tabla canónica; no mezclar versiones redondeadas en kJ/MJ'. La v1.0 usaba la tabla FAO/WHO/UNU redondeada en kcal (15,3·P+679 …), que NO es la misma tabla.</t>
  </si>
  <si>
    <t>SÍ, Y ES EL CAMBIO CON MÁS IMPACTO EN EL GEB. Ejemplos: hombre 40 a / 90 kg: 1923 → 1905,6 kcal (−17,4). Mujer 65 a / 68 kg: 1310 → 1276,1 kcal (−33,9). Los casos A09 y A10 de PRUEBAS actualizan su valor esperado.</t>
  </si>
  <si>
    <t>Los códigos MET 17190 (caminar) y 11210 (cargar objetos pesados) se DEGRADAN a nivel C. Salen del día de ejemplo.</t>
  </si>
  <si>
    <t>No figuran entre los ocho códigos verificados del dossier. La v1.0 marcaba uno de ellos como 'verificado': era una afirmación que no podíamos sostener.</t>
  </si>
  <si>
    <t>Ninguno mientras no se usen. El día de ejemplo se reconstruyó solo con códigos de nivel A.</t>
  </si>
  <si>
    <t>SIN CAMBIO (confirmación): GAF = GEB × (FA − 1); ETA = 0 por defecto; GET = GEB + GAF + ETA. Se conservan las advertencias visibles de doble conteo en CALCULOS y en RESULTADOS cuando se activa un ETA explícito sobre un PAL.</t>
  </si>
  <si>
    <t>Dossier §4: la arquitectura es algebraicamente correcta cuando el FA es un PAL completo.</t>
  </si>
  <si>
    <t>P2</t>
  </si>
  <si>
    <t>Los códigos MET se guardan como TEXTO de cinco dígitos (07030, 05035, 05140…).</t>
  </si>
  <si>
    <t>Dossier §5 y §7: conservar los ceros iniciales.</t>
  </si>
  <si>
    <t>Ninguno (formato).</t>
  </si>
  <si>
    <t>Documentación: se añade el nivel de verificación A/B/C a cada fuente y a cada ecuación; el efecto térmico pasa de '≈10 %' a '5–15 %' (Westerterp 2004); los factores de Atwater se atribuyen a Merrill &amp; Watt (USDA AH-74, 1973); se repite en INICIO, RESULTADOS, FUENTES y CHANGELOG que exactitud matemática ≠ validación clínica.</t>
  </si>
  <si>
    <t>Dossier §6, §7 y §9.</t>
  </si>
  <si>
    <t>PRUEBAS: de 31 casos (v1.0) a 54 (v1.1). Nuevos bloques H (13 casos de Henry, con fronteras de edad exactas y contraste MJ↔kcal), E (5 casos de MET→PAL, incluida la prueba de dos personas con igual peso y distinto GEB) y F (3 casos de integridad de Excel). Bloque C ampliado con macros al 100 %, 99,9 % y 100,1 %.</t>
  </si>
  <si>
    <t>Pruebas obligatorias solicitadas + criterios de aceptación del dossier.</t>
  </si>
  <si>
    <t>A09 y A10 cambian su valor ESPERADO por la nueva tabla de Schofield (cambio esperado, no un fallo).</t>
  </si>
  <si>
    <t>1.1.1</t>
  </si>
  <si>
    <t>QA</t>
  </si>
  <si>
    <t>CORRECCIÓN DE PRESENTACIÓN (NMX-QA-01). RESULTADOS!B9, B11 y B12 usaban TEXT(x;"0.0") y TEXT(x;"0.000"). En Excel configurado en español el punto del código de formato se interpreta como SEPARADOR DE MILLARES, de modo que un factor de actividad real de 1,55 se presentaba como 0,002. Se sustituye TEXT() por ROUND(), que respeta la configuración regional. Se elimina también TEXT() de B8 (formato "0", que no era vulnerable) para cerrar la clase de defecto. RESULTADOS!B13 pasa de =in_Obs a =IF(in_Obs="";"—";in_Obs): antes mostraba 0 con observaciones vacías.</t>
  </si>
  <si>
    <t>Defecto de PRESENTACIÓN detectado en QA. El cálculo interno NUNCA estuvo afectado: CALCULOS!B13 siempre contuvo el factor numérico correcto y el GAF, el GET y la energía objetivo se calcularon bien en todo momento.</t>
  </si>
  <si>
    <t>NINGUNO sobre los resultados numéricos. Solo cambia lo que se MUESTRA en la hoja RESULTADOS. Se añade el bloque G de PRUEBAS (12 casos, G01–G12) con pruebas DE COMPORTAMIENTO: comparan, mediante SEARCH y ROUND, que el número escrito en el informe sea literalmente el mismo que usa el motor. NO usan FORMULATEXT (esa función no está disponible en todos los motores y una envoltura ISERROR la habría enmascarado). Los 54 casos previos siguen aprobados.</t>
  </si>
  <si>
    <t>PARCHE DOCUMENTAL Y DE PRUEBAS (auditoría externa). (a) El archivo pasa a llamarse v1.1.1, coherente con la portada. (b) El título de PRUEBAS ya no fija un número de casos: el recuento lo calcula el propio RESUMEN. (c) Se corrige la descripción del bloque G: 12 casos, sin FORMULATEXT. (d) 'PAL real' pasa a 'PAL ESTIMADO' en todo el libro. (e) FUENTES: la discrepancia MJ↔kcal de Henry pasa de '~1 kcal' a 'hasta ~4,64 kcal (0,315 %)', que es el valor real que mide PRUEBAS. (f) Se añaden D05 (Owen), D06 (Cunningham 1980) y D07 (Cunningham 1991): las SIETE ecuaciones quedan verificadas de extremo a extremo. (g) Nueva hoja AUDITORIA con los recálculos manuales, los escenarios adversariales y la lista exacta de celdas modificadas.</t>
  </si>
  <si>
    <t>Auditoría externa del archivo v1.1: detectó textos descoordinados con el código tras la corrección QA, una afirmación incorrecta sobre FORMULATEXT, una cifra de Henry desactualizada y dos huecos reales (D05–D07 y las guardas por ecuación).</t>
  </si>
  <si>
    <t>Sobre los NÚMEROS, ninguno salvo el punto (h). Las ecuaciones, coeficientes, catálogos y la cadena de cálculo quedan intactos. El caso cargado sigue dando GEB 1720 · GET 3182 · objetivo 2704,7 · macros 126/90/348 g.</t>
  </si>
  <si>
    <t>1.1.2</t>
  </si>
  <si>
    <t>2026-07-13</t>
  </si>
  <si>
    <t>ROBUSTEZ ANTE ESTATURA TEXTUAL. ECUACIONES!F7:F13 evaluaba '$N × in_Est' para las SIETE ecuaciones. Con estatura textual, Excel calcula 0 × "texto" y devuelve un error VALUE: se REPRODUJERON 15 errores VALUE en el archivo v1.1.1. Ahora la estatura solo entra si CONFIG C11 marca 'Requiere estatura = SÍ'; en caso contrario entra un CERO LITERAL. Mifflin y Harris–Benedict NO pueden calcular con estatura inválida: su guarda ($E) lo sigue impidiendo. Sin IFERROR. Las entradas editables del bloque A de PRUEBAS reciben la misma guarda explícita por ISNUMBER.</t>
  </si>
  <si>
    <t>Defecto introducido por las guardas específicas de la v1.1.1: al dejar de exigir estatura a 5 ecuaciones, su término de estatura (coeficiente 0) quedó expuesto a un valor textual.</t>
  </si>
  <si>
    <t>NINGUNO sobre resultados válidos: el término aportaba 0 y sigue aportando 0. Solo cambia el comportamiento ante una estatura NO numérica: antes error VALUE, ahora cálculo limpio y compuerta bloqueada.</t>
  </si>
  <si>
    <t>INDEPENDENCIA DE LAS PRUEBAS D06 y D07. El valor ESPERADO leía CALCULOS!B10, la masa libre de grasa que produce el propio motor. PRUEBA DE MUTACIÓN sobre v1.1.1: se corrompió la derivación de MLG (71,435 en vez de 64,37) y el banco SIGUIÓ declarando 69/69 aprobado. Ahora el esperado reconstruye la MLG SOLO desde DATOS (MLG medida válida y menor que el peso; si no, derivada de un % de grasa válido), con los coeficientes 500/22 y 370/21,6 escritos literalmente.</t>
  </si>
  <si>
    <t>La misma mutación sobre la v1.1.2 hace FALLAR D06, D07 e I12. El punto ciego queda cerrado.</t>
  </si>
  <si>
    <t>Ninguno sobre el cálculo. La prueba pasa a ser una verdadera comparación de extremo a extremo.</t>
  </si>
  <si>
    <t>NUEVO BLOQUE I de PRUEBAS (12 casos) sobre la derivación de la masa libre de grasa: MLG medida válida · derivada del % de grasa · ausente · igual al peso · mayor que el peso · MLG inválida con % válido · prioridad entre ambas · % de grasa textual, cero, negativo y por encima del límite · e I12, que compara la MLG del MOTOR contra la regla reconstruida desde DATOS. Banco: de 69 a 81 casos.</t>
  </si>
  <si>
    <t>Pruebas exigidas por la auditoría independiente.</t>
  </si>
  <si>
    <t>IDENTIFICADORES DE VERSIÓN. Los títulos activos de CALCULOS, RESULTADOS, FUENTES, CONFIG, PRUEBAS y AUDITORIA decían v1.1 o v1.1.1: pasan a v1.1.2. 'Versión de las fuentes' (CONFIG!B7) pasa a '2026-07 · v1.1.2'. Se RETIRA el número de versión de los textos que no lo necesitan (mensaje de validación de edad, etiqueta del origen del PAL, número de opciones de ecuación, título de limitaciones) para que no vuelvan a desincronizarse. Las referencias HISTÓRICAS ('CORREGIDO EN v1.1', '⚑ NUEVA EN v1.1', el CHANGELOG entero) se CONSERVAN: describen qué pasó y cuándo.</t>
  </si>
  <si>
    <t>Auditoría independiente: identificadores de versión desactualizados.</t>
  </si>
  <si>
    <t>AUDITORIA ya no declara exhaustividad. El apartado 3 pasa de 'LISTA EXACTA DE CELDAS...' a 'LISTA PRINCIPAL DE CAMBIOS (no exhaustiva: ver CHANGELOG para el registro completo)'. La nota de cabecera lo advierte de forma explícita.</t>
  </si>
  <si>
    <t>Auditoría independiente: no se debe declarar exactitud que no se puede demostrar.</t>
  </si>
  <si>
    <t>(h) GUARDAS ESPECÍFICAS POR ECUACIÓN. Antes, TODAS las ecuaciones exigían estatura válida, aunque Owen, Cunningham 1980, Cunningham 1991, Schofield y Henry no la usan. Ahora la estatura solo se exige a Mifflin y a Harris–Benedict revisada. La EDAD se sigue exigiendo a todas, pero por una razón de PRODUCTO, no de ecuación: el alcance es solo adultos y de la edad dependen la banda etaria y el rango de derivación. Regla documentada en CONFIG C11 y en ECUACIONES.</t>
  </si>
  <si>
    <t>La auditoría señaló que la guarda contradecía la columna 'variables indispensables'. Se opta por la regla 2: cada ecuación exige solo lo suyo.</t>
  </si>
  <si>
    <t>SÍ, pero solo en casos degradados: sin estatura, Owen/Cunningham/Schofield/Henry ahora SÍ devuelven un GEB en lugar de ND. La compuerta de CALCULOS sigue bloqueando el GET porque DATOS exige estatura como campo obligatorio.</t>
  </si>
  <si>
    <t>PENDIENTE DE VERIFICACIÓN PRIMARIA: Mifflin, Owen, Cunningham 1991 y Schofield permanecen en NIVEL B (resumen primario o corroboración por pares, sin inspección del PDF completo). El alias 'Katch–McArdle' sigue siendo NIVEL C. Los MET 17190 y 11210 siguen NO VERIFICADOS. EL ARCHIVO NO ESTÁ VALIDADO CLÍNICAMENTE.</t>
  </si>
  <si>
    <t>Regla del encargo: si no se puede comprobar una fuente primaria, el componente se conserva como no verificado.</t>
  </si>
  <si>
    <t>Hoja AÑADIDA en la v1.1.1 al final del libro, sin alterar el orden de las diez hojas originales. Contiene los entregables de verificación que antes solo existían fuera del archivo: los recálculos manuales, los escenarios adversariales y la lista PRINCIPAL de celdas modificadas. AVISO: esa lista NO es exhaustiva — recoge los cambios de fondo, no cada celda de texto o formato. El registro completo de cambios está en el CHANGELOG. Es un REGISTRO ESTÁTICO; las pruebas VIVAS y reejecutables están en la hoja PRUEBAS.</t>
  </si>
  <si>
    <t>1 · TRES RECÁLCULOS MANUALES COMPLETOS (cálculo a mano, independiente del libro, contra las celdas reales)</t>
  </si>
  <si>
    <t>Caso</t>
  </si>
  <si>
    <t>Configuración</t>
  </si>
  <si>
    <t>Cálculo MANUAL</t>
  </si>
  <si>
    <t>Valor del LIBRO</t>
  </si>
  <si>
    <t>M1</t>
  </si>
  <si>
    <t>Hombre 34 a · 78,5 kg · 176 cm · 18 % grasa · Mifflin · PAL 1,85 (catálogo) · ETA modo 1 · ajuste −15 % · proteína 1,6 g/kg · grasa 30 %</t>
  </si>
  <si>
    <t>10×78,5 + 6,25×176 − 5×34 + 5 = 1720</t>
  </si>
  <si>
    <t>1720</t>
  </si>
  <si>
    <t>0</t>
  </si>
  <si>
    <t>COINCIDE</t>
  </si>
  <si>
    <t>GAF</t>
  </si>
  <si>
    <t>1720 × (1,85 − 1) = 1462</t>
  </si>
  <si>
    <t>1462</t>
  </si>
  <si>
    <t>ETA</t>
  </si>
  <si>
    <t>modo 1 → 0</t>
  </si>
  <si>
    <t>GET</t>
  </si>
  <si>
    <t>1720 + 1462 + 0 = 3182</t>
  </si>
  <si>
    <t>3182</t>
  </si>
  <si>
    <t>3182 × (1 − 0,15) = 2704,7</t>
  </si>
  <si>
    <t>2704,7</t>
  </si>
  <si>
    <t>Macros (g)</t>
  </si>
  <si>
    <t>PRO 126 · GRA 90 · CHO 348</t>
  </si>
  <si>
    <t>126 / 90 / 348</t>
  </si>
  <si>
    <t>Cuadre</t>
  </si>
  <si>
    <t>2706 − 2704,7 = +1,3</t>
  </si>
  <si>
    <t>+1,3</t>
  </si>
  <si>
    <t>M2</t>
  </si>
  <si>
    <t>Mujer 62 a · 68 kg · 160 cm · MLG medida 44 kg · HENRY · método POR ACTIVIDADES · ETA modo 1 · mantenimiento · proteína 20 % · grasa 30 %</t>
  </si>
  <si>
    <t>GEB (Henry ≥60)</t>
  </si>
  <si>
    <t>10,1×68 + 569 = 1255,8</t>
  </si>
  <si>
    <t>1255,8</t>
  </si>
  <si>
    <t>TEE (METs)</t>
  </si>
  <si>
    <t>40,6 × 68 × 1 = 2760,8</t>
  </si>
  <si>
    <t>2760,8</t>
  </si>
  <si>
    <t>PAL estimado</t>
  </si>
  <si>
    <t>2760,8 / 1255,8 = 2,198439</t>
  </si>
  <si>
    <t>2,198439</t>
  </si>
  <si>
    <t>1255,8 × (2,198439 − 1) = 1505,0</t>
  </si>
  <si>
    <t>1505,0</t>
  </si>
  <si>
    <t>1255,8 + 1505,0 + 0 = 2760,8  ( = TEE )</t>
  </si>
  <si>
    <t>2760,8 × 1,00 = 2760,8</t>
  </si>
  <si>
    <t>PRO 138 · GRA 92 · CHO 345</t>
  </si>
  <si>
    <t>138 / 92 / 345</t>
  </si>
  <si>
    <t>2760 − 2760,8 = −0,8</t>
  </si>
  <si>
    <t>−0,8</t>
  </si>
  <si>
    <t>M3</t>
  </si>
  <si>
    <t>Hombre 25 a · 92 kg · 182 cm · 22 % grasa · CUNNINGHAM 1991 · FA manual 1,60 · ETA modo 2 (10 %) · ajuste +10 % · proteína 2,0 g/kg · grasa 25 %</t>
  </si>
  <si>
    <t>92 × (1 − 0,22) = 71,76</t>
  </si>
  <si>
    <t>71,76</t>
  </si>
  <si>
    <t>GEB (Cunn. 1991)</t>
  </si>
  <si>
    <t>370 + 21,6×71,76 = 1920,016</t>
  </si>
  <si>
    <t>1920,016</t>
  </si>
  <si>
    <t>1920,016 × 0,60 = 1152,0096</t>
  </si>
  <si>
    <t>1152,0096</t>
  </si>
  <si>
    <t>ETA (modo 2)</t>
  </si>
  <si>
    <t>(1920,016 + 1152,0096) × 0,10 = 307,2026</t>
  </si>
  <si>
    <t>307,2026</t>
  </si>
  <si>
    <t>1920,016 + 1152,0096 + 307,2026 = 3379,2282</t>
  </si>
  <si>
    <t>3379,2282</t>
  </si>
  <si>
    <t>3379,2282 × 1,10 = 3717,151</t>
  </si>
  <si>
    <t>3717,151</t>
  </si>
  <si>
    <t>PRO 184 · GRA 103 · CHO 514</t>
  </si>
  <si>
    <t>184 / 103 / 514</t>
  </si>
  <si>
    <t>3719 − 3717,151 = +1,849</t>
  </si>
  <si>
    <t>+1,849</t>
  </si>
  <si>
    <t>Cunningham 1980 (contraste)</t>
  </si>
  <si>
    <t>500 + 22×71,76 = 2078,72  ← ECUACIÓN DISTINTA</t>
  </si>
  <si>
    <t>2078,72</t>
  </si>
  <si>
    <t>Resultado: los tres recálculos coinciden con el libro hasta el último decimal. M2 verifica además la identidad GEB × PAL = TEE, que es la prueba algebraica de que no hay doble conteo.</t>
  </si>
  <si>
    <t>2 · SEIS ESCENARIOS ADVERSARIALES EJECUTADOS SOBRE LA HOJA VIVA</t>
  </si>
  <si>
    <t>Nº</t>
  </si>
  <si>
    <t>Comportamiento observado</t>
  </si>
  <si>
    <t>Errores de Excel</t>
  </si>
  <si>
    <t>AD1</t>
  </si>
  <si>
    <t>Cunningham 1991 SIN masa libre de grasa + método por actividades</t>
  </si>
  <si>
    <t>Ambos Cunningham → ND; sin GEB no se puede derivar el PAL → bloqueo con causa explícita</t>
  </si>
  <si>
    <t>Cunningham 1980 y 1991 → 'NO: falta la masa libre de grasa'; n baja de 7 a 5; validación: 'ERROR: el PAL por actividades exige 24 h registradas y un GEB calculable'; compuerta = NO</t>
  </si>
  <si>
    <t>CORRECTO</t>
  </si>
  <si>
    <t>AD2</t>
  </si>
  <si>
    <t>Peso 205 kg · estatura 138 cm · proteína 3,5 g/kg · grasa 2,5 g/kg · déficit 35 %</t>
  </si>
  <si>
    <t>NO debe bloquear (poco frecuente ≠ imposible), pero sí advertir; los carbohidratos por diferencia salen negativos</t>
  </si>
  <si>
    <t>Compuerta = SÍ; 4 advertencias de dato POCO FRECUENTE; carbohidratos → 'ERROR: la proteína y la grasa exceden la energía objetivo'</t>
  </si>
  <si>
    <t>AD3</t>
  </si>
  <si>
    <t>Edad 17 años (fuera del alcance adulto)</t>
  </si>
  <si>
    <t>Bloqueo total; las 7 ecuaciones deben devolver ND</t>
  </si>
  <si>
    <t>Compuerta = NO; las 7 ecuaciones → 'NO: edad fuera del alcance adulto'; n = 0; estadísticos = ND</t>
  </si>
  <si>
    <t>AD4</t>
  </si>
  <si>
    <t>ETA explícito al 30 % (máximo) aplicado SOBRE un PAL</t>
  </si>
  <si>
    <t>Debe calcular, pero advertir del doble conteo en CALCULOS y en RESULTADOS; sin división por cero</t>
  </si>
  <si>
    <t>GET = 4513,21; advertencia de doble conteo visible en ambas hojas; sin división por cero (el % de ETA está acotado por ETA_MAX = 30 %)</t>
  </si>
  <si>
    <t>AD5</t>
  </si>
  <si>
    <t>Registro de ACTIVIDADES con 0 horas (todas las filas vacías)</t>
  </si>
  <si>
    <t>FA no determinable → bloqueo con causa</t>
  </si>
  <si>
    <t>FA = 0 → dos validaciones distintas fallan ('factor fuera de límites' y 'el registro no suma 24 h'); compuerta = NO</t>
  </si>
  <si>
    <t>AD6</t>
  </si>
  <si>
    <t>Texto ('noventa') en el campo Peso</t>
  </si>
  <si>
    <t>Bloqueo; ninguna ecuación calculable; ningún error de Excel</t>
  </si>
  <si>
    <t>Validación: 'ERROR: no es numérico'; las 7 ecuaciones → 'NO: faltan sexo, edad o peso válidos'; compuerta = NO</t>
  </si>
  <si>
    <t>Resultado: cero errores de Excel en los seis escenarios. La distinción entre DATO IMPOSIBLE (bloquea) y DATO POCO FRECUENTE (solo advierte) se comporta como está especificada.</t>
  </si>
  <si>
    <t>3 · LISTA PRINCIPAL DE CAMBIOS (no exhaustiva: ver CHANGELOG para el registro completo)</t>
  </si>
  <si>
    <t>Ubicación exacta</t>
  </si>
  <si>
    <t>Antes</t>
  </si>
  <si>
    <t>Después</t>
  </si>
  <si>
    <t>Coeficientes de Cunningham 1991 (reatribución)</t>
  </si>
  <si>
    <t>CONFIG!A87:H88 · CONFIG!B124</t>
  </si>
  <si>
    <t>'Katch–McArdle' (libro de texto), nivel C</t>
  </si>
  <si>
    <t>'Cunningham (1991) · alias secundario: Katch–McArdle', nivel B</t>
  </si>
  <si>
    <t>Ninguno</t>
  </si>
  <si>
    <t>Tabla canónica de Schofield</t>
  </si>
  <si>
    <t>CONFIG!A92:G97 (C9)</t>
  </si>
  <si>
    <t>15,3/11,6/13,5 · 14,7/8,7/10,5 (tabla FAO redondeada en kcal)</t>
  </si>
  <si>
    <t>15,057/11,472/11,711 · 14,818/8,126/9,082 (canónica desde MJ)</t>
  </si>
  <si>
    <t>SÍ · p. ej. H 40 a/90 kg: 1923 → 1905,58</t>
  </si>
  <si>
    <t>Tabla FAO histórica (desconectada)</t>
  </si>
  <si>
    <t>CONFIG!A101:F106 (C9b)</t>
  </si>
  <si>
    <t>Documentación; 0 referencias desde fórmulas</t>
  </si>
  <si>
    <t>Henry / Oxford 2005 (NUEVA)</t>
  </si>
  <si>
    <t>CONFIG!A110:G115 (C10) · ECUACIONES fila 13</t>
  </si>
  <si>
    <t>No existía</t>
  </si>
  <si>
    <t>E7, kcal + MJ, bandas 18–30 / 30–60 / ≥60</t>
  </si>
  <si>
    <t>SÍ · séptima ecuación; cambian promedio, mediana y rango</t>
  </si>
  <si>
    <t>Cadena MET → TEE → PAL</t>
  </si>
  <si>
    <t>ACTIVIDADES!B21:B27 · CALCULOS!B13:B16</t>
  </si>
  <si>
    <t>FA = Σ(MET×h)/24 (índice MET usado como PAL)</t>
  </si>
  <si>
    <t>TEE = Σ(MET×h)×Peso×1 kcal/kg/h ; PAL estimado = TEE/GEB</t>
  </si>
  <si>
    <t>SÍ · día de ejemplo: 1,669 → 1,853 (con GEB 1720)</t>
  </si>
  <si>
    <t>MET de 'Dormir'</t>
  </si>
  <si>
    <t>CONFIG!C131</t>
  </si>
  <si>
    <t>0,95</t>
  </si>
  <si>
    <t>1,0</t>
  </si>
  <si>
    <t>SÍ · Σ MET·h sube 0,4</t>
  </si>
  <si>
    <t>Códigos MET como texto</t>
  </si>
  <si>
    <t>CONFIG!A131:A144 · ACTIVIDADES!C7:C18</t>
  </si>
  <si>
    <t>7030 (numérico)</t>
  </si>
  <si>
    <t>'07030' (texto)</t>
  </si>
  <si>
    <t>MET 17190 y 11210</t>
  </si>
  <si>
    <t>CONFIG!D139:D140</t>
  </si>
  <si>
    <t>Nivel A ('verificado')</t>
  </si>
  <si>
    <t>Nivel C (NO verificado)</t>
  </si>
  <si>
    <t>Formato regional del informe</t>
  </si>
  <si>
    <t>RESULTADOS!B8, B9, B11, B12</t>
  </si>
  <si>
    <t>TEXT(x;"0.0") y TEXT(x;"0.000")</t>
  </si>
  <si>
    <t>ROUND(x;n) concatenado</t>
  </si>
  <si>
    <t>Ninguno en el cálculo. En Excel español, un FA de 1,55 se PRESENTABA como 0,002</t>
  </si>
  <si>
    <t>Guarda de observaciones vacías</t>
  </si>
  <si>
    <t>RESULTADOS!B13</t>
  </si>
  <si>
    <t>in_Obs (referencia directa: mostraba 0)</t>
  </si>
  <si>
    <t>IF(in_Obs="";"—";in_Obs)</t>
  </si>
  <si>
    <t>Guardas específicas por ecuación</t>
  </si>
  <si>
    <t>CONFIG!F120:F126 (columna nueva) · ECUACIONES!E7:E13</t>
  </si>
  <si>
    <t>Todas las ecuaciones exigían estatura</t>
  </si>
  <si>
    <t>La estatura solo se exige a Mifflin y a Harris–Benedict revisada</t>
  </si>
  <si>
    <t>Solo en casos degradados: sin estatura, Owen/Cunningham/Schofield/Henry ahora devuelven GEB en vez de ND</t>
  </si>
  <si>
    <t>Bloque D de PRUEBAS</t>
  </si>
  <si>
    <t>PRUEBAS!A65:G71</t>
  </si>
  <si>
    <t>D01–D04 (4 ecuaciones)</t>
  </si>
  <si>
    <t>D01–D07 (las 7 ecuaciones, de extremo a extremo)</t>
  </si>
  <si>
    <t>Bloque G de PRUEBAS (NUEVO)</t>
  </si>
  <si>
    <t>PRUEBAS!A89:F100</t>
  </si>
  <si>
    <t>12 casos de presentación y localización regional</t>
  </si>
  <si>
    <t>Discrepancia MJ↔kcal de Henry</t>
  </si>
  <si>
    <t>FUENTES!L12</t>
  </si>
  <si>
    <t>'difieren ~1 kcal'</t>
  </si>
  <si>
    <t>'hasta ~4,64 kcal (0,315 %)' — el valor real que mide PRUEBAS</t>
  </si>
  <si>
    <t>Terminología del PAL</t>
  </si>
  <si>
    <t>ACTIVIDADES!A27 · CALCULOS!A16, B14 · CHANGELOG</t>
  </si>
  <si>
    <t>'PAL real' / 'PAL derivado'</t>
  </si>
  <si>
    <t>'PAL ESTIMADO' (sigue siendo una aproximación)</t>
  </si>
  <si>
    <t>Estatura textual → 0 × texto daba error VALUE</t>
  </si>
  <si>
    <t>ECUACIONES!F7:F13</t>
  </si>
  <si>
    <t>$N × in_Est (siempre)</t>
  </si>
  <si>
    <t>$N × IF(CONFIG!F="SÍ"; in_Est; 0) — cero literal si la ecuación no la usa</t>
  </si>
  <si>
    <t>Ninguno sobre resultados válidos. Reproducidos 15 errores VALUE en v1.1.1; ahora 0</t>
  </si>
  <si>
    <t>Entradas editables del banco (bloque A)</t>
  </si>
  <si>
    <t>PRUEBAS!O8:O17</t>
  </si>
  <si>
    <t>Multiplicación directa de las entradas</t>
  </si>
  <si>
    <t>Guarda explícita por ISNUMBER en peso, estatura, edad y MLG</t>
  </si>
  <si>
    <t>Independencia de D06/D07</t>
  </si>
  <si>
    <t>PRUEBAS!E70:E71 · H64, H70:H71 (columna nueva)</t>
  </si>
  <si>
    <t>El esperado leía CALCULOS!B10 (salida del motor)</t>
  </si>
  <si>
    <t>El esperado reconstruye la MLG solo desde DATOS; coeficientes literales 500/22 y 370/21,6</t>
  </si>
  <si>
    <t>Ninguno. Prueba de mutación: en v1.1.1 pasaba con la MLG corrompida; en v1.1.2 falla</t>
  </si>
  <si>
    <t>Bloque I de PRUEBAS (NUEVO)</t>
  </si>
  <si>
    <t>PRUEBAS!A105:H116</t>
  </si>
  <si>
    <t>12 casos sobre la derivación de la MLG, incluido I12 de extremo a extremo</t>
  </si>
  <si>
    <t>Identificadores de versión</t>
  </si>
  <si>
    <t>CALCULOS!A1 · RESULTADOS!A1 · FUENTES!A1 · CONFIG!A1 · CONFIG!B7 · PRUEBAS!A1 · AUDITORIA!A1 · INICIO!B5, A2, A18, A45 · DATOS!D22 · CALCULOS!B14, B21</t>
  </si>
  <si>
    <t>v1.1 / v1.1.1</t>
  </si>
  <si>
    <t>v1.1.2 · o sin número donde no aporta (para no volver a desincronizarse)</t>
  </si>
  <si>
    <t>AUDITORIA no declara exhaustividad</t>
  </si>
  <si>
    <t>AUDITORIA!A2 · encabezado del apartado 3</t>
  </si>
  <si>
    <t>'LISTA EXACTA DE CELDAS...'</t>
  </si>
  <si>
    <t>'LISTA PRINCIPAL DE CAMBIOS (no exhaustiva: ver CHANGELOG)'</t>
  </si>
  <si>
    <t>Nombres definidos</t>
  </si>
  <si>
    <t>Libro completo</t>
  </si>
  <si>
    <t>82 nombres (v1.1)</t>
  </si>
  <si>
    <t>82 nombres; ninguno eliminado ni roto. LISTA_ECU y las columnas de nivel se reapuntan por la nueva columna F de C11</t>
  </si>
  <si>
    <t>4 · ANTES / DESPUÉS</t>
  </si>
  <si>
    <t>Indicador</t>
  </si>
  <si>
    <t>v1.0</t>
  </si>
  <si>
    <t>v1.1</t>
  </si>
  <si>
    <t>v1.1.1</t>
  </si>
  <si>
    <t>v1.1.2</t>
  </si>
  <si>
    <t>Ecuaciones de GEB</t>
  </si>
  <si>
    <t>6</t>
  </si>
  <si>
    <t>7 (+ Henry)</t>
  </si>
  <si>
    <t>7</t>
  </si>
  <si>
    <t>Casos de prueba</t>
  </si>
  <si>
    <t>31</t>
  </si>
  <si>
    <t>54</t>
  </si>
  <si>
    <t>69</t>
  </si>
  <si>
    <t>81 (el RESUMEN lo calcula solo)</t>
  </si>
  <si>
    <t>Ecuaciones verificadas de extremo a extremo (bloque D)</t>
  </si>
  <si>
    <t>Pruebas independientes del motor (sin leer sus salidas)</t>
  </si>
  <si>
    <t>parcial</t>
  </si>
  <si>
    <t>parcial (D06/D07 no lo eran)</t>
  </si>
  <si>
    <t>Errores de Excel con estatura TEXTUAL</t>
  </si>
  <si>
    <t>n/d</t>
  </si>
  <si>
    <t>15 (error VALUE)</t>
  </si>
  <si>
    <t>Fuentes de nivel A / nivel B</t>
  </si>
  <si>
    <t>7 / 4</t>
  </si>
  <si>
    <t>Errores de Excel (caso normal)</t>
  </si>
  <si>
    <t>Ocurrencias de IFERROR</t>
  </si>
  <si>
    <t>¿Validado clínicamente?</t>
  </si>
  <si>
    <t>EXACTITUD MATEMÁTICA Y BIBLIOGRÁFICA ≠ VALIDACIÓN CLÍNICA. Ni la v1.0, ni la v1.1, ni la v1.1.1 están validadas clínicamente. Requieren revisión por un nutricionista antes de cualquier uso asistencial.</t>
  </si>
  <si>
    <t>Recuento real de fórmulas del libro (contado por el generador):</t>
  </si>
  <si>
    <t>Recuento real de casos de prueba: lo calcula la propia hoja PRUEBAS (RESUMEN, fila 120). No se fija a mano para que no pueda desincronizarse.</t>
  </si>
  <si>
    <t>Calculadora Energética · DEFINITIVO 2026 · NMX-PAL-2026-08-v1 · NMX-ACT-2024-v1</t>
  </si>
  <si>
    <t>DEFINITIVO 2026 · NMX-PAL-2026-08-v1 · NMX-ACT-2024-v1</t>
  </si>
  <si>
    <t>APLICA A: personas ADULTAS (≥18 años) en condición estable. Módulo Compendium de actividad: desde 19 años.</t>
  </si>
  <si>
    <t>NO APLICA A: embarazo · lactancia · menores de edad · pacientes críticos o clínicamente inestables.</t>
  </si>
  <si>
    <t>Adultos ≥18 años en condición estable. Actividad física: 18 años = sin módulo Compendium; 19–59 = Adult Compendium 2024 (MET); ≥60 ambulante = Older Adult Compendium 2024 (MET60+); adultos usuarios de silla de ruedas = Wheelchair Compendium 2024 (METWC), con precaución etaria en ≥60.</t>
  </si>
  <si>
    <t>MÓDULO ACTIVIDAD FÍSICA · NMX-ACT-2024-v1</t>
  </si>
  <si>
    <t>Condición clínica</t>
  </si>
  <si>
    <t>Estable</t>
  </si>
  <si>
    <t>Debe estar estable; NMX-01 no aplica a pacientes críticos/inestables.</t>
  </si>
  <si>
    <t>Movilidad</t>
  </si>
  <si>
    <t>Ambulante</t>
  </si>
  <si>
    <t>Seleccione silla de ruedas solo si corresponde al modo habitual de movilidad.</t>
  </si>
  <si>
    <t>Estado del módulo</t>
  </si>
  <si>
    <t>Se determina por edad, condición clínica y movilidad.</t>
  </si>
  <si>
    <t>Fuente activa</t>
  </si>
  <si>
    <t>Cambia automáticamente con la edad/movilidad.</t>
  </si>
  <si>
    <t>Motor actividad</t>
  </si>
  <si>
    <t>Identificador auditable del motor activo.</t>
  </si>
  <si>
    <t>NMX-ACT-2024-v1: 'Cálculo por actividades' selecciona MET / MET60+ / METWC según edad y movilidad. El PAL se deriva solo cuando la conversión energética es aplicable.</t>
  </si>
  <si>
    <t>Moderado · PAL 1,80</t>
  </si>
  <si>
    <t>Seleccione según el patrón habitual global (trabajo/estudio, transporte, actividad física y descanso); no por una sola sesión ni solo por pasos.</t>
  </si>
  <si>
    <t>CÁLCULOS · Cadena auditable · DEFINITIVO 2026</t>
  </si>
  <si>
    <t>RESULTADOS · Informe de la evaluación energética · DEFINITIVO 2026</t>
  </si>
  <si>
    <t>Unidad activa</t>
  </si>
  <si>
    <t>Equiv. energético</t>
  </si>
  <si>
    <t>Actividad (catálogo dinámico 2024)</t>
  </si>
  <si>
    <t>Código</t>
  </si>
  <si>
    <t>Horas/día</t>
  </si>
  <si>
    <t>Nota / justificación</t>
  </si>
  <si>
    <t>Dormir · [MET]</t>
  </si>
  <si>
    <t>Trabajo sentado ligero · oficina / laboratorio / escritorio · [MET]</t>
  </si>
  <si>
    <t>Estudiar sentado · lectura o escritura · esfuerzo ligero · [MET]</t>
  </si>
  <si>
    <t>Caminar 4,5–5,5 km/h · moderado · [MET]</t>
  </si>
  <si>
    <t>Cocina general · platos y limpieza · esfuerzo moderado · [MET]</t>
  </si>
  <si>
    <t>Subir escaleras · ritmo lento · [MET]</t>
  </si>
  <si>
    <t>Barrer garaje, acera o exterior de la casa · [MET]</t>
  </si>
  <si>
    <t>Pesas · varios ejercicios · 8–15 repeticiones · [MET]</t>
  </si>
  <si>
    <t>Ver televisión sentado · [MET]</t>
  </si>
  <si>
    <t>(sin actividad) · [MET]</t>
  </si>
  <si>
    <t>CONVERSIÓN 24 H · UNIDAD × H → ENERGÍA → PAL ESTIMADO</t>
  </si>
  <si>
    <t>1 · Total de horas registradas</t>
  </si>
  <si>
    <t>Suma bruta del registro activo.</t>
  </si>
  <si>
    <t>Referencia descriptiva del costo relativo medio; NO se usa como PAL.</t>
  </si>
  <si>
    <t>4 · Peso del paciente</t>
  </si>
  <si>
    <t>Desde DATOS.</t>
  </si>
  <si>
    <t>6 · TEE estimado = Σ(unidad×h) × Peso × equivalente</t>
  </si>
  <si>
    <t>Estimación Compendium; no equivale a calorimetría indirecta. En silla de ruedas ≥60 se bloquea por evidencia etaria limitada.</t>
  </si>
  <si>
    <t>7 · GEB de la ecuación seleccionada</t>
  </si>
  <si>
    <t>Desde ECUACIONES.</t>
  </si>
  <si>
    <t>8 · PAL ESTIMADO DERIVADO DE COMPENDIUM = TEE / GEB</t>
  </si>
  <si>
    <t>APROXIMACIÓN · NO MEDICIÓN. No presentar como PAL exacto ni clínicamente validado.</t>
  </si>
  <si>
    <t>Advertencia metodológica: MET, MET60+ y METWC tienen referencias de reposo diferentes y NO son intercambiables. El promedio de unidad×h NO es PAL. Si cambia la edad 59→60 o la movilidad, vuelva a seleccionar las actividades; las etiquetas incluyen la unidad para impedir una migración silenciosa.</t>
  </si>
  <si>
    <t>Fuentes 2024: Herrmann et al. Adult Compendium (19–59); Willis et al. Older Adult Compendium (≥60; MET60+); Conger et al. Wheelchair Compendium (METWC). Ver FUENTES y las hojas BASE_MET_* para códigos, valores y URLs oficiales.</t>
  </si>
  <si>
    <t>FUENTES · Trazabilidad y nivel de verificación · DEFINITIVO 2026 · NMX-ACT-2024-v1</t>
  </si>
  <si>
    <t>PAL · clasificación canónica · GAF · ETA</t>
  </si>
  <si>
    <t>FAO/WHO/UNU — Human Energy Requirements, FAO Food and Nutrition Technical Report Series No. 1</t>
  </si>
  <si>
    <t>Consulta de expertos; §5.1, §5.3.1 (Tabla 5.3) y §5.3.2</t>
  </si>
  <si>
    <t>PAL = TEE/BMR; GET = GEB × PAL. Rangos adultos: 1,40–1,69 · 1,70–1,99 · 2,00–2,40</t>
  </si>
  <si>
    <t>PAL adimensional; kcal/día</t>
  </si>
  <si>
    <t>FAO usa rangos, no un factor único por categoría. El PAL representa el patrón habitual global y no debe asignarse solo por ocupación. Con GET = GEB×PAL, sumar ETA otra vez implica doble conteo.</t>
  </si>
  <si>
    <t>https://www.fao.org/4/y5686e/y5686e07.htm</t>
  </si>
  <si>
    <t>2026-08-08</t>
  </si>
  <si>
    <t>Documento oficial FAO de acceso público.</t>
  </si>
  <si>
    <t>ACTUALIZADO NMX-PAL-2026-08-v1: se separan los rangos canónicos FAO de los factores puntuales del selector práctico.</t>
  </si>
  <si>
    <t>Compendium 2011 · antecedente histórico</t>
  </si>
  <si>
    <t>Ainsworth BE, Haskell WL, Herrmann SD et al. — Med Sci Sports Exerc 43:1575-1581</t>
  </si>
  <si>
    <t>Adultos; versión previa del Compendium</t>
  </si>
  <si>
    <t>Valores/códigos 2011 conservados solo para trazabilidad histórica</t>
  </si>
  <si>
    <t>MET</t>
  </si>
  <si>
    <t>NO es la fuente maestra del motor NMX-ACT-2024-v1. Los códigos/valores activos se cotejan contra 2024.</t>
  </si>
  <si>
    <t>10.1249/MSS.0b013e31821ece12 · https://pacompendium.com/</t>
  </si>
  <si>
    <t>Uso sujeto a condiciones del Compendium; citar y no alterar valores.</t>
  </si>
  <si>
    <t>HISTÓRICO. Reemplazado como fuente maestra por las tres ramas 2024.</t>
  </si>
  <si>
    <t>Selector PAL práctico · NMX-PAL-2026-08-v1</t>
  </si>
  <si>
    <t>FoodWorks.online Learning and Support — Physical Activity Levels (PAL) explained</t>
  </si>
  <si>
    <t>2026</t>
  </si>
  <si>
    <t>Escala operacional para comparar el patrón medio de actividad diaria con descripciones y ocupaciones de ejemplo</t>
  </si>
  <si>
    <t>PAL 1,2 · 1,4 · 1,5 · 1,6 · 1,7 · 1,8 · 2,0 · 2,2</t>
  </si>
  <si>
    <t>PAL adimensional</t>
  </si>
  <si>
    <t>FUENTE SECUNDARIA OPERACIONAL. Los factores puntuales facilitan la selección, pero no reemplazan la clasificación/rangos de FAO. PAL 1,20 queda fuera del selector general.</t>
  </si>
  <si>
    <t>https://support.foodworks.online/hc/en-au/articles/360004401336-Physical-Activity-Levels-PAL-explained</t>
  </si>
  <si>
    <t>Página web de soporte; actualización indicada por la fuente: 20-07-2026. Verificar cambios futuros.</t>
  </si>
  <si>
    <t>C</t>
  </si>
  <si>
    <t>NUEVO NMX-PAL-2026-08-v1. Se usa solo como selector práctico y para ejemplos de ocupación/estilo de vida; fuente canónica de categorías y rangos: FAO/WHO/UNU 2004.</t>
  </si>
  <si>
    <t>PENDIENTES DE VERIFICACIÓN PRIMARIA (nivel B): Mifflin–St Jeor, Owen, Cunningham 1991 y Schofield. Para estos se conserva el estado documental previo del libro. Los códigos Compendium 17190 y 11210 fueron revalidados contra la edición oficial 2024 en NMX-ACT-2024-v1; 11210 corresponde a ordeño manual / limpieza de baldes, esfuerzo moderado, no a carga pesada.</t>
  </si>
  <si>
    <t>Valores MET · adultos 19–59</t>
  </si>
  <si>
    <t>Herrmann SD, Willis EA, Ainsworth BE, Barreira TV, Hastert M, Kracht CL, Schuna JM Jr, Cai Z, Quan M, Tudor-Locke C, Whitt-Glover MC, Jacobs DR Jr.</t>
  </si>
  <si>
    <t>Adultos 19–59 años; no discapacitados y sin condiciones significativas que alteren EE/metabolismo</t>
  </si>
  <si>
    <t>2024 Adult Compendium · 1114 actividades; MET estándar. 1 MET = 1,000 kcal/kg/h ≈ 3,5 mL O₂/kg/min.</t>
  </si>
  <si>
    <t>MET; kcal/kg/h</t>
  </si>
  <si>
    <t>Valores poblacionales/estandarizados; no equivalen a medición individual. Embarazo y condiciones que alteran EE quedan fuera del alcance.</t>
  </si>
  <si>
    <t>10.1016/j.jshs.2023.10.010 · https://pacompendium.com/adult-compendium/</t>
  </si>
  <si>
    <t>Compendium: uso educacional/comercial permitido; no alterar MET ni combinar actividades de distinta intensidad; citar.</t>
  </si>
  <si>
    <t>FUENTE MAESTRA NMX-ACT-2024-v1 para 19–59 años.</t>
  </si>
  <si>
    <t>Valores MET60+ · adultos mayores</t>
  </si>
  <si>
    <t>Willis EA, Herrmann SD, Hastert M, Kracht CL, Barreira TV, Schuna JM Jr, Cai Z, Quan M, Conger SA, Brown WJ, Ainsworth BE.</t>
  </si>
  <si>
    <t>Adultos ≥60 años</t>
  </si>
  <si>
    <t>Older Adult Compendium · MET60+ con baseline 2,7 mL O₂/kg/min; conversión documentada 0,810 kcal/kg/h.</t>
  </si>
  <si>
    <t>MET60+; kcal/kg/h</t>
  </si>
  <si>
    <t>No tratar MET60+ como MET estándar. Usar catálogo y códigos específicos de Older Adult Compendium.</t>
  </si>
  <si>
    <t>10.1016/j.jshs.2023.10.007 · https://pacompendium.com/older-adult-compendium/</t>
  </si>
  <si>
    <t>Compendium: uso educacional/comercial permitido; citar y no alterar valores.</t>
  </si>
  <si>
    <t>FUENTE MAESTRA NMX-ACT-2024-v1 para ≥60 años ambulantes.</t>
  </si>
  <si>
    <t>Valores METWC · usuarios de silla de ruedas</t>
  </si>
  <si>
    <t>Conger SA, Herrmann SD, Willis EA, Nightingale TE, Sherman JR, Ainsworth BE.</t>
  </si>
  <si>
    <t>Adultos usuarios de silla de ruedas; evidencia publicada predominantemente en adultos jóvenes/mediana edad</t>
  </si>
  <si>
    <t>Wheelchair Compendium · METWC; baseline 0,992 kcal/kg/h.</t>
  </si>
  <si>
    <t>METWC; kcal/kg/h</t>
  </si>
  <si>
    <t>No mezclar METWC con MET o MET60+. La publicación advierte cautela al extrapolar a adultos mayores; NMX-01 bloquea PAL automático en silla de ruedas ≥60.</t>
  </si>
  <si>
    <t>10.1016/j.jshs.2023.11.003 · https://pacompendium.com/adult-wheelchair-users-compendium/</t>
  </si>
  <si>
    <t>FUENTE MAESTRA NMX-ACT-2024-v1 para adultos usuarios de silla de ruedas; ≥60 con advertencia/limitación.</t>
  </si>
  <si>
    <t>Conversión energética 2024 · comparación de Compendia</t>
  </si>
  <si>
    <t>Herrmann SD, Conger SA, Willis EA, Ainsworth BE — Journal of Sport and Health Science</t>
  </si>
  <si>
    <t>Adultos, adultos mayores y usuarios de silla de ruedas</t>
  </si>
  <si>
    <t>Adult MET→kcal: MET×kg×h; METWC→kcal: METWC×0,992×kg×h; MET60+→kcal: MET60+×0,810×kg×h.</t>
  </si>
  <si>
    <t>kcal</t>
  </si>
  <si>
    <t>Ejemplos de conversión; siguen siendo estimaciones del Compendium, no calorimetría.</t>
  </si>
  <si>
    <t>10.1016/j.jshs.2024.05.013 · https://pacompendium.com/compendium-calculator/</t>
  </si>
  <si>
    <t>Artículo académico + calculadora oficial del Compendium.</t>
  </si>
  <si>
    <t>SOPORTE DE CONVERSIÓN para parámetros EQUIV_MET_*.</t>
  </si>
  <si>
    <t>PRUEBAS · Banco de verificación · DEFINITIVO 2026</t>
  </si>
  <si>
    <t>PAL global (1,50) · ETA incluido en el FA (modo 1) · déficit 15 %</t>
  </si>
  <si>
    <t>PAL global (1,80) · ETA explícito como % de (GEB+GAF) · superávit 10 %</t>
  </si>
  <si>
    <t>BLOQUE J · MOTOR DE ACTIVIDAD FÍSICA MULTIFUENTE 2024 · NMX-ACT-2024-v1</t>
  </si>
  <si>
    <t>Condición</t>
  </si>
  <si>
    <t>Sistema esperado</t>
  </si>
  <si>
    <t>Equiv. esperada</t>
  </si>
  <si>
    <t>PAL auto esperado</t>
  </si>
  <si>
    <t>Sistema derivado</t>
  </si>
  <si>
    <t>Equiv. derivada</t>
  </si>
  <si>
    <t>PAL auto derivado</t>
  </si>
  <si>
    <t>J01</t>
  </si>
  <si>
    <t>Menor de edad</t>
  </si>
  <si>
    <t>FUERA</t>
  </si>
  <si>
    <t>BLOQUE K · REVALIDACIÓN DINÁMICA P0</t>
  </si>
  <si>
    <t>J02</t>
  </si>
  <si>
    <t>Edad 18 · libro sí, Compendium no</t>
  </si>
  <si>
    <t>NO COMPENDIUM</t>
  </si>
  <si>
    <t>Regla</t>
  </si>
  <si>
    <t>Derivado</t>
  </si>
  <si>
    <t>J03</t>
  </si>
  <si>
    <t>Adulto mínimo Compendium</t>
  </si>
  <si>
    <t>K01</t>
  </si>
  <si>
    <t>Actividad fuera del catálogo activo requiere revalidación</t>
  </si>
  <si>
    <t>REQUIERE REVALIDACIÓN</t>
  </si>
  <si>
    <t>J04</t>
  </si>
  <si>
    <t>Adulto 59 años</t>
  </si>
  <si>
    <t>K02</t>
  </si>
  <si>
    <t>PAL se bloquea si existe REQUIERE REVALIDACIÓN</t>
  </si>
  <si>
    <t>NO CALCULADO</t>
  </si>
  <si>
    <t>J05</t>
  </si>
  <si>
    <t>Transición a Older Adult</t>
  </si>
  <si>
    <t>MET60+</t>
  </si>
  <si>
    <t>J06</t>
  </si>
  <si>
    <t>Adulto mayor 75 años</t>
  </si>
  <si>
    <t>J07</t>
  </si>
  <si>
    <t>Silla de ruedas adulto</t>
  </si>
  <si>
    <t>Usuario de silla de ruedas</t>
  </si>
  <si>
    <t>METWC</t>
  </si>
  <si>
    <t>J08</t>
  </si>
  <si>
    <t>Silla de ruedas ≥60 · evidencia limitada</t>
  </si>
  <si>
    <t>J09</t>
  </si>
  <si>
    <t>Condición no estable</t>
  </si>
  <si>
    <t>No estable</t>
  </si>
  <si>
    <t>BLOQUEADO</t>
  </si>
  <si>
    <t>Resumen bloque J</t>
  </si>
  <si>
    <t>Casos</t>
  </si>
  <si>
    <t>J08 valida la regla P0: METWC puede mostrarse como referencia en ≥60, pero NMX-01 no calcula automáticamente TEE/PAL en esa combinación por evidencia etaria limitada.</t>
  </si>
  <si>
    <t>CONFIGURACIÓN · Parámetros, coeficientes y catálogos · DEFINITIVO 2026 · NMX-ACT-2024-v1</t>
  </si>
  <si>
    <t>2026-08 · DEFINITIVO 2026 · NMX-PAL-2026-08-v1 · NMX-ACT-2024-v1</t>
  </si>
  <si>
    <t>Límite operativo: PAL &gt;2,40 requiere revisión; &gt;2,50 queda fuera del campo configurado.</t>
  </si>
  <si>
    <t>NMX-ACT-2024-v1: el registro de 24 h selecciona Adult MET (19–59), Older Adult MET60+ (≥60) o Wheelchair METWC según edad y movilidad.</t>
  </si>
  <si>
    <t>C4 · SELECTOR PAL PRÁCTICO · NMX-PAL-2026-08-v1</t>
  </si>
  <si>
    <t>Etiqueta</t>
  </si>
  <si>
    <t>Factor</t>
  </si>
  <si>
    <t>Rango FAO</t>
  </si>
  <si>
    <t>Fuente puntual / rango</t>
  </si>
  <si>
    <t>Categoría FAO</t>
  </si>
  <si>
    <t>PAL mín.</t>
  </si>
  <si>
    <t>PAL máx.</t>
  </si>
  <si>
    <t>Fuente canónica</t>
  </si>
  <si>
    <t>Muy sedentario · PAL 1,40</t>
  </si>
  <si>
    <t>1,40–1,69</t>
  </si>
  <si>
    <t>FoodWorks 2026 · FAO 2004</t>
  </si>
  <si>
    <t>Sedentario o actividad ligera</t>
  </si>
  <si>
    <t>FAO/WHO/UNU 2004 · Tabla 5.3</t>
  </si>
  <si>
    <t>Sedentario · PAL 1,50</t>
  </si>
  <si>
    <t>Activo o moderadamente activo</t>
  </si>
  <si>
    <t>Ligero · PAL 1,60</t>
  </si>
  <si>
    <t>Vigoroso o vigorosamente activo</t>
  </si>
  <si>
    <t>Ligero-moderado · PAL 1,70</t>
  </si>
  <si>
    <t>1,70–1,99</t>
  </si>
  <si>
    <t>Reposo / inmovilidad excepcional</t>
  </si>
  <si>
    <t>Uso especial</t>
  </si>
  <si>
    <t>No selector general · FoodWorks 2026 · FAO §5.3.2</t>
  </si>
  <si>
    <t>Pesado / vigoroso · PAL 2,00</t>
  </si>
  <si>
    <t>2,00–2,40</t>
  </si>
  <si>
    <t>Muy pesado / muy vigoroso · PAL 2,20</t>
  </si>
  <si>
    <t>FoodWorks 2026 = selector práctico. FAO/WHO/UNU 2004 = rangos 1,40–1,69 · 1,70–1,99 · 2,00–2,40. PAL 1,20: solo reposo/inmovilidad excepcional.</t>
  </si>
  <si>
    <t>C12 · CATÁLOGO 2011 · HISTÓRICO · DESCONECTADO DEL MOTOR</t>
  </si>
  <si>
    <t>Desde NMX-ACT-2024-v1 el motor usa bases independientes 2024. Esta sección conserva solo la trazabilidad de la migración 2011→2024 y corrige códigos previamente mal descritos.</t>
  </si>
  <si>
    <t>Actividad</t>
  </si>
  <si>
    <t>Valor anterior</t>
  </si>
  <si>
    <t>Valor 2024</t>
  </si>
  <si>
    <t>Acción</t>
  </si>
  <si>
    <t>Fuente 2024</t>
  </si>
  <si>
    <t>07030</t>
  </si>
  <si>
    <t>Dormir</t>
  </si>
  <si>
    <t>MANTENER</t>
  </si>
  <si>
    <t>Adult Compendium 2024</t>
  </si>
  <si>
    <t>VERIFICADO</t>
  </si>
  <si>
    <t>Sin cambio</t>
  </si>
  <si>
    <t>09060</t>
  </si>
  <si>
    <t>Estudiar sentado</t>
  </si>
  <si>
    <t>ACTUALIZAR</t>
  </si>
  <si>
    <t>Cambio 2011→2024</t>
  </si>
  <si>
    <t>17133</t>
  </si>
  <si>
    <t>Subir escaleras · lento</t>
  </si>
  <si>
    <t>05140</t>
  </si>
  <si>
    <t>Barrer garaje/acera/exterior</t>
  </si>
  <si>
    <t>17190</t>
  </si>
  <si>
    <t>Caminar 4,5–5,5 km/h</t>
  </si>
  <si>
    <t>El código sí existe en 2024</t>
  </si>
  <si>
    <t>11210</t>
  </si>
  <si>
    <t>Ordeño manual / limpiar baldes · moderado</t>
  </si>
  <si>
    <t>CORREGIR DESCRIPCIÓN</t>
  </si>
  <si>
    <t>No corresponde a 'cargar objetos pesados'</t>
  </si>
  <si>
    <t>C13 · MOTOR MULTIFUENTE DE ACTIVIDAD FÍSICA · NMX-ACT-2024-v1</t>
  </si>
  <si>
    <t>Aplicación</t>
  </si>
  <si>
    <t>Fuente / justificación</t>
  </si>
  <si>
    <t>EQUIV_MET_ADULT</t>
  </si>
  <si>
    <t>19–59 · ambulante</t>
  </si>
  <si>
    <t>2024 Adult Compendium: 1 MET = 1 kcal/kg/h = 3,5 mL O₂/kg/min</t>
  </si>
  <si>
    <t>EQUIV_MET60</t>
  </si>
  <si>
    <t>≥60 · ambulante</t>
  </si>
  <si>
    <t>Compendium 2024: conversión documentada para MET60+; basal 2,7 mL O₂/kg/min</t>
  </si>
  <si>
    <t>EQUIV_METWC</t>
  </si>
  <si>
    <t>adulto usuario de silla de ruedas</t>
  </si>
  <si>
    <t>2024 Wheelchair Compendium: baseline METWC = 0,992 kcal/kg/h</t>
  </si>
  <si>
    <t>EDAD_MET_ADULT_MIN</t>
  </si>
  <si>
    <t>Adult Compendium</t>
  </si>
  <si>
    <t>Adult Compendium 2024: 19–59 años</t>
  </si>
  <si>
    <t>EDAD_MET_ADULT_MAX</t>
  </si>
  <si>
    <t>EDAD_MET60_MIN</t>
  </si>
  <si>
    <t>Older Adult Compendium</t>
  </si>
  <si>
    <t>Older Adult Compendium 2024: ≥60 años</t>
  </si>
  <si>
    <t>WC_OLDER_POLICY</t>
  </si>
  <si>
    <t>NO PAL automático</t>
  </si>
  <si>
    <t>silla de ruedas ≥60</t>
  </si>
  <si>
    <t>Evidencia predominante en adultos jóvenes; autores advierten cautela al extrapolar a mayores</t>
  </si>
  <si>
    <t>CATALOGOS</t>
  </si>
  <si>
    <t>ADULT / OLDER / WC</t>
  </si>
  <si>
    <t>todos</t>
  </si>
  <si>
    <t>Bases separadas; no mezclar MET, MET60+ y METWC</t>
  </si>
  <si>
    <t>NMX-PAL-2026-08-v1</t>
  </si>
  <si>
    <t>IMPLEMENTACIÓN PAL DEFINITIVA: selector práctico 1,40/1,50/1,60/1,70/1,80/2,00/2,20; rangos canónicos FAO separados; PAL 1,20 reservado a reposo/inmovilidad excepcional; 1,55 y 1,85 dejan de ser factores maestros; 1,69 y 2,40 quedan como límites. CALCULOS!B80 deja de depender de INDEX(FA_VAL,5) y usa PAL_VIGOROSO_MIN.</t>
  </si>
  <si>
    <t>Evitar atribuir puntos internos del rango como factores oficiales FAO y eliminar la dependencia por posición de la tabla.</t>
  </si>
  <si>
    <t>El caso de ejemplo pasa de PAL 1,85 a 1,80. Las pruebas globales B01/B03 se actualizan a 1,50/1,80; B02 conserva 1,85 por ser un PAL derivado continuo. Excel recalcula resultados dependientes al abrir.</t>
  </si>
  <si>
    <t>NMX-ACT-2024-v1</t>
  </si>
  <si>
    <t>P0/P1</t>
  </si>
  <si>
    <t>MOTOR DINÁMICO DE ACTIVIDAD FÍSICA 2024: 19–59 → Adult Compendium/MET; ≥60 ambulante → Older Adult/MET60+; adulto usuario de silla de ruedas → Wheelchair/METWC. Se crean bases separadas, selector dinámico, bloqueo a los 18 años para Compendium y revalidación al cambiar de población.</t>
  </si>
  <si>
    <t>Herrmann et al. 2024; Willis et al. 2024; Conger et al. 2024; Compendium oficial. Se corrigen 09060 1,3→1,5; 17133 4,0→4,5; 05140 4,0→3,0; 17190 3,5→3,8; se corrige 11210 (ordeño manual, no carga pesada).</t>
  </si>
  <si>
    <t>SÍ en el módulo de actividades y en el ejemplo de 24 h. Los motores GEB/PAL habitual/ETA permanecen sin cambios.</t>
  </si>
  <si>
    <t>DEFINITIVO 2026</t>
  </si>
  <si>
    <t>FINAL/P0</t>
  </si>
  <si>
    <t>Cierre NMX-01: motor auditable por edad/movilidad, revalidación dinámica y bloqueo TEE/PAL ante cambio de catálogo.</t>
  </si>
  <si>
    <t>FAO/WHO/UNU 2004 + Adult/Older Adult/Wheelchair Compendia 2024.</t>
  </si>
  <si>
    <t>Evita resultados espurios en 59→60 o Ambulante→Silla de ruedas; no altera ecuaciones GEB válidas.</t>
  </si>
  <si>
    <t>AUDITORIA · Registro de verificación · DEFINITIVO 2026</t>
  </si>
  <si>
    <t>5 · DICTAMEN FINAL · NMX-01 DEFINITIVO 2026</t>
  </si>
  <si>
    <t>Dimensión</t>
  </si>
  <si>
    <t>Evidencia / criterio</t>
  </si>
  <si>
    <t>Separación MET / MET60+ / METWC</t>
  </si>
  <si>
    <t>3 motores independientes</t>
  </si>
  <si>
    <t>CONFORME</t>
  </si>
  <si>
    <t>Adult 19–59 · Older ≥60 · Wheelchair</t>
  </si>
  <si>
    <t>Cambio 59→60</t>
  </si>
  <si>
    <t>Revalidación dinámica</t>
  </si>
  <si>
    <t>No reutiliza silenciosamente MET como MET60+</t>
  </si>
  <si>
    <t>Cambio de movilidad</t>
  </si>
  <si>
    <t>No convierte MET/MET60+ a METWC</t>
  </si>
  <si>
    <t>Registro 24 h</t>
  </si>
  <si>
    <t>Compuerta exacta</t>
  </si>
  <si>
    <t>TEE/PAL bloqueado si registro ≠24 h</t>
  </si>
  <si>
    <t>PAL habitual vs PAL 24 h</t>
  </si>
  <si>
    <t>Separados</t>
  </si>
  <si>
    <t>PAL derivado se etiqueta como estimado</t>
  </si>
  <si>
    <t>Wheelchair ≥60</t>
  </si>
  <si>
    <t>TEE/PAL automático bloqueado</t>
  </si>
  <si>
    <t>No se inventa METWC60+</t>
  </si>
  <si>
    <t>Validación clínica</t>
  </si>
  <si>
    <t>LIMITACIÓN DOCUMENTADA</t>
  </si>
  <si>
    <t>Herramienta académica</t>
  </si>
  <si>
    <t>Estado de cierre</t>
  </si>
  <si>
    <t>Auditoría post-export requerida</t>
  </si>
  <si>
    <t>CANDIDATO DEFINITIVO</t>
  </si>
  <si>
    <t>P0 debe quedar en 0</t>
  </si>
  <si>
    <t>NUTRIMETRÍA · BASE_MET_ADULT_2024 · catálogo verificado</t>
  </si>
  <si>
    <t>LISTA_ACT_NONE</t>
  </si>
  <si>
    <t>Actividad_lista</t>
  </si>
  <si>
    <t>Categoría</t>
  </si>
  <si>
    <t>Actividad_original</t>
  </si>
  <si>
    <t>Actividad_ES</t>
  </si>
  <si>
    <t>Edad_min</t>
  </si>
  <si>
    <t>Edad_max</t>
  </si>
  <si>
    <t>Estado_valor</t>
  </si>
  <si>
    <t>Fuente_corta</t>
  </si>
  <si>
    <t>DOI</t>
  </si>
  <si>
    <t>URL</t>
  </si>
  <si>
    <t>Nota_metodológica</t>
  </si>
  <si>
    <t>Estado_verificación</t>
  </si>
  <si>
    <t>(no disponible para esta edad/condición)</t>
  </si>
  <si>
    <t>Inactividad</t>
  </si>
  <si>
    <t>Sleeping</t>
  </si>
  <si>
    <t>Adultos 19–59 años, no discapacitados y sin condiciones que alteren EE/metabolismo</t>
  </si>
  <si>
    <t>VERIFICADO EN TABLA OFICIAL 2024; estatus medido/estimado no transcrito por el extractor web</t>
  </si>
  <si>
    <t>Herrmann SD et al. 2024 Adult Compendium of Physical Activities</t>
  </si>
  <si>
    <t>10.1016/j.jshs.2023.10.010</t>
  </si>
  <si>
    <t>https://pacompendium.com/inactivity/</t>
  </si>
  <si>
    <t>MET estándar: 1 MET = 1,000 kcal/kg/h = 3,5 mL O2/kg/min. Estimación poblacional; no es calorimetría individual.</t>
  </si>
  <si>
    <t>A · FUENTE OFICIAL/PRIMARIA</t>
  </si>
  <si>
    <t>07011</t>
  </si>
  <si>
    <t>Acostado despierto, tranquilo · [MET]</t>
  </si>
  <si>
    <t>Lying quietly, doing nothing, lying in bed awake, listening to music</t>
  </si>
  <si>
    <t>Acostado despierto, tranquilo</t>
  </si>
  <si>
    <t>07020</t>
  </si>
  <si>
    <t>Sit, watch television</t>
  </si>
  <si>
    <t>Ver televisión sentado</t>
  </si>
  <si>
    <t>07021</t>
  </si>
  <si>
    <t>Sentado tranquilamente, general · [MET]</t>
  </si>
  <si>
    <t>Sitting quietly, general</t>
  </si>
  <si>
    <t>Sentado tranquilamente, general</t>
  </si>
  <si>
    <t>07040</t>
  </si>
  <si>
    <t>De pie quieto / esperando · [MET]</t>
  </si>
  <si>
    <t>Standing quietly (standing in a line)</t>
  </si>
  <si>
    <t>De pie quieto / esperando</t>
  </si>
  <si>
    <t>09030</t>
  </si>
  <si>
    <t>Leer sentado · [MET]</t>
  </si>
  <si>
    <t>Estudio / misceláneas</t>
  </si>
  <si>
    <t>Sitting: reading, book, newspaper, magazine</t>
  </si>
  <si>
    <t>Leer sentado</t>
  </si>
  <si>
    <t>https://pacompendium.com/miscellaneous/</t>
  </si>
  <si>
    <t>09040</t>
  </si>
  <si>
    <t>Escribir o trabajo de escritorio sentado · [MET]</t>
  </si>
  <si>
    <t>Sitting: writing, desk work, typing</t>
  </si>
  <si>
    <t>Escribir o trabajo de escritorio sentado</t>
  </si>
  <si>
    <t>Sitting – studying, general, including reading and/or writing, light effort</t>
  </si>
  <si>
    <t>Estudiar sentado · lectura o escritura · esfuerzo ligero</t>
  </si>
  <si>
    <t>09065</t>
  </si>
  <si>
    <t>Estar en clases · tomar apuntes / discusión · [MET]</t>
  </si>
  <si>
    <t>Sitting – in class, general, including note-taking or class discussion</t>
  </si>
  <si>
    <t>Estar en clases · tomar apuntes / discusión</t>
  </si>
  <si>
    <t>09050</t>
  </si>
  <si>
    <t>De pie · conversar / teléfono / computador / escribir · [MET]</t>
  </si>
  <si>
    <t>Standing: talking in person, on the phone, computer, text messaging, writing</t>
  </si>
  <si>
    <t>De pie · conversar / teléfono / computador / escribir</t>
  </si>
  <si>
    <t>09055</t>
  </si>
  <si>
    <t>Sentado · conversar / teléfono / computador · ligero · [MET]</t>
  </si>
  <si>
    <t>Sitting: talking in person, on the phone, computer, or text messaging, light effort</t>
  </si>
  <si>
    <t>Sentado · conversar / teléfono / computador · ligero</t>
  </si>
  <si>
    <t>11580</t>
  </si>
  <si>
    <t>Trabajo</t>
  </si>
  <si>
    <t>Sitting tasks, light effort (e.g., office work, chemistry lab work, light assembly repair, watch repair, reading, desk work)</t>
  </si>
  <si>
    <t>Trabajo sentado ligero · oficina / laboratorio / escritorio</t>
  </si>
  <si>
    <t>https://pacompendium.com/occupation/</t>
  </si>
  <si>
    <t>11582</t>
  </si>
  <si>
    <t>Trabajo sentado frente al computador · [MET]</t>
  </si>
  <si>
    <t>Sitting, computer work</t>
  </si>
  <si>
    <t>Trabajo sentado frente al computador</t>
  </si>
  <si>
    <t>11583</t>
  </si>
  <si>
    <t>Trabajo de pie en computador / digitación · [MET]</t>
  </si>
  <si>
    <t>Standing workstation, typing, computer work</t>
  </si>
  <si>
    <t>Trabajo de pie en computador / digitación</t>
  </si>
  <si>
    <t>11600</t>
  </si>
  <si>
    <t>Trabajo de pie · esfuerzo ligero · [MET]</t>
  </si>
  <si>
    <t>Standing tasks, light effort</t>
  </si>
  <si>
    <t>Trabajo de pie · esfuerzo ligero</t>
  </si>
  <si>
    <t>11610</t>
  </si>
  <si>
    <t>Trabajo de pie ligero-moderado · empacar / reponer / reparar · [MET]</t>
  </si>
  <si>
    <t>Standing, light/moderate effort (e.g., assemble/repair heavy parts, welding, stocking parts, auto repair, packing boxes, nursing patient care, laundry)</t>
  </si>
  <si>
    <t>Trabajo de pie ligero-moderado · empacar / reponer / reparar</t>
  </si>
  <si>
    <t>11615</t>
  </si>
  <si>
    <t>De pie · levantar continuamente 4,5–9 kg · [MET]</t>
  </si>
  <si>
    <t>Standing, moderate effort, lifting items continuously, 10–20 lbs, with limited walking or resting</t>
  </si>
  <si>
    <t>De pie · levantar continuamente 4,5–9 kg</t>
  </si>
  <si>
    <t>11620</t>
  </si>
  <si>
    <t>De pie · levantamiento intermitente ~23 kg · [MET]</t>
  </si>
  <si>
    <t>Standing, moderate effort, intermittent lifting 50 lbs</t>
  </si>
  <si>
    <t>De pie · levantamiento intermitente ~23 kg</t>
  </si>
  <si>
    <t>11630</t>
  </si>
  <si>
    <t>Trabajo de pie moderado-pesado · levantar &gt;23 kg · [MET]</t>
  </si>
  <si>
    <t>Standing, moderate/heavy tasks (e.g., lifting more than 50 lbs, masonry, painting, paper hanging)</t>
  </si>
  <si>
    <t>Trabajo de pie moderado-pesado · levantar &gt;23 kg</t>
  </si>
  <si>
    <t>11475</t>
  </si>
  <si>
    <t>Trabajo manual general · ligero · [MET]</t>
  </si>
  <si>
    <t>Manual or unskilled labor, general, light effort</t>
  </si>
  <si>
    <t>Trabajo manual general · ligero</t>
  </si>
  <si>
    <t>11476</t>
  </si>
  <si>
    <t>Trabajo manual general · moderado · [MET]</t>
  </si>
  <si>
    <t>Manual or unskilled labor, general, moderate effort</t>
  </si>
  <si>
    <t>Trabajo manual general · moderado</t>
  </si>
  <si>
    <t>11477</t>
  </si>
  <si>
    <t>Trabajo manual general · vigoroso · [MET]</t>
  </si>
  <si>
    <t>Manual or unskilled labor, general, vigorous effort</t>
  </si>
  <si>
    <t>Trabajo manual general · vigoroso</t>
  </si>
  <si>
    <t>11766</t>
  </si>
  <si>
    <t>Camión · cargar/descargar · caminar y transportar cargas · [MET]</t>
  </si>
  <si>
    <t>Truck driving, loading and unloading truck, tying down load, standing, walking and carrying heavy loads</t>
  </si>
  <si>
    <t>Camión · cargar/descargar · caminar y transportar cargas</t>
  </si>
  <si>
    <t>11767</t>
  </si>
  <si>
    <t>Conducir camión / reparto / taxi / bus · [MET]</t>
  </si>
  <si>
    <t>Truck driving, delivery truck, taxi, shuttlebus, school bus</t>
  </si>
  <si>
    <t>Conducir camión / reparto / taxi / bus</t>
  </si>
  <si>
    <t>11590</t>
  </si>
  <si>
    <t>Trabajo sentado moderado · montacargas / maquinaria · [MET]</t>
  </si>
  <si>
    <t>Sitting tasks, moderate effort (e.g. pushing heavy levers, riding mower/forklift, crane operation)</t>
  </si>
  <si>
    <t>Trabajo sentado moderado · montacargas / maquinaria</t>
  </si>
  <si>
    <t>11486</t>
  </si>
  <si>
    <t>Reparto de correo caminando · [MET]</t>
  </si>
  <si>
    <t>Mail carrier, walking to deliver mail</t>
  </si>
  <si>
    <t>Reparto de correo caminando</t>
  </si>
  <si>
    <t>11120</t>
  </si>
  <si>
    <t>Construcción exterior / remodelación · [MET]</t>
  </si>
  <si>
    <t>Construction, outside, remodeling, new structures</t>
  </si>
  <si>
    <t>Construcción exterior / remodelación</t>
  </si>
  <si>
    <t>11126</t>
  </si>
  <si>
    <t>Aseo laboral · esfuerzo moderado · [MET]</t>
  </si>
  <si>
    <t>Custodial work, moderate effort</t>
  </si>
  <si>
    <t>Aseo laboral · esfuerzo moderado</t>
  </si>
  <si>
    <t>11375</t>
  </si>
  <si>
    <t>Recolección de basura / limpieza de calles · [MET]</t>
  </si>
  <si>
    <t>Garbage collector, walking, dumping bins into truck, street cleaning</t>
  </si>
  <si>
    <t>Recolección de basura / limpieza de calles</t>
  </si>
  <si>
    <t>05035</t>
  </si>
  <si>
    <t>Hogar</t>
  </si>
  <si>
    <t>Kitchen activity, general, cooking, washing dishes, cleaning up, moderate effort</t>
  </si>
  <si>
    <t>Cocina general · platos y limpieza · esfuerzo moderado</t>
  </si>
  <si>
    <t>https://pacompendium.com/home-activities/</t>
  </si>
  <si>
    <t>05041</t>
  </si>
  <si>
    <t>Lavar platos de pie · [MET]</t>
  </si>
  <si>
    <t>Wash dishes, standing or in general</t>
  </si>
  <si>
    <t>Lavar platos de pie</t>
  </si>
  <si>
    <t>05043</t>
  </si>
  <si>
    <t>Aspirar · esfuerzo moderado · [MET]</t>
  </si>
  <si>
    <t>Vacuuming, general, moderate effort</t>
  </si>
  <si>
    <t>Aspirar · esfuerzo moderado</t>
  </si>
  <si>
    <t>05050</t>
  </si>
  <si>
    <t>Cocinar / preparar alimentos · ligero · [MET]</t>
  </si>
  <si>
    <t>Cooking or food preparation, standing or sitting, light effort</t>
  </si>
  <si>
    <t>Cocinar / preparar alimentos · ligero</t>
  </si>
  <si>
    <t>05054</t>
  </si>
  <si>
    <t>Transportar compras caminando en plano · [MET]</t>
  </si>
  <si>
    <t>carrying groceries, on level ground, walking</t>
  </si>
  <si>
    <t>Transportar compras caminando en plano</t>
  </si>
  <si>
    <t>05056</t>
  </si>
  <si>
    <t>Transportar compras subiendo escaleras · [MET]</t>
  </si>
  <si>
    <t>Carrying groceries upstairs</t>
  </si>
  <si>
    <t>Transportar compras subiendo escaleras</t>
  </si>
  <si>
    <t>05060</t>
  </si>
  <si>
    <t>Comprar alimentos · con/sin carro · [MET]</t>
  </si>
  <si>
    <t>Food shopping with or without a grocery cart; standing or walking</t>
  </si>
  <si>
    <t>Comprar alimentos · con/sin carro</t>
  </si>
  <si>
    <t>05070</t>
  </si>
  <si>
    <t>Planchar · [MET]</t>
  </si>
  <si>
    <t>Ironing</t>
  </si>
  <si>
    <t>Planchar</t>
  </si>
  <si>
    <t>05090</t>
  </si>
  <si>
    <t>Lavandería / doblar / colgar ropa · ligero · [MET]</t>
  </si>
  <si>
    <t>Laundry, fold or hang clothes, put clothes in washer or dryer, light effort</t>
  </si>
  <si>
    <t>Lavandería / doblar / colgar ropa · ligero</t>
  </si>
  <si>
    <t>05100</t>
  </si>
  <si>
    <t>Hacer la cama / cambiar sábanas · [MET]</t>
  </si>
  <si>
    <t>Making bed, changing linens</t>
  </si>
  <si>
    <t>Hacer la cama / cambiar sábanas</t>
  </si>
  <si>
    <t>05120</t>
  </si>
  <si>
    <t>Mover muebles / objetos / cajas · [MET]</t>
  </si>
  <si>
    <t>Moving furniture, household items, carrying boxes</t>
  </si>
  <si>
    <t>Mover muebles / objetos / cajas</t>
  </si>
  <si>
    <t>Sweeping garage, sidewalk, or outside house</t>
  </si>
  <si>
    <t>Barrer garaje, acera o exterior de la casa</t>
  </si>
  <si>
    <t>05146</t>
  </si>
  <si>
    <t>Empacar/desempacar cajas de pie · carga ligera ocasional · [MET]</t>
  </si>
  <si>
    <t>Standing, packing/unpacking boxes, occasional lifting lightweight household items</t>
  </si>
  <si>
    <t>Empacar/desempacar cajas de pie · carga ligera ocasional</t>
  </si>
  <si>
    <t>05160</t>
  </si>
  <si>
    <t>Tareas ligeras de pie en el hogar · [MET]</t>
  </si>
  <si>
    <t>Standing, light effort tasks</t>
  </si>
  <si>
    <t>Tareas ligeras de pie en el hogar</t>
  </si>
  <si>
    <t>17070</t>
  </si>
  <si>
    <t>Bajar escaleras · [MET]</t>
  </si>
  <si>
    <t>Caminata / escaleras</t>
  </si>
  <si>
    <t>Descending stairs</t>
  </si>
  <si>
    <t>Bajar escaleras</t>
  </si>
  <si>
    <t>https://pacompendium.com/walking/</t>
  </si>
  <si>
    <t>17131</t>
  </si>
  <si>
    <t>Subir escaleras · general · [MET]</t>
  </si>
  <si>
    <t>Stair climbing, general</t>
  </si>
  <si>
    <t>Subir escaleras · general</t>
  </si>
  <si>
    <t>Stair climbing, slow pace</t>
  </si>
  <si>
    <t>Subir escaleras · ritmo lento</t>
  </si>
  <si>
    <t>17134</t>
  </si>
  <si>
    <t>Subir escaleras · rápido · [MET]</t>
  </si>
  <si>
    <t>Stair climbing, fast pace, one step at a time</t>
  </si>
  <si>
    <t>Subir escaleras · rápido</t>
  </si>
  <si>
    <t>17151</t>
  </si>
  <si>
    <t>Caminar &lt;3,2 km/h · muy lento · [MET]</t>
  </si>
  <si>
    <t>Caminata</t>
  </si>
  <si>
    <t>Walking, less than 2.0 mph, level, strolling, very slow</t>
  </si>
  <si>
    <t>Caminar &lt;3,2 km/h · muy lento</t>
  </si>
  <si>
    <t>17152</t>
  </si>
  <si>
    <t>Caminar 3,2–3,9 km/h · lento · [MET]</t>
  </si>
  <si>
    <t>Walking, 2.0 to 2.4 mph, level, slow pace, firm surface</t>
  </si>
  <si>
    <t>Caminar 3,2–3,9 km/h · lento</t>
  </si>
  <si>
    <t>17160</t>
  </si>
  <si>
    <t>Caminar por placer · [MET]</t>
  </si>
  <si>
    <t>Walking for pleasure</t>
  </si>
  <si>
    <t>Caminar por placer</t>
  </si>
  <si>
    <t>17161</t>
  </si>
  <si>
    <t>Caminar entre casa, vehículo, bus o trabajo · [MET]</t>
  </si>
  <si>
    <t>Walking from house to car or bus, from car or bus to go places, from car or bus to/from worksite</t>
  </si>
  <si>
    <t>Caminar entre casa, vehículo, bus o trabajo</t>
  </si>
  <si>
    <t>17165</t>
  </si>
  <si>
    <t>Pasear al perro · [MET]</t>
  </si>
  <si>
    <t>Walking the dog</t>
  </si>
  <si>
    <t>Pasear al perro</t>
  </si>
  <si>
    <t>17170</t>
  </si>
  <si>
    <t>Caminar aprox. 4,0 km/h · llano · [MET]</t>
  </si>
  <si>
    <t>Walking, 2.5 mph, firm, level surface</t>
  </si>
  <si>
    <t>Caminar aprox. 4,0 km/h · llano</t>
  </si>
  <si>
    <t>Walking, 2.8 to 3.4 mph, level, moderate pace, firm surface</t>
  </si>
  <si>
    <t>Caminar 4,5–5,5 km/h · moderado</t>
  </si>
  <si>
    <t>17200</t>
  </si>
  <si>
    <t>Caminar 5,6–6,3 km/h · rápido · [MET]</t>
  </si>
  <si>
    <t>Walking, 3.5 to 3.9 mph, level, brisk, firm surface</t>
  </si>
  <si>
    <t>Caminar 5,6–6,3 km/h · rápido</t>
  </si>
  <si>
    <t>17220</t>
  </si>
  <si>
    <t>Caminar 6,4–7,1 km/h · muy rápido · [MET]</t>
  </si>
  <si>
    <t>Walking, 4.0 to 4.4 mph, level, firm surface, very brisk pace</t>
  </si>
  <si>
    <t>Caminar 6,4–7,1 km/h · muy rápido</t>
  </si>
  <si>
    <t>17270</t>
  </si>
  <si>
    <t>Caminar al trabajo o a clases · [MET]</t>
  </si>
  <si>
    <t>Walking, to work or class</t>
  </si>
  <si>
    <t>Caminar al trabajo o a clases</t>
  </si>
  <si>
    <t>17034</t>
  </si>
  <si>
    <t>Subir pendiente 1–5% · moderado-rápido · [MET]</t>
  </si>
  <si>
    <t>Caminata con pendiente</t>
  </si>
  <si>
    <t>Climbing hills, no load, 1 to 5% grade, moderate-to-brisk pace</t>
  </si>
  <si>
    <t>Subir pendiente 1–5% · moderado-rápido</t>
  </si>
  <si>
    <t>17035</t>
  </si>
  <si>
    <t>Subir pendiente 6–10% · moderado-rápido · [MET]</t>
  </si>
  <si>
    <t>Climbing hills, no load, 6 to 10% grade, moderate-to-brisk pace</t>
  </si>
  <si>
    <t>Subir pendiente 6–10% · moderado-rápido</t>
  </si>
  <si>
    <t>17036</t>
  </si>
  <si>
    <t>Subir pendiente 11–20% · lento-moderado · [MET]</t>
  </si>
  <si>
    <t>Climbing hills, no load, 11 to 20% grade, slow-to-moderate pace</t>
  </si>
  <si>
    <t>Subir pendiente 11–20% · lento-moderado</t>
  </si>
  <si>
    <t>17349</t>
  </si>
  <si>
    <t>Trotadora 3,2–3,9 km/h · 0% · [MET]</t>
  </si>
  <si>
    <t>Trotadora</t>
  </si>
  <si>
    <t>Walking, treadmill, 2.0 to 2.4 mph, 0% grade</t>
  </si>
  <si>
    <t>Trotadora 3,2–3,9 km/h · 0%</t>
  </si>
  <si>
    <t>17352</t>
  </si>
  <si>
    <t>Trotadora 4,0–4,7 km/h · 0% · [MET]</t>
  </si>
  <si>
    <t>Walking, treadmill, 2.5 to 2.9 mph, 0% grade</t>
  </si>
  <si>
    <t>Trotadora 4,0–4,7 km/h · 0%</t>
  </si>
  <si>
    <t>17355</t>
  </si>
  <si>
    <t>Trotadora 4,8–5,5 km/h · 0% · [MET]</t>
  </si>
  <si>
    <t>Walking, treadmill, 3.0 to 3.4 mph, 0% grade</t>
  </si>
  <si>
    <t>Trotadora 4,8–5,5 km/h · 0%</t>
  </si>
  <si>
    <t>17358</t>
  </si>
  <si>
    <t>Trotadora 5,6–6,3 km/h · 0% · [MET]</t>
  </si>
  <si>
    <t>Walking, treadmill, 3.5 to 3.9 mph, 0% grade</t>
  </si>
  <si>
    <t>Trotadora 5,6–6,3 km/h · 0%</t>
  </si>
  <si>
    <t>17361</t>
  </si>
  <si>
    <t>Trotadora 6,4–7,1 km/h · 0% · [MET]</t>
  </si>
  <si>
    <t>Walking, treadmill, 4.0 to 4.4 mph, 0% grade</t>
  </si>
  <si>
    <t>Trotadora 6,4–7,1 km/h · 0%</t>
  </si>
  <si>
    <t>02024</t>
  </si>
  <si>
    <t>Calistenia ligera · abdominales / plancha · [MET]</t>
  </si>
  <si>
    <t>Ejercicio</t>
  </si>
  <si>
    <t>Calisthenics, light effort</t>
  </si>
  <si>
    <t>Calistenia ligera · abdominales / plancha</t>
  </si>
  <si>
    <t>https://pacompendium.com/conditioning-exercise/</t>
  </si>
  <si>
    <t>02022</t>
  </si>
  <si>
    <t>Calistenia · esfuerzo moderado · [MET]</t>
  </si>
  <si>
    <t>Calisthenics, moderate effort</t>
  </si>
  <si>
    <t>Calistenia · esfuerzo moderado</t>
  </si>
  <si>
    <t>02020</t>
  </si>
  <si>
    <t>Calistenia · esfuerzo vigoroso · [MET]</t>
  </si>
  <si>
    <t>Calisthenics, vigorous effort</t>
  </si>
  <si>
    <t>Calistenia · esfuerzo vigoroso</t>
  </si>
  <si>
    <t>02035</t>
  </si>
  <si>
    <t>Entrenamiento en circuito · moderado · [MET]</t>
  </si>
  <si>
    <t>Circuit training, moderate effort</t>
  </si>
  <si>
    <t>Entrenamiento en circuito · moderado</t>
  </si>
  <si>
    <t>02040</t>
  </si>
  <si>
    <t>Circuito vigoroso · pesas / descanso mínimo · [MET]</t>
  </si>
  <si>
    <t>Circuit training, including kettlebells, aerobic movement with minimal rest, vigorous intensity</t>
  </si>
  <si>
    <t>Circuito vigoroso · pesas / descanso mínimo</t>
  </si>
  <si>
    <t>02050</t>
  </si>
  <si>
    <t>Pesas / powerlifting / bodybuilding · vigoroso · [MET]</t>
  </si>
  <si>
    <t>Resistance weight lifting, power lifting or body building, vigorous effort</t>
  </si>
  <si>
    <t>Pesas / powerlifting / bodybuilding · vigoroso</t>
  </si>
  <si>
    <t>02052</t>
  </si>
  <si>
    <t>Pesas · sentadilla/peso muerto · lento o explosivo · [MET]</t>
  </si>
  <si>
    <t>Resistance training, squats, deadlift, slow or explosive effort</t>
  </si>
  <si>
    <t>Pesas · sentadilla/peso muerto · lento o explosivo</t>
  </si>
  <si>
    <t>02054</t>
  </si>
  <si>
    <t>Resistance training, multiple exercises, 8-15 reps at varied resistance</t>
  </si>
  <si>
    <t>Pesas · varios ejercicios · 8–15 repeticiones</t>
  </si>
  <si>
    <t>02060</t>
  </si>
  <si>
    <t>Ejercicio general en gimnasio · [MET]</t>
  </si>
  <si>
    <t>Health club exercise, general</t>
  </si>
  <si>
    <t>Ejercicio general en gimnasio</t>
  </si>
  <si>
    <t>02061</t>
  </si>
  <si>
    <t>Gimnasio + pesas combinados en una visita · [MET]</t>
  </si>
  <si>
    <t>Health club exercise classes, general, gym/weight training combined in one visit</t>
  </si>
  <si>
    <t>Gimnasio + pesas combinados en una visita</t>
  </si>
  <si>
    <t>02048</t>
  </si>
  <si>
    <t>Elíptica · esfuerzo moderado · [MET]</t>
  </si>
  <si>
    <t>Elliptical trainer, moderate effort</t>
  </si>
  <si>
    <t>Elíptica · esfuerzo moderado</t>
  </si>
  <si>
    <t>02210</t>
  </si>
  <si>
    <t>HIIT · esfuerzo moderado · [MET]</t>
  </si>
  <si>
    <t>High intensity interval exercise, moderate effort</t>
  </si>
  <si>
    <t>HIIT · esfuerzo moderado</t>
  </si>
  <si>
    <t>02214</t>
  </si>
  <si>
    <t>HIIT / Tabata / burpees · vigoroso · [MET]</t>
  </si>
  <si>
    <t>High intensity interval exercise, burpees, mountain climbers, squat jumps, Tabata, vigorous effort</t>
  </si>
  <si>
    <t>HIIT / Tabata / burpees · vigoroso</t>
  </si>
  <si>
    <t>16010</t>
  </si>
  <si>
    <t>Conducir automóvil o camioneta ligera · [MET]</t>
  </si>
  <si>
    <t>Transporte</t>
  </si>
  <si>
    <t>Automobile or light truck driving</t>
  </si>
  <si>
    <t>Conducir automóvil o camioneta ligera</t>
  </si>
  <si>
    <t>https://pacompendium.com/transportation/</t>
  </si>
  <si>
    <t>16015</t>
  </si>
  <si>
    <t>Viajar como pasajero en auto/camión · [MET]</t>
  </si>
  <si>
    <t>Riding in a car or truck</t>
  </si>
  <si>
    <t>Viajar como pasajero en auto/camión</t>
  </si>
  <si>
    <t>16016</t>
  </si>
  <si>
    <t>Viajar sentado en bus o tren · [MET]</t>
  </si>
  <si>
    <t>Riding in a bus or train</t>
  </si>
  <si>
    <t>Viajar sentado en bus o tren</t>
  </si>
  <si>
    <t>16050</t>
  </si>
  <si>
    <t>Conducir camión pesado / tractor / bus · [MET]</t>
  </si>
  <si>
    <t>Truck, semi, tractor, ≥1 ton, or bus, driving</t>
  </si>
  <si>
    <t>Conducir camión pesado / tractor / bus</t>
  </si>
  <si>
    <t>16060</t>
  </si>
  <si>
    <t>Caminar como transporte · 4,5–5,1 km/h · [MET]</t>
  </si>
  <si>
    <t>Walking for transportation, 2.8-3.2 mph, level, moderate pace, firm surface</t>
  </si>
  <si>
    <t>Caminar como transporte · 4,5–5,1 km/h</t>
  </si>
  <si>
    <t>16002</t>
  </si>
  <si>
    <t>Bicicleta como transporte · esfuerzo moderado · [MET]</t>
  </si>
  <si>
    <t>Bicycling for transportation, moderate effort</t>
  </si>
  <si>
    <t>Bicicleta como transporte · esfuerzo moderado</t>
  </si>
  <si>
    <t>16005</t>
  </si>
  <si>
    <t>Bicicleta eléctrica como transporte · [MET]</t>
  </si>
  <si>
    <t>E-bike, electrically assisted, for transportation</t>
  </si>
  <si>
    <t>Bicicleta eléctrica como transporte</t>
  </si>
  <si>
    <t>12010</t>
  </si>
  <si>
    <t>Alternar trote y caminata · [MET]</t>
  </si>
  <si>
    <t>Carrera</t>
  </si>
  <si>
    <t>Jog/walk combination</t>
  </si>
  <si>
    <t>Alternar trote y caminata</t>
  </si>
  <si>
    <t>https://pacompendium.com/running/</t>
  </si>
  <si>
    <t>12020</t>
  </si>
  <si>
    <t>Trote general · ritmo autoelegido · [MET]</t>
  </si>
  <si>
    <t>Jogging, general, self-selected pace</t>
  </si>
  <si>
    <t>Trote general · ritmo autoelegido</t>
  </si>
  <si>
    <t>12028</t>
  </si>
  <si>
    <t>Correr 6,4–6,8 km/h · [MET]</t>
  </si>
  <si>
    <t>Running, 4 to 4.2 mph</t>
  </si>
  <si>
    <t>Correr 6,4–6,8 km/h</t>
  </si>
  <si>
    <t>12030</t>
  </si>
  <si>
    <t>Correr 8,0–8,4 km/h · [MET]</t>
  </si>
  <si>
    <t>Running, 5.0 to 5.2 mph</t>
  </si>
  <si>
    <t>Correr 8,0–8,4 km/h</t>
  </si>
  <si>
    <t>12050</t>
  </si>
  <si>
    <t>Correr 9,7–10,1 km/h · [MET]</t>
  </si>
  <si>
    <t>Running, 6-6.3 mph</t>
  </si>
  <si>
    <t>Correr 9,7–10,1 km/h</t>
  </si>
  <si>
    <t>12070</t>
  </si>
  <si>
    <t>Correr ~11,3 km/h · [MET]</t>
  </si>
  <si>
    <t>Running, 7 mph</t>
  </si>
  <si>
    <t>Correr ~11,3 km/h</t>
  </si>
  <si>
    <t>00000</t>
  </si>
  <si>
    <t>Sin actividad</t>
  </si>
  <si>
    <t>No activity selected</t>
  </si>
  <si>
    <t>(sin actividad)</t>
  </si>
  <si>
    <t>https://pacompendium.com/adult-compendium/</t>
  </si>
  <si>
    <t>NUTRIMETRÍA · BASE_MET_OLDER_2024 · catálogo verificado</t>
  </si>
  <si>
    <t>0101060</t>
  </si>
  <si>
    <t>Bicicleta estática · general · moderado · [MET60+]</t>
  </si>
  <si>
    <t>Bicicleta</t>
  </si>
  <si>
    <t>Bicycling, stationary, general, moderate effort</t>
  </si>
  <si>
    <t>Bicicleta estática · general · moderado</t>
  </si>
  <si>
    <t>Willis EA et al. Older Adult Compendium of Physical Activities (2024)</t>
  </si>
  <si>
    <t>10.1016/j.jshs.2023.10.007</t>
  </si>
  <si>
    <t>https://pacompendium.com/older-adult-compendium/</t>
  </si>
  <si>
    <t>MET60+ usa una referencia de 2,7 mL O2/kg/min; conversión documentada: 0,810 kcal/kg/h.</t>
  </si>
  <si>
    <t>0101160</t>
  </si>
  <si>
    <t>Bicicleta estática 30–50 W · moderado · [MET60+]</t>
  </si>
  <si>
    <t>Bicycling, stationary, 30-50 watts, moderate effort</t>
  </si>
  <si>
    <t>Bicicleta estática 30–50 W · moderado</t>
  </si>
  <si>
    <t>0101760</t>
  </si>
  <si>
    <t>Bicicleta estática 51–89 W · moderado-vigoroso · [MET60+]</t>
  </si>
  <si>
    <t>Bicycling, stationary, 51-89 watts, moderate-to-vigorous effort</t>
  </si>
  <si>
    <t>Bicicleta estática 51–89 W · moderado-vigoroso</t>
  </si>
  <si>
    <t>0202260</t>
  </si>
  <si>
    <t>Calistenia · moderado · [MET60+]</t>
  </si>
  <si>
    <t>Calistenia · moderado</t>
  </si>
  <si>
    <t>0203560</t>
  </si>
  <si>
    <t>Circuito · tipo Parcour · moderado · [MET60+]</t>
  </si>
  <si>
    <t>Circuit training, Parcour-type, moderate effort</t>
  </si>
  <si>
    <t>Circuito · tipo Parcour · moderado</t>
  </si>
  <si>
    <t>0204760</t>
  </si>
  <si>
    <t>Elíptica · ligero · [MET60+]</t>
  </si>
  <si>
    <t>Elliptical trainer, light effort</t>
  </si>
  <si>
    <t>Elíptica · ligero</t>
  </si>
  <si>
    <t>0205160</t>
  </si>
  <si>
    <t>Pesas · sentadillas · ligero · [MET60+]</t>
  </si>
  <si>
    <t>Resistance training, squats, light effort</t>
  </si>
  <si>
    <t>Pesas · sentadillas · ligero</t>
  </si>
  <si>
    <t>0205360</t>
  </si>
  <si>
    <t>Entrenamiento de resistencia general · ligero · [MET60+]</t>
  </si>
  <si>
    <t>Resistance Training, general, light effort</t>
  </si>
  <si>
    <t>Entrenamiento de resistencia general · ligero</t>
  </si>
  <si>
    <t>0205460</t>
  </si>
  <si>
    <t>Pesas · varios ejercicios · 8–15 repeticiones · [MET60+]</t>
  </si>
  <si>
    <t>Resistance training, multiple exercises, 8-15 repetitions at varied resistance</t>
  </si>
  <si>
    <t>0206260</t>
  </si>
  <si>
    <t>Clases de acondicionamiento / gimnasio · [MET60+]</t>
  </si>
  <si>
    <t>Health club exercise, conditioning classes</t>
  </si>
  <si>
    <t>Clases de acondicionamiento / gimnasio</t>
  </si>
  <si>
    <t>0206360</t>
  </si>
  <si>
    <t>Clases de acondicionamiento en silla · [MET60+]</t>
  </si>
  <si>
    <t>Health club exercise, conditioning classes, chair-based</t>
  </si>
  <si>
    <t>Clases de acondicionamiento en silla</t>
  </si>
  <si>
    <t>0211360</t>
  </si>
  <si>
    <t>Fitball / ejercicio terapéutico / silla · [MET60+]</t>
  </si>
  <si>
    <t>Therapeutic exercise ball, Fitball exercise, chair exercise</t>
  </si>
  <si>
    <t>Fitball / ejercicio terapéutico / silla</t>
  </si>
  <si>
    <t>0219060</t>
  </si>
  <si>
    <t>Yoga general · [MET60+]</t>
  </si>
  <si>
    <t>Yoga, general</t>
  </si>
  <si>
    <t>Yoga general</t>
  </si>
  <si>
    <t>0219160</t>
  </si>
  <si>
    <t>Yoga en silla · [MET60+]</t>
  </si>
  <si>
    <t>Yoga, chair, general</t>
  </si>
  <si>
    <t>Yoga en silla</t>
  </si>
  <si>
    <t>0221060</t>
  </si>
  <si>
    <t>Tai Chi general · [MET60+]</t>
  </si>
  <si>
    <t>Tai Chi, general</t>
  </si>
  <si>
    <t>Tai Chi general</t>
  </si>
  <si>
    <t>0221160</t>
  </si>
  <si>
    <t>Tai Chi en silla · [MET60+]</t>
  </si>
  <si>
    <t>Tai Chi, chair, general</t>
  </si>
  <si>
    <t>Tai Chi en silla</t>
  </si>
  <si>
    <t>0303060</t>
  </si>
  <si>
    <t>Baile de salón · tango / vals lento / foxtrot · [MET60+]</t>
  </si>
  <si>
    <t>Danza</t>
  </si>
  <si>
    <t>Ballroom Dance (tango, slow waltz, foxtrot)</t>
  </si>
  <si>
    <t>Baile de salón · tango / vals lento / foxtrot</t>
  </si>
  <si>
    <t>0303160</t>
  </si>
  <si>
    <t>Clase de baile · general · [MET60+]</t>
  </si>
  <si>
    <t>Dance class, General</t>
  </si>
  <si>
    <t>Clase de baile · general</t>
  </si>
  <si>
    <t>0501060</t>
  </si>
  <si>
    <t>Barrer alfombras o pisos · general · [MET60+]</t>
  </si>
  <si>
    <t>Cleaning, sweeping carpet or floors, general</t>
  </si>
  <si>
    <t>Barrer alfombras o pisos · general</t>
  </si>
  <si>
    <t>0502160</t>
  </si>
  <si>
    <t>Trapear de pie · moderado · [MET60+]</t>
  </si>
  <si>
    <t>Cleaning, mopping, standing, Moderate effort</t>
  </si>
  <si>
    <t>Trapear de pie · moderado</t>
  </si>
  <si>
    <t>0502260</t>
  </si>
  <si>
    <t>Limpiar ventanas · [MET60+]</t>
  </si>
  <si>
    <t>Cleaning windows, washing windows, general</t>
  </si>
  <si>
    <t>Limpiar ventanas</t>
  </si>
  <si>
    <t>0502360</t>
  </si>
  <si>
    <t>Trapear de pie · ligero · [MET60+]</t>
  </si>
  <si>
    <t>Cleaning, mopping, standing, light effort</t>
  </si>
  <si>
    <t>Trapear de pie · ligero</t>
  </si>
  <si>
    <t>0503260</t>
  </si>
  <si>
    <t>Quitar polvo / pulir muebles · [MET60+]</t>
  </si>
  <si>
    <t>Dusting or polishing furniture, general</t>
  </si>
  <si>
    <t>Quitar polvo / pulir muebles</t>
  </si>
  <si>
    <t>0504060</t>
  </si>
  <si>
    <t>Limpieza / sacar basura · [MET60+]</t>
  </si>
  <si>
    <t>Cleaning, carrying out trash</t>
  </si>
  <si>
    <t>Limpieza / sacar basura</t>
  </si>
  <si>
    <t>0504160</t>
  </si>
  <si>
    <t>Lavar platos de pie · [MET60+]</t>
  </si>
  <si>
    <t>0504360</t>
  </si>
  <si>
    <t>Aspirar · moderado · [MET60+]</t>
  </si>
  <si>
    <t>Cleaning, vacuuming, general, moderate effort</t>
  </si>
  <si>
    <t>Aspirar · moderado</t>
  </si>
  <si>
    <t>0505160</t>
  </si>
  <si>
    <t>Cocinar / servir / poner mesa · [MET60+]</t>
  </si>
  <si>
    <t>Cooking, serving food, setting table, implied walking or standing</t>
  </si>
  <si>
    <t>Cocinar / servir / poner mesa</t>
  </si>
  <si>
    <t>0505560</t>
  </si>
  <si>
    <t>Guardar compras o vajilla · [MET60+]</t>
  </si>
  <si>
    <t>Putting away groceries/dishes</t>
  </si>
  <si>
    <t>Guardar compras o vajilla</t>
  </si>
  <si>
    <t>0506060</t>
  </si>
  <si>
    <t>Comprar alimentos · de pie/caminando · [MET60+]</t>
  </si>
  <si>
    <t>Food shopping with or without a grocery cart</t>
  </si>
  <si>
    <t>Comprar alimentos · de pie/caminando</t>
  </si>
  <si>
    <t>0507060</t>
  </si>
  <si>
    <t>Planchar · [MET60+]</t>
  </si>
  <si>
    <t>0509060</t>
  </si>
  <si>
    <t>Lavandería · ligero · [MET60+]</t>
  </si>
  <si>
    <t>Laundry, fold/hang clothes, washer/dryer, light effort</t>
  </si>
  <si>
    <t>Lavandería · ligero</t>
  </si>
  <si>
    <t>0509260</t>
  </si>
  <si>
    <t>Lavandería / colgar ropa · moderado · [MET60+]</t>
  </si>
  <si>
    <t>Laundry, hanging wash, washing clothes by hand, moderate effort</t>
  </si>
  <si>
    <t>Lavandería / colgar ropa · moderado</t>
  </si>
  <si>
    <t>0510060</t>
  </si>
  <si>
    <t>Hacer cama / cambiar sábanas · [MET60+]</t>
  </si>
  <si>
    <t>Hacer cama / cambiar sábanas</t>
  </si>
  <si>
    <t>0512060</t>
  </si>
  <si>
    <t>Mover muebles / objetos / cajas · [MET60+]</t>
  </si>
  <si>
    <t>0612760</t>
  </si>
  <si>
    <t>Reparaciones domésticas · moderado · [MET60+]</t>
  </si>
  <si>
    <t>Hogar / reparación</t>
  </si>
  <si>
    <t>Home repair, general, moderate effort</t>
  </si>
  <si>
    <t>Reparaciones domésticas · moderado</t>
  </si>
  <si>
    <t>0701060</t>
  </si>
  <si>
    <t>Acostado tranquilamente viendo TV · [MET60+]</t>
  </si>
  <si>
    <t>Lying quietly and watching television</t>
  </si>
  <si>
    <t>Acostado tranquilamente viendo TV</t>
  </si>
  <si>
    <t>0701160</t>
  </si>
  <si>
    <t>Acostado despierto, sin actividad · [MET60+]</t>
  </si>
  <si>
    <t>Lying quietly, doing nothing, lying in bed awake</t>
  </si>
  <si>
    <t>Acostado despierto, sin actividad</t>
  </si>
  <si>
    <t>0702060</t>
  </si>
  <si>
    <t>Sentado tranquilamente viendo TV · [MET60+]</t>
  </si>
  <si>
    <t>Sitting quietly and watching television</t>
  </si>
  <si>
    <t>Sentado tranquilamente viendo TV</t>
  </si>
  <si>
    <t>0702160</t>
  </si>
  <si>
    <t>Sentado tranquilamente · general · [MET60+]</t>
  </si>
  <si>
    <t>Sentado tranquilamente · general</t>
  </si>
  <si>
    <t>0704060</t>
  </si>
  <si>
    <t>De pie quieto / esperando · [MET60+]</t>
  </si>
  <si>
    <t>Standing quietly, standing in a line</t>
  </si>
  <si>
    <t>0805060</t>
  </si>
  <si>
    <t>Cavar / compostar · moderado · [MET60+]</t>
  </si>
  <si>
    <t>Jardín</t>
  </si>
  <si>
    <t>Digging, spading, filling garden, composting, moderate effort</t>
  </si>
  <si>
    <t>Cavar / compostar · moderado</t>
  </si>
  <si>
    <t>0806560</t>
  </si>
  <si>
    <t>Jardinería · mezclar tierra · [MET60+]</t>
  </si>
  <si>
    <t>Gardening, mixing soil</t>
  </si>
  <si>
    <t>Jardinería · mezclar tierra</t>
  </si>
  <si>
    <t>0809160</t>
  </si>
  <si>
    <t>Colocar mulch / acolchado · [MET60+]</t>
  </si>
  <si>
    <t>Laying mulch</t>
  </si>
  <si>
    <t>Colocar mulch / acolchado</t>
  </si>
  <si>
    <t>0809560</t>
  </si>
  <si>
    <t>Cortar césped · general · [MET60+]</t>
  </si>
  <si>
    <t>Mowing lawn, general</t>
  </si>
  <si>
    <t>Cortar césped · general</t>
  </si>
  <si>
    <t>0813560</t>
  </si>
  <si>
    <t>Plantar / trasplantar · ligero-moderado · [MET60+]</t>
  </si>
  <si>
    <t>Planting, potting, transplanting seedlings or plants, light-moderate effort</t>
  </si>
  <si>
    <t>Plantar / trasplantar · ligero-moderado</t>
  </si>
  <si>
    <t>0816060</t>
  </si>
  <si>
    <t>Rastrillar hojas · moderado · [MET60+]</t>
  </si>
  <si>
    <t>Raking lawn or leaves, moderate effort</t>
  </si>
  <si>
    <t>Rastrillar hojas · moderado</t>
  </si>
  <si>
    <t>0821560</t>
  </si>
  <si>
    <t>Podar con herramienta eléctrica / soplador · moderado · [MET60+]</t>
  </si>
  <si>
    <t>Trimming shrubs or trees, power cutter, leaf blower, moderate effort</t>
  </si>
  <si>
    <t>Podar con herramienta eléctrica / soplador · moderado</t>
  </si>
  <si>
    <t>0823060</t>
  </si>
  <si>
    <t>Regar jardín · de pie/caminando · [MET60+]</t>
  </si>
  <si>
    <t>Watering lawn or garden, standing or walking</t>
  </si>
  <si>
    <t>Regar jardín · de pie/caminando</t>
  </si>
  <si>
    <t>0823960</t>
  </si>
  <si>
    <t>Desmalezar / cultivar · ligero-moderado · [MET60+]</t>
  </si>
  <si>
    <t>Weeding, cultivating garden, light-to-moderate effort</t>
  </si>
  <si>
    <t>Desmalezar / cultivar · ligero-moderado</t>
  </si>
  <si>
    <t>0826160</t>
  </si>
  <si>
    <t>Trabajo de patio · general · moderado · [MET60+]</t>
  </si>
  <si>
    <t>Yard work, general, moderate effort</t>
  </si>
  <si>
    <t>Trabajo de patio · general · moderado</t>
  </si>
  <si>
    <t>0901060</t>
  </si>
  <si>
    <t>Jugar cartas sentado · [MET60+]</t>
  </si>
  <si>
    <t>Misceláneas</t>
  </si>
  <si>
    <t>Card playing, sitting</t>
  </si>
  <si>
    <t>Jugar cartas sentado</t>
  </si>
  <si>
    <t>1101060</t>
  </si>
  <si>
    <t>Escribir / teclear en computador · [MET60+]</t>
  </si>
  <si>
    <t>Typing, electric, manual or computer</t>
  </si>
  <si>
    <t>Escribir / teclear en computador</t>
  </si>
  <si>
    <t>1202860</t>
  </si>
  <si>
    <t>Correr ~5,8 km/h · [MET60+]</t>
  </si>
  <si>
    <t>Running, 3.6 mph (17 min/mile)</t>
  </si>
  <si>
    <t>Correr ~5,8 km/h</t>
  </si>
  <si>
    <t>1207060</t>
  </si>
  <si>
    <t>Correr ~11,3 km/h · [MET60+]</t>
  </si>
  <si>
    <t>Running, 7 mph (8.5 min/mile)</t>
  </si>
  <si>
    <t>1302060</t>
  </si>
  <si>
    <t>Vestirse / desvestirse · [MET60+]</t>
  </si>
  <si>
    <t>Autocuidado</t>
  </si>
  <si>
    <t>Dressing, undressing, standing or sitting</t>
  </si>
  <si>
    <t>Vestirse / desvestirse</t>
  </si>
  <si>
    <t>1304060</t>
  </si>
  <si>
    <t>Aseo personal / manos / afeitado / dientes · [MET60+]</t>
  </si>
  <si>
    <t>Grooming, washing hands, shaving, brushing teeth, putting on make-up</t>
  </si>
  <si>
    <t>Aseo personal / manos / afeitado / dientes</t>
  </si>
  <si>
    <t>1528560</t>
  </si>
  <si>
    <t>Golf caminando / arrastrando palos · [MET60+]</t>
  </si>
  <si>
    <t>Deporte</t>
  </si>
  <si>
    <t>Golf, walking, pulling clubs</t>
  </si>
  <si>
    <t>Golf caminando / arrastrando palos</t>
  </si>
  <si>
    <t>1552560</t>
  </si>
  <si>
    <t>Pickleball competitivo · [MET60+]</t>
  </si>
  <si>
    <t>Pickleball, competitive</t>
  </si>
  <si>
    <t>Pickleball competitivo</t>
  </si>
  <si>
    <t>1606060</t>
  </si>
  <si>
    <t>Caminar como transporte · 4,5–5,1 km/h · [MET60+]</t>
  </si>
  <si>
    <t>1713360</t>
  </si>
  <si>
    <t>Subir escaleras · lento · [MET60+]</t>
  </si>
  <si>
    <t>1713460</t>
  </si>
  <si>
    <t>Subir escaleras · rápido · [MET60+]</t>
  </si>
  <si>
    <t>Stair climbing, fast pace</t>
  </si>
  <si>
    <t>1713560</t>
  </si>
  <si>
    <t>Subir escaleras usando bastón · [MET60+]</t>
  </si>
  <si>
    <t>Caminata / ayudas</t>
  </si>
  <si>
    <t>Ascending stairs, using cane</t>
  </si>
  <si>
    <t>Subir escaleras usando bastón</t>
  </si>
  <si>
    <t>1713660</t>
  </si>
  <si>
    <t>Subir escaleras con andador estándar · [MET60+]</t>
  </si>
  <si>
    <t>Ascending stairs, using standard walker</t>
  </si>
  <si>
    <t>Subir escaleras con andador estándar</t>
  </si>
  <si>
    <t>1713760</t>
  </si>
  <si>
    <t>Subir escaleras con andador con ruedas · [MET60+]</t>
  </si>
  <si>
    <t>Ascending stairs, using wheeled walker</t>
  </si>
  <si>
    <t>Subir escaleras con andador con ruedas</t>
  </si>
  <si>
    <t>1715160</t>
  </si>
  <si>
    <t>Caminar &lt;1,6 km/h · muy lento · [MET60+]</t>
  </si>
  <si>
    <t>Walking, less than 1.0 mph, level, strolling, very slow</t>
  </si>
  <si>
    <t>Caminar &lt;1,6 km/h · muy lento</t>
  </si>
  <si>
    <t>1715260</t>
  </si>
  <si>
    <t>Caminar 1,6–3,1 km/h · lento · [MET60+]</t>
  </si>
  <si>
    <t>Walking, 1.0 to 1.9 mph, level, slow pace, firm surface</t>
  </si>
  <si>
    <t>Caminar 1,6–3,1 km/h · lento</t>
  </si>
  <si>
    <t>1715360</t>
  </si>
  <si>
    <t>Caminar ~3,2 km/h · lento · [MET60+]</t>
  </si>
  <si>
    <t>Walking, 2.0 mph, level, slow pace, firm surface</t>
  </si>
  <si>
    <t>Caminar ~3,2 km/h · lento</t>
  </si>
  <si>
    <t>1717060</t>
  </si>
  <si>
    <t>Caminar 3,5–4,3 km/h · [MET60+]</t>
  </si>
  <si>
    <t>Walking, 2.2 to 2.7 mph, level, firm surface</t>
  </si>
  <si>
    <t>Caminar 3,5–4,3 km/h</t>
  </si>
  <si>
    <t>1719060</t>
  </si>
  <si>
    <t>Caminar 4,5–5,1 km/h · moderado · [MET60+]</t>
  </si>
  <si>
    <t>Walking, 2.8 to 3.2 mph, level, moderate pace, firm surface</t>
  </si>
  <si>
    <t>Caminar 4,5–5,1 km/h · moderado</t>
  </si>
  <si>
    <t>1720060</t>
  </si>
  <si>
    <t>Caminar 5,3–6,0 km/h · rápido · [MET60+]</t>
  </si>
  <si>
    <t>Walking, 3.3 to 3.7 mph, level, brisk, firm surface</t>
  </si>
  <si>
    <t>Caminar 5,3–6,0 km/h · rápido</t>
  </si>
  <si>
    <t>1720160</t>
  </si>
  <si>
    <t>Caminar rápido · general · [MET60+]</t>
  </si>
  <si>
    <t>Walking, brisk pace, general</t>
  </si>
  <si>
    <t>Caminar rápido · general</t>
  </si>
  <si>
    <t>1720960</t>
  </si>
  <si>
    <t>Caminar 2,4–3,2 km/h · pendiente 2,5–5% · [MET60+]</t>
  </si>
  <si>
    <t>Walking, 1.5 to 2.0 mph, 2.5 to 5% grade</t>
  </si>
  <si>
    <t>Caminar 2,4–3,2 km/h · pendiente 2,5–5%</t>
  </si>
  <si>
    <t>1722060</t>
  </si>
  <si>
    <t>Caminar 6,4–6,8 km/h · muy rápido · [MET60+]</t>
  </si>
  <si>
    <t>Walking, 4.0 to 4.2 mph, level, firm surface, very brisk pace</t>
  </si>
  <si>
    <t>Caminar 6,4–6,8 km/h · muy rápido</t>
  </si>
  <si>
    <t>1723060</t>
  </si>
  <si>
    <t>Caminar ~7,2 km/h · muy muy rápido · [MET60+]</t>
  </si>
  <si>
    <t>Walking, 4.5 mph, level, firm surface, very, very brisk</t>
  </si>
  <si>
    <t>Caminar ~7,2 km/h · muy muy rápido</t>
  </si>
  <si>
    <t>1726260</t>
  </si>
  <si>
    <t>Caminar tranquilo · ritmo autoelegido · [MET60+]</t>
  </si>
  <si>
    <t>Walking, leisurely, self-selected pace, general</t>
  </si>
  <si>
    <t>Caminar tranquilo · ritmo autoelegido</t>
  </si>
  <si>
    <t>1731060</t>
  </si>
  <si>
    <t>Marcha nórdica con bastones · [MET60+]</t>
  </si>
  <si>
    <t>Walking, for exercise, with ski poles, Nordic walking</t>
  </si>
  <si>
    <t>Marcha nórdica con bastones</t>
  </si>
  <si>
    <t>1733060</t>
  </si>
  <si>
    <t>Caminar con bastón · [MET60+]</t>
  </si>
  <si>
    <t>Walking, with a cane</t>
  </si>
  <si>
    <t>Caminar con bastón</t>
  </si>
  <si>
    <t>1734060</t>
  </si>
  <si>
    <t>Caminar con andador estándar · [MET60+]</t>
  </si>
  <si>
    <t>Walking, with standard walker</t>
  </si>
  <si>
    <t>Caminar con andador estándar</t>
  </si>
  <si>
    <t>1735060</t>
  </si>
  <si>
    <t>Caminar con andador con ruedas · [MET60+]</t>
  </si>
  <si>
    <t>Walking, with wheeled walker</t>
  </si>
  <si>
    <t>Caminar con andador con ruedas</t>
  </si>
  <si>
    <t>2210060</t>
  </si>
  <si>
    <t>Videojuego sentado · control manual · [MET60+]</t>
  </si>
  <si>
    <t>Videojuegos</t>
  </si>
  <si>
    <t>Seated, video game, handheld controller (inactive)</t>
  </si>
  <si>
    <t>Videojuego sentado · control manual</t>
  </si>
  <si>
    <t>2220060</t>
  </si>
  <si>
    <t>Videojuego activo · ligero · [MET60+]</t>
  </si>
  <si>
    <t>Video game, light effort</t>
  </si>
  <si>
    <t>Videojuego activo · ligero</t>
  </si>
  <si>
    <t>2230060</t>
  </si>
  <si>
    <t>Videojuego activo · tren superior · [MET60+]</t>
  </si>
  <si>
    <t>Active video game, motion sensing game/using upper body</t>
  </si>
  <si>
    <t>Videojuego activo · tren superior</t>
  </si>
  <si>
    <t>2240060</t>
  </si>
  <si>
    <t>Videojuego activo · cuerpo completo · moderado · [MET60+]</t>
  </si>
  <si>
    <t>Active video game, motion sensing game/using total body, moderate effort</t>
  </si>
  <si>
    <t>Videojuego activo · cuerpo completo · moderado</t>
  </si>
  <si>
    <t>2250060</t>
  </si>
  <si>
    <t>Videojuego activo · cuerpo completo · moderado-vigoroso · [MET60+]</t>
  </si>
  <si>
    <t>Active video game, total body, moderate to vigorous effort</t>
  </si>
  <si>
    <t>Videojuego activo · cuerpo completo · moderado-vigoroso</t>
  </si>
  <si>
    <t>0000000</t>
  </si>
  <si>
    <t>(sin actividad) · [MET60+]</t>
  </si>
  <si>
    <t>NUTRIMETRÍA · BASE_MET_WHEELCHAIR_2024 · catálogo verificado</t>
  </si>
  <si>
    <t>90101</t>
  </si>
  <si>
    <t>Aeróbicos · [METWC]</t>
  </si>
  <si>
    <t>Aerobics</t>
  </si>
  <si>
    <t>Aeróbicos</t>
  </si>
  <si>
    <t>Adultos usuarios de silla de ruedas; evidencia predominante en adultos jóvenes/mediana edad</t>
  </si>
  <si>
    <t>Conger SA et al. 2024 Wheelchair Compendium of Physical Activities</t>
  </si>
  <si>
    <t>10.1016/j.jshs.2023.11.003</t>
  </si>
  <si>
    <t>https://pacompendium.com/adult-wheelchair-users-compendium/</t>
  </si>
  <si>
    <t>METWC usa una referencia de 0,992 kcal/kg/h. Para ≥60 años la evidencia etaria es limitada; NMX-01 no deriva PAL automáticamente.</t>
  </si>
  <si>
    <t>90102</t>
  </si>
  <si>
    <t>Ergometría de brazos 16 W · [METWC]</t>
  </si>
  <si>
    <t>Arm Ergometry 16W</t>
  </si>
  <si>
    <t>Ergometría de brazos 16 W</t>
  </si>
  <si>
    <t>90104</t>
  </si>
  <si>
    <t>Ergometría de brazos 30–32 W · [METWC]</t>
  </si>
  <si>
    <t>Arm Ergometry 30-32W</t>
  </si>
  <si>
    <t>Ergometría de brazos 30–32 W</t>
  </si>
  <si>
    <t>90105</t>
  </si>
  <si>
    <t>Ergometría de brazos 40–48 W · [METWC]</t>
  </si>
  <si>
    <t>Arm Ergometry 40-48W</t>
  </si>
  <si>
    <t>Ergometría de brazos 40–48 W</t>
  </si>
  <si>
    <t>90106</t>
  </si>
  <si>
    <t>Ergometría de brazos 60–64 W · [METWC]</t>
  </si>
  <si>
    <t>Arm Ergometry 60-64W</t>
  </si>
  <si>
    <t>Ergometría de brazos 60–64 W</t>
  </si>
  <si>
    <t>90109</t>
  </si>
  <si>
    <t>Ergometría de brazos · intensidad autoelegida moderada · [METWC]</t>
  </si>
  <si>
    <t>Arm Ergometry (self-selected intensity, moderate)</t>
  </si>
  <si>
    <t>Ergometría de brazos · intensidad autoelegida moderada</t>
  </si>
  <si>
    <t>90110</t>
  </si>
  <si>
    <t>Ergometría de brazos · intensidad autoelegida vigorosa · [METWC]</t>
  </si>
  <si>
    <t>Arm Ergometry exercise (self-selected intensity, vigorous)</t>
  </si>
  <si>
    <t>Ergometría de brazos · intensidad autoelegida vigorosa</t>
  </si>
  <si>
    <t>90120</t>
  </si>
  <si>
    <t>Handcycle · 8 km/h · [METWC]</t>
  </si>
  <si>
    <t>Handcycle – 8 km/h</t>
  </si>
  <si>
    <t>Handcycle · 8 km/h</t>
  </si>
  <si>
    <t>90121</t>
  </si>
  <si>
    <t>Handcycle · 16 km/h · [METWC]</t>
  </si>
  <si>
    <t>Handcycle – 16 km/h</t>
  </si>
  <si>
    <t>Handcycle · 16 km/h</t>
  </si>
  <si>
    <t>90122</t>
  </si>
  <si>
    <t>Ergómetro handcycle · general · [METWC]</t>
  </si>
  <si>
    <t>Handcycle ergometer (general)</t>
  </si>
  <si>
    <t>Ergómetro handcycle · general</t>
  </si>
  <si>
    <t>90125</t>
  </si>
  <si>
    <t>Entrenamiento de resistencia / pesas · [METWC]</t>
  </si>
  <si>
    <t>Resistance (weight) Training</t>
  </si>
  <si>
    <t>Entrenamiento de resistencia / pesas</t>
  </si>
  <si>
    <t>90126</t>
  </si>
  <si>
    <t>Entrenamiento en circuito · [METWC]</t>
  </si>
  <si>
    <t>Circuit Training</t>
  </si>
  <si>
    <t>Entrenamiento en circuito</t>
  </si>
  <si>
    <t>90127</t>
  </si>
  <si>
    <t>Bandas de resistencia · [METWC]</t>
  </si>
  <si>
    <t>Resistance band</t>
  </si>
  <si>
    <t>Bandas de resistencia</t>
  </si>
  <si>
    <t>90128</t>
  </si>
  <si>
    <t>Fondos / push-ups en silla de ruedas · [METWC]</t>
  </si>
  <si>
    <t>Wheelchair pushups</t>
  </si>
  <si>
    <t>Fondos / push-ups en silla de ruedas</t>
  </si>
  <si>
    <t>90132</t>
  </si>
  <si>
    <t>Circuito de habilidades · [METWC]</t>
  </si>
  <si>
    <t>Skill Parcour</t>
  </si>
  <si>
    <t>Circuito de habilidades</t>
  </si>
  <si>
    <t>90133</t>
  </si>
  <si>
    <t>Boxeo con saco pesado · [METWC]</t>
  </si>
  <si>
    <t>Heavy-bag boxing</t>
  </si>
  <si>
    <t>Boxeo con saco pesado</t>
  </si>
  <si>
    <t>90145</t>
  </si>
  <si>
    <t>Dinamómetro de silla · 3,2 km/h · [METWC]</t>
  </si>
  <si>
    <t>Propulsión</t>
  </si>
  <si>
    <t>Wheelchair dynamometer – 3.2 km/h</t>
  </si>
  <si>
    <t>Dinamómetro de silla · 3,2 km/h</t>
  </si>
  <si>
    <t>90146</t>
  </si>
  <si>
    <t>Dinamómetro de silla · 4,8 km/h · [METWC]</t>
  </si>
  <si>
    <t>Wheelchair dynamometer – 4.8 km/h</t>
  </si>
  <si>
    <t>Dinamómetro de silla · 4,8 km/h</t>
  </si>
  <si>
    <t>90148</t>
  </si>
  <si>
    <t>Propulsión interior · 2,57 km/h · [METWC]</t>
  </si>
  <si>
    <t>Wheeling indoor course 2.57 km/h</t>
  </si>
  <si>
    <t>Propulsión interior · 2,57 km/h</t>
  </si>
  <si>
    <t>90149</t>
  </si>
  <si>
    <t>Propulsión interior · 3,4–3,9 km/h · [METWC]</t>
  </si>
  <si>
    <t>Wheeling indoor course 3.4-3.9 km/h</t>
  </si>
  <si>
    <t>Propulsión interior · 3,4–3,9 km/h</t>
  </si>
  <si>
    <t>90150</t>
  </si>
  <si>
    <t>Propulsión interior · 4,5–4,8 km/h · [METWC]</t>
  </si>
  <si>
    <t>Wheeling indoor course 4.5-4.8 km/h</t>
  </si>
  <si>
    <t>Propulsión interior · 4,5–4,8 km/h</t>
  </si>
  <si>
    <t>90151</t>
  </si>
  <si>
    <t>Propulsión interior · 5,0–5,5 km/h · [METWC]</t>
  </si>
  <si>
    <t>Wheeling indoor course 5.0-5.5 km/h</t>
  </si>
  <si>
    <t>Propulsión interior · 5,0–5,5 km/h</t>
  </si>
  <si>
    <t>90152</t>
  </si>
  <si>
    <t>Propulsión interior · 6,5 km/h · [METWC]</t>
  </si>
  <si>
    <t>Wheeling indoor course 6.5 km/h</t>
  </si>
  <si>
    <t>Propulsión interior · 6,5 km/h</t>
  </si>
  <si>
    <t>90153</t>
  </si>
  <si>
    <t>Propulsión pista exterior · 1,5 km/h · [METWC]</t>
  </si>
  <si>
    <t>Wheeling outdoor track 1.5 km/h</t>
  </si>
  <si>
    <t>Propulsión pista exterior · 1,5 km/h</t>
  </si>
  <si>
    <t>90155</t>
  </si>
  <si>
    <t>Propulsión pista exterior · 3,4 km/h · [METWC]</t>
  </si>
  <si>
    <t>Wheeling outdoor track 3.4 km/h</t>
  </si>
  <si>
    <t>Propulsión pista exterior · 3,4 km/h</t>
  </si>
  <si>
    <t>90156</t>
  </si>
  <si>
    <t>Propulsión pista exterior · 4,0–4,3 km/h · [METWC]</t>
  </si>
  <si>
    <t>Wheeling outdoor track 4.0-4.3 km/h</t>
  </si>
  <si>
    <t>Propulsión pista exterior · 4,0–4,3 km/h</t>
  </si>
  <si>
    <t>90157</t>
  </si>
  <si>
    <t>Propulsión pista exterior · 5,5 km/h · [METWC]</t>
  </si>
  <si>
    <t>Wheeling outdoor track 5.5 km/h</t>
  </si>
  <si>
    <t>Propulsión pista exterior · 5,5 km/h</t>
  </si>
  <si>
    <t>90159</t>
  </si>
  <si>
    <t>Propulsión pista exterior · 8,0 km/h · [METWC]</t>
  </si>
  <si>
    <t>Wheeling outdoor track 8.0 km/h</t>
  </si>
  <si>
    <t>Propulsión pista exterior · 8,0 km/h</t>
  </si>
  <si>
    <t>90160</t>
  </si>
  <si>
    <t>Propulsión de competición · [METWC]</t>
  </si>
  <si>
    <t>Wheeling – racing</t>
  </si>
  <si>
    <t>Propulsión de competición</t>
  </si>
  <si>
    <t>90165</t>
  </si>
  <si>
    <t>Propulsión en cinta · 2,2–2,9 km/h · [METWC]</t>
  </si>
  <si>
    <t>Treadmill Wheeling 2.2-2.9 km/h</t>
  </si>
  <si>
    <t>Propulsión en cinta · 2,2–2,9 km/h</t>
  </si>
  <si>
    <t>90166</t>
  </si>
  <si>
    <t>Propulsión en cinta · 3,0–3,9 km/h · [METWC]</t>
  </si>
  <si>
    <t>Treadmill Wheeling – 3.0-3.9 km/h</t>
  </si>
  <si>
    <t>Propulsión en cinta · 3,0–3,9 km/h</t>
  </si>
  <si>
    <t>90167</t>
  </si>
  <si>
    <t>Propulsión en cinta · 4,0–4,9 km/h · [METWC]</t>
  </si>
  <si>
    <t>Treadmill Wheeling – 4.0-4.9 km/h</t>
  </si>
  <si>
    <t>Propulsión en cinta · 4,0–4,9 km/h</t>
  </si>
  <si>
    <t>90170</t>
  </si>
  <si>
    <t>Propulsión en cinta · 7,0–7,9 km/h · [METWC]</t>
  </si>
  <si>
    <t>Treadmill Wheeling – 7.0-7.9 km/h</t>
  </si>
  <si>
    <t>Propulsión en cinta · 7,0–7,9 km/h</t>
  </si>
  <si>
    <t>90172</t>
  </si>
  <si>
    <t>Propulsión en cinta · 3,6 km/h · pendiente 4,7% · [METWC]</t>
  </si>
  <si>
    <t>Treadmill Wheeling – 3.6 km/h, 4.7% grade</t>
  </si>
  <si>
    <t>Propulsión en cinta · 3,6 km/h · pendiente 4,7%</t>
  </si>
  <si>
    <t>90174</t>
  </si>
  <si>
    <t>Propulsión en cinta · 3,6 km/h · pendiente 6,3% · [METWC]</t>
  </si>
  <si>
    <t>Treadmill Wheeling – 3.6 km/h, 6.3% grade</t>
  </si>
  <si>
    <t>Propulsión en cinta · 3,6 km/h · pendiente 6,3%</t>
  </si>
  <si>
    <t>90176</t>
  </si>
  <si>
    <t>Propulsión en cinta · 3,6 km/h · pendiente 8,4% · [METWC]</t>
  </si>
  <si>
    <t>Treadmill Wheeling – 3.6 km/h, 8.4% grade</t>
  </si>
  <si>
    <t>Propulsión en cinta · 3,6 km/h · pendiente 8,4%</t>
  </si>
  <si>
    <t>90201</t>
  </si>
  <si>
    <t>Hacer la cama · [METWC]</t>
  </si>
  <si>
    <t>Making Bed</t>
  </si>
  <si>
    <t>Hacer la cama</t>
  </si>
  <si>
    <t>90205</t>
  </si>
  <si>
    <t>Vestirse / desvestirse · [METWC]</t>
  </si>
  <si>
    <t>Dressing/undressing</t>
  </si>
  <si>
    <t>90210</t>
  </si>
  <si>
    <t>Quitar polvo · [METWC]</t>
  </si>
  <si>
    <t>Dusting</t>
  </si>
  <si>
    <t>Quitar polvo</t>
  </si>
  <si>
    <t>90215</t>
  </si>
  <si>
    <t>Lavandería · [METWC]</t>
  </si>
  <si>
    <t>Laundry</t>
  </si>
  <si>
    <t>Lavandería</t>
  </si>
  <si>
    <t>90220</t>
  </si>
  <si>
    <t>Trapear · [METWC]</t>
  </si>
  <si>
    <t>Mopping</t>
  </si>
  <si>
    <t>Trapear</t>
  </si>
  <si>
    <t>90225</t>
  </si>
  <si>
    <t>Mover muebles / objetos / cajas · [METWC]</t>
  </si>
  <si>
    <t>Moving furniture, household items, or boxes</t>
  </si>
  <si>
    <t>90230</t>
  </si>
  <si>
    <t>Mover objetos · [METWC]</t>
  </si>
  <si>
    <t>Moving items</t>
  </si>
  <si>
    <t>Mover objetos</t>
  </si>
  <si>
    <t>90235</t>
  </si>
  <si>
    <t>Ducharse · [METWC]</t>
  </si>
  <si>
    <t>Showering</t>
  </si>
  <si>
    <t>Ducharse</t>
  </si>
  <si>
    <t>90240</t>
  </si>
  <si>
    <t>Aspirar · [METWC]</t>
  </si>
  <si>
    <t>Vacuuming</t>
  </si>
  <si>
    <t>Aspirar</t>
  </si>
  <si>
    <t>90245</t>
  </si>
  <si>
    <t>Lavar platos · [METWC]</t>
  </si>
  <si>
    <t>Washing Dishes</t>
  </si>
  <si>
    <t>Lavar platos</t>
  </si>
  <si>
    <t>90250</t>
  </si>
  <si>
    <t>Comer · [METWC]</t>
  </si>
  <si>
    <t>Eating</t>
  </si>
  <si>
    <t>Comer</t>
  </si>
  <si>
    <t>90255</t>
  </si>
  <si>
    <t>Preparar alimentos · [METWC]</t>
  </si>
  <si>
    <t>Preparing food</t>
  </si>
  <si>
    <t>Preparar alimentos</t>
  </si>
  <si>
    <t>90260</t>
  </si>
  <si>
    <t>Comprar alimentos · [METWC]</t>
  </si>
  <si>
    <t>Grocery shopping</t>
  </si>
  <si>
    <t>Comprar alimentos</t>
  </si>
  <si>
    <t>90265</t>
  </si>
  <si>
    <t>Barrer piso · [METWC]</t>
  </si>
  <si>
    <t>Sweeping floor</t>
  </si>
  <si>
    <t>Barrer piso</t>
  </si>
  <si>
    <t>90270</t>
  </si>
  <si>
    <t>Limpiar habitación · [METWC]</t>
  </si>
  <si>
    <t>Cleaning Room</t>
  </si>
  <si>
    <t>Limpiar habitación</t>
  </si>
  <si>
    <t>90275</t>
  </si>
  <si>
    <t>Revisar correo · [METWC]</t>
  </si>
  <si>
    <t>Checking Mail</t>
  </si>
  <si>
    <t>Revisar correo</t>
  </si>
  <si>
    <t>90280</t>
  </si>
  <si>
    <t>Limpiar automóvil · [METWC]</t>
  </si>
  <si>
    <t>Cleaning Car</t>
  </si>
  <si>
    <t>Limpiar automóvil</t>
  </si>
  <si>
    <t>90285</t>
  </si>
  <si>
    <t>Transferencia hacia/desde silla de ruedas · [METWC]</t>
  </si>
  <si>
    <t>Transfer to/from wheelchair</t>
  </si>
  <si>
    <t>Transferencia hacia/desde silla de ruedas</t>
  </si>
  <si>
    <t>90301</t>
  </si>
  <si>
    <t>Trabajo de escritorio · ligero · [METWC]</t>
  </si>
  <si>
    <t>Deskwork, light effort</t>
  </si>
  <si>
    <t>Trabajo de escritorio · ligero</t>
  </si>
  <si>
    <t>90305</t>
  </si>
  <si>
    <t>Leer · [METWC]</t>
  </si>
  <si>
    <t>Reading</t>
  </si>
  <si>
    <t>Leer</t>
  </si>
  <si>
    <t>90310</t>
  </si>
  <si>
    <t>Ver televisión · [METWC]</t>
  </si>
  <si>
    <t>Watching TV</t>
  </si>
  <si>
    <t>Ver televisión</t>
  </si>
  <si>
    <t>90315</t>
  </si>
  <si>
    <t>Desplazamiento pasivo · empujado por otra persona · [METWC]</t>
  </si>
  <si>
    <t>Passive Wheeling (pushed by another person)</t>
  </si>
  <si>
    <t>Desplazamiento pasivo · empujado por otra persona</t>
  </si>
  <si>
    <t>90320</t>
  </si>
  <si>
    <t>Escribir / crucigramas · [METWC]</t>
  </si>
  <si>
    <t>Writing/crossword puzzles</t>
  </si>
  <si>
    <t>Escribir / crucigramas</t>
  </si>
  <si>
    <t>90330</t>
  </si>
  <si>
    <t>Usar tablet / iPad · [METWC]</t>
  </si>
  <si>
    <t>playing with iPad</t>
  </si>
  <si>
    <t>Usar tablet / iPad</t>
  </si>
  <si>
    <t>90340</t>
  </si>
  <si>
    <t>Trabajo en computador / internet · [METWC]</t>
  </si>
  <si>
    <t>Computer work (word processing, internet use)</t>
  </si>
  <si>
    <t>Trabajo en computador / internet</t>
  </si>
  <si>
    <t>90501</t>
  </si>
  <si>
    <t>Baloncesto en silla · [METWC]</t>
  </si>
  <si>
    <t>Basketball</t>
  </si>
  <si>
    <t>Baloncesto en silla</t>
  </si>
  <si>
    <t>90505</t>
  </si>
  <si>
    <t>Baloncesto casual · [METWC]</t>
  </si>
  <si>
    <t>Basketball – casual</t>
  </si>
  <si>
    <t>Baloncesto casual</t>
  </si>
  <si>
    <t>90515</t>
  </si>
  <si>
    <t>Bowling · [METWC]</t>
  </si>
  <si>
    <t>Bowling</t>
  </si>
  <si>
    <t>90525</t>
  </si>
  <si>
    <t>Esgrima · [METWC]</t>
  </si>
  <si>
    <t>Fencing</t>
  </si>
  <si>
    <t>Esgrima</t>
  </si>
  <si>
    <t>90540</t>
  </si>
  <si>
    <t>Rugby en silla · [METWC]</t>
  </si>
  <si>
    <t>Rugby</t>
  </si>
  <si>
    <t>Rugby en silla</t>
  </si>
  <si>
    <t>90545</t>
  </si>
  <si>
    <t>Tenis de mesa · [METWC]</t>
  </si>
  <si>
    <t>Table tennis</t>
  </si>
  <si>
    <t>Tenis de mesa</t>
  </si>
  <si>
    <t>90550</t>
  </si>
  <si>
    <t>Tenis · [METWC]</t>
  </si>
  <si>
    <t>Tennis</t>
  </si>
  <si>
    <t>Tenis</t>
  </si>
  <si>
    <t>90590</t>
  </si>
  <si>
    <t>Exergaming · [METWC]</t>
  </si>
  <si>
    <t>Exergaming</t>
  </si>
  <si>
    <t>90601</t>
  </si>
  <si>
    <t>Propulsión sobre alfombra · [METWC]</t>
  </si>
  <si>
    <t>Wheeling – On Carpet</t>
  </si>
  <si>
    <t>Propulsión sobre alfombra</t>
  </si>
  <si>
    <t>90605</t>
  </si>
  <si>
    <t>Propulsión sobre césped · [METWC]</t>
  </si>
  <si>
    <t>Wheeling – on Grass</t>
  </si>
  <si>
    <t>Propulsión sobre césped</t>
  </si>
  <si>
    <t>90610</t>
  </si>
  <si>
    <t>Propulsión exterior · [METWC]</t>
  </si>
  <si>
    <t>Wheeling – Outside</t>
  </si>
  <si>
    <t>Propulsión exterior</t>
  </si>
  <si>
    <t>90615</t>
  </si>
  <si>
    <t>Propulsión con asistencia de perro de servicio · [METWC]</t>
  </si>
  <si>
    <t>Wheeling – w/service dog assistance</t>
  </si>
  <si>
    <t>Propulsión con asistencia de perro de servicio</t>
  </si>
  <si>
    <t>90620</t>
  </si>
  <si>
    <t>Propulsión exterior · pendiente transversal 8% · [METWC]</t>
  </si>
  <si>
    <t>Wheeling outdoor, 8% cross slope</t>
  </si>
  <si>
    <t>Propulsión exterior · pendiente transversal 8%</t>
  </si>
  <si>
    <t>90625</t>
  </si>
  <si>
    <t>Propulsión exterior · pendiente transversal 12% · [METWC]</t>
  </si>
  <si>
    <t>Wheeling outdoor, 12% cross slope</t>
  </si>
  <si>
    <t>Propulsión exterior · pendiente transversal 12%</t>
  </si>
  <si>
    <t>90630</t>
  </si>
  <si>
    <t>Propulsión por vereda / acera · [METWC]</t>
  </si>
  <si>
    <t>Wheeling – on Sidewalk</t>
  </si>
  <si>
    <t>Propulsión por vereda / acera</t>
  </si>
  <si>
    <t>90635</t>
  </si>
  <si>
    <t>Propulsión · velocidad autoelegida · [METWC]</t>
  </si>
  <si>
    <t>Wheeling – self-selected speed</t>
  </si>
  <si>
    <t>Propulsión · velocidad autoelegida</t>
  </si>
  <si>
    <t>90640</t>
  </si>
  <si>
    <t>Conducir automóvil · [METWC]</t>
  </si>
  <si>
    <t>Driving an automobile</t>
  </si>
  <si>
    <t>Conducir automóvil</t>
  </si>
  <si>
    <t>90645</t>
  </si>
  <si>
    <t>Propulsión sobre baldosa · [METWC]</t>
  </si>
  <si>
    <t>Wheeling – On Tile</t>
  </si>
  <si>
    <t>Propulsión sobre baldosa</t>
  </si>
  <si>
    <t>90650</t>
  </si>
  <si>
    <t>Propulsión cuesta arriba · [METWC]</t>
  </si>
  <si>
    <t>Wheeling – up Incline</t>
  </si>
  <si>
    <t>Propulsión cuesta arriba</t>
  </si>
  <si>
    <t>90655</t>
  </si>
  <si>
    <t>Propulsión cuesta abajo · [METWC]</t>
  </si>
  <si>
    <t>Wheeling – Downhill</t>
  </si>
  <si>
    <t>Propulsión cuesta abajo</t>
  </si>
  <si>
    <t>(sin actividad) · [METWC]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</si>
</sst>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0.0%"/>
    <numFmt numFmtId="167" formatCode="#,##0;\-#,##0;0"/>
    <numFmt numFmtId="168" formatCode="0.0000"/>
    <numFmt numFmtId="169" formatCode="0.000%"/>
    <numFmt numFmtId="170" formatCode="0.000"/>
    <numFmt numFmtId="171" formatCode="[&gt;=1000000]0000000;00000"/>
  </numFmts>
  <fonts count="62">
    <font>
      <sz val="11"/>
      <color theme="1"/>
      <name val="Calibri"/>
    </font>
    <font>
      <b/>
      <sz val="14"/>
      <color rgb="FFFFFFFF"/>
      <name val="Arial"/>
    </font>
    <font>
      <b/>
      <sz val="10"/>
      <color rgb="FF1A1A1A"/>
      <name val="Arial"/>
    </font>
    <font>
      <sz val="10"/>
      <color rgb="FF1A1A1A"/>
      <name val="Arial"/>
    </font>
    <font>
      <b/>
      <sz val="11"/>
      <color rgb="FFFFFFFF"/>
      <name val="Arial"/>
    </font>
    <font>
      <sz val="9"/>
      <color rgb="FF1A1A1A"/>
      <name val="Arial"/>
    </font>
    <font>
      <b/>
      <sz val="9"/>
      <color rgb="FFB45309"/>
      <name val="Arial"/>
    </font>
    <font>
      <b/>
      <sz val="10"/>
      <color rgb="FF0F3B44"/>
      <name val="Arial"/>
    </font>
    <font>
      <sz val="10"/>
      <color rgb="FF0000CC"/>
      <name val="Arial"/>
    </font>
    <font>
      <sz val="9"/>
      <color rgb="FF5A6B70"/>
      <name val="Arial"/>
    </font>
    <font>
      <i/>
      <sz val="9"/>
      <color rgb="FF5A6B70"/>
      <name val="Arial"/>
    </font>
    <font>
      <b/>
      <sz val="11"/>
      <color rgb="FF0F3B44"/>
      <name val="Arial"/>
    </font>
    <font>
      <b/>
      <sz val="12"/>
      <color rgb="FF0F3B44"/>
      <name val="Arial"/>
    </font>
    <font>
      <i/>
      <sz val="8"/>
      <color rgb="FF5A6B70"/>
      <name val="Arial"/>
    </font>
    <font>
      <b/>
      <sz val="9"/>
      <color rgb="FF1A1A1A"/>
      <name val="Arial"/>
    </font>
    <font>
      <b/>
      <sz val="9"/>
      <color rgb="FF0F3B44"/>
      <name val="Arial"/>
    </font>
    <font>
      <b/>
      <sz val="9"/>
      <color rgb="FF5B3A8E"/>
      <name val="Arial"/>
    </font>
    <font>
      <sz val="9"/>
      <color rgb="FF0000CC"/>
      <name val="Arial"/>
    </font>
    <font>
      <b/>
      <sz val="9"/>
      <color rgb="FF5A6B70"/>
      <name val="Arial"/>
    </font>
    <font>
      <sz val="9"/>
      <color rgb="FFB45309"/>
      <name val="Arial"/>
    </font>
    <font>
      <b/>
      <sz val="10"/>
      <color rgb="FFB45309"/>
      <name val="Arial"/>
    </font>
    <font>
      <b/>
      <sz val="9"/>
      <color rgb="FF1C6B72"/>
      <name val="Arial"/>
    </font>
    <font>
      <sz val="9"/>
      <color theme="1"/>
      <name val="Arial"/>
    </font>
    <font>
      <sz val="10"/>
      <color rgb="FF1A1A1A"/>
      <name val="Arial"/>
    </font>
    <font>
      <b/>
      <sz val="10"/>
      <color theme="1"/>
      <name val="Arial"/>
    </font>
    <font>
      <sz val="9"/>
      <color rgb="FF5A6B70"/>
      <name val="Arial"/>
    </font>
    <font>
      <b/>
      <sz val="9"/>
      <color theme="1"/>
      <name val="Arial"/>
    </font>
    <font>
      <sz val="10"/>
      <color theme="1"/>
      <name val="Arial"/>
    </font>
    <font>
      <b/>
      <sz val="11"/>
      <color theme="1"/>
      <name val="Arial"/>
    </font>
    <font>
      <sz val="8"/>
      <color theme="1"/>
      <name val="Arial"/>
    </font>
    <font>
      <sz val="11"/>
      <color theme="1"/>
      <name val="Arial"/>
    </font>
    <font>
      <b/>
      <sz val="9"/>
      <name val="Consolas"/>
    </font>
    <font>
      <b/>
      <sz val="14"/>
      <color rgb="FFFFFFFF"/>
      <name val="Arial"/>
    </font>
    <font>
      <b/>
      <sz val="12"/>
      <color rgb="FFFFFFFF"/>
      <name val="Arial"/>
    </font>
    <font>
      <sz val="11"/>
      <name val="Carlito"/>
    </font>
    <font>
      <b/>
      <sz val="12"/>
      <color rgb="FF155E6C"/>
      <name val="Aptos"/>
    </font>
    <font>
      <b/>
      <sz val="10"/>
      <color rgb="FFFFFFFF"/>
      <name val="Aptos"/>
    </font>
    <font>
      <b/>
      <sz val="10"/>
      <name val="Arial"/>
    </font>
    <font>
      <sz val="10"/>
      <name val="Arial"/>
    </font>
    <font>
      <b/>
      <sz val="11"/>
      <name val="Arial"/>
    </font>
    <font>
      <sz val="11"/>
      <name val="Arial"/>
    </font>
    <font>
      <sz val="14"/>
      <name val="Calibri"/>
    </font>
    <font>
      <b/>
      <sz val="14"/>
      <color rgb="FFFFFFFF"/>
      <name val="Arial"/>
    </font>
    <font>
      <sz val="11"/>
      <color rgb="FF155E6C"/>
      <name val="Aptos"/>
    </font>
    <font>
      <b/>
      <sz val="11"/>
      <color rgb="FF0F3B44"/>
      <name val="Arial"/>
    </font>
    <font>
      <b/>
      <sz val="10"/>
      <color rgb="FFB45309"/>
      <name val="Arial"/>
    </font>
    <font>
      <b/>
      <sz val="11"/>
      <color rgb="FF8A5A00"/>
      <name val="Arial"/>
    </font>
    <font>
      <sz val="11"/>
      <name val="Calibri"/>
    </font>
    <font>
      <i/>
      <sz val="11"/>
      <name val="Arial"/>
    </font>
    <font>
      <b/>
      <i/>
      <sz val="11"/>
      <name val="Arial"/>
    </font>
    <font>
      <sz val="9"/>
      <name val="Arial"/>
    </font>
    <font>
      <sz val="11"/>
      <color theme="10"/>
      <name val="Calibri"/>
    </font>
    <font>
      <b/>
      <sz val="20"/>
      <color theme="0"/>
      <name val="Arial"/>
    </font>
    <font>
      <b/>
      <sz val="10"/>
      <color theme="0"/>
      <name val="Aptos"/>
    </font>
    <font>
      <b/>
      <sz val="11"/>
      <color theme="0"/>
      <name val="Calibri"/>
    </font>
    <font>
      <b/>
      <sz val="10"/>
      <color rgb="FF1A1A1A"/>
      <name val="Arial"/>
    </font>
    <font>
      <b/>
      <sz val="10"/>
      <color rgb="FFFFFFFF"/>
      <name val="Arial"/>
    </font>
    <font>
      <i/>
      <sz val="9"/>
      <color theme="1"/>
      <name val="Arial"/>
    </font>
    <font>
      <i/>
      <sz val="9"/>
      <color rgb="FF7F6000"/>
      <name val="Arial"/>
    </font>
    <font>
      <i/>
      <sz val="9"/>
      <color rgb="FF607D80"/>
      <name val="Arial"/>
    </font>
    <font>
      <sz val="11"/>
      <color theme="1"/>
      <name val="Calibri"/>
      <family val="2"/>
    </font>
    <font>
      <b/>
      <sz val="12"/>
      <color rgb="FF5B3A8E"/>
      <name val="Arial"/>
      <family val="2"/>
    </font>
  </fonts>
  <fills count="24">
    <fill>
      <patternFill patternType="none"/>
    </fill>
    <fill>
      <patternFill patternType="gray125"/>
    </fill>
    <fill>
      <patternFill patternType="solid">
        <fgColor rgb="FF0F3B44"/>
      </patternFill>
    </fill>
    <fill>
      <patternFill patternType="solid">
        <fgColor rgb="FF1C6B72"/>
      </patternFill>
    </fill>
    <fill>
      <patternFill patternType="solid">
        <fgColor rgb="FFFBE4D5"/>
      </patternFill>
    </fill>
    <fill>
      <patternFill patternType="solid">
        <fgColor rgb="FFE7E0F5"/>
      </patternFill>
    </fill>
    <fill>
      <patternFill patternType="solid">
        <fgColor rgb="FFFFF6D8"/>
      </patternFill>
    </fill>
    <fill>
      <patternFill patternType="solid">
        <fgColor rgb="FFDCE8EA"/>
      </patternFill>
    </fill>
    <fill>
      <patternFill patternType="solid">
        <fgColor rgb="FFF4F6F7"/>
      </patternFill>
    </fill>
    <fill>
      <patternFill patternType="solid">
        <fgColor rgb="FFDFF0E3"/>
      </patternFill>
    </fill>
    <fill>
      <patternFill patternType="solid">
        <fgColor rgb="FFFFFFFF"/>
      </patternFill>
    </fill>
    <fill>
      <patternFill patternType="solid">
        <fgColor rgb="FFEFEFEF"/>
      </patternFill>
    </fill>
    <fill>
      <patternFill patternType="solid">
        <fgColor rgb="FF17324D"/>
      </patternFill>
    </fill>
    <fill>
      <patternFill patternType="solid">
        <fgColor rgb="FFDCEFF1"/>
      </patternFill>
    </fill>
    <fill>
      <patternFill patternType="solid">
        <fgColor theme="4" tint="0.79995117038483843"/>
        <bgColor indexed="65"/>
      </patternFill>
    </fill>
    <fill>
      <patternFill patternType="solid">
        <fgColor theme="4" tint="0.79995117038483843"/>
        <bgColor indexed="65"/>
      </patternFill>
    </fill>
    <fill>
      <patternFill patternType="solid">
        <fgColor theme="7" tint="0.79995117038483843"/>
        <bgColor indexed="65"/>
      </patternFill>
    </fill>
    <fill>
      <patternFill patternType="solid">
        <fgColor rgb="FF0F3B44"/>
      </patternFill>
    </fill>
    <fill>
      <patternFill patternType="solid">
        <fgColor rgb="FFDCE8EA"/>
      </patternFill>
    </fill>
    <fill>
      <patternFill patternType="solid">
        <fgColor rgb="FF1C6B72"/>
      </patternFill>
    </fill>
    <fill>
      <patternFill patternType="solid">
        <fgColor rgb="FFFFF6D8"/>
      </patternFill>
    </fill>
    <fill>
      <patternFill patternType="solid">
        <fgColor rgb="FFF4F6F7"/>
      </patternFill>
    </fill>
    <fill>
      <patternFill patternType="solid">
        <fgColor rgb="FFFFF2CC"/>
      </patternFill>
    </fill>
    <fill>
      <patternFill patternType="solid">
        <fgColor rgb="FFDCE8EA"/>
      </patternFill>
    </fill>
  </fills>
  <borders count="53">
    <border>
      <left/>
      <right/>
      <top/>
      <bottom/>
      <diagonal/>
    </border>
    <border>
      <left style="thin">
        <color rgb="FFB7C4C7"/>
      </left>
      <right style="thin">
        <color rgb="FFB7C4C7"/>
      </right>
      <top style="thin">
        <color rgb="FFB7C4C7"/>
      </top>
      <bottom style="thin">
        <color rgb="FFB7C4C7"/>
      </bottom>
      <diagonal/>
    </border>
    <border>
      <left style="thin">
        <color indexed="64"/>
      </left>
      <right style="thin">
        <color indexed="64"/>
      </right>
      <top style="thin">
        <color indexed="64"/>
      </top>
      <bottom style="thin">
        <color indexed="64"/>
      </bottom>
      <diagonal/>
    </border>
    <border>
      <left style="thin">
        <color rgb="FFB7C4C7"/>
      </left>
      <right style="thin">
        <color rgb="FFB7C4C7"/>
      </right>
      <top style="thin">
        <color rgb="FFB7C4C7"/>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n">
        <color theme="0"/>
      </bottom>
      <diagonal/>
    </border>
    <border>
      <left style="thin">
        <color theme="0"/>
      </left>
      <right/>
      <top/>
      <bottom style="thin">
        <color rgb="FFB7C4C7"/>
      </bottom>
      <diagonal/>
    </border>
    <border>
      <left/>
      <right/>
      <top/>
      <bottom style="thin">
        <color rgb="FFB7C4C7"/>
      </bottom>
      <diagonal/>
    </border>
    <border>
      <left style="thin">
        <color theme="0"/>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7C4C7"/>
      </left>
      <right/>
      <top style="thin">
        <color rgb="FFB7C4C7"/>
      </top>
      <bottom style="thin">
        <color rgb="FFB7C4C7"/>
      </bottom>
      <diagonal/>
    </border>
    <border>
      <left/>
      <right/>
      <top style="thin">
        <color rgb="FFB7C4C7"/>
      </top>
      <bottom style="thin">
        <color rgb="FFB7C4C7"/>
      </bottom>
      <diagonal/>
    </border>
    <border>
      <left/>
      <right style="thin">
        <color rgb="FFB7C4C7"/>
      </right>
      <top style="thin">
        <color rgb="FFB7C4C7"/>
      </top>
      <bottom style="thin">
        <color rgb="FFB7C4C7"/>
      </bottom>
      <diagonal/>
    </border>
    <border>
      <left style="thin">
        <color rgb="FFB7C4C7"/>
      </left>
      <right/>
      <top style="thin">
        <color rgb="FFB7C4C7"/>
      </top>
      <bottom style="thin">
        <color rgb="FFB7C4C7"/>
      </bottom>
      <diagonal/>
    </border>
    <border>
      <left/>
      <right/>
      <top style="thin">
        <color rgb="FFB7C4C7"/>
      </top>
      <bottom style="thin">
        <color rgb="FFB7C4C7"/>
      </bottom>
      <diagonal/>
    </border>
    <border>
      <left/>
      <right style="thin">
        <color rgb="FFB7C4C7"/>
      </right>
      <top style="thin">
        <color rgb="FFB7C4C7"/>
      </top>
      <bottom style="thin">
        <color rgb="FFB7C4C7"/>
      </bottom>
      <diagonal/>
    </border>
    <border>
      <left style="thin">
        <color rgb="FFD3DADB"/>
      </left>
      <right/>
      <top style="thin">
        <color rgb="FFD3DADB"/>
      </top>
      <bottom/>
      <diagonal/>
    </border>
    <border>
      <left/>
      <right/>
      <top style="thin">
        <color rgb="FFD3DADB"/>
      </top>
      <bottom/>
      <diagonal/>
    </border>
    <border>
      <left/>
      <right style="thin">
        <color rgb="FFD3DADB"/>
      </right>
      <top style="thin">
        <color rgb="FFD3DADB"/>
      </top>
      <bottom/>
      <diagonal/>
    </border>
    <border>
      <left style="thin">
        <color rgb="FFD3DADB"/>
      </left>
      <right/>
      <top/>
      <bottom/>
      <diagonal/>
    </border>
    <border>
      <left/>
      <right style="thin">
        <color rgb="FFD3DADB"/>
      </right>
      <top/>
      <bottom/>
      <diagonal/>
    </border>
    <border>
      <left style="thin">
        <color rgb="FFD3DADB"/>
      </left>
      <right/>
      <top/>
      <bottom style="thin">
        <color rgb="FFD3DADB"/>
      </bottom>
      <diagonal/>
    </border>
    <border>
      <left/>
      <right/>
      <top/>
      <bottom style="thin">
        <color rgb="FFD3DADB"/>
      </bottom>
      <diagonal/>
    </border>
    <border>
      <left/>
      <right style="thin">
        <color rgb="FFD3DADB"/>
      </right>
      <top/>
      <bottom style="thin">
        <color rgb="FFD3DADB"/>
      </bottom>
      <diagonal/>
    </border>
    <border>
      <left style="thin">
        <color rgb="FFB7C4C7"/>
      </left>
      <right style="thin">
        <color rgb="FFB7C4C7"/>
      </right>
      <top/>
      <bottom/>
      <diagonal/>
    </border>
    <border>
      <left style="thin">
        <color rgb="FFB7C4C7"/>
      </left>
      <right style="thin">
        <color rgb="FFB7C4C7"/>
      </right>
      <top/>
      <bottom style="thin">
        <color rgb="FFB7C4C7"/>
      </bottom>
      <diagonal/>
    </border>
    <border>
      <left style="thin">
        <color rgb="FFD3DADB"/>
      </left>
      <right style="thin">
        <color rgb="FFB7C4C7"/>
      </right>
      <top style="thin">
        <color rgb="FFD3DADB"/>
      </top>
      <bottom style="thin">
        <color rgb="FFB7C4C7"/>
      </bottom>
      <diagonal/>
    </border>
    <border>
      <left style="thin">
        <color rgb="FFB7C4C7"/>
      </left>
      <right style="thin">
        <color rgb="FFB7C4C7"/>
      </right>
      <top style="thin">
        <color rgb="FFD3DADB"/>
      </top>
      <bottom style="thin">
        <color rgb="FFB7C4C7"/>
      </bottom>
      <diagonal/>
    </border>
    <border>
      <left style="thin">
        <color rgb="FFD3DADB"/>
      </left>
      <right style="thin">
        <color rgb="FFB7C4C7"/>
      </right>
      <top style="thin">
        <color rgb="FFB7C4C7"/>
      </top>
      <bottom style="thin">
        <color rgb="FFB7C4C7"/>
      </bottom>
      <diagonal/>
    </border>
    <border>
      <left style="thin">
        <color rgb="FFD3DADB"/>
      </left>
      <right style="thin">
        <color rgb="FFB7C4C7"/>
      </right>
      <top style="thin">
        <color rgb="FFB7C4C7"/>
      </top>
      <bottom style="thin">
        <color rgb="FFD3DADB"/>
      </bottom>
      <diagonal/>
    </border>
    <border>
      <left style="thin">
        <color rgb="FFB7C4C7"/>
      </left>
      <right style="thin">
        <color rgb="FFB7C4C7"/>
      </right>
      <top style="thin">
        <color rgb="FFB7C4C7"/>
      </top>
      <bottom style="thin">
        <color rgb="FFD3DADB"/>
      </bottom>
      <diagonal/>
    </border>
    <border>
      <left style="thin">
        <color rgb="FFB7C4C7"/>
      </left>
      <right/>
      <top style="thin">
        <color rgb="FFB7C4C7"/>
      </top>
      <bottom style="thin">
        <color indexed="64"/>
      </bottom>
      <diagonal/>
    </border>
    <border>
      <left/>
      <right/>
      <top style="thin">
        <color rgb="FFB7C4C7"/>
      </top>
      <bottom style="thin">
        <color indexed="64"/>
      </bottom>
      <diagonal/>
    </border>
    <border>
      <left/>
      <right style="thin">
        <color rgb="FFB7C4C7"/>
      </right>
      <top style="thin">
        <color rgb="FFB7C4C7"/>
      </top>
      <bottom style="thin">
        <color indexed="64"/>
      </bottom>
      <diagonal/>
    </border>
  </borders>
  <cellStyleXfs count="3">
    <xf numFmtId="0" fontId="0" fillId="0" borderId="0"/>
    <xf numFmtId="0" fontId="34" fillId="0" borderId="0"/>
    <xf numFmtId="0" fontId="51" fillId="0" borderId="0" applyNumberFormat="0" applyFill="0" applyBorder="0" applyAlignment="0" applyProtection="0"/>
  </cellStyleXfs>
  <cellXfs count="381">
    <xf numFmtId="0" fontId="0" fillId="0" borderId="0" xfId="0"/>
    <xf numFmtId="0" fontId="4" fillId="3" borderId="0" xfId="0" applyFont="1" applyFill="1"/>
    <xf numFmtId="0" fontId="0" fillId="3" borderId="0" xfId="0" applyFill="1"/>
    <xf numFmtId="0" fontId="7" fillId="7" borderId="1" xfId="0" applyFont="1" applyFill="1" applyBorder="1" applyAlignment="1">
      <alignment vertical="center" wrapText="1"/>
    </xf>
    <xf numFmtId="0" fontId="3" fillId="0" borderId="1" xfId="0" applyFont="1" applyBorder="1"/>
    <xf numFmtId="0" fontId="9" fillId="0" borderId="1" xfId="0" applyFont="1" applyBorder="1" applyAlignment="1">
      <alignment vertical="top" wrapText="1"/>
    </xf>
    <xf numFmtId="0" fontId="10" fillId="0" borderId="0" xfId="0" applyFont="1"/>
    <xf numFmtId="0" fontId="2" fillId="0" borderId="1" xfId="0" applyFont="1" applyBorder="1"/>
    <xf numFmtId="0" fontId="9" fillId="0" borderId="1" xfId="0" applyFont="1" applyBorder="1"/>
    <xf numFmtId="0" fontId="9" fillId="0" borderId="0" xfId="0" applyFont="1"/>
    <xf numFmtId="0" fontId="8" fillId="6" borderId="1" xfId="0" applyFont="1" applyFill="1" applyBorder="1"/>
    <xf numFmtId="2" fontId="8" fillId="6" borderId="1" xfId="0" applyNumberFormat="1" applyFont="1" applyFill="1" applyBorder="1"/>
    <xf numFmtId="0" fontId="14" fillId="10" borderId="1" xfId="0" applyFont="1" applyFill="1" applyBorder="1" applyAlignment="1">
      <alignment vertical="top" wrapText="1"/>
    </xf>
    <xf numFmtId="0" fontId="5" fillId="10" borderId="1" xfId="0" applyFont="1" applyFill="1" applyBorder="1" applyAlignment="1">
      <alignment vertical="top" wrapText="1"/>
    </xf>
    <xf numFmtId="0" fontId="11" fillId="10" borderId="1" xfId="0" applyFont="1" applyFill="1" applyBorder="1" applyAlignment="1">
      <alignment horizontal="center" vertical="center"/>
    </xf>
    <xf numFmtId="0" fontId="14" fillId="8" borderId="1" xfId="0" applyFont="1" applyFill="1" applyBorder="1" applyAlignment="1">
      <alignment vertical="top" wrapText="1"/>
    </xf>
    <xf numFmtId="0" fontId="5" fillId="8" borderId="1" xfId="0" applyFont="1" applyFill="1" applyBorder="1" applyAlignment="1">
      <alignment vertical="top" wrapText="1"/>
    </xf>
    <xf numFmtId="0" fontId="11" fillId="8" borderId="1" xfId="0" applyFont="1" applyFill="1" applyBorder="1" applyAlignment="1">
      <alignment horizontal="center" vertical="center"/>
    </xf>
    <xf numFmtId="0" fontId="5" fillId="5" borderId="1" xfId="0" applyFont="1" applyFill="1" applyBorder="1" applyAlignment="1">
      <alignment vertical="top" wrapText="1"/>
    </xf>
    <xf numFmtId="0" fontId="18" fillId="0" borderId="1" xfId="0" applyFont="1" applyBorder="1"/>
    <xf numFmtId="0" fontId="6" fillId="0" borderId="1" xfId="0" applyFont="1" applyBorder="1"/>
    <xf numFmtId="165" fontId="8" fillId="6" borderId="1" xfId="0" applyNumberFormat="1" applyFont="1" applyFill="1" applyBorder="1"/>
    <xf numFmtId="0" fontId="8" fillId="5" borderId="1" xfId="0" applyFont="1" applyFill="1" applyBorder="1"/>
    <xf numFmtId="168" fontId="8" fillId="5" borderId="1" xfId="0" applyNumberFormat="1" applyFont="1" applyFill="1" applyBorder="1"/>
    <xf numFmtId="165" fontId="8" fillId="5" borderId="1" xfId="0" applyNumberFormat="1" applyFont="1" applyFill="1" applyBorder="1"/>
    <xf numFmtId="166" fontId="8" fillId="6" borderId="1" xfId="0" applyNumberFormat="1" applyFont="1" applyFill="1" applyBorder="1"/>
    <xf numFmtId="0" fontId="3" fillId="0" borderId="1" xfId="0" applyFont="1" applyBorder="1" applyAlignment="1">
      <alignment vertical="top" wrapText="1"/>
    </xf>
    <xf numFmtId="0" fontId="19" fillId="0" borderId="1" xfId="0" applyFont="1" applyBorder="1" applyAlignment="1">
      <alignment vertical="top" wrapText="1"/>
    </xf>
    <xf numFmtId="168" fontId="8" fillId="6" borderId="1" xfId="0" applyNumberFormat="1" applyFont="1" applyFill="1" applyBorder="1"/>
    <xf numFmtId="170" fontId="8" fillId="5" borderId="1" xfId="0" applyNumberFormat="1" applyFont="1" applyFill="1" applyBorder="1"/>
    <xf numFmtId="0" fontId="9" fillId="11" borderId="1" xfId="0" applyFont="1" applyFill="1" applyBorder="1"/>
    <xf numFmtId="0" fontId="3" fillId="5" borderId="1" xfId="0" applyFont="1" applyFill="1" applyBorder="1" applyAlignment="1">
      <alignment vertical="top" wrapText="1"/>
    </xf>
    <xf numFmtId="0" fontId="2" fillId="0" borderId="1" xfId="0" applyFont="1" applyBorder="1" applyAlignment="1">
      <alignment vertical="top" wrapText="1"/>
    </xf>
    <xf numFmtId="0" fontId="2" fillId="5" borderId="1" xfId="0" applyFont="1" applyFill="1" applyBorder="1" applyAlignment="1">
      <alignment vertical="top" wrapText="1"/>
    </xf>
    <xf numFmtId="0" fontId="9" fillId="5" borderId="1" xfId="0" applyFont="1" applyFill="1" applyBorder="1" applyAlignment="1">
      <alignment vertical="top" wrapText="1"/>
    </xf>
    <xf numFmtId="49" fontId="3" fillId="0" borderId="1" xfId="0" applyNumberFormat="1" applyFont="1" applyBorder="1" applyAlignment="1">
      <alignment horizontal="left"/>
    </xf>
    <xf numFmtId="0" fontId="20" fillId="0" borderId="1" xfId="0" applyFont="1" applyBorder="1"/>
    <xf numFmtId="0" fontId="5" fillId="0" borderId="1" xfId="0" applyFont="1" applyBorder="1" applyAlignment="1">
      <alignment vertical="top" wrapText="1"/>
    </xf>
    <xf numFmtId="0" fontId="20" fillId="0" borderId="1" xfId="0" applyFont="1" applyBorder="1" applyAlignment="1">
      <alignment vertical="top" wrapText="1"/>
    </xf>
    <xf numFmtId="0" fontId="20" fillId="5" borderId="1" xfId="0" applyFont="1" applyFill="1" applyBorder="1" applyAlignment="1">
      <alignment vertical="top" wrapText="1"/>
    </xf>
    <xf numFmtId="0" fontId="20" fillId="10" borderId="1" xfId="0" applyFont="1" applyFill="1" applyBorder="1" applyAlignment="1">
      <alignment vertical="top" wrapText="1"/>
    </xf>
    <xf numFmtId="0" fontId="2" fillId="0" borderId="2" xfId="0" applyFont="1" applyBorder="1" applyAlignment="1">
      <alignment vertical="center" wrapText="1"/>
    </xf>
    <xf numFmtId="0" fontId="3" fillId="0" borderId="2" xfId="0" applyFont="1" applyBorder="1"/>
    <xf numFmtId="0" fontId="22" fillId="0" borderId="2" xfId="0" applyFont="1" applyBorder="1" applyAlignment="1">
      <alignment vertical="top" wrapText="1"/>
    </xf>
    <xf numFmtId="0" fontId="0" fillId="0" borderId="2" xfId="0" applyBorder="1"/>
    <xf numFmtId="166" fontId="3" fillId="8" borderId="2" xfId="0" applyNumberFormat="1" applyFont="1" applyFill="1" applyBorder="1"/>
    <xf numFmtId="0" fontId="7" fillId="7" borderId="2" xfId="0" applyFont="1" applyFill="1" applyBorder="1" applyAlignment="1">
      <alignment vertical="center" wrapText="1"/>
    </xf>
    <xf numFmtId="0" fontId="3" fillId="8" borderId="2" xfId="0" applyFont="1" applyFill="1" applyBorder="1" applyAlignment="1">
      <alignment vertical="center" wrapText="1"/>
    </xf>
    <xf numFmtId="0" fontId="3" fillId="5" borderId="2" xfId="0" applyFont="1" applyFill="1" applyBorder="1" applyAlignment="1">
      <alignment vertical="center" wrapText="1"/>
    </xf>
    <xf numFmtId="0" fontId="0" fillId="0" borderId="0" xfId="0" applyFont="1"/>
    <xf numFmtId="0" fontId="0" fillId="0" borderId="2" xfId="0" applyFont="1" applyBorder="1"/>
    <xf numFmtId="0" fontId="3" fillId="8" borderId="2" xfId="0" applyFont="1" applyFill="1" applyBorder="1"/>
    <xf numFmtId="0" fontId="8" fillId="6" borderId="2" xfId="0" applyFont="1" applyFill="1" applyBorder="1"/>
    <xf numFmtId="2" fontId="3" fillId="8" borderId="2" xfId="0" applyNumberFormat="1" applyFont="1" applyFill="1" applyBorder="1"/>
    <xf numFmtId="2" fontId="8" fillId="6" borderId="2" xfId="0" applyNumberFormat="1" applyFont="1" applyFill="1" applyBorder="1"/>
    <xf numFmtId="0" fontId="2" fillId="8" borderId="2" xfId="0" applyFont="1" applyFill="1" applyBorder="1"/>
    <xf numFmtId="2" fontId="2" fillId="8" borderId="2" xfId="0" applyNumberFormat="1" applyFont="1" applyFill="1" applyBorder="1"/>
    <xf numFmtId="3" fontId="2" fillId="8" borderId="2" xfId="0" applyNumberFormat="1" applyFont="1" applyFill="1" applyBorder="1"/>
    <xf numFmtId="0" fontId="22" fillId="8" borderId="2" xfId="0" applyFont="1" applyFill="1" applyBorder="1"/>
    <xf numFmtId="0" fontId="5" fillId="5" borderId="2" xfId="0" applyFont="1" applyFill="1" applyBorder="1" applyAlignment="1">
      <alignment vertical="center" wrapText="1"/>
    </xf>
    <xf numFmtId="0" fontId="17" fillId="6" borderId="2" xfId="0" applyFont="1" applyFill="1" applyBorder="1" applyAlignment="1">
      <alignment vertical="center" wrapText="1"/>
    </xf>
    <xf numFmtId="168" fontId="5" fillId="5" borderId="2" xfId="0" applyNumberFormat="1" applyFont="1" applyFill="1" applyBorder="1" applyAlignment="1">
      <alignment vertical="center" wrapText="1"/>
    </xf>
    <xf numFmtId="2" fontId="5" fillId="5" borderId="2" xfId="0" applyNumberFormat="1" applyFont="1" applyFill="1" applyBorder="1" applyAlignment="1">
      <alignment vertical="center" wrapText="1"/>
    </xf>
    <xf numFmtId="0" fontId="14" fillId="5" borderId="2" xfId="0" applyFont="1" applyFill="1" applyBorder="1" applyAlignment="1">
      <alignment vertical="center" wrapText="1"/>
    </xf>
    <xf numFmtId="0" fontId="5" fillId="8" borderId="2" xfId="0" applyFont="1" applyFill="1" applyBorder="1" applyAlignment="1">
      <alignment vertical="center" wrapText="1"/>
    </xf>
    <xf numFmtId="165" fontId="17" fillId="6" borderId="2" xfId="0" applyNumberFormat="1" applyFont="1" applyFill="1" applyBorder="1" applyAlignment="1">
      <alignment vertical="center" wrapText="1"/>
    </xf>
    <xf numFmtId="2" fontId="5" fillId="8" borderId="2" xfId="0" applyNumberFormat="1" applyFont="1" applyFill="1" applyBorder="1" applyAlignment="1">
      <alignment vertical="center" wrapText="1"/>
    </xf>
    <xf numFmtId="168" fontId="5" fillId="8" borderId="2" xfId="0" applyNumberFormat="1" applyFont="1" applyFill="1" applyBorder="1" applyAlignment="1">
      <alignment vertical="center" wrapText="1"/>
    </xf>
    <xf numFmtId="0" fontId="14" fillId="8" borderId="2" xfId="0" applyFont="1" applyFill="1" applyBorder="1" applyAlignment="1">
      <alignment vertical="center" wrapText="1"/>
    </xf>
    <xf numFmtId="2" fontId="17" fillId="6" borderId="2" xfId="0" applyNumberFormat="1" applyFont="1" applyFill="1" applyBorder="1" applyAlignment="1">
      <alignment vertical="center" wrapText="1"/>
    </xf>
    <xf numFmtId="166" fontId="17" fillId="6" borderId="2" xfId="0" applyNumberFormat="1" applyFont="1" applyFill="1" applyBorder="1" applyAlignment="1">
      <alignment vertical="center" wrapText="1"/>
    </xf>
    <xf numFmtId="168" fontId="3" fillId="5" borderId="2" xfId="0" applyNumberFormat="1" applyFont="1" applyFill="1" applyBorder="1"/>
    <xf numFmtId="0" fontId="7" fillId="7"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168" fontId="5" fillId="8" borderId="2" xfId="0" applyNumberFormat="1" applyFont="1" applyFill="1" applyBorder="1" applyAlignment="1">
      <alignment horizontal="left" vertical="center" wrapText="1"/>
    </xf>
    <xf numFmtId="0" fontId="14" fillId="8"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168" fontId="5" fillId="5" borderId="2" xfId="0" applyNumberFormat="1" applyFont="1" applyFill="1" applyBorder="1" applyAlignment="1">
      <alignment horizontal="left" vertical="center" wrapText="1"/>
    </xf>
    <xf numFmtId="0" fontId="14" fillId="5" borderId="2" xfId="0" applyFont="1" applyFill="1" applyBorder="1" applyAlignment="1">
      <alignment horizontal="left" vertical="center" wrapText="1"/>
    </xf>
    <xf numFmtId="0" fontId="17" fillId="6" borderId="2" xfId="0" applyFont="1" applyFill="1" applyBorder="1" applyAlignment="1">
      <alignment horizontal="left" vertical="center" wrapText="1"/>
    </xf>
    <xf numFmtId="2" fontId="17" fillId="6" borderId="2" xfId="0" applyNumberFormat="1" applyFont="1" applyFill="1" applyBorder="1" applyAlignment="1">
      <alignment horizontal="left" vertical="center" wrapText="1"/>
    </xf>
    <xf numFmtId="165" fontId="17" fillId="6" borderId="2" xfId="0" applyNumberFormat="1" applyFont="1" applyFill="1" applyBorder="1" applyAlignment="1">
      <alignment horizontal="left" vertical="center" wrapText="1"/>
    </xf>
    <xf numFmtId="2" fontId="5" fillId="5" borderId="2" xfId="0" applyNumberFormat="1" applyFont="1" applyFill="1" applyBorder="1" applyAlignment="1">
      <alignment horizontal="left" vertical="center" wrapText="1"/>
    </xf>
    <xf numFmtId="0" fontId="2" fillId="0" borderId="2" xfId="0" applyFont="1" applyBorder="1"/>
    <xf numFmtId="1" fontId="2" fillId="8" borderId="2" xfId="0" applyNumberFormat="1" applyFont="1" applyFill="1" applyBorder="1"/>
    <xf numFmtId="168" fontId="2" fillId="8" borderId="2" xfId="0" applyNumberFormat="1" applyFont="1" applyFill="1" applyBorder="1"/>
    <xf numFmtId="169" fontId="2" fillId="8" borderId="2" xfId="0" applyNumberFormat="1" applyFont="1" applyFill="1" applyBorder="1"/>
    <xf numFmtId="0" fontId="25" fillId="0" borderId="0" xfId="0" applyFont="1"/>
    <xf numFmtId="3" fontId="3" fillId="8" borderId="2" xfId="0" applyNumberFormat="1" applyFont="1" applyFill="1" applyBorder="1"/>
    <xf numFmtId="165" fontId="3" fillId="8" borderId="2" xfId="0" applyNumberFormat="1" applyFont="1" applyFill="1" applyBorder="1"/>
    <xf numFmtId="167" fontId="3" fillId="8" borderId="2" xfId="0" applyNumberFormat="1" applyFont="1" applyFill="1" applyBorder="1"/>
    <xf numFmtId="3" fontId="12" fillId="9" borderId="2" xfId="0" applyNumberFormat="1" applyFont="1" applyFill="1" applyBorder="1"/>
    <xf numFmtId="164" fontId="3" fillId="8" borderId="2" xfId="0" applyNumberFormat="1" applyFont="1" applyFill="1" applyBorder="1"/>
    <xf numFmtId="0" fontId="22" fillId="0" borderId="2" xfId="0" applyFont="1" applyBorder="1"/>
    <xf numFmtId="0" fontId="2" fillId="7" borderId="2" xfId="0" applyFont="1" applyFill="1" applyBorder="1"/>
    <xf numFmtId="3" fontId="2" fillId="7" borderId="2" xfId="0" applyNumberFormat="1" applyFont="1" applyFill="1" applyBorder="1"/>
    <xf numFmtId="2" fontId="2" fillId="7" borderId="2" xfId="0" applyNumberFormat="1" applyFont="1" applyFill="1" applyBorder="1"/>
    <xf numFmtId="165" fontId="2" fillId="7" borderId="2" xfId="0" applyNumberFormat="1" applyFont="1" applyFill="1" applyBorder="1"/>
    <xf numFmtId="0" fontId="24" fillId="7" borderId="2" xfId="0" applyFont="1" applyFill="1" applyBorder="1" applyAlignment="1">
      <alignment vertical="center" wrapText="1"/>
    </xf>
    <xf numFmtId="3" fontId="22" fillId="8" borderId="2" xfId="0" applyNumberFormat="1" applyFont="1" applyFill="1" applyBorder="1"/>
    <xf numFmtId="167" fontId="22" fillId="8" borderId="2" xfId="0" applyNumberFormat="1" applyFont="1" applyFill="1" applyBorder="1"/>
    <xf numFmtId="166" fontId="22" fillId="8" borderId="2" xfId="0" applyNumberFormat="1" applyFont="1" applyFill="1" applyBorder="1"/>
    <xf numFmtId="165" fontId="2" fillId="8" borderId="2" xfId="0" applyNumberFormat="1" applyFont="1" applyFill="1" applyBorder="1"/>
    <xf numFmtId="0" fontId="15" fillId="7" borderId="2" xfId="0" applyFont="1" applyFill="1" applyBorder="1" applyAlignment="1">
      <alignment horizontal="left"/>
    </xf>
    <xf numFmtId="167" fontId="3" fillId="8" borderId="2" xfId="0" applyNumberFormat="1" applyFont="1" applyFill="1" applyBorder="1" applyAlignment="1">
      <alignment horizontal="left"/>
    </xf>
    <xf numFmtId="3" fontId="3" fillId="8" borderId="2" xfId="0" applyNumberFormat="1" applyFont="1" applyFill="1" applyBorder="1" applyAlignment="1">
      <alignment horizontal="left"/>
    </xf>
    <xf numFmtId="0" fontId="26" fillId="7" borderId="2" xfId="0" applyFont="1" applyFill="1" applyBorder="1" applyAlignment="1">
      <alignment horizontal="left"/>
    </xf>
    <xf numFmtId="0" fontId="22" fillId="0" borderId="2" xfId="0" applyFont="1" applyBorder="1" applyAlignment="1">
      <alignment horizontal="left"/>
    </xf>
    <xf numFmtId="0" fontId="26" fillId="0" borderId="2" xfId="0" applyFont="1" applyBorder="1"/>
    <xf numFmtId="0" fontId="24" fillId="0" borderId="2" xfId="0" applyFont="1" applyBorder="1"/>
    <xf numFmtId="2" fontId="27" fillId="8" borderId="2" xfId="0" applyNumberFormat="1" applyFont="1" applyFill="1" applyBorder="1"/>
    <xf numFmtId="0" fontId="27" fillId="0" borderId="2" xfId="0" applyFont="1" applyBorder="1"/>
    <xf numFmtId="165" fontId="27" fillId="8" borderId="2" xfId="0" applyNumberFormat="1" applyFont="1" applyFill="1" applyBorder="1"/>
    <xf numFmtId="0" fontId="27" fillId="8" borderId="2" xfId="0" applyFont="1" applyFill="1" applyBorder="1"/>
    <xf numFmtId="0" fontId="24" fillId="0" borderId="7" xfId="0" applyFont="1" applyBorder="1"/>
    <xf numFmtId="0" fontId="27" fillId="8" borderId="7" xfId="0" applyFont="1" applyFill="1" applyBorder="1"/>
    <xf numFmtId="0" fontId="22" fillId="0" borderId="7" xfId="0" applyFont="1" applyBorder="1" applyAlignment="1">
      <alignment vertical="top" wrapText="1"/>
    </xf>
    <xf numFmtId="0" fontId="11" fillId="0" borderId="2" xfId="0" applyFont="1" applyBorder="1"/>
    <xf numFmtId="3" fontId="27" fillId="8" borderId="2" xfId="0" applyNumberFormat="1" applyFont="1" applyFill="1" applyBorder="1"/>
    <xf numFmtId="3" fontId="28" fillId="8" borderId="2" xfId="0" applyNumberFormat="1" applyFont="1" applyFill="1" applyBorder="1"/>
    <xf numFmtId="0" fontId="24" fillId="8" borderId="2" xfId="0" applyFont="1" applyFill="1" applyBorder="1"/>
    <xf numFmtId="0" fontId="24" fillId="7" borderId="2" xfId="0" applyFont="1" applyFill="1" applyBorder="1"/>
    <xf numFmtId="2" fontId="24" fillId="7" borderId="2" xfId="0" applyNumberFormat="1" applyFont="1" applyFill="1" applyBorder="1"/>
    <xf numFmtId="3" fontId="24" fillId="7" borderId="2" xfId="0" applyNumberFormat="1" applyFont="1" applyFill="1" applyBorder="1"/>
    <xf numFmtId="165" fontId="24" fillId="7" borderId="2" xfId="0" applyNumberFormat="1" applyFont="1" applyFill="1" applyBorder="1"/>
    <xf numFmtId="167" fontId="27" fillId="8" borderId="2" xfId="0" applyNumberFormat="1" applyFont="1" applyFill="1" applyBorder="1"/>
    <xf numFmtId="3" fontId="27" fillId="8" borderId="7" xfId="0" applyNumberFormat="1" applyFont="1" applyFill="1" applyBorder="1"/>
    <xf numFmtId="0" fontId="27" fillId="0" borderId="7" xfId="0" applyFont="1" applyBorder="1"/>
    <xf numFmtId="0" fontId="22" fillId="8" borderId="2" xfId="0" applyFont="1" applyFill="1" applyBorder="1" applyAlignment="1">
      <alignment vertical="center" wrapText="1"/>
    </xf>
    <xf numFmtId="0" fontId="24" fillId="8" borderId="2" xfId="0" applyFont="1" applyFill="1" applyBorder="1" applyAlignment="1">
      <alignment vertical="center" wrapText="1"/>
    </xf>
    <xf numFmtId="3" fontId="24" fillId="8" borderId="2" xfId="0" applyNumberFormat="1" applyFont="1" applyFill="1" applyBorder="1" applyAlignment="1">
      <alignment vertical="center" wrapText="1"/>
    </xf>
    <xf numFmtId="167" fontId="22" fillId="8" borderId="2" xfId="0" applyNumberFormat="1" applyFont="1" applyFill="1" applyBorder="1" applyAlignment="1">
      <alignment vertical="center" wrapText="1"/>
    </xf>
    <xf numFmtId="166" fontId="22" fillId="8" borderId="2" xfId="0" applyNumberFormat="1" applyFont="1" applyFill="1" applyBorder="1" applyAlignment="1">
      <alignment vertical="center" wrapText="1"/>
    </xf>
    <xf numFmtId="168" fontId="29" fillId="8" borderId="2" xfId="0" applyNumberFormat="1" applyFont="1" applyFill="1" applyBorder="1" applyAlignment="1">
      <alignment vertical="center" wrapText="1"/>
    </xf>
    <xf numFmtId="0" fontId="22" fillId="5" borderId="2" xfId="0" applyFont="1" applyFill="1" applyBorder="1" applyAlignment="1">
      <alignment vertical="center" wrapText="1"/>
    </xf>
    <xf numFmtId="0" fontId="24" fillId="5" borderId="2" xfId="0" applyFont="1" applyFill="1" applyBorder="1" applyAlignment="1">
      <alignment vertical="center" wrapText="1"/>
    </xf>
    <xf numFmtId="3" fontId="24" fillId="5" borderId="2" xfId="0" applyNumberFormat="1" applyFont="1" applyFill="1" applyBorder="1" applyAlignment="1">
      <alignment vertical="center" wrapText="1"/>
    </xf>
    <xf numFmtId="167" fontId="22" fillId="5" borderId="2" xfId="0" applyNumberFormat="1" applyFont="1" applyFill="1" applyBorder="1" applyAlignment="1">
      <alignment vertical="center" wrapText="1"/>
    </xf>
    <xf numFmtId="166" fontId="22" fillId="5" borderId="2" xfId="0" applyNumberFormat="1" applyFont="1" applyFill="1" applyBorder="1" applyAlignment="1">
      <alignment vertical="center" wrapText="1"/>
    </xf>
    <xf numFmtId="168" fontId="29" fillId="5" borderId="2" xfId="0" applyNumberFormat="1" applyFont="1" applyFill="1" applyBorder="1" applyAlignment="1">
      <alignment vertical="center" wrapText="1"/>
    </xf>
    <xf numFmtId="0" fontId="24" fillId="8" borderId="2" xfId="0" applyFont="1" applyFill="1" applyBorder="1" applyAlignment="1">
      <alignment vertical="top" wrapText="1"/>
    </xf>
    <xf numFmtId="0" fontId="22" fillId="8" borderId="2" xfId="0" applyFont="1" applyFill="1" applyBorder="1" applyAlignment="1">
      <alignment vertical="top" wrapText="1"/>
    </xf>
    <xf numFmtId="0" fontId="27" fillId="8" borderId="2" xfId="0" applyFont="1" applyFill="1" applyBorder="1" applyAlignment="1">
      <alignment vertical="top" wrapText="1"/>
    </xf>
    <xf numFmtId="0" fontId="26" fillId="9" borderId="2" xfId="0" applyFont="1" applyFill="1" applyBorder="1" applyAlignment="1">
      <alignment vertical="top" wrapText="1"/>
    </xf>
    <xf numFmtId="0" fontId="26" fillId="8" borderId="2" xfId="0" applyFont="1" applyFill="1" applyBorder="1" applyAlignment="1">
      <alignment vertical="top" wrapText="1"/>
    </xf>
    <xf numFmtId="0" fontId="26" fillId="5" borderId="2" xfId="0" applyFont="1" applyFill="1" applyBorder="1" applyAlignment="1">
      <alignment vertical="top" wrapText="1"/>
    </xf>
    <xf numFmtId="0" fontId="22" fillId="5" borderId="2" xfId="0" applyFont="1" applyFill="1" applyBorder="1" applyAlignment="1">
      <alignment vertical="top" wrapText="1"/>
    </xf>
    <xf numFmtId="0" fontId="2" fillId="8" borderId="3" xfId="0" applyFont="1" applyFill="1" applyBorder="1" applyAlignment="1">
      <alignment vertical="center" wrapText="1"/>
    </xf>
    <xf numFmtId="0" fontId="3" fillId="8" borderId="3" xfId="0" applyFont="1" applyFill="1" applyBorder="1" applyAlignment="1">
      <alignment vertical="center" wrapText="1"/>
    </xf>
    <xf numFmtId="0" fontId="2" fillId="8" borderId="2" xfId="0" applyFont="1" applyFill="1" applyBorder="1" applyAlignment="1">
      <alignment vertical="center" wrapText="1"/>
    </xf>
    <xf numFmtId="0" fontId="7" fillId="7" borderId="3" xfId="0" applyFont="1" applyFill="1" applyBorder="1" applyAlignment="1">
      <alignment vertical="center" wrapText="1"/>
    </xf>
    <xf numFmtId="0" fontId="37" fillId="5" borderId="10" xfId="0" applyFont="1" applyFill="1" applyBorder="1" applyAlignment="1">
      <alignment horizontal="left" vertical="center" wrapText="1"/>
    </xf>
    <xf numFmtId="0" fontId="0" fillId="0" borderId="0" xfId="0" applyAlignment="1"/>
    <xf numFmtId="0" fontId="37" fillId="5" borderId="11" xfId="0" applyFont="1" applyFill="1" applyBorder="1" applyAlignment="1">
      <alignment horizontal="left" vertical="center" wrapText="1"/>
    </xf>
    <xf numFmtId="0" fontId="36" fillId="12" borderId="18" xfId="0" applyFont="1" applyFill="1" applyBorder="1" applyAlignment="1">
      <alignment horizontal="center" vertical="center" wrapText="1"/>
    </xf>
    <xf numFmtId="0" fontId="35" fillId="13" borderId="2" xfId="0" applyFont="1" applyFill="1" applyBorder="1" applyAlignment="1">
      <alignment horizontal="center" vertical="center"/>
    </xf>
    <xf numFmtId="0" fontId="43" fillId="13" borderId="2" xfId="0" applyFont="1" applyFill="1" applyBorder="1" applyAlignment="1">
      <alignment horizontal="center" vertical="center" wrapText="1"/>
    </xf>
    <xf numFmtId="0" fontId="26" fillId="0" borderId="2" xfId="0" applyFont="1" applyBorder="1" applyAlignment="1">
      <alignment vertical="top" wrapText="1"/>
    </xf>
    <xf numFmtId="0" fontId="44" fillId="7" borderId="2" xfId="0" applyFont="1" applyFill="1" applyBorder="1" applyAlignment="1">
      <alignment horizontal="center" vertical="center" wrapText="1"/>
    </xf>
    <xf numFmtId="0" fontId="40" fillId="0" borderId="2" xfId="0" applyFont="1" applyBorder="1"/>
    <xf numFmtId="0" fontId="47" fillId="0" borderId="2" xfId="0" applyFont="1" applyBorder="1"/>
    <xf numFmtId="166" fontId="40" fillId="8" borderId="2" xfId="0" applyNumberFormat="1" applyFont="1" applyFill="1" applyBorder="1"/>
    <xf numFmtId="0" fontId="48" fillId="0" borderId="2" xfId="0" applyFont="1" applyBorder="1"/>
    <xf numFmtId="0" fontId="49" fillId="5" borderId="2" xfId="0" applyFont="1" applyFill="1" applyBorder="1" applyAlignment="1">
      <alignment horizontal="left" vertical="center" wrapText="1"/>
    </xf>
    <xf numFmtId="3" fontId="11" fillId="8" borderId="2" xfId="0" applyNumberFormat="1" applyFont="1" applyFill="1" applyBorder="1" applyAlignment="1">
      <alignment horizontal="left" vertical="center" wrapText="1"/>
    </xf>
    <xf numFmtId="0" fontId="37" fillId="7" borderId="2" xfId="0" applyFont="1" applyFill="1" applyBorder="1" applyAlignment="1">
      <alignment vertical="center" wrapText="1"/>
    </xf>
    <xf numFmtId="1" fontId="37" fillId="8" borderId="2" xfId="0" applyNumberFormat="1" applyFont="1" applyFill="1" applyBorder="1" applyAlignment="1">
      <alignment horizontal="left"/>
    </xf>
    <xf numFmtId="0" fontId="38" fillId="0" borderId="2" xfId="0" applyFont="1" applyBorder="1"/>
    <xf numFmtId="3" fontId="37" fillId="8" borderId="2" xfId="0" applyNumberFormat="1" applyFont="1" applyFill="1" applyBorder="1" applyAlignment="1">
      <alignment horizontal="left"/>
    </xf>
    <xf numFmtId="165" fontId="37" fillId="8" borderId="2" xfId="0" applyNumberFormat="1" applyFont="1" applyFill="1" applyBorder="1" applyAlignment="1">
      <alignment horizontal="left"/>
    </xf>
    <xf numFmtId="0" fontId="37" fillId="8" borderId="2" xfId="0" applyFont="1" applyFill="1" applyBorder="1"/>
    <xf numFmtId="0" fontId="50" fillId="8" borderId="2" xfId="0" applyFont="1" applyFill="1" applyBorder="1" applyAlignment="1">
      <alignment vertical="center" wrapText="1"/>
    </xf>
    <xf numFmtId="2" fontId="27" fillId="14" borderId="2" xfId="0" applyNumberFormat="1" applyFont="1" applyFill="1" applyBorder="1"/>
    <xf numFmtId="164" fontId="27" fillId="14" borderId="2" xfId="0" applyNumberFormat="1" applyFont="1" applyFill="1" applyBorder="1"/>
    <xf numFmtId="165" fontId="27" fillId="14" borderId="2" xfId="0" applyNumberFormat="1" applyFont="1" applyFill="1" applyBorder="1"/>
    <xf numFmtId="0" fontId="27" fillId="14" borderId="2" xfId="0" applyFont="1" applyFill="1" applyBorder="1"/>
    <xf numFmtId="168" fontId="27" fillId="15" borderId="2" xfId="0" applyNumberFormat="1" applyFont="1" applyFill="1" applyBorder="1"/>
    <xf numFmtId="0" fontId="27" fillId="15" borderId="2" xfId="0" applyFont="1" applyFill="1" applyBorder="1"/>
    <xf numFmtId="0" fontId="8" fillId="6" borderId="2" xfId="0" applyFont="1" applyFill="1" applyBorder="1" applyAlignment="1">
      <alignment horizontal="left" vertical="center" wrapText="1"/>
    </xf>
    <xf numFmtId="14" fontId="8" fillId="6" borderId="2" xfId="0" applyNumberFormat="1" applyFont="1" applyFill="1" applyBorder="1" applyAlignment="1">
      <alignment horizontal="left" vertical="center" wrapText="1"/>
    </xf>
    <xf numFmtId="1" fontId="8" fillId="6" borderId="2" xfId="0" applyNumberFormat="1" applyFont="1" applyFill="1" applyBorder="1" applyAlignment="1">
      <alignment horizontal="left" vertical="center" wrapText="1"/>
    </xf>
    <xf numFmtId="164" fontId="8" fillId="6" borderId="2" xfId="0" applyNumberFormat="1" applyFont="1" applyFill="1" applyBorder="1" applyAlignment="1">
      <alignment horizontal="left" vertical="center" wrapText="1"/>
    </xf>
    <xf numFmtId="165" fontId="8" fillId="6" borderId="2" xfId="0" applyNumberFormat="1" applyFont="1" applyFill="1" applyBorder="1" applyAlignment="1">
      <alignment horizontal="left" vertical="center" wrapText="1"/>
    </xf>
    <xf numFmtId="166" fontId="8" fillId="6" borderId="2" xfId="0" applyNumberFormat="1" applyFont="1" applyFill="1" applyBorder="1" applyAlignment="1">
      <alignment horizontal="left" vertical="center" wrapText="1"/>
    </xf>
    <xf numFmtId="2" fontId="8" fillId="6" borderId="2" xfId="0" applyNumberFormat="1" applyFont="1" applyFill="1" applyBorder="1" applyAlignment="1">
      <alignment horizontal="left" vertical="center" wrapText="1"/>
    </xf>
    <xf numFmtId="0" fontId="25" fillId="0" borderId="1" xfId="0" applyFont="1" applyBorder="1"/>
    <xf numFmtId="0" fontId="0" fillId="0" borderId="0" xfId="0" applyAlignment="1">
      <alignment horizontal="left"/>
    </xf>
    <xf numFmtId="164" fontId="23" fillId="16" borderId="9" xfId="0" applyNumberFormat="1" applyFont="1" applyFill="1" applyBorder="1" applyAlignment="1"/>
    <xf numFmtId="164" fontId="23" fillId="16" borderId="8" xfId="0" applyNumberFormat="1" applyFont="1" applyFill="1" applyBorder="1" applyAlignment="1"/>
    <xf numFmtId="164" fontId="3" fillId="16" borderId="10" xfId="0" applyNumberFormat="1" applyFont="1" applyFill="1" applyBorder="1" applyAlignment="1">
      <alignment horizontal="left"/>
    </xf>
    <xf numFmtId="0" fontId="53" fillId="12" borderId="18" xfId="0" applyFont="1" applyFill="1" applyBorder="1" applyAlignment="1">
      <alignment horizontal="center" vertical="center" wrapText="1"/>
    </xf>
    <xf numFmtId="0" fontId="55" fillId="0" borderId="2" xfId="0" applyFont="1" applyBorder="1" applyAlignment="1">
      <alignment vertical="center" wrapText="1"/>
    </xf>
    <xf numFmtId="0" fontId="10" fillId="0" borderId="0" xfId="0" applyFont="1" applyBorder="1" applyAlignment="1">
      <alignment vertical="top" wrapText="1"/>
    </xf>
    <xf numFmtId="0" fontId="3" fillId="8" borderId="2" xfId="0" applyFont="1" applyFill="1" applyBorder="1" applyAlignment="1">
      <alignment vertical="center" wrapText="1"/>
    </xf>
    <xf numFmtId="0" fontId="7" fillId="18" borderId="29" xfId="0" applyNumberFormat="1" applyFont="1" applyFill="1" applyBorder="1" applyAlignment="1">
      <alignment horizontal="center" vertical="center" wrapText="1"/>
    </xf>
    <xf numFmtId="0" fontId="7" fillId="18" borderId="30" xfId="0" applyNumberFormat="1" applyFont="1" applyFill="1" applyBorder="1" applyAlignment="1">
      <alignment horizontal="center" vertical="center" wrapText="1"/>
    </xf>
    <xf numFmtId="0" fontId="7" fillId="18" borderId="31" xfId="0" applyNumberFormat="1" applyFont="1" applyFill="1" applyBorder="1" applyAlignment="1">
      <alignment horizontal="center" vertical="center" wrapText="1"/>
    </xf>
    <xf numFmtId="0" fontId="5" fillId="0" borderId="36" xfId="0" applyNumberFormat="1" applyFont="1" applyFill="1" applyBorder="1" applyAlignment="1">
      <alignment vertical="top" wrapText="1"/>
    </xf>
    <xf numFmtId="0" fontId="5" fillId="0" borderId="37" xfId="0" applyNumberFormat="1" applyFont="1" applyFill="1" applyBorder="1" applyAlignment="1">
      <alignment vertical="top" wrapText="1"/>
    </xf>
    <xf numFmtId="0" fontId="5" fillId="0" borderId="0" xfId="0" applyNumberFormat="1" applyFont="1" applyFill="1" applyBorder="1" applyAlignment="1">
      <alignment vertical="top" wrapText="1"/>
    </xf>
    <xf numFmtId="0" fontId="5" fillId="0" borderId="39" xfId="0" applyNumberFormat="1" applyFont="1" applyFill="1" applyBorder="1" applyAlignment="1">
      <alignment vertical="top" wrapText="1"/>
    </xf>
    <xf numFmtId="0" fontId="5" fillId="0" borderId="41" xfId="0" applyNumberFormat="1" applyFont="1" applyFill="1" applyBorder="1" applyAlignment="1">
      <alignment vertical="top" wrapText="1"/>
    </xf>
    <xf numFmtId="0" fontId="5" fillId="0" borderId="42" xfId="0" applyNumberFormat="1" applyFont="1" applyFill="1" applyBorder="1" applyAlignment="1">
      <alignment vertical="top" wrapText="1"/>
    </xf>
    <xf numFmtId="49" fontId="5" fillId="0" borderId="35" xfId="0" applyNumberFormat="1" applyFont="1" applyFill="1" applyBorder="1" applyAlignment="1">
      <alignment vertical="top" wrapText="1"/>
    </xf>
    <xf numFmtId="49" fontId="5" fillId="0" borderId="38" xfId="0" applyNumberFormat="1" applyFont="1" applyFill="1" applyBorder="1" applyAlignment="1">
      <alignment vertical="top" wrapText="1"/>
    </xf>
    <xf numFmtId="49" fontId="5" fillId="0" borderId="40" xfId="0" applyNumberFormat="1" applyFont="1" applyFill="1" applyBorder="1" applyAlignment="1">
      <alignment vertical="top" wrapText="1"/>
    </xf>
    <xf numFmtId="164" fontId="5" fillId="0" borderId="36" xfId="0" applyNumberFormat="1" applyFont="1" applyFill="1" applyBorder="1" applyAlignment="1">
      <alignment vertical="top" wrapText="1"/>
    </xf>
    <xf numFmtId="164" fontId="5" fillId="0" borderId="0" xfId="0" applyNumberFormat="1" applyFont="1" applyFill="1" applyBorder="1" applyAlignment="1">
      <alignment vertical="top" wrapText="1"/>
    </xf>
    <xf numFmtId="164" fontId="5" fillId="0" borderId="41" xfId="0" applyNumberFormat="1" applyFont="1" applyFill="1" applyBorder="1" applyAlignment="1">
      <alignment vertical="top" wrapText="1"/>
    </xf>
    <xf numFmtId="1" fontId="5" fillId="0" borderId="36" xfId="0" applyNumberFormat="1" applyFont="1" applyFill="1" applyBorder="1" applyAlignment="1">
      <alignment vertical="top" wrapText="1"/>
    </xf>
    <xf numFmtId="1" fontId="5" fillId="0" borderId="0" xfId="0" applyNumberFormat="1" applyFont="1" applyFill="1" applyBorder="1" applyAlignment="1">
      <alignment vertical="top" wrapText="1"/>
    </xf>
    <xf numFmtId="1" fontId="5" fillId="0" borderId="41" xfId="0" applyNumberFormat="1" applyFont="1" applyFill="1" applyBorder="1" applyAlignment="1">
      <alignment vertical="top" wrapText="1"/>
    </xf>
    <xf numFmtId="0" fontId="7" fillId="18" borderId="3" xfId="0" applyNumberFormat="1" applyFont="1" applyFill="1" applyBorder="1" applyAlignment="1">
      <alignment wrapText="1"/>
    </xf>
    <xf numFmtId="0" fontId="7" fillId="18" borderId="43" xfId="0" applyNumberFormat="1" applyFont="1" applyFill="1" applyBorder="1" applyAlignment="1">
      <alignment wrapText="1"/>
    </xf>
    <xf numFmtId="0" fontId="7" fillId="18" borderId="44" xfId="0" applyNumberFormat="1" applyFont="1" applyFill="1" applyBorder="1" applyAlignment="1">
      <alignment wrapText="1"/>
    </xf>
    <xf numFmtId="0" fontId="8" fillId="20" borderId="3" xfId="0" applyNumberFormat="1" applyFont="1" applyFill="1" applyBorder="1"/>
    <xf numFmtId="0" fontId="8" fillId="20" borderId="44" xfId="0" applyNumberFormat="1" applyFont="1" applyFill="1" applyBorder="1"/>
    <xf numFmtId="0" fontId="3" fillId="21" borderId="3" xfId="0" applyNumberFormat="1" applyFont="1" applyFill="1" applyBorder="1" applyAlignment="1">
      <alignment wrapText="1"/>
    </xf>
    <xf numFmtId="0" fontId="3" fillId="21" borderId="44" xfId="0" applyNumberFormat="1" applyFont="1" applyFill="1" applyBorder="1" applyAlignment="1">
      <alignment wrapText="1"/>
    </xf>
    <xf numFmtId="0" fontId="5" fillId="21" borderId="3" xfId="0" applyNumberFormat="1" applyFont="1" applyFill="1" applyBorder="1" applyAlignment="1">
      <alignment wrapText="1"/>
    </xf>
    <xf numFmtId="0" fontId="5" fillId="21" borderId="43" xfId="0" applyNumberFormat="1" applyFont="1" applyFill="1" applyBorder="1" applyAlignment="1">
      <alignment wrapText="1"/>
    </xf>
    <xf numFmtId="0" fontId="5" fillId="21" borderId="44" xfId="0" applyNumberFormat="1" applyFont="1" applyFill="1" applyBorder="1" applyAlignment="1">
      <alignment wrapText="1"/>
    </xf>
    <xf numFmtId="0" fontId="57" fillId="21" borderId="0" xfId="0" applyNumberFormat="1" applyFont="1" applyFill="1" applyBorder="1" applyAlignment="1">
      <alignment wrapText="1"/>
    </xf>
    <xf numFmtId="49" fontId="7" fillId="18" borderId="1" xfId="0" applyNumberFormat="1" applyFont="1" applyFill="1" applyBorder="1" applyAlignment="1">
      <alignment horizontal="center" vertical="center" wrapText="1"/>
    </xf>
    <xf numFmtId="0" fontId="7" fillId="18" borderId="1" xfId="0" applyNumberFormat="1" applyFont="1" applyFill="1" applyBorder="1" applyAlignment="1">
      <alignment horizontal="center" vertical="center" wrapText="1"/>
    </xf>
    <xf numFmtId="2" fontId="7" fillId="18" borderId="1" xfId="0" applyNumberFormat="1" applyFont="1" applyFill="1" applyBorder="1" applyAlignment="1">
      <alignment horizontal="center" vertical="center" wrapText="1"/>
    </xf>
    <xf numFmtId="0" fontId="5" fillId="0" borderId="46" xfId="0" applyNumberFormat="1" applyFont="1" applyFill="1" applyBorder="1" applyAlignment="1">
      <alignment vertical="top" wrapText="1"/>
    </xf>
    <xf numFmtId="2" fontId="5" fillId="6" borderId="46" xfId="0" applyNumberFormat="1" applyFont="1" applyFill="1" applyBorder="1" applyAlignment="1">
      <alignment vertical="top" wrapText="1"/>
    </xf>
    <xf numFmtId="0" fontId="14" fillId="0" borderId="46" xfId="0" applyNumberFormat="1" applyFont="1" applyFill="1" applyBorder="1" applyAlignment="1">
      <alignment vertical="top" wrapText="1"/>
    </xf>
    <xf numFmtId="0" fontId="5" fillId="0" borderId="1" xfId="0" applyNumberFormat="1" applyFont="1" applyFill="1" applyBorder="1" applyAlignment="1">
      <alignment vertical="top" wrapText="1"/>
    </xf>
    <xf numFmtId="2" fontId="5" fillId="6" borderId="1" xfId="0" applyNumberFormat="1" applyFont="1" applyFill="1" applyBorder="1" applyAlignment="1">
      <alignment vertical="top" wrapText="1"/>
    </xf>
    <xf numFmtId="0" fontId="14" fillId="0" borderId="1" xfId="0" applyNumberFormat="1" applyFont="1" applyFill="1" applyBorder="1" applyAlignment="1">
      <alignment vertical="top" wrapText="1"/>
    </xf>
    <xf numFmtId="0" fontId="5" fillId="0" borderId="49" xfId="0" applyNumberFormat="1" applyFont="1" applyFill="1" applyBorder="1" applyAlignment="1">
      <alignment vertical="top" wrapText="1"/>
    </xf>
    <xf numFmtId="2" fontId="5" fillId="6" borderId="49" xfId="0" applyNumberFormat="1" applyFont="1" applyFill="1" applyBorder="1" applyAlignment="1">
      <alignment vertical="top" wrapText="1"/>
    </xf>
    <xf numFmtId="0" fontId="14" fillId="0" borderId="49" xfId="0" applyNumberFormat="1" applyFont="1" applyFill="1" applyBorder="1" applyAlignment="1">
      <alignment vertical="top" wrapText="1"/>
    </xf>
    <xf numFmtId="49" fontId="5" fillId="0" borderId="45" xfId="0" applyNumberFormat="1" applyFont="1" applyFill="1" applyBorder="1" applyAlignment="1">
      <alignment horizontal="left" vertical="top" wrapText="1"/>
    </xf>
    <xf numFmtId="49" fontId="5" fillId="0" borderId="47" xfId="0" applyNumberFormat="1" applyFont="1" applyFill="1" applyBorder="1" applyAlignment="1">
      <alignment horizontal="left" vertical="top" wrapText="1"/>
    </xf>
    <xf numFmtId="49" fontId="5" fillId="0" borderId="48" xfId="0" applyNumberFormat="1" applyFont="1" applyFill="1" applyBorder="1" applyAlignment="1">
      <alignment horizontal="left" vertical="top" wrapText="1"/>
    </xf>
    <xf numFmtId="0" fontId="0" fillId="0" borderId="0" xfId="0" applyNumberFormat="1" applyFont="1" applyFill="1" applyBorder="1" applyAlignment="1">
      <alignment wrapText="1"/>
    </xf>
    <xf numFmtId="0" fontId="2" fillId="8" borderId="2" xfId="0" applyNumberFormat="1" applyFont="1" applyFill="1" applyBorder="1" applyAlignment="1">
      <alignment wrapText="1"/>
    </xf>
    <xf numFmtId="2" fontId="2" fillId="8" borderId="2" xfId="0" applyNumberFormat="1" applyFont="1" applyFill="1" applyBorder="1" applyAlignment="1">
      <alignment wrapText="1"/>
    </xf>
    <xf numFmtId="0" fontId="22" fillId="8" borderId="2" xfId="0" applyNumberFormat="1" applyFont="1" applyFill="1" applyBorder="1" applyAlignment="1">
      <alignment wrapText="1"/>
    </xf>
    <xf numFmtId="168" fontId="2" fillId="4" borderId="2" xfId="0" applyNumberFormat="1" applyFont="1" applyFill="1" applyBorder="1" applyAlignment="1">
      <alignment wrapText="1"/>
    </xf>
    <xf numFmtId="164" fontId="2" fillId="8" borderId="2" xfId="0" applyNumberFormat="1" applyFont="1" applyFill="1" applyBorder="1" applyAlignment="1">
      <alignment wrapText="1"/>
    </xf>
    <xf numFmtId="3" fontId="2" fillId="8" borderId="2" xfId="0" applyNumberFormat="1" applyFont="1" applyFill="1" applyBorder="1" applyAlignment="1">
      <alignment wrapText="1"/>
    </xf>
    <xf numFmtId="168" fontId="2" fillId="9" borderId="2" xfId="0" applyNumberFormat="1" applyFont="1" applyFill="1" applyBorder="1" applyAlignment="1">
      <alignment wrapText="1"/>
    </xf>
    <xf numFmtId="171" fontId="3" fillId="8" borderId="2" xfId="0" applyNumberFormat="1" applyFont="1" applyFill="1" applyBorder="1" applyAlignment="1">
      <alignment horizontal="center"/>
    </xf>
    <xf numFmtId="0" fontId="56" fillId="19" borderId="0" xfId="0" applyNumberFormat="1" applyFont="1" applyFill="1" applyBorder="1" applyAlignment="1">
      <alignment horizontal="left" vertical="center" wrapText="1"/>
    </xf>
    <xf numFmtId="0" fontId="59" fillId="0" borderId="0" xfId="0" applyNumberFormat="1" applyFont="1" applyFill="1" applyBorder="1" applyAlignment="1">
      <alignment vertical="top" wrapText="1"/>
    </xf>
    <xf numFmtId="0" fontId="41" fillId="0" borderId="2" xfId="1" applyNumberFormat="1" applyFont="1" applyFill="1" applyBorder="1" applyAlignment="1">
      <alignment vertical="center" wrapText="1"/>
    </xf>
    <xf numFmtId="0" fontId="42" fillId="3" borderId="11" xfId="0" applyFont="1" applyFill="1" applyBorder="1" applyAlignment="1">
      <alignment horizontal="left" vertical="center"/>
    </xf>
    <xf numFmtId="0" fontId="42" fillId="3" borderId="0" xfId="0" applyFont="1" applyFill="1" applyBorder="1" applyAlignment="1">
      <alignment horizontal="left" vertical="center"/>
    </xf>
    <xf numFmtId="0" fontId="54" fillId="12" borderId="18" xfId="2" applyFont="1" applyFill="1" applyBorder="1" applyAlignment="1">
      <alignment horizontal="center" vertical="center" wrapText="1"/>
    </xf>
    <xf numFmtId="0" fontId="53" fillId="12" borderId="18" xfId="0" applyFont="1" applyFill="1" applyBorder="1" applyAlignment="1">
      <alignment horizontal="center" vertical="center" wrapText="1"/>
    </xf>
    <xf numFmtId="0" fontId="43" fillId="13" borderId="2" xfId="0" applyFont="1" applyFill="1" applyBorder="1" applyAlignment="1">
      <alignment horizontal="center" vertical="center" wrapText="1"/>
    </xf>
    <xf numFmtId="0" fontId="4" fillId="3" borderId="7" xfId="0" applyFont="1" applyFill="1" applyBorder="1" applyAlignment="1">
      <alignment horizontal="center"/>
    </xf>
    <xf numFmtId="0" fontId="37" fillId="5" borderId="11" xfId="0" applyFont="1" applyFill="1" applyBorder="1" applyAlignment="1">
      <alignment horizontal="left" vertical="center" wrapText="1"/>
    </xf>
    <xf numFmtId="0" fontId="37" fillId="5" borderId="0" xfId="0" applyFont="1" applyFill="1" applyBorder="1" applyAlignment="1">
      <alignment horizontal="left" vertical="center" wrapText="1"/>
    </xf>
    <xf numFmtId="0" fontId="37" fillId="5" borderId="16" xfId="0" applyFont="1" applyFill="1" applyBorder="1" applyAlignment="1">
      <alignment horizontal="left" vertical="center" wrapText="1"/>
    </xf>
    <xf numFmtId="0" fontId="37" fillId="5" borderId="13" xfId="0" applyFont="1" applyFill="1" applyBorder="1" applyAlignment="1">
      <alignment horizontal="left" vertical="center" wrapText="1"/>
    </xf>
    <xf numFmtId="0" fontId="37" fillId="5" borderId="14" xfId="0" applyFont="1" applyFill="1" applyBorder="1" applyAlignment="1">
      <alignment horizontal="left" vertical="center" wrapText="1"/>
    </xf>
    <xf numFmtId="0" fontId="37" fillId="5" borderId="15" xfId="0" applyFont="1" applyFill="1" applyBorder="1" applyAlignment="1">
      <alignment horizontal="left" vertical="center" wrapText="1"/>
    </xf>
    <xf numFmtId="0" fontId="37" fillId="5" borderId="2" xfId="0" applyFont="1" applyFill="1" applyBorder="1" applyAlignment="1">
      <alignment horizontal="left" vertical="center" wrapText="1"/>
    </xf>
    <xf numFmtId="0" fontId="37" fillId="5" borderId="10" xfId="0" applyFont="1" applyFill="1" applyBorder="1" applyAlignment="1">
      <alignment horizontal="left" vertical="center" wrapText="1"/>
    </xf>
    <xf numFmtId="0" fontId="37" fillId="5" borderId="9" xfId="0" applyFont="1" applyFill="1" applyBorder="1" applyAlignment="1">
      <alignment horizontal="left" vertical="center" wrapText="1"/>
    </xf>
    <xf numFmtId="0" fontId="37" fillId="5" borderId="8" xfId="0" applyFont="1" applyFill="1" applyBorder="1" applyAlignment="1">
      <alignment horizontal="left" vertical="center" wrapText="1"/>
    </xf>
    <xf numFmtId="0" fontId="2" fillId="4" borderId="2" xfId="0" applyFont="1" applyFill="1" applyBorder="1"/>
    <xf numFmtId="0" fontId="33" fillId="3" borderId="2" xfId="0" applyFont="1" applyFill="1" applyBorder="1" applyAlignment="1"/>
    <xf numFmtId="0" fontId="37" fillId="5" borderId="2" xfId="0" applyNumberFormat="1" applyFont="1" applyFill="1" applyBorder="1" applyAlignment="1">
      <alignment horizontal="left" vertical="center" wrapText="1"/>
    </xf>
    <xf numFmtId="0" fontId="4" fillId="3" borderId="2" xfId="0" applyFont="1" applyFill="1" applyBorder="1" applyAlignment="1"/>
    <xf numFmtId="0" fontId="37" fillId="5" borderId="12" xfId="0" applyFont="1" applyFill="1" applyBorder="1" applyAlignment="1">
      <alignment horizontal="left" vertical="center" wrapText="1"/>
    </xf>
    <xf numFmtId="0" fontId="52" fillId="2" borderId="0" xfId="0" applyFont="1" applyFill="1" applyAlignment="1">
      <alignment horizontal="left" vertical="center"/>
    </xf>
    <xf numFmtId="0" fontId="32" fillId="3" borderId="11" xfId="0" applyFont="1" applyFill="1" applyBorder="1" applyAlignment="1">
      <alignment horizontal="left" vertical="center"/>
    </xf>
    <xf numFmtId="0" fontId="32" fillId="3" borderId="0" xfId="0" applyFont="1" applyFill="1" applyBorder="1" applyAlignment="1">
      <alignment horizontal="left" vertical="center"/>
    </xf>
    <xf numFmtId="0" fontId="32" fillId="3" borderId="13" xfId="0" applyFont="1" applyFill="1" applyBorder="1" applyAlignment="1">
      <alignment horizontal="left" vertical="center"/>
    </xf>
    <xf numFmtId="0" fontId="32" fillId="3" borderId="14" xfId="0" applyFont="1" applyFill="1" applyBorder="1" applyAlignment="1">
      <alignment horizontal="left" vertical="center"/>
    </xf>
    <xf numFmtId="0" fontId="54" fillId="12" borderId="17" xfId="2" applyFont="1" applyFill="1" applyBorder="1" applyAlignment="1">
      <alignment horizontal="center" vertical="center" wrapText="1"/>
    </xf>
    <xf numFmtId="0" fontId="53" fillId="12" borderId="17" xfId="0" applyFont="1" applyFill="1" applyBorder="1" applyAlignment="1">
      <alignment horizontal="center" vertical="center" wrapText="1"/>
    </xf>
    <xf numFmtId="0" fontId="1" fillId="2" borderId="19" xfId="0" applyFont="1" applyFill="1" applyBorder="1" applyAlignment="1">
      <alignment horizontal="center" vertical="center"/>
    </xf>
    <xf numFmtId="0" fontId="46" fillId="6" borderId="2" xfId="0" applyFont="1" applyFill="1" applyBorder="1"/>
    <xf numFmtId="0" fontId="45" fillId="0" borderId="2" xfId="0" applyFont="1" applyBorder="1" applyAlignment="1">
      <alignment horizontal="left"/>
    </xf>
    <xf numFmtId="0" fontId="39" fillId="0" borderId="2" xfId="0" applyFont="1" applyBorder="1"/>
    <xf numFmtId="0" fontId="36" fillId="12" borderId="18" xfId="0" applyFont="1" applyFill="1" applyBorder="1" applyAlignment="1">
      <alignment horizontal="center" vertical="center" wrapText="1"/>
    </xf>
    <xf numFmtId="0" fontId="56" fillId="19" borderId="0" xfId="0" applyNumberFormat="1" applyFont="1" applyFill="1" applyBorder="1" applyAlignment="1">
      <alignment horizontal="center" vertical="center"/>
    </xf>
    <xf numFmtId="0" fontId="50" fillId="0" borderId="2" xfId="0" applyFont="1" applyBorder="1"/>
    <xf numFmtId="0" fontId="37" fillId="7" borderId="2" xfId="0" applyFont="1" applyFill="1" applyBorder="1" applyAlignment="1">
      <alignment horizontal="center" vertical="center" wrapText="1"/>
    </xf>
    <xf numFmtId="0" fontId="10" fillId="0" borderId="0" xfId="0" applyFont="1" applyBorder="1" applyAlignment="1">
      <alignment vertical="top" wrapText="1"/>
    </xf>
    <xf numFmtId="0" fontId="4" fillId="3" borderId="14" xfId="0" applyFont="1" applyFill="1" applyBorder="1" applyAlignment="1">
      <alignment horizontal="left"/>
    </xf>
    <xf numFmtId="0" fontId="4" fillId="3" borderId="0" xfId="0" applyFont="1" applyFill="1" applyBorder="1" applyAlignment="1">
      <alignment horizontal="left"/>
    </xf>
    <xf numFmtId="0" fontId="4" fillId="3" borderId="14" xfId="0" applyFont="1" applyFill="1" applyBorder="1" applyAlignment="1">
      <alignment horizontal="center"/>
    </xf>
    <xf numFmtId="0" fontId="1" fillId="2" borderId="0" xfId="0" applyFont="1" applyFill="1" applyAlignment="1">
      <alignment horizontal="center" vertical="center"/>
    </xf>
    <xf numFmtId="0" fontId="27" fillId="8" borderId="4" xfId="0" applyFont="1" applyFill="1" applyBorder="1" applyAlignment="1">
      <alignment vertical="center" wrapText="1"/>
    </xf>
    <xf numFmtId="0" fontId="27" fillId="8" borderId="5" xfId="0" applyFont="1" applyFill="1" applyBorder="1" applyAlignment="1">
      <alignment vertical="center" wrapText="1"/>
    </xf>
    <xf numFmtId="0" fontId="27" fillId="8" borderId="6" xfId="0" applyFont="1" applyFill="1" applyBorder="1" applyAlignment="1">
      <alignment vertical="center" wrapText="1"/>
    </xf>
    <xf numFmtId="0" fontId="24" fillId="7" borderId="4"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7" borderId="6" xfId="0" applyFont="1" applyFill="1" applyBorder="1" applyAlignment="1">
      <alignment horizontal="center" vertical="center" wrapText="1"/>
    </xf>
    <xf numFmtId="0" fontId="4" fillId="3" borderId="0" xfId="0" applyFont="1" applyFill="1" applyAlignment="1">
      <alignment horizontal="center"/>
    </xf>
    <xf numFmtId="0" fontId="27" fillId="8" borderId="2" xfId="0" applyFont="1" applyFill="1" applyBorder="1" applyAlignment="1">
      <alignment vertical="center" wrapText="1"/>
    </xf>
    <xf numFmtId="0" fontId="9" fillId="0" borderId="2" xfId="0" applyFont="1" applyBorder="1"/>
    <xf numFmtId="0" fontId="27" fillId="5" borderId="4" xfId="0" applyFont="1" applyFill="1" applyBorder="1" applyAlignment="1">
      <alignment vertical="center" wrapText="1"/>
    </xf>
    <xf numFmtId="0" fontId="27" fillId="5" borderId="5" xfId="0" applyFont="1" applyFill="1" applyBorder="1" applyAlignment="1">
      <alignment vertical="center" wrapText="1"/>
    </xf>
    <xf numFmtId="0" fontId="27" fillId="5" borderId="6" xfId="0" applyFont="1" applyFill="1" applyBorder="1" applyAlignment="1">
      <alignment vertical="center" wrapText="1"/>
    </xf>
    <xf numFmtId="0" fontId="10" fillId="0" borderId="9" xfId="0" applyFont="1" applyBorder="1"/>
    <xf numFmtId="0" fontId="36" fillId="12" borderId="22" xfId="0" applyFont="1" applyFill="1" applyBorder="1" applyAlignment="1">
      <alignment horizontal="center" vertical="center" wrapText="1"/>
    </xf>
    <xf numFmtId="0" fontId="36" fillId="12" borderId="0" xfId="0" applyFont="1" applyFill="1" applyBorder="1" applyAlignment="1">
      <alignment horizontal="center" vertical="center" wrapText="1"/>
    </xf>
    <xf numFmtId="0" fontId="3" fillId="16" borderId="2" xfId="0" applyFont="1" applyFill="1" applyBorder="1" applyAlignment="1">
      <alignment horizontal="left"/>
    </xf>
    <xf numFmtId="0" fontId="13" fillId="0" borderId="0" xfId="0" applyFont="1" applyBorder="1"/>
    <xf numFmtId="14" fontId="3" fillId="16" borderId="2" xfId="0" applyNumberFormat="1" applyFont="1" applyFill="1" applyBorder="1" applyAlignment="1">
      <alignment horizontal="left"/>
    </xf>
    <xf numFmtId="0" fontId="3" fillId="16" borderId="7" xfId="0" applyFont="1" applyFill="1" applyBorder="1" applyAlignment="1">
      <alignment horizontal="left"/>
    </xf>
    <xf numFmtId="0" fontId="6" fillId="0" borderId="0" xfId="0" applyFont="1" applyBorder="1" applyAlignment="1">
      <alignment vertical="top" wrapText="1"/>
    </xf>
    <xf numFmtId="0" fontId="22" fillId="8" borderId="2" xfId="0" applyFont="1" applyFill="1" applyBorder="1" applyAlignment="1">
      <alignment vertical="center" wrapText="1"/>
    </xf>
    <xf numFmtId="0" fontId="22" fillId="5" borderId="2" xfId="0" applyFont="1" applyFill="1" applyBorder="1" applyAlignment="1">
      <alignment vertical="center" wrapText="1"/>
    </xf>
    <xf numFmtId="0" fontId="14" fillId="0" borderId="0" xfId="0" applyFont="1" applyBorder="1" applyAlignment="1">
      <alignment vertical="center" wrapText="1"/>
    </xf>
    <xf numFmtId="0" fontId="3" fillId="8" borderId="2" xfId="0" applyFont="1" applyFill="1" applyBorder="1" applyAlignment="1">
      <alignment vertical="center" wrapText="1"/>
    </xf>
    <xf numFmtId="0" fontId="22" fillId="8" borderId="2" xfId="0" applyNumberFormat="1" applyFont="1" applyFill="1" applyBorder="1" applyAlignment="1">
      <alignment vertical="center" wrapText="1"/>
    </xf>
    <xf numFmtId="0" fontId="24" fillId="8" borderId="2" xfId="0" applyNumberFormat="1" applyFont="1" applyFill="1" applyBorder="1" applyAlignment="1">
      <alignment vertical="center" wrapText="1"/>
    </xf>
    <xf numFmtId="0" fontId="6" fillId="4" borderId="0" xfId="0" applyNumberFormat="1" applyFont="1" applyFill="1" applyBorder="1" applyAlignment="1">
      <alignment vertical="top" wrapText="1"/>
    </xf>
    <xf numFmtId="0" fontId="15" fillId="4" borderId="35" xfId="0" applyNumberFormat="1" applyFont="1" applyFill="1" applyBorder="1" applyAlignment="1">
      <alignment vertical="top" wrapText="1"/>
    </xf>
    <xf numFmtId="0" fontId="14" fillId="4" borderId="36" xfId="0" applyNumberFormat="1" applyFont="1" applyFill="1" applyBorder="1" applyAlignment="1">
      <alignment vertical="top" wrapText="1"/>
    </xf>
    <xf numFmtId="0" fontId="14" fillId="4" borderId="37" xfId="0" applyNumberFormat="1" applyFont="1" applyFill="1" applyBorder="1" applyAlignment="1">
      <alignment vertical="top" wrapText="1"/>
    </xf>
    <xf numFmtId="0" fontId="1" fillId="2" borderId="0" xfId="0" applyNumberFormat="1" applyFont="1" applyFill="1" applyBorder="1" applyAlignment="1">
      <alignment horizontal="center" vertical="center" wrapText="1"/>
    </xf>
    <xf numFmtId="0" fontId="36" fillId="12" borderId="20" xfId="0" applyFont="1" applyFill="1" applyBorder="1" applyAlignment="1">
      <alignment horizontal="center" vertical="center" wrapText="1"/>
    </xf>
    <xf numFmtId="0" fontId="36" fillId="12" borderId="21" xfId="0" applyFont="1" applyFill="1" applyBorder="1" applyAlignment="1">
      <alignment horizontal="center" vertical="center" wrapText="1"/>
    </xf>
    <xf numFmtId="0" fontId="10" fillId="0" borderId="0" xfId="0" applyFont="1" applyBorder="1"/>
    <xf numFmtId="0" fontId="4" fillId="19" borderId="0" xfId="0" applyNumberFormat="1" applyFont="1" applyFill="1" applyBorder="1" applyAlignment="1">
      <alignment wrapText="1"/>
    </xf>
    <xf numFmtId="0" fontId="58" fillId="22" borderId="0" xfId="0" applyNumberFormat="1" applyFont="1" applyFill="1" applyBorder="1" applyAlignment="1">
      <alignment wrapText="1"/>
    </xf>
    <xf numFmtId="0" fontId="32" fillId="2" borderId="0" xfId="0" applyFont="1" applyFill="1" applyAlignment="1">
      <alignment horizontal="center" vertical="center"/>
    </xf>
    <xf numFmtId="0" fontId="10" fillId="21" borderId="0" xfId="0" applyNumberFormat="1" applyFont="1" applyFill="1" applyBorder="1" applyAlignment="1">
      <alignment vertical="top" wrapText="1"/>
    </xf>
    <xf numFmtId="0" fontId="6" fillId="0" borderId="0" xfId="0" applyFont="1" applyBorder="1"/>
    <xf numFmtId="0" fontId="16" fillId="5" borderId="0" xfId="0" applyFont="1" applyFill="1" applyBorder="1" applyAlignment="1">
      <alignment vertical="top" wrapText="1"/>
    </xf>
    <xf numFmtId="0" fontId="7" fillId="5" borderId="4" xfId="0" applyFont="1" applyFill="1" applyBorder="1" applyAlignment="1">
      <alignment horizontal="center"/>
    </xf>
    <xf numFmtId="0" fontId="7" fillId="5" borderId="5" xfId="0" applyFont="1" applyFill="1" applyBorder="1" applyAlignment="1">
      <alignment horizontal="center"/>
    </xf>
    <xf numFmtId="0" fontId="7" fillId="5" borderId="6" xfId="0" applyFont="1" applyFill="1" applyBorder="1" applyAlignment="1">
      <alignment horizontal="center"/>
    </xf>
    <xf numFmtId="0" fontId="2" fillId="0" borderId="2" xfId="0" applyFont="1" applyBorder="1"/>
    <xf numFmtId="0" fontId="10" fillId="0" borderId="2" xfId="0" applyFont="1" applyBorder="1"/>
    <xf numFmtId="0" fontId="24" fillId="8" borderId="2" xfId="0" applyFont="1" applyFill="1" applyBorder="1" applyAlignment="1">
      <alignment vertical="top" wrapText="1"/>
    </xf>
    <xf numFmtId="0" fontId="30" fillId="8" borderId="2" xfId="0" applyFont="1" applyFill="1" applyBorder="1" applyAlignment="1">
      <alignment horizontal="center" vertical="top" wrapText="1"/>
    </xf>
    <xf numFmtId="0" fontId="28" fillId="8" borderId="2" xfId="0" applyFont="1" applyFill="1" applyBorder="1" applyAlignment="1">
      <alignment horizontal="center" vertical="top" wrapText="1"/>
    </xf>
    <xf numFmtId="0" fontId="21" fillId="0" borderId="0" xfId="0" applyFont="1" applyBorder="1"/>
    <xf numFmtId="0" fontId="20" fillId="4" borderId="0" xfId="0" applyFont="1" applyFill="1" applyBorder="1" applyAlignment="1">
      <alignment vertical="center" wrapText="1"/>
    </xf>
    <xf numFmtId="0" fontId="30" fillId="8" borderId="2" xfId="0" applyFont="1" applyFill="1" applyBorder="1" applyAlignment="1">
      <alignment vertical="center" wrapText="1"/>
    </xf>
    <xf numFmtId="0" fontId="28" fillId="8" borderId="2" xfId="0" applyFont="1" applyFill="1" applyBorder="1" applyAlignment="1">
      <alignment vertical="center" wrapText="1"/>
    </xf>
    <xf numFmtId="0" fontId="1" fillId="17" borderId="0" xfId="0" applyNumberFormat="1" applyFont="1" applyFill="1" applyBorder="1" applyAlignment="1">
      <alignment horizontal="left" vertical="center"/>
    </xf>
    <xf numFmtId="0" fontId="4" fillId="3" borderId="25" xfId="0" applyFont="1" applyFill="1" applyBorder="1" applyAlignment="1">
      <alignment horizontal="center"/>
    </xf>
    <xf numFmtId="0" fontId="31" fillId="0" borderId="23" xfId="0" applyFont="1" applyBorder="1" applyAlignment="1">
      <alignment horizontal="left"/>
    </xf>
    <xf numFmtId="0" fontId="0" fillId="0" borderId="23" xfId="0" applyBorder="1"/>
    <xf numFmtId="0" fontId="7" fillId="23" borderId="34" xfId="0" applyNumberFormat="1" applyFont="1" applyFill="1" applyBorder="1" applyAlignment="1">
      <alignment horizontal="center" vertical="center" wrapText="1"/>
    </xf>
    <xf numFmtId="0" fontId="7" fillId="18" borderId="24" xfId="0" applyNumberFormat="1" applyFont="1" applyFill="1" applyBorder="1" applyAlignment="1">
      <alignment horizontal="center" vertical="center" wrapText="1"/>
    </xf>
    <xf numFmtId="0" fontId="14" fillId="21" borderId="24" xfId="0" applyNumberFormat="1" applyFont="1" applyFill="1" applyBorder="1" applyAlignment="1">
      <alignment horizontal="center" vertical="center" wrapText="1"/>
    </xf>
    <xf numFmtId="170" fontId="5" fillId="21" borderId="24" xfId="0" applyNumberFormat="1" applyFont="1" applyFill="1" applyBorder="1" applyAlignment="1">
      <alignment vertical="center" wrapText="1"/>
    </xf>
    <xf numFmtId="0" fontId="14" fillId="21" borderId="24" xfId="0" applyNumberFormat="1" applyFont="1" applyFill="1" applyBorder="1" applyAlignment="1">
      <alignment horizontal="left" vertical="center" wrapText="1" indent="9"/>
    </xf>
    <xf numFmtId="0" fontId="1" fillId="2" borderId="23" xfId="0" applyFont="1" applyFill="1" applyBorder="1" applyAlignment="1">
      <alignment horizontal="center" vertical="center"/>
    </xf>
    <xf numFmtId="0" fontId="61" fillId="5" borderId="2" xfId="0" applyNumberFormat="1" applyFont="1" applyFill="1" applyBorder="1" applyAlignment="1">
      <alignment horizontal="left" vertical="center" wrapText="1"/>
    </xf>
    <xf numFmtId="0" fontId="7" fillId="18" borderId="26" xfId="0" applyNumberFormat="1" applyFont="1" applyFill="1" applyBorder="1" applyAlignment="1">
      <alignment horizontal="center" vertical="center" wrapText="1"/>
    </xf>
    <xf numFmtId="0" fontId="7" fillId="18" borderId="27" xfId="0" applyNumberFormat="1" applyFont="1" applyFill="1" applyBorder="1" applyAlignment="1">
      <alignment horizontal="center" vertical="center" wrapText="1"/>
    </xf>
    <xf numFmtId="0" fontId="7" fillId="18" borderId="28" xfId="0" applyNumberFormat="1" applyFont="1" applyFill="1" applyBorder="1" applyAlignment="1">
      <alignment horizontal="center" vertical="center" wrapText="1"/>
    </xf>
    <xf numFmtId="0" fontId="18" fillId="0" borderId="32" xfId="0" applyFont="1" applyBorder="1" applyAlignment="1">
      <alignment horizontal="left"/>
    </xf>
    <xf numFmtId="0" fontId="18" fillId="0" borderId="33" xfId="0" applyFont="1" applyBorder="1" applyAlignment="1">
      <alignment horizontal="left"/>
    </xf>
    <xf numFmtId="0" fontId="18" fillId="0" borderId="34" xfId="0" applyFont="1" applyBorder="1" applyAlignment="1">
      <alignment horizontal="left"/>
    </xf>
    <xf numFmtId="0" fontId="7" fillId="7" borderId="32" xfId="0" applyFont="1" applyFill="1" applyBorder="1" applyAlignment="1">
      <alignment horizontal="center" vertical="center" wrapText="1"/>
    </xf>
    <xf numFmtId="0" fontId="7" fillId="7" borderId="33" xfId="0" applyFont="1" applyFill="1" applyBorder="1" applyAlignment="1">
      <alignment horizontal="center" vertical="center" wrapText="1"/>
    </xf>
    <xf numFmtId="0" fontId="7" fillId="7" borderId="34" xfId="0" applyFont="1" applyFill="1" applyBorder="1" applyAlignment="1">
      <alignment horizontal="center" vertical="center" wrapText="1"/>
    </xf>
    <xf numFmtId="0" fontId="18" fillId="0" borderId="32" xfId="0" applyFont="1" applyBorder="1" applyAlignment="1">
      <alignment horizontal="left" wrapText="1"/>
    </xf>
    <xf numFmtId="0" fontId="18" fillId="0" borderId="33" xfId="0" applyFont="1" applyBorder="1" applyAlignment="1">
      <alignment horizontal="left" wrapText="1"/>
    </xf>
    <xf numFmtId="0" fontId="18" fillId="0" borderId="34" xfId="0" applyFont="1" applyBorder="1" applyAlignment="1">
      <alignment horizontal="left" wrapText="1"/>
    </xf>
    <xf numFmtId="0" fontId="3" fillId="0" borderId="1" xfId="0" applyFont="1" applyBorder="1" applyAlignment="1">
      <alignment wrapText="1"/>
    </xf>
    <xf numFmtId="0" fontId="9" fillId="0" borderId="1" xfId="0" applyFont="1" applyBorder="1" applyAlignment="1">
      <alignment wrapText="1"/>
    </xf>
    <xf numFmtId="0" fontId="9" fillId="0" borderId="32" xfId="0" applyFont="1" applyBorder="1"/>
    <xf numFmtId="0" fontId="9" fillId="0" borderId="34" xfId="0" applyFont="1" applyBorder="1"/>
    <xf numFmtId="0" fontId="9" fillId="11" borderId="32" xfId="0" applyFont="1" applyFill="1" applyBorder="1"/>
    <xf numFmtId="0" fontId="9" fillId="11" borderId="34" xfId="0" applyFont="1" applyFill="1" applyBorder="1"/>
    <xf numFmtId="0" fontId="7" fillId="7" borderId="32" xfId="0" applyFont="1" applyFill="1" applyBorder="1" applyAlignment="1">
      <alignment horizontal="left" vertical="center" wrapText="1"/>
    </xf>
    <xf numFmtId="0" fontId="7" fillId="7" borderId="34" xfId="0" applyFont="1" applyFill="1" applyBorder="1" applyAlignment="1">
      <alignment horizontal="left" vertical="center" wrapText="1"/>
    </xf>
    <xf numFmtId="0" fontId="60" fillId="0" borderId="0" xfId="0" applyFont="1"/>
    <xf numFmtId="0" fontId="3" fillId="8" borderId="26" xfId="0" applyFont="1" applyFill="1" applyBorder="1" applyAlignment="1">
      <alignment vertical="center" wrapText="1"/>
    </xf>
    <xf numFmtId="0" fontId="3" fillId="8" borderId="27" xfId="0" applyFont="1" applyFill="1" applyBorder="1" applyAlignment="1">
      <alignment vertical="center" wrapText="1"/>
    </xf>
    <xf numFmtId="0" fontId="3" fillId="8" borderId="28" xfId="0" applyFont="1" applyFill="1" applyBorder="1" applyAlignment="1">
      <alignment vertical="center" wrapText="1"/>
    </xf>
    <xf numFmtId="0" fontId="7" fillId="7" borderId="50" xfId="0" applyFont="1" applyFill="1" applyBorder="1" applyAlignment="1">
      <alignment horizontal="center" vertical="center" wrapText="1"/>
    </xf>
    <xf numFmtId="0" fontId="7" fillId="7" borderId="51" xfId="0" applyFont="1" applyFill="1" applyBorder="1" applyAlignment="1">
      <alignment horizontal="center" vertical="center" wrapText="1"/>
    </xf>
    <xf numFmtId="0" fontId="7" fillId="7" borderId="52" xfId="0" applyFont="1" applyFill="1" applyBorder="1" applyAlignment="1">
      <alignment horizontal="center" vertical="center" wrapText="1"/>
    </xf>
  </cellXfs>
  <cellStyles count="3">
    <cellStyle name="Hipervínculo" xfId="2" xr:uid="{00000000-0005-0000-0000-000000000000}"/>
    <cellStyle name="Normal" xfId="0" builtinId="0"/>
    <cellStyle name="Normal 2" xfId="1" xr:uid="{00000000-0005-0000-0000-000002000000}"/>
  </cellStyles>
  <dxfs count="40">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ill>
        <patternFill>
          <bgColor rgb="FFF8D7DA"/>
        </patternFill>
      </fill>
    </dxf>
    <dxf>
      <fill>
        <patternFill>
          <bgColor rgb="FFDFF0E3"/>
        </patternFill>
      </fill>
    </dxf>
    <dxf>
      <font>
        <b/>
        <color rgb="FFC65911"/>
      </font>
      <fill>
        <patternFill>
          <bgColor rgb="FFFDE9D9"/>
        </patternFill>
      </fill>
    </dxf>
    <dxf>
      <fill>
        <patternFill>
          <bgColor rgb="FFFBE4D5"/>
        </patternFill>
      </fill>
    </dxf>
    <dxf>
      <fill>
        <patternFill>
          <bgColor rgb="FFFBE4D5"/>
        </patternFill>
      </fill>
    </dxf>
    <dxf>
      <fill>
        <patternFill>
          <bgColor rgb="FFF8D7DA"/>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
      <fill>
        <patternFill>
          <bgColor rgb="FFDFF0E3"/>
        </patternFill>
      </fill>
    </dxf>
  </dxfs>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A5A00"/>
      <rgbColor rgb="FF800080"/>
      <rgbColor rgb="FF1C6B72"/>
      <rgbColor rgb="FFB7C4C7"/>
      <rgbColor rgb="FF878787"/>
      <rgbColor rgb="FF9999FF"/>
      <rgbColor rgb="FFC0504D"/>
      <rgbColor rgb="FFFFF6D8"/>
      <rgbColor rgb="FFDCE8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4F6F7"/>
      <rgbColor rgb="FFDFF0E3"/>
      <rgbColor rgb="FFFBE4D5"/>
      <rgbColor rgb="FFE7E0F5"/>
      <rgbColor rgb="FFEFEFEF"/>
      <rgbColor rgb="FFCC99FF"/>
      <rgbColor rgb="FFF8D7DA"/>
      <rgbColor rgb="FF4F81BD"/>
      <rgbColor rgb="FF33CCCC"/>
      <rgbColor rgb="FF9BBB59"/>
      <rgbColor rgb="FFFFCC00"/>
      <rgbColor rgb="FFFF9900"/>
      <rgbColor rgb="FFFF6600"/>
      <rgbColor rgb="FF5A6B70"/>
      <rgbColor rgb="FF969696"/>
      <rgbColor rgb="FF0F3B44"/>
      <rgbColor rgb="FF339966"/>
      <rgbColor rgb="FF003300"/>
      <rgbColor rgb="FF333300"/>
      <rgbColor rgb="FFB45309"/>
      <rgbColor rgb="FF993366"/>
      <rgbColor rgb="FF5B3A8E"/>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sz="1800" b="1">
                <a:solidFill>
                  <a:srgbClr val="000000"/>
                </a:solidFill>
                <a:latin typeface="Calibri"/>
                <a:ea typeface="Calibri"/>
                <a:cs typeface="Calibri"/>
              </a:rPr>
              <a:t>1 · Comparación de ecuaciones — GEB (kcal/día)</a:t>
            </a:r>
          </a:p>
        </c:rich>
      </c:tx>
      <c:overlay val="1"/>
    </c:title>
    <c:autoTitleDeleted val="0"/>
    <c:plotArea>
      <c:layout/>
      <c:barChart>
        <c:barDir val="col"/>
        <c:grouping val="clustered"/>
        <c:varyColors val="0"/>
        <c:ser>
          <c:idx val="0"/>
          <c:order val="0"/>
          <c:tx>
            <c:strRef>
              <c:f>RESULTADOS!$B$35</c:f>
              <c:strCache>
                <c:ptCount val="1"/>
                <c:pt idx="0">
                  <c:v>GEB (kcal/día)</c:v>
                </c:pt>
              </c:strCache>
            </c:strRef>
          </c:tx>
          <c:spPr>
            <a:solidFill>
              <a:srgbClr val="4F81BD"/>
            </a:solidFill>
            <a:ln w="0">
              <a:noFill/>
            </a:ln>
          </c:spPr>
          <c:invertIfNegative val="1"/>
          <c:dLbls>
            <c:spPr>
              <a:noFill/>
              <a:ln>
                <a:noFill/>
              </a:ln>
            </c:spPr>
            <c:txPr>
              <a:bodyPr anchorCtr="1"/>
              <a:lstStyle/>
              <a:p>
                <a:pPr>
                  <a:defRPr sz="1000" b="0">
                    <a:latin typeface="Arial"/>
                    <a:ea typeface="Arial"/>
                    <a:cs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RESULTADOS!$A$36:$A$42</c:f>
              <c:strCache>
                <c:ptCount val="7"/>
                <c:pt idx="0">
                  <c:v>Mifflin–St Jeor (1990)</c:v>
                </c:pt>
                <c:pt idx="1">
                  <c:v>Harris–Benedict revisada · Roza &amp; Shizgal (1984)</c:v>
                </c:pt>
                <c:pt idx="2">
                  <c:v>Owen (1986/1987)</c:v>
                </c:pt>
                <c:pt idx="3">
                  <c:v>Cunningham (1980)</c:v>
                </c:pt>
                <c:pt idx="4">
                  <c:v>Cunningham (1991) · alias secundario: Katch–McArdle</c:v>
                </c:pt>
                <c:pt idx="5">
                  <c:v>Schofield (1985) adultos · tabla canónica</c:v>
                </c:pt>
                <c:pt idx="6">
                  <c:v>Henry / Oxford (2005) adultos · solo peso</c:v>
                </c:pt>
              </c:strCache>
            </c:strRef>
          </c:cat>
          <c:val>
            <c:numRef>
              <c:f>RESULTADOS!$B$36:$B$42</c:f>
              <c:numCache>
                <c:formatCode>#,##0</c:formatCode>
                <c:ptCount val="7"/>
                <c:pt idx="0">
                  <c:v>1810</c:v>
                </c:pt>
                <c:pt idx="1">
                  <c:v>1883.6080000000002</c:v>
                </c:pt>
                <c:pt idx="2">
                  <c:v>1674.6</c:v>
                </c:pt>
                <c:pt idx="3">
                  <c:v>1864</c:v>
                </c:pt>
                <c:pt idx="4">
                  <c:v>1709.2</c:v>
                </c:pt>
                <c:pt idx="5">
                  <c:v>1866.6460000000002</c:v>
                </c:pt>
                <c:pt idx="6">
                  <c:v>1793</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466B-49E7-A786-A019D6D72944}"/>
            </c:ext>
          </c:extLst>
        </c:ser>
        <c:dLbls>
          <c:showLegendKey val="0"/>
          <c:showVal val="0"/>
          <c:showCatName val="0"/>
          <c:showSerName val="0"/>
          <c:showPercent val="0"/>
          <c:showBubbleSize val="0"/>
        </c:dLbls>
        <c:gapWidth val="150"/>
        <c:axId val="91395494"/>
        <c:axId val="37818335"/>
      </c:barChart>
      <c:catAx>
        <c:axId val="91395494"/>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37818335"/>
        <c:crosses val="autoZero"/>
        <c:auto val="1"/>
        <c:lblAlgn val="ctr"/>
        <c:lblOffset val="100"/>
        <c:noMultiLvlLbl val="0"/>
      </c:catAx>
      <c:valAx>
        <c:axId val="37818335"/>
        <c:scaling>
          <c:orientation val="minMax"/>
        </c:scaling>
        <c:delete val="0"/>
        <c:axPos val="l"/>
        <c:majorGridlines>
          <c:spPr>
            <a:ln w="9360">
              <a:solidFill>
                <a:srgbClr val="878787"/>
              </a:solidFill>
            </a:ln>
          </c:spPr>
        </c:majorGridlines>
        <c:title>
          <c:tx>
            <c:rich>
              <a:bodyPr/>
              <a:lstStyle/>
              <a:p>
                <a:r>
                  <a:rPr sz="1000" b="1">
                    <a:solidFill>
                      <a:srgbClr val="000000"/>
                    </a:solidFill>
                    <a:latin typeface="Calibri"/>
                    <a:ea typeface="Calibri"/>
                    <a:cs typeface="Calibri"/>
                  </a:rPr>
                  <a:t>kcal/día</a:t>
                </a:r>
              </a:p>
            </c:rich>
          </c:tx>
          <c:overlay val="1"/>
        </c:title>
        <c:numFmt formatCode="#,##0"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91395494"/>
        <c:crosses val="autoZero"/>
        <c:crossBetween val="between"/>
      </c:valAx>
      <c:spPr>
        <a:noFill/>
        <a:ln w="0">
          <a:noFill/>
        </a:ln>
      </c:spPr>
    </c:plotArea>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sz="1800" b="1" i="0" u="none">
                <a:solidFill>
                  <a:sysClr val="windowText" lastClr="000000"/>
                </a:solidFill>
                <a:latin typeface="+mn-lt"/>
                <a:ea typeface="+mn-lt"/>
                <a:cs typeface="+mn-lt"/>
              </a:rPr>
              <a:t>3 · Distribución energética de macronutrientes (kcal/día)</a:t>
            </a:r>
          </a:p>
        </c:rich>
      </c:tx>
      <c:overlay val="1"/>
    </c:title>
    <c:autoTitleDeleted val="0"/>
    <c:plotArea>
      <c:layout/>
      <c:pieChart>
        <c:varyColors val="1"/>
        <c:ser>
          <c:idx val="0"/>
          <c:order val="0"/>
          <c:tx>
            <c:strRef>
              <c:f>RESULTADOS!$B$58</c:f>
              <c:strCache>
                <c:ptCount val="1"/>
                <c:pt idx="0">
                  <c:v>kcal/día</c:v>
                </c:pt>
              </c:strCache>
            </c:strRef>
          </c:tx>
          <c:dPt>
            <c:idx val="0"/>
            <c:bubble3D val="0"/>
            <c:spPr>
              <a:solidFill>
                <a:schemeClr val="accent1"/>
              </a:solidFill>
              <a:ln>
                <a:noFill/>
              </a:ln>
            </c:spPr>
            <c:extLst>
              <c:ext xmlns:c16="http://schemas.microsoft.com/office/drawing/2014/chart" uri="{C3380CC4-5D6E-409C-BE32-E72D297353CC}">
                <c16:uniqueId val="{00000001-FF76-4E55-972B-1D2B53771B99}"/>
              </c:ext>
            </c:extLst>
          </c:dPt>
          <c:dPt>
            <c:idx val="1"/>
            <c:bubble3D val="0"/>
            <c:spPr>
              <a:solidFill>
                <a:schemeClr val="accent2"/>
              </a:solidFill>
              <a:ln>
                <a:noFill/>
              </a:ln>
            </c:spPr>
            <c:extLst>
              <c:ext xmlns:c16="http://schemas.microsoft.com/office/drawing/2014/chart" uri="{C3380CC4-5D6E-409C-BE32-E72D297353CC}">
                <c16:uniqueId val="{00000003-FF76-4E55-972B-1D2B53771B99}"/>
              </c:ext>
            </c:extLst>
          </c:dPt>
          <c:dPt>
            <c:idx val="2"/>
            <c:bubble3D val="0"/>
            <c:spPr>
              <a:solidFill>
                <a:schemeClr val="accent3"/>
              </a:solidFill>
              <a:ln>
                <a:noFill/>
              </a:ln>
            </c:spPr>
            <c:extLst>
              <c:ext xmlns:c16="http://schemas.microsoft.com/office/drawing/2014/chart" uri="{C3380CC4-5D6E-409C-BE32-E72D297353CC}">
                <c16:uniqueId val="{00000005-FF76-4E55-972B-1D2B53771B99}"/>
              </c:ext>
            </c:extLst>
          </c:dPt>
          <c:dLbls>
            <c:dLbl>
              <c:idx val="0"/>
              <c:dLblPos val="inEnd"/>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FF76-4E55-972B-1D2B53771B99}"/>
                </c:ext>
              </c:extLst>
            </c:dLbl>
            <c:dLbl>
              <c:idx val="1"/>
              <c:dLblPos val="inEnd"/>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FF76-4E55-972B-1D2B53771B99}"/>
                </c:ext>
              </c:extLst>
            </c:dLbl>
            <c:dLbl>
              <c:idx val="2"/>
              <c:dLblPos val="inEnd"/>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FF76-4E55-972B-1D2B53771B99}"/>
                </c:ext>
              </c:extLst>
            </c:dLbl>
            <c:spPr>
              <a:noFill/>
              <a:ln>
                <a:noFill/>
              </a:ln>
            </c:spPr>
            <c:txPr>
              <a:bodyPr anchorCtr="1"/>
              <a:lstStyle/>
              <a:p>
                <a:pPr>
                  <a:defRPr sz="900" b="1" i="0" u="none">
                    <a:solidFill>
                      <a:schemeClr val="lt1"/>
                    </a:solidFill>
                    <a:latin typeface="+mn-lt"/>
                    <a:ea typeface="+mn-lt"/>
                    <a:cs typeface="+mn-lt"/>
                  </a:defRPr>
                </a:pPr>
                <a:endParaRPr lang="es-CL"/>
              </a:p>
            </c:txPr>
            <c:dLblPos val="inEnd"/>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RESULTADOS!$A$59:$A$61</c:f>
              <c:strCache>
                <c:ptCount val="3"/>
                <c:pt idx="0">
                  <c:v>Proteína</c:v>
                </c:pt>
                <c:pt idx="1">
                  <c:v>Grasa</c:v>
                </c:pt>
                <c:pt idx="2">
                  <c:v>Carbohidratos</c:v>
                </c:pt>
              </c:strCache>
            </c:strRef>
          </c:cat>
          <c:val>
            <c:numRef>
              <c:f>RESULTADOS!$B$59:$B$61</c:f>
              <c:numCache>
                <c:formatCode>#,##0</c:formatCode>
                <c:ptCount val="3"/>
                <c:pt idx="0">
                  <c:v>468</c:v>
                </c:pt>
                <c:pt idx="1">
                  <c:v>648</c:v>
                </c:pt>
                <c:pt idx="2">
                  <c:v>2116</c:v>
                </c:pt>
              </c:numCache>
            </c:numRef>
          </c:val>
          <c:extLst>
            <c:ext xmlns:c16="http://schemas.microsoft.com/office/drawing/2014/chart" uri="{C3380CC4-5D6E-409C-BE32-E72D297353CC}">
              <c16:uniqueId val="{00000006-FF76-4E55-972B-1D2B53771B99}"/>
            </c:ext>
          </c:extLst>
        </c:ser>
        <c:dLbls>
          <c:dLblPos val="inEnd"/>
          <c:showLegendKey val="0"/>
          <c:showVal val="0"/>
          <c:showCatName val="0"/>
          <c:showSerName val="0"/>
          <c:showPercent val="1"/>
          <c:showBubbleSize val="0"/>
          <c:showLeaderLines val="1"/>
        </c:dLbls>
        <c:firstSliceAng val="0"/>
      </c:pieChart>
      <c:spPr>
        <a:noFill/>
        <a:ln>
          <a:noFill/>
        </a:ln>
      </c:spPr>
    </c:plotArea>
    <c:legend>
      <c:legendPos val="b"/>
      <c:overlay val="0"/>
      <c:spPr>
        <a:solidFill>
          <a:schemeClr val="lt1">
            <a:alpha val="78000"/>
          </a:schemeClr>
        </a:solidFill>
      </c:spPr>
      <c:txPr>
        <a:bodyPr rot="0" vert="horz" anchor="ctr" anchorCtr="1"/>
        <a:lstStyle/>
        <a:p>
          <a:pPr>
            <a:defRPr sz="900" b="0" i="0" u="none">
              <a:solidFill>
                <a:schemeClr val="dk1">
                  <a:lumMod val="65000"/>
                  <a:lumOff val="35000"/>
                </a:schemeClr>
              </a:solidFill>
              <a:latin typeface="+mn-lt"/>
              <a:ea typeface="+mn-lt"/>
              <a:cs typeface="+mn-lt"/>
            </a:defRPr>
          </a:pPr>
          <a:endParaRPr lang="es-CL"/>
        </a:p>
      </c:txPr>
    </c:legend>
    <c:plotVisOnly val="1"/>
    <c:dispBlanksAs val="zero"/>
    <c:showDLblsOverMax val="1"/>
  </c:chart>
  <c:spPr>
    <a:pattFill prst="dkDnDiag">
      <a:fgClr>
        <a:schemeClr val="lt1">
          <a:lumMod val="95000"/>
        </a:schemeClr>
      </a:fgClr>
      <a:bgClr>
        <a:schemeClr val="lt1"/>
      </a:bgClr>
    </a:pattFill>
    <a:ln w="9525" cmpd="sng">
      <a:solidFill>
        <a:schemeClr val="dk1">
          <a:lumMod val="15000"/>
          <a:lumOff val="85000"/>
        </a:schemeClr>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sz="1800" b="1">
                <a:solidFill>
                  <a:srgbClr val="000000"/>
                </a:solidFill>
                <a:latin typeface="Calibri"/>
                <a:ea typeface="Calibri"/>
                <a:cs typeface="Calibri"/>
              </a:rPr>
              <a:t>2 · Desglose: basal, actividad, efecto térmico y ajuste</a:t>
            </a:r>
          </a:p>
        </c:rich>
      </c:tx>
      <c:overlay val="1"/>
    </c:title>
    <c:autoTitleDeleted val="0"/>
    <c:plotArea>
      <c:layout/>
      <c:barChart>
        <c:barDir val="col"/>
        <c:grouping val="clustered"/>
        <c:varyColors val="0"/>
        <c:ser>
          <c:idx val="0"/>
          <c:order val="0"/>
          <c:tx>
            <c:strRef>
              <c:f>RESULTADOS!$B$52</c:f>
              <c:strCache>
                <c:ptCount val="1"/>
                <c:pt idx="0">
                  <c:v>kcal/día</c:v>
                </c:pt>
              </c:strCache>
            </c:strRef>
          </c:tx>
          <c:spPr>
            <a:solidFill>
              <a:srgbClr val="4F81BD"/>
            </a:solidFill>
            <a:ln w="0">
              <a:noFill/>
            </a:ln>
          </c:spPr>
          <c:invertIfNegative val="1"/>
          <c:dLbls>
            <c:spPr>
              <a:noFill/>
              <a:ln>
                <a:noFill/>
              </a:ln>
            </c:spPr>
            <c:txPr>
              <a:bodyPr anchorCtr="1"/>
              <a:lstStyle/>
              <a:p>
                <a:pPr>
                  <a:defRPr sz="1000" b="0">
                    <a:latin typeface="Arial"/>
                    <a:ea typeface="Arial"/>
                    <a:cs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RESULTADOS!$A$53:$A$56</c:f>
              <c:strCache>
                <c:ptCount val="4"/>
                <c:pt idx="0">
                  <c:v>GEB (basal)</c:v>
                </c:pt>
                <c:pt idx="1">
                  <c:v>Actividad (GAF)</c:v>
                </c:pt>
                <c:pt idx="2">
                  <c:v>Efecto térmico (ETA)</c:v>
                </c:pt>
                <c:pt idx="3">
                  <c:v>Ajuste por objetivo</c:v>
                </c:pt>
              </c:strCache>
            </c:strRef>
          </c:cat>
          <c:val>
            <c:numRef>
              <c:f>RESULTADOS!$B$53:$B$56</c:f>
              <c:numCache>
                <c:formatCode>#,##0;\-#,##0;0</c:formatCode>
                <c:ptCount val="4"/>
                <c:pt idx="0">
                  <c:v>1709.2</c:v>
                </c:pt>
                <c:pt idx="1">
                  <c:v>1367.3600000000001</c:v>
                </c:pt>
                <c:pt idx="2">
                  <c:v>0</c:v>
                </c:pt>
                <c:pt idx="3">
                  <c:v>153.82800000000003</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28EF-4B92-8548-13E63FD3BCCA}"/>
            </c:ext>
          </c:extLst>
        </c:ser>
        <c:dLbls>
          <c:showLegendKey val="0"/>
          <c:showVal val="0"/>
          <c:showCatName val="0"/>
          <c:showSerName val="0"/>
          <c:showPercent val="0"/>
          <c:showBubbleSize val="0"/>
        </c:dLbls>
        <c:gapWidth val="150"/>
        <c:axId val="27712463"/>
        <c:axId val="78578843"/>
      </c:barChart>
      <c:catAx>
        <c:axId val="27712463"/>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78578843"/>
        <c:crosses val="autoZero"/>
        <c:auto val="1"/>
        <c:lblAlgn val="ctr"/>
        <c:lblOffset val="100"/>
        <c:noMultiLvlLbl val="0"/>
      </c:catAx>
      <c:valAx>
        <c:axId val="78578843"/>
        <c:scaling>
          <c:orientation val="minMax"/>
        </c:scaling>
        <c:delete val="0"/>
        <c:axPos val="l"/>
        <c:majorGridlines>
          <c:spPr>
            <a:ln w="9360">
              <a:solidFill>
                <a:srgbClr val="878787"/>
              </a:solidFill>
            </a:ln>
          </c:spPr>
        </c:majorGridlines>
        <c:title>
          <c:tx>
            <c:rich>
              <a:bodyPr/>
              <a:lstStyle/>
              <a:p>
                <a:r>
                  <a:rPr sz="1000" b="1">
                    <a:solidFill>
                      <a:srgbClr val="000000"/>
                    </a:solidFill>
                    <a:latin typeface="Calibri"/>
                    <a:ea typeface="Calibri"/>
                    <a:cs typeface="Calibri"/>
                  </a:rPr>
                  <a:t>kcal/día</a:t>
                </a:r>
              </a:p>
            </c:rich>
          </c:tx>
          <c:overlay val="1"/>
        </c:title>
        <c:numFmt formatCode="#,##0;\-#,##0;0"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27712463"/>
        <c:crosses val="autoZero"/>
        <c:crossBetween val="between"/>
      </c:valAx>
      <c:spPr>
        <a:noFill/>
        <a:ln w="0">
          <a:noFill/>
        </a:ln>
      </c:spPr>
    </c:plotArea>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88847</xdr:colOff>
      <xdr:row>31</xdr:row>
      <xdr:rowOff>74439</xdr:rowOff>
    </xdr:from>
    <xdr:to>
      <xdr:col>17</xdr:col>
      <xdr:colOff>93166</xdr:colOff>
      <xdr:row>43</xdr:row>
      <xdr:rowOff>148446</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136508</xdr:colOff>
      <xdr:row>61</xdr:row>
      <xdr:rowOff>159937</xdr:rowOff>
    </xdr:from>
    <xdr:to>
      <xdr:col>17</xdr:col>
      <xdr:colOff>140827</xdr:colOff>
      <xdr:row>71</xdr:row>
      <xdr:rowOff>47619</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114097</xdr:colOff>
      <xdr:row>45</xdr:row>
      <xdr:rowOff>90664</xdr:rowOff>
    </xdr:from>
    <xdr:to>
      <xdr:col>17</xdr:col>
      <xdr:colOff>118416</xdr:colOff>
      <xdr:row>60</xdr:row>
      <xdr:rowOff>69671</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MET_ADULT_2024" displayName="tblMET_ADULT_2024" ref="A2:Q94" totalsRowShown="0">
  <tableColumns count="17">
    <tableColumn id="1" xr3:uid="{00000000-0010-0000-0000-000001000000}" name="Código"/>
    <tableColumn id="2" xr3:uid="{00000000-0010-0000-0000-000002000000}" name="Actividad_lista"/>
    <tableColumn id="3" xr3:uid="{00000000-0010-0000-0000-000003000000}" name="Categoría"/>
    <tableColumn id="4" xr3:uid="{00000000-0010-0000-0000-000004000000}" name="Actividad_original"/>
    <tableColumn id="5" xr3:uid="{00000000-0010-0000-0000-000005000000}" name="Actividad_ES"/>
    <tableColumn id="6" xr3:uid="{00000000-0010-0000-0000-000006000000}" name="Valor"/>
    <tableColumn id="7" xr3:uid="{00000000-0010-0000-0000-000007000000}" name="Unidad"/>
    <tableColumn id="8" xr3:uid="{00000000-0010-0000-0000-000008000000}" name="Población"/>
    <tableColumn id="9" xr3:uid="{00000000-0010-0000-0000-000009000000}" name="Edad_min"/>
    <tableColumn id="10" xr3:uid="{00000000-0010-0000-0000-00000A000000}" name="Edad_max"/>
    <tableColumn id="11" xr3:uid="{00000000-0010-0000-0000-00000B000000}" name="Estado_valor"/>
    <tableColumn id="12" xr3:uid="{00000000-0010-0000-0000-00000C000000}" name="Fuente_corta"/>
    <tableColumn id="13" xr3:uid="{00000000-0010-0000-0000-00000D000000}" name="Año"/>
    <tableColumn id="14" xr3:uid="{00000000-0010-0000-0000-00000E000000}" name="DOI"/>
    <tableColumn id="15" xr3:uid="{00000000-0010-0000-0000-00000F000000}" name="URL"/>
    <tableColumn id="16" xr3:uid="{00000000-0010-0000-0000-000010000000}" name="Nota_metodológica"/>
    <tableColumn id="17" xr3:uid="{00000000-0010-0000-0000-000011000000}" name="Estado_verificac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MET_OLDER_2024" displayName="tblMET_OLDER_2024" ref="A2:Q87" totalsRowShown="0">
  <tableColumns count="17">
    <tableColumn id="1" xr3:uid="{00000000-0010-0000-0100-000001000000}" name="Código"/>
    <tableColumn id="2" xr3:uid="{00000000-0010-0000-0100-000002000000}" name="Actividad_lista"/>
    <tableColumn id="3" xr3:uid="{00000000-0010-0000-0100-000003000000}" name="Categoría"/>
    <tableColumn id="4" xr3:uid="{00000000-0010-0000-0100-000004000000}" name="Actividad_original"/>
    <tableColumn id="5" xr3:uid="{00000000-0010-0000-0100-000005000000}" name="Actividad_ES"/>
    <tableColumn id="6" xr3:uid="{00000000-0010-0000-0100-000006000000}" name="Valor"/>
    <tableColumn id="7" xr3:uid="{00000000-0010-0000-0100-000007000000}" name="Unidad"/>
    <tableColumn id="8" xr3:uid="{00000000-0010-0000-0100-000008000000}" name="Población"/>
    <tableColumn id="9" xr3:uid="{00000000-0010-0000-0100-000009000000}" name="Edad_min"/>
    <tableColumn id="10" xr3:uid="{00000000-0010-0000-0100-00000A000000}" name="Edad_max"/>
    <tableColumn id="11" xr3:uid="{00000000-0010-0000-0100-00000B000000}" name="Estado_valor"/>
    <tableColumn id="12" xr3:uid="{00000000-0010-0000-0100-00000C000000}" name="Fuente_corta"/>
    <tableColumn id="13" xr3:uid="{00000000-0010-0000-0100-00000D000000}" name="Año"/>
    <tableColumn id="14" xr3:uid="{00000000-0010-0000-0100-00000E000000}" name="DOI"/>
    <tableColumn id="15" xr3:uid="{00000000-0010-0000-0100-00000F000000}" name="URL"/>
    <tableColumn id="16" xr3:uid="{00000000-0010-0000-0100-000010000000}" name="Nota_metodológica"/>
    <tableColumn id="17" xr3:uid="{00000000-0010-0000-0100-000011000000}" name="Estado_verificació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MET_WC_2024" displayName="tblMET_WC_2024" ref="A2:Q84" totalsRowShown="0">
  <tableColumns count="17">
    <tableColumn id="1" xr3:uid="{00000000-0010-0000-0200-000001000000}" name="Código"/>
    <tableColumn id="2" xr3:uid="{00000000-0010-0000-0200-000002000000}" name="Actividad_lista"/>
    <tableColumn id="3" xr3:uid="{00000000-0010-0000-0200-000003000000}" name="Categoría"/>
    <tableColumn id="4" xr3:uid="{00000000-0010-0000-0200-000004000000}" name="Actividad_original"/>
    <tableColumn id="5" xr3:uid="{00000000-0010-0000-0200-000005000000}" name="Actividad_ES"/>
    <tableColumn id="6" xr3:uid="{00000000-0010-0000-0200-000006000000}" name="Valor"/>
    <tableColumn id="7" xr3:uid="{00000000-0010-0000-0200-000007000000}" name="Unidad"/>
    <tableColumn id="8" xr3:uid="{00000000-0010-0000-0200-000008000000}" name="Población"/>
    <tableColumn id="9" xr3:uid="{00000000-0010-0000-0200-000009000000}" name="Edad_min"/>
    <tableColumn id="10" xr3:uid="{00000000-0010-0000-0200-00000A000000}" name="Edad_max"/>
    <tableColumn id="11" xr3:uid="{00000000-0010-0000-0200-00000B000000}" name="Estado_valor"/>
    <tableColumn id="12" xr3:uid="{00000000-0010-0000-0200-00000C000000}" name="Fuente_corta"/>
    <tableColumn id="13" xr3:uid="{00000000-0010-0000-0200-00000D000000}" name="Año"/>
    <tableColumn id="14" xr3:uid="{00000000-0010-0000-0200-00000E000000}" name="DOI"/>
    <tableColumn id="15" xr3:uid="{00000000-0010-0000-0200-00000F000000}" name="URL"/>
    <tableColumn id="16" xr3:uid="{00000000-0010-0000-0200-000010000000}" name="Nota_metodológica"/>
    <tableColumn id="17" xr3:uid="{00000000-0010-0000-0200-000011000000}" name="Estado_verific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3"/>
  <sheetViews>
    <sheetView showGridLines="0" topLeftCell="A22" workbookViewId="0">
      <selection activeCell="O36" sqref="O36"/>
    </sheetView>
  </sheetViews>
  <sheetFormatPr baseColWidth="10" defaultColWidth="8.7109375" defaultRowHeight="15"/>
  <cols>
    <col min="1" max="1" width="30" customWidth="1"/>
    <col min="2" max="8" width="15" customWidth="1"/>
    <col min="14" max="14" width="8.7109375" customWidth="1"/>
    <col min="16" max="16" width="9.7109375" customWidth="1"/>
    <col min="17" max="17" width="12.42578125" customWidth="1"/>
  </cols>
  <sheetData>
    <row r="1" spans="1:17" ht="25.5" customHeight="1">
      <c r="A1" s="271" t="s">
        <v>0</v>
      </c>
      <c r="B1" s="271"/>
      <c r="C1" s="271"/>
      <c r="D1" s="271"/>
      <c r="E1" s="271"/>
      <c r="F1" s="271"/>
      <c r="G1" s="271"/>
      <c r="H1" s="271"/>
      <c r="I1" s="271"/>
      <c r="J1" s="271"/>
      <c r="K1" s="271"/>
      <c r="L1" s="271"/>
      <c r="M1" s="271"/>
      <c r="N1" s="271"/>
      <c r="O1" s="271"/>
      <c r="P1" s="271"/>
      <c r="Q1" s="271"/>
    </row>
    <row r="2" spans="1:17" ht="15" customHeight="1">
      <c r="A2" s="272" t="s">
        <v>1169</v>
      </c>
      <c r="B2" s="273"/>
      <c r="C2" s="273"/>
      <c r="D2" s="273"/>
      <c r="E2" s="273"/>
      <c r="F2" s="273"/>
      <c r="G2" s="273"/>
      <c r="H2" s="273"/>
      <c r="I2" s="273"/>
      <c r="J2" s="273"/>
      <c r="K2" s="273"/>
      <c r="L2" s="273"/>
      <c r="M2" s="273"/>
      <c r="N2" s="273"/>
      <c r="O2" s="273"/>
      <c r="P2" s="273"/>
      <c r="Q2" s="273"/>
    </row>
    <row r="3" spans="1:17" ht="15" customHeight="1">
      <c r="A3" s="274"/>
      <c r="B3" s="275"/>
      <c r="C3" s="275"/>
      <c r="D3" s="275"/>
      <c r="E3" s="275"/>
      <c r="F3" s="275"/>
      <c r="G3" s="275"/>
      <c r="H3" s="275"/>
      <c r="I3" s="275"/>
      <c r="J3" s="275"/>
      <c r="K3" s="275"/>
      <c r="L3" s="275"/>
      <c r="M3" s="275"/>
      <c r="N3" s="275"/>
      <c r="O3" s="275"/>
      <c r="P3" s="275"/>
      <c r="Q3" s="275"/>
    </row>
    <row r="4" spans="1:17" ht="27.75" customHeight="1">
      <c r="A4" s="250" t="s">
        <v>1</v>
      </c>
      <c r="B4" s="251"/>
      <c r="C4" s="251"/>
      <c r="D4" s="251"/>
      <c r="E4" s="251"/>
      <c r="F4" s="251"/>
      <c r="G4" s="251"/>
      <c r="H4" s="251"/>
      <c r="I4" s="251"/>
      <c r="J4" s="251"/>
      <c r="K4" s="251"/>
      <c r="L4" s="251"/>
      <c r="M4" s="251"/>
      <c r="N4" s="251"/>
      <c r="O4" s="251"/>
      <c r="P4" s="251"/>
      <c r="Q4" s="251"/>
    </row>
    <row r="5" spans="1:17" ht="27.75" customHeight="1">
      <c r="A5" s="190" t="str">
        <f>HYPERLINK("#DATOS!A1","▶  DATOS")</f>
        <v>▶  DATOS</v>
      </c>
      <c r="B5" s="252" t="str">
        <f>HYPERLINK("#ECUACIONES!A1","▶  ECUACIONES")</f>
        <v>▶  ECUACIONES</v>
      </c>
      <c r="C5" s="253"/>
      <c r="D5" s="253" t="str">
        <f>HYPERLINK("#CALCULOS!A1","▶  CALCULOS")</f>
        <v>▶  CALCULOS</v>
      </c>
      <c r="E5" s="253"/>
      <c r="F5" s="253" t="str">
        <f>HYPERLINK("#RESULTADOS!A1","▶  RESULTADOS")</f>
        <v>▶  RESULTADOS</v>
      </c>
      <c r="G5" s="253"/>
      <c r="H5" s="252" t="str">
        <f>HYPERLINK("#ACTIVIDADES!A1","▶  ACTIVIDADES")</f>
        <v>▶  ACTIVIDADES</v>
      </c>
      <c r="I5" s="253"/>
      <c r="J5" s="252" t="str">
        <f>HYPERLINK("#FUENTES!A1","▶  FUENTES")</f>
        <v>▶  FUENTES</v>
      </c>
      <c r="K5" s="253"/>
      <c r="L5" s="252" t="str">
        <f>HYPERLINK("#PRUEBAS!A1","▶  PRUEBAS")</f>
        <v>▶  PRUEBAS</v>
      </c>
      <c r="M5" s="253"/>
      <c r="N5" s="252" t="str">
        <f>HYPERLINK("#CONFIG!A1","▶  CONFIG")</f>
        <v>▶  CONFIG</v>
      </c>
      <c r="O5" s="253"/>
      <c r="P5" s="276" t="str">
        <f>HYPERLINK("#CHANGELOG!A1","▶  CHANGELOG")</f>
        <v>▶  CHANGELOG</v>
      </c>
      <c r="Q5" s="277"/>
    </row>
    <row r="6" spans="1:17" ht="29.25" customHeight="1">
      <c r="A6" s="156" t="s">
        <v>2</v>
      </c>
      <c r="B6" s="254" t="s">
        <v>3</v>
      </c>
      <c r="C6" s="254"/>
      <c r="D6" s="254" t="s">
        <v>4</v>
      </c>
      <c r="E6" s="254"/>
      <c r="F6" s="254" t="s">
        <v>5</v>
      </c>
      <c r="G6" s="254"/>
      <c r="H6" s="254" t="s">
        <v>6</v>
      </c>
      <c r="I6" s="254"/>
      <c r="J6" s="254" t="s">
        <v>7</v>
      </c>
      <c r="K6" s="254"/>
      <c r="L6" s="254" t="s">
        <v>8</v>
      </c>
      <c r="M6" s="254"/>
      <c r="N6" s="254" t="s">
        <v>9</v>
      </c>
      <c r="O6" s="254"/>
      <c r="P6" s="254" t="s">
        <v>10</v>
      </c>
      <c r="Q6" s="254"/>
    </row>
    <row r="7" spans="1:17">
      <c r="A7" s="153" t="s">
        <v>11</v>
      </c>
      <c r="B7" s="270" t="s">
        <v>12</v>
      </c>
      <c r="C7" s="270"/>
      <c r="D7" s="270"/>
      <c r="E7" s="270"/>
      <c r="F7" s="270"/>
      <c r="G7" s="270"/>
      <c r="H7" s="270"/>
    </row>
    <row r="8" spans="1:17">
      <c r="A8" s="151" t="s">
        <v>13</v>
      </c>
      <c r="B8" s="262" t="s">
        <v>1170</v>
      </c>
      <c r="C8" s="262"/>
      <c r="D8" s="262"/>
      <c r="E8" s="262"/>
      <c r="F8" s="262"/>
      <c r="G8" s="262"/>
      <c r="H8" s="262"/>
    </row>
    <row r="9" spans="1:17">
      <c r="A9" s="151" t="s">
        <v>14</v>
      </c>
      <c r="B9" s="262">
        <v>46242</v>
      </c>
      <c r="C9" s="262"/>
      <c r="D9" s="262"/>
      <c r="E9" s="262"/>
      <c r="F9" s="262"/>
      <c r="G9" s="262"/>
      <c r="H9" s="262"/>
    </row>
    <row r="10" spans="1:17">
      <c r="A10" s="151" t="s">
        <v>15</v>
      </c>
      <c r="B10" s="262" t="s">
        <v>16</v>
      </c>
      <c r="C10" s="262"/>
      <c r="D10" s="262"/>
      <c r="E10" s="262"/>
      <c r="F10" s="262"/>
      <c r="G10" s="262"/>
      <c r="H10" s="262"/>
    </row>
    <row r="11" spans="1:17" ht="18" customHeight="1">
      <c r="A11" s="151" t="s">
        <v>17</v>
      </c>
      <c r="B11" s="262" t="s">
        <v>18</v>
      </c>
      <c r="C11" s="262"/>
      <c r="D11" s="262"/>
      <c r="E11" s="262"/>
      <c r="F11" s="262"/>
      <c r="G11" s="262"/>
      <c r="H11" s="262"/>
    </row>
    <row r="12" spans="1:17">
      <c r="A12" s="151" t="s">
        <v>19</v>
      </c>
      <c r="B12" s="262" t="s">
        <v>20</v>
      </c>
      <c r="C12" s="262"/>
      <c r="D12" s="262"/>
      <c r="E12" s="262"/>
      <c r="F12" s="262"/>
      <c r="G12" s="262"/>
      <c r="H12" s="262"/>
    </row>
    <row r="13" spans="1:17">
      <c r="A13" s="269" t="s">
        <v>21</v>
      </c>
      <c r="B13" s="269"/>
      <c r="C13" s="269"/>
      <c r="D13" s="269"/>
      <c r="E13" s="269"/>
      <c r="F13" s="269"/>
      <c r="G13" s="269"/>
      <c r="H13" s="269"/>
    </row>
    <row r="14" spans="1:17">
      <c r="A14" s="266" t="s">
        <v>22</v>
      </c>
      <c r="B14" s="266"/>
      <c r="C14" s="266"/>
      <c r="D14" s="266"/>
      <c r="E14" s="266"/>
      <c r="F14" s="266"/>
      <c r="G14" s="266"/>
      <c r="H14" s="266"/>
    </row>
    <row r="15" spans="1:17">
      <c r="A15" s="266" t="s">
        <v>23</v>
      </c>
      <c r="B15" s="266"/>
      <c r="C15" s="266"/>
      <c r="D15" s="266"/>
      <c r="E15" s="266"/>
      <c r="F15" s="266"/>
      <c r="G15" s="266"/>
      <c r="H15" s="266"/>
    </row>
    <row r="16" spans="1:17">
      <c r="A16" s="266" t="s">
        <v>24</v>
      </c>
      <c r="B16" s="266"/>
      <c r="C16" s="266"/>
      <c r="D16" s="266"/>
      <c r="E16" s="266"/>
      <c r="F16" s="266"/>
      <c r="G16" s="266"/>
      <c r="H16" s="266"/>
    </row>
    <row r="17" spans="1:8">
      <c r="A17" s="266" t="s">
        <v>1171</v>
      </c>
      <c r="B17" s="266"/>
      <c r="C17" s="266"/>
      <c r="D17" s="266"/>
      <c r="E17" s="266"/>
      <c r="F17" s="266"/>
      <c r="G17" s="266"/>
      <c r="H17" s="266"/>
    </row>
    <row r="18" spans="1:8" ht="18" customHeight="1">
      <c r="A18" s="266" t="s">
        <v>1172</v>
      </c>
      <c r="B18" s="266"/>
      <c r="C18" s="266"/>
      <c r="D18" s="266"/>
      <c r="E18" s="266"/>
      <c r="F18" s="266"/>
      <c r="G18" s="266"/>
      <c r="H18" s="266"/>
    </row>
    <row r="19" spans="1:8" ht="15.75">
      <c r="A19" s="267" t="s">
        <v>25</v>
      </c>
      <c r="B19" s="267"/>
      <c r="C19" s="267"/>
      <c r="D19" s="267"/>
      <c r="E19" s="267"/>
      <c r="F19" s="267"/>
      <c r="G19" s="267"/>
      <c r="H19" s="267"/>
    </row>
    <row r="20" spans="1:8" ht="32.25" customHeight="1">
      <c r="A20" s="163" t="s">
        <v>26</v>
      </c>
      <c r="B20" s="262" t="s">
        <v>27</v>
      </c>
      <c r="C20" s="262"/>
      <c r="D20" s="262"/>
      <c r="E20" s="262"/>
      <c r="F20" s="262"/>
      <c r="G20" s="262"/>
      <c r="H20" s="262"/>
    </row>
    <row r="21" spans="1:8" ht="25.5" customHeight="1">
      <c r="A21" s="163" t="s">
        <v>28</v>
      </c>
      <c r="B21" s="268" t="s">
        <v>1173</v>
      </c>
      <c r="C21" s="262"/>
      <c r="D21" s="262"/>
      <c r="E21" s="262"/>
      <c r="F21" s="262"/>
      <c r="G21" s="262"/>
      <c r="H21" s="262"/>
    </row>
    <row r="22" spans="1:8">
      <c r="A22" s="163" t="s">
        <v>29</v>
      </c>
      <c r="B22" s="262" t="s">
        <v>30</v>
      </c>
      <c r="C22" s="262"/>
      <c r="D22" s="262"/>
      <c r="E22" s="262"/>
      <c r="F22" s="262"/>
      <c r="G22" s="262"/>
      <c r="H22" s="262"/>
    </row>
    <row r="23" spans="1:8" ht="21" customHeight="1">
      <c r="A23" s="163" t="s">
        <v>31</v>
      </c>
      <c r="B23" s="262" t="s">
        <v>32</v>
      </c>
      <c r="C23" s="262"/>
      <c r="D23" s="262"/>
      <c r="E23" s="262"/>
      <c r="F23" s="262"/>
      <c r="G23" s="262"/>
      <c r="H23" s="262"/>
    </row>
    <row r="24" spans="1:8" ht="22.5" customHeight="1">
      <c r="A24" s="163" t="s">
        <v>33</v>
      </c>
      <c r="B24" s="262" t="s">
        <v>34</v>
      </c>
      <c r="C24" s="262"/>
      <c r="D24" s="262"/>
      <c r="E24" s="262"/>
      <c r="F24" s="262"/>
      <c r="G24" s="262"/>
      <c r="H24" s="262"/>
    </row>
    <row r="25" spans="1:8">
      <c r="A25" s="255" t="s">
        <v>35</v>
      </c>
      <c r="B25" s="255"/>
      <c r="C25" s="255"/>
      <c r="D25" s="255"/>
      <c r="E25" s="255"/>
      <c r="F25" s="255"/>
      <c r="G25" s="255"/>
      <c r="H25" s="255"/>
    </row>
    <row r="26" spans="1:8">
      <c r="A26" s="263" t="s">
        <v>36</v>
      </c>
      <c r="B26" s="264"/>
      <c r="C26" s="264"/>
      <c r="D26" s="264"/>
      <c r="E26" s="264"/>
      <c r="F26" s="264"/>
      <c r="G26" s="264"/>
      <c r="H26" s="265"/>
    </row>
    <row r="27" spans="1:8">
      <c r="A27" s="256" t="s">
        <v>37</v>
      </c>
      <c r="B27" s="257"/>
      <c r="C27" s="257"/>
      <c r="D27" s="257"/>
      <c r="E27" s="257"/>
      <c r="F27" s="257"/>
      <c r="G27" s="257"/>
      <c r="H27" s="258"/>
    </row>
    <row r="28" spans="1:8" ht="18" customHeight="1">
      <c r="A28" s="256" t="s">
        <v>38</v>
      </c>
      <c r="B28" s="257"/>
      <c r="C28" s="257"/>
      <c r="D28" s="257"/>
      <c r="E28" s="257"/>
      <c r="F28" s="257"/>
      <c r="G28" s="257"/>
      <c r="H28" s="258"/>
    </row>
    <row r="29" spans="1:8">
      <c r="A29" s="256" t="s">
        <v>39</v>
      </c>
      <c r="B29" s="257"/>
      <c r="C29" s="257"/>
      <c r="D29" s="257"/>
      <c r="E29" s="257"/>
      <c r="F29" s="257"/>
      <c r="G29" s="257"/>
      <c r="H29" s="258"/>
    </row>
    <row r="30" spans="1:8">
      <c r="A30" s="256" t="s">
        <v>40</v>
      </c>
      <c r="B30" s="257"/>
      <c r="C30" s="257"/>
      <c r="D30" s="257"/>
      <c r="E30" s="257"/>
      <c r="F30" s="257"/>
      <c r="G30" s="257"/>
      <c r="H30" s="258"/>
    </row>
    <row r="31" spans="1:8">
      <c r="A31" s="259" t="s">
        <v>41</v>
      </c>
      <c r="B31" s="260"/>
      <c r="C31" s="260"/>
      <c r="D31" s="260"/>
      <c r="E31" s="260"/>
      <c r="F31" s="260"/>
      <c r="G31" s="260"/>
      <c r="H31" s="261"/>
    </row>
    <row r="32" spans="1:8">
      <c r="A32" s="255" t="s">
        <v>42</v>
      </c>
      <c r="B32" s="255"/>
      <c r="C32" s="255"/>
      <c r="D32" s="255"/>
      <c r="E32" s="255"/>
      <c r="F32" s="255"/>
      <c r="G32" s="255"/>
      <c r="H32" s="255"/>
    </row>
    <row r="33" spans="1:8" ht="18.75">
      <c r="A33" s="155" t="s">
        <v>43</v>
      </c>
      <c r="B33" s="249" t="s">
        <v>44</v>
      </c>
      <c r="C33" s="249"/>
      <c r="D33" s="249"/>
      <c r="E33" s="249"/>
      <c r="F33" s="249"/>
      <c r="G33" s="249"/>
      <c r="H33" s="249"/>
    </row>
    <row r="34" spans="1:8" ht="18.75">
      <c r="A34" s="155" t="s">
        <v>45</v>
      </c>
      <c r="B34" s="249" t="s">
        <v>46</v>
      </c>
      <c r="C34" s="249"/>
      <c r="D34" s="249"/>
      <c r="E34" s="249"/>
      <c r="F34" s="249"/>
      <c r="G34" s="249"/>
      <c r="H34" s="249"/>
    </row>
    <row r="35" spans="1:8" ht="18.75">
      <c r="A35" s="155" t="s">
        <v>47</v>
      </c>
      <c r="B35" s="249" t="s">
        <v>48</v>
      </c>
      <c r="C35" s="249"/>
      <c r="D35" s="249"/>
      <c r="E35" s="249"/>
      <c r="F35" s="249"/>
      <c r="G35" s="249"/>
      <c r="H35" s="249"/>
    </row>
    <row r="36" spans="1:8" ht="18" customHeight="1">
      <c r="A36" s="155" t="s">
        <v>49</v>
      </c>
      <c r="B36" s="249" t="s">
        <v>50</v>
      </c>
      <c r="C36" s="249"/>
      <c r="D36" s="249"/>
      <c r="E36" s="249"/>
      <c r="F36" s="249"/>
      <c r="G36" s="249"/>
      <c r="H36" s="249"/>
    </row>
    <row r="37" spans="1:8" ht="18.75">
      <c r="A37" s="155" t="s">
        <v>51</v>
      </c>
      <c r="B37" s="249" t="s">
        <v>52</v>
      </c>
      <c r="C37" s="249"/>
      <c r="D37" s="249"/>
      <c r="E37" s="249"/>
      <c r="F37" s="249"/>
      <c r="G37" s="249"/>
      <c r="H37" s="249"/>
    </row>
    <row r="38" spans="1:8">
      <c r="A38" s="344" t="s">
        <v>53</v>
      </c>
      <c r="B38" s="344"/>
      <c r="C38" s="344"/>
      <c r="D38" s="344"/>
      <c r="E38" s="344"/>
      <c r="F38" s="344"/>
      <c r="G38" s="344"/>
      <c r="H38" s="344"/>
    </row>
    <row r="39" spans="1:8">
      <c r="A39" s="345" t="s">
        <v>54</v>
      </c>
      <c r="B39" s="345"/>
      <c r="C39" s="345"/>
      <c r="D39" s="345"/>
      <c r="E39" s="345"/>
      <c r="F39" s="345"/>
      <c r="G39" s="345"/>
      <c r="H39" s="345"/>
    </row>
    <row r="40" spans="1:8">
      <c r="A40" s="345" t="s">
        <v>55</v>
      </c>
      <c r="B40" s="345"/>
      <c r="C40" s="345"/>
      <c r="D40" s="345"/>
      <c r="E40" s="345"/>
      <c r="F40" s="345"/>
      <c r="G40" s="345"/>
      <c r="H40" s="345"/>
    </row>
    <row r="41" spans="1:8">
      <c r="A41" s="345" t="s">
        <v>56</v>
      </c>
      <c r="B41" s="345"/>
      <c r="C41" s="345"/>
      <c r="D41" s="345"/>
      <c r="E41" s="345"/>
      <c r="F41" s="345"/>
      <c r="G41" s="345"/>
      <c r="H41" s="345"/>
    </row>
    <row r="42" spans="1:8">
      <c r="A42" s="345" t="s">
        <v>57</v>
      </c>
      <c r="B42" s="345"/>
      <c r="C42" s="345"/>
      <c r="D42" s="345"/>
      <c r="E42" s="345"/>
      <c r="F42" s="345"/>
      <c r="G42" s="345"/>
      <c r="H42" s="345"/>
    </row>
    <row r="43" spans="1:8">
      <c r="A43" s="345" t="s">
        <v>58</v>
      </c>
      <c r="B43" s="345"/>
      <c r="C43" s="345"/>
      <c r="D43" s="345"/>
      <c r="E43" s="345"/>
      <c r="F43" s="345"/>
      <c r="G43" s="345"/>
      <c r="H43" s="345"/>
    </row>
    <row r="44" spans="1:8">
      <c r="A44" s="345" t="s">
        <v>59</v>
      </c>
      <c r="B44" s="345"/>
      <c r="C44" s="345"/>
      <c r="D44" s="345"/>
      <c r="E44" s="345"/>
      <c r="F44" s="345"/>
      <c r="G44" s="345"/>
      <c r="H44" s="345"/>
    </row>
    <row r="45" spans="1:8" ht="18" customHeight="1">
      <c r="A45" s="345" t="s">
        <v>60</v>
      </c>
      <c r="B45" s="345"/>
      <c r="C45" s="345"/>
      <c r="D45" s="345"/>
      <c r="E45" s="345"/>
      <c r="F45" s="345"/>
      <c r="G45" s="345"/>
      <c r="H45" s="345"/>
    </row>
    <row r="53" ht="18" customHeight="1"/>
  </sheetData>
  <sheetProtection algorithmName="SHA-512" hashValue="uU1xVncttBZ7QL+XxTIp8JBq6kp0KtQ1AgmmYdUR7g3zEhLHno5q2Xi/SAiNUAVC76npsiKUDfJEkiJtcgdPuA==" saltValue="qt5obUdAje7g23V5oY9U6g==" spinCount="100000" sheet="1" objects="1" scenarios="1"/>
  <mergeCells count="58">
    <mergeCell ref="P6:Q6"/>
    <mergeCell ref="A1:Q1"/>
    <mergeCell ref="A2:Q3"/>
    <mergeCell ref="L5:M5"/>
    <mergeCell ref="N5:O5"/>
    <mergeCell ref="P5:Q5"/>
    <mergeCell ref="B7:H7"/>
    <mergeCell ref="B8:H8"/>
    <mergeCell ref="B9:H9"/>
    <mergeCell ref="B10:H10"/>
    <mergeCell ref="B11:H11"/>
    <mergeCell ref="B12:H12"/>
    <mergeCell ref="A13:H13"/>
    <mergeCell ref="A14:H14"/>
    <mergeCell ref="A15:H15"/>
    <mergeCell ref="A16:H16"/>
    <mergeCell ref="A17:H17"/>
    <mergeCell ref="A18:H18"/>
    <mergeCell ref="A19:H19"/>
    <mergeCell ref="B20:H20"/>
    <mergeCell ref="B21:H21"/>
    <mergeCell ref="B22:H22"/>
    <mergeCell ref="B23:H23"/>
    <mergeCell ref="B24:H24"/>
    <mergeCell ref="A25:H25"/>
    <mergeCell ref="A26:H26"/>
    <mergeCell ref="B34:H34"/>
    <mergeCell ref="B35:H35"/>
    <mergeCell ref="B36:H36"/>
    <mergeCell ref="A27:H27"/>
    <mergeCell ref="A28:H28"/>
    <mergeCell ref="A29:H29"/>
    <mergeCell ref="A30:H30"/>
    <mergeCell ref="A31:H31"/>
    <mergeCell ref="B37:H37"/>
    <mergeCell ref="A4:Q4"/>
    <mergeCell ref="B5:C5"/>
    <mergeCell ref="D5:E5"/>
    <mergeCell ref="F5:G5"/>
    <mergeCell ref="H5:I5"/>
    <mergeCell ref="J5:K5"/>
    <mergeCell ref="D6:E6"/>
    <mergeCell ref="B6:C6"/>
    <mergeCell ref="F6:G6"/>
    <mergeCell ref="H6:I6"/>
    <mergeCell ref="J6:K6"/>
    <mergeCell ref="L6:M6"/>
    <mergeCell ref="N6:O6"/>
    <mergeCell ref="A32:H32"/>
    <mergeCell ref="B33:H33"/>
    <mergeCell ref="A43:H43"/>
    <mergeCell ref="A44:H44"/>
    <mergeCell ref="A45:H45"/>
    <mergeCell ref="A38:H38"/>
    <mergeCell ref="A39:H39"/>
    <mergeCell ref="A40:H40"/>
    <mergeCell ref="A41:H41"/>
    <mergeCell ref="A42:H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showGridLines="0" zoomScale="70" zoomScaleNormal="70" workbookViewId="0">
      <selection activeCell="H7" sqref="H7"/>
    </sheetView>
  </sheetViews>
  <sheetFormatPr baseColWidth="10" defaultColWidth="8.7109375" defaultRowHeight="15"/>
  <cols>
    <col min="1" max="1" width="34" customWidth="1"/>
    <col min="2" max="2" width="42" customWidth="1"/>
    <col min="3" max="3" width="11" customWidth="1"/>
    <col min="4" max="4" width="32" customWidth="1"/>
    <col min="5" max="5" width="56" customWidth="1"/>
    <col min="7" max="7" width="22" customWidth="1"/>
    <col min="8" max="8" width="31" customWidth="1"/>
    <col min="9" max="9" width="43" customWidth="1"/>
  </cols>
  <sheetData>
    <row r="1" spans="1:9" ht="25.5" customHeight="1">
      <c r="A1" s="278" t="s">
        <v>61</v>
      </c>
      <c r="B1" s="278"/>
      <c r="C1" s="278"/>
      <c r="D1" s="278"/>
      <c r="E1" s="278"/>
    </row>
    <row r="2" spans="1:9" ht="20.25" customHeight="1">
      <c r="A2" s="282" t="str">
        <f>HYPERLINK("#INICIO!A1","◀ INICIO")</f>
        <v>◀ INICIO</v>
      </c>
      <c r="B2" s="282"/>
      <c r="C2" s="252" t="str">
        <f>HYPERLINK("#RESULTADOS!A1","▶ RESULTADOS")</f>
        <v>▶ RESULTADOS</v>
      </c>
      <c r="D2" s="253"/>
      <c r="E2" s="154" t="str">
        <f>HYPERLINK("#ACTIVIDADES!A1","▶ ACTIVIDADES")</f>
        <v>▶ ACTIVIDADES</v>
      </c>
    </row>
    <row r="3" spans="1:9" ht="21.75" customHeight="1">
      <c r="A3" s="279" t="s">
        <v>62</v>
      </c>
      <c r="B3" s="279"/>
      <c r="C3" s="279"/>
      <c r="D3" s="279"/>
      <c r="E3" s="279"/>
    </row>
    <row r="4" spans="1:9" ht="19.5" customHeight="1">
      <c r="A4" s="280" t="s">
        <v>63</v>
      </c>
      <c r="B4" s="280"/>
      <c r="C4" s="280"/>
      <c r="D4" s="280"/>
      <c r="E4" s="280"/>
    </row>
    <row r="5" spans="1:9" ht="26.1" customHeight="1">
      <c r="A5" s="158" t="s">
        <v>64</v>
      </c>
      <c r="B5" s="158" t="s">
        <v>65</v>
      </c>
      <c r="C5" s="158" t="s">
        <v>66</v>
      </c>
      <c r="D5" s="158" t="s">
        <v>67</v>
      </c>
      <c r="E5" s="158" t="s">
        <v>68</v>
      </c>
      <c r="G5" s="283" t="s">
        <v>1174</v>
      </c>
      <c r="H5" s="283"/>
      <c r="I5" s="283"/>
    </row>
    <row r="6" spans="1:9" ht="26.1" customHeight="1">
      <c r="A6" s="41" t="s">
        <v>69</v>
      </c>
      <c r="B6" s="178" t="s">
        <v>70</v>
      </c>
      <c r="C6" s="42" t="s">
        <v>71</v>
      </c>
      <c r="D6" s="157" t="s">
        <v>72</v>
      </c>
      <c r="E6" s="157" t="s">
        <v>73</v>
      </c>
      <c r="G6" s="212" t="s">
        <v>1175</v>
      </c>
      <c r="H6" s="215" t="s">
        <v>1176</v>
      </c>
      <c r="I6" s="219" t="s">
        <v>1177</v>
      </c>
    </row>
    <row r="7" spans="1:9" ht="26.1" customHeight="1">
      <c r="A7" s="41" t="s">
        <v>14</v>
      </c>
      <c r="B7" s="179">
        <v>46215</v>
      </c>
      <c r="C7" s="42" t="s">
        <v>74</v>
      </c>
      <c r="D7" s="157" t="s">
        <v>14</v>
      </c>
      <c r="E7" s="157" t="s">
        <v>75</v>
      </c>
      <c r="G7" s="213" t="s">
        <v>1178</v>
      </c>
      <c r="H7" s="216" t="s">
        <v>1326</v>
      </c>
      <c r="I7" s="220" t="s">
        <v>1180</v>
      </c>
    </row>
    <row r="8" spans="1:9" ht="26.1" customHeight="1">
      <c r="A8" s="41" t="s">
        <v>76</v>
      </c>
      <c r="B8" s="178" t="s">
        <v>77</v>
      </c>
      <c r="C8" s="42" t="s">
        <v>71</v>
      </c>
      <c r="D8" s="157" t="s">
        <v>72</v>
      </c>
      <c r="E8" s="157" t="s">
        <v>78</v>
      </c>
      <c r="G8" s="213" t="s">
        <v>1181</v>
      </c>
      <c r="H8" s="217" t="str">
        <f>IF($H$10="BLOQUEADO_INESTABLE","BLOQUEADO · condición no estable",IF($H$10="FUERA_ALCANCE","FUERA DE ALCANCE",IF($H$10="COMPENDIUM_NO_DISPONIBLE_18","NMX-01 aplica; Compendium no disponible",IF(AND($H$10="WHEELCHAIR2024_METWC",in_Edad&gt;=CONFIG!$B$154),"PRECAUCIÓN · METWC con evidencia etaria limitada","ACTIVO"))))</f>
        <v>ACTIVO</v>
      </c>
      <c r="I8" s="220" t="s">
        <v>1182</v>
      </c>
    </row>
    <row r="9" spans="1:9" ht="26.1" customHeight="1">
      <c r="A9" s="41" t="s">
        <v>79</v>
      </c>
      <c r="B9" s="178" t="s">
        <v>80</v>
      </c>
      <c r="C9" s="42" t="s">
        <v>71</v>
      </c>
      <c r="D9" s="157" t="s">
        <v>81</v>
      </c>
      <c r="E9" s="157" t="s">
        <v>82</v>
      </c>
      <c r="G9" s="214" t="s">
        <v>1183</v>
      </c>
      <c r="H9" s="218" t="str">
        <f>IF($H$10="ADULT2024_MET","2024 Adult Compendium",IF($H$10="OLDER2024_MET60","2024 Older Adult Compendium",IF($H$10="WHEELCHAIR2024_METWC","2024 Wheelchair Compendium",IF($H$10="COMPENDIUM_NO_DISPONIBLE_18","No disponible para edad 18",IF($H$10="BLOQUEADO_INESTABLE","Bloqueado","Fuera de alcance")))))</f>
        <v>2024 Wheelchair Compendium</v>
      </c>
      <c r="I9" s="221" t="s">
        <v>1184</v>
      </c>
    </row>
    <row r="10" spans="1:9" ht="30" customHeight="1">
      <c r="A10" s="41" t="s">
        <v>83</v>
      </c>
      <c r="B10" s="180">
        <v>20</v>
      </c>
      <c r="C10" s="42" t="s">
        <v>84</v>
      </c>
      <c r="D10" s="157" t="s">
        <v>85</v>
      </c>
      <c r="E10" s="157" t="s">
        <v>86</v>
      </c>
      <c r="G10" s="214" t="s">
        <v>1185</v>
      </c>
      <c r="H10" s="218" t="str">
        <f>IF($H$6&lt;&gt;"Estable","BLOQUEADO_INESTABLE",IF(NOT(ISNUMBER(in_Edad)),"FUERA_ALCANCE",IF(in_Edad&lt;EDAD_MIN,"FUERA_ALCANCE",IF(in_Edad&lt;CONFIG!$B$152,"COMPENDIUM_NO_DISPONIBLE_18",IF($H$7="Usuario de silla de ruedas","WHEELCHAIR2024_METWC",IF(in_Edad&gt;=CONFIG!$B$154,"OLDER2024_MET60","ADULT2024_MET"))))))</f>
        <v>WHEELCHAIR2024_METWC</v>
      </c>
      <c r="I10" s="221" t="s">
        <v>1186</v>
      </c>
    </row>
    <row r="11" spans="1:9" ht="30" customHeight="1">
      <c r="A11" s="41" t="s">
        <v>87</v>
      </c>
      <c r="B11" s="181">
        <v>78</v>
      </c>
      <c r="C11" s="42" t="s">
        <v>88</v>
      </c>
      <c r="D11" s="157" t="s">
        <v>89</v>
      </c>
      <c r="E11" s="157" t="s">
        <v>90</v>
      </c>
    </row>
    <row r="12" spans="1:9" ht="30" customHeight="1">
      <c r="A12" s="41" t="s">
        <v>91</v>
      </c>
      <c r="B12" s="181">
        <v>180</v>
      </c>
      <c r="C12" s="42" t="s">
        <v>92</v>
      </c>
      <c r="D12" s="157" t="s">
        <v>93</v>
      </c>
      <c r="E12" s="157" t="s">
        <v>94</v>
      </c>
    </row>
    <row r="13" spans="1:9" ht="30" customHeight="1">
      <c r="A13" s="41" t="s">
        <v>95</v>
      </c>
      <c r="B13" s="182">
        <v>0.05</v>
      </c>
      <c r="C13" s="42" t="s">
        <v>96</v>
      </c>
      <c r="D13" s="157" t="s">
        <v>97</v>
      </c>
      <c r="E13" s="157" t="s">
        <v>98</v>
      </c>
    </row>
    <row r="14" spans="1:9" ht="30" customHeight="1">
      <c r="A14" s="41" t="s">
        <v>99</v>
      </c>
      <c r="B14" s="181">
        <v>62</v>
      </c>
      <c r="C14" s="42" t="s">
        <v>88</v>
      </c>
      <c r="D14" s="157" t="s">
        <v>100</v>
      </c>
      <c r="E14" s="157" t="s">
        <v>101</v>
      </c>
    </row>
    <row r="15" spans="1:9" ht="30" customHeight="1">
      <c r="A15" s="41" t="s">
        <v>102</v>
      </c>
      <c r="B15" s="178" t="s">
        <v>103</v>
      </c>
      <c r="C15" s="42" t="s">
        <v>71</v>
      </c>
      <c r="D15" s="157" t="s">
        <v>104</v>
      </c>
      <c r="E15" s="157" t="s">
        <v>105</v>
      </c>
    </row>
    <row r="16" spans="1:9" ht="30" customHeight="1">
      <c r="A16" s="41" t="s">
        <v>106</v>
      </c>
      <c r="B16" s="183">
        <v>0.05</v>
      </c>
      <c r="C16" s="42" t="s">
        <v>96</v>
      </c>
      <c r="D16" s="157" t="s">
        <v>107</v>
      </c>
      <c r="E16" s="157" t="s">
        <v>108</v>
      </c>
    </row>
    <row r="17" spans="1:5" ht="30" customHeight="1">
      <c r="A17" s="41" t="s">
        <v>109</v>
      </c>
      <c r="B17" s="178" t="s">
        <v>110</v>
      </c>
      <c r="C17" s="42" t="s">
        <v>71</v>
      </c>
      <c r="D17" s="157" t="s">
        <v>111</v>
      </c>
      <c r="E17" s="157" t="s">
        <v>1187</v>
      </c>
    </row>
    <row r="18" spans="1:5" ht="30" customHeight="1">
      <c r="A18" s="191" t="s">
        <v>112</v>
      </c>
      <c r="B18" s="178" t="s">
        <v>1188</v>
      </c>
      <c r="C18" s="42" t="s">
        <v>71</v>
      </c>
      <c r="D18" s="157" t="s">
        <v>113</v>
      </c>
      <c r="E18" s="157" t="s">
        <v>1189</v>
      </c>
    </row>
    <row r="19" spans="1:5" ht="30" customHeight="1">
      <c r="A19" s="41" t="s">
        <v>114</v>
      </c>
      <c r="B19" s="184"/>
      <c r="C19" s="42" t="s">
        <v>71</v>
      </c>
      <c r="D19" s="157" t="s">
        <v>115</v>
      </c>
      <c r="E19" s="157" t="s">
        <v>116</v>
      </c>
    </row>
    <row r="20" spans="1:5" ht="30" customHeight="1">
      <c r="A20" s="41" t="s">
        <v>117</v>
      </c>
      <c r="B20" s="178" t="s">
        <v>118</v>
      </c>
      <c r="C20" s="42" t="s">
        <v>71</v>
      </c>
      <c r="D20" s="157" t="s">
        <v>119</v>
      </c>
      <c r="E20" s="157" t="s">
        <v>120</v>
      </c>
    </row>
    <row r="21" spans="1:5" ht="30" customHeight="1">
      <c r="A21" s="41" t="s">
        <v>121</v>
      </c>
      <c r="B21" s="182">
        <v>0.1</v>
      </c>
      <c r="C21" s="42" t="s">
        <v>96</v>
      </c>
      <c r="D21" s="157" t="s">
        <v>122</v>
      </c>
      <c r="E21" s="157" t="s">
        <v>123</v>
      </c>
    </row>
    <row r="22" spans="1:5" ht="30" customHeight="1">
      <c r="A22" s="41" t="s">
        <v>124</v>
      </c>
      <c r="B22" s="178" t="s">
        <v>125</v>
      </c>
      <c r="C22" s="42" t="s">
        <v>71</v>
      </c>
      <c r="D22" s="157" t="s">
        <v>126</v>
      </c>
      <c r="E22" s="157" t="s">
        <v>127</v>
      </c>
    </row>
    <row r="23" spans="1:5" ht="45.75" customHeight="1">
      <c r="A23" s="41" t="s">
        <v>128</v>
      </c>
      <c r="B23" s="178" t="s">
        <v>129</v>
      </c>
      <c r="C23" s="42" t="s">
        <v>71</v>
      </c>
      <c r="D23" s="157" t="s">
        <v>130</v>
      </c>
      <c r="E23" s="157" t="s">
        <v>131</v>
      </c>
    </row>
    <row r="24" spans="1:5" ht="30" customHeight="1">
      <c r="A24" s="41" t="s">
        <v>132</v>
      </c>
      <c r="B24" s="178" t="s">
        <v>133</v>
      </c>
      <c r="C24" s="42" t="s">
        <v>71</v>
      </c>
      <c r="D24" s="157" t="s">
        <v>134</v>
      </c>
      <c r="E24" s="157" t="s">
        <v>135</v>
      </c>
    </row>
    <row r="25" spans="1:5" ht="30" customHeight="1">
      <c r="A25" s="41" t="s">
        <v>136</v>
      </c>
      <c r="B25" s="184">
        <v>1.5</v>
      </c>
      <c r="C25" s="42" t="s">
        <v>137</v>
      </c>
      <c r="D25" s="157" t="s">
        <v>138</v>
      </c>
      <c r="E25" s="157" t="s">
        <v>139</v>
      </c>
    </row>
    <row r="26" spans="1:5" ht="30" customHeight="1">
      <c r="A26" s="41" t="s">
        <v>140</v>
      </c>
      <c r="B26" s="178" t="s">
        <v>141</v>
      </c>
      <c r="C26" s="42" t="s">
        <v>71</v>
      </c>
      <c r="D26" s="157" t="s">
        <v>134</v>
      </c>
      <c r="E26" s="157" t="s">
        <v>135</v>
      </c>
    </row>
    <row r="27" spans="1:5" ht="30" customHeight="1">
      <c r="A27" s="41" t="s">
        <v>142</v>
      </c>
      <c r="B27" s="184">
        <v>0.2</v>
      </c>
      <c r="C27" s="42" t="s">
        <v>137</v>
      </c>
      <c r="D27" s="157" t="s">
        <v>138</v>
      </c>
      <c r="E27" s="157" t="s">
        <v>139</v>
      </c>
    </row>
    <row r="28" spans="1:5" ht="30" customHeight="1">
      <c r="A28" s="41" t="s">
        <v>143</v>
      </c>
      <c r="B28" s="178"/>
      <c r="C28" s="42" t="s">
        <v>71</v>
      </c>
      <c r="D28" s="157" t="s">
        <v>72</v>
      </c>
      <c r="E28" s="157" t="s">
        <v>144</v>
      </c>
    </row>
    <row r="30" spans="1:5">
      <c r="A30" s="281" t="s">
        <v>145</v>
      </c>
      <c r="B30" s="281"/>
      <c r="C30" s="281"/>
      <c r="D30" s="281"/>
      <c r="E30" s="281"/>
    </row>
    <row r="31" spans="1:5">
      <c r="A31" s="159" t="s">
        <v>146</v>
      </c>
      <c r="B31" s="160"/>
      <c r="C31" s="161">
        <f>IF(COUNTIF(LISTA_OBJ,in_Obj)=1,INDEX(OBJ_PCT,MATCH(in_Obj,LISTA_OBJ,0)),"—")</f>
        <v>0.1</v>
      </c>
      <c r="D31" s="162" t="s">
        <v>147</v>
      </c>
      <c r="E31" s="160"/>
    </row>
  </sheetData>
  <sheetProtection algorithmName="SHA-512" hashValue="Kxpo3Vx6lIfEt3xVMLJNx23bUZqpVxBgqiRxSiwJbr601tBHKZpYxsqg/tXw1txgFMHqm2zAe6JqW+EVbkQ4BA==" saltValue="f/Wa/7CzyWeamjsQeDrSSg==" spinCount="100000" sheet="1" objects="1" scenarios="1"/>
  <protectedRanges>
    <protectedRange sqref="H6:H7" name="Rango2"/>
    <protectedRange sqref="B6:B28" name="Rango1"/>
  </protectedRanges>
  <mergeCells count="7">
    <mergeCell ref="G5:I5"/>
    <mergeCell ref="A1:E1"/>
    <mergeCell ref="A3:E3"/>
    <mergeCell ref="A4:E4"/>
    <mergeCell ref="A30:E30"/>
    <mergeCell ref="A2:B2"/>
    <mergeCell ref="C2:D2"/>
  </mergeCells>
  <dataValidations count="19">
    <dataValidation type="list" showErrorMessage="1" errorTitle="Sexo no válido" error="Seleccione Hombre o Mujer." sqref="B9" xr:uid="{00000000-0002-0000-0100-000000000000}">
      <formula1>SEXOS</formula1>
      <formula2>0</formula2>
    </dataValidation>
    <dataValidation type="decimal" showErrorMessage="1" errorTitle="Edad no válida" error="Solo adultos: edad entre EDAD_MIN y EDAD_MAX (CONFIG C1)." sqref="B10" xr:uid="{00000000-0002-0000-0100-000001000000}">
      <formula1>EDAD_MIN</formula1>
      <formula2>EDAD_MAX</formula2>
    </dataValidation>
    <dataValidation type="decimal" showErrorMessage="1" errorTitle="Peso no válido" error="El peso debe ser numérico y mayor que cero, dentro de los límites de CONFIG C1." sqref="B11" xr:uid="{00000000-0002-0000-0100-000002000000}">
      <formula1>PESO_MIN</formula1>
      <formula2>PESO_MAX</formula2>
    </dataValidation>
    <dataValidation type="decimal" showErrorMessage="1" errorTitle="Estatura no válida" error="La estatura se ingresa en CENTÍMETROS, dentro de los límites de CONFIG C1." sqref="B12" xr:uid="{00000000-0002-0000-0100-000003000000}">
      <formula1>EST_MIN</formula1>
      <formula2>EST_MAX</formula2>
    </dataValidation>
    <dataValidation type="decimal" allowBlank="1" showErrorMessage="1" errorTitle="% de grasa no válido" error="Debe caer entre GRASA_MIN y GRASA_MAX, o quedar vacío." sqref="B13" xr:uid="{00000000-0002-0000-0100-000004000000}">
      <formula1>GRASA_MIN</formula1>
      <formula2>GRASA_MAX</formula2>
    </dataValidation>
    <dataValidation type="decimal" allowBlank="1" showErrorMessage="1" errorTitle="MLG no válida" error="La MLG debe ser numérica y menor que el peso, o quedar vacía." sqref="B14" xr:uid="{00000000-0002-0000-0100-000005000000}">
      <formula1>1</formula1>
      <formula2>PESO_MAX</formula2>
    </dataValidation>
    <dataValidation type="list" showErrorMessage="1" errorTitle="Objetivo no válido" error="Seleccione un objetivo del catálogo CONFIG C5." sqref="B15" xr:uid="{00000000-0002-0000-0100-000006000000}">
      <formula1>LISTA_OBJ</formula1>
      <formula2>0</formula2>
    </dataValidation>
    <dataValidation type="decimal" showErrorMessage="1" errorTitle="Ajuste fuera de rango" error="El ajuste, en valor absoluto, no puede superar AJUSTE_MAX (CONFIG C1)." sqref="B16" xr:uid="{00000000-0002-0000-0100-000007000000}">
      <formula1>-AJUSTE_MAX</formula1>
      <formula2>AJUSTE_MAX</formula2>
    </dataValidation>
    <dataValidation type="list" showErrorMessage="1" errorTitle="Método no válido" error="Seleccione el método de actividad del catálogo CONFIG C3." sqref="B17" xr:uid="{00000000-0002-0000-0100-000008000000}">
      <formula1>LISTA_METODO</formula1>
      <formula2>0</formula2>
    </dataValidation>
    <dataValidation type="list" showErrorMessage="1" errorTitle="Factor no válido" error="Seleccione un factor de actividad del catálogo CONFIG C4." sqref="B18" xr:uid="{00000000-0002-0000-0100-000009000000}">
      <formula1>LISTA_FA</formula1>
      <formula2>0</formula2>
    </dataValidation>
    <dataValidation type="decimal" allowBlank="1" showErrorMessage="1" errorTitle="Factor manual fuera de límites" error="El factor manual debe estar entre FA_MIN y FA_MAX (CONFIG C1), o quedar vacío." sqref="B19" xr:uid="{00000000-0002-0000-0100-00000A000000}">
      <formula1>FA_MIN</formula1>
      <formula2>FA_MAX</formula2>
    </dataValidation>
    <dataValidation type="list" showErrorMessage="1" errorTitle="Modo de ETA no válido" error="Seleccione un modo de tratamiento del efecto térmico (CONFIG C6)." sqref="B20" xr:uid="{00000000-0002-0000-0100-00000B000000}">
      <formula1>LISTA_ETA</formula1>
      <formula2>0</formula2>
    </dataValidation>
    <dataValidation type="decimal" showErrorMessage="1" errorTitle="% de ETA fuera de rango" error="El % de efecto térmico debe estar entre 0 y ETA_MAX (CONFIG C1)." sqref="B21" xr:uid="{00000000-0002-0000-0100-00000C000000}">
      <formula1>0</formula1>
      <formula2>ETA_MAX</formula2>
    </dataValidation>
    <dataValidation type="list" showErrorMessage="1" errorTitle="Ecuación no válida" error="Seleccione una ecuación del catálogo CONFIG C11." sqref="B22" xr:uid="{00000000-0002-0000-0100-00000D000000}">
      <formula1>LISTA_ECU</formula1>
      <formula2>0</formula2>
    </dataValidation>
    <dataValidation type="list" showErrorMessage="1" errorTitle="Modo no válido" error="Seleccione '% de la energía' o 'g/kg de peso'." sqref="B24 B26" xr:uid="{00000000-0002-0000-0100-00000E000000}">
      <formula1>LISTA_MODO</formula1>
      <formula2>0</formula2>
    </dataValidation>
    <dataValidation type="decimal" operator="greaterThanOrEqual" showErrorMessage="1" errorTitle="Valor negativo" error="La proteína no puede ser negativa." sqref="B25" xr:uid="{00000000-0002-0000-0100-00000F000000}">
      <formula1>0</formula1>
      <formula2>0</formula2>
    </dataValidation>
    <dataValidation type="decimal" operator="greaterThanOrEqual" showErrorMessage="1" errorTitle="Valor negativo" error="La grasa no puede ser negativa." sqref="B27" xr:uid="{00000000-0002-0000-0100-000010000000}">
      <formula1>0</formula1>
      <formula2>0</formula2>
    </dataValidation>
    <dataValidation type="list" sqref="H6" xr:uid="{00000000-0002-0000-0100-000011000000}">
      <formula1>"Estable,No estable"</formula1>
    </dataValidation>
    <dataValidation type="list" sqref="H7" xr:uid="{00000000-0002-0000-0100-000012000000}">
      <formula1>"Ambulante,Usuario de silla de ruedas"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
  <sheetViews>
    <sheetView showGridLines="0" workbookViewId="0">
      <selection sqref="A1:B1"/>
    </sheetView>
  </sheetViews>
  <sheetFormatPr baseColWidth="10" defaultColWidth="8.7109375" defaultRowHeight="15"/>
  <cols>
    <col min="1" max="1" width="51.42578125" customWidth="1"/>
    <col min="2" max="2" width="82.140625" customWidth="1"/>
    <col min="3" max="3" width="46" customWidth="1"/>
    <col min="4" max="4" width="22" customWidth="1"/>
    <col min="5" max="5" width="26" customWidth="1"/>
    <col min="6" max="6" width="14" customWidth="1"/>
    <col min="7" max="7" width="26" customWidth="1"/>
    <col min="8" max="11" width="15" customWidth="1"/>
    <col min="12" max="16" width="11" customWidth="1"/>
  </cols>
  <sheetData>
    <row r="1" spans="1:16" ht="25.5" customHeight="1">
      <c r="A1" s="278" t="s">
        <v>148</v>
      </c>
      <c r="B1" s="278"/>
    </row>
    <row r="2" spans="1:16" ht="23.25" customHeight="1">
      <c r="A2" s="282" t="str">
        <f>HYPERLINK("#INICIO!A1","◀ INICIO")</f>
        <v>◀ INICIO</v>
      </c>
      <c r="B2" s="282"/>
    </row>
    <row r="3" spans="1:16" ht="15" customHeight="1">
      <c r="A3" s="286" t="s">
        <v>149</v>
      </c>
      <c r="B3" s="286"/>
      <c r="C3" s="286"/>
      <c r="D3" s="286"/>
      <c r="E3" s="286"/>
      <c r="F3" s="286"/>
      <c r="G3" s="286"/>
      <c r="H3" s="286"/>
      <c r="I3" s="286"/>
      <c r="J3" s="286"/>
      <c r="K3" s="286"/>
      <c r="L3" s="286"/>
      <c r="M3" s="286"/>
      <c r="N3" s="286"/>
      <c r="O3" s="286"/>
      <c r="P3" s="286"/>
    </row>
    <row r="4" spans="1:16">
      <c r="A4" s="286"/>
      <c r="B4" s="286"/>
      <c r="C4" s="286"/>
      <c r="D4" s="286"/>
      <c r="E4" s="286"/>
      <c r="F4" s="286"/>
      <c r="G4" s="286"/>
      <c r="H4" s="286"/>
      <c r="I4" s="286"/>
      <c r="J4" s="286"/>
      <c r="K4" s="286"/>
      <c r="L4" s="286"/>
      <c r="M4" s="286"/>
      <c r="N4" s="286"/>
      <c r="O4" s="286"/>
      <c r="P4" s="286"/>
    </row>
    <row r="5" spans="1:16" ht="18" customHeight="1">
      <c r="A5" s="287" t="s">
        <v>150</v>
      </c>
      <c r="B5" s="287"/>
      <c r="C5" s="2"/>
      <c r="D5" s="2"/>
      <c r="E5" s="2"/>
      <c r="F5" s="2"/>
      <c r="G5" s="2"/>
      <c r="H5" s="2"/>
      <c r="I5" s="2"/>
      <c r="J5" s="2"/>
      <c r="K5" s="2"/>
      <c r="L5" s="2"/>
      <c r="M5" s="2"/>
      <c r="N5" s="2"/>
      <c r="O5" s="2"/>
      <c r="P5" s="2"/>
    </row>
    <row r="6" spans="1:16" ht="43.5" customHeight="1">
      <c r="A6" s="98" t="s">
        <v>151</v>
      </c>
      <c r="B6" s="98" t="s">
        <v>152</v>
      </c>
      <c r="C6" s="98" t="s">
        <v>153</v>
      </c>
      <c r="D6" s="98" t="s">
        <v>154</v>
      </c>
      <c r="E6" s="98" t="s">
        <v>155</v>
      </c>
      <c r="F6" s="98" t="s">
        <v>156</v>
      </c>
      <c r="G6" s="98" t="s">
        <v>157</v>
      </c>
      <c r="H6" s="98" t="s">
        <v>158</v>
      </c>
      <c r="I6" s="98" t="s">
        <v>159</v>
      </c>
      <c r="J6" s="98" t="s">
        <v>160</v>
      </c>
      <c r="K6" s="98" t="s">
        <v>161</v>
      </c>
      <c r="L6" s="98" t="s">
        <v>162</v>
      </c>
      <c r="M6" s="98" t="s">
        <v>163</v>
      </c>
      <c r="N6" s="98" t="s">
        <v>164</v>
      </c>
      <c r="O6" s="98" t="s">
        <v>165</v>
      </c>
      <c r="P6" s="98" t="s">
        <v>166</v>
      </c>
    </row>
    <row r="7" spans="1:16" ht="33.75" customHeight="1">
      <c r="A7" s="128" t="str">
        <f>CONFIG!$A$120</f>
        <v>E1</v>
      </c>
      <c r="B7" s="129" t="str">
        <f>CONFIG!$B$120</f>
        <v>Mifflin–St Jeor (1990)</v>
      </c>
      <c r="C7" s="128" t="s">
        <v>167</v>
      </c>
      <c r="D7" s="128" t="str">
        <f>CONFIG!$G$120</f>
        <v>sexo, peso, estatura, edad</v>
      </c>
      <c r="E7" s="128" t="str">
        <f>IF(OR(COUNTIF(SEXOS,in_Sexo)&lt;&gt;1,ISBLANK(in_Edad),NOT(ISNUMBER(in_Edad)),ISBLANK(in_Peso),NOT(ISNUMBER(in_Peso))),"NO: faltan sexo, edad o peso válidos",IF(OR(in_Edad&lt;EDAD_MIN,in_Edad&gt;EDAD_MAX),"NO: edad fuera del alcance adulto",IF(OR(in_Peso&lt;=0,in_Peso&lt;PESO_MIN,in_Peso&gt;PESO_MAX),"NO: peso no válido",IF(AND(CONFIG!$F$120="SÍ",OR(ISBLANK(in_Est),NOT(ISNUMBER(in_Est)),in_Est&lt;=0,in_Est&lt;EST_MIN,in_Est&gt;EST_MAX)),"NO: esta ecuación necesita la estatura",IF(AND(CONFIG!$E$120="SÍ",NOT(ISNUMBER(CALCULOS!$B$10))),"NO: falta la masa libre de grasa","SÍ")))))</f>
        <v>SÍ</v>
      </c>
      <c r="F7" s="130">
        <f>IF($E7&lt;&gt;"SÍ","ND",$L7+$M7*in_Peso+$N7*IF(CONFIG!$F$120="SÍ",in_Est,0)+$O7*in_Edad+$P7*IF(ISNUMBER(CALCULOS!$B$10),CALCULOS!$B$10,0))</f>
        <v>1810</v>
      </c>
      <c r="G7" s="128" t="str">
        <f>IF(OR(ISBLANK(in_Edad),NOT(ISNUMBER(in_Edad))),"",IF(OR(in_Edad&lt;CONFIG!$C$120,in_Edad&gt;CONFIG!$D$120),"⚠ Fuera del rango de derivación","Dentro del rango de derivación"))</f>
        <v>Dentro del rango de derivación</v>
      </c>
      <c r="H7" s="131">
        <f t="shared" ref="H7:H13" si="0">IF(OR(NOT(ISNUMBER($F7)),NOT(ISNUMBER($B$18))),"ND",$F7-$B$18)</f>
        <v>9.8494285714282341</v>
      </c>
      <c r="I7" s="132">
        <f t="shared" ref="I7:I13" si="1">IF(OR(NOT(ISNUMBER($F7)),NOT(ISNUMBER($B$18)),$B$18=0),"ND",($F7-$B$18)/$B$18)</f>
        <v>5.4714470710146646E-3</v>
      </c>
      <c r="J7" s="131">
        <f t="shared" ref="J7:J13" si="2">IF(OR(NOT(ISNUMBER($F7)),NOT(ISNUMBER($B$28))),"ND",$F7-$B$28)</f>
        <v>100.79999999999995</v>
      </c>
      <c r="K7" s="132">
        <f t="shared" ref="K7:K13" si="3">IF(OR(NOT(ISNUMBER($F7)),NOT(ISNUMBER($B$28)),$B$28=0),"ND",($F7-$B$28)/$B$28)</f>
        <v>5.8974959045167301E-2</v>
      </c>
      <c r="L7" s="133">
        <f>IF($E7&lt;&gt;"SÍ",0,SUMIFS(CONFIG!$D$79:$D$88,CONFIG!$A$79:$A$88,$A7,CONFIG!$C$79:$C$88,in_Sexo))</f>
        <v>5</v>
      </c>
      <c r="M7" s="133">
        <f>IF($E7&lt;&gt;"SÍ",0,SUMIFS(CONFIG!$E$79:$E$88,CONFIG!$A$79:$A$88,$A7,CONFIG!$C$79:$C$88,in_Sexo))</f>
        <v>10</v>
      </c>
      <c r="N7" s="133">
        <f>IF($E7&lt;&gt;"SÍ",0,SUMIFS(CONFIG!$F$79:$F$88,CONFIG!$A$79:$A$88,$A7,CONFIG!$C$79:$C$88,in_Sexo))</f>
        <v>6.25</v>
      </c>
      <c r="O7" s="133">
        <f>IF($E7&lt;&gt;"SÍ",0,SUMIFS(CONFIG!$G$79:$G$88,CONFIG!$A$79:$A$88,$A7,CONFIG!$C$79:$C$88,in_Sexo))</f>
        <v>-5</v>
      </c>
      <c r="P7" s="133">
        <f>IF($E7&lt;&gt;"SÍ",0,SUMIFS(CONFIG!$H$79:$H$88,CONFIG!$A$79:$A$88,$A7,CONFIG!$C$79:$C$88,in_Sexo))</f>
        <v>0</v>
      </c>
    </row>
    <row r="8" spans="1:16" ht="33.75" customHeight="1">
      <c r="A8" s="128" t="str">
        <f>CONFIG!$A$121</f>
        <v>E2</v>
      </c>
      <c r="B8" s="129" t="str">
        <f>CONFIG!$B$121</f>
        <v>Harris–Benedict revisada · Roza &amp; Shizgal (1984)</v>
      </c>
      <c r="C8" s="128" t="s">
        <v>168</v>
      </c>
      <c r="D8" s="128" t="str">
        <f>CONFIG!$G$121</f>
        <v>sexo, peso, estatura, edad</v>
      </c>
      <c r="E8" s="128" t="str">
        <f>IF(OR(COUNTIF(SEXOS,in_Sexo)&lt;&gt;1,ISBLANK(in_Edad),NOT(ISNUMBER(in_Edad)),ISBLANK(in_Peso),NOT(ISNUMBER(in_Peso))),"NO: faltan sexo, edad o peso válidos",IF(OR(in_Edad&lt;EDAD_MIN,in_Edad&gt;EDAD_MAX),"NO: edad fuera del alcance adulto",IF(OR(in_Peso&lt;=0,in_Peso&lt;PESO_MIN,in_Peso&gt;PESO_MAX),"NO: peso no válido",IF(AND(CONFIG!$F$121="SÍ",OR(ISBLANK(in_Est),NOT(ISNUMBER(in_Est)),in_Est&lt;=0,in_Est&lt;EST_MIN,in_Est&gt;EST_MAX)),"NO: esta ecuación necesita la estatura",IF(AND(CONFIG!$E$121="SÍ",NOT(ISNUMBER(CALCULOS!$B$10))),"NO: falta la masa libre de grasa","SÍ")))))</f>
        <v>SÍ</v>
      </c>
      <c r="F8" s="130">
        <f>IF($E8&lt;&gt;"SÍ","ND",$L8+$M8*in_Peso+$N8*IF(CONFIG!$F$121="SÍ",in_Est,0)+$O8*in_Edad+$P8*IF(ISNUMBER(CALCULOS!$B$10),CALCULOS!$B$10,0))</f>
        <v>1883.6080000000002</v>
      </c>
      <c r="G8" s="128" t="str">
        <f>IF(OR(ISBLANK(in_Edad),NOT(ISNUMBER(in_Edad))),"",IF(OR(in_Edad&lt;CONFIG!$C$121,in_Edad&gt;CONFIG!$D$121),"⚠ Fuera del rango de derivación","Dentro del rango de derivación"))</f>
        <v>Dentro del rango de derivación</v>
      </c>
      <c r="H8" s="131">
        <f t="shared" si="0"/>
        <v>83.457428571428409</v>
      </c>
      <c r="I8" s="132">
        <f t="shared" si="1"/>
        <v>4.6361359930685062E-2</v>
      </c>
      <c r="J8" s="131">
        <f t="shared" si="2"/>
        <v>174.40800000000013</v>
      </c>
      <c r="K8" s="132">
        <f t="shared" si="3"/>
        <v>0.10204072080505507</v>
      </c>
      <c r="L8" s="133">
        <f>IF($E8&lt;&gt;"SÍ",0,SUMIFS(CONFIG!$D$79:$D$88,CONFIG!$A$79:$A$88,$A8,CONFIG!$C$79:$C$88,in_Sexo))</f>
        <v>88.361999999999995</v>
      </c>
      <c r="M8" s="133">
        <f>IF($E8&lt;&gt;"SÍ",0,SUMIFS(CONFIG!$E$79:$E$88,CONFIG!$A$79:$A$88,$A8,CONFIG!$C$79:$C$88,in_Sexo))</f>
        <v>13.397</v>
      </c>
      <c r="N8" s="133">
        <f>IF($E8&lt;&gt;"SÍ",0,SUMIFS(CONFIG!$F$79:$F$88,CONFIG!$A$79:$A$88,$A8,CONFIG!$C$79:$C$88,in_Sexo))</f>
        <v>4.7990000000000004</v>
      </c>
      <c r="O8" s="133">
        <f>IF($E8&lt;&gt;"SÍ",0,SUMIFS(CONFIG!$G$79:$G$88,CONFIG!$A$79:$A$88,$A8,CONFIG!$C$79:$C$88,in_Sexo))</f>
        <v>-5.6769999999999996</v>
      </c>
      <c r="P8" s="133">
        <f>IF($E8&lt;&gt;"SÍ",0,SUMIFS(CONFIG!$H$79:$H$88,CONFIG!$A$79:$A$88,$A8,CONFIG!$C$79:$C$88,in_Sexo))</f>
        <v>0</v>
      </c>
    </row>
    <row r="9" spans="1:16" ht="33.75" customHeight="1">
      <c r="A9" s="128" t="str">
        <f>CONFIG!$A$122</f>
        <v>E3</v>
      </c>
      <c r="B9" s="129" t="str">
        <f>CONFIG!$B$122</f>
        <v>Owen (1986/1987)</v>
      </c>
      <c r="C9" s="128" t="s">
        <v>169</v>
      </c>
      <c r="D9" s="128" t="str">
        <f>CONFIG!$G$122</f>
        <v>sexo, peso</v>
      </c>
      <c r="E9" s="128" t="str">
        <f>IF(OR(COUNTIF(SEXOS,in_Sexo)&lt;&gt;1,ISBLANK(in_Edad),NOT(ISNUMBER(in_Edad)),ISBLANK(in_Peso),NOT(ISNUMBER(in_Peso))),"NO: faltan sexo, edad o peso válidos",IF(OR(in_Edad&lt;EDAD_MIN,in_Edad&gt;EDAD_MAX),"NO: edad fuera del alcance adulto",IF(OR(in_Peso&lt;=0,in_Peso&lt;PESO_MIN,in_Peso&gt;PESO_MAX),"NO: peso no válido",IF(AND(CONFIG!$F$122="SÍ",OR(ISBLANK(in_Est),NOT(ISNUMBER(in_Est)),in_Est&lt;=0,in_Est&lt;EST_MIN,in_Est&gt;EST_MAX)),"NO: esta ecuación necesita la estatura",IF(AND(CONFIG!$E$122="SÍ",NOT(ISNUMBER(CALCULOS!$B$10))),"NO: falta la masa libre de grasa","SÍ")))))</f>
        <v>SÍ</v>
      </c>
      <c r="F9" s="130">
        <f>IF($E9&lt;&gt;"SÍ","ND",$L9+$M9*in_Peso+$N9*IF(CONFIG!$F$122="SÍ",in_Est,0)+$O9*in_Edad+$P9*IF(ISNUMBER(CALCULOS!$B$10),CALCULOS!$B$10,0))</f>
        <v>1674.6</v>
      </c>
      <c r="G9" s="128" t="str">
        <f>IF(OR(ISBLANK(in_Edad),NOT(ISNUMBER(in_Edad))),"",IF(OR(in_Edad&lt;CONFIG!$C$122,in_Edad&gt;CONFIG!$D$122),"⚠ Fuera del rango de derivación","Dentro del rango de derivación"))</f>
        <v>Dentro del rango de derivación</v>
      </c>
      <c r="H9" s="131">
        <f t="shared" si="0"/>
        <v>-125.55057142857186</v>
      </c>
      <c r="I9" s="132">
        <f t="shared" si="1"/>
        <v>-6.9744483278938632E-2</v>
      </c>
      <c r="J9" s="131">
        <f t="shared" si="2"/>
        <v>-34.600000000000136</v>
      </c>
      <c r="K9" s="132">
        <f t="shared" si="3"/>
        <v>-2.0243388719869023E-2</v>
      </c>
      <c r="L9" s="133">
        <f>IF($E9&lt;&gt;"SÍ",0,SUMIFS(CONFIG!$D$79:$D$88,CONFIG!$A$79:$A$88,$A9,CONFIG!$C$79:$C$88,in_Sexo))</f>
        <v>879</v>
      </c>
      <c r="M9" s="133">
        <f>IF($E9&lt;&gt;"SÍ",0,SUMIFS(CONFIG!$E$79:$E$88,CONFIG!$A$79:$A$88,$A9,CONFIG!$C$79:$C$88,in_Sexo))</f>
        <v>10.199999999999999</v>
      </c>
      <c r="N9" s="133">
        <f>IF($E9&lt;&gt;"SÍ",0,SUMIFS(CONFIG!$F$79:$F$88,CONFIG!$A$79:$A$88,$A9,CONFIG!$C$79:$C$88,in_Sexo))</f>
        <v>0</v>
      </c>
      <c r="O9" s="133">
        <f>IF($E9&lt;&gt;"SÍ",0,SUMIFS(CONFIG!$G$79:$G$88,CONFIG!$A$79:$A$88,$A9,CONFIG!$C$79:$C$88,in_Sexo))</f>
        <v>0</v>
      </c>
      <c r="P9" s="133">
        <f>IF($E9&lt;&gt;"SÍ",0,SUMIFS(CONFIG!$H$79:$H$88,CONFIG!$A$79:$A$88,$A9,CONFIG!$C$79:$C$88,in_Sexo))</f>
        <v>0</v>
      </c>
    </row>
    <row r="10" spans="1:16" ht="33.75" customHeight="1">
      <c r="A10" s="128" t="str">
        <f>CONFIG!$A$123</f>
        <v>E4</v>
      </c>
      <c r="B10" s="129" t="str">
        <f>CONFIG!$B$123</f>
        <v>Cunningham (1980)</v>
      </c>
      <c r="C10" s="128" t="s">
        <v>170</v>
      </c>
      <c r="D10" s="128" t="str">
        <f>CONFIG!$G$123</f>
        <v>MLG</v>
      </c>
      <c r="E10" s="128" t="str">
        <f>IF(OR(COUNTIF(SEXOS,in_Sexo)&lt;&gt;1,ISBLANK(in_Edad),NOT(ISNUMBER(in_Edad)),ISBLANK(in_Peso),NOT(ISNUMBER(in_Peso))),"NO: faltan sexo, edad o peso válidos",IF(OR(in_Edad&lt;EDAD_MIN,in_Edad&gt;EDAD_MAX),"NO: edad fuera del alcance adulto",IF(OR(in_Peso&lt;=0,in_Peso&lt;PESO_MIN,in_Peso&gt;PESO_MAX),"NO: peso no válido",IF(AND(CONFIG!$F$123="SÍ",OR(ISBLANK(in_Est),NOT(ISNUMBER(in_Est)),in_Est&lt;=0,in_Est&lt;EST_MIN,in_Est&gt;EST_MAX)),"NO: esta ecuación necesita la estatura",IF(AND(CONFIG!$E$123="SÍ",NOT(ISNUMBER(CALCULOS!$B$10))),"NO: falta la masa libre de grasa","SÍ")))))</f>
        <v>SÍ</v>
      </c>
      <c r="F10" s="130">
        <f>IF($E10&lt;&gt;"SÍ","ND",$L10+$M10*in_Peso+$N10*IF(CONFIG!$F$123="SÍ",in_Est,0)+$O10*in_Edad+$P10*IF(ISNUMBER(CALCULOS!$B$10),CALCULOS!$B$10,0))</f>
        <v>1864</v>
      </c>
      <c r="G10" s="128" t="str">
        <f>IF(OR(ISBLANK(in_Edad),NOT(ISNUMBER(in_Edad))),"",IF(OR(in_Edad&lt;CONFIG!$C$123,in_Edad&gt;CONFIG!$D$123),"⚠ Fuera del rango de derivación","Dentro del rango de derivación"))</f>
        <v>Dentro del rango de derivación</v>
      </c>
      <c r="H10" s="131">
        <f t="shared" si="0"/>
        <v>63.849428571428234</v>
      </c>
      <c r="I10" s="132">
        <f t="shared" si="1"/>
        <v>3.5468937757111234E-2</v>
      </c>
      <c r="J10" s="131">
        <f t="shared" si="2"/>
        <v>154.79999999999995</v>
      </c>
      <c r="K10" s="132">
        <f t="shared" si="3"/>
        <v>9.0568687105078372E-2</v>
      </c>
      <c r="L10" s="133">
        <f>IF($E10&lt;&gt;"SÍ",0,SUMIFS(CONFIG!$D$79:$D$88,CONFIG!$A$79:$A$88,$A10,CONFIG!$C$79:$C$88,in_Sexo))</f>
        <v>500</v>
      </c>
      <c r="M10" s="133">
        <f>IF($E10&lt;&gt;"SÍ",0,SUMIFS(CONFIG!$E$79:$E$88,CONFIG!$A$79:$A$88,$A10,CONFIG!$C$79:$C$88,in_Sexo))</f>
        <v>0</v>
      </c>
      <c r="N10" s="133">
        <f>IF($E10&lt;&gt;"SÍ",0,SUMIFS(CONFIG!$F$79:$F$88,CONFIG!$A$79:$A$88,$A10,CONFIG!$C$79:$C$88,in_Sexo))</f>
        <v>0</v>
      </c>
      <c r="O10" s="133">
        <f>IF($E10&lt;&gt;"SÍ",0,SUMIFS(CONFIG!$G$79:$G$88,CONFIG!$A$79:$A$88,$A10,CONFIG!$C$79:$C$88,in_Sexo))</f>
        <v>0</v>
      </c>
      <c r="P10" s="133">
        <f>IF($E10&lt;&gt;"SÍ",0,SUMIFS(CONFIG!$H$79:$H$88,CONFIG!$A$79:$A$88,$A10,CONFIG!$C$79:$C$88,in_Sexo))</f>
        <v>22</v>
      </c>
    </row>
    <row r="11" spans="1:16" ht="33.75" customHeight="1">
      <c r="A11" s="134" t="str">
        <f>CONFIG!$A$124</f>
        <v>E5</v>
      </c>
      <c r="B11" s="135" t="str">
        <f>CONFIG!$B$124</f>
        <v>Cunningham (1991) · alias secundario: Katch–McArdle</v>
      </c>
      <c r="C11" s="134" t="s">
        <v>171</v>
      </c>
      <c r="D11" s="134" t="str">
        <f>CONFIG!$G$124</f>
        <v>MLG (FFM)</v>
      </c>
      <c r="E11" s="134" t="str">
        <f>IF(OR(COUNTIF(SEXOS,in_Sexo)&lt;&gt;1,ISBLANK(in_Edad),NOT(ISNUMBER(in_Edad)),ISBLANK(in_Peso),NOT(ISNUMBER(in_Peso))),"NO: faltan sexo, edad o peso válidos",IF(OR(in_Edad&lt;EDAD_MIN,in_Edad&gt;EDAD_MAX),"NO: edad fuera del alcance adulto",IF(OR(in_Peso&lt;=0,in_Peso&lt;PESO_MIN,in_Peso&gt;PESO_MAX),"NO: peso no válido",IF(AND(CONFIG!$F$124="SÍ",OR(ISBLANK(in_Est),NOT(ISNUMBER(in_Est)),in_Est&lt;=0,in_Est&lt;EST_MIN,in_Est&gt;EST_MAX)),"NO: esta ecuación necesita la estatura",IF(AND(CONFIG!$E$124="SÍ",NOT(ISNUMBER(CALCULOS!$B$10))),"NO: falta la masa libre de grasa","SÍ")))))</f>
        <v>SÍ</v>
      </c>
      <c r="F11" s="136">
        <f>IF($E11&lt;&gt;"SÍ","ND",$L11+$M11*in_Peso+$N11*IF(CONFIG!$F$124="SÍ",in_Est,0)+$O11*in_Edad+$P11*IF(ISNUMBER(CALCULOS!$B$10),CALCULOS!$B$10,0))</f>
        <v>1709.2</v>
      </c>
      <c r="G11" s="134" t="str">
        <f>IF(OR(ISBLANK(in_Edad),NOT(ISNUMBER(in_Edad))),"",IF(OR(in_Edad&lt;CONFIG!$C$124,in_Edad&gt;CONFIG!$D$124),"⚠ Fuera del rango de derivación","Dentro del rango de derivación"))</f>
        <v>Dentro del rango de derivación</v>
      </c>
      <c r="H11" s="137">
        <f t="shared" si="0"/>
        <v>-90.95057142857172</v>
      </c>
      <c r="I11" s="138">
        <f t="shared" si="1"/>
        <v>-5.0523868876365577E-2</v>
      </c>
      <c r="J11" s="137">
        <f t="shared" si="2"/>
        <v>0</v>
      </c>
      <c r="K11" s="138">
        <f t="shared" si="3"/>
        <v>0</v>
      </c>
      <c r="L11" s="139">
        <f>IF($E11&lt;&gt;"SÍ",0,SUMIFS(CONFIG!$D$79:$D$88,CONFIG!$A$79:$A$88,$A11,CONFIG!$C$79:$C$88,in_Sexo))</f>
        <v>370</v>
      </c>
      <c r="M11" s="139">
        <f>IF($E11&lt;&gt;"SÍ",0,SUMIFS(CONFIG!$E$79:$E$88,CONFIG!$A$79:$A$88,$A11,CONFIG!$C$79:$C$88,in_Sexo))</f>
        <v>0</v>
      </c>
      <c r="N11" s="139">
        <f>IF($E11&lt;&gt;"SÍ",0,SUMIFS(CONFIG!$F$79:$F$88,CONFIG!$A$79:$A$88,$A11,CONFIG!$C$79:$C$88,in_Sexo))</f>
        <v>0</v>
      </c>
      <c r="O11" s="139">
        <f>IF($E11&lt;&gt;"SÍ",0,SUMIFS(CONFIG!$G$79:$G$88,CONFIG!$A$79:$A$88,$A11,CONFIG!$C$79:$C$88,in_Sexo))</f>
        <v>0</v>
      </c>
      <c r="P11" s="139">
        <f>IF($E11&lt;&gt;"SÍ",0,SUMIFS(CONFIG!$H$79:$H$88,CONFIG!$A$79:$A$88,$A11,CONFIG!$C$79:$C$88,in_Sexo))</f>
        <v>21.6</v>
      </c>
    </row>
    <row r="12" spans="1:16" ht="33.75" customHeight="1">
      <c r="A12" s="134" t="str">
        <f>CONFIG!$A$125</f>
        <v>E6</v>
      </c>
      <c r="B12" s="135" t="str">
        <f>CONFIG!$B$125</f>
        <v>Schofield (1985) adultos · tabla canónica</v>
      </c>
      <c r="C12" s="134" t="s">
        <v>172</v>
      </c>
      <c r="D12" s="134" t="str">
        <f>CONFIG!$G$125</f>
        <v>sexo, peso, banda etaria</v>
      </c>
      <c r="E12" s="134" t="str">
        <f>IF(OR(COUNTIF(SEXOS,in_Sexo)&lt;&gt;1,ISBLANK(in_Edad),NOT(ISNUMBER(in_Edad)),ISBLANK(in_Peso),NOT(ISNUMBER(in_Peso))),"NO: faltan sexo, edad o peso válidos",IF(OR(in_Edad&lt;EDAD_MIN,in_Edad&gt;EDAD_MAX),"NO: edad fuera del alcance adulto",IF(OR(in_Peso&lt;=0,in_Peso&lt;PESO_MIN,in_Peso&gt;PESO_MAX),"NO: peso no válido",IF(AND(CONFIG!$F$125="SÍ",OR(ISBLANK(in_Est),NOT(ISNUMBER(in_Est)),in_Est&lt;=0,in_Est&lt;EST_MIN,in_Est&gt;EST_MAX)),"NO: esta ecuación necesita la estatura",IF(AND(CONFIG!$E$125="SÍ",NOT(ISNUMBER(CALCULOS!$B$10))),"NO: falta la masa libre de grasa","SÍ")))))</f>
        <v>SÍ</v>
      </c>
      <c r="F12" s="136">
        <f>IF($E12&lt;&gt;"SÍ","ND",$L12+$M12*in_Peso+$N12*IF(CONFIG!$F$125="SÍ",in_Est,0)+$O12*in_Edad+$P12*IF(ISNUMBER(CALCULOS!$B$10),CALCULOS!$B$10,0))</f>
        <v>1866.6460000000002</v>
      </c>
      <c r="G12" s="134" t="str">
        <f>IF(OR(ISBLANK(in_Edad),NOT(ISNUMBER(in_Edad))),"",IF(OR(in_Edad&lt;CONFIG!$C$125,in_Edad&gt;CONFIG!$D$125),"⚠ Fuera del rango de derivación","Dentro del rango de derivación"))</f>
        <v>Dentro del rango de derivación</v>
      </c>
      <c r="H12" s="137">
        <f t="shared" si="0"/>
        <v>66.49542857142842</v>
      </c>
      <c r="I12" s="138">
        <f t="shared" si="1"/>
        <v>3.6938814800730073E-2</v>
      </c>
      <c r="J12" s="137">
        <f t="shared" si="2"/>
        <v>157.44600000000014</v>
      </c>
      <c r="K12" s="138">
        <f t="shared" si="3"/>
        <v>9.2116779780014119E-2</v>
      </c>
      <c r="L12" s="139">
        <f>IF($E12&lt;&gt;"SÍ",0,SUMPRODUCT((CONFIG!$A$92:$A$97=in_Sexo)*(CONFIG!$B$92:$B$97&lt;=in_Edad)*(CONFIG!$C$92:$C$97&gt;in_Edad)*CONFIG!$E$92:$E$97))</f>
        <v>692.2</v>
      </c>
      <c r="M12" s="139">
        <f>IF($E12&lt;&gt;"SÍ",0,SUMPRODUCT((CONFIG!$A$92:$A$97=in_Sexo)*(CONFIG!$B$92:$B$97&lt;=in_Edad)*(CONFIG!$C$92:$C$97&gt;in_Edad)*CONFIG!$D$92:$D$97))</f>
        <v>15.057</v>
      </c>
      <c r="N12" s="139">
        <v>0</v>
      </c>
      <c r="O12" s="139">
        <v>0</v>
      </c>
      <c r="P12" s="139">
        <v>0</v>
      </c>
    </row>
    <row r="13" spans="1:16" ht="33.75" customHeight="1">
      <c r="A13" s="134" t="str">
        <f>CONFIG!$A$126</f>
        <v>E7</v>
      </c>
      <c r="B13" s="135" t="str">
        <f>CONFIG!$B$126</f>
        <v>Henry / Oxford (2005) adultos · solo peso</v>
      </c>
      <c r="C13" s="134" t="s">
        <v>173</v>
      </c>
      <c r="D13" s="134" t="str">
        <f>CONFIG!$G$126</f>
        <v>sexo, peso, banda etaria</v>
      </c>
      <c r="E13" s="134" t="str">
        <f>IF(OR(COUNTIF(SEXOS,in_Sexo)&lt;&gt;1,ISBLANK(in_Edad),NOT(ISNUMBER(in_Edad)),ISBLANK(in_Peso),NOT(ISNUMBER(in_Peso))),"NO: faltan sexo, edad o peso válidos",IF(OR(in_Edad&lt;EDAD_MIN,in_Edad&gt;EDAD_MAX),"NO: edad fuera del alcance adulto",IF(OR(in_Peso&lt;=0,in_Peso&lt;PESO_MIN,in_Peso&gt;PESO_MAX),"NO: peso no válido",IF(AND(CONFIG!$F$126="SÍ",OR(ISBLANK(in_Est),NOT(ISNUMBER(in_Est)),in_Est&lt;=0,in_Est&lt;EST_MIN,in_Est&gt;EST_MAX)),"NO: esta ecuación necesita la estatura",IF(AND(CONFIG!$E$126="SÍ",NOT(ISNUMBER(CALCULOS!$B$10))),"NO: falta la masa libre de grasa","SÍ")))))</f>
        <v>SÍ</v>
      </c>
      <c r="F13" s="136">
        <f>IF($E13&lt;&gt;"SÍ","ND",$L13+$M13*in_Peso+$N13*IF(CONFIG!$F$126="SÍ",in_Est,0)+$O13*in_Edad+$P13*IF(ISNUMBER(CALCULOS!$B$10),CALCULOS!$B$10,0))</f>
        <v>1793</v>
      </c>
      <c r="G13" s="134" t="str">
        <f>IF(OR(ISBLANK(in_Edad),NOT(ISNUMBER(in_Edad))),"",IF(OR(in_Edad&lt;CONFIG!$C$126,in_Edad&gt;CONFIG!$D$126),"⚠ Fuera del rango de derivación","Dentro del rango de derivación"))</f>
        <v>Dentro del rango de derivación</v>
      </c>
      <c r="H13" s="137">
        <f t="shared" si="0"/>
        <v>-7.1505714285717659</v>
      </c>
      <c r="I13" s="138">
        <f t="shared" si="1"/>
        <v>-3.9722074042379592E-3</v>
      </c>
      <c r="J13" s="137">
        <f t="shared" si="2"/>
        <v>83.799999999999955</v>
      </c>
      <c r="K13" s="138">
        <f t="shared" si="3"/>
        <v>4.902878539667678E-2</v>
      </c>
      <c r="L13" s="139">
        <f>IF($E13&lt;&gt;"SÍ",0,SUMPRODUCT((CONFIG!$A$110:$A$115=in_Sexo)*(CONFIG!$B$110:$B$115&lt;=in_Edad)*(CONFIG!$C$110:$C$115&gt;in_Edad)*CONFIG!$E$110:$E$115))</f>
        <v>545</v>
      </c>
      <c r="M13" s="139">
        <f>IF($E13&lt;&gt;"SÍ",0,SUMPRODUCT((CONFIG!$A$110:$A$115=in_Sexo)*(CONFIG!$B$110:$B$115&lt;=in_Edad)*(CONFIG!$C$110:$C$115&gt;in_Edad)*CONFIG!$D$110:$D$115))</f>
        <v>16</v>
      </c>
      <c r="N13" s="139">
        <v>0</v>
      </c>
      <c r="O13" s="139">
        <v>0</v>
      </c>
      <c r="P13" s="139">
        <v>0</v>
      </c>
    </row>
    <row r="15" spans="1:16" ht="18" customHeight="1">
      <c r="A15" s="287" t="s">
        <v>174</v>
      </c>
      <c r="B15" s="288"/>
      <c r="C15" s="2"/>
      <c r="D15" s="2"/>
      <c r="E15" s="2"/>
      <c r="F15" s="2"/>
      <c r="G15" s="2"/>
      <c r="H15" s="2"/>
      <c r="I15" s="2"/>
      <c r="J15" s="2"/>
      <c r="K15" s="2"/>
      <c r="L15" s="2"/>
      <c r="M15" s="2"/>
      <c r="N15" s="2"/>
      <c r="O15" s="2"/>
      <c r="P15" s="2"/>
    </row>
    <row r="16" spans="1:16" ht="30" customHeight="1">
      <c r="A16" s="98" t="s">
        <v>175</v>
      </c>
      <c r="B16" s="165" t="s">
        <v>65</v>
      </c>
      <c r="C16" s="165" t="s">
        <v>66</v>
      </c>
      <c r="D16" s="285" t="s">
        <v>176</v>
      </c>
      <c r="E16" s="285"/>
      <c r="F16" s="285"/>
    </row>
    <row r="17" spans="1:16">
      <c r="A17" s="109" t="s">
        <v>177</v>
      </c>
      <c r="B17" s="166">
        <f>COUNT($F$7:$F$13)</f>
        <v>7</v>
      </c>
      <c r="C17" s="167" t="s">
        <v>71</v>
      </c>
      <c r="D17" s="284" t="s">
        <v>178</v>
      </c>
      <c r="E17" s="284"/>
      <c r="F17" s="284"/>
    </row>
    <row r="18" spans="1:16">
      <c r="A18" s="109" t="s">
        <v>179</v>
      </c>
      <c r="B18" s="168">
        <f>IF($B$17=0,"ND",AVERAGE($F$7:$F$13))</f>
        <v>1800.1505714285718</v>
      </c>
      <c r="C18" s="167" t="s">
        <v>180</v>
      </c>
      <c r="D18" s="284" t="s">
        <v>181</v>
      </c>
      <c r="E18" s="284"/>
      <c r="F18" s="284"/>
    </row>
    <row r="19" spans="1:16">
      <c r="A19" s="109" t="s">
        <v>182</v>
      </c>
      <c r="B19" s="168">
        <f>IF($B$17=0,"ND",MEDIAN($F$7:$F$13))</f>
        <v>1810</v>
      </c>
      <c r="C19" s="167" t="s">
        <v>180</v>
      </c>
      <c r="D19" s="284" t="s">
        <v>183</v>
      </c>
      <c r="E19" s="284"/>
      <c r="F19" s="284"/>
    </row>
    <row r="20" spans="1:16">
      <c r="A20" s="109" t="s">
        <v>184</v>
      </c>
      <c r="B20" s="168">
        <f>IF($B$17=0,"ND",MIN($F$7:$F$13))</f>
        <v>1674.6</v>
      </c>
      <c r="C20" s="167" t="s">
        <v>180</v>
      </c>
      <c r="D20" s="284"/>
      <c r="E20" s="284"/>
      <c r="F20" s="284"/>
    </row>
    <row r="21" spans="1:16">
      <c r="A21" s="109" t="s">
        <v>185</v>
      </c>
      <c r="B21" s="168">
        <f>IF($B$17=0,"ND",MAX($F$7:$F$13))</f>
        <v>1883.6080000000002</v>
      </c>
      <c r="C21" s="167" t="s">
        <v>180</v>
      </c>
      <c r="D21" s="284"/>
      <c r="E21" s="284"/>
      <c r="F21" s="284"/>
    </row>
    <row r="22" spans="1:16">
      <c r="A22" s="109" t="s">
        <v>186</v>
      </c>
      <c r="B22" s="168">
        <f>IF($B$17=0,"ND",$B$21-$B$20)</f>
        <v>209.00800000000027</v>
      </c>
      <c r="C22" s="167" t="s">
        <v>180</v>
      </c>
      <c r="D22" s="284" t="s">
        <v>187</v>
      </c>
      <c r="E22" s="284"/>
      <c r="F22" s="284"/>
    </row>
    <row r="23" spans="1:16">
      <c r="A23" s="109" t="s">
        <v>188</v>
      </c>
      <c r="B23" s="169">
        <f>IF(OR($B$17=0,$B$18=0),"ND",$B$22/$B$18)</f>
        <v>0.11610584320962371</v>
      </c>
      <c r="C23" s="167" t="s">
        <v>96</v>
      </c>
      <c r="D23" s="284" t="s">
        <v>189</v>
      </c>
      <c r="E23" s="284"/>
      <c r="F23" s="284"/>
    </row>
    <row r="24" spans="1:16">
      <c r="A24" s="109" t="s">
        <v>190</v>
      </c>
      <c r="B24" s="170" t="str">
        <f>IF(NOT(ISNUMBER($B$23)),"ND",IF($B$23&gt;AMPL_MAX,"⚠ Dispersión alta: la elección de la ecuación pesa mucho en el resultado.","OK: las ecuaciones concuerdan dentro del umbral configurado."))</f>
        <v>OK: las ecuaciones concuerdan dentro del umbral configurado.</v>
      </c>
      <c r="C24" s="167" t="s">
        <v>71</v>
      </c>
      <c r="D24" s="284"/>
      <c r="E24" s="284"/>
      <c r="F24" s="284"/>
    </row>
    <row r="26" spans="1:16" ht="18" customHeight="1">
      <c r="A26" s="289" t="s">
        <v>191</v>
      </c>
      <c r="B26" s="289"/>
      <c r="C26" s="2"/>
      <c r="D26" s="2"/>
      <c r="E26" s="2"/>
      <c r="F26" s="2"/>
      <c r="G26" s="2"/>
      <c r="H26" s="2"/>
      <c r="I26" s="2"/>
      <c r="J26" s="2"/>
      <c r="K26" s="2"/>
      <c r="L26" s="2"/>
      <c r="M26" s="2"/>
      <c r="N26" s="2"/>
      <c r="O26" s="2"/>
      <c r="P26" s="2"/>
    </row>
    <row r="27" spans="1:16" ht="30" customHeight="1">
      <c r="A27" s="46" t="s">
        <v>192</v>
      </c>
      <c r="B27" s="46" t="s">
        <v>65</v>
      </c>
      <c r="C27" s="46" t="s">
        <v>193</v>
      </c>
      <c r="D27" s="49"/>
      <c r="E27" s="49"/>
    </row>
    <row r="28" spans="1:16" ht="33.75" customHeight="1">
      <c r="A28" s="47" t="s">
        <v>194</v>
      </c>
      <c r="B28" s="164">
        <f>IF(COUNTIF(LISTA_ECU,in_Ecu)&lt;&gt;1,"ND",INDEX($F$7:$F$13,MATCH(in_Ecu,$B$7:$B$13,0)))</f>
        <v>1709.2</v>
      </c>
      <c r="C28" s="171" t="str">
        <f>in_Ecu</f>
        <v>Cunningham (1991) · alias secundario: Katch–McArdle</v>
      </c>
      <c r="D28" s="49"/>
      <c r="E28" s="49"/>
    </row>
    <row r="29" spans="1:16" ht="33.75" customHeight="1">
      <c r="A29" s="47" t="s">
        <v>195</v>
      </c>
      <c r="B29" s="47" t="str">
        <f>in_Motivo</f>
        <v>Adulto sano sin composición corporal medida; Mifflin–St Jeor es la de mejor desempeño documentado en este perfil.</v>
      </c>
      <c r="C29" s="171" t="str">
        <f>IF(TRIM(in_Motivo)="","⚠ FALTA: registre el motivo en DATOS (fila 23). Una selección sin justificación no es auditable.","OK: motivo registrado")</f>
        <v>OK: motivo registrado</v>
      </c>
      <c r="D29" s="49"/>
      <c r="E29" s="49"/>
    </row>
    <row r="30" spans="1:16" ht="40.5" customHeight="1">
      <c r="A30" s="47" t="s">
        <v>196</v>
      </c>
      <c r="B30" s="47" t="str">
        <f>IF(ISNUMBER(CALCULOS!$B$10),"Hay masa libre de grasa: Cunningham 1980 o Cunningham 1991 (alias Katch–McArdle) son defendibles, sobre todo con masa muscular alta. Mifflin–St Jeor y Henry siguen siendo opciones válidas.","Sin composición corporal: Mifflin–St Jeor (1990) y Henry/Oxford (2005) son las de mejor respaldo en adultos sanos.")</f>
        <v>Hay masa libre de grasa: Cunningham 1980 o Cunningham 1991 (alias Katch–McArdle) son defendibles, sobre todo con masa muscular alta. Mifflin–St Jeor y Henry siguen siendo opciones válidas.</v>
      </c>
      <c r="C30" s="171" t="s">
        <v>197</v>
      </c>
      <c r="D30" s="49"/>
      <c r="E30" s="49"/>
    </row>
    <row r="31" spans="1:16" ht="33.75" customHeight="1">
      <c r="A31" s="47" t="s">
        <v>198</v>
      </c>
      <c r="B31" s="48" t="str">
        <f>IF(COUNTIF(LISTA_ECU,in_Ecu)&lt;&gt;1,"ND","Nivel "&amp;INDEX(CONFIG!$H$120:$H$126,MATCH(in_Ecu,LISTA_ECU,0))&amp;" · "&amp;INDEX(CONFIG!$I$120:$I$126,MATCH(in_Ecu,LISTA_ECU,0)))</f>
        <v>Nivel B · Fuente primaria de 370+21,6·FFM: Cunningham 1991, DOI 10.1093/ajcn/54.6.963. El nombre 'Katch–McArdle' es un alias de nivel C</v>
      </c>
      <c r="C31" s="171" t="s">
        <v>199</v>
      </c>
      <c r="D31" s="49"/>
      <c r="E31" s="49"/>
    </row>
  </sheetData>
  <sheetProtection algorithmName="SHA-512" hashValue="Zd4JveKQ2Bf4wL4oiifyyZBfPW2BAIuxTHZaZMNd2lPPbXmzbblxo/qiv5mdfr3b1R3fekRzieVEfKx1dFggew==" saltValue="ojicK0gsfUxfxuaf3Fj9QA==" spinCount="100000" sheet="1" objects="1" scenarios="1"/>
  <mergeCells count="15">
    <mergeCell ref="A26:B26"/>
    <mergeCell ref="A5:B5"/>
    <mergeCell ref="D21:F21"/>
    <mergeCell ref="D22:F22"/>
    <mergeCell ref="D23:F23"/>
    <mergeCell ref="D24:F24"/>
    <mergeCell ref="A1:B1"/>
    <mergeCell ref="D17:F17"/>
    <mergeCell ref="D18:F18"/>
    <mergeCell ref="D19:F19"/>
    <mergeCell ref="D20:F20"/>
    <mergeCell ref="D16:F16"/>
    <mergeCell ref="A3:P4"/>
    <mergeCell ref="A2:B2"/>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2"/>
  <sheetViews>
    <sheetView showGridLines="0" workbookViewId="0">
      <selection sqref="A1:D1"/>
    </sheetView>
  </sheetViews>
  <sheetFormatPr baseColWidth="10" defaultColWidth="8.7109375" defaultRowHeight="15"/>
  <cols>
    <col min="1" max="1" width="40" customWidth="1"/>
    <col min="2" max="2" width="32" customWidth="1"/>
    <col min="3" max="3" width="14" customWidth="1"/>
    <col min="4" max="4" width="42" customWidth="1"/>
    <col min="5" max="7" width="15" customWidth="1"/>
  </cols>
  <sheetData>
    <row r="1" spans="1:17" ht="25.5" customHeight="1">
      <c r="A1" s="290" t="s">
        <v>1190</v>
      </c>
      <c r="B1" s="290"/>
      <c r="C1" s="290"/>
      <c r="D1" s="290"/>
    </row>
    <row r="2" spans="1:17">
      <c r="A2" s="6" t="s">
        <v>200</v>
      </c>
    </row>
    <row r="3" spans="1:17" ht="26.25" customHeight="1">
      <c r="A3" s="304" t="str">
        <f>HYPERLINK("#INICIO!A1","◀ INICIO")</f>
        <v>◀ INICIO</v>
      </c>
      <c r="B3" s="305"/>
      <c r="C3" s="305"/>
      <c r="D3" s="305"/>
    </row>
    <row r="5" spans="1:17" ht="18" customHeight="1">
      <c r="A5" s="297" t="s">
        <v>201</v>
      </c>
      <c r="B5" s="297"/>
      <c r="C5" s="297"/>
      <c r="D5" s="297"/>
      <c r="E5" s="297"/>
      <c r="F5" s="297"/>
      <c r="G5" s="297"/>
    </row>
    <row r="6" spans="1:17" ht="30" customHeight="1">
      <c r="A6" s="98" t="s">
        <v>202</v>
      </c>
      <c r="B6" s="98" t="s">
        <v>65</v>
      </c>
      <c r="C6" s="98" t="s">
        <v>66</v>
      </c>
      <c r="D6" s="98" t="s">
        <v>203</v>
      </c>
    </row>
    <row r="7" spans="1:17">
      <c r="A7" s="109" t="s">
        <v>91</v>
      </c>
      <c r="B7" s="172">
        <f>IF(OR(ISBLANK(in_Est),NOT(ISNUMBER(in_Est)),in_Est&lt;=0),"",in_Est/100)</f>
        <v>1.8</v>
      </c>
      <c r="C7" s="111" t="s">
        <v>204</v>
      </c>
      <c r="D7" s="43" t="s">
        <v>205</v>
      </c>
    </row>
    <row r="8" spans="1:17" ht="24">
      <c r="A8" s="109" t="s">
        <v>206</v>
      </c>
      <c r="B8" s="173">
        <f>IF(OR(NOT(ISNUMBER($B$7)),$B$7&lt;=0,NOT(ISNUMBER(in_Peso)),in_Peso&lt;=0),"",in_Peso/$B$7^2)</f>
        <v>24.074074074074073</v>
      </c>
      <c r="C8" s="111" t="s">
        <v>207</v>
      </c>
      <c r="D8" s="43" t="s">
        <v>208</v>
      </c>
      <c r="G8" s="186"/>
      <c r="H8" s="186"/>
      <c r="I8" s="186"/>
      <c r="J8" s="186"/>
      <c r="K8" s="152"/>
      <c r="L8" s="152"/>
      <c r="M8" s="152"/>
      <c r="N8" s="152"/>
      <c r="O8" s="152"/>
      <c r="P8" s="152"/>
      <c r="Q8" s="152"/>
    </row>
    <row r="9" spans="1:17">
      <c r="A9" s="109" t="s">
        <v>209</v>
      </c>
      <c r="B9" s="174">
        <f>IF(OR(NOT(ISNUMBER(in_Peso)),in_Peso&lt;=0),"",IF(AND(NOT(ISBLANK(in_Grasa)),ISNUMBER(in_Grasa),in_Grasa&gt;=GRASA_MIN,in_Grasa&lt;=GRASA_MAX),in_Grasa,IF(AND(NOT(ISBLANK(in_MLG)),ISNUMBER(in_MLG),in_MLG&gt;0,in_MLG&lt;in_Peso),(in_Peso-in_MLG)/in_Peso,"")))</f>
        <v>0.05</v>
      </c>
      <c r="C9" s="111" t="s">
        <v>96</v>
      </c>
      <c r="D9" s="43" t="s">
        <v>210</v>
      </c>
      <c r="G9" s="186"/>
      <c r="H9" s="186"/>
      <c r="I9" s="186"/>
      <c r="J9" s="186"/>
      <c r="K9" s="152"/>
      <c r="L9" s="152"/>
      <c r="M9" s="152"/>
      <c r="N9" s="152"/>
      <c r="O9" s="152"/>
      <c r="P9" s="152"/>
      <c r="Q9" s="152"/>
    </row>
    <row r="10" spans="1:17" ht="36">
      <c r="A10" s="109" t="s">
        <v>211</v>
      </c>
      <c r="B10" s="173">
        <f>IF(OR(NOT(ISNUMBER(in_Peso)),in_Peso&lt;=0),"",IF(AND(NOT(ISBLANK(in_MLG)),ISNUMBER(in_MLG),in_MLG&gt;0,in_MLG&lt;in_Peso),in_MLG,IF(AND(NOT(ISBLANK(in_Grasa)),ISNUMBER(in_Grasa),in_Grasa&gt;=GRASA_MIN,in_Grasa&lt;=GRASA_MAX),in_Peso*(1-in_Grasa),"")))</f>
        <v>62</v>
      </c>
      <c r="C10" s="111" t="s">
        <v>88</v>
      </c>
      <c r="D10" s="43" t="s">
        <v>212</v>
      </c>
      <c r="G10" s="186"/>
      <c r="H10" s="186"/>
      <c r="I10" s="186"/>
      <c r="J10" s="186"/>
      <c r="K10" s="152"/>
      <c r="L10" s="152"/>
      <c r="M10" s="152"/>
      <c r="N10" s="152"/>
      <c r="O10" s="152"/>
      <c r="P10" s="152"/>
      <c r="Q10" s="152"/>
    </row>
    <row r="11" spans="1:17">
      <c r="A11" s="109" t="s">
        <v>213</v>
      </c>
      <c r="B11" s="173">
        <f>IF(NOT(ISNUMBER($B$10)),"",in_Peso-$B$10)</f>
        <v>16</v>
      </c>
      <c r="C11" s="111" t="s">
        <v>88</v>
      </c>
      <c r="D11" s="43" t="s">
        <v>214</v>
      </c>
      <c r="G11" s="186"/>
      <c r="H11" s="186"/>
      <c r="I11" s="186"/>
      <c r="J11" s="186"/>
      <c r="K11" s="152"/>
      <c r="L11" s="152"/>
      <c r="M11" s="152"/>
      <c r="N11" s="152"/>
      <c r="O11" s="152"/>
      <c r="P11" s="152"/>
      <c r="Q11" s="152"/>
    </row>
    <row r="12" spans="1:17">
      <c r="A12" s="109" t="s">
        <v>215</v>
      </c>
      <c r="B12" s="175" t="str">
        <f>IF(NOT(ISNUMBER($B$10)),"No disponible (Cunningham 1980 y 1991 no se calculan)",IF(AND(NOT(ISBLANK(in_MLG)),ISNUMBER(in_MLG),in_MLG&gt;0,in_MLG&lt;in_Peso),"Medida directamente","Derivada del % de grasa"))</f>
        <v>Medida directamente</v>
      </c>
      <c r="C12" s="111" t="s">
        <v>71</v>
      </c>
      <c r="D12" s="43" t="s">
        <v>216</v>
      </c>
      <c r="G12" s="186"/>
      <c r="H12" s="186"/>
      <c r="I12" s="186"/>
      <c r="J12" s="186"/>
      <c r="K12" s="152"/>
      <c r="L12" s="152"/>
      <c r="M12" s="152"/>
      <c r="N12" s="152"/>
      <c r="O12" s="152"/>
      <c r="P12" s="152"/>
      <c r="Q12" s="152"/>
    </row>
    <row r="13" spans="1:17" ht="24">
      <c r="A13" s="109" t="s">
        <v>217</v>
      </c>
      <c r="B13" s="176">
        <f>IF(in_Metodo=INDEX(LISTA_METODO,2),IF(ISNUMBER(ACTIVIDADES!$B$27),ACTIVIDADES!$B$27,""),IF(AND(NOT(ISBLANK(in_FAman)),ISNUMBER(in_FAman)),in_FAman,IF(COUNTIF(LISTA_FA,in_FAcat)=1,INDEX(FA_VAL,MATCH(in_FAcat,LISTA_FA,0)),"")))</f>
        <v>1.8</v>
      </c>
      <c r="C13" s="111" t="s">
        <v>71</v>
      </c>
      <c r="D13" s="43" t="s">
        <v>218</v>
      </c>
      <c r="G13" s="186"/>
      <c r="H13" s="186"/>
      <c r="I13" s="186"/>
      <c r="J13" s="186"/>
      <c r="K13" s="152"/>
      <c r="L13" s="152"/>
      <c r="M13" s="152"/>
      <c r="N13" s="152"/>
      <c r="O13" s="152"/>
      <c r="P13" s="152"/>
      <c r="Q13" s="152"/>
    </row>
    <row r="14" spans="1:17">
      <c r="A14" s="109" t="s">
        <v>219</v>
      </c>
      <c r="B14" s="177" t="str">
        <f>IF(in_Metodo=INDEX(LISTA_METODO,2),"PAL estimado desde ACTIVIDADES (TEE/GEB)",IF(AND(NOT(ISBLANK(in_FAman)),ISNUMBER(in_FAman)),"Factor manual de DATOS (sobreescribe el catálogo)","Catálogo CONFIG C4"))</f>
        <v>Catálogo CONFIG C4</v>
      </c>
      <c r="C14" s="111" t="s">
        <v>71</v>
      </c>
      <c r="D14" s="43" t="s">
        <v>220</v>
      </c>
      <c r="G14" s="186"/>
      <c r="H14" s="186"/>
      <c r="I14" s="186"/>
      <c r="J14" s="186"/>
      <c r="K14" s="152"/>
      <c r="L14" s="152"/>
      <c r="M14" s="152"/>
      <c r="N14" s="152"/>
      <c r="O14" s="152"/>
      <c r="P14" s="152"/>
      <c r="Q14" s="152"/>
    </row>
    <row r="15" spans="1:17">
      <c r="A15" s="109" t="s">
        <v>221</v>
      </c>
      <c r="B15" s="172">
        <f>ACTIVIDADES!$B$20</f>
        <v>24</v>
      </c>
      <c r="C15" s="111" t="s">
        <v>222</v>
      </c>
      <c r="D15" s="43" t="s">
        <v>223</v>
      </c>
      <c r="F15" s="152"/>
      <c r="G15" s="152"/>
      <c r="H15" s="152"/>
      <c r="I15" s="152"/>
      <c r="J15" s="152"/>
      <c r="K15" s="152"/>
      <c r="L15" s="152"/>
      <c r="M15" s="152"/>
      <c r="N15" s="152"/>
      <c r="O15" s="152"/>
      <c r="P15" s="152"/>
      <c r="Q15" s="152"/>
    </row>
    <row r="16" spans="1:17" ht="24">
      <c r="A16" s="109" t="s">
        <v>224</v>
      </c>
      <c r="B16" s="176" t="str">
        <f>ACTIVIDADES!$B$27</f>
        <v>NO CALCULADO</v>
      </c>
      <c r="C16" s="111" t="s">
        <v>71</v>
      </c>
      <c r="D16" s="43" t="s">
        <v>225</v>
      </c>
    </row>
    <row r="18" spans="1:7" ht="18" customHeight="1">
      <c r="A18" s="297" t="s">
        <v>226</v>
      </c>
      <c r="B18" s="297"/>
      <c r="C18" s="297"/>
      <c r="D18" s="297"/>
      <c r="E18" s="297"/>
      <c r="F18" s="297"/>
      <c r="G18" s="297"/>
    </row>
    <row r="19" spans="1:7" ht="30" customHeight="1">
      <c r="A19" s="98" t="s">
        <v>227</v>
      </c>
      <c r="B19" s="98" t="s">
        <v>193</v>
      </c>
      <c r="C19" s="98" t="s">
        <v>228</v>
      </c>
    </row>
    <row r="20" spans="1:7" ht="25.5" customHeight="1">
      <c r="A20" s="109" t="s">
        <v>79</v>
      </c>
      <c r="B20" s="113" t="str">
        <f>IF(COUNTIF(SEXOS,in_Sexo)=1,"OK","ERROR: seleccione Hombre o Mujer")</f>
        <v>OK</v>
      </c>
      <c r="C20" s="43" t="s">
        <v>229</v>
      </c>
    </row>
    <row r="21" spans="1:7" ht="25.5" customHeight="1">
      <c r="A21" s="109" t="s">
        <v>230</v>
      </c>
      <c r="B21" s="113" t="str">
        <f>IF(ISBLANK(in_Edad),"ERROR: vacío",IF(NOT(ISNUMBER(in_Edad)),"ERROR: no es numérico",IF(OR(in_Edad&lt;EDAD_MIN,in_Edad&gt;EDAD_MAX),"ERROR: edad fuera del alcance (solo adultos)","OK")))</f>
        <v>OK</v>
      </c>
      <c r="C21" s="43" t="s">
        <v>231</v>
      </c>
    </row>
    <row r="22" spans="1:7" ht="25.5" customHeight="1">
      <c r="A22" s="109" t="s">
        <v>232</v>
      </c>
      <c r="B22" s="113" t="str">
        <f>IF(ISBLANK(in_Peso),"ERROR: vacío",IF(NOT(ISNUMBER(in_Peso)),"ERROR: no es numérico",IF(in_Peso&lt;=0,"ERROR: el peso debe ser mayor que cero",IF(OR(in_Peso&lt;PESO_MIN,in_Peso&gt;PESO_MAX),"ERROR: peso imposible en un adulto","OK"))))</f>
        <v>OK</v>
      </c>
      <c r="C22" s="43" t="s">
        <v>233</v>
      </c>
    </row>
    <row r="23" spans="1:7" ht="25.5" customHeight="1">
      <c r="A23" s="109" t="s">
        <v>234</v>
      </c>
      <c r="B23" s="113" t="str">
        <f>IF(ISBLANK(in_Est),"ERROR: vacío",IF(NOT(ISNUMBER(in_Est)),"ERROR: no es numérico",IF(in_Est&lt;=0,"ERROR: la estatura debe ser mayor que cero",IF(OR(in_Est&lt;EST_MIN,in_Est&gt;EST_MAX),"ERROR: estatura imposible","OK"))))</f>
        <v>OK</v>
      </c>
      <c r="C23" s="43" t="s">
        <v>235</v>
      </c>
    </row>
    <row r="24" spans="1:7" ht="25.5" customHeight="1">
      <c r="A24" s="109" t="s">
        <v>236</v>
      </c>
      <c r="B24" s="113" t="str">
        <f>IF(ISBLANK(in_Grasa),"NO INGRESADO (opcional)",IF(NOT(ISNUMBER(in_Grasa)),"ERROR: no es numérico",IF(OR(in_Grasa&lt;GRASA_MIN,in_Grasa&gt;GRASA_MAX),"ERROR: % de grasa imposible","OK")))</f>
        <v>OK</v>
      </c>
      <c r="C24" s="43" t="s">
        <v>237</v>
      </c>
    </row>
    <row r="25" spans="1:7" ht="25.5" customHeight="1">
      <c r="A25" s="109" t="s">
        <v>238</v>
      </c>
      <c r="B25" s="113" t="str">
        <f>IF(ISBLANK(in_MLG),"NO INGRESADA (opcional)",IF(NOT(ISNUMBER(in_MLG)),"ERROR: no es numérico",IF(NOT(ISNUMBER(in_Peso)),"NO APLICA",IF(in_MLG&gt;=in_Peso,"ERROR: la MLG es mayor o igual al peso","OK"))))</f>
        <v>OK</v>
      </c>
      <c r="C25" s="43" t="s">
        <v>239</v>
      </c>
    </row>
    <row r="26" spans="1:7" ht="25.5" customHeight="1">
      <c r="A26" s="109" t="s">
        <v>240</v>
      </c>
      <c r="B26" s="113" t="str">
        <f>IF(NOT(ISNUMBER($B$13)),IF(in_Metodo=INDEX(LISTA_METODO,2),"ERROR: el PAL por actividades exige 24 h registradas y un GEB calculable","ERROR: no se pudo determinar el factor de actividad"),IF(OR($B$13&lt;FA_MIN,$B$13&gt;FA_MAX),"ERROR: factor de actividad fuera de límites","OK"))</f>
        <v>OK</v>
      </c>
      <c r="C26" s="43" t="s">
        <v>241</v>
      </c>
    </row>
    <row r="27" spans="1:7" ht="25.5" customHeight="1">
      <c r="A27" s="109" t="s">
        <v>121</v>
      </c>
      <c r="B27" s="113" t="str">
        <f>IF(ISBLANK(in_pETA),"ERROR: vacío",IF(NOT(ISNUMBER(in_pETA)),"ERROR: no es numérico",IF(OR(in_pETA&lt;0,in_pETA&gt;ETA_MAX),"ERROR: % de efecto térmico fuera de rango","OK")))</f>
        <v>OK</v>
      </c>
      <c r="C27" s="43" t="s">
        <v>242</v>
      </c>
    </row>
    <row r="28" spans="1:7" ht="25.5" customHeight="1">
      <c r="A28" s="109" t="s">
        <v>106</v>
      </c>
      <c r="B28" s="113" t="str">
        <f>IF(ISBLANK(in_Ajuste),"ERROR: vacío",IF(NOT(ISNUMBER(in_Ajuste)),"ERROR: no es numérico",IF(ABS(in_Ajuste)&gt;AJUSTE_MAX,"ERROR: ajuste fuera de rango","OK")))</f>
        <v>OK</v>
      </c>
      <c r="C28" s="43" t="s">
        <v>243</v>
      </c>
    </row>
    <row r="29" spans="1:7" ht="25.5" customHeight="1">
      <c r="A29" s="109" t="s">
        <v>244</v>
      </c>
      <c r="B29" s="113" t="str">
        <f>IF(in_Metodo&lt;&gt;"Registro de actividades 24 h","NO APLICA · método global",IF(ABS(ACTIVIDADES!$B$20-HORAS_DIA)&gt;0.001,"ERROR · registro de actividades ≠24 h",IF(COUNTIF(ACTIVIDADES!$H$7:$H$18,"REQUIERE REVALIDACIÓN")&gt;0,"ERROR · hay actividades que requieren revalidación","OK")))</f>
        <v>NO APLICA · método global</v>
      </c>
      <c r="C29" s="43" t="s">
        <v>245</v>
      </c>
    </row>
    <row r="30" spans="1:7" ht="25.5" customHeight="1">
      <c r="A30" s="109" t="s">
        <v>246</v>
      </c>
      <c r="B30" s="113" t="str">
        <f>IF(ISBLANK(in_ValPro),"ERROR: vacío",IF(NOT(ISNUMBER(in_ValPro)),"ERROR: no es numérico",IF(in_ValPro&lt;0,"ERROR: la proteína no puede ser negativa","OK")))</f>
        <v>OK</v>
      </c>
      <c r="C30" s="43" t="s">
        <v>247</v>
      </c>
    </row>
    <row r="31" spans="1:7" ht="25.5" customHeight="1">
      <c r="A31" s="109" t="s">
        <v>248</v>
      </c>
      <c r="B31" s="113" t="str">
        <f>IF(ISBLANK(in_ValGra),"ERROR: vacío",IF(NOT(ISNUMBER(in_ValGra)),"ERROR: no es numérico",IF(in_ValGra&lt;0,"ERROR: la grasa no puede ser negativa","OK")))</f>
        <v>OK</v>
      </c>
      <c r="C31" s="43" t="s">
        <v>247</v>
      </c>
    </row>
    <row r="32" spans="1:7" ht="25.5" customHeight="1">
      <c r="A32" s="114" t="s">
        <v>249</v>
      </c>
      <c r="B32" s="115" t="str">
        <f>IF(AND(in_ModoPro=INDEX(LISTA_MODO,1),in_ModoGra=INDEX(LISTA_MODO,1)),IF(ISNUMBER(in_ValPro)*ISNUMBER(in_ValGra)=0,"ERROR: valores no numéricos",IF(in_ValPro+in_ValGra&gt;1,"ERROR: los % de proteína y grasa superan el 100 %","OK")),"NO APLICA (algún macro está en g/kg)")</f>
        <v>NO APLICA (algún macro está en g/kg)</v>
      </c>
      <c r="C32" s="116" t="s">
        <v>250</v>
      </c>
    </row>
    <row r="33" spans="1:7">
      <c r="A33" s="117" t="s">
        <v>251</v>
      </c>
      <c r="B33" s="55" t="str">
        <f>IF(SUMPRODUCT(--(LEFT($B$20:$B$32,5)="ERROR"))=0,"SÍ","NO")</f>
        <v>SÍ</v>
      </c>
      <c r="C33" s="93" t="s">
        <v>252</v>
      </c>
      <c r="D33" s="50"/>
      <c r="E33" s="50"/>
      <c r="F33" s="50"/>
    </row>
    <row r="35" spans="1:7" ht="18" customHeight="1">
      <c r="A35" s="297" t="s">
        <v>253</v>
      </c>
      <c r="B35" s="297"/>
      <c r="C35" s="297"/>
      <c r="D35" s="297"/>
      <c r="E35" s="297"/>
      <c r="F35" s="297"/>
      <c r="G35" s="297"/>
    </row>
    <row r="36" spans="1:7" ht="30" customHeight="1">
      <c r="A36" s="98" t="s">
        <v>202</v>
      </c>
      <c r="B36" s="98" t="s">
        <v>65</v>
      </c>
      <c r="C36" s="98" t="s">
        <v>66</v>
      </c>
      <c r="D36" s="98" t="s">
        <v>203</v>
      </c>
    </row>
    <row r="37" spans="1:7" ht="24" customHeight="1">
      <c r="A37" s="109" t="s">
        <v>254</v>
      </c>
      <c r="B37" s="118">
        <f>IF($B$33&lt;&gt;"SÍ","",IF(ISNUMBER(ECUACIONES!$B$28),ECUACIONES!$B$28,"ND: la ecuación seleccionada no es calculable con los datos disponibles"))</f>
        <v>1709.2</v>
      </c>
      <c r="C37" s="111" t="s">
        <v>180</v>
      </c>
      <c r="D37" s="43" t="s">
        <v>255</v>
      </c>
    </row>
    <row r="38" spans="1:7" ht="24" customHeight="1">
      <c r="A38" s="109" t="s">
        <v>256</v>
      </c>
      <c r="B38" s="118">
        <f>IF(NOT(ISNUMBER($B$37)),"ND",$B$37*($B$13-1))</f>
        <v>1367.3600000000001</v>
      </c>
      <c r="C38" s="111" t="s">
        <v>180</v>
      </c>
      <c r="D38" s="43" t="s">
        <v>257</v>
      </c>
    </row>
    <row r="39" spans="1:7" ht="24" customHeight="1">
      <c r="A39" s="109" t="s">
        <v>258</v>
      </c>
      <c r="B39" s="113" t="str">
        <f>in_ModoETA</f>
        <v>Incluido en el factor de actividad (recomendado)</v>
      </c>
      <c r="C39" s="111" t="s">
        <v>71</v>
      </c>
      <c r="D39" s="43" t="s">
        <v>259</v>
      </c>
    </row>
    <row r="40" spans="1:7" ht="24" customHeight="1">
      <c r="A40" s="109" t="s">
        <v>260</v>
      </c>
      <c r="B40" s="118">
        <f>IF(NOT(ISNUMBER($B$38)),"ND",IF(in_ModoETA=INDEX(LISTA_ETA,1),0,IF(in_ModoETA=INDEX(LISTA_ETA,2),($B$37+$B$38)*in_pETA,IF(in_ModoETA=INDEX(LISTA_ETA,3),($B$37+$B$38)*in_pETA/(1-in_pETA),"ND"))))</f>
        <v>0</v>
      </c>
      <c r="C40" s="111" t="s">
        <v>180</v>
      </c>
      <c r="D40" s="43" t="s">
        <v>261</v>
      </c>
    </row>
    <row r="41" spans="1:7" ht="24" customHeight="1">
      <c r="A41" s="109" t="s">
        <v>262</v>
      </c>
      <c r="B41" s="119">
        <f>IF(OR(NOT(ISNUMBER($B$37)),NOT(ISNUMBER($B$38)),NOT(ISNUMBER($B$40))),"ND",$B$37+$B$38+$B$40)</f>
        <v>3076.5600000000004</v>
      </c>
      <c r="C41" s="111" t="s">
        <v>180</v>
      </c>
      <c r="D41" s="43" t="s">
        <v>263</v>
      </c>
    </row>
    <row r="42" spans="1:7" ht="39.75" customHeight="1">
      <c r="A42" s="109" t="s">
        <v>264</v>
      </c>
      <c r="B42" s="298" t="str">
        <f>IF(in_ModoETA=INDEX(LISTA_ETA,1),"OK: el ETA está incluido en el factor de actividad; el libro lo fija en 0 y no lo suma dos veces.","⚠ ETA EXPLÍCITO SOBRE UN PAL: por definición de FAO, el PAL ya contiene el efecto térmico. Si su factor de actividad es un PAL, está contando el ETA DOS VECES. Actívelo solo si puede documentar que su factor lo EXCLUYE.")</f>
        <v>OK: el ETA está incluido en el factor de actividad; el libro lo fija en 0 y no lo suma dos veces.</v>
      </c>
      <c r="C42" s="298"/>
      <c r="D42" s="298"/>
    </row>
    <row r="44" spans="1:7" ht="18" customHeight="1">
      <c r="A44" s="297" t="s">
        <v>265</v>
      </c>
      <c r="B44" s="297"/>
      <c r="C44" s="297"/>
      <c r="D44" s="297"/>
      <c r="E44" s="297"/>
      <c r="F44" s="297"/>
      <c r="G44" s="297"/>
    </row>
    <row r="45" spans="1:7">
      <c r="A45" s="83" t="s">
        <v>102</v>
      </c>
      <c r="B45" s="51" t="str">
        <f>in_Obj</f>
        <v>Aumento de peso</v>
      </c>
      <c r="C45" s="42" t="s">
        <v>71</v>
      </c>
      <c r="D45" s="299" t="s">
        <v>259</v>
      </c>
      <c r="E45" s="299"/>
    </row>
    <row r="46" spans="1:7">
      <c r="A46" s="83" t="s">
        <v>266</v>
      </c>
      <c r="B46" s="45">
        <f>in_Ajuste</f>
        <v>0.05</v>
      </c>
      <c r="C46" s="42" t="s">
        <v>96</v>
      </c>
      <c r="D46" s="299" t="s">
        <v>267</v>
      </c>
      <c r="E46" s="299"/>
    </row>
    <row r="47" spans="1:7">
      <c r="A47" s="83" t="s">
        <v>268</v>
      </c>
      <c r="B47" s="90">
        <f>IF(NOT(ISNUMBER($B$41)),"ND",$B$41*$B$46)</f>
        <v>153.82800000000003</v>
      </c>
      <c r="C47" s="42" t="s">
        <v>180</v>
      </c>
      <c r="D47" s="299" t="s">
        <v>269</v>
      </c>
      <c r="E47" s="299"/>
    </row>
    <row r="48" spans="1:7" ht="15.75">
      <c r="A48" s="83" t="s">
        <v>270</v>
      </c>
      <c r="B48" s="91">
        <f>IF(OR(NOT(ISNUMBER($B$41)),NOT(ISNUMBER($B$47))),"ND",$B$41+$B$47)</f>
        <v>3230.3880000000004</v>
      </c>
      <c r="C48" s="42" t="s">
        <v>180</v>
      </c>
      <c r="D48" s="299" t="s">
        <v>271</v>
      </c>
      <c r="E48" s="299"/>
    </row>
    <row r="49" spans="1:7">
      <c r="A49" s="83" t="s">
        <v>272</v>
      </c>
      <c r="B49" s="92">
        <f>IF(NOT(ISNUMBER($B$48)),"ND",$B$48/in_Peso)</f>
        <v>41.415230769230774</v>
      </c>
      <c r="C49" s="42" t="s">
        <v>273</v>
      </c>
      <c r="D49" s="299"/>
      <c r="E49" s="299"/>
    </row>
    <row r="51" spans="1:7" ht="18" customHeight="1">
      <c r="A51" s="289" t="s">
        <v>274</v>
      </c>
      <c r="B51" s="289"/>
      <c r="C51" s="289"/>
      <c r="D51" s="289"/>
      <c r="E51" s="289"/>
      <c r="F51" s="289"/>
      <c r="G51" s="289"/>
    </row>
    <row r="52" spans="1:7" ht="30" customHeight="1">
      <c r="A52" s="98" t="s">
        <v>275</v>
      </c>
      <c r="B52" s="98" t="s">
        <v>276</v>
      </c>
      <c r="C52" s="98" t="s">
        <v>277</v>
      </c>
      <c r="D52" s="98" t="s">
        <v>278</v>
      </c>
      <c r="E52" s="98" t="s">
        <v>279</v>
      </c>
      <c r="F52" s="98" t="s">
        <v>180</v>
      </c>
      <c r="G52" s="98" t="s">
        <v>141</v>
      </c>
    </row>
    <row r="53" spans="1:7">
      <c r="A53" s="120" t="s">
        <v>280</v>
      </c>
      <c r="B53" s="113" t="str">
        <f>in_ModoPro</f>
        <v>g/kg de peso</v>
      </c>
      <c r="C53" s="110">
        <f>in_ValPro</f>
        <v>1.5</v>
      </c>
      <c r="D53" s="118">
        <f>IF(NOT(ISNUMBER($B$48)),"ND",ROUND(IF($B53=INDEX(LISTA_MODO,2),$C53*in_Peso,$B$48*$C53/KPRO),0))</f>
        <v>117</v>
      </c>
      <c r="E53" s="110">
        <f>IF(NOT(ISNUMBER($D53)),"ND",$D53/in_Peso)</f>
        <v>1.5</v>
      </c>
      <c r="F53" s="118">
        <f>IF(NOT(ISNUMBER($D53)),"ND",$D53*KPRO)</f>
        <v>468</v>
      </c>
      <c r="G53" s="112">
        <f>IF(OR(NOT(ISNUMBER($F53)),NOT(ISNUMBER($B$48))),"ND",$F53/$B$48)</f>
        <v>0.14487423801722887</v>
      </c>
    </row>
    <row r="54" spans="1:7">
      <c r="A54" s="120" t="s">
        <v>281</v>
      </c>
      <c r="B54" s="113" t="str">
        <f>in_ModoGra</f>
        <v>% de la energía</v>
      </c>
      <c r="C54" s="110">
        <f>in_ValGra</f>
        <v>0.2</v>
      </c>
      <c r="D54" s="118">
        <f>IF(NOT(ISNUMBER($B$48)),"ND",ROUND(IF($B54=INDEX(LISTA_MODO,2),$C54*in_Peso,$B$48*$C54/KGRA),0))</f>
        <v>72</v>
      </c>
      <c r="E54" s="110">
        <f>IF(NOT(ISNUMBER($D54)),"ND",$D54/in_Peso)</f>
        <v>0.92307692307692313</v>
      </c>
      <c r="F54" s="118">
        <f>IF(NOT(ISNUMBER($D54)),"ND",$D54*KGRA)</f>
        <v>648</v>
      </c>
      <c r="G54" s="112">
        <f>IF(OR(NOT(ISNUMBER($F54)),NOT(ISNUMBER($B$48))),"ND",$F54/$B$48)</f>
        <v>0.20059509879308612</v>
      </c>
    </row>
    <row r="55" spans="1:7">
      <c r="A55" s="120" t="s">
        <v>282</v>
      </c>
      <c r="B55" s="113" t="str">
        <f>"por diferencia"</f>
        <v>por diferencia</v>
      </c>
      <c r="C55" s="110" t="str">
        <f>"—"</f>
        <v>—</v>
      </c>
      <c r="D55" s="118">
        <f>IF(OR(NOT(ISNUMBER($B$48)),NOT(ISNUMBER($F$53)),NOT(ISNUMBER($F$54))),"ND",IF(($B$48-$F$53-$F$54)&lt;0,"ERROR: la proteína y la grasa exceden la energía objetivo",ROUND(($B$48-$F$53-$F$54)/KCHO,0)))</f>
        <v>529</v>
      </c>
      <c r="E55" s="110">
        <f>IF(NOT(ISNUMBER($D55)),"ND",$D55/in_Peso)</f>
        <v>6.7820512820512819</v>
      </c>
      <c r="F55" s="118">
        <f>IF(NOT(ISNUMBER($D55)),"ND",$D55*KCHO)</f>
        <v>2116</v>
      </c>
      <c r="G55" s="112">
        <f>IF(OR(NOT(ISNUMBER($F55)),NOT(ISNUMBER($B$48))),"ND",$F55/$B$48)</f>
        <v>0.65502967445396643</v>
      </c>
    </row>
    <row r="56" spans="1:7">
      <c r="A56" s="121" t="s">
        <v>283</v>
      </c>
      <c r="B56" s="121" t="str">
        <f>""</f>
        <v/>
      </c>
      <c r="C56" s="122" t="str">
        <f>""</f>
        <v/>
      </c>
      <c r="D56" s="123">
        <f>IF(COUNT($D$53:$D$55)=3,SUM($D$53:$D$55),"ND")</f>
        <v>718</v>
      </c>
      <c r="E56" s="122">
        <f>IF(COUNT($E$53:$E$55)=3,SUM($E$53:$E$55),"ND")</f>
        <v>9.2051282051282044</v>
      </c>
      <c r="F56" s="123">
        <f>IF(COUNT($F$53:$F$55)=3,SUM($F$53:$F$55),"ND")</f>
        <v>3232</v>
      </c>
      <c r="G56" s="124">
        <f>IF(COUNT($G$53:$G$55)=3,SUM($G$53:$G$55),"ND")</f>
        <v>1.0004990112642815</v>
      </c>
    </row>
    <row r="57" spans="1:7">
      <c r="A57" s="303" t="s">
        <v>284</v>
      </c>
      <c r="B57" s="303"/>
      <c r="C57" s="303"/>
      <c r="D57" s="303"/>
      <c r="E57" s="303"/>
      <c r="F57" s="303"/>
      <c r="G57" s="303"/>
    </row>
    <row r="59" spans="1:7" ht="18" customHeight="1">
      <c r="A59" s="297" t="s">
        <v>285</v>
      </c>
      <c r="B59" s="297"/>
      <c r="C59" s="297"/>
      <c r="D59" s="297"/>
      <c r="E59" s="297"/>
      <c r="F59" s="297"/>
      <c r="G59" s="297"/>
    </row>
    <row r="60" spans="1:7">
      <c r="A60" s="109" t="s">
        <v>286</v>
      </c>
      <c r="B60" s="118">
        <f>IF(COUNT($F$53:$F$55)=3,SUM($F$53:$F$55),"ND")</f>
        <v>3232</v>
      </c>
      <c r="C60" s="111" t="s">
        <v>180</v>
      </c>
    </row>
    <row r="61" spans="1:7">
      <c r="A61" s="109" t="s">
        <v>287</v>
      </c>
      <c r="B61" s="118">
        <f>$B$48</f>
        <v>3230.3880000000004</v>
      </c>
      <c r="C61" s="111" t="s">
        <v>180</v>
      </c>
    </row>
    <row r="62" spans="1:7">
      <c r="A62" s="109" t="s">
        <v>288</v>
      </c>
      <c r="B62" s="125">
        <f>IF(OR(NOT(ISNUMBER($B$60)),NOT(ISNUMBER($B$61))),"ND",$B$60-$B$61)</f>
        <v>1.6119999999996253</v>
      </c>
      <c r="C62" s="111" t="s">
        <v>180</v>
      </c>
    </row>
    <row r="63" spans="1:7">
      <c r="A63" s="114" t="s">
        <v>289</v>
      </c>
      <c r="B63" s="126">
        <f>TOL_KCAL</f>
        <v>5</v>
      </c>
      <c r="C63" s="127" t="s">
        <v>180</v>
      </c>
    </row>
    <row r="64" spans="1:7" ht="30" customHeight="1">
      <c r="A64" s="109" t="s">
        <v>290</v>
      </c>
      <c r="B64" s="298" t="str">
        <f>IF(NOT(ISNUMBER($B$62)),"ND",IF(ABS($B$62)&lt;=$B$63,"OK: las kcal de los macronutrientes cuadran con la energía objetivo dentro de la tolerancia.","⚠ FUERA DE TOLERANCIA: la diferencia supera el umbral de CONFIG C1. Revise la distribución."))</f>
        <v>OK: las kcal de los macronutrientes cuadran con la energía objetivo dentro de la tolerancia.</v>
      </c>
      <c r="C64" s="298"/>
      <c r="D64" s="298"/>
    </row>
    <row r="66" spans="1:7" ht="18" customHeight="1">
      <c r="A66" s="289" t="s">
        <v>291</v>
      </c>
      <c r="B66" s="289"/>
      <c r="C66" s="289"/>
      <c r="D66" s="289"/>
      <c r="E66" s="289"/>
      <c r="F66" s="289"/>
      <c r="G66" s="289"/>
    </row>
    <row r="67" spans="1:7" ht="30" customHeight="1">
      <c r="A67" s="98" t="s">
        <v>292</v>
      </c>
      <c r="B67" s="294" t="s">
        <v>293</v>
      </c>
      <c r="C67" s="295"/>
      <c r="D67" s="295"/>
      <c r="E67" s="295"/>
      <c r="F67" s="295"/>
      <c r="G67" s="296"/>
    </row>
    <row r="68" spans="1:7" ht="27.75" customHeight="1">
      <c r="A68" s="109" t="s">
        <v>294</v>
      </c>
      <c r="B68" s="291" t="str">
        <f>IF($B$33="SÍ","—","⚠ Hay DATOS IMPOSIBLES en el bloque 1. Nada se calcula hasta corregirlos.")</f>
        <v>—</v>
      </c>
      <c r="C68" s="292"/>
      <c r="D68" s="292"/>
      <c r="E68" s="292"/>
      <c r="F68" s="292"/>
      <c r="G68" s="293"/>
    </row>
    <row r="69" spans="1:7" ht="27.75" customHeight="1">
      <c r="A69" s="109" t="s">
        <v>295</v>
      </c>
      <c r="B69" s="291" t="str">
        <f>IF(TRIM(in_Motivo)="","⚠ No registró el motivo de selección de la ecuación (DATOS). La decisión no es auditable.","—")</f>
        <v>—</v>
      </c>
      <c r="C69" s="292"/>
      <c r="D69" s="292"/>
      <c r="E69" s="292"/>
      <c r="F69" s="292"/>
      <c r="G69" s="293"/>
    </row>
    <row r="70" spans="1:7" ht="27.75" customHeight="1">
      <c r="A70" s="109" t="s">
        <v>296</v>
      </c>
      <c r="B70" s="291" t="str">
        <f>IF($B$33&lt;&gt;"SÍ","—",IF(COUNTIF(LISTA_ECU,in_Ecu)&lt;&gt;1,"—",IF(OR(in_Edad&lt;INDEX(CONFIG!$C$120:$C$126,MATCH(in_Ecu,LISTA_ECU,0)),in_Edad&gt;INDEX(CONFIG!$D$120:$D$126,MATCH(in_Ecu,LISTA_ECU,0))),"⚠ La edad del paciente queda fuera del rango en que se derivó la ecuación seleccionada.","—")))</f>
        <v>—</v>
      </c>
      <c r="C70" s="292"/>
      <c r="D70" s="292"/>
      <c r="E70" s="292"/>
      <c r="F70" s="292"/>
      <c r="G70" s="293"/>
    </row>
    <row r="71" spans="1:7" ht="27.75" customHeight="1">
      <c r="A71" s="109" t="s">
        <v>297</v>
      </c>
      <c r="B71" s="291" t="str">
        <f>IF(NOT(ISNUMBER(ECUACIONES!$B$23)),"—",IF(ECUACIONES!$B$23&gt;AMPL_MAX,"⚠ Las ecuaciones discrepan más que el umbral configurado: la elección pesa mucho en el resultado.","—"))</f>
        <v>—</v>
      </c>
      <c r="C71" s="292"/>
      <c r="D71" s="292"/>
      <c r="E71" s="292"/>
      <c r="F71" s="292"/>
      <c r="G71" s="293"/>
    </row>
    <row r="72" spans="1:7" ht="27.75" customHeight="1">
      <c r="A72" s="109" t="s">
        <v>298</v>
      </c>
      <c r="B72" s="291" t="str">
        <f>IF(in_ModoETA=INDEX(LISTA_ETA,1),"—","⚠ ETA explícito sobre un PAL: el efecto térmico se está contando dos veces (ver CALCULOS, control de doble conteo).")</f>
        <v>—</v>
      </c>
      <c r="C72" s="292"/>
      <c r="D72" s="292"/>
      <c r="E72" s="292"/>
      <c r="F72" s="292"/>
      <c r="G72" s="293"/>
    </row>
    <row r="73" spans="1:7" ht="27.75" customHeight="1">
      <c r="A73" s="109" t="s">
        <v>299</v>
      </c>
      <c r="B73" s="291" t="str">
        <f>IF(NOT(ISNUMBER(in_Peso)),"—",IF(OR(in_Peso&lt;PESO_RB,in_Peso&gt;PESO_RA),"⚠ POCO FRECUENTE (no imposible): verifique la medición del peso.","—"))</f>
        <v>—</v>
      </c>
      <c r="C73" s="292"/>
      <c r="D73" s="292"/>
      <c r="E73" s="292"/>
      <c r="F73" s="292"/>
      <c r="G73" s="293"/>
    </row>
    <row r="74" spans="1:7" ht="27.75" customHeight="1">
      <c r="A74" s="109" t="s">
        <v>300</v>
      </c>
      <c r="B74" s="291" t="str">
        <f>IF(NOT(ISNUMBER(in_Est)),"—",IF(OR(in_Est&lt;EST_RB,in_Est&gt;EST_RA),"⚠ POCO FRECUENTE (no imposible): verifique la medición de la estatura.","—"))</f>
        <v>—</v>
      </c>
      <c r="C74" s="292"/>
      <c r="D74" s="292"/>
      <c r="E74" s="292"/>
      <c r="F74" s="292"/>
      <c r="G74" s="293"/>
    </row>
    <row r="75" spans="1:7" ht="27.75" customHeight="1">
      <c r="A75" s="109" t="s">
        <v>301</v>
      </c>
      <c r="B75" s="291" t="str">
        <f>IF(NOT(ISNUMBER($B$8)),"—",IF(OR($B$8&lt;IMC_RB,$B$8&gt;IMC_RA),"⚠ POCO FRECUENTE (no imposible): en IMC extremos las ecuaciones basadas en peso pierden precisión.","—"))</f>
        <v>—</v>
      </c>
      <c r="C75" s="292"/>
      <c r="D75" s="292"/>
      <c r="E75" s="292"/>
      <c r="F75" s="292"/>
      <c r="G75" s="293"/>
    </row>
    <row r="76" spans="1:7" ht="27.75" customHeight="1">
      <c r="A76" s="109" t="s">
        <v>302</v>
      </c>
      <c r="B76" s="291" t="str">
        <f>IF(NOT(ISNUMBER($E$53)),"—",IF($E$53&gt;PRO_MAX,"⚠ Proteína sobre el máximo plausible de CONFIG (g/kg). Verifique la indicación.","—"))</f>
        <v>—</v>
      </c>
      <c r="C76" s="292"/>
      <c r="D76" s="292"/>
      <c r="E76" s="292"/>
      <c r="F76" s="292"/>
      <c r="G76" s="293"/>
    </row>
    <row r="77" spans="1:7" ht="27.75" customHeight="1">
      <c r="A77" s="109" t="s">
        <v>303</v>
      </c>
      <c r="B77" s="291" t="str">
        <f>IF(NOT(ISNUMBER($G$54)),"—",IF($G$54&lt;GRA_MIN,"⚠ Grasa bajo el mínimo plausible de CONFIG (% de la energía).","—"))</f>
        <v>—</v>
      </c>
      <c r="C77" s="292"/>
      <c r="D77" s="292"/>
      <c r="E77" s="292"/>
      <c r="F77" s="292"/>
      <c r="G77" s="293"/>
    </row>
    <row r="78" spans="1:7" ht="27.75" customHeight="1">
      <c r="A78" s="109" t="s">
        <v>304</v>
      </c>
      <c r="B78" s="291" t="str">
        <f>IF($B$33&lt;&gt;"SÍ","—",IF(ISNUMBER($D$55),"—","⚠ Los carbohidratos por diferencia no son calculables: la proteína y la grasa exceden la energía objetivo."))</f>
        <v>—</v>
      </c>
      <c r="C78" s="292"/>
      <c r="D78" s="292"/>
      <c r="E78" s="292"/>
      <c r="F78" s="292"/>
      <c r="G78" s="293"/>
    </row>
    <row r="79" spans="1:7" ht="27.75" customHeight="1">
      <c r="A79" s="109" t="s">
        <v>305</v>
      </c>
      <c r="B79" s="291" t="str">
        <f>IF(NOT(ISNUMBER(in_Ajuste)),"—",IF(AND(in_Obj=INDEX(LISTA_OBJ,2),in_Ajuste&gt;=0),"⚠ El objetivo es reducción, pero el ajuste no es negativo.",IF(AND(in_Obj=INDEX(LISTA_OBJ,3),in_Ajuste&lt;=0),"⚠ El objetivo es aumento, pero el ajuste no es positivo.",IF(AND(in_Obj=INDEX(LISTA_OBJ,1),in_Ajuste&lt;&gt;0),"⚠ El objetivo es mantenimiento, pero el ajuste no es cero.","—"))))</f>
        <v>—</v>
      </c>
      <c r="C79" s="292"/>
      <c r="D79" s="292"/>
      <c r="E79" s="292"/>
      <c r="F79" s="292"/>
      <c r="G79" s="293"/>
    </row>
    <row r="80" spans="1:7" ht="27.75" customHeight="1">
      <c r="A80" s="109" t="s">
        <v>306</v>
      </c>
      <c r="B80" s="291" t="str">
        <f>IF(NOT(ISNUMBER($B$13)),"—",IF($B$13&gt;PAL_VIGOROSO_MIN,"⚠ Factor de actividad muy alto: propio de patrones de actividad vigorosos. Verifique que represente la actividad habitual global.","—"))</f>
        <v>—</v>
      </c>
      <c r="C80" s="292"/>
      <c r="D80" s="292"/>
      <c r="E80" s="292"/>
      <c r="F80" s="292"/>
      <c r="G80" s="293"/>
    </row>
    <row r="81" spans="1:7" ht="27.75" customHeight="1">
      <c r="A81" s="109" t="s">
        <v>307</v>
      </c>
      <c r="B81" s="300" t="str">
        <f>IF(in_Metodo&lt;&gt;INDEX(LISTA_METODO,2),"—","⚠ El PAL se derivó como TEE(METs)/GEB. Un MET es múltiplo del reposo ESTÁNDAR (1 kcal/kg/h), no del GEB individual: la conversión es una APROXIMACIÓN documentada en la hoja ACTIVIDADES.")</f>
        <v>—</v>
      </c>
      <c r="C81" s="301"/>
      <c r="D81" s="301"/>
      <c r="E81" s="301"/>
      <c r="F81" s="301"/>
      <c r="G81" s="302"/>
    </row>
    <row r="82" spans="1:7" ht="27.75" customHeight="1">
      <c r="A82" s="109" t="s">
        <v>308</v>
      </c>
      <c r="B82" s="300" t="str">
        <f>IF(COUNTIF(LISTA_ECU,in_Ecu)&lt;&gt;1,"ND","Nivel "&amp;INDEX(CONFIG!$H$120:$H$126,MATCH(in_Ecu,LISTA_ECU,0))&amp;" · A = fuente primaria cotejada; B = resumen primario o corroboración por pares; C = fuente secundaria")</f>
        <v>Nivel B · A = fuente primaria cotejada; B = resumen primario o corroboración por pares; C = fuente secundaria</v>
      </c>
      <c r="C82" s="301"/>
      <c r="D82" s="301"/>
      <c r="E82" s="301"/>
      <c r="F82" s="301"/>
      <c r="G82" s="302"/>
    </row>
  </sheetData>
  <sheetProtection algorithmName="SHA-512" hashValue="znXIgs5idm0QNyf6qnznBcM1h0DTXZSuGA0druBoBCHyzLOVyMvcGiWMhVcdhtnlbHtfZZ2Is43s+pjyQAHhyw==" saltValue="AeftAdiu5amNi/p/qVIgsA==" spinCount="100000" sheet="1" objects="1" scenarios="1"/>
  <mergeCells count="33">
    <mergeCell ref="A57:G57"/>
    <mergeCell ref="A3:D3"/>
    <mergeCell ref="D48:E48"/>
    <mergeCell ref="D49:E49"/>
    <mergeCell ref="B80:G80"/>
    <mergeCell ref="B70:G70"/>
    <mergeCell ref="B71:G71"/>
    <mergeCell ref="B72:G72"/>
    <mergeCell ref="B73:G73"/>
    <mergeCell ref="B74:G74"/>
    <mergeCell ref="B81:G81"/>
    <mergeCell ref="B82:G82"/>
    <mergeCell ref="B75:G75"/>
    <mergeCell ref="B76:G76"/>
    <mergeCell ref="B77:G77"/>
    <mergeCell ref="B78:G78"/>
    <mergeCell ref="B79:G79"/>
    <mergeCell ref="A1:D1"/>
    <mergeCell ref="B69:G69"/>
    <mergeCell ref="B68:G68"/>
    <mergeCell ref="B67:G67"/>
    <mergeCell ref="A5:G5"/>
    <mergeCell ref="A18:G18"/>
    <mergeCell ref="A35:G35"/>
    <mergeCell ref="A44:G44"/>
    <mergeCell ref="A51:G51"/>
    <mergeCell ref="A66:G66"/>
    <mergeCell ref="A59:G59"/>
    <mergeCell ref="B64:D64"/>
    <mergeCell ref="D45:E45"/>
    <mergeCell ref="D46:E46"/>
    <mergeCell ref="D47:E47"/>
    <mergeCell ref="B42:D42"/>
  </mergeCells>
  <conditionalFormatting sqref="B20">
    <cfRule type="cellIs" dxfId="39" priority="2" operator="equal">
      <formula>"OK"</formula>
    </cfRule>
  </conditionalFormatting>
  <conditionalFormatting sqref="B21">
    <cfRule type="cellIs" dxfId="38" priority="3" operator="equal">
      <formula>"OK"</formula>
    </cfRule>
  </conditionalFormatting>
  <conditionalFormatting sqref="B22">
    <cfRule type="cellIs" dxfId="37" priority="4" operator="equal">
      <formula>"OK"</formula>
    </cfRule>
  </conditionalFormatting>
  <conditionalFormatting sqref="B23">
    <cfRule type="cellIs" dxfId="36" priority="5" operator="equal">
      <formula>"OK"</formula>
    </cfRule>
  </conditionalFormatting>
  <conditionalFormatting sqref="B24">
    <cfRule type="cellIs" dxfId="35" priority="6" operator="equal">
      <formula>"OK"</formula>
    </cfRule>
  </conditionalFormatting>
  <conditionalFormatting sqref="B25">
    <cfRule type="cellIs" dxfId="34" priority="7" operator="equal">
      <formula>"OK"</formula>
    </cfRule>
  </conditionalFormatting>
  <conditionalFormatting sqref="B26">
    <cfRule type="cellIs" dxfId="33" priority="8" operator="equal">
      <formula>"OK"</formula>
    </cfRule>
  </conditionalFormatting>
  <conditionalFormatting sqref="B27">
    <cfRule type="cellIs" dxfId="32" priority="9" operator="equal">
      <formula>"OK"</formula>
    </cfRule>
  </conditionalFormatting>
  <conditionalFormatting sqref="B28">
    <cfRule type="cellIs" dxfId="31" priority="10" operator="equal">
      <formula>"OK"</formula>
    </cfRule>
  </conditionalFormatting>
  <conditionalFormatting sqref="B29">
    <cfRule type="cellIs" dxfId="30" priority="11" operator="equal">
      <formula>"OK"</formula>
    </cfRule>
  </conditionalFormatting>
  <conditionalFormatting sqref="B30">
    <cfRule type="cellIs" dxfId="29" priority="12" operator="equal">
      <formula>"OK"</formula>
    </cfRule>
  </conditionalFormatting>
  <conditionalFormatting sqref="B31">
    <cfRule type="cellIs" dxfId="28" priority="13" operator="equal">
      <formula>"OK"</formula>
    </cfRule>
  </conditionalFormatting>
  <conditionalFormatting sqref="B32">
    <cfRule type="cellIs" dxfId="27" priority="14" operator="equal">
      <formula>"OK"</formula>
    </cfRule>
  </conditionalFormatting>
  <conditionalFormatting sqref="B33">
    <cfRule type="cellIs" dxfId="26" priority="15" operator="equal">
      <formula>"SÍ"</formula>
    </cfRule>
    <cfRule type="cellIs" dxfId="25" priority="16" operator="equal">
      <formula>"NO"</formula>
    </cfRule>
  </conditionalFormatting>
  <conditionalFormatting sqref="B68:B81">
    <cfRule type="cellIs" dxfId="24" priority="17" operator="notEqual">
      <formul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1"/>
  <sheetViews>
    <sheetView showGridLines="0" workbookViewId="0">
      <selection sqref="A1:H1"/>
    </sheetView>
  </sheetViews>
  <sheetFormatPr baseColWidth="10" defaultColWidth="8.7109375" defaultRowHeight="15"/>
  <cols>
    <col min="1" max="1" width="51" customWidth="1"/>
    <col min="2" max="6" width="21" customWidth="1"/>
    <col min="7" max="7" width="26" customWidth="1"/>
  </cols>
  <sheetData>
    <row r="1" spans="1:8" ht="25.5" customHeight="1">
      <c r="A1" s="290" t="s">
        <v>1191</v>
      </c>
      <c r="B1" s="290"/>
      <c r="C1" s="290"/>
      <c r="D1" s="290"/>
      <c r="E1" s="290"/>
      <c r="F1" s="290"/>
      <c r="G1" s="290"/>
      <c r="H1" s="290"/>
    </row>
    <row r="2" spans="1:8" ht="27" customHeight="1">
      <c r="A2" s="282" t="str">
        <f>HYPERLINK("#DATOS!A1","◀ DATOS")</f>
        <v>◀ DATOS</v>
      </c>
      <c r="B2" s="282"/>
      <c r="C2" s="304" t="str">
        <f>HYPERLINK("#ECUACIONES!A1","▶ ECUACIONES")</f>
        <v>▶ ECUACIONES</v>
      </c>
      <c r="D2" s="305"/>
      <c r="E2" s="305"/>
      <c r="F2" s="305"/>
    </row>
    <row r="4" spans="1:8" ht="18" customHeight="1">
      <c r="A4" s="1" t="s">
        <v>309</v>
      </c>
      <c r="B4" s="2"/>
      <c r="C4" s="2"/>
      <c r="D4" s="2"/>
      <c r="E4" s="2"/>
      <c r="F4" s="2"/>
      <c r="G4" s="2"/>
    </row>
    <row r="5" spans="1:8">
      <c r="A5" s="83" t="s">
        <v>69</v>
      </c>
      <c r="B5" s="306" t="str">
        <f>in_ID</f>
        <v>NMX-2026-0001</v>
      </c>
      <c r="C5" s="306"/>
      <c r="D5" s="306"/>
      <c r="E5" s="306"/>
      <c r="F5" s="306"/>
      <c r="G5" s="9"/>
    </row>
    <row r="6" spans="1:8">
      <c r="A6" s="83" t="s">
        <v>14</v>
      </c>
      <c r="B6" s="308">
        <f>in_Fecha</f>
        <v>46215</v>
      </c>
      <c r="C6" s="308"/>
      <c r="D6" s="308"/>
      <c r="E6" s="308"/>
      <c r="F6" s="308"/>
      <c r="G6" s="9"/>
    </row>
    <row r="7" spans="1:8">
      <c r="A7" s="83" t="s">
        <v>310</v>
      </c>
      <c r="B7" s="306" t="str">
        <f>in_Pac</f>
        <v>PAC-0042</v>
      </c>
      <c r="C7" s="306"/>
      <c r="D7" s="306"/>
      <c r="E7" s="306"/>
      <c r="F7" s="306"/>
      <c r="G7" s="9"/>
    </row>
    <row r="8" spans="1:8">
      <c r="A8" s="83" t="s">
        <v>311</v>
      </c>
      <c r="B8" s="306" t="str">
        <f>IF(CALCULOS!$B$33&lt;&gt;"SÍ","ND",in_Sexo&amp;" · "&amp;ROUND(in_Edad,0)&amp;" años")</f>
        <v>Hombre · 20 años</v>
      </c>
      <c r="C8" s="306"/>
      <c r="D8" s="306"/>
      <c r="E8" s="306"/>
      <c r="F8" s="306"/>
      <c r="G8" s="9"/>
    </row>
    <row r="9" spans="1:8">
      <c r="A9" s="83" t="s">
        <v>312</v>
      </c>
      <c r="B9" s="306" t="str">
        <f>IF(CALCULOS!$B$33&lt;&gt;"SÍ","ND",ROUND(in_Peso,1)&amp;" kg · "&amp;ROUND(in_Est,0)&amp;" cm")</f>
        <v>78 kg · 180 cm</v>
      </c>
      <c r="C9" s="309"/>
      <c r="D9" s="309"/>
      <c r="E9" s="309"/>
      <c r="F9" s="309"/>
      <c r="G9" s="9"/>
    </row>
    <row r="10" spans="1:8">
      <c r="A10" s="83" t="s">
        <v>206</v>
      </c>
      <c r="B10" s="189">
        <f>CALCULOS!$B$8</f>
        <v>24.074074074074073</v>
      </c>
      <c r="C10" s="187" t="s">
        <v>207</v>
      </c>
      <c r="D10" s="187"/>
      <c r="E10" s="187"/>
      <c r="F10" s="188"/>
      <c r="G10" s="87" t="s">
        <v>207</v>
      </c>
    </row>
    <row r="11" spans="1:8">
      <c r="A11" s="83" t="s">
        <v>313</v>
      </c>
      <c r="B11" s="306" t="str">
        <f>IF(NOT(ISNUMBER(CALCULOS!$B$10)),"No disponible",ROUND(CALCULOS!$B$10,1)&amp;" kg · "&amp;CALCULOS!$B$12)</f>
        <v>62 kg · Medida directamente</v>
      </c>
      <c r="C11" s="306"/>
      <c r="D11" s="306"/>
      <c r="E11" s="306"/>
      <c r="F11" s="306"/>
      <c r="G11" s="9"/>
    </row>
    <row r="12" spans="1:8">
      <c r="A12" s="83" t="s">
        <v>314</v>
      </c>
      <c r="B12" s="306" t="str">
        <f>in_Metodo&amp;" · FA = "&amp;IF(ISNUMBER(CALCULOS!$B$13),ROUND(CALCULOS!$B$13,3),"ND")&amp;"  ("&amp;CALCULOS!$B$14&amp;")"</f>
        <v>Factor de actividad global · FA = 1,8  (Catálogo CONFIG C4)</v>
      </c>
      <c r="C12" s="306"/>
      <c r="D12" s="306"/>
      <c r="E12" s="306"/>
      <c r="F12" s="306"/>
      <c r="G12" s="9"/>
    </row>
    <row r="13" spans="1:8">
      <c r="A13" s="83" t="s">
        <v>143</v>
      </c>
      <c r="B13" s="306" t="str">
        <f>IF(DATOS!$B$28="","—",DATOS!$B$28)</f>
        <v>—</v>
      </c>
      <c r="C13" s="306"/>
      <c r="D13" s="306"/>
      <c r="E13" s="306"/>
      <c r="F13" s="306"/>
      <c r="G13" s="9"/>
    </row>
    <row r="14" spans="1:8">
      <c r="A14" s="307" t="s">
        <v>315</v>
      </c>
      <c r="B14" s="307"/>
      <c r="C14" s="307"/>
      <c r="D14" s="307"/>
      <c r="E14" s="307"/>
      <c r="F14" s="307"/>
      <c r="G14" s="307"/>
    </row>
    <row r="15" spans="1:8" ht="18" customHeight="1">
      <c r="A15" s="1" t="s">
        <v>316</v>
      </c>
      <c r="B15" s="2"/>
      <c r="C15" s="2"/>
      <c r="D15" s="2"/>
      <c r="E15" s="2"/>
      <c r="F15" s="2"/>
      <c r="G15" s="2"/>
    </row>
    <row r="16" spans="1:8" ht="30" customHeight="1">
      <c r="A16" s="46" t="s">
        <v>317</v>
      </c>
      <c r="B16" s="46" t="s">
        <v>180</v>
      </c>
      <c r="C16" s="46" t="s">
        <v>318</v>
      </c>
      <c r="D16" s="46" t="s">
        <v>319</v>
      </c>
    </row>
    <row r="17" spans="1:7">
      <c r="A17" s="83" t="s">
        <v>254</v>
      </c>
      <c r="B17" s="88">
        <f>CALCULOS!$B$37</f>
        <v>1709.2</v>
      </c>
      <c r="C17" s="89">
        <f>IF(OR(NOT(ISNUMBER($B17)),NOT(ISNUMBER($B$20)),$B$20=0),"ND",$B17/$B$20)</f>
        <v>0.55555555555555547</v>
      </c>
      <c r="D17" s="93" t="s">
        <v>124</v>
      </c>
    </row>
    <row r="18" spans="1:7">
      <c r="A18" s="83" t="s">
        <v>256</v>
      </c>
      <c r="B18" s="88">
        <f>CALCULOS!$B$38</f>
        <v>1367.3600000000001</v>
      </c>
      <c r="C18" s="89">
        <f>IF(OR(NOT(ISNUMBER($B18)),NOT(ISNUMBER($B$20)),$B$20=0),"ND",$B18/$B$20)</f>
        <v>0.44444444444444442</v>
      </c>
      <c r="D18" s="93" t="s">
        <v>320</v>
      </c>
    </row>
    <row r="19" spans="1:7">
      <c r="A19" s="83" t="s">
        <v>260</v>
      </c>
      <c r="B19" s="88">
        <f>CALCULOS!$B$40</f>
        <v>0</v>
      </c>
      <c r="C19" s="89">
        <f>IF(OR(NOT(ISNUMBER($B19)),NOT(ISNUMBER($B$20)),$B$20=0),"ND",$B19/$B$20)</f>
        <v>0</v>
      </c>
      <c r="D19" s="93" t="s">
        <v>321</v>
      </c>
    </row>
    <row r="20" spans="1:7">
      <c r="A20" s="83" t="s">
        <v>262</v>
      </c>
      <c r="B20" s="88">
        <f>CALCULOS!$B$41</f>
        <v>3076.5600000000004</v>
      </c>
      <c r="C20" s="89">
        <f>IF(ISNUMBER($B$20),1,"ND")</f>
        <v>1</v>
      </c>
      <c r="D20" s="93" t="s">
        <v>322</v>
      </c>
    </row>
    <row r="21" spans="1:7">
      <c r="A21" s="83" t="s">
        <v>323</v>
      </c>
      <c r="B21" s="90">
        <f>CALCULOS!$B$47</f>
        <v>153.82800000000003</v>
      </c>
      <c r="C21" s="45">
        <f>in_Ajuste</f>
        <v>0.05</v>
      </c>
      <c r="D21" s="93" t="s">
        <v>324</v>
      </c>
    </row>
    <row r="22" spans="1:7" ht="15.75">
      <c r="A22" s="83" t="s">
        <v>270</v>
      </c>
      <c r="B22" s="91">
        <f>CALCULOS!$B$48</f>
        <v>3230.3880000000004</v>
      </c>
      <c r="C22" s="51" t="str">
        <f>"—"</f>
        <v>—</v>
      </c>
      <c r="D22" s="93" t="s">
        <v>325</v>
      </c>
    </row>
    <row r="23" spans="1:7">
      <c r="A23" s="83" t="s">
        <v>326</v>
      </c>
      <c r="B23" s="92">
        <f>CALCULOS!$B$49</f>
        <v>41.415230769230774</v>
      </c>
      <c r="C23" s="51" t="str">
        <f>"—"</f>
        <v>—</v>
      </c>
      <c r="D23" s="93" t="s">
        <v>327</v>
      </c>
    </row>
    <row r="24" spans="1:7" ht="37.5" customHeight="1">
      <c r="A24" s="313" t="str">
        <f>CALCULOS!$B$42</f>
        <v>OK: el ETA está incluido en el factor de actividad; el libro lo fija en 0 y no lo suma dos veces.</v>
      </c>
      <c r="B24" s="313"/>
      <c r="C24" s="313"/>
      <c r="D24" s="313"/>
    </row>
    <row r="26" spans="1:7" ht="18" customHeight="1">
      <c r="A26" s="1" t="s">
        <v>328</v>
      </c>
      <c r="B26" s="2"/>
      <c r="C26" s="2"/>
      <c r="D26" s="2"/>
      <c r="E26" s="2"/>
      <c r="F26" s="2"/>
      <c r="G26" s="2"/>
    </row>
    <row r="27" spans="1:7" ht="30" customHeight="1">
      <c r="A27" s="46" t="s">
        <v>275</v>
      </c>
      <c r="B27" s="46" t="s">
        <v>278</v>
      </c>
      <c r="C27" s="46" t="s">
        <v>279</v>
      </c>
      <c r="D27" s="46" t="s">
        <v>180</v>
      </c>
      <c r="E27" s="46" t="s">
        <v>141</v>
      </c>
    </row>
    <row r="28" spans="1:7">
      <c r="A28" s="51" t="s">
        <v>280</v>
      </c>
      <c r="B28" s="88">
        <f>CALCULOS!$D$53</f>
        <v>117</v>
      </c>
      <c r="C28" s="53">
        <f>CALCULOS!$E$53</f>
        <v>1.5</v>
      </c>
      <c r="D28" s="88">
        <f>CALCULOS!$F$53</f>
        <v>468</v>
      </c>
      <c r="E28" s="89">
        <f>CALCULOS!$G$53</f>
        <v>0.14487423801722887</v>
      </c>
    </row>
    <row r="29" spans="1:7">
      <c r="A29" s="51" t="s">
        <v>281</v>
      </c>
      <c r="B29" s="88">
        <f>CALCULOS!$D$54</f>
        <v>72</v>
      </c>
      <c r="C29" s="53">
        <f>CALCULOS!$E$54</f>
        <v>0.92307692307692313</v>
      </c>
      <c r="D29" s="88">
        <f>CALCULOS!$F$54</f>
        <v>648</v>
      </c>
      <c r="E29" s="89">
        <f>CALCULOS!$G$54</f>
        <v>0.20059509879308612</v>
      </c>
    </row>
    <row r="30" spans="1:7">
      <c r="A30" s="51" t="s">
        <v>282</v>
      </c>
      <c r="B30" s="88">
        <f>CALCULOS!$D$55</f>
        <v>529</v>
      </c>
      <c r="C30" s="53">
        <f>CALCULOS!$E$55</f>
        <v>6.7820512820512819</v>
      </c>
      <c r="D30" s="88">
        <f>CALCULOS!$F$55</f>
        <v>2116</v>
      </c>
      <c r="E30" s="89">
        <f>CALCULOS!$G$55</f>
        <v>0.65502967445396643</v>
      </c>
    </row>
    <row r="31" spans="1:7">
      <c r="A31" s="94" t="s">
        <v>283</v>
      </c>
      <c r="B31" s="95">
        <f>CALCULOS!$D$56</f>
        <v>718</v>
      </c>
      <c r="C31" s="96">
        <f>CALCULOS!$E$56</f>
        <v>9.2051282051282044</v>
      </c>
      <c r="D31" s="95">
        <f>CALCULOS!$F$56</f>
        <v>3232</v>
      </c>
      <c r="E31" s="97">
        <f>CALCULOS!$G$56</f>
        <v>1.0004990112642815</v>
      </c>
    </row>
    <row r="32" spans="1:7" ht="38.25" customHeight="1">
      <c r="A32" s="83" t="s">
        <v>329</v>
      </c>
      <c r="B32" s="90">
        <f>CALCULOS!$B$62</f>
        <v>1.6119999999996253</v>
      </c>
      <c r="C32" s="51" t="str">
        <f>"tolerancia: "&amp;TEXT(TOL_KCAL,"0")&amp;" kcal"</f>
        <v>tolerancia: 5 kcal</v>
      </c>
      <c r="D32" s="314" t="str">
        <f>CALCULOS!$B$64</f>
        <v>OK: las kcal de los macronutrientes cuadran con la energía objetivo dentro de la tolerancia.</v>
      </c>
      <c r="E32" s="314"/>
    </row>
    <row r="34" spans="1:7" ht="18" customHeight="1">
      <c r="A34" s="1" t="s">
        <v>150</v>
      </c>
      <c r="B34" s="2"/>
      <c r="C34" s="2"/>
      <c r="D34" s="2"/>
      <c r="E34" s="2"/>
      <c r="F34" s="2"/>
      <c r="G34" s="2"/>
    </row>
    <row r="35" spans="1:7" ht="30" customHeight="1">
      <c r="A35" s="98" t="s">
        <v>152</v>
      </c>
      <c r="B35" s="98" t="s">
        <v>156</v>
      </c>
      <c r="C35" s="98" t="s">
        <v>158</v>
      </c>
      <c r="D35" s="98" t="s">
        <v>159</v>
      </c>
      <c r="E35" s="98" t="s">
        <v>160</v>
      </c>
      <c r="F35" s="98" t="s">
        <v>161</v>
      </c>
      <c r="G35" s="98" t="s">
        <v>155</v>
      </c>
    </row>
    <row r="36" spans="1:7">
      <c r="A36" s="58" t="str">
        <f>ECUACIONES!$B$7</f>
        <v>Mifflin–St Jeor (1990)</v>
      </c>
      <c r="B36" s="99">
        <f>ECUACIONES!$F$7</f>
        <v>1810</v>
      </c>
      <c r="C36" s="100">
        <f>ECUACIONES!$H$7</f>
        <v>9.8494285714282341</v>
      </c>
      <c r="D36" s="101">
        <f>ECUACIONES!$I$7</f>
        <v>5.4714470710146646E-3</v>
      </c>
      <c r="E36" s="100">
        <f>ECUACIONES!$J$7</f>
        <v>100.79999999999995</v>
      </c>
      <c r="F36" s="101">
        <f>ECUACIONES!$K$7</f>
        <v>5.8974959045167301E-2</v>
      </c>
      <c r="G36" s="58" t="str">
        <f>ECUACIONES!$E$7</f>
        <v>SÍ</v>
      </c>
    </row>
    <row r="37" spans="1:7">
      <c r="A37" s="58" t="str">
        <f>ECUACIONES!$B$8</f>
        <v>Harris–Benedict revisada · Roza &amp; Shizgal (1984)</v>
      </c>
      <c r="B37" s="99">
        <f>ECUACIONES!$F$8</f>
        <v>1883.6080000000002</v>
      </c>
      <c r="C37" s="100">
        <f>ECUACIONES!$H$8</f>
        <v>83.457428571428409</v>
      </c>
      <c r="D37" s="101">
        <f>ECUACIONES!$I$8</f>
        <v>4.6361359930685062E-2</v>
      </c>
      <c r="E37" s="100">
        <f>ECUACIONES!$J$8</f>
        <v>174.40800000000013</v>
      </c>
      <c r="F37" s="101">
        <f>ECUACIONES!$K$8</f>
        <v>0.10204072080505507</v>
      </c>
      <c r="G37" s="58" t="str">
        <f>ECUACIONES!$E$8</f>
        <v>SÍ</v>
      </c>
    </row>
    <row r="38" spans="1:7">
      <c r="A38" s="58" t="str">
        <f>ECUACIONES!$B$9</f>
        <v>Owen (1986/1987)</v>
      </c>
      <c r="B38" s="99">
        <f>ECUACIONES!$F$9</f>
        <v>1674.6</v>
      </c>
      <c r="C38" s="100">
        <f>ECUACIONES!$H$9</f>
        <v>-125.55057142857186</v>
      </c>
      <c r="D38" s="101">
        <f>ECUACIONES!$I$9</f>
        <v>-6.9744483278938632E-2</v>
      </c>
      <c r="E38" s="100">
        <f>ECUACIONES!$J$9</f>
        <v>-34.600000000000136</v>
      </c>
      <c r="F38" s="101">
        <f>ECUACIONES!$K$9</f>
        <v>-2.0243388719869023E-2</v>
      </c>
      <c r="G38" s="58" t="str">
        <f>ECUACIONES!$E$9</f>
        <v>SÍ</v>
      </c>
    </row>
    <row r="39" spans="1:7">
      <c r="A39" s="58" t="str">
        <f>ECUACIONES!$B$10</f>
        <v>Cunningham (1980)</v>
      </c>
      <c r="B39" s="99">
        <f>ECUACIONES!$F$10</f>
        <v>1864</v>
      </c>
      <c r="C39" s="100">
        <f>ECUACIONES!$H$10</f>
        <v>63.849428571428234</v>
      </c>
      <c r="D39" s="101">
        <f>ECUACIONES!$I$10</f>
        <v>3.5468937757111234E-2</v>
      </c>
      <c r="E39" s="100">
        <f>ECUACIONES!$J$10</f>
        <v>154.79999999999995</v>
      </c>
      <c r="F39" s="101">
        <f>ECUACIONES!$K$10</f>
        <v>9.0568687105078372E-2</v>
      </c>
      <c r="G39" s="58" t="str">
        <f>ECUACIONES!$E$10</f>
        <v>SÍ</v>
      </c>
    </row>
    <row r="40" spans="1:7">
      <c r="A40" s="58" t="str">
        <f>ECUACIONES!$B$11</f>
        <v>Cunningham (1991) · alias secundario: Katch–McArdle</v>
      </c>
      <c r="B40" s="99">
        <f>ECUACIONES!$F$11</f>
        <v>1709.2</v>
      </c>
      <c r="C40" s="100">
        <f>ECUACIONES!$H$11</f>
        <v>-90.95057142857172</v>
      </c>
      <c r="D40" s="101">
        <f>ECUACIONES!$I$11</f>
        <v>-5.0523868876365577E-2</v>
      </c>
      <c r="E40" s="100">
        <f>ECUACIONES!$J$11</f>
        <v>0</v>
      </c>
      <c r="F40" s="101">
        <f>ECUACIONES!$K$11</f>
        <v>0</v>
      </c>
      <c r="G40" s="58" t="str">
        <f>ECUACIONES!$E$11</f>
        <v>SÍ</v>
      </c>
    </row>
    <row r="41" spans="1:7">
      <c r="A41" s="58" t="str">
        <f>ECUACIONES!$B$12</f>
        <v>Schofield (1985) adultos · tabla canónica</v>
      </c>
      <c r="B41" s="99">
        <f>ECUACIONES!$F$12</f>
        <v>1866.6460000000002</v>
      </c>
      <c r="C41" s="100">
        <f>ECUACIONES!$H$12</f>
        <v>66.49542857142842</v>
      </c>
      <c r="D41" s="101">
        <f>ECUACIONES!$I$12</f>
        <v>3.6938814800730073E-2</v>
      </c>
      <c r="E41" s="100">
        <f>ECUACIONES!$J$12</f>
        <v>157.44600000000014</v>
      </c>
      <c r="F41" s="101">
        <f>ECUACIONES!$K$12</f>
        <v>9.2116779780014119E-2</v>
      </c>
      <c r="G41" s="58" t="str">
        <f>ECUACIONES!$E$12</f>
        <v>SÍ</v>
      </c>
    </row>
    <row r="42" spans="1:7">
      <c r="A42" s="58" t="str">
        <f>ECUACIONES!$B$13</f>
        <v>Henry / Oxford (2005) adultos · solo peso</v>
      </c>
      <c r="B42" s="99">
        <f>ECUACIONES!$F$13</f>
        <v>1793</v>
      </c>
      <c r="C42" s="100">
        <f>ECUACIONES!$H$13</f>
        <v>-7.1505714285717659</v>
      </c>
      <c r="D42" s="101">
        <f>ECUACIONES!$I$13</f>
        <v>-3.9722074042379592E-3</v>
      </c>
      <c r="E42" s="100">
        <f>ECUACIONES!$J$13</f>
        <v>83.799999999999955</v>
      </c>
      <c r="F42" s="101">
        <f>ECUACIONES!$K$13</f>
        <v>4.902878539667678E-2</v>
      </c>
      <c r="G42" s="58" t="str">
        <f>ECUACIONES!$E$13</f>
        <v>SÍ</v>
      </c>
    </row>
    <row r="43" spans="1:7">
      <c r="A43" s="94" t="s">
        <v>330</v>
      </c>
      <c r="B43" s="84">
        <f>ECUACIONES!$B$17</f>
        <v>7</v>
      </c>
    </row>
    <row r="44" spans="1:7">
      <c r="A44" s="94" t="s">
        <v>179</v>
      </c>
      <c r="B44" s="57">
        <f>ECUACIONES!$B$18</f>
        <v>1800.1505714285718</v>
      </c>
    </row>
    <row r="45" spans="1:7">
      <c r="A45" s="94" t="s">
        <v>182</v>
      </c>
      <c r="B45" s="57">
        <f>ECUACIONES!$B$19</f>
        <v>1810</v>
      </c>
    </row>
    <row r="46" spans="1:7">
      <c r="A46" s="94" t="s">
        <v>184</v>
      </c>
      <c r="B46" s="57">
        <f>ECUACIONES!$B$20</f>
        <v>1674.6</v>
      </c>
    </row>
    <row r="47" spans="1:7">
      <c r="A47" s="94" t="s">
        <v>185</v>
      </c>
      <c r="B47" s="57">
        <f>ECUACIONES!$B$21</f>
        <v>1883.6080000000002</v>
      </c>
    </row>
    <row r="48" spans="1:7">
      <c r="A48" s="94" t="s">
        <v>331</v>
      </c>
      <c r="B48" s="57">
        <f>ECUACIONES!$B$22</f>
        <v>209.00800000000027</v>
      </c>
    </row>
    <row r="49" spans="1:7">
      <c r="A49" s="94" t="s">
        <v>332</v>
      </c>
      <c r="B49" s="102">
        <f>ECUACIONES!$B$23</f>
        <v>0.11610584320962371</v>
      </c>
      <c r="C49" s="313" t="str">
        <f>ECUACIONES!$B$24</f>
        <v>OK: las ecuaciones concuerdan dentro del umbral configurado.</v>
      </c>
      <c r="D49" s="313"/>
      <c r="E49" s="313"/>
      <c r="F49" s="313"/>
      <c r="G49" s="313"/>
    </row>
    <row r="51" spans="1:7" ht="18" customHeight="1">
      <c r="A51" s="1" t="s">
        <v>333</v>
      </c>
      <c r="B51" s="2"/>
      <c r="C51" s="2"/>
      <c r="D51" s="2"/>
      <c r="E51" s="2"/>
      <c r="F51" s="2"/>
      <c r="G51" s="2"/>
    </row>
    <row r="52" spans="1:7">
      <c r="A52" s="106" t="s">
        <v>334</v>
      </c>
      <c r="B52" s="103" t="s">
        <v>180</v>
      </c>
    </row>
    <row r="53" spans="1:7">
      <c r="A53" s="107" t="s">
        <v>335</v>
      </c>
      <c r="B53" s="104">
        <f>IF(ISNUMBER(CALCULOS!$B$37),CALCULOS!$B$37,0)</f>
        <v>1709.2</v>
      </c>
    </row>
    <row r="54" spans="1:7">
      <c r="A54" s="107" t="s">
        <v>336</v>
      </c>
      <c r="B54" s="104">
        <f>IF(ISNUMBER(CALCULOS!$B$38),CALCULOS!$B$38,0)</f>
        <v>1367.3600000000001</v>
      </c>
    </row>
    <row r="55" spans="1:7">
      <c r="A55" s="107" t="s">
        <v>337</v>
      </c>
      <c r="B55" s="104">
        <f>IF(ISNUMBER(CALCULOS!$B$40),CALCULOS!$B$40,0)</f>
        <v>0</v>
      </c>
    </row>
    <row r="56" spans="1:7">
      <c r="A56" s="107" t="s">
        <v>323</v>
      </c>
      <c r="B56" s="104">
        <f>IF(ISNUMBER(CALCULOS!$B$47),CALCULOS!$B$47,0)</f>
        <v>153.82800000000003</v>
      </c>
    </row>
    <row r="58" spans="1:7">
      <c r="A58" s="106" t="s">
        <v>275</v>
      </c>
      <c r="B58" s="103" t="s">
        <v>180</v>
      </c>
    </row>
    <row r="59" spans="1:7">
      <c r="A59" s="107" t="s">
        <v>280</v>
      </c>
      <c r="B59" s="105">
        <f>IF(ISNUMBER(CALCULOS!$F$53),CALCULOS!$F$53,0)</f>
        <v>468</v>
      </c>
    </row>
    <row r="60" spans="1:7">
      <c r="A60" s="107" t="s">
        <v>281</v>
      </c>
      <c r="B60" s="105">
        <f>IF(ISNUMBER(CALCULOS!$F$54),CALCULOS!$F$54,0)</f>
        <v>648</v>
      </c>
    </row>
    <row r="61" spans="1:7">
      <c r="A61" s="107" t="s">
        <v>338</v>
      </c>
      <c r="B61" s="105">
        <f>IF(ISNUMBER(CALCULOS!$F$55),CALCULOS!$F$55,0)</f>
        <v>2116</v>
      </c>
    </row>
    <row r="63" spans="1:7" ht="18" customHeight="1">
      <c r="A63" s="1" t="s">
        <v>339</v>
      </c>
      <c r="B63" s="2"/>
      <c r="C63" s="2"/>
      <c r="D63" s="2"/>
      <c r="E63" s="2"/>
      <c r="F63" s="2"/>
      <c r="G63" s="2"/>
    </row>
    <row r="64" spans="1:7" ht="25.5" customHeight="1">
      <c r="A64" s="108" t="s">
        <v>294</v>
      </c>
      <c r="B64" s="311" t="str">
        <f>CALCULOS!$B$68</f>
        <v>—</v>
      </c>
      <c r="C64" s="311"/>
      <c r="D64" s="311"/>
      <c r="E64" s="311"/>
      <c r="F64" s="311"/>
      <c r="G64" s="311"/>
    </row>
    <row r="65" spans="1:7" ht="25.5" customHeight="1">
      <c r="A65" s="108" t="s">
        <v>295</v>
      </c>
      <c r="B65" s="311" t="str">
        <f>CALCULOS!$B$69</f>
        <v>—</v>
      </c>
      <c r="C65" s="311"/>
      <c r="D65" s="311"/>
      <c r="E65" s="311"/>
      <c r="F65" s="311"/>
      <c r="G65" s="311"/>
    </row>
    <row r="66" spans="1:7" ht="25.5" customHeight="1">
      <c r="A66" s="108" t="s">
        <v>340</v>
      </c>
      <c r="B66" s="311" t="str">
        <f>CALCULOS!$B$70</f>
        <v>—</v>
      </c>
      <c r="C66" s="311"/>
      <c r="D66" s="311"/>
      <c r="E66" s="311"/>
      <c r="F66" s="311"/>
      <c r="G66" s="311"/>
    </row>
    <row r="67" spans="1:7" ht="25.5" customHeight="1">
      <c r="A67" s="108" t="s">
        <v>297</v>
      </c>
      <c r="B67" s="311" t="str">
        <f>CALCULOS!$B$71</f>
        <v>—</v>
      </c>
      <c r="C67" s="311"/>
      <c r="D67" s="311"/>
      <c r="E67" s="311"/>
      <c r="F67" s="311"/>
      <c r="G67" s="311"/>
    </row>
    <row r="68" spans="1:7" ht="25.5" customHeight="1">
      <c r="A68" s="108" t="s">
        <v>298</v>
      </c>
      <c r="B68" s="311" t="str">
        <f>CALCULOS!$B$72</f>
        <v>—</v>
      </c>
      <c r="C68" s="311"/>
      <c r="D68" s="311"/>
      <c r="E68" s="311"/>
      <c r="F68" s="311"/>
      <c r="G68" s="311"/>
    </row>
    <row r="69" spans="1:7" ht="25.5" customHeight="1">
      <c r="A69" s="108" t="s">
        <v>299</v>
      </c>
      <c r="B69" s="311" t="str">
        <f>CALCULOS!$B$73</f>
        <v>—</v>
      </c>
      <c r="C69" s="311"/>
      <c r="D69" s="311"/>
      <c r="E69" s="311"/>
      <c r="F69" s="311"/>
      <c r="G69" s="311"/>
    </row>
    <row r="70" spans="1:7" ht="25.5" customHeight="1">
      <c r="A70" s="108" t="s">
        <v>300</v>
      </c>
      <c r="B70" s="311" t="str">
        <f>CALCULOS!$B$74</f>
        <v>—</v>
      </c>
      <c r="C70" s="311"/>
      <c r="D70" s="311"/>
      <c r="E70" s="311"/>
      <c r="F70" s="311"/>
      <c r="G70" s="311"/>
    </row>
    <row r="71" spans="1:7" ht="25.5" customHeight="1">
      <c r="A71" s="108" t="s">
        <v>301</v>
      </c>
      <c r="B71" s="311" t="str">
        <f>CALCULOS!$B$75</f>
        <v>—</v>
      </c>
      <c r="C71" s="311"/>
      <c r="D71" s="311"/>
      <c r="E71" s="311"/>
      <c r="F71" s="311"/>
      <c r="G71" s="311"/>
    </row>
    <row r="72" spans="1:7" ht="25.5" customHeight="1">
      <c r="A72" s="108" t="s">
        <v>341</v>
      </c>
      <c r="B72" s="311" t="str">
        <f>CALCULOS!$B$76</f>
        <v>—</v>
      </c>
      <c r="C72" s="311"/>
      <c r="D72" s="311"/>
      <c r="E72" s="311"/>
      <c r="F72" s="311"/>
      <c r="G72" s="311"/>
    </row>
    <row r="73" spans="1:7" ht="25.5" customHeight="1">
      <c r="A73" s="108" t="s">
        <v>342</v>
      </c>
      <c r="B73" s="311" t="str">
        <f>CALCULOS!$B$77</f>
        <v>—</v>
      </c>
      <c r="C73" s="311"/>
      <c r="D73" s="311"/>
      <c r="E73" s="311"/>
      <c r="F73" s="311"/>
      <c r="G73" s="311"/>
    </row>
    <row r="74" spans="1:7" ht="25.5" customHeight="1">
      <c r="A74" s="108" t="s">
        <v>304</v>
      </c>
      <c r="B74" s="311" t="str">
        <f>CALCULOS!$B$78</f>
        <v>—</v>
      </c>
      <c r="C74" s="311"/>
      <c r="D74" s="311"/>
      <c r="E74" s="311"/>
      <c r="F74" s="311"/>
      <c r="G74" s="311"/>
    </row>
    <row r="75" spans="1:7" ht="25.5" customHeight="1">
      <c r="A75" s="108" t="s">
        <v>343</v>
      </c>
      <c r="B75" s="311" t="str">
        <f>CALCULOS!$B$79</f>
        <v>—</v>
      </c>
      <c r="C75" s="311"/>
      <c r="D75" s="311"/>
      <c r="E75" s="311"/>
      <c r="F75" s="311"/>
      <c r="G75" s="311"/>
    </row>
    <row r="76" spans="1:7" ht="25.5" customHeight="1">
      <c r="A76" s="108" t="s">
        <v>306</v>
      </c>
      <c r="B76" s="311" t="str">
        <f>CALCULOS!$B$80</f>
        <v>—</v>
      </c>
      <c r="C76" s="311"/>
      <c r="D76" s="311"/>
      <c r="E76" s="311"/>
      <c r="F76" s="311"/>
      <c r="G76" s="311"/>
    </row>
    <row r="77" spans="1:7" ht="25.5" customHeight="1">
      <c r="A77" s="108" t="s">
        <v>307</v>
      </c>
      <c r="B77" s="312" t="str">
        <f>CALCULOS!$B$81</f>
        <v>—</v>
      </c>
      <c r="C77" s="312"/>
      <c r="D77" s="312"/>
      <c r="E77" s="312"/>
      <c r="F77" s="312"/>
      <c r="G77" s="312"/>
    </row>
    <row r="78" spans="1:7" ht="25.5" customHeight="1">
      <c r="A78" s="108" t="s">
        <v>308</v>
      </c>
      <c r="B78" s="312" t="str">
        <f>CALCULOS!$B$82</f>
        <v>Nivel B · A = fuente primaria cotejada; B = resumen primario o corroboración por pares; C = fuente secundaria</v>
      </c>
      <c r="C78" s="312"/>
      <c r="D78" s="312"/>
      <c r="E78" s="312"/>
      <c r="F78" s="312"/>
      <c r="G78" s="312"/>
    </row>
    <row r="80" spans="1:7" ht="15" customHeight="1">
      <c r="A80" s="310" t="s">
        <v>344</v>
      </c>
      <c r="B80" s="310"/>
      <c r="C80" s="310"/>
      <c r="D80" s="310"/>
      <c r="E80" s="310"/>
      <c r="F80" s="310"/>
      <c r="G80" s="310"/>
    </row>
    <row r="81" spans="1:7">
      <c r="A81" s="310"/>
      <c r="B81" s="310"/>
      <c r="C81" s="310"/>
      <c r="D81" s="310"/>
      <c r="E81" s="310"/>
      <c r="F81" s="310"/>
      <c r="G81" s="310"/>
    </row>
  </sheetData>
  <sheetProtection algorithmName="SHA-512" hashValue="cb+t6m8gDMS+WM3RwDbiZI2k5DAawGCiygoXsNLomEtYO2lxjHFmPwBxH9aMb72JOCuZqkV0m5wfIx4Ddy/B9Q==" saltValue="22TnFG5FoGcnsQusxtVHaw==" spinCount="100000" sheet="1" objects="1" scenarios="1"/>
  <mergeCells count="31">
    <mergeCell ref="A1:H1"/>
    <mergeCell ref="B76:G76"/>
    <mergeCell ref="B77:G77"/>
    <mergeCell ref="B78:G78"/>
    <mergeCell ref="B66:G66"/>
    <mergeCell ref="B67:G67"/>
    <mergeCell ref="B68:G68"/>
    <mergeCell ref="B69:G69"/>
    <mergeCell ref="B70:G70"/>
    <mergeCell ref="A24:D24"/>
    <mergeCell ref="D32:E32"/>
    <mergeCell ref="C49:G49"/>
    <mergeCell ref="B64:G64"/>
    <mergeCell ref="B65:G65"/>
    <mergeCell ref="B11:F11"/>
    <mergeCell ref="C2:F2"/>
    <mergeCell ref="A80:G81"/>
    <mergeCell ref="B71:G71"/>
    <mergeCell ref="B72:G72"/>
    <mergeCell ref="B73:G73"/>
    <mergeCell ref="B74:G74"/>
    <mergeCell ref="B75:G75"/>
    <mergeCell ref="A2:B2"/>
    <mergeCell ref="B12:F12"/>
    <mergeCell ref="B13:F13"/>
    <mergeCell ref="A14:G14"/>
    <mergeCell ref="B5:F5"/>
    <mergeCell ref="B6:F6"/>
    <mergeCell ref="B7:F7"/>
    <mergeCell ref="B8:F8"/>
    <mergeCell ref="B9:F9"/>
  </mergeCells>
  <conditionalFormatting sqref="B64:B77">
    <cfRule type="cellIs" dxfId="23" priority="2" operator="notEqual">
      <formul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
  <sheetViews>
    <sheetView showGridLines="0" workbookViewId="0">
      <selection activeCell="H20" sqref="H20"/>
    </sheetView>
  </sheetViews>
  <sheetFormatPr baseColWidth="10" defaultColWidth="8.7109375" defaultRowHeight="15"/>
  <cols>
    <col min="1" max="1" width="33" customWidth="1"/>
    <col min="2" max="2" width="54.85546875" customWidth="1"/>
    <col min="3" max="4" width="13" customWidth="1"/>
    <col min="5" max="5" width="16" customWidth="1"/>
    <col min="6" max="6" width="14" customWidth="1"/>
    <col min="7" max="7" width="43" customWidth="1"/>
    <col min="8" max="8" width="40.28515625" customWidth="1"/>
  </cols>
  <sheetData>
    <row r="1" spans="1:8" ht="25.5" customHeight="1">
      <c r="A1" s="352" t="str">
        <f>IF(DATOS!$H$10="ADULT2024_MET","ACTIVIDADES · Adulto 19–59 años · MET · 2024 Adult Compendium",IF(DATOS!$H$10="OLDER2024_MET60","ACTIVIDADES · Adulto ≥60 años · MET60+ · 2024 Older Adult Compendium",IF(DATOS!$H$10="WHEELCHAIR2024_METWC","ACTIVIDADES · Usuario adulto de silla de ruedas · METWC · 2024 Wheelchair Compendium",IF(DATOS!$H$10="COMPENDIUM_NO_DISPONIBLE_18","ACTIVIDADES · Módulo Compendium no disponible para edad 18",IF(DATOS!$H$10="BLOQUEADO_INESTABLE","ACTIVIDADES · Módulo bloqueado · condición no estable","ACTIVIDADES · Fuera del alcance NMX-01")))))</f>
        <v>ACTIVIDADES · Usuario adulto de silla de ruedas · METWC · 2024 Wheelchair Compendium</v>
      </c>
      <c r="B1" s="352"/>
      <c r="C1" s="352"/>
      <c r="D1" s="352"/>
      <c r="E1" s="352"/>
      <c r="F1" s="352"/>
      <c r="G1" s="352"/>
    </row>
    <row r="2" spans="1:8">
      <c r="A2" s="282" t="str">
        <f>HYPERLINK("#DATOS!A1","◀ DATOS")</f>
        <v>◀ DATOS</v>
      </c>
      <c r="B2" s="282"/>
    </row>
    <row r="3" spans="1:8" ht="33.950000000000003" customHeight="1">
      <c r="A3" s="353" t="str">
        <f>IF(DATOS!$H$10="BLOQUEADO_INESTABLE","MÓDULO BLOQUEADO: NMX-01 no aplica a pacientes críticos o clínicamente inestables.",IF(DATOS!$H$10="FUERA_ALCANCE","FUERA DEL ALCANCE DE NMX-01.",IF(DATOS!$H$10="COMPENDIUM_NO_DISPONIBLE_18","Edad 18: NMX-01 general aplica, pero este módulo no extrapola el Adult Compendium 2024. No se calcula PAL derivado del Compendium.",IF(COUNTIF($H$7:$H$18,"REQUIERE REVALIDACIÓN")&gt;0,"CAMBIO DE POBLACIÓN O CATÁLOGO: revise las actividades marcadas REQUIERE REVALIDACIÓN antes de calcular TEE/PAL.",IF(AND(DATOS!$H$10="WHEELCHAIR2024_METWC",in_Edad&gt;=CONFIG!$B$154),"PRECAUCIÓN: METWC es la referencia disponible para silla de ruedas; en ≥60 años la evidencia etaria es limitada y NMX-01 bloquea TEE/PAL automático.","Fuente 2024 activa y registro listo. MET/MET60+/METWC NO son intercambiables; el índice medio NO es el PAL.")))))</f>
        <v>CAMBIO DE POBLACIÓN O CATÁLOGO: revise las actividades marcadas REQUIERE REVALIDACIÓN antes de calcular TEE/PAL.</v>
      </c>
      <c r="B3" s="353"/>
      <c r="C3" s="353"/>
      <c r="D3" s="353"/>
      <c r="E3" s="353"/>
      <c r="F3" s="353"/>
      <c r="G3" s="353"/>
    </row>
    <row r="4" spans="1:8" ht="24" customHeight="1">
      <c r="A4" s="348" t="s">
        <v>83</v>
      </c>
      <c r="B4" s="349">
        <f>in_Edad</f>
        <v>20</v>
      </c>
      <c r="C4" s="348" t="s">
        <v>1178</v>
      </c>
      <c r="D4" s="349" t="str">
        <f>DATOS!$H$7</f>
        <v>Usuario de silla de ruedas</v>
      </c>
      <c r="E4" s="348" t="s">
        <v>1192</v>
      </c>
      <c r="F4" s="349" t="str">
        <f>IF(DATOS!$H$10="ADULT2024_MET","MET",IF(DATOS!$H$10="OLDER2024_MET60","MET60+",IF(DATOS!$H$10="WHEELCHAIR2024_METWC","METWC","—")))</f>
        <v>METWC</v>
      </c>
      <c r="G4" s="349" t="str">
        <f>IF(DATOS!$H$10="ADULT2024_MET","✓ APLICABLE",IF(DATOS!$H$10="OLDER2024_MET60","✓ APLICABLE",IF(DATOS!$H$10="WHEELCHAIR2024_METWC",IF(in_Edad&gt;=CONFIG!$B$154,"⚠ EVIDENCIA ETARIA LIMITADA","✓ APLICABLE"),IF(DATOS!$H$10="COMPENDIUM_NO_DISPONIBLE_18","⚠ NO DISPONIBLE","✕ BLOQUEADO"))))</f>
        <v>✓ APLICABLE</v>
      </c>
      <c r="H4" s="346"/>
    </row>
    <row r="5" spans="1:8" ht="24" customHeight="1">
      <c r="A5" s="348" t="s">
        <v>1183</v>
      </c>
      <c r="B5" s="351" t="str">
        <f>IF(DATOS!$H$10="ADULT2024_MET","2024 Adult Compendium",IF(DATOS!$H$10="OLDER2024_MET60","2024 Older Adult Compendium",IF(DATOS!$H$10="WHEELCHAIR2024_METWC","2024 Wheelchair Compendium","—")))</f>
        <v>2024 Wheelchair Compendium</v>
      </c>
      <c r="C5" s="351"/>
      <c r="D5" s="351"/>
      <c r="E5" s="348" t="s">
        <v>1193</v>
      </c>
      <c r="F5" s="350">
        <f>IF(DATOS!$H$10="ADULT2024_MET",CONFIG!$B$149,IF(DATOS!$H$10="OLDER2024_MET60",CONFIG!$B$150,IF(DATOS!$H$10="WHEELCHAIR2024_METWC",CONFIG!$B$151,"")))</f>
        <v>0.99199999999999999</v>
      </c>
      <c r="G5" s="349" t="str">
        <f>IF(DATOS!$H$10="ADULT2024_MET","BASE_MET_ADULT_2024",IF(DATOS!$H$10="OLDER2024_MET60","BASE_MET_OLDER_2024",IF(DATOS!$H$10="WHEELCHAIR2024_METWC","BASE_MET_WHEELCHAIR_2024","—")))</f>
        <v>BASE_MET_WHEELCHAIR_2024</v>
      </c>
      <c r="H5" s="346"/>
    </row>
    <row r="6" spans="1:8" ht="30" customHeight="1">
      <c r="A6" s="348" t="s">
        <v>1012</v>
      </c>
      <c r="B6" s="348" t="s">
        <v>1194</v>
      </c>
      <c r="C6" s="348" t="s">
        <v>1195</v>
      </c>
      <c r="D6" s="348" t="str">
        <f>$F$4</f>
        <v>METWC</v>
      </c>
      <c r="E6" s="348" t="s">
        <v>1196</v>
      </c>
      <c r="F6" s="348" t="str">
        <f>IF($F$4="—","Unidad × h",$F$4&amp;" × h")</f>
        <v>METWC × h</v>
      </c>
      <c r="G6" s="348" t="s">
        <v>1197</v>
      </c>
      <c r="H6" s="347" t="s">
        <v>193</v>
      </c>
    </row>
    <row r="7" spans="1:8">
      <c r="A7" s="51">
        <v>1</v>
      </c>
      <c r="B7" s="52" t="s">
        <v>1198</v>
      </c>
      <c r="C7" s="246">
        <v>7030</v>
      </c>
      <c r="D7" s="53">
        <v>1</v>
      </c>
      <c r="E7" s="54">
        <v>8</v>
      </c>
      <c r="F7" s="53">
        <f t="shared" ref="F7:F18" si="0">IF(AND(ISNUMBER($D7),ISNUMBER($E7)),$D7*$E7,0)</f>
        <v>8</v>
      </c>
      <c r="G7" s="52"/>
      <c r="H7" s="53" t="str">
        <f>IF(OR(DATOS!$H$10="FUERA_ALCANCE",DATOS!$H$10="BLOQUEADO_INESTABLE"),"FUERA DE ALCANCE",IF(DATOS!$H$10="COMPENDIUM_NO_DISPONIBLE_18","NO DISPONIBLE",IF(B7="","SIN ACTIVIDAD",IF(LEFT(B7,15)="(sin actividad)","SIN ACTIVIDAD",IF(OR(AND(DATOS!$H$10="ADULT2024_MET",NOT(ISNUMBER(FIND("[MET]",B7)))),AND(DATOS!$H$10="OLDER2024_MET60",NOT(ISNUMBER(FIND("[MET60+]",B7)))),AND(DATOS!$H$10="WHEELCHAIR2024_METWC",NOT(ISNUMBER(FIND("[METWC]",B7))))),"REQUIERE REVALIDACIÓN",IF(C7="","REQUIERE REVALIDACIÓN","OK"))))))</f>
        <v>REQUIERE REVALIDACIÓN</v>
      </c>
    </row>
    <row r="8" spans="1:8">
      <c r="A8" s="51">
        <v>2</v>
      </c>
      <c r="B8" s="52" t="s">
        <v>1199</v>
      </c>
      <c r="C8" s="246">
        <v>11580</v>
      </c>
      <c r="D8" s="53">
        <v>1.5</v>
      </c>
      <c r="E8" s="54">
        <v>7</v>
      </c>
      <c r="F8" s="53">
        <f t="shared" si="0"/>
        <v>10.5</v>
      </c>
      <c r="G8" s="52"/>
      <c r="H8" s="53" t="str">
        <f>IF(OR(DATOS!$H$10="FUERA_ALCANCE",DATOS!$H$10="BLOQUEADO_INESTABLE"),"FUERA DE ALCANCE",IF(DATOS!$H$10="COMPENDIUM_NO_DISPONIBLE_18","NO DISPONIBLE",IF(B8="","SIN ACTIVIDAD",IF(LEFT(B8,15)="(sin actividad)","SIN ACTIVIDAD",IF(OR(AND(DATOS!$H$10="ADULT2024_MET",NOT(ISNUMBER(FIND("[MET]",B8)))),AND(DATOS!$H$10="OLDER2024_MET60",NOT(ISNUMBER(FIND("[MET60+]",B8)))),AND(DATOS!$H$10="WHEELCHAIR2024_METWC",NOT(ISNUMBER(FIND("[METWC]",B8))))),"REQUIERE REVALIDACIÓN",IF(C8="","REQUIERE REVALIDACIÓN","OK"))))))</f>
        <v>REQUIERE REVALIDACIÓN</v>
      </c>
    </row>
    <row r="9" spans="1:8">
      <c r="A9" s="51">
        <v>3</v>
      </c>
      <c r="B9" s="52" t="s">
        <v>1200</v>
      </c>
      <c r="C9" s="246">
        <v>9060</v>
      </c>
      <c r="D9" s="53">
        <v>1.5</v>
      </c>
      <c r="E9" s="54">
        <v>3</v>
      </c>
      <c r="F9" s="53">
        <f t="shared" si="0"/>
        <v>4.5</v>
      </c>
      <c r="G9" s="52"/>
      <c r="H9" s="53" t="str">
        <f>IF(OR(DATOS!$H$10="FUERA_ALCANCE",DATOS!$H$10="BLOQUEADO_INESTABLE"),"FUERA DE ALCANCE",IF(DATOS!$H$10="COMPENDIUM_NO_DISPONIBLE_18","NO DISPONIBLE",IF(B9="","SIN ACTIVIDAD",IF(LEFT(B9,15)="(sin actividad)","SIN ACTIVIDAD",IF(OR(AND(DATOS!$H$10="ADULT2024_MET",NOT(ISNUMBER(FIND("[MET]",B9)))),AND(DATOS!$H$10="OLDER2024_MET60",NOT(ISNUMBER(FIND("[MET60+]",B9)))),AND(DATOS!$H$10="WHEELCHAIR2024_METWC",NOT(ISNUMBER(FIND("[METWC]",B9))))),"REQUIERE REVALIDACIÓN",IF(C9="","REQUIERE REVALIDACIÓN","OK"))))))</f>
        <v>REQUIERE REVALIDACIÓN</v>
      </c>
    </row>
    <row r="10" spans="1:8">
      <c r="A10" s="51">
        <v>4</v>
      </c>
      <c r="B10" s="52" t="s">
        <v>1201</v>
      </c>
      <c r="C10" s="246">
        <v>17190</v>
      </c>
      <c r="D10" s="53">
        <v>3.8</v>
      </c>
      <c r="E10" s="54">
        <v>2</v>
      </c>
      <c r="F10" s="53">
        <f t="shared" si="0"/>
        <v>7.6</v>
      </c>
      <c r="G10" s="52"/>
      <c r="H10" s="53" t="str">
        <f>IF(OR(DATOS!$H$10="FUERA_ALCANCE",DATOS!$H$10="BLOQUEADO_INESTABLE"),"FUERA DE ALCANCE",IF(DATOS!$H$10="COMPENDIUM_NO_DISPONIBLE_18","NO DISPONIBLE",IF(B10="","SIN ACTIVIDAD",IF(LEFT(B10,15)="(sin actividad)","SIN ACTIVIDAD",IF(OR(AND(DATOS!$H$10="ADULT2024_MET",NOT(ISNUMBER(FIND("[MET]",B10)))),AND(DATOS!$H$10="OLDER2024_MET60",NOT(ISNUMBER(FIND("[MET60+]",B10)))),AND(DATOS!$H$10="WHEELCHAIR2024_METWC",NOT(ISNUMBER(FIND("[METWC]",B10))))),"REQUIERE REVALIDACIÓN",IF(C10="","REQUIERE REVALIDACIÓN","OK"))))))</f>
        <v>REQUIERE REVALIDACIÓN</v>
      </c>
    </row>
    <row r="11" spans="1:8">
      <c r="A11" s="51">
        <v>5</v>
      </c>
      <c r="B11" s="52" t="s">
        <v>1202</v>
      </c>
      <c r="C11" s="246">
        <v>5035</v>
      </c>
      <c r="D11" s="53">
        <v>3.3</v>
      </c>
      <c r="E11" s="54">
        <v>1.5</v>
      </c>
      <c r="F11" s="53">
        <f t="shared" si="0"/>
        <v>4.9499999999999993</v>
      </c>
      <c r="G11" s="52"/>
      <c r="H11" s="53" t="str">
        <f>IF(OR(DATOS!$H$10="FUERA_ALCANCE",DATOS!$H$10="BLOQUEADO_INESTABLE"),"FUERA DE ALCANCE",IF(DATOS!$H$10="COMPENDIUM_NO_DISPONIBLE_18","NO DISPONIBLE",IF(B11="","SIN ACTIVIDAD",IF(LEFT(B11,15)="(sin actividad)","SIN ACTIVIDAD",IF(OR(AND(DATOS!$H$10="ADULT2024_MET",NOT(ISNUMBER(FIND("[MET]",B11)))),AND(DATOS!$H$10="OLDER2024_MET60",NOT(ISNUMBER(FIND("[MET60+]",B11)))),AND(DATOS!$H$10="WHEELCHAIR2024_METWC",NOT(ISNUMBER(FIND("[METWC]",B11))))),"REQUIERE REVALIDACIÓN",IF(C11="","REQUIERE REVALIDACIÓN","OK"))))))</f>
        <v>REQUIERE REVALIDACIÓN</v>
      </c>
    </row>
    <row r="12" spans="1:8">
      <c r="A12" s="51">
        <v>6</v>
      </c>
      <c r="B12" s="52" t="s">
        <v>1203</v>
      </c>
      <c r="C12" s="246">
        <v>17133</v>
      </c>
      <c r="D12" s="53">
        <v>4.5</v>
      </c>
      <c r="E12" s="54">
        <v>0.5</v>
      </c>
      <c r="F12" s="53">
        <f t="shared" si="0"/>
        <v>2.25</v>
      </c>
      <c r="G12" s="52"/>
      <c r="H12" s="53" t="str">
        <f>IF(OR(DATOS!$H$10="FUERA_ALCANCE",DATOS!$H$10="BLOQUEADO_INESTABLE"),"FUERA DE ALCANCE",IF(DATOS!$H$10="COMPENDIUM_NO_DISPONIBLE_18","NO DISPONIBLE",IF(B12="","SIN ACTIVIDAD",IF(LEFT(B12,15)="(sin actividad)","SIN ACTIVIDAD",IF(OR(AND(DATOS!$H$10="ADULT2024_MET",NOT(ISNUMBER(FIND("[MET]",B12)))),AND(DATOS!$H$10="OLDER2024_MET60",NOT(ISNUMBER(FIND("[MET60+]",B12)))),AND(DATOS!$H$10="WHEELCHAIR2024_METWC",NOT(ISNUMBER(FIND("[METWC]",B12))))),"REQUIERE REVALIDACIÓN",IF(C12="","REQUIERE REVALIDACIÓN","OK"))))))</f>
        <v>REQUIERE REVALIDACIÓN</v>
      </c>
    </row>
    <row r="13" spans="1:8">
      <c r="A13" s="51">
        <v>7</v>
      </c>
      <c r="B13" s="52" t="s">
        <v>1204</v>
      </c>
      <c r="C13" s="246">
        <v>5140</v>
      </c>
      <c r="D13" s="53">
        <v>3</v>
      </c>
      <c r="E13" s="54">
        <v>0.5</v>
      </c>
      <c r="F13" s="53">
        <f t="shared" si="0"/>
        <v>1.5</v>
      </c>
      <c r="G13" s="52"/>
      <c r="H13" s="53" t="str">
        <f>IF(OR(DATOS!$H$10="FUERA_ALCANCE",DATOS!$H$10="BLOQUEADO_INESTABLE"),"FUERA DE ALCANCE",IF(DATOS!$H$10="COMPENDIUM_NO_DISPONIBLE_18","NO DISPONIBLE",IF(B13="","SIN ACTIVIDAD",IF(LEFT(B13,15)="(sin actividad)","SIN ACTIVIDAD",IF(OR(AND(DATOS!$H$10="ADULT2024_MET",NOT(ISNUMBER(FIND("[MET]",B13)))),AND(DATOS!$H$10="OLDER2024_MET60",NOT(ISNUMBER(FIND("[MET60+]",B13)))),AND(DATOS!$H$10="WHEELCHAIR2024_METWC",NOT(ISNUMBER(FIND("[METWC]",B13))))),"REQUIERE REVALIDACIÓN",IF(C13="","REQUIERE REVALIDACIÓN","OK"))))))</f>
        <v>REQUIERE REVALIDACIÓN</v>
      </c>
    </row>
    <row r="14" spans="1:8">
      <c r="A14" s="51">
        <v>8</v>
      </c>
      <c r="B14" s="52" t="s">
        <v>1205</v>
      </c>
      <c r="C14" s="246">
        <v>2054</v>
      </c>
      <c r="D14" s="53">
        <v>3.5</v>
      </c>
      <c r="E14" s="54">
        <v>1</v>
      </c>
      <c r="F14" s="53">
        <f t="shared" si="0"/>
        <v>3.5</v>
      </c>
      <c r="G14" s="52"/>
      <c r="H14" s="53" t="str">
        <f>IF(OR(DATOS!$H$10="FUERA_ALCANCE",DATOS!$H$10="BLOQUEADO_INESTABLE"),"FUERA DE ALCANCE",IF(DATOS!$H$10="COMPENDIUM_NO_DISPONIBLE_18","NO DISPONIBLE",IF(B14="","SIN ACTIVIDAD",IF(LEFT(B14,15)="(sin actividad)","SIN ACTIVIDAD",IF(OR(AND(DATOS!$H$10="ADULT2024_MET",NOT(ISNUMBER(FIND("[MET]",B14)))),AND(DATOS!$H$10="OLDER2024_MET60",NOT(ISNUMBER(FIND("[MET60+]",B14)))),AND(DATOS!$H$10="WHEELCHAIR2024_METWC",NOT(ISNUMBER(FIND("[METWC]",B14))))),"REQUIERE REVALIDACIÓN",IF(C14="","REQUIERE REVALIDACIÓN","OK"))))))</f>
        <v>REQUIERE REVALIDACIÓN</v>
      </c>
    </row>
    <row r="15" spans="1:8">
      <c r="A15" s="51">
        <v>9</v>
      </c>
      <c r="B15" s="52" t="s">
        <v>1206</v>
      </c>
      <c r="C15" s="246">
        <v>7020</v>
      </c>
      <c r="D15" s="53">
        <v>1</v>
      </c>
      <c r="E15" s="54">
        <v>0.5</v>
      </c>
      <c r="F15" s="53">
        <f t="shared" si="0"/>
        <v>0.5</v>
      </c>
      <c r="G15" s="52"/>
      <c r="H15" s="53" t="str">
        <f>IF(OR(DATOS!$H$10="FUERA_ALCANCE",DATOS!$H$10="BLOQUEADO_INESTABLE"),"FUERA DE ALCANCE",IF(DATOS!$H$10="COMPENDIUM_NO_DISPONIBLE_18","NO DISPONIBLE",IF(B15="","SIN ACTIVIDAD",IF(LEFT(B15,15)="(sin actividad)","SIN ACTIVIDAD",IF(OR(AND(DATOS!$H$10="ADULT2024_MET",NOT(ISNUMBER(FIND("[MET]",B15)))),AND(DATOS!$H$10="OLDER2024_MET60",NOT(ISNUMBER(FIND("[MET60+]",B15)))),AND(DATOS!$H$10="WHEELCHAIR2024_METWC",NOT(ISNUMBER(FIND("[METWC]",B15))))),"REQUIERE REVALIDACIÓN",IF(C15="","REQUIERE REVALIDACIÓN","OK"))))))</f>
        <v>REQUIERE REVALIDACIÓN</v>
      </c>
    </row>
    <row r="16" spans="1:8">
      <c r="A16" s="51">
        <v>10</v>
      </c>
      <c r="B16" s="52" t="s">
        <v>1207</v>
      </c>
      <c r="C16" s="246">
        <v>0</v>
      </c>
      <c r="D16" s="53">
        <v>0</v>
      </c>
      <c r="E16" s="54">
        <v>0</v>
      </c>
      <c r="F16" s="53">
        <f t="shared" si="0"/>
        <v>0</v>
      </c>
      <c r="G16" s="52"/>
      <c r="H16" s="53" t="str">
        <f>IF(OR(DATOS!$H$10="FUERA_ALCANCE",DATOS!$H$10="BLOQUEADO_INESTABLE"),"FUERA DE ALCANCE",IF(DATOS!$H$10="COMPENDIUM_NO_DISPONIBLE_18","NO DISPONIBLE",IF(B16="","SIN ACTIVIDAD",IF(LEFT(B16,15)="(sin actividad)","SIN ACTIVIDAD",IF(OR(AND(DATOS!$H$10="ADULT2024_MET",NOT(ISNUMBER(FIND("[MET]",B16)))),AND(DATOS!$H$10="OLDER2024_MET60",NOT(ISNUMBER(FIND("[MET60+]",B16)))),AND(DATOS!$H$10="WHEELCHAIR2024_METWC",NOT(ISNUMBER(FIND("[METWC]",B16))))),"REQUIERE REVALIDACIÓN",IF(C16="","REQUIERE REVALIDACIÓN","OK"))))))</f>
        <v>SIN ACTIVIDAD</v>
      </c>
    </row>
    <row r="17" spans="1:8">
      <c r="A17" s="51">
        <v>11</v>
      </c>
      <c r="B17" s="52" t="s">
        <v>1207</v>
      </c>
      <c r="C17" s="246">
        <v>0</v>
      </c>
      <c r="D17" s="53">
        <v>0</v>
      </c>
      <c r="E17" s="54">
        <v>0</v>
      </c>
      <c r="F17" s="53">
        <f t="shared" si="0"/>
        <v>0</v>
      </c>
      <c r="G17" s="52"/>
      <c r="H17" s="53" t="str">
        <f>IF(OR(DATOS!$H$10="FUERA_ALCANCE",DATOS!$H$10="BLOQUEADO_INESTABLE"),"FUERA DE ALCANCE",IF(DATOS!$H$10="COMPENDIUM_NO_DISPONIBLE_18","NO DISPONIBLE",IF(B17="","SIN ACTIVIDAD",IF(LEFT(B17,15)="(sin actividad)","SIN ACTIVIDAD",IF(OR(AND(DATOS!$H$10="ADULT2024_MET",NOT(ISNUMBER(FIND("[MET]",B17)))),AND(DATOS!$H$10="OLDER2024_MET60",NOT(ISNUMBER(FIND("[MET60+]",B17)))),AND(DATOS!$H$10="WHEELCHAIR2024_METWC",NOT(ISNUMBER(FIND("[METWC]",B17))))),"REQUIERE REVALIDACIÓN",IF(C17="","REQUIERE REVALIDACIÓN","OK"))))))</f>
        <v>SIN ACTIVIDAD</v>
      </c>
    </row>
    <row r="18" spans="1:8">
      <c r="A18" s="51">
        <v>12</v>
      </c>
      <c r="B18" s="52" t="s">
        <v>1207</v>
      </c>
      <c r="C18" s="246">
        <v>0</v>
      </c>
      <c r="D18" s="53">
        <v>0</v>
      </c>
      <c r="E18" s="54">
        <v>0</v>
      </c>
      <c r="F18" s="53">
        <f t="shared" si="0"/>
        <v>0</v>
      </c>
      <c r="G18" s="52"/>
      <c r="H18" s="53" t="str">
        <f>IF(OR(DATOS!$H$10="FUERA_ALCANCE",DATOS!$H$10="BLOQUEADO_INESTABLE"),"FUERA DE ALCANCE",IF(DATOS!$H$10="COMPENDIUM_NO_DISPONIBLE_18","NO DISPONIBLE",IF(B18="","SIN ACTIVIDAD",IF(LEFT(B18,15)="(sin actividad)","SIN ACTIVIDAD",IF(OR(AND(DATOS!$H$10="ADULT2024_MET",NOT(ISNUMBER(FIND("[MET]",B18)))),AND(DATOS!$H$10="OLDER2024_MET60",NOT(ISNUMBER(FIND("[MET60+]",B18)))),AND(DATOS!$H$10="WHEELCHAIR2024_METWC",NOT(ISNUMBER(FIND("[METWC]",B18))))),"REQUIERE REVALIDACIÓN",IF(C18="","REQUIERE REVALIDACIÓN","OK"))))))</f>
        <v>SIN ACTIVIDAD</v>
      </c>
    </row>
    <row r="19" spans="1:8" ht="27.95" customHeight="1">
      <c r="A19" s="247" t="s">
        <v>1208</v>
      </c>
      <c r="B19" s="247"/>
      <c r="C19" s="247"/>
      <c r="D19" s="247"/>
      <c r="E19" s="247"/>
      <c r="F19" s="247"/>
      <c r="G19" s="247"/>
    </row>
    <row r="20" spans="1:8" ht="24" customHeight="1">
      <c r="A20" s="239" t="s">
        <v>1209</v>
      </c>
      <c r="B20" s="240">
        <f>SUM($E$7:$E$18)</f>
        <v>24</v>
      </c>
      <c r="C20" s="241" t="s">
        <v>222</v>
      </c>
      <c r="D20" s="316" t="str">
        <f>IF(ABS($B$20-HORAS_DIA)&lt;0.001,"OK · Registro de 24 h completo",IF($B$20&lt;HORAS_DIA,"INCOMPLETO · faltan "&amp;TEXT(HORAS_DIA-$B$20,"0.00")&amp;" h","ERROR · sobran "&amp;TEXT($B$20-HORAS_DIA,"0.00")&amp;" h"))</f>
        <v>OK · Registro de 24 h completo</v>
      </c>
      <c r="E20" s="316"/>
      <c r="F20" s="316"/>
      <c r="G20" s="316"/>
    </row>
    <row r="21" spans="1:8" ht="24" customHeight="1">
      <c r="A21" s="239" t="str">
        <f>"2 · Σ ("&amp;$F$4&amp;" × horas)"</f>
        <v>2 · Σ (METWC × horas)</v>
      </c>
      <c r="B21" s="240">
        <f>SUM($F$7:$F$18)</f>
        <v>43.3</v>
      </c>
      <c r="C21" s="241" t="str">
        <f>IF($F$4="—","—",$F$4&amp;"·h/día")</f>
        <v>METWC·h/día</v>
      </c>
      <c r="D21" s="315" t="s">
        <v>1210</v>
      </c>
      <c r="E21" s="315"/>
      <c r="F21" s="315"/>
      <c r="G21" s="315"/>
    </row>
    <row r="22" spans="1:8" ht="27.95" customHeight="1">
      <c r="A22" s="239" t="str">
        <f>"3 · Índice "&amp;$F$4&amp;" medio = Σ / 24   ◄ NO ES EL PAL"</f>
        <v>3 · Índice METWC medio = Σ / 24   ◄ NO ES EL PAL</v>
      </c>
      <c r="B22" s="242">
        <f>IF($B$20=0,"ND",$B$21/HORAS_DIA)</f>
        <v>1.8041666666666665</v>
      </c>
      <c r="C22" s="241" t="s">
        <v>71</v>
      </c>
      <c r="D22" s="315" t="s">
        <v>1211</v>
      </c>
      <c r="E22" s="315"/>
      <c r="F22" s="315"/>
      <c r="G22" s="315"/>
    </row>
    <row r="23" spans="1:8" ht="24" customHeight="1">
      <c r="A23" s="239" t="s">
        <v>1212</v>
      </c>
      <c r="B23" s="243">
        <f>IF(OR(ISBLANK(in_Peso),NOT(ISNUMBER(in_Peso)),in_Peso&lt;=0),"ND",in_Peso)</f>
        <v>78</v>
      </c>
      <c r="C23" s="241" t="s">
        <v>88</v>
      </c>
      <c r="D23" s="315" t="s">
        <v>1213</v>
      </c>
      <c r="E23" s="315"/>
      <c r="F23" s="315"/>
      <c r="G23" s="315"/>
    </row>
    <row r="24" spans="1:8" ht="30" customHeight="1">
      <c r="A24" s="239" t="str">
        <f>"5 · Equivalente energético de 1 "&amp;$F$4</f>
        <v>5 · Equivalente energético de 1 METWC</v>
      </c>
      <c r="B24" s="240">
        <f>$F$5</f>
        <v>0.99199999999999999</v>
      </c>
      <c r="C24" s="241" t="s">
        <v>775</v>
      </c>
      <c r="D24" s="315" t="str">
        <f>IF($F$4="MET","Adult Compendium 2024: 1,000 kcal/kg/h.",IF($F$4="MET60+","Older Adult 2024: 0,810 kcal/kg/h (basal 2,7 mL O2/kg/min).",IF($F$4="METWC","Wheelchair 2024: 0,992 kcal/kg/h.","No aplicable.")))</f>
        <v>Wheelchair 2024: 0,992 kcal/kg/h.</v>
      </c>
      <c r="E24" s="315"/>
      <c r="F24" s="315"/>
      <c r="G24" s="315"/>
    </row>
    <row r="25" spans="1:8" ht="38.1" customHeight="1">
      <c r="A25" s="239" t="s">
        <v>1214</v>
      </c>
      <c r="B25" s="244" t="str">
        <f>IF(ABS($B$20-HORAS_DIA)&gt;0.001,"NO CALCULADO · registro ≠ 24 h",IF(COUNTIF($H$7:$H$18,"REQUIERE REVALIDACIÓN")&gt;0,"NO CALCULADO · revalidar actividades",IF(OR(DATOS!$H$10="FUERA_ALCANCE",DATOS!$H$10="BLOQUEADO_INESTABLE",DATOS!$H$10="COMPENDIUM_NO_DISPONIBLE_18"),"NO CALCULADO · módulo no aplicable",IF(AND(DATOS!$H$10="WHEELCHAIR2024_METWC",in_Edad&gt;=CONFIG!$B$154),"NO CALCULADO · METWC ≥60 con evidencia etaria limitada",IF(OR(NOT(ISNUMBER(in_Peso)),in_Peso&lt;=0,NOT(ISNUMBER($F$5)),$F$5&lt;=0),"NO CALCULADO · datos insuficientes",SUM($F$7:$F$18)*in_Peso*$F$5)))))</f>
        <v>NO CALCULADO · revalidar actividades</v>
      </c>
      <c r="C25" s="241" t="s">
        <v>180</v>
      </c>
      <c r="D25" s="315" t="s">
        <v>1215</v>
      </c>
      <c r="E25" s="315"/>
      <c r="F25" s="315"/>
      <c r="G25" s="315"/>
    </row>
    <row r="26" spans="1:8" ht="30" customHeight="1">
      <c r="A26" s="239" t="s">
        <v>1216</v>
      </c>
      <c r="B26" s="244">
        <f>IF(ISNUMBER(ECUACIONES!$B$28),ECUACIONES!$B$28,"ND")</f>
        <v>1709.2</v>
      </c>
      <c r="C26" s="241" t="s">
        <v>180</v>
      </c>
      <c r="D26" s="315" t="s">
        <v>1217</v>
      </c>
      <c r="E26" s="315"/>
      <c r="F26" s="315"/>
      <c r="G26" s="315"/>
    </row>
    <row r="27" spans="1:8" ht="33.950000000000003" customHeight="1">
      <c r="A27" s="239" t="s">
        <v>1218</v>
      </c>
      <c r="B27" s="245" t="str">
        <f>IF(NOT(ISNUMBER($B$25)),"NO CALCULADO",IF(OR(NOT(ISNUMBER($B$26)),$B$26&lt;=0),"NO CALCULADO",$B$25/$B$26))</f>
        <v>NO CALCULADO</v>
      </c>
      <c r="C27" s="241" t="s">
        <v>71</v>
      </c>
      <c r="D27" s="315" t="s">
        <v>1219</v>
      </c>
      <c r="E27" s="315"/>
      <c r="F27" s="315"/>
      <c r="G27" s="315"/>
    </row>
    <row r="29" spans="1:8" ht="38.1" customHeight="1">
      <c r="A29" s="354" t="s">
        <v>1220</v>
      </c>
      <c r="B29" s="355"/>
      <c r="C29" s="355"/>
      <c r="D29" s="355"/>
      <c r="E29" s="355"/>
      <c r="F29" s="355"/>
      <c r="G29" s="356"/>
    </row>
    <row r="30" spans="1:8" ht="32.1" customHeight="1">
      <c r="A30" s="354" t="s">
        <v>1221</v>
      </c>
      <c r="B30" s="355"/>
      <c r="C30" s="355"/>
      <c r="D30" s="355"/>
      <c r="E30" s="355"/>
      <c r="F30" s="355"/>
      <c r="G30" s="356"/>
    </row>
    <row r="31" spans="1:8" ht="36" customHeight="1">
      <c r="A31" s="248"/>
      <c r="B31" s="248"/>
      <c r="C31" s="248"/>
      <c r="D31" s="248"/>
      <c r="E31" s="248"/>
      <c r="F31" s="248"/>
      <c r="G31" s="248"/>
    </row>
    <row r="32" spans="1:8">
      <c r="A32" s="192"/>
      <c r="B32" s="192"/>
      <c r="C32" s="192"/>
      <c r="D32" s="192"/>
      <c r="E32" s="192"/>
      <c r="F32" s="192"/>
      <c r="G32" s="192"/>
    </row>
  </sheetData>
  <sheetProtection algorithmName="SHA-512" hashValue="H4EKR89YHe1QraXrssXAZVQd9xgUUtOX+bMk/ZY2d/ZxY+eON/WKhGel8F7h1hzdBj9W8yd4VU6W89S6mLxo2w==" saltValue="CN02si5sl0oc5GQNUA9j4w==" spinCount="100000" sheet="1" objects="1" scenarios="1"/>
  <protectedRanges>
    <protectedRange sqref="G7:G18" name="Rango3"/>
    <protectedRange sqref="E7:E18" name="Rango2"/>
    <protectedRange sqref="B7:B18" name="Rango1"/>
  </protectedRanges>
  <mergeCells count="14">
    <mergeCell ref="A30:G30"/>
    <mergeCell ref="A1:G1"/>
    <mergeCell ref="A29:G29"/>
    <mergeCell ref="D24:G24"/>
    <mergeCell ref="D25:G25"/>
    <mergeCell ref="D26:G26"/>
    <mergeCell ref="D27:G27"/>
    <mergeCell ref="D20:G20"/>
    <mergeCell ref="D21:G21"/>
    <mergeCell ref="D22:G22"/>
    <mergeCell ref="D23:G23"/>
    <mergeCell ref="A2:B2"/>
    <mergeCell ref="B5:D5"/>
    <mergeCell ref="A3:G3"/>
  </mergeCells>
  <conditionalFormatting sqref="B7:B18">
    <cfRule type="expression" dxfId="22" priority="1">
      <formula>AND($B7&lt;&gt;"",$C7="")</formula>
    </cfRule>
  </conditionalFormatting>
  <dataValidations count="1">
    <dataValidation type="decimal" showErrorMessage="1" errorTitle="Horas no válidas" error="Las horas deben estar entre 0 y 24." sqref="E7:E18" xr:uid="{00000000-0002-0000-0500-000001000000}">
      <formula1>0</formula1>
      <formula2>24</formula2>
    </dataValidation>
  </dataValidations>
  <pageMargins left="0.7" right="0.7" top="0.75" bottom="0.75" header="0.3" footer="0.3"/>
  <pageSetup orientation="portrait" horizontalDpi="4294967293" verticalDpi="0" r:id="rId1"/>
  <extLst>
    <ext xmlns:x14="http://schemas.microsoft.com/office/spreadsheetml/2009/9/main" uri="{CCE6A557-97BC-4b89-ADB6-D9C93CAAB3DF}">
      <x14:dataValidations xmlns:xm="http://schemas.microsoft.com/office/excel/2006/main" count="1">
        <x14:dataValidation type="list" showErrorMessage="1" errorTitle="Actividad no válida" error="Elija una actividad del catálogo CONFIG C12." xr:uid="{00000000-0002-0000-0500-000000000000}">
          <x14:formula1>
            <xm:f>INDIRECT(IF(DATOS!$H$10="ADULT2024_MET","'BASE_MET_ADULT_2024'!$B$3:$B$94",IF(DATOS!$H$10="OLDER2024_MET60","'BASE_MET_OLDER_2024'!$B$3:$B$87",IF(DATOS!$H$10="WHEELCHAIR2024_METWC","'BASE_MET_WHEELCHAIR_2024'!$B$3:$B$84","'BASE_MET_ADULT_2024'!$S$2:$S$2"))))</xm:f>
          </x14:formula1>
          <xm:sqref>B7:B18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2"/>
  <sheetViews>
    <sheetView showGridLines="0" zoomScaleNormal="100" workbookViewId="0">
      <selection activeCell="B28" sqref="B28"/>
    </sheetView>
  </sheetViews>
  <sheetFormatPr baseColWidth="10" defaultColWidth="8.7109375" defaultRowHeight="15"/>
  <cols>
    <col min="1" max="1" width="30" customWidth="1"/>
    <col min="2" max="2" width="48" customWidth="1"/>
    <col min="3" max="3" width="10" customWidth="1"/>
    <col min="4" max="4" width="34" customWidth="1"/>
    <col min="5" max="5" width="46" customWidth="1"/>
    <col min="6" max="6" width="18" customWidth="1"/>
    <col min="7" max="7" width="50" customWidth="1"/>
    <col min="8" max="8" width="48" customWidth="1"/>
    <col min="9" max="9" width="13" customWidth="1"/>
    <col min="10" max="10" width="34" customWidth="1"/>
    <col min="11" max="11" width="9" customWidth="1"/>
    <col min="12" max="12" width="46" customWidth="1"/>
  </cols>
  <sheetData>
    <row r="1" spans="1:12" ht="25.5" customHeight="1">
      <c r="A1" s="321" t="s">
        <v>1222</v>
      </c>
      <c r="B1" s="321"/>
      <c r="C1" s="321"/>
      <c r="D1" s="321"/>
      <c r="E1" s="321"/>
      <c r="F1" s="238"/>
      <c r="G1" s="238"/>
      <c r="H1" s="238"/>
      <c r="I1" s="238"/>
      <c r="J1" s="238"/>
      <c r="K1" s="238"/>
      <c r="L1" s="238"/>
    </row>
    <row r="2" spans="1:12" ht="15" customHeight="1">
      <c r="A2" s="286" t="s">
        <v>345</v>
      </c>
      <c r="B2" s="286"/>
      <c r="C2" s="286"/>
      <c r="D2" s="286"/>
      <c r="E2" s="286"/>
      <c r="F2" s="286"/>
      <c r="G2" s="286"/>
      <c r="H2" s="286"/>
      <c r="I2" s="286"/>
      <c r="J2" s="286"/>
      <c r="K2" s="286"/>
      <c r="L2" s="286"/>
    </row>
    <row r="3" spans="1:12">
      <c r="A3" s="286"/>
      <c r="B3" s="286"/>
      <c r="C3" s="286"/>
      <c r="D3" s="286"/>
      <c r="E3" s="286"/>
      <c r="F3" s="286"/>
      <c r="G3" s="286"/>
      <c r="H3" s="286"/>
      <c r="I3" s="286"/>
      <c r="J3" s="286"/>
      <c r="K3" s="286"/>
      <c r="L3" s="286"/>
    </row>
    <row r="4" spans="1:12" ht="23.25" customHeight="1">
      <c r="A4" s="322" t="str">
        <f>HYPERLINK("#INICIO!A1","◀ INICIO")</f>
        <v>◀ INICIO</v>
      </c>
      <c r="B4" s="323"/>
      <c r="C4" s="323"/>
      <c r="D4" s="323"/>
      <c r="E4" s="323"/>
    </row>
    <row r="5" spans="1:12" ht="30" customHeight="1">
      <c r="A5" s="3" t="s">
        <v>346</v>
      </c>
      <c r="B5" s="3" t="s">
        <v>347</v>
      </c>
      <c r="C5" s="3" t="s">
        <v>348</v>
      </c>
      <c r="D5" s="3" t="s">
        <v>349</v>
      </c>
      <c r="E5" s="3" t="s">
        <v>350</v>
      </c>
      <c r="F5" s="3" t="s">
        <v>351</v>
      </c>
      <c r="G5" s="3" t="s">
        <v>352</v>
      </c>
      <c r="H5" s="3" t="s">
        <v>353</v>
      </c>
      <c r="I5" s="3" t="s">
        <v>354</v>
      </c>
      <c r="J5" s="3" t="s">
        <v>355</v>
      </c>
      <c r="K5" s="3" t="s">
        <v>356</v>
      </c>
      <c r="L5" s="3" t="s">
        <v>357</v>
      </c>
    </row>
    <row r="6" spans="1:12" ht="78" customHeight="1">
      <c r="A6" s="12" t="s">
        <v>358</v>
      </c>
      <c r="B6" s="13" t="s">
        <v>359</v>
      </c>
      <c r="C6" s="13" t="s">
        <v>360</v>
      </c>
      <c r="D6" s="13" t="s">
        <v>361</v>
      </c>
      <c r="E6" s="13" t="s">
        <v>362</v>
      </c>
      <c r="F6" s="13" t="s">
        <v>363</v>
      </c>
      <c r="G6" s="13" t="s">
        <v>364</v>
      </c>
      <c r="H6" s="13" t="s">
        <v>365</v>
      </c>
      <c r="I6" s="13" t="s">
        <v>366</v>
      </c>
      <c r="J6" s="13" t="s">
        <v>367</v>
      </c>
      <c r="K6" s="14" t="s">
        <v>368</v>
      </c>
      <c r="L6" s="13" t="s">
        <v>369</v>
      </c>
    </row>
    <row r="7" spans="1:12" ht="78" customHeight="1">
      <c r="A7" s="15" t="s">
        <v>370</v>
      </c>
      <c r="B7" s="16" t="s">
        <v>371</v>
      </c>
      <c r="C7" s="16" t="s">
        <v>372</v>
      </c>
      <c r="D7" s="16" t="s">
        <v>373</v>
      </c>
      <c r="E7" s="16" t="s">
        <v>374</v>
      </c>
      <c r="F7" s="16" t="s">
        <v>363</v>
      </c>
      <c r="G7" s="16" t="s">
        <v>375</v>
      </c>
      <c r="H7" s="16" t="s">
        <v>376</v>
      </c>
      <c r="I7" s="16" t="s">
        <v>366</v>
      </c>
      <c r="J7" s="16" t="s">
        <v>377</v>
      </c>
      <c r="K7" s="17" t="s">
        <v>378</v>
      </c>
      <c r="L7" s="16" t="s">
        <v>379</v>
      </c>
    </row>
    <row r="8" spans="1:12" ht="78" customHeight="1">
      <c r="A8" s="12" t="s">
        <v>380</v>
      </c>
      <c r="B8" s="13" t="s">
        <v>381</v>
      </c>
      <c r="C8" s="13" t="s">
        <v>382</v>
      </c>
      <c r="D8" s="13" t="s">
        <v>383</v>
      </c>
      <c r="E8" s="13" t="s">
        <v>384</v>
      </c>
      <c r="F8" s="13" t="s">
        <v>385</v>
      </c>
      <c r="G8" s="13" t="s">
        <v>386</v>
      </c>
      <c r="H8" s="13" t="s">
        <v>387</v>
      </c>
      <c r="I8" s="13" t="s">
        <v>366</v>
      </c>
      <c r="J8" s="13" t="s">
        <v>377</v>
      </c>
      <c r="K8" s="14" t="s">
        <v>368</v>
      </c>
      <c r="L8" s="13" t="s">
        <v>388</v>
      </c>
    </row>
    <row r="9" spans="1:12" ht="78" customHeight="1">
      <c r="A9" s="15" t="s">
        <v>389</v>
      </c>
      <c r="B9" s="16" t="s">
        <v>390</v>
      </c>
      <c r="C9" s="16" t="s">
        <v>391</v>
      </c>
      <c r="D9" s="16" t="s">
        <v>392</v>
      </c>
      <c r="E9" s="16" t="s">
        <v>393</v>
      </c>
      <c r="F9" s="16" t="s">
        <v>394</v>
      </c>
      <c r="G9" s="16" t="s">
        <v>395</v>
      </c>
      <c r="H9" s="16" t="s">
        <v>396</v>
      </c>
      <c r="I9" s="16" t="s">
        <v>366</v>
      </c>
      <c r="J9" s="16" t="s">
        <v>377</v>
      </c>
      <c r="K9" s="17" t="s">
        <v>378</v>
      </c>
      <c r="L9" s="16" t="s">
        <v>397</v>
      </c>
    </row>
    <row r="10" spans="1:12" ht="78" customHeight="1">
      <c r="A10" s="12" t="s">
        <v>398</v>
      </c>
      <c r="B10" s="13" t="s">
        <v>399</v>
      </c>
      <c r="C10" s="13" t="s">
        <v>400</v>
      </c>
      <c r="D10" s="13" t="s">
        <v>401</v>
      </c>
      <c r="E10" s="13" t="s">
        <v>402</v>
      </c>
      <c r="F10" s="13" t="s">
        <v>403</v>
      </c>
      <c r="G10" s="13" t="s">
        <v>404</v>
      </c>
      <c r="H10" s="13" t="s">
        <v>405</v>
      </c>
      <c r="I10" s="13" t="s">
        <v>366</v>
      </c>
      <c r="J10" s="13" t="s">
        <v>406</v>
      </c>
      <c r="K10" s="14" t="s">
        <v>368</v>
      </c>
      <c r="L10" s="18" t="s">
        <v>407</v>
      </c>
    </row>
    <row r="11" spans="1:12" ht="78" customHeight="1">
      <c r="A11" s="15" t="s">
        <v>408</v>
      </c>
      <c r="B11" s="16" t="s">
        <v>409</v>
      </c>
      <c r="C11" s="16" t="s">
        <v>410</v>
      </c>
      <c r="D11" s="16" t="s">
        <v>411</v>
      </c>
      <c r="E11" s="16" t="s">
        <v>412</v>
      </c>
      <c r="F11" s="16" t="s">
        <v>413</v>
      </c>
      <c r="G11" s="16" t="s">
        <v>414</v>
      </c>
      <c r="H11" s="16" t="s">
        <v>415</v>
      </c>
      <c r="I11" s="16" t="s">
        <v>366</v>
      </c>
      <c r="J11" s="16" t="s">
        <v>416</v>
      </c>
      <c r="K11" s="17" t="s">
        <v>368</v>
      </c>
      <c r="L11" s="18" t="s">
        <v>417</v>
      </c>
    </row>
    <row r="12" spans="1:12" ht="78" customHeight="1">
      <c r="A12" s="12" t="s">
        <v>418</v>
      </c>
      <c r="B12" s="13" t="s">
        <v>419</v>
      </c>
      <c r="C12" s="13" t="s">
        <v>420</v>
      </c>
      <c r="D12" s="13" t="s">
        <v>421</v>
      </c>
      <c r="E12" s="13" t="s">
        <v>422</v>
      </c>
      <c r="F12" s="13" t="s">
        <v>423</v>
      </c>
      <c r="G12" s="13" t="s">
        <v>424</v>
      </c>
      <c r="H12" s="13" t="s">
        <v>425</v>
      </c>
      <c r="I12" s="13" t="s">
        <v>366</v>
      </c>
      <c r="J12" s="13" t="s">
        <v>426</v>
      </c>
      <c r="K12" s="14" t="s">
        <v>378</v>
      </c>
      <c r="L12" s="18" t="s">
        <v>427</v>
      </c>
    </row>
    <row r="13" spans="1:12" ht="78" customHeight="1">
      <c r="A13" s="15" t="s">
        <v>1223</v>
      </c>
      <c r="B13" s="16" t="s">
        <v>1224</v>
      </c>
      <c r="C13" s="16" t="s">
        <v>430</v>
      </c>
      <c r="D13" s="16" t="s">
        <v>1225</v>
      </c>
      <c r="E13" s="16" t="s">
        <v>1226</v>
      </c>
      <c r="F13" s="16" t="s">
        <v>1227</v>
      </c>
      <c r="G13" s="16" t="s">
        <v>1228</v>
      </c>
      <c r="H13" s="16" t="s">
        <v>1229</v>
      </c>
      <c r="I13" s="16" t="s">
        <v>1230</v>
      </c>
      <c r="J13" s="16" t="s">
        <v>1231</v>
      </c>
      <c r="K13" s="17" t="s">
        <v>378</v>
      </c>
      <c r="L13" s="16" t="s">
        <v>1232</v>
      </c>
    </row>
    <row r="14" spans="1:12" ht="78" customHeight="1">
      <c r="A14" s="12" t="s">
        <v>1233</v>
      </c>
      <c r="B14" s="13" t="s">
        <v>1234</v>
      </c>
      <c r="C14" s="13">
        <v>2011</v>
      </c>
      <c r="D14" s="13" t="s">
        <v>1235</v>
      </c>
      <c r="E14" s="13" t="s">
        <v>1236</v>
      </c>
      <c r="F14" s="13" t="s">
        <v>1237</v>
      </c>
      <c r="G14" s="13" t="s">
        <v>1238</v>
      </c>
      <c r="H14" s="13" t="s">
        <v>1239</v>
      </c>
      <c r="I14" s="13" t="s">
        <v>1230</v>
      </c>
      <c r="J14" s="13" t="s">
        <v>1240</v>
      </c>
      <c r="K14" s="14" t="s">
        <v>378</v>
      </c>
      <c r="L14" s="18" t="s">
        <v>1241</v>
      </c>
    </row>
    <row r="15" spans="1:12" ht="78" customHeight="1">
      <c r="A15" s="15" t="s">
        <v>428</v>
      </c>
      <c r="B15" s="16" t="s">
        <v>429</v>
      </c>
      <c r="C15" s="16" t="s">
        <v>430</v>
      </c>
      <c r="D15" s="16" t="s">
        <v>431</v>
      </c>
      <c r="E15" s="16" t="s">
        <v>432</v>
      </c>
      <c r="F15" s="16" t="s">
        <v>141</v>
      </c>
      <c r="G15" s="16" t="s">
        <v>433</v>
      </c>
      <c r="H15" s="16" t="s">
        <v>434</v>
      </c>
      <c r="I15" s="16" t="s">
        <v>366</v>
      </c>
      <c r="J15" s="16" t="s">
        <v>435</v>
      </c>
      <c r="K15" s="17" t="s">
        <v>378</v>
      </c>
      <c r="L15" s="18" t="s">
        <v>436</v>
      </c>
    </row>
    <row r="16" spans="1:12" ht="78" customHeight="1">
      <c r="A16" s="12" t="s">
        <v>437</v>
      </c>
      <c r="B16" s="13" t="s">
        <v>438</v>
      </c>
      <c r="C16" s="13" t="s">
        <v>439</v>
      </c>
      <c r="D16" s="13" t="s">
        <v>440</v>
      </c>
      <c r="E16" s="13" t="s">
        <v>441</v>
      </c>
      <c r="F16" s="13" t="s">
        <v>442</v>
      </c>
      <c r="G16" s="13" t="s">
        <v>443</v>
      </c>
      <c r="H16" s="13" t="s">
        <v>444</v>
      </c>
      <c r="I16" s="13" t="s">
        <v>366</v>
      </c>
      <c r="J16" s="13" t="s">
        <v>445</v>
      </c>
      <c r="K16" s="14" t="s">
        <v>378</v>
      </c>
      <c r="L16" s="13" t="s">
        <v>446</v>
      </c>
    </row>
    <row r="17" spans="1:12" ht="78" customHeight="1">
      <c r="A17" s="12" t="s">
        <v>1242</v>
      </c>
      <c r="B17" s="13" t="s">
        <v>1243</v>
      </c>
      <c r="C17" s="13" t="s">
        <v>1244</v>
      </c>
      <c r="D17" s="13" t="s">
        <v>1245</v>
      </c>
      <c r="E17" s="13" t="s">
        <v>1246</v>
      </c>
      <c r="F17" s="13" t="s">
        <v>1247</v>
      </c>
      <c r="G17" s="13" t="s">
        <v>1248</v>
      </c>
      <c r="H17" s="13" t="s">
        <v>1249</v>
      </c>
      <c r="I17" s="13" t="s">
        <v>1230</v>
      </c>
      <c r="J17" s="13" t="s">
        <v>1250</v>
      </c>
      <c r="K17" s="14" t="s">
        <v>1251</v>
      </c>
      <c r="L17" s="13" t="s">
        <v>1252</v>
      </c>
    </row>
    <row r="18" spans="1:12" ht="15" customHeight="1">
      <c r="A18" s="317" t="s">
        <v>1253</v>
      </c>
      <c r="B18" s="317"/>
      <c r="C18" s="317"/>
      <c r="D18" s="317"/>
      <c r="E18" s="317"/>
      <c r="F18" s="317"/>
      <c r="G18" s="317"/>
      <c r="H18" s="317"/>
      <c r="I18" s="317"/>
      <c r="J18" s="317"/>
      <c r="K18" s="317"/>
      <c r="L18" s="317"/>
    </row>
    <row r="19" spans="1:12">
      <c r="A19" s="318" t="s">
        <v>1254</v>
      </c>
      <c r="B19" s="319" t="s">
        <v>1255</v>
      </c>
      <c r="C19" s="319">
        <v>2024</v>
      </c>
      <c r="D19" s="319" t="s">
        <v>1256</v>
      </c>
      <c r="E19" s="319" t="s">
        <v>1257</v>
      </c>
      <c r="F19" s="319" t="s">
        <v>1258</v>
      </c>
      <c r="G19" s="319" t="s">
        <v>1259</v>
      </c>
      <c r="H19" s="319" t="s">
        <v>1260</v>
      </c>
      <c r="I19" s="319" t="s">
        <v>1230</v>
      </c>
      <c r="J19" s="319" t="s">
        <v>1261</v>
      </c>
      <c r="K19" s="319" t="s">
        <v>378</v>
      </c>
      <c r="L19" s="320" t="s">
        <v>1262</v>
      </c>
    </row>
    <row r="20" spans="1:12" ht="52.5" customHeight="1">
      <c r="A20" s="12" t="s">
        <v>1263</v>
      </c>
      <c r="B20" s="13" t="s">
        <v>1264</v>
      </c>
      <c r="C20" s="13">
        <v>2024</v>
      </c>
      <c r="D20" s="13" t="s">
        <v>1265</v>
      </c>
      <c r="E20" s="13" t="s">
        <v>1266</v>
      </c>
      <c r="F20" s="13" t="s">
        <v>1267</v>
      </c>
      <c r="G20" s="13" t="s">
        <v>1268</v>
      </c>
      <c r="H20" s="13" t="s">
        <v>1269</v>
      </c>
      <c r="I20" s="13" t="s">
        <v>1230</v>
      </c>
      <c r="J20" s="13" t="s">
        <v>1270</v>
      </c>
      <c r="K20" s="14" t="s">
        <v>378</v>
      </c>
      <c r="L20" s="13" t="s">
        <v>1271</v>
      </c>
    </row>
    <row r="21" spans="1:12" ht="52.5" customHeight="1">
      <c r="A21" s="12" t="s">
        <v>1272</v>
      </c>
      <c r="B21" s="13" t="s">
        <v>1273</v>
      </c>
      <c r="C21" s="13">
        <v>2024</v>
      </c>
      <c r="D21" s="13" t="s">
        <v>1274</v>
      </c>
      <c r="E21" s="13" t="s">
        <v>1275</v>
      </c>
      <c r="F21" s="13" t="s">
        <v>1276</v>
      </c>
      <c r="G21" s="13" t="s">
        <v>1277</v>
      </c>
      <c r="H21" s="13" t="s">
        <v>1278</v>
      </c>
      <c r="I21" s="13" t="s">
        <v>1230</v>
      </c>
      <c r="J21" s="13" t="s">
        <v>1270</v>
      </c>
      <c r="K21" s="14" t="s">
        <v>378</v>
      </c>
      <c r="L21" s="13" t="s">
        <v>1279</v>
      </c>
    </row>
    <row r="22" spans="1:12" ht="52.5" customHeight="1">
      <c r="A22" s="12" t="s">
        <v>1280</v>
      </c>
      <c r="B22" s="13" t="s">
        <v>1281</v>
      </c>
      <c r="C22" s="13">
        <v>2024</v>
      </c>
      <c r="D22" s="13" t="s">
        <v>1282</v>
      </c>
      <c r="E22" s="13" t="s">
        <v>1283</v>
      </c>
      <c r="F22" s="13" t="s">
        <v>1284</v>
      </c>
      <c r="G22" s="13" t="s">
        <v>1285</v>
      </c>
      <c r="H22" s="13" t="s">
        <v>1286</v>
      </c>
      <c r="I22" s="13" t="s">
        <v>1230</v>
      </c>
      <c r="J22" s="13" t="s">
        <v>1287</v>
      </c>
      <c r="K22" s="14" t="s">
        <v>378</v>
      </c>
      <c r="L22" s="13" t="s">
        <v>1288</v>
      </c>
    </row>
  </sheetData>
  <sheetProtection algorithmName="SHA-512" hashValue="aW2UwV/o2eiUjXAmrHPhYN0243B1EcT5jT3FofQqlr5ptLAY7RgslMmYTagTmAh0nOCvNxC3FpnKr4tr2gtBag==" saltValue="i+hwMDLlCboQlcjLxaxhMA==" spinCount="100000" sheet="1" objects="1" scenarios="1"/>
  <mergeCells count="4">
    <mergeCell ref="A2:L3"/>
    <mergeCell ref="A18:L19"/>
    <mergeCell ref="A1:E1"/>
    <mergeCell ref="A4:E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48"/>
  <sheetViews>
    <sheetView showGridLines="0" zoomScale="70" zoomScaleNormal="70" workbookViewId="0">
      <selection activeCell="G127" sqref="G126:G127"/>
    </sheetView>
  </sheetViews>
  <sheetFormatPr baseColWidth="10" defaultColWidth="8.7109375" defaultRowHeight="15"/>
  <cols>
    <col min="1" max="1" width="63.42578125" customWidth="1"/>
    <col min="2" max="2" width="46" customWidth="1"/>
    <col min="3" max="3" width="18" customWidth="1"/>
    <col min="4" max="4" width="16" customWidth="1"/>
    <col min="5" max="6" width="28" customWidth="1"/>
    <col min="7" max="7" width="16" customWidth="1"/>
    <col min="8" max="8" width="25" customWidth="1"/>
    <col min="9" max="18" width="14" customWidth="1"/>
  </cols>
  <sheetData>
    <row r="1" spans="1:18" ht="25.5" customHeight="1">
      <c r="A1" s="290" t="s">
        <v>1289</v>
      </c>
      <c r="B1" s="290"/>
      <c r="C1" s="290"/>
      <c r="D1" s="290"/>
    </row>
    <row r="2" spans="1:18" ht="15" customHeight="1">
      <c r="A2" s="286" t="s">
        <v>447</v>
      </c>
      <c r="B2" s="286"/>
      <c r="C2" s="286"/>
      <c r="D2" s="286"/>
      <c r="E2" s="286"/>
      <c r="F2" s="286"/>
      <c r="G2" s="286"/>
      <c r="H2" s="286"/>
      <c r="I2" s="286"/>
      <c r="J2" s="286"/>
      <c r="K2" s="286"/>
      <c r="L2" s="286"/>
      <c r="M2" s="286"/>
      <c r="N2" s="286"/>
      <c r="O2" s="286"/>
      <c r="P2" s="286"/>
      <c r="Q2" s="286"/>
      <c r="R2" s="286"/>
    </row>
    <row r="3" spans="1:18">
      <c r="A3" s="286"/>
      <c r="B3" s="286"/>
      <c r="C3" s="286"/>
      <c r="D3" s="286"/>
      <c r="E3" s="286"/>
      <c r="F3" s="286"/>
      <c r="G3" s="286"/>
      <c r="H3" s="286"/>
      <c r="I3" s="286"/>
      <c r="J3" s="286"/>
      <c r="K3" s="286"/>
      <c r="L3" s="286"/>
      <c r="M3" s="286"/>
      <c r="N3" s="286"/>
      <c r="O3" s="286"/>
      <c r="P3" s="286"/>
      <c r="Q3" s="286"/>
      <c r="R3" s="286"/>
    </row>
    <row r="4" spans="1:18" ht="24" customHeight="1">
      <c r="A4" s="252" t="str">
        <f>HYPERLINK("#INICIO!A1","◀ INICIO")</f>
        <v>◀ INICIO</v>
      </c>
      <c r="B4" s="253"/>
    </row>
    <row r="6" spans="1:18" ht="18" customHeight="1">
      <c r="A6" s="1" t="s">
        <v>448</v>
      </c>
      <c r="B6" s="2"/>
      <c r="C6" s="2"/>
      <c r="D6" s="2"/>
      <c r="E6" s="2"/>
      <c r="F6" s="2"/>
      <c r="G6" s="2"/>
      <c r="H6" s="2"/>
      <c r="I6" s="2"/>
      <c r="J6" s="2"/>
      <c r="K6" s="2"/>
      <c r="L6" s="2"/>
      <c r="M6" s="2"/>
      <c r="N6" s="2"/>
      <c r="O6" s="2"/>
      <c r="P6" s="2"/>
      <c r="Q6" s="2"/>
      <c r="R6" s="2"/>
    </row>
    <row r="7" spans="1:18" ht="30" customHeight="1">
      <c r="A7" s="46" t="s">
        <v>151</v>
      </c>
      <c r="B7" s="46" t="s">
        <v>449</v>
      </c>
      <c r="C7" s="46" t="s">
        <v>450</v>
      </c>
      <c r="D7" s="46" t="s">
        <v>451</v>
      </c>
      <c r="E7" s="46" t="s">
        <v>83</v>
      </c>
      <c r="F7" s="46" t="s">
        <v>452</v>
      </c>
      <c r="G7" s="46" t="s">
        <v>453</v>
      </c>
      <c r="H7" s="46" t="s">
        <v>454</v>
      </c>
      <c r="I7" s="46" t="s">
        <v>455</v>
      </c>
      <c r="J7" s="46" t="s">
        <v>162</v>
      </c>
      <c r="K7" s="46" t="s">
        <v>163</v>
      </c>
      <c r="L7" s="46" t="s">
        <v>456</v>
      </c>
      <c r="M7" s="46" t="s">
        <v>165</v>
      </c>
      <c r="N7" s="46" t="s">
        <v>166</v>
      </c>
      <c r="O7" s="46" t="s">
        <v>457</v>
      </c>
      <c r="P7" s="46" t="s">
        <v>458</v>
      </c>
      <c r="Q7" s="46" t="s">
        <v>459</v>
      </c>
      <c r="R7" s="46" t="s">
        <v>193</v>
      </c>
    </row>
    <row r="8" spans="1:18">
      <c r="A8" s="64" t="s">
        <v>460</v>
      </c>
      <c r="B8" s="64" t="s">
        <v>461</v>
      </c>
      <c r="C8" s="60" t="s">
        <v>80</v>
      </c>
      <c r="D8" s="60" t="s">
        <v>462</v>
      </c>
      <c r="E8" s="60">
        <v>30</v>
      </c>
      <c r="F8" s="60">
        <v>70</v>
      </c>
      <c r="G8" s="60">
        <v>175</v>
      </c>
      <c r="H8" s="65"/>
      <c r="I8" s="66">
        <f t="shared" ref="I8:I17" si="0">IF(ISBLANK($H8),0,$F8*(1-$H8))</f>
        <v>0</v>
      </c>
      <c r="J8" s="67">
        <f>IF($D8="E6",SUMPRODUCT((CONFIG!$A$92:$A$97=$C8)*(CONFIG!$B$92:$B$97&lt;=$E8)*(CONFIG!$C$92:$C$97&gt;$E8)*CONFIG!$E$92:$E$97),SUMIFS(CONFIG!$D$79:$D$88,CONFIG!$A$79:$A$88,$D8,CONFIG!$C$79:$C$88,$C8))</f>
        <v>5</v>
      </c>
      <c r="K8" s="67">
        <f>IF($D8="E6",SUMPRODUCT((CONFIG!$A$92:$A$97=$C8)*(CONFIG!$B$92:$B$97&lt;=$E8)*(CONFIG!$C$92:$C$97&gt;$E8)*CONFIG!$D$92:$D$97),SUMIFS(CONFIG!$E$79:$E$88,CONFIG!$A$79:$A$88,$D8,CONFIG!$C$79:$C$88,$C8))</f>
        <v>10</v>
      </c>
      <c r="L8" s="67">
        <f>IF($D8="E6",0,SUMIFS(CONFIG!$F$79:$F$88,CONFIG!$A$79:$A$88,$D8,CONFIG!$C$79:$C$88,$C8))</f>
        <v>6.25</v>
      </c>
      <c r="M8" s="67">
        <f>IF($D8="E6",0,SUMIFS(CONFIG!$G$79:$G$88,CONFIG!$A$79:$A$88,$D8,CONFIG!$C$79:$C$88,$C8))</f>
        <v>-5</v>
      </c>
      <c r="N8" s="67">
        <f>IF($D8="E6",0,SUMIFS(CONFIG!$H$79:$H$88,CONFIG!$A$79:$A$88,$D8,CONFIG!$C$79:$C$88,$C8))</f>
        <v>0</v>
      </c>
      <c r="O8" s="66">
        <f t="shared" ref="O8:O17" si="1">$J8+$K8*IF(ISNUMBER($F8),$F8,0)+$L8*IF(ISNUMBER($G8),$G8,0)+$M8*IF(ISNUMBER($E8),$E8,0)+$N8*IF(ISNUMBER($I8),$I8,0)</f>
        <v>1648.75</v>
      </c>
      <c r="P8" s="66">
        <v>1648.75</v>
      </c>
      <c r="Q8" s="66">
        <f t="shared" ref="Q8:Q17" si="2">$O8-$P8</f>
        <v>0</v>
      </c>
      <c r="R8" s="68" t="str">
        <f t="shared" ref="R8:R17" si="3">IF(ABS($Q8)&lt;=0.5,"APROBADO","FALLIDO")</f>
        <v>APROBADO</v>
      </c>
    </row>
    <row r="9" spans="1:18">
      <c r="A9" s="64" t="s">
        <v>463</v>
      </c>
      <c r="B9" s="64" t="s">
        <v>464</v>
      </c>
      <c r="C9" s="60" t="s">
        <v>465</v>
      </c>
      <c r="D9" s="60" t="s">
        <v>462</v>
      </c>
      <c r="E9" s="60">
        <v>45</v>
      </c>
      <c r="F9" s="60">
        <v>62</v>
      </c>
      <c r="G9" s="60">
        <v>162</v>
      </c>
      <c r="H9" s="65"/>
      <c r="I9" s="66">
        <f t="shared" si="0"/>
        <v>0</v>
      </c>
      <c r="J9" s="67">
        <f>IF($D9="E6",SUMPRODUCT((CONFIG!$A$92:$A$97=$C9)*(CONFIG!$B$92:$B$97&lt;=$E9)*(CONFIG!$C$92:$C$97&gt;$E9)*CONFIG!$E$92:$E$97),SUMIFS(CONFIG!$D$79:$D$88,CONFIG!$A$79:$A$88,$D9,CONFIG!$C$79:$C$88,$C9))</f>
        <v>-161</v>
      </c>
      <c r="K9" s="67">
        <f>IF($D9="E6",SUMPRODUCT((CONFIG!$A$92:$A$97=$C9)*(CONFIG!$B$92:$B$97&lt;=$E9)*(CONFIG!$C$92:$C$97&gt;$E9)*CONFIG!$D$92:$D$97),SUMIFS(CONFIG!$E$79:$E$88,CONFIG!$A$79:$A$88,$D9,CONFIG!$C$79:$C$88,$C9))</f>
        <v>10</v>
      </c>
      <c r="L9" s="67">
        <f>IF($D9="E6",0,SUMIFS(CONFIG!$F$79:$F$88,CONFIG!$A$79:$A$88,$D9,CONFIG!$C$79:$C$88,$C9))</f>
        <v>6.25</v>
      </c>
      <c r="M9" s="67">
        <f>IF($D9="E6",0,SUMIFS(CONFIG!$G$79:$G$88,CONFIG!$A$79:$A$88,$D9,CONFIG!$C$79:$C$88,$C9))</f>
        <v>-5</v>
      </c>
      <c r="N9" s="67">
        <f>IF($D9="E6",0,SUMIFS(CONFIG!$H$79:$H$88,CONFIG!$A$79:$A$88,$D9,CONFIG!$C$79:$C$88,$C9))</f>
        <v>0</v>
      </c>
      <c r="O9" s="66">
        <f t="shared" si="1"/>
        <v>1246.5</v>
      </c>
      <c r="P9" s="66">
        <v>1246.5</v>
      </c>
      <c r="Q9" s="66">
        <f t="shared" si="2"/>
        <v>0</v>
      </c>
      <c r="R9" s="68" t="str">
        <f t="shared" si="3"/>
        <v>APROBADO</v>
      </c>
    </row>
    <row r="10" spans="1:18">
      <c r="A10" s="64" t="s">
        <v>466</v>
      </c>
      <c r="B10" s="64" t="s">
        <v>467</v>
      </c>
      <c r="C10" s="60" t="s">
        <v>80</v>
      </c>
      <c r="D10" s="60" t="s">
        <v>468</v>
      </c>
      <c r="E10" s="60">
        <v>55</v>
      </c>
      <c r="F10" s="60">
        <v>85</v>
      </c>
      <c r="G10" s="60">
        <v>180</v>
      </c>
      <c r="H10" s="65"/>
      <c r="I10" s="66">
        <f t="shared" si="0"/>
        <v>0</v>
      </c>
      <c r="J10" s="67">
        <f>IF($D10="E6",SUMPRODUCT((CONFIG!$A$92:$A$97=$C10)*(CONFIG!$B$92:$B$97&lt;=$E10)*(CONFIG!$C$92:$C$97&gt;$E10)*CONFIG!$E$92:$E$97),SUMIFS(CONFIG!$D$79:$D$88,CONFIG!$A$79:$A$88,$D10,CONFIG!$C$79:$C$88,$C10))</f>
        <v>88.361999999999995</v>
      </c>
      <c r="K10" s="67">
        <f>IF($D10="E6",SUMPRODUCT((CONFIG!$A$92:$A$97=$C10)*(CONFIG!$B$92:$B$97&lt;=$E10)*(CONFIG!$C$92:$C$97&gt;$E10)*CONFIG!$D$92:$D$97),SUMIFS(CONFIG!$E$79:$E$88,CONFIG!$A$79:$A$88,$D10,CONFIG!$C$79:$C$88,$C10))</f>
        <v>13.397</v>
      </c>
      <c r="L10" s="67">
        <f>IF($D10="E6",0,SUMIFS(CONFIG!$F$79:$F$88,CONFIG!$A$79:$A$88,$D10,CONFIG!$C$79:$C$88,$C10))</f>
        <v>4.7990000000000004</v>
      </c>
      <c r="M10" s="67">
        <f>IF($D10="E6",0,SUMIFS(CONFIG!$G$79:$G$88,CONFIG!$A$79:$A$88,$D10,CONFIG!$C$79:$C$88,$C10))</f>
        <v>-5.6769999999999996</v>
      </c>
      <c r="N10" s="67">
        <f>IF($D10="E6",0,SUMIFS(CONFIG!$H$79:$H$88,CONFIG!$A$79:$A$88,$D10,CONFIG!$C$79:$C$88,$C10))</f>
        <v>0</v>
      </c>
      <c r="O10" s="66">
        <f t="shared" si="1"/>
        <v>1778.6920000000002</v>
      </c>
      <c r="P10" s="66">
        <v>1778.692</v>
      </c>
      <c r="Q10" s="66">
        <f t="shared" si="2"/>
        <v>0</v>
      </c>
      <c r="R10" s="68" t="str">
        <f t="shared" si="3"/>
        <v>APROBADO</v>
      </c>
    </row>
    <row r="11" spans="1:18">
      <c r="A11" s="64" t="s">
        <v>469</v>
      </c>
      <c r="B11" s="64" t="s">
        <v>470</v>
      </c>
      <c r="C11" s="60" t="s">
        <v>465</v>
      </c>
      <c r="D11" s="60" t="s">
        <v>468</v>
      </c>
      <c r="E11" s="60">
        <v>38</v>
      </c>
      <c r="F11" s="60">
        <v>58</v>
      </c>
      <c r="G11" s="60">
        <v>160</v>
      </c>
      <c r="H11" s="65"/>
      <c r="I11" s="66">
        <f t="shared" si="0"/>
        <v>0</v>
      </c>
      <c r="J11" s="67">
        <f>IF($D11="E6",SUMPRODUCT((CONFIG!$A$92:$A$97=$C11)*(CONFIG!$B$92:$B$97&lt;=$E11)*(CONFIG!$C$92:$C$97&gt;$E11)*CONFIG!$E$92:$E$97),SUMIFS(CONFIG!$D$79:$D$88,CONFIG!$A$79:$A$88,$D11,CONFIG!$C$79:$C$88,$C11))</f>
        <v>447.59300000000002</v>
      </c>
      <c r="K11" s="67">
        <f>IF($D11="E6",SUMPRODUCT((CONFIG!$A$92:$A$97=$C11)*(CONFIG!$B$92:$B$97&lt;=$E11)*(CONFIG!$C$92:$C$97&gt;$E11)*CONFIG!$D$92:$D$97),SUMIFS(CONFIG!$E$79:$E$88,CONFIG!$A$79:$A$88,$D11,CONFIG!$C$79:$C$88,$C11))</f>
        <v>9.2469999999999999</v>
      </c>
      <c r="L11" s="67">
        <f>IF($D11="E6",0,SUMIFS(CONFIG!$F$79:$F$88,CONFIG!$A$79:$A$88,$D11,CONFIG!$C$79:$C$88,$C11))</f>
        <v>3.0979999999999999</v>
      </c>
      <c r="M11" s="67">
        <f>IF($D11="E6",0,SUMIFS(CONFIG!$G$79:$G$88,CONFIG!$A$79:$A$88,$D11,CONFIG!$C$79:$C$88,$C11))</f>
        <v>-4.33</v>
      </c>
      <c r="N11" s="67">
        <f>IF($D11="E6",0,SUMIFS(CONFIG!$H$79:$H$88,CONFIG!$A$79:$A$88,$D11,CONFIG!$C$79:$C$88,$C11))</f>
        <v>0</v>
      </c>
      <c r="O11" s="66">
        <f t="shared" si="1"/>
        <v>1315.0590000000002</v>
      </c>
      <c r="P11" s="66">
        <v>1315.059</v>
      </c>
      <c r="Q11" s="66">
        <f t="shared" si="2"/>
        <v>0</v>
      </c>
      <c r="R11" s="68" t="str">
        <f t="shared" si="3"/>
        <v>APROBADO</v>
      </c>
    </row>
    <row r="12" spans="1:18">
      <c r="A12" s="64" t="s">
        <v>471</v>
      </c>
      <c r="B12" s="64" t="s">
        <v>472</v>
      </c>
      <c r="C12" s="60" t="s">
        <v>80</v>
      </c>
      <c r="D12" s="60" t="s">
        <v>473</v>
      </c>
      <c r="E12" s="60">
        <v>50</v>
      </c>
      <c r="F12" s="60">
        <v>105</v>
      </c>
      <c r="G12" s="60">
        <v>172</v>
      </c>
      <c r="H12" s="65"/>
      <c r="I12" s="66">
        <f t="shared" si="0"/>
        <v>0</v>
      </c>
      <c r="J12" s="67">
        <f>IF($D12="E6",SUMPRODUCT((CONFIG!$A$92:$A$97=$C12)*(CONFIG!$B$92:$B$97&lt;=$E12)*(CONFIG!$C$92:$C$97&gt;$E12)*CONFIG!$E$92:$E$97),SUMIFS(CONFIG!$D$79:$D$88,CONFIG!$A$79:$A$88,$D12,CONFIG!$C$79:$C$88,$C12))</f>
        <v>879</v>
      </c>
      <c r="K12" s="67">
        <f>IF($D12="E6",SUMPRODUCT((CONFIG!$A$92:$A$97=$C12)*(CONFIG!$B$92:$B$97&lt;=$E12)*(CONFIG!$C$92:$C$97&gt;$E12)*CONFIG!$D$92:$D$97),SUMIFS(CONFIG!$E$79:$E$88,CONFIG!$A$79:$A$88,$D12,CONFIG!$C$79:$C$88,$C12))</f>
        <v>10.199999999999999</v>
      </c>
      <c r="L12" s="67">
        <f>IF($D12="E6",0,SUMIFS(CONFIG!$F$79:$F$88,CONFIG!$A$79:$A$88,$D12,CONFIG!$C$79:$C$88,$C12))</f>
        <v>0</v>
      </c>
      <c r="M12" s="67">
        <f>IF($D12="E6",0,SUMIFS(CONFIG!$G$79:$G$88,CONFIG!$A$79:$A$88,$D12,CONFIG!$C$79:$C$88,$C12))</f>
        <v>0</v>
      </c>
      <c r="N12" s="67">
        <f>IF($D12="E6",0,SUMIFS(CONFIG!$H$79:$H$88,CONFIG!$A$79:$A$88,$D12,CONFIG!$C$79:$C$88,$C12))</f>
        <v>0</v>
      </c>
      <c r="O12" s="66">
        <f t="shared" si="1"/>
        <v>1950</v>
      </c>
      <c r="P12" s="66">
        <v>1950</v>
      </c>
      <c r="Q12" s="66">
        <f t="shared" si="2"/>
        <v>0</v>
      </c>
      <c r="R12" s="68" t="str">
        <f t="shared" si="3"/>
        <v>APROBADO</v>
      </c>
    </row>
    <row r="13" spans="1:18">
      <c r="A13" s="64" t="s">
        <v>474</v>
      </c>
      <c r="B13" s="64" t="s">
        <v>475</v>
      </c>
      <c r="C13" s="60" t="s">
        <v>465</v>
      </c>
      <c r="D13" s="60" t="s">
        <v>473</v>
      </c>
      <c r="E13" s="60">
        <v>68</v>
      </c>
      <c r="F13" s="60">
        <v>70</v>
      </c>
      <c r="G13" s="60">
        <v>156</v>
      </c>
      <c r="H13" s="65"/>
      <c r="I13" s="66">
        <f t="shared" si="0"/>
        <v>0</v>
      </c>
      <c r="J13" s="67">
        <f>IF($D13="E6",SUMPRODUCT((CONFIG!$A$92:$A$97=$C13)*(CONFIG!$B$92:$B$97&lt;=$E13)*(CONFIG!$C$92:$C$97&gt;$E13)*CONFIG!$E$92:$E$97),SUMIFS(CONFIG!$D$79:$D$88,CONFIG!$A$79:$A$88,$D13,CONFIG!$C$79:$C$88,$C13))</f>
        <v>795</v>
      </c>
      <c r="K13" s="67">
        <f>IF($D13="E6",SUMPRODUCT((CONFIG!$A$92:$A$97=$C13)*(CONFIG!$B$92:$B$97&lt;=$E13)*(CONFIG!$C$92:$C$97&gt;$E13)*CONFIG!$D$92:$D$97),SUMIFS(CONFIG!$E$79:$E$88,CONFIG!$A$79:$A$88,$D13,CONFIG!$C$79:$C$88,$C13))</f>
        <v>7.18</v>
      </c>
      <c r="L13" s="67">
        <f>IF($D13="E6",0,SUMIFS(CONFIG!$F$79:$F$88,CONFIG!$A$79:$A$88,$D13,CONFIG!$C$79:$C$88,$C13))</f>
        <v>0</v>
      </c>
      <c r="M13" s="67">
        <f>IF($D13="E6",0,SUMIFS(CONFIG!$G$79:$G$88,CONFIG!$A$79:$A$88,$D13,CONFIG!$C$79:$C$88,$C13))</f>
        <v>0</v>
      </c>
      <c r="N13" s="67">
        <f>IF($D13="E6",0,SUMIFS(CONFIG!$H$79:$H$88,CONFIG!$A$79:$A$88,$D13,CONFIG!$C$79:$C$88,$C13))</f>
        <v>0</v>
      </c>
      <c r="O13" s="66">
        <f t="shared" si="1"/>
        <v>1297.5999999999999</v>
      </c>
      <c r="P13" s="66">
        <v>1297.5999999999999</v>
      </c>
      <c r="Q13" s="66">
        <f t="shared" si="2"/>
        <v>0</v>
      </c>
      <c r="R13" s="68" t="str">
        <f t="shared" si="3"/>
        <v>APROBADO</v>
      </c>
    </row>
    <row r="14" spans="1:18">
      <c r="A14" s="64" t="s">
        <v>476</v>
      </c>
      <c r="B14" s="64" t="s">
        <v>477</v>
      </c>
      <c r="C14" s="60" t="s">
        <v>80</v>
      </c>
      <c r="D14" s="60" t="s">
        <v>478</v>
      </c>
      <c r="E14" s="60">
        <v>28</v>
      </c>
      <c r="F14" s="60">
        <v>80</v>
      </c>
      <c r="G14" s="60">
        <v>178</v>
      </c>
      <c r="H14" s="65">
        <v>0.15</v>
      </c>
      <c r="I14" s="66">
        <f t="shared" si="0"/>
        <v>68</v>
      </c>
      <c r="J14" s="67">
        <f>IF($D14="E6",SUMPRODUCT((CONFIG!$A$92:$A$97=$C14)*(CONFIG!$B$92:$B$97&lt;=$E14)*(CONFIG!$C$92:$C$97&gt;$E14)*CONFIG!$E$92:$E$97),SUMIFS(CONFIG!$D$79:$D$88,CONFIG!$A$79:$A$88,$D14,CONFIG!$C$79:$C$88,$C14))</f>
        <v>500</v>
      </c>
      <c r="K14" s="67">
        <f>IF($D14="E6",SUMPRODUCT((CONFIG!$A$92:$A$97=$C14)*(CONFIG!$B$92:$B$97&lt;=$E14)*(CONFIG!$C$92:$C$97&gt;$E14)*CONFIG!$D$92:$D$97),SUMIFS(CONFIG!$E$79:$E$88,CONFIG!$A$79:$A$88,$D14,CONFIG!$C$79:$C$88,$C14))</f>
        <v>0</v>
      </c>
      <c r="L14" s="67">
        <f>IF($D14="E6",0,SUMIFS(CONFIG!$F$79:$F$88,CONFIG!$A$79:$A$88,$D14,CONFIG!$C$79:$C$88,$C14))</f>
        <v>0</v>
      </c>
      <c r="M14" s="67">
        <f>IF($D14="E6",0,SUMIFS(CONFIG!$G$79:$G$88,CONFIG!$A$79:$A$88,$D14,CONFIG!$C$79:$C$88,$C14))</f>
        <v>0</v>
      </c>
      <c r="N14" s="67">
        <f>IF($D14="E6",0,SUMIFS(CONFIG!$H$79:$H$88,CONFIG!$A$79:$A$88,$D14,CONFIG!$C$79:$C$88,$C14))</f>
        <v>22</v>
      </c>
      <c r="O14" s="66">
        <f t="shared" si="1"/>
        <v>1996</v>
      </c>
      <c r="P14" s="66">
        <v>1996</v>
      </c>
      <c r="Q14" s="66">
        <f t="shared" si="2"/>
        <v>0</v>
      </c>
      <c r="R14" s="68" t="str">
        <f t="shared" si="3"/>
        <v>APROBADO</v>
      </c>
    </row>
    <row r="15" spans="1:18" ht="24">
      <c r="A15" s="59" t="s">
        <v>479</v>
      </c>
      <c r="B15" s="59" t="s">
        <v>480</v>
      </c>
      <c r="C15" s="60" t="s">
        <v>465</v>
      </c>
      <c r="D15" s="60" t="s">
        <v>481</v>
      </c>
      <c r="E15" s="60">
        <v>32</v>
      </c>
      <c r="F15" s="60">
        <v>62</v>
      </c>
      <c r="G15" s="60">
        <v>165</v>
      </c>
      <c r="H15" s="65">
        <v>0.26</v>
      </c>
      <c r="I15" s="62">
        <f t="shared" si="0"/>
        <v>45.88</v>
      </c>
      <c r="J15" s="61">
        <f>IF($D15="E6",SUMPRODUCT((CONFIG!$A$92:$A$97=$C15)*(CONFIG!$B$92:$B$97&lt;=$E15)*(CONFIG!$C$92:$C$97&gt;$E15)*CONFIG!$E$92:$E$97),SUMIFS(CONFIG!$D$79:$D$88,CONFIG!$A$79:$A$88,$D15,CONFIG!$C$79:$C$88,$C15))</f>
        <v>370</v>
      </c>
      <c r="K15" s="61">
        <f>IF($D15="E6",SUMPRODUCT((CONFIG!$A$92:$A$97=$C15)*(CONFIG!$B$92:$B$97&lt;=$E15)*(CONFIG!$C$92:$C$97&gt;$E15)*CONFIG!$D$92:$D$97),SUMIFS(CONFIG!$E$79:$E$88,CONFIG!$A$79:$A$88,$D15,CONFIG!$C$79:$C$88,$C15))</f>
        <v>0</v>
      </c>
      <c r="L15" s="61">
        <f>IF($D15="E6",0,SUMIFS(CONFIG!$F$79:$F$88,CONFIG!$A$79:$A$88,$D15,CONFIG!$C$79:$C$88,$C15))</f>
        <v>0</v>
      </c>
      <c r="M15" s="61">
        <f>IF($D15="E6",0,SUMIFS(CONFIG!$G$79:$G$88,CONFIG!$A$79:$A$88,$D15,CONFIG!$C$79:$C$88,$C15))</f>
        <v>0</v>
      </c>
      <c r="N15" s="61">
        <f>IF($D15="E6",0,SUMIFS(CONFIG!$H$79:$H$88,CONFIG!$A$79:$A$88,$D15,CONFIG!$C$79:$C$88,$C15))</f>
        <v>21.6</v>
      </c>
      <c r="O15" s="62">
        <f t="shared" si="1"/>
        <v>1361.0080000000003</v>
      </c>
      <c r="P15" s="62">
        <v>1361.008</v>
      </c>
      <c r="Q15" s="62">
        <f t="shared" si="2"/>
        <v>0</v>
      </c>
      <c r="R15" s="63" t="str">
        <f t="shared" si="3"/>
        <v>APROBADO</v>
      </c>
    </row>
    <row r="16" spans="1:18">
      <c r="A16" s="59" t="s">
        <v>482</v>
      </c>
      <c r="B16" s="59" t="s">
        <v>483</v>
      </c>
      <c r="C16" s="60" t="s">
        <v>80</v>
      </c>
      <c r="D16" s="60" t="s">
        <v>484</v>
      </c>
      <c r="E16" s="60">
        <v>40</v>
      </c>
      <c r="F16" s="60">
        <v>90</v>
      </c>
      <c r="G16" s="60">
        <v>175</v>
      </c>
      <c r="H16" s="65"/>
      <c r="I16" s="62">
        <f t="shared" si="0"/>
        <v>0</v>
      </c>
      <c r="J16" s="61">
        <f>IF($D16="E6",SUMPRODUCT((CONFIG!$A$92:$A$97=$C16)*(CONFIG!$B$92:$B$97&lt;=$E16)*(CONFIG!$C$92:$C$97&gt;$E16)*CONFIG!$E$92:$E$97),SUMIFS(CONFIG!$D$79:$D$88,CONFIG!$A$79:$A$88,$D16,CONFIG!$C$79:$C$88,$C16))</f>
        <v>873.1</v>
      </c>
      <c r="K16" s="61">
        <f>IF($D16="E6",SUMPRODUCT((CONFIG!$A$92:$A$97=$C16)*(CONFIG!$B$92:$B$97&lt;=$E16)*(CONFIG!$C$92:$C$97&gt;$E16)*CONFIG!$D$92:$D$97),SUMIFS(CONFIG!$E$79:$E$88,CONFIG!$A$79:$A$88,$D16,CONFIG!$C$79:$C$88,$C16))</f>
        <v>11.472</v>
      </c>
      <c r="L16" s="61">
        <f>IF($D16="E6",0,SUMIFS(CONFIG!$F$79:$F$88,CONFIG!$A$79:$A$88,$D16,CONFIG!$C$79:$C$88,$C16))</f>
        <v>0</v>
      </c>
      <c r="M16" s="61">
        <f>IF($D16="E6",0,SUMIFS(CONFIG!$G$79:$G$88,CONFIG!$A$79:$A$88,$D16,CONFIG!$C$79:$C$88,$C16))</f>
        <v>0</v>
      </c>
      <c r="N16" s="61">
        <f>IF($D16="E6",0,SUMIFS(CONFIG!$H$79:$H$88,CONFIG!$A$79:$A$88,$D16,CONFIG!$C$79:$C$88,$C16))</f>
        <v>0</v>
      </c>
      <c r="O16" s="62">
        <f t="shared" si="1"/>
        <v>1905.58</v>
      </c>
      <c r="P16" s="62">
        <v>1905.58</v>
      </c>
      <c r="Q16" s="62">
        <f t="shared" si="2"/>
        <v>0</v>
      </c>
      <c r="R16" s="63" t="str">
        <f t="shared" si="3"/>
        <v>APROBADO</v>
      </c>
    </row>
    <row r="17" spans="1:18">
      <c r="A17" s="59" t="s">
        <v>485</v>
      </c>
      <c r="B17" s="59" t="s">
        <v>486</v>
      </c>
      <c r="C17" s="60" t="s">
        <v>465</v>
      </c>
      <c r="D17" s="60" t="s">
        <v>484</v>
      </c>
      <c r="E17" s="60">
        <v>65</v>
      </c>
      <c r="F17" s="60">
        <v>68</v>
      </c>
      <c r="G17" s="60">
        <v>158</v>
      </c>
      <c r="H17" s="65"/>
      <c r="I17" s="62">
        <f t="shared" si="0"/>
        <v>0</v>
      </c>
      <c r="J17" s="61">
        <f>IF($D17="E6",SUMPRODUCT((CONFIG!$A$92:$A$97=$C17)*(CONFIG!$B$92:$B$97&lt;=$E17)*(CONFIG!$C$92:$C$97&gt;$E17)*CONFIG!$E$92:$E$97),SUMIFS(CONFIG!$D$79:$D$88,CONFIG!$A$79:$A$88,$D17,CONFIG!$C$79:$C$88,$C17))</f>
        <v>658.5</v>
      </c>
      <c r="K17" s="61">
        <f>IF($D17="E6",SUMPRODUCT((CONFIG!$A$92:$A$97=$C17)*(CONFIG!$B$92:$B$97&lt;=$E17)*(CONFIG!$C$92:$C$97&gt;$E17)*CONFIG!$D$92:$D$97),SUMIFS(CONFIG!$E$79:$E$88,CONFIG!$A$79:$A$88,$D17,CONFIG!$C$79:$C$88,$C17))</f>
        <v>9.0820000000000007</v>
      </c>
      <c r="L17" s="61">
        <f>IF($D17="E6",0,SUMIFS(CONFIG!$F$79:$F$88,CONFIG!$A$79:$A$88,$D17,CONFIG!$C$79:$C$88,$C17))</f>
        <v>0</v>
      </c>
      <c r="M17" s="61">
        <f>IF($D17="E6",0,SUMIFS(CONFIG!$G$79:$G$88,CONFIG!$A$79:$A$88,$D17,CONFIG!$C$79:$C$88,$C17))</f>
        <v>0</v>
      </c>
      <c r="N17" s="61">
        <f>IF($D17="E6",0,SUMIFS(CONFIG!$H$79:$H$88,CONFIG!$A$79:$A$88,$D17,CONFIG!$C$79:$C$88,$C17))</f>
        <v>0</v>
      </c>
      <c r="O17" s="62">
        <f t="shared" si="1"/>
        <v>1276.076</v>
      </c>
      <c r="P17" s="62">
        <v>1276.076</v>
      </c>
      <c r="Q17" s="62">
        <f t="shared" si="2"/>
        <v>0</v>
      </c>
      <c r="R17" s="63" t="str">
        <f t="shared" si="3"/>
        <v>APROBADO</v>
      </c>
    </row>
    <row r="19" spans="1:18" ht="18" customHeight="1">
      <c r="A19" s="1" t="s">
        <v>487</v>
      </c>
      <c r="B19" s="2"/>
      <c r="C19" s="2"/>
      <c r="D19" s="2"/>
      <c r="E19" s="2"/>
      <c r="F19" s="2"/>
      <c r="G19" s="2"/>
      <c r="H19" s="2"/>
      <c r="I19" s="2"/>
      <c r="J19" s="2"/>
      <c r="K19" s="2"/>
      <c r="L19" s="2"/>
      <c r="M19" s="2"/>
      <c r="N19" s="2"/>
      <c r="O19" s="2"/>
      <c r="P19" s="2"/>
      <c r="Q19" s="2"/>
      <c r="R19" s="2"/>
    </row>
    <row r="20" spans="1:18" ht="30" customHeight="1">
      <c r="A20" s="46" t="s">
        <v>151</v>
      </c>
      <c r="B20" s="46" t="s">
        <v>449</v>
      </c>
      <c r="C20" s="46" t="s">
        <v>450</v>
      </c>
      <c r="D20" s="46" t="s">
        <v>83</v>
      </c>
      <c r="E20" s="46" t="s">
        <v>452</v>
      </c>
      <c r="F20" s="46" t="s">
        <v>488</v>
      </c>
      <c r="G20" s="46" t="s">
        <v>489</v>
      </c>
      <c r="H20" s="46" t="s">
        <v>457</v>
      </c>
      <c r="I20" s="46" t="s">
        <v>490</v>
      </c>
      <c r="J20" s="46" t="s">
        <v>491</v>
      </c>
      <c r="K20" s="46" t="s">
        <v>492</v>
      </c>
      <c r="L20" s="46" t="s">
        <v>493</v>
      </c>
      <c r="M20" s="46" t="s">
        <v>494</v>
      </c>
      <c r="N20" s="46" t="s">
        <v>495</v>
      </c>
      <c r="O20" s="46" t="s">
        <v>496</v>
      </c>
    </row>
    <row r="21" spans="1:18">
      <c r="A21" s="59" t="s">
        <v>497</v>
      </c>
      <c r="B21" s="59" t="s">
        <v>498</v>
      </c>
      <c r="C21" s="60" t="s">
        <v>80</v>
      </c>
      <c r="D21" s="60">
        <v>18</v>
      </c>
      <c r="E21" s="60">
        <v>60</v>
      </c>
      <c r="F21" s="61">
        <f>IF(OR($D21&lt;EDAD_MIN,$D21&gt;EDAD_MAX),0,SUMPRODUCT((CONFIG!$A$110:$A$115=$C21)*(CONFIG!$B$110:$B$115&lt;=$D21)*(CONFIG!$C$110:$C$115&gt;$D21)*CONFIG!$E$110:$E$115))</f>
        <v>545</v>
      </c>
      <c r="G21" s="61">
        <f>IF(OR($D21&lt;EDAD_MIN,$D21&gt;EDAD_MAX),0,SUMPRODUCT((CONFIG!$A$110:$A$115=$C21)*(CONFIG!$B$110:$B$115&lt;=$D21)*(CONFIG!$C$110:$C$115&gt;$D21)*CONFIG!$D$110:$D$115))</f>
        <v>16</v>
      </c>
      <c r="H21" s="62">
        <f t="shared" ref="H21:H33" si="4">IF(OR($D21&lt;EDAD_MIN,$D21&gt;EDAD_MAX),"ND: fuera del alcance adulto",$F21+$G21*$E21)</f>
        <v>1505</v>
      </c>
      <c r="I21" s="62">
        <v>1505</v>
      </c>
      <c r="J21" s="62">
        <f t="shared" ref="J21:J33" si="5">IF(OR(NOT(ISNUMBER($H21)),NOT(ISNUMBER($I21))),"",$H21-$I21)</f>
        <v>0</v>
      </c>
      <c r="K21" s="59" t="str">
        <f t="shared" ref="K21:K33" si="6">IF(AND(NOT(ISNUMBER($H21)),NOT(ISNUMBER($I21))),IF($H21=$I21,"APROBADO","FALLIDO"),IF(NOT(ISNUMBER($J21)),"FALLIDO",IF(ABS($J21)&lt;=0.1,"APROBADO","FALLIDO")))</f>
        <v>APROBADO</v>
      </c>
      <c r="L21" s="62">
        <v>1504.3018999999999</v>
      </c>
      <c r="M21" s="62">
        <f t="shared" ref="M21:M33" si="7">IF(OR(NOT(ISNUMBER($H21)),NOT(ISNUMBER($L21))),"",$H21-$L21)</f>
        <v>0.69810000000006767</v>
      </c>
      <c r="N21" s="59" t="str">
        <f t="shared" ref="N21:N33" si="8">IF(OR(NOT(ISNUMBER($M21)),NOT(ISNUMBER($L21)),$L21=0),"N/A",IF(ABS($M21/$L21)&lt;=TOL_MJ,"APROBADO","FALLIDO"))</f>
        <v>APROBADO</v>
      </c>
      <c r="O21" s="63" t="str">
        <f t="shared" ref="O21:O33" si="9">IF(AND($K21="APROBADO",OR($N21="APROBADO",$N21="N/A")),"APROBADO","FALLIDO")</f>
        <v>APROBADO</v>
      </c>
    </row>
    <row r="22" spans="1:18">
      <c r="A22" s="59" t="s">
        <v>499</v>
      </c>
      <c r="B22" s="59" t="s">
        <v>500</v>
      </c>
      <c r="C22" s="60" t="s">
        <v>80</v>
      </c>
      <c r="D22" s="60">
        <v>29.99</v>
      </c>
      <c r="E22" s="60">
        <v>80</v>
      </c>
      <c r="F22" s="61">
        <f>IF(OR($D22&lt;EDAD_MIN,$D22&gt;EDAD_MAX),0,SUMPRODUCT((CONFIG!$A$110:$A$115=$C22)*(CONFIG!$B$110:$B$115&lt;=$D22)*(CONFIG!$C$110:$C$115&gt;$D22)*CONFIG!$E$110:$E$115))</f>
        <v>545</v>
      </c>
      <c r="G22" s="61">
        <f>IF(OR($D22&lt;EDAD_MIN,$D22&gt;EDAD_MAX),0,SUMPRODUCT((CONFIG!$A$110:$A$115=$C22)*(CONFIG!$B$110:$B$115&lt;=$D22)*(CONFIG!$C$110:$C$115&gt;$D22)*CONFIG!$D$110:$D$115))</f>
        <v>16</v>
      </c>
      <c r="H22" s="62">
        <f t="shared" si="4"/>
        <v>1825</v>
      </c>
      <c r="I22" s="62">
        <v>1825</v>
      </c>
      <c r="J22" s="62">
        <f t="shared" si="5"/>
        <v>0</v>
      </c>
      <c r="K22" s="59" t="str">
        <f t="shared" si="6"/>
        <v>APROBADO</v>
      </c>
      <c r="L22" s="62">
        <v>1824.0915</v>
      </c>
      <c r="M22" s="62">
        <f t="shared" si="7"/>
        <v>0.90850000000000364</v>
      </c>
      <c r="N22" s="59" t="str">
        <f t="shared" si="8"/>
        <v>APROBADO</v>
      </c>
      <c r="O22" s="63" t="str">
        <f t="shared" si="9"/>
        <v>APROBADO</v>
      </c>
    </row>
    <row r="23" spans="1:18">
      <c r="A23" s="59" t="s">
        <v>501</v>
      </c>
      <c r="B23" s="59" t="s">
        <v>502</v>
      </c>
      <c r="C23" s="60" t="s">
        <v>80</v>
      </c>
      <c r="D23" s="60">
        <v>30</v>
      </c>
      <c r="E23" s="60">
        <v>60</v>
      </c>
      <c r="F23" s="61">
        <f>IF(OR($D23&lt;EDAD_MIN,$D23&gt;EDAD_MAX),0,SUMPRODUCT((CONFIG!$A$110:$A$115=$C23)*(CONFIG!$B$110:$B$115&lt;=$D23)*(CONFIG!$C$110:$C$115&gt;$D23)*CONFIG!$E$110:$E$115))</f>
        <v>593</v>
      </c>
      <c r="G23" s="61">
        <f>IF(OR($D23&lt;EDAD_MIN,$D23&gt;EDAD_MAX),0,SUMPRODUCT((CONFIG!$A$110:$A$115=$C23)*(CONFIG!$B$110:$B$115&lt;=$D23)*(CONFIG!$C$110:$C$115&gt;$D23)*CONFIG!$D$110:$D$115))</f>
        <v>14.2</v>
      </c>
      <c r="H23" s="62">
        <f t="shared" si="4"/>
        <v>1445</v>
      </c>
      <c r="I23" s="62">
        <v>1445</v>
      </c>
      <c r="J23" s="62">
        <f t="shared" si="5"/>
        <v>0</v>
      </c>
      <c r="K23" s="59" t="str">
        <f t="shared" si="6"/>
        <v>APROBADO</v>
      </c>
      <c r="L23" s="62">
        <v>1441.6823999999999</v>
      </c>
      <c r="M23" s="62">
        <f t="shared" si="7"/>
        <v>3.317600000000084</v>
      </c>
      <c r="N23" s="59" t="str">
        <f t="shared" si="8"/>
        <v>APROBADO</v>
      </c>
      <c r="O23" s="63" t="str">
        <f t="shared" si="9"/>
        <v>APROBADO</v>
      </c>
    </row>
    <row r="24" spans="1:18">
      <c r="A24" s="59" t="s">
        <v>503</v>
      </c>
      <c r="B24" s="59" t="s">
        <v>504</v>
      </c>
      <c r="C24" s="60" t="s">
        <v>80</v>
      </c>
      <c r="D24" s="60">
        <v>59.99</v>
      </c>
      <c r="E24" s="60">
        <v>80</v>
      </c>
      <c r="F24" s="61">
        <f>IF(OR($D24&lt;EDAD_MIN,$D24&gt;EDAD_MAX),0,SUMPRODUCT((CONFIG!$A$110:$A$115=$C24)*(CONFIG!$B$110:$B$115&lt;=$D24)*(CONFIG!$C$110:$C$115&gt;$D24)*CONFIG!$E$110:$E$115))</f>
        <v>593</v>
      </c>
      <c r="G24" s="61">
        <f>IF(OR($D24&lt;EDAD_MIN,$D24&gt;EDAD_MAX),0,SUMPRODUCT((CONFIG!$A$110:$A$115=$C24)*(CONFIG!$B$110:$B$115&lt;=$D24)*(CONFIG!$C$110:$C$115&gt;$D24)*CONFIG!$D$110:$D$115))</f>
        <v>14.2</v>
      </c>
      <c r="H24" s="62">
        <f t="shared" si="4"/>
        <v>1729</v>
      </c>
      <c r="I24" s="62">
        <v>1729</v>
      </c>
      <c r="J24" s="62">
        <f t="shared" si="5"/>
        <v>0</v>
      </c>
      <c r="K24" s="59" t="str">
        <f t="shared" si="6"/>
        <v>APROBADO</v>
      </c>
      <c r="L24" s="62">
        <v>1724.6650999999999</v>
      </c>
      <c r="M24" s="62">
        <f t="shared" si="7"/>
        <v>4.3349000000000615</v>
      </c>
      <c r="N24" s="59" t="str">
        <f t="shared" si="8"/>
        <v>APROBADO</v>
      </c>
      <c r="O24" s="63" t="str">
        <f t="shared" si="9"/>
        <v>APROBADO</v>
      </c>
    </row>
    <row r="25" spans="1:18">
      <c r="A25" s="59" t="s">
        <v>505</v>
      </c>
      <c r="B25" s="59" t="s">
        <v>506</v>
      </c>
      <c r="C25" s="60" t="s">
        <v>80</v>
      </c>
      <c r="D25" s="60">
        <v>60</v>
      </c>
      <c r="E25" s="60">
        <v>60</v>
      </c>
      <c r="F25" s="61">
        <f>IF(OR($D25&lt;EDAD_MIN,$D25&gt;EDAD_MAX),0,SUMPRODUCT((CONFIG!$A$110:$A$115=$C25)*(CONFIG!$B$110:$B$115&lt;=$D25)*(CONFIG!$C$110:$C$115&gt;$D25)*CONFIG!$E$110:$E$115))</f>
        <v>514</v>
      </c>
      <c r="G25" s="61">
        <f>IF(OR($D25&lt;EDAD_MIN,$D25&gt;EDAD_MAX),0,SUMPRODUCT((CONFIG!$A$110:$A$115=$C25)*(CONFIG!$B$110:$B$115&lt;=$D25)*(CONFIG!$C$110:$C$115&gt;$D25)*CONFIG!$D$110:$D$115))</f>
        <v>13.5</v>
      </c>
      <c r="H25" s="62">
        <f t="shared" si="4"/>
        <v>1324</v>
      </c>
      <c r="I25" s="62">
        <v>1324</v>
      </c>
      <c r="J25" s="62">
        <f t="shared" si="5"/>
        <v>0</v>
      </c>
      <c r="K25" s="59" t="str">
        <f t="shared" si="6"/>
        <v>APROBADO</v>
      </c>
      <c r="L25" s="62">
        <v>1321.2235000000001</v>
      </c>
      <c r="M25" s="62">
        <f t="shared" si="7"/>
        <v>2.7764999999999418</v>
      </c>
      <c r="N25" s="59" t="str">
        <f t="shared" si="8"/>
        <v>APROBADO</v>
      </c>
      <c r="O25" s="63" t="str">
        <f t="shared" si="9"/>
        <v>APROBADO</v>
      </c>
    </row>
    <row r="26" spans="1:18">
      <c r="A26" s="59" t="s">
        <v>507</v>
      </c>
      <c r="B26" s="59" t="s">
        <v>508</v>
      </c>
      <c r="C26" s="60" t="s">
        <v>80</v>
      </c>
      <c r="D26" s="60">
        <v>75</v>
      </c>
      <c r="E26" s="60">
        <v>80</v>
      </c>
      <c r="F26" s="61">
        <f>IF(OR($D26&lt;EDAD_MIN,$D26&gt;EDAD_MAX),0,SUMPRODUCT((CONFIG!$A$110:$A$115=$C26)*(CONFIG!$B$110:$B$115&lt;=$D26)*(CONFIG!$C$110:$C$115&gt;$D26)*CONFIG!$E$110:$E$115))</f>
        <v>514</v>
      </c>
      <c r="G26" s="61">
        <f>IF(OR($D26&lt;EDAD_MIN,$D26&gt;EDAD_MAX),0,SUMPRODUCT((CONFIG!$A$110:$A$115=$C26)*(CONFIG!$B$110:$B$115&lt;=$D26)*(CONFIG!$C$110:$C$115&gt;$D26)*CONFIG!$D$110:$D$115))</f>
        <v>13.5</v>
      </c>
      <c r="H26" s="62">
        <f t="shared" si="4"/>
        <v>1594</v>
      </c>
      <c r="I26" s="62">
        <v>1594</v>
      </c>
      <c r="J26" s="62">
        <f t="shared" si="5"/>
        <v>0</v>
      </c>
      <c r="K26" s="59" t="str">
        <f t="shared" si="6"/>
        <v>APROBADO</v>
      </c>
      <c r="L26" s="62">
        <v>1590.3439000000001</v>
      </c>
      <c r="M26" s="62">
        <f t="shared" si="7"/>
        <v>3.656099999999924</v>
      </c>
      <c r="N26" s="59" t="str">
        <f t="shared" si="8"/>
        <v>APROBADO</v>
      </c>
      <c r="O26" s="63" t="str">
        <f t="shared" si="9"/>
        <v>APROBADO</v>
      </c>
    </row>
    <row r="27" spans="1:18">
      <c r="A27" s="59" t="s">
        <v>509</v>
      </c>
      <c r="B27" s="59" t="s">
        <v>510</v>
      </c>
      <c r="C27" s="60" t="s">
        <v>465</v>
      </c>
      <c r="D27" s="60">
        <v>18</v>
      </c>
      <c r="E27" s="60">
        <v>55</v>
      </c>
      <c r="F27" s="61">
        <f>IF(OR($D27&lt;EDAD_MIN,$D27&gt;EDAD_MAX),0,SUMPRODUCT((CONFIG!$A$110:$A$115=$C27)*(CONFIG!$B$110:$B$115&lt;=$D27)*(CONFIG!$C$110:$C$115&gt;$D27)*CONFIG!$E$110:$E$115))</f>
        <v>558</v>
      </c>
      <c r="G27" s="61">
        <f>IF(OR($D27&lt;EDAD_MIN,$D27&gt;EDAD_MAX),0,SUMPRODUCT((CONFIG!$A$110:$A$115=$C27)*(CONFIG!$B$110:$B$115&lt;=$D27)*(CONFIG!$C$110:$C$115&gt;$D27)*CONFIG!$D$110:$D$115))</f>
        <v>13.1</v>
      </c>
      <c r="H27" s="62">
        <f t="shared" si="4"/>
        <v>1278.5</v>
      </c>
      <c r="I27" s="62">
        <v>1278.5</v>
      </c>
      <c r="J27" s="62">
        <f t="shared" si="5"/>
        <v>0</v>
      </c>
      <c r="K27" s="59" t="str">
        <f t="shared" si="6"/>
        <v>APROBADO</v>
      </c>
      <c r="L27" s="62">
        <v>1274.6174000000001</v>
      </c>
      <c r="M27" s="62">
        <f t="shared" si="7"/>
        <v>3.8825999999999112</v>
      </c>
      <c r="N27" s="59" t="str">
        <f t="shared" si="8"/>
        <v>APROBADO</v>
      </c>
      <c r="O27" s="63" t="str">
        <f t="shared" si="9"/>
        <v>APROBADO</v>
      </c>
    </row>
    <row r="28" spans="1:18">
      <c r="A28" s="59" t="s">
        <v>511</v>
      </c>
      <c r="B28" s="59" t="s">
        <v>512</v>
      </c>
      <c r="C28" s="60" t="s">
        <v>465</v>
      </c>
      <c r="D28" s="60">
        <v>29.99</v>
      </c>
      <c r="E28" s="60">
        <v>70</v>
      </c>
      <c r="F28" s="61">
        <f>IF(OR($D28&lt;EDAD_MIN,$D28&gt;EDAD_MAX),0,SUMPRODUCT((CONFIG!$A$110:$A$115=$C28)*(CONFIG!$B$110:$B$115&lt;=$D28)*(CONFIG!$C$110:$C$115&gt;$D28)*CONFIG!$E$110:$E$115))</f>
        <v>558</v>
      </c>
      <c r="G28" s="61">
        <f>IF(OR($D28&lt;EDAD_MIN,$D28&gt;EDAD_MAX),0,SUMPRODUCT((CONFIG!$A$110:$A$115=$C28)*(CONFIG!$B$110:$B$115&lt;=$D28)*(CONFIG!$C$110:$C$115&gt;$D28)*CONFIG!$D$110:$D$115))</f>
        <v>13.1</v>
      </c>
      <c r="H28" s="62">
        <f t="shared" si="4"/>
        <v>1475</v>
      </c>
      <c r="I28" s="62">
        <v>1475</v>
      </c>
      <c r="J28" s="62">
        <f t="shared" si="5"/>
        <v>0</v>
      </c>
      <c r="K28" s="59" t="str">
        <f t="shared" si="6"/>
        <v>APROBADO</v>
      </c>
      <c r="L28" s="62">
        <v>1470.3631</v>
      </c>
      <c r="M28" s="62">
        <f t="shared" si="7"/>
        <v>4.6368999999999687</v>
      </c>
      <c r="N28" s="59" t="str">
        <f t="shared" si="8"/>
        <v>APROBADO</v>
      </c>
      <c r="O28" s="63" t="str">
        <f t="shared" si="9"/>
        <v>APROBADO</v>
      </c>
    </row>
    <row r="29" spans="1:18">
      <c r="A29" s="59" t="s">
        <v>513</v>
      </c>
      <c r="B29" s="59" t="s">
        <v>514</v>
      </c>
      <c r="C29" s="60" t="s">
        <v>465</v>
      </c>
      <c r="D29" s="60">
        <v>30</v>
      </c>
      <c r="E29" s="60">
        <v>55</v>
      </c>
      <c r="F29" s="61">
        <f>IF(OR($D29&lt;EDAD_MIN,$D29&gt;EDAD_MAX),0,SUMPRODUCT((CONFIG!$A$110:$A$115=$C29)*(CONFIG!$B$110:$B$115&lt;=$D29)*(CONFIG!$C$110:$C$115&gt;$D29)*CONFIG!$E$110:$E$115))</f>
        <v>694</v>
      </c>
      <c r="G29" s="61">
        <f>IF(OR($D29&lt;EDAD_MIN,$D29&gt;EDAD_MAX),0,SUMPRODUCT((CONFIG!$A$110:$A$115=$C29)*(CONFIG!$B$110:$B$115&lt;=$D29)*(CONFIG!$C$110:$C$115&gt;$D29)*CONFIG!$D$110:$D$115))</f>
        <v>9.74</v>
      </c>
      <c r="H29" s="62">
        <f t="shared" si="4"/>
        <v>1229.7</v>
      </c>
      <c r="I29" s="62">
        <v>1229.7</v>
      </c>
      <c r="J29" s="62">
        <f t="shared" si="5"/>
        <v>0</v>
      </c>
      <c r="K29" s="59" t="str">
        <f t="shared" si="6"/>
        <v>APROBADO</v>
      </c>
      <c r="L29" s="62">
        <v>1228.1307999999999</v>
      </c>
      <c r="M29" s="62">
        <f t="shared" si="7"/>
        <v>1.5692000000001372</v>
      </c>
      <c r="N29" s="59" t="str">
        <f t="shared" si="8"/>
        <v>APROBADO</v>
      </c>
      <c r="O29" s="63" t="str">
        <f t="shared" si="9"/>
        <v>APROBADO</v>
      </c>
    </row>
    <row r="30" spans="1:18">
      <c r="A30" s="59" t="s">
        <v>515</v>
      </c>
      <c r="B30" s="59" t="s">
        <v>516</v>
      </c>
      <c r="C30" s="60" t="s">
        <v>465</v>
      </c>
      <c r="D30" s="60">
        <v>59.99</v>
      </c>
      <c r="E30" s="60">
        <v>70</v>
      </c>
      <c r="F30" s="61">
        <f>IF(OR($D30&lt;EDAD_MIN,$D30&gt;EDAD_MAX),0,SUMPRODUCT((CONFIG!$A$110:$A$115=$C30)*(CONFIG!$B$110:$B$115&lt;=$D30)*(CONFIG!$C$110:$C$115&gt;$D30)*CONFIG!$E$110:$E$115))</f>
        <v>694</v>
      </c>
      <c r="G30" s="61">
        <f>IF(OR($D30&lt;EDAD_MIN,$D30&gt;EDAD_MAX),0,SUMPRODUCT((CONFIG!$A$110:$A$115=$C30)*(CONFIG!$B$110:$B$115&lt;=$D30)*(CONFIG!$C$110:$C$115&gt;$D30)*CONFIG!$D$110:$D$115))</f>
        <v>9.74</v>
      </c>
      <c r="H30" s="62">
        <f t="shared" si="4"/>
        <v>1375.8000000000002</v>
      </c>
      <c r="I30" s="62">
        <v>1375.8</v>
      </c>
      <c r="J30" s="62">
        <f t="shared" si="5"/>
        <v>2.2737367544323206E-13</v>
      </c>
      <c r="K30" s="59" t="str">
        <f t="shared" si="6"/>
        <v>APROBADO</v>
      </c>
      <c r="L30" s="62">
        <v>1374.0437999999999</v>
      </c>
      <c r="M30" s="62">
        <f t="shared" si="7"/>
        <v>1.7562000000002627</v>
      </c>
      <c r="N30" s="59" t="str">
        <f t="shared" si="8"/>
        <v>APROBADO</v>
      </c>
      <c r="O30" s="63" t="str">
        <f t="shared" si="9"/>
        <v>APROBADO</v>
      </c>
    </row>
    <row r="31" spans="1:18">
      <c r="A31" s="59" t="s">
        <v>517</v>
      </c>
      <c r="B31" s="59" t="s">
        <v>518</v>
      </c>
      <c r="C31" s="60" t="s">
        <v>465</v>
      </c>
      <c r="D31" s="60">
        <v>60</v>
      </c>
      <c r="E31" s="60">
        <v>55</v>
      </c>
      <c r="F31" s="61">
        <f>IF(OR($D31&lt;EDAD_MIN,$D31&gt;EDAD_MAX),0,SUMPRODUCT((CONFIG!$A$110:$A$115=$C31)*(CONFIG!$B$110:$B$115&lt;=$D31)*(CONFIG!$C$110:$C$115&gt;$D31)*CONFIG!$E$110:$E$115))</f>
        <v>569</v>
      </c>
      <c r="G31" s="61">
        <f>IF(OR($D31&lt;EDAD_MIN,$D31&gt;EDAD_MAX),0,SUMPRODUCT((CONFIG!$A$110:$A$115=$C31)*(CONFIG!$B$110:$B$115&lt;=$D31)*(CONFIG!$C$110:$C$115&gt;$D31)*CONFIG!$D$110:$D$115))</f>
        <v>10.1</v>
      </c>
      <c r="H31" s="62">
        <f t="shared" si="4"/>
        <v>1124.5</v>
      </c>
      <c r="I31" s="62">
        <v>1124.5</v>
      </c>
      <c r="J31" s="62">
        <f t="shared" si="5"/>
        <v>0</v>
      </c>
      <c r="K31" s="59" t="str">
        <f t="shared" si="6"/>
        <v>APROBADO</v>
      </c>
      <c r="L31" s="62">
        <v>1126.1949</v>
      </c>
      <c r="M31" s="62">
        <f t="shared" si="7"/>
        <v>-1.6948999999999614</v>
      </c>
      <c r="N31" s="59" t="str">
        <f t="shared" si="8"/>
        <v>APROBADO</v>
      </c>
      <c r="O31" s="63" t="str">
        <f t="shared" si="9"/>
        <v>APROBADO</v>
      </c>
    </row>
    <row r="32" spans="1:18">
      <c r="A32" s="59" t="s">
        <v>519</v>
      </c>
      <c r="B32" s="59" t="s">
        <v>520</v>
      </c>
      <c r="C32" s="60" t="s">
        <v>465</v>
      </c>
      <c r="D32" s="60">
        <v>75</v>
      </c>
      <c r="E32" s="60">
        <v>70</v>
      </c>
      <c r="F32" s="61">
        <f>IF(OR($D32&lt;EDAD_MIN,$D32&gt;EDAD_MAX),0,SUMPRODUCT((CONFIG!$A$110:$A$115=$C32)*(CONFIG!$B$110:$B$115&lt;=$D32)*(CONFIG!$C$110:$C$115&gt;$D32)*CONFIG!$E$110:$E$115))</f>
        <v>569</v>
      </c>
      <c r="G32" s="61">
        <f>IF(OR($D32&lt;EDAD_MIN,$D32&gt;EDAD_MAX),0,SUMPRODUCT((CONFIG!$A$110:$A$115=$C32)*(CONFIG!$B$110:$B$115&lt;=$D32)*(CONFIG!$C$110:$C$115&gt;$D32)*CONFIG!$D$110:$D$115))</f>
        <v>10.1</v>
      </c>
      <c r="H32" s="62">
        <f t="shared" si="4"/>
        <v>1276</v>
      </c>
      <c r="I32" s="62">
        <v>1276</v>
      </c>
      <c r="J32" s="62">
        <f t="shared" si="5"/>
        <v>0</v>
      </c>
      <c r="K32" s="59" t="str">
        <f t="shared" si="6"/>
        <v>APROBADO</v>
      </c>
      <c r="L32" s="62">
        <v>1278.2025000000001</v>
      </c>
      <c r="M32" s="62">
        <f t="shared" si="7"/>
        <v>-2.2025000000001</v>
      </c>
      <c r="N32" s="59" t="str">
        <f t="shared" si="8"/>
        <v>APROBADO</v>
      </c>
      <c r="O32" s="63" t="str">
        <f t="shared" si="9"/>
        <v>APROBADO</v>
      </c>
    </row>
    <row r="33" spans="1:18" ht="24">
      <c r="A33" s="59" t="s">
        <v>521</v>
      </c>
      <c r="B33" s="59" t="s">
        <v>522</v>
      </c>
      <c r="C33" s="60" t="s">
        <v>80</v>
      </c>
      <c r="D33" s="60">
        <v>17.989999999999998</v>
      </c>
      <c r="E33" s="60">
        <v>60</v>
      </c>
      <c r="F33" s="61">
        <f>IF(OR($D33&lt;EDAD_MIN,$D33&gt;EDAD_MAX),0,SUMPRODUCT((CONFIG!$A$110:$A$115=$C33)*(CONFIG!$B$110:$B$115&lt;=$D33)*(CONFIG!$C$110:$C$115&gt;$D33)*CONFIG!$E$110:$E$115))</f>
        <v>0</v>
      </c>
      <c r="G33" s="61">
        <f>IF(OR($D33&lt;EDAD_MIN,$D33&gt;EDAD_MAX),0,SUMPRODUCT((CONFIG!$A$110:$A$115=$C33)*(CONFIG!$B$110:$B$115&lt;=$D33)*(CONFIG!$C$110:$C$115&gt;$D33)*CONFIG!$D$110:$D$115))</f>
        <v>0</v>
      </c>
      <c r="H33" s="62" t="str">
        <f t="shared" si="4"/>
        <v>ND: fuera del alcance adulto</v>
      </c>
      <c r="I33" s="62" t="s">
        <v>523</v>
      </c>
      <c r="J33" s="62" t="str">
        <f t="shared" si="5"/>
        <v/>
      </c>
      <c r="K33" s="59" t="str">
        <f t="shared" si="6"/>
        <v>APROBADO</v>
      </c>
      <c r="L33" s="62"/>
      <c r="M33" s="62" t="str">
        <f t="shared" si="7"/>
        <v/>
      </c>
      <c r="N33" s="59" t="str">
        <f t="shared" si="8"/>
        <v>N/A</v>
      </c>
      <c r="O33" s="63" t="str">
        <f t="shared" si="9"/>
        <v>APROBADO</v>
      </c>
    </row>
    <row r="34" spans="1:18">
      <c r="A34" s="324" t="s">
        <v>524</v>
      </c>
      <c r="B34" s="324"/>
      <c r="C34" s="324"/>
      <c r="D34" s="324"/>
      <c r="E34" s="324"/>
      <c r="F34" s="324"/>
      <c r="G34" s="324"/>
      <c r="H34" s="324"/>
      <c r="I34" s="324"/>
      <c r="J34" s="324"/>
      <c r="K34" s="324"/>
      <c r="L34" s="324"/>
      <c r="M34" s="324"/>
      <c r="N34" s="324"/>
      <c r="O34" s="324"/>
      <c r="P34" s="324"/>
      <c r="Q34" s="324"/>
      <c r="R34" s="324"/>
    </row>
    <row r="36" spans="1:18" ht="18" customHeight="1">
      <c r="A36" s="1" t="s">
        <v>525</v>
      </c>
      <c r="B36" s="2"/>
      <c r="C36" s="2"/>
      <c r="D36" s="2"/>
      <c r="E36" s="2"/>
      <c r="F36" s="2"/>
      <c r="G36" s="2"/>
      <c r="H36" s="2"/>
      <c r="I36" s="2"/>
      <c r="J36" s="2"/>
      <c r="K36" s="2"/>
      <c r="L36" s="2"/>
      <c r="M36" s="2"/>
      <c r="N36" s="2"/>
      <c r="O36" s="2"/>
      <c r="P36" s="2"/>
      <c r="Q36" s="2"/>
      <c r="R36" s="2"/>
    </row>
    <row r="37" spans="1:18" ht="30" customHeight="1">
      <c r="A37" s="46" t="s">
        <v>151</v>
      </c>
      <c r="B37" s="46" t="s">
        <v>526</v>
      </c>
      <c r="C37" s="46" t="s">
        <v>527</v>
      </c>
      <c r="D37" s="46" t="s">
        <v>528</v>
      </c>
      <c r="E37" s="46" t="s">
        <v>529</v>
      </c>
      <c r="F37" s="46" t="s">
        <v>530</v>
      </c>
      <c r="G37" s="46" t="s">
        <v>531</v>
      </c>
      <c r="H37" s="46" t="s">
        <v>532</v>
      </c>
      <c r="I37" s="46" t="s">
        <v>533</v>
      </c>
      <c r="J37" s="46" t="s">
        <v>534</v>
      </c>
      <c r="K37" s="46" t="s">
        <v>535</v>
      </c>
      <c r="L37" s="46" t="s">
        <v>536</v>
      </c>
      <c r="M37" s="46" t="s">
        <v>537</v>
      </c>
      <c r="N37" s="46" t="s">
        <v>538</v>
      </c>
      <c r="O37" s="46" t="s">
        <v>539</v>
      </c>
      <c r="P37" s="46" t="s">
        <v>193</v>
      </c>
    </row>
    <row r="38" spans="1:18" ht="24">
      <c r="A38" s="64" t="s">
        <v>540</v>
      </c>
      <c r="B38" s="64" t="s">
        <v>1290</v>
      </c>
      <c r="C38" s="60">
        <v>1720</v>
      </c>
      <c r="D38" s="69">
        <v>1.5</v>
      </c>
      <c r="E38" s="60">
        <v>1</v>
      </c>
      <c r="F38" s="65">
        <v>0.1</v>
      </c>
      <c r="G38" s="70">
        <v>-0.15</v>
      </c>
      <c r="H38" s="66">
        <f>$C38*($D38-1)</f>
        <v>860</v>
      </c>
      <c r="I38" s="66">
        <f>IF($E38=1,0,IF($E38=2,($C38+$H38)*$F38,($C38+$H38)*$F38/(1-$F38)))</f>
        <v>0</v>
      </c>
      <c r="J38" s="66">
        <f>$C38+$H38+$I38</f>
        <v>2580</v>
      </c>
      <c r="K38" s="66">
        <f>$J38*(1+$G38)</f>
        <v>2193</v>
      </c>
      <c r="L38" s="66">
        <v>2580</v>
      </c>
      <c r="M38" s="66">
        <v>2193</v>
      </c>
      <c r="N38" s="66">
        <f>$J38-$L38</f>
        <v>0</v>
      </c>
      <c r="O38" s="66">
        <f>$K38-$M38</f>
        <v>0</v>
      </c>
      <c r="P38" s="68" t="str">
        <f>IF(AND(ABS($N38)&lt;=0.5,ABS($O38)&lt;=0.5),"APROBADO","FALLIDO")</f>
        <v>APROBADO</v>
      </c>
    </row>
    <row r="39" spans="1:18" ht="24">
      <c r="A39" s="64" t="s">
        <v>541</v>
      </c>
      <c r="B39" s="64" t="s">
        <v>542</v>
      </c>
      <c r="C39" s="60">
        <v>1720</v>
      </c>
      <c r="D39" s="69">
        <v>1.85</v>
      </c>
      <c r="E39" s="60">
        <v>3</v>
      </c>
      <c r="F39" s="65">
        <v>0.1</v>
      </c>
      <c r="G39" s="70">
        <v>0</v>
      </c>
      <c r="H39" s="66">
        <f>$C39*($D39-1)</f>
        <v>1462.0000000000002</v>
      </c>
      <c r="I39" s="66">
        <f>IF($E39=1,0,IF($E39=2,($C39+$H39)*$F39,($C39+$H39)*$F39/(1-$F39)))</f>
        <v>353.5555555555556</v>
      </c>
      <c r="J39" s="66">
        <f>$C39+$H39+$I39</f>
        <v>3535.5555555555557</v>
      </c>
      <c r="K39" s="66">
        <f>$J39*(1+$G39)</f>
        <v>3535.5555555555557</v>
      </c>
      <c r="L39" s="66">
        <v>3535.5556000000001</v>
      </c>
      <c r="M39" s="66">
        <v>3535.5556000000001</v>
      </c>
      <c r="N39" s="66">
        <f>$J39-$L39</f>
        <v>-4.444444448381546E-5</v>
      </c>
      <c r="O39" s="66">
        <f>$K39-$M39</f>
        <v>-4.444444448381546E-5</v>
      </c>
      <c r="P39" s="68" t="str">
        <f>IF(AND(ABS($N39)&lt;=0.5,ABS($O39)&lt;=0.5),"APROBADO","FALLIDO")</f>
        <v>APROBADO</v>
      </c>
    </row>
    <row r="40" spans="1:18" ht="24">
      <c r="A40" s="64" t="s">
        <v>543</v>
      </c>
      <c r="B40" s="64" t="s">
        <v>1291</v>
      </c>
      <c r="C40" s="60">
        <v>1600</v>
      </c>
      <c r="D40" s="69">
        <v>1.8</v>
      </c>
      <c r="E40" s="60">
        <v>2</v>
      </c>
      <c r="F40" s="65">
        <v>0.1</v>
      </c>
      <c r="G40" s="70">
        <v>0.1</v>
      </c>
      <c r="H40" s="66">
        <f>$C40*($D40-1)</f>
        <v>1280</v>
      </c>
      <c r="I40" s="66">
        <f>IF($E40=1,0,IF($E40=2,($C40+$H40)*$F40,($C40+$H40)*$F40/(1-$F40)))</f>
        <v>288</v>
      </c>
      <c r="J40" s="66">
        <f>$C40+$H40+$I40</f>
        <v>3168</v>
      </c>
      <c r="K40" s="66">
        <f>$J40*(1+$G40)</f>
        <v>3484.8</v>
      </c>
      <c r="L40" s="66">
        <v>3168</v>
      </c>
      <c r="M40" s="66">
        <v>3484.8</v>
      </c>
      <c r="N40" s="66">
        <f>$J40-$L40</f>
        <v>0</v>
      </c>
      <c r="O40" s="66">
        <f>$K40-$M40</f>
        <v>0</v>
      </c>
      <c r="P40" s="68" t="str">
        <f>IF(AND(ABS($N40)&lt;=0.5,ABS($O40)&lt;=0.5),"APROBADO","FALLIDO")</f>
        <v>APROBADO</v>
      </c>
    </row>
    <row r="41" spans="1:18">
      <c r="A41" s="324" t="s">
        <v>544</v>
      </c>
      <c r="B41" s="324"/>
      <c r="C41" s="324"/>
      <c r="D41" s="324"/>
      <c r="E41" s="324"/>
      <c r="F41" s="324"/>
      <c r="G41" s="324"/>
      <c r="H41" s="324"/>
      <c r="I41" s="324"/>
      <c r="J41" s="324"/>
      <c r="K41" s="324"/>
      <c r="L41" s="324"/>
      <c r="M41" s="324"/>
      <c r="N41" s="324"/>
      <c r="O41" s="324"/>
      <c r="P41" s="324"/>
      <c r="Q41" s="324"/>
      <c r="R41" s="324"/>
    </row>
    <row r="43" spans="1:18" ht="18" customHeight="1">
      <c r="A43" s="1" t="s">
        <v>545</v>
      </c>
      <c r="B43" s="2"/>
      <c r="C43" s="2"/>
      <c r="D43" s="2"/>
      <c r="E43" s="2"/>
      <c r="F43" s="2"/>
      <c r="G43" s="2"/>
      <c r="H43" s="2"/>
      <c r="I43" s="2"/>
      <c r="J43" s="2"/>
      <c r="K43" s="2"/>
      <c r="L43" s="2"/>
      <c r="M43" s="2"/>
      <c r="N43" s="2"/>
      <c r="O43" s="2"/>
      <c r="P43" s="2"/>
      <c r="Q43" s="2"/>
      <c r="R43" s="2"/>
    </row>
    <row r="44" spans="1:18" ht="30" customHeight="1">
      <c r="A44" s="46" t="s">
        <v>151</v>
      </c>
      <c r="B44" s="46" t="s">
        <v>546</v>
      </c>
      <c r="C44" s="46" t="s">
        <v>547</v>
      </c>
      <c r="D44" s="46" t="s">
        <v>548</v>
      </c>
      <c r="E44" s="46" t="s">
        <v>549</v>
      </c>
      <c r="F44" s="46" t="s">
        <v>550</v>
      </c>
      <c r="G44" s="46" t="s">
        <v>193</v>
      </c>
    </row>
    <row r="45" spans="1:18" ht="24" customHeight="1">
      <c r="A45" s="64" t="s">
        <v>551</v>
      </c>
      <c r="B45" s="64" t="s">
        <v>552</v>
      </c>
      <c r="C45" s="60">
        <v>15</v>
      </c>
      <c r="D45" s="60"/>
      <c r="E45" s="64" t="s">
        <v>553</v>
      </c>
      <c r="F45" s="64" t="str">
        <f>IF(ISBLANK($C45),"ERROR: vacío",IF(NOT(ISNUMBER($C45)),"ERROR: no es numérico",IF(OR($C45&lt;EDAD_MIN,$C45&gt;EDAD_MAX),"ERROR: edad fuera del alcance (solo adultos)","OK")))</f>
        <v>ERROR: edad fuera del alcance (solo adultos)</v>
      </c>
      <c r="G45" s="68" t="str">
        <f t="shared" ref="G45:G60" si="10">IF($E45=$F45,"APROBADO","FALLIDO")</f>
        <v>APROBADO</v>
      </c>
    </row>
    <row r="46" spans="1:18" ht="24" customHeight="1">
      <c r="A46" s="64" t="s">
        <v>554</v>
      </c>
      <c r="B46" s="64" t="s">
        <v>555</v>
      </c>
      <c r="C46" s="60" t="s">
        <v>556</v>
      </c>
      <c r="D46" s="60"/>
      <c r="E46" s="64" t="s">
        <v>557</v>
      </c>
      <c r="F46" s="64" t="str">
        <f>IF(ISBLANK($C46),"ERROR: vacío",IF(NOT(ISNUMBER($C46)),"ERROR: no es numérico",IF(OR($C46&lt;EDAD_MIN,$C46&gt;EDAD_MAX),"ERROR: edad fuera del alcance (solo adultos)","OK")))</f>
        <v>ERROR: no es numérico</v>
      </c>
      <c r="G46" s="68" t="str">
        <f t="shared" si="10"/>
        <v>APROBADO</v>
      </c>
    </row>
    <row r="47" spans="1:18" ht="24" customHeight="1">
      <c r="A47" s="64" t="s">
        <v>558</v>
      </c>
      <c r="B47" s="64" t="s">
        <v>559</v>
      </c>
      <c r="C47" s="60">
        <v>-70</v>
      </c>
      <c r="D47" s="60"/>
      <c r="E47" s="64" t="s">
        <v>560</v>
      </c>
      <c r="F47" s="64" t="str">
        <f>IF(ISBLANK($C47),"ERROR: vacío",IF(NOT(ISNUMBER($C47)),"ERROR: no es numérico",IF($C47&lt;=0,"ERROR: el peso debe ser mayor que cero",IF(OR($C47&lt;PESO_MIN,$C47&gt;PESO_MAX),"ERROR: peso imposible en un adulto","OK"))))</f>
        <v>ERROR: el peso debe ser mayor que cero</v>
      </c>
      <c r="G47" s="68" t="str">
        <f t="shared" si="10"/>
        <v>APROBADO</v>
      </c>
    </row>
    <row r="48" spans="1:18" ht="24" customHeight="1">
      <c r="A48" s="64" t="s">
        <v>561</v>
      </c>
      <c r="B48" s="64" t="s">
        <v>562</v>
      </c>
      <c r="C48" s="60">
        <v>0</v>
      </c>
      <c r="D48" s="60"/>
      <c r="E48" s="64" t="s">
        <v>560</v>
      </c>
      <c r="F48" s="64" t="str">
        <f>IF(ISBLANK($C48),"ERROR: vacío",IF(NOT(ISNUMBER($C48)),"ERROR: no es numérico",IF($C48&lt;=0,"ERROR: el peso debe ser mayor que cero",IF(OR($C48&lt;PESO_MIN,$C48&gt;PESO_MAX),"ERROR: peso imposible en un adulto","OK"))))</f>
        <v>ERROR: el peso debe ser mayor que cero</v>
      </c>
      <c r="G48" s="68" t="str">
        <f t="shared" si="10"/>
        <v>APROBADO</v>
      </c>
    </row>
    <row r="49" spans="1:18" ht="24" customHeight="1">
      <c r="A49" s="64" t="s">
        <v>563</v>
      </c>
      <c r="B49" s="64" t="s">
        <v>564</v>
      </c>
      <c r="C49" s="60"/>
      <c r="D49" s="60"/>
      <c r="E49" s="64" t="s">
        <v>565</v>
      </c>
      <c r="F49" s="64" t="str">
        <f>IF(ISBLANK($C49),"ERROR: vacío",IF(NOT(ISNUMBER($C49)),"ERROR: no es numérico",IF($C49&lt;=0,"ERROR: la estatura debe ser mayor que cero",IF(OR($C49&lt;EST_MIN,$C49&gt;EST_MAX),"ERROR: estatura imposible","OK"))))</f>
        <v>ERROR: vacío</v>
      </c>
      <c r="G49" s="68" t="str">
        <f t="shared" si="10"/>
        <v>APROBADO</v>
      </c>
    </row>
    <row r="50" spans="1:18" ht="24" customHeight="1">
      <c r="A50" s="64" t="s">
        <v>566</v>
      </c>
      <c r="B50" s="64" t="s">
        <v>567</v>
      </c>
      <c r="C50" s="60">
        <v>400</v>
      </c>
      <c r="D50" s="60"/>
      <c r="E50" s="64" t="s">
        <v>568</v>
      </c>
      <c r="F50" s="64" t="str">
        <f>IF(ISBLANK($C50),"ERROR: vacío",IF(NOT(ISNUMBER($C50)),"ERROR: no es numérico",IF($C50&lt;=0,"ERROR: la estatura debe ser mayor que cero",IF(OR($C50&lt;EST_MIN,$C50&gt;EST_MAX),"ERROR: estatura imposible","OK"))))</f>
        <v>ERROR: estatura imposible</v>
      </c>
      <c r="G50" s="68" t="str">
        <f t="shared" si="10"/>
        <v>APROBADO</v>
      </c>
    </row>
    <row r="51" spans="1:18" ht="24" customHeight="1">
      <c r="A51" s="64" t="s">
        <v>569</v>
      </c>
      <c r="B51" s="64" t="s">
        <v>570</v>
      </c>
      <c r="C51" s="60">
        <v>0.9</v>
      </c>
      <c r="D51" s="60"/>
      <c r="E51" s="64" t="s">
        <v>571</v>
      </c>
      <c r="F51" s="64" t="str">
        <f>IF(ISBLANK($C51),"NO INGRESADO (opcional)",IF(NOT(ISNUMBER($C51)),"ERROR: no es numérico",IF(OR($C51&lt;GRASA_MIN,$C51&gt;GRASA_MAX),"ERROR: % de grasa imposible","OK")))</f>
        <v>ERROR: % de grasa imposible</v>
      </c>
      <c r="G51" s="68" t="str">
        <f t="shared" si="10"/>
        <v>APROBADO</v>
      </c>
    </row>
    <row r="52" spans="1:18" ht="24" customHeight="1">
      <c r="A52" s="64" t="s">
        <v>572</v>
      </c>
      <c r="B52" s="64" t="s">
        <v>573</v>
      </c>
      <c r="C52" s="60"/>
      <c r="D52" s="60"/>
      <c r="E52" s="64" t="s">
        <v>574</v>
      </c>
      <c r="F52" s="64" t="str">
        <f>IF(ISBLANK($C52),"NO INGRESADO (opcional)",IF(NOT(ISNUMBER($C52)),"ERROR: no es numérico",IF(OR($C52&lt;GRASA_MIN,$C52&gt;GRASA_MAX),"ERROR: % de grasa imposible","OK")))</f>
        <v>NO INGRESADO (opcional)</v>
      </c>
      <c r="G52" s="68" t="str">
        <f t="shared" si="10"/>
        <v>APROBADO</v>
      </c>
    </row>
    <row r="53" spans="1:18" ht="24" customHeight="1">
      <c r="A53" s="64" t="s">
        <v>575</v>
      </c>
      <c r="B53" s="64" t="s">
        <v>576</v>
      </c>
      <c r="C53" s="60">
        <v>80</v>
      </c>
      <c r="D53" s="60">
        <v>75</v>
      </c>
      <c r="E53" s="64" t="s">
        <v>577</v>
      </c>
      <c r="F53" s="64" t="str">
        <f>IF(ISBLANK($C53),"NO INGRESADA (opcional)",IF(NOT(ISNUMBER($C53)),"ERROR: no es numérico",IF(NOT(ISNUMBER($D53)),"NO APLICA",IF($C53&gt;=$D53,"ERROR: la MLG es mayor o igual al peso","OK"))))</f>
        <v>ERROR: la MLG es mayor o igual al peso</v>
      </c>
      <c r="G53" s="68" t="str">
        <f t="shared" si="10"/>
        <v>APROBADO</v>
      </c>
    </row>
    <row r="54" spans="1:18" ht="24" customHeight="1">
      <c r="A54" s="64" t="s">
        <v>578</v>
      </c>
      <c r="B54" s="64" t="s">
        <v>579</v>
      </c>
      <c r="C54" s="60">
        <v>0.6</v>
      </c>
      <c r="D54" s="60">
        <v>0.5</v>
      </c>
      <c r="E54" s="64" t="s">
        <v>580</v>
      </c>
      <c r="F54" s="64" t="str">
        <f>IF(ISNUMBER($C54)*ISNUMBER($D54)=0,"ERROR: valores no numéricos",IF($C54+$D54&gt;1,"ERROR: los % de proteína y grasa superan el 100 %","OK"))</f>
        <v>ERROR: los % de proteína y grasa superan el 100 %</v>
      </c>
      <c r="G54" s="68" t="str">
        <f t="shared" si="10"/>
        <v>APROBADO</v>
      </c>
    </row>
    <row r="55" spans="1:18" ht="24" customHeight="1">
      <c r="A55" s="64" t="s">
        <v>581</v>
      </c>
      <c r="B55" s="64" t="s">
        <v>582</v>
      </c>
      <c r="C55" s="60">
        <v>-1.2</v>
      </c>
      <c r="D55" s="60"/>
      <c r="E55" s="64" t="s">
        <v>583</v>
      </c>
      <c r="F55" s="64" t="str">
        <f>IF(ISBLANK($C55),"ERROR: vacío",IF(NOT(ISNUMBER($C55)),"ERROR: no es numérico",IF($C55&lt;0,"ERROR: la proteína no puede ser negativa","OK")))</f>
        <v>ERROR: la proteína no puede ser negativa</v>
      </c>
      <c r="G55" s="68" t="str">
        <f t="shared" si="10"/>
        <v>APROBADO</v>
      </c>
    </row>
    <row r="56" spans="1:18" ht="24" customHeight="1">
      <c r="A56" s="64" t="s">
        <v>584</v>
      </c>
      <c r="B56" s="64" t="s">
        <v>585</v>
      </c>
      <c r="C56" s="60">
        <v>23</v>
      </c>
      <c r="D56" s="60"/>
      <c r="E56" s="64" t="s">
        <v>586</v>
      </c>
      <c r="F56" s="64" t="str">
        <f>IF(ABS($C56-HORAS_DIA)&gt;0.001,"ERROR: el registro de ACTIVIDADES no suma 24 h","OK")</f>
        <v>ERROR: el registro de ACTIVIDADES no suma 24 h</v>
      </c>
      <c r="G56" s="68" t="str">
        <f t="shared" si="10"/>
        <v>APROBADO</v>
      </c>
    </row>
    <row r="57" spans="1:18" ht="24" customHeight="1">
      <c r="A57" s="64" t="s">
        <v>587</v>
      </c>
      <c r="B57" s="64" t="s">
        <v>588</v>
      </c>
      <c r="C57" s="60">
        <v>3.5</v>
      </c>
      <c r="D57" s="60"/>
      <c r="E57" s="64" t="s">
        <v>589</v>
      </c>
      <c r="F57" s="64" t="str">
        <f>IF(NOT(ISNUMBER($C57)),"ERROR: no se pudo determinar el factor de actividad",IF(OR($C57&lt;FA_MIN,$C57&gt;FA_MAX),"ERROR: factor de actividad fuera de límites","OK"))</f>
        <v>ERROR: factor de actividad fuera de límites</v>
      </c>
      <c r="G57" s="68" t="str">
        <f t="shared" si="10"/>
        <v>APROBADO</v>
      </c>
    </row>
    <row r="58" spans="1:18" ht="24" customHeight="1">
      <c r="A58" s="59" t="s">
        <v>590</v>
      </c>
      <c r="B58" s="59" t="s">
        <v>591</v>
      </c>
      <c r="C58" s="60">
        <v>0.3</v>
      </c>
      <c r="D58" s="60">
        <v>0.7</v>
      </c>
      <c r="E58" s="59" t="s">
        <v>592</v>
      </c>
      <c r="F58" s="59" t="str">
        <f>IF(ISNUMBER($C58)*ISNUMBER($D58)=0,"ERROR: valores no numéricos",IF($C58+$D58&gt;1,"ERROR: los % de proteína y grasa superan el 100 %","OK"))</f>
        <v>OK</v>
      </c>
      <c r="G58" s="63" t="str">
        <f t="shared" si="10"/>
        <v>APROBADO</v>
      </c>
    </row>
    <row r="59" spans="1:18" ht="24" customHeight="1">
      <c r="A59" s="59" t="s">
        <v>593</v>
      </c>
      <c r="B59" s="59" t="s">
        <v>594</v>
      </c>
      <c r="C59" s="60">
        <v>0.3</v>
      </c>
      <c r="D59" s="60">
        <v>0.69899999999999995</v>
      </c>
      <c r="E59" s="59" t="s">
        <v>592</v>
      </c>
      <c r="F59" s="59" t="str">
        <f>IF(ISNUMBER($C59)*ISNUMBER($D59)=0,"ERROR: valores no numéricos",IF($C59+$D59&gt;1,"ERROR: los % de proteína y grasa superan el 100 %","OK"))</f>
        <v>OK</v>
      </c>
      <c r="G59" s="63" t="str">
        <f t="shared" si="10"/>
        <v>APROBADO</v>
      </c>
    </row>
    <row r="60" spans="1:18" ht="24" customHeight="1">
      <c r="A60" s="59" t="s">
        <v>595</v>
      </c>
      <c r="B60" s="59" t="s">
        <v>596</v>
      </c>
      <c r="C60" s="60">
        <v>0.3</v>
      </c>
      <c r="D60" s="60">
        <v>0.70099999999999996</v>
      </c>
      <c r="E60" s="59" t="s">
        <v>580</v>
      </c>
      <c r="F60" s="59" t="str">
        <f>IF(ISNUMBER($C60)*ISNUMBER($D60)=0,"ERROR: valores no numéricos",IF($C60+$D60&gt;1,"ERROR: los % de proteína y grasa superan el 100 %","OK"))</f>
        <v>ERROR: los % de proteína y grasa superan el 100 %</v>
      </c>
      <c r="G60" s="63" t="str">
        <f t="shared" si="10"/>
        <v>APROBADO</v>
      </c>
    </row>
    <row r="62" spans="1:18" ht="18" customHeight="1">
      <c r="A62" s="1" t="s">
        <v>597</v>
      </c>
      <c r="B62" s="2"/>
      <c r="C62" s="2"/>
      <c r="D62" s="2"/>
      <c r="E62" s="2"/>
      <c r="F62" s="2"/>
      <c r="G62" s="2"/>
      <c r="H62" s="2"/>
      <c r="I62" s="2"/>
      <c r="J62" s="2"/>
      <c r="K62" s="2"/>
      <c r="L62" s="2"/>
      <c r="M62" s="2"/>
      <c r="N62" s="2"/>
      <c r="O62" s="2"/>
      <c r="P62" s="2"/>
      <c r="Q62" s="2"/>
      <c r="R62" s="2"/>
    </row>
    <row r="63" spans="1:18">
      <c r="A63" s="324" t="s">
        <v>598</v>
      </c>
      <c r="B63" s="324"/>
      <c r="C63" s="324"/>
      <c r="D63" s="324"/>
      <c r="E63" s="324"/>
      <c r="F63" s="324"/>
      <c r="G63" s="324"/>
      <c r="H63" s="324"/>
      <c r="I63" s="324"/>
      <c r="J63" s="324"/>
      <c r="K63" s="324"/>
      <c r="L63" s="324"/>
      <c r="M63" s="324"/>
      <c r="N63" s="324"/>
      <c r="O63" s="324"/>
      <c r="P63" s="324"/>
      <c r="Q63" s="324"/>
      <c r="R63" s="324"/>
    </row>
    <row r="64" spans="1:18" ht="30" customHeight="1">
      <c r="A64" s="46" t="s">
        <v>151</v>
      </c>
      <c r="B64" s="46" t="s">
        <v>152</v>
      </c>
      <c r="C64" s="46" t="s">
        <v>599</v>
      </c>
      <c r="D64" s="46" t="s">
        <v>600</v>
      </c>
      <c r="E64" s="46" t="s">
        <v>601</v>
      </c>
      <c r="F64" s="46" t="s">
        <v>459</v>
      </c>
      <c r="G64" s="46" t="s">
        <v>193</v>
      </c>
      <c r="H64" s="46" t="s">
        <v>602</v>
      </c>
    </row>
    <row r="65" spans="1:18" ht="25.5" customHeight="1">
      <c r="A65" s="64" t="s">
        <v>603</v>
      </c>
      <c r="B65" s="64" t="s">
        <v>604</v>
      </c>
      <c r="C65" s="64" t="s">
        <v>605</v>
      </c>
      <c r="D65" s="66">
        <f>ECUACIONES!$F$7</f>
        <v>1810</v>
      </c>
      <c r="E65" s="66">
        <f>IF(ECUACIONES!$E$7&lt;&gt;"SÍ","ND",IF(in_Sexo="Hombre",10*in_Peso+6.25*in_Est-5*in_Edad+5,10*in_Peso+6.25*in_Est-5*in_Edad-161))</f>
        <v>1810</v>
      </c>
      <c r="F65" s="66">
        <f t="shared" ref="F65:F71" si="11">IF(OR(NOT(ISNUMBER($D65)),NOT(ISNUMBER($E65))),"ND",$D65-$E65)</f>
        <v>0</v>
      </c>
      <c r="G65" s="68" t="str">
        <f t="shared" ref="G65:G71" si="12">IF(AND(NOT(ISNUMBER($D65)),NOT(ISNUMBER($E65))),IF($D65=$E65,"APROBADO","FALLIDO"),IF(NOT(ISNUMBER($F65)),"FALLIDO",IF(ABS($F65)&lt;=0.5,"APROBADO","FALLIDO")))</f>
        <v>APROBADO</v>
      </c>
      <c r="H65" s="44"/>
    </row>
    <row r="66" spans="1:18" ht="25.5" customHeight="1">
      <c r="A66" s="64" t="s">
        <v>606</v>
      </c>
      <c r="B66" s="64" t="s">
        <v>607</v>
      </c>
      <c r="C66" s="64" t="s">
        <v>608</v>
      </c>
      <c r="D66" s="66">
        <f>ECUACIONES!$F$8</f>
        <v>1883.6080000000002</v>
      </c>
      <c r="E66" s="66">
        <f>IF(ECUACIONES!$E$8&lt;&gt;"SÍ","ND",IF(in_Sexo="Hombre",88.362+13.397*in_Peso+4.799*in_Est-5.677*in_Edad,447.593+9.247*in_Peso+3.098*in_Est-4.33*in_Edad))</f>
        <v>1883.6080000000002</v>
      </c>
      <c r="F66" s="66">
        <f t="shared" si="11"/>
        <v>0</v>
      </c>
      <c r="G66" s="68" t="str">
        <f t="shared" si="12"/>
        <v>APROBADO</v>
      </c>
      <c r="H66" s="44"/>
    </row>
    <row r="67" spans="1:18" ht="25.5" customHeight="1">
      <c r="A67" s="59" t="s">
        <v>609</v>
      </c>
      <c r="B67" s="59" t="s">
        <v>610</v>
      </c>
      <c r="C67" s="59" t="s">
        <v>611</v>
      </c>
      <c r="D67" s="62">
        <f>ECUACIONES!$F$12</f>
        <v>1866.6460000000002</v>
      </c>
      <c r="E67" s="62">
        <f>IF(ECUACIONES!$E$12&lt;&gt;"SÍ","ND",IF(in_Sexo="Hombre",IF(in_Edad&lt;30,15.057*in_Peso+692.2,IF(in_Edad&lt;60,11.472*in_Peso+873.1,11.711*in_Peso+587.7)),IF(in_Edad&lt;30,14.818*in_Peso+486.6,IF(in_Edad&lt;60,8.126*in_Peso+845.6,9.082*in_Peso+658.5))))</f>
        <v>1866.6460000000002</v>
      </c>
      <c r="F67" s="62">
        <f t="shared" si="11"/>
        <v>0</v>
      </c>
      <c r="G67" s="63" t="str">
        <f t="shared" si="12"/>
        <v>APROBADO</v>
      </c>
      <c r="H67" s="44"/>
    </row>
    <row r="68" spans="1:18" ht="25.5" customHeight="1">
      <c r="A68" s="59" t="s">
        <v>612</v>
      </c>
      <c r="B68" s="59" t="s">
        <v>613</v>
      </c>
      <c r="C68" s="59" t="s">
        <v>614</v>
      </c>
      <c r="D68" s="62">
        <f>ECUACIONES!$F$13</f>
        <v>1793</v>
      </c>
      <c r="E68" s="62">
        <f>IF(ECUACIONES!$E$13&lt;&gt;"SÍ","ND",IF(in_Sexo="Hombre",IF(in_Edad&lt;30,16*in_Peso+545,IF(in_Edad&lt;60,14.2*in_Peso+593,13.5*in_Peso+514)),IF(in_Edad&lt;30,13.1*in_Peso+558,IF(in_Edad&lt;60,9.74*in_Peso+694,10.1*in_Peso+569))))</f>
        <v>1793</v>
      </c>
      <c r="F68" s="62">
        <f t="shared" si="11"/>
        <v>0</v>
      </c>
      <c r="G68" s="63" t="str">
        <f t="shared" si="12"/>
        <v>APROBADO</v>
      </c>
      <c r="H68" s="44"/>
    </row>
    <row r="69" spans="1:18" ht="25.5" customHeight="1">
      <c r="A69" s="59" t="s">
        <v>615</v>
      </c>
      <c r="B69" s="59" t="s">
        <v>616</v>
      </c>
      <c r="C69" s="59" t="s">
        <v>617</v>
      </c>
      <c r="D69" s="62">
        <f>ECUACIONES!$F$9</f>
        <v>1674.6</v>
      </c>
      <c r="E69" s="62">
        <f>IF(ECUACIONES!$E$9&lt;&gt;"SÍ","ND",IF(in_Sexo="Hombre",879+10.2*in_Peso,795+7.18*in_Peso))</f>
        <v>1674.6</v>
      </c>
      <c r="F69" s="62">
        <f t="shared" si="11"/>
        <v>0</v>
      </c>
      <c r="G69" s="63" t="str">
        <f t="shared" si="12"/>
        <v>APROBADO</v>
      </c>
      <c r="H69" s="44"/>
    </row>
    <row r="70" spans="1:18" ht="25.5" customHeight="1">
      <c r="A70" s="59" t="s">
        <v>618</v>
      </c>
      <c r="B70" s="59" t="s">
        <v>619</v>
      </c>
      <c r="C70" s="59" t="s">
        <v>620</v>
      </c>
      <c r="D70" s="62">
        <f>ECUACIONES!$F$10</f>
        <v>1864</v>
      </c>
      <c r="E70" s="62">
        <f>IF(ECUACIONES!$E$10&lt;&gt;"SÍ","ND",IF(NOT(ISNUMBER($H70)),"ND",500+22*$H70))</f>
        <v>1864</v>
      </c>
      <c r="F70" s="62">
        <f t="shared" si="11"/>
        <v>0</v>
      </c>
      <c r="G70" s="63" t="str">
        <f t="shared" si="12"/>
        <v>APROBADO</v>
      </c>
      <c r="H70" s="71">
        <f>IF(OR(NOT(ISNUMBER(in_Peso)),in_Peso&lt;=0),"ND",IF(AND(NOT(ISBLANK(in_MLG)),ISNUMBER(in_MLG),in_MLG&gt;0,in_MLG&lt;in_Peso),in_MLG,IF(AND(NOT(ISBLANK(in_Grasa)),ISNUMBER(in_Grasa),in_Grasa&gt;=GRASA_MIN,in_Grasa&lt;=GRASA_MAX),in_Peso*(1-in_Grasa),"ND")))</f>
        <v>62</v>
      </c>
      <c r="I70" s="286" t="s">
        <v>621</v>
      </c>
      <c r="J70" s="286"/>
      <c r="K70" s="286"/>
      <c r="L70" s="286"/>
      <c r="M70" s="286"/>
      <c r="N70" s="286"/>
      <c r="O70" s="286"/>
      <c r="P70" s="286"/>
      <c r="Q70" s="286"/>
      <c r="R70" s="286"/>
    </row>
    <row r="71" spans="1:18" ht="25.5" customHeight="1">
      <c r="A71" s="59" t="s">
        <v>622</v>
      </c>
      <c r="B71" s="59" t="s">
        <v>623</v>
      </c>
      <c r="C71" s="59" t="s">
        <v>624</v>
      </c>
      <c r="D71" s="62">
        <f>ECUACIONES!$F$11</f>
        <v>1709.2</v>
      </c>
      <c r="E71" s="62">
        <f>IF(ECUACIONES!$E$11&lt;&gt;"SÍ","ND",IF(NOT(ISNUMBER($H71)),"ND",370+21.6*$H71))</f>
        <v>1709.2</v>
      </c>
      <c r="F71" s="62">
        <f t="shared" si="11"/>
        <v>0</v>
      </c>
      <c r="G71" s="63" t="str">
        <f t="shared" si="12"/>
        <v>APROBADO</v>
      </c>
      <c r="H71" s="71">
        <f>IF(OR(NOT(ISNUMBER(in_Peso)),in_Peso&lt;=0),"ND",IF(AND(NOT(ISBLANK(in_MLG)),ISNUMBER(in_MLG),in_MLG&gt;0,in_MLG&lt;in_Peso),in_MLG,IF(AND(NOT(ISBLANK(in_Grasa)),ISNUMBER(in_Grasa),in_Grasa&gt;=GRASA_MIN,in_Grasa&lt;=GRASA_MAX),in_Peso*(1-in_Grasa),"ND")))</f>
        <v>62</v>
      </c>
      <c r="I71" s="286"/>
      <c r="J71" s="286"/>
      <c r="K71" s="286"/>
      <c r="L71" s="286"/>
      <c r="M71" s="286"/>
      <c r="N71" s="286"/>
      <c r="O71" s="286"/>
      <c r="P71" s="286"/>
      <c r="Q71" s="286"/>
      <c r="R71" s="286"/>
    </row>
    <row r="73" spans="1:18" ht="18" customHeight="1">
      <c r="A73" s="1" t="s">
        <v>625</v>
      </c>
      <c r="B73" s="2"/>
      <c r="C73" s="2"/>
      <c r="D73" s="2"/>
      <c r="E73" s="2"/>
      <c r="F73" s="2"/>
      <c r="G73" s="2"/>
      <c r="H73" s="2"/>
      <c r="I73" s="2"/>
      <c r="J73" s="2"/>
      <c r="K73" s="2"/>
      <c r="L73" s="2"/>
      <c r="M73" s="2"/>
      <c r="N73" s="2"/>
      <c r="O73" s="2"/>
      <c r="P73" s="2"/>
      <c r="Q73" s="2"/>
      <c r="R73" s="2"/>
    </row>
    <row r="74" spans="1:18" ht="30" customHeight="1">
      <c r="A74" s="72" t="s">
        <v>151</v>
      </c>
      <c r="B74" s="72" t="s">
        <v>227</v>
      </c>
      <c r="C74" s="72" t="s">
        <v>547</v>
      </c>
      <c r="D74" s="72" t="s">
        <v>548</v>
      </c>
      <c r="E74" s="72" t="s">
        <v>626</v>
      </c>
      <c r="F74" s="72" t="s">
        <v>627</v>
      </c>
      <c r="G74" s="72" t="s">
        <v>459</v>
      </c>
      <c r="H74" s="72" t="s">
        <v>193</v>
      </c>
    </row>
    <row r="75" spans="1:18" ht="25.5" customHeight="1">
      <c r="A75" s="73" t="s">
        <v>628</v>
      </c>
      <c r="B75" s="73" t="s">
        <v>629</v>
      </c>
      <c r="C75" s="73"/>
      <c r="D75" s="73"/>
      <c r="E75" s="74">
        <f>ACTIVIDADES!$B$20</f>
        <v>24</v>
      </c>
      <c r="F75" s="74">
        <f>HORAS_DIA</f>
        <v>24</v>
      </c>
      <c r="G75" s="74">
        <f>$E75-$F75</f>
        <v>0</v>
      </c>
      <c r="H75" s="75" t="str">
        <f>IF(ABS($G75)&lt;=0.001,"APROBADO","FALLIDO")</f>
        <v>APROBADO</v>
      </c>
    </row>
    <row r="76" spans="1:18" ht="25.5" customHeight="1">
      <c r="A76" s="73" t="s">
        <v>630</v>
      </c>
      <c r="B76" s="73" t="s">
        <v>631</v>
      </c>
      <c r="C76" s="73"/>
      <c r="D76" s="73"/>
      <c r="E76" s="74">
        <f>ACTIVIDADES!$B$21</f>
        <v>43.3</v>
      </c>
      <c r="F76" s="74">
        <f>IF(COUNT(ACTIVIDADES!$D$7:$D$18)&lt;&gt;12,"ND: hay filas sin actividad válida",SUMPRODUCT(ACTIVIDADES!$D$7:$D$18,ACTIVIDADES!$E$7:$E$18))</f>
        <v>43.3</v>
      </c>
      <c r="G76" s="74">
        <f>IF(NOT(ISNUMBER($F76)),"ND",$E76-$F76)</f>
        <v>0</v>
      </c>
      <c r="H76" s="75" t="str">
        <f>IF(NOT(ISNUMBER($G76)),"FALLIDO",IF(ABS($G76)&lt;=0.0001,"APROBADO","FALLIDO"))</f>
        <v>APROBADO</v>
      </c>
    </row>
    <row r="77" spans="1:18" ht="25.5" customHeight="1">
      <c r="A77" s="76" t="s">
        <v>632</v>
      </c>
      <c r="B77" s="76" t="s">
        <v>633</v>
      </c>
      <c r="C77" s="76"/>
      <c r="D77" s="76"/>
      <c r="E77" s="77" t="str">
        <f>ACTIVIDADES!$B$25</f>
        <v>NO CALCULADO · revalidar actividades</v>
      </c>
      <c r="F77" s="77">
        <f>IF(OR(NOT(ISNUMBER(in_Peso)),in_Peso&lt;=0),"ND",ACTIVIDADES!$B$21*in_Peso*MET_KCAL)</f>
        <v>3377.3999999999996</v>
      </c>
      <c r="G77" s="77" t="str">
        <f>IF(OR(NOT(ISNUMBER($E77)),NOT(ISNUMBER($F77))),"ND",$E77-$F77)</f>
        <v>ND</v>
      </c>
      <c r="H77" s="78" t="str">
        <f>IF(NOT(ISNUMBER($G77)),"FALLIDO",IF(ABS($G77)&lt;=0.0001,"APROBADO","FALLIDO"))</f>
        <v>FALLIDO</v>
      </c>
    </row>
    <row r="78" spans="1:18" ht="25.5" customHeight="1">
      <c r="A78" s="76" t="s">
        <v>634</v>
      </c>
      <c r="B78" s="76" t="s">
        <v>635</v>
      </c>
      <c r="C78" s="76"/>
      <c r="D78" s="76"/>
      <c r="E78" s="77" t="str">
        <f>ACTIVIDADES!$B$27</f>
        <v>NO CALCULADO</v>
      </c>
      <c r="F78" s="77" t="str">
        <f>IF(OR(NOT(ISNUMBER(ACTIVIDADES!$B$25)),NOT(ISNUMBER(ACTIVIDADES!$B$26)),ACTIVIDADES!$B$26&lt;=0),"ND",ACTIVIDADES!$B$25/ACTIVIDADES!$B$26)</f>
        <v>ND</v>
      </c>
      <c r="G78" s="77" t="str">
        <f>IF(OR(NOT(ISNUMBER($E78)),NOT(ISNUMBER($F78))),"ND",$E78-$F78)</f>
        <v>ND</v>
      </c>
      <c r="H78" s="78" t="str">
        <f>IF(NOT(ISNUMBER($G78)),"FALLIDO",IF(ABS($G78)&lt;=0.000001,"APROBADO","FALLIDO"))</f>
        <v>FALLIDO</v>
      </c>
    </row>
    <row r="79" spans="1:18" ht="50.25" customHeight="1">
      <c r="A79" s="76" t="s">
        <v>636</v>
      </c>
      <c r="B79" s="76" t="s">
        <v>637</v>
      </c>
      <c r="C79" s="79">
        <v>1600</v>
      </c>
      <c r="D79" s="79">
        <v>1900</v>
      </c>
      <c r="E79" s="77">
        <f>IF(OR(NOT(ISNUMBER(ACTIVIDADES!$B$21)),NOT(ISNUMBER($C79)),NOT(ISNUMBER($D79)),$C79&lt;=0,$D79&lt;=0),"ND",ACTIVIDADES!$B$21*80*MET_KCAL/$C79-ACTIVIDADES!$B$21*80*MET_KCAL/$D79)</f>
        <v>0.34184210526315795</v>
      </c>
      <c r="F79" s="77" t="s">
        <v>638</v>
      </c>
      <c r="G79" s="77" t="str">
        <f>IF(NOT(ISNUMBER($E79)),"ND","—")</f>
        <v>—</v>
      </c>
      <c r="H79" s="78" t="str">
        <f>IF(NOT(ISNUMBER($E79)),"FALLIDO",IF(ABS($E79)&gt;0.001,"APROBADO","FALLIDO"))</f>
        <v>APROBADO</v>
      </c>
    </row>
    <row r="81" spans="1:18" ht="18" customHeight="1">
      <c r="A81" s="1" t="s">
        <v>639</v>
      </c>
      <c r="B81" s="2"/>
      <c r="C81" s="2"/>
      <c r="D81" s="2"/>
      <c r="E81" s="2"/>
      <c r="F81" s="2"/>
      <c r="G81" s="2"/>
      <c r="H81" s="2"/>
      <c r="I81" s="2"/>
      <c r="J81" s="2"/>
      <c r="K81" s="2"/>
      <c r="L81" s="2"/>
      <c r="M81" s="2"/>
      <c r="N81" s="2"/>
      <c r="O81" s="2"/>
      <c r="P81" s="2"/>
      <c r="Q81" s="2"/>
      <c r="R81" s="2"/>
    </row>
    <row r="82" spans="1:18" ht="30" customHeight="1">
      <c r="A82" s="72" t="s">
        <v>151</v>
      </c>
      <c r="B82" s="72" t="s">
        <v>640</v>
      </c>
      <c r="C82" s="72" t="s">
        <v>641</v>
      </c>
      <c r="D82" s="72" t="s">
        <v>627</v>
      </c>
      <c r="E82" s="72" t="s">
        <v>193</v>
      </c>
    </row>
    <row r="83" spans="1:18">
      <c r="A83" s="76" t="s">
        <v>642</v>
      </c>
      <c r="B83" s="76" t="s">
        <v>643</v>
      </c>
      <c r="C83" s="76">
        <f>SUMPRODUCT(--ISERROR(CALCULOS!$B$7:$B$82))</f>
        <v>0</v>
      </c>
      <c r="D83" s="76">
        <v>0</v>
      </c>
      <c r="E83" s="78" t="str">
        <f>IF($C83=$D83,"APROBADO","FALLIDO")</f>
        <v>APROBADO</v>
      </c>
    </row>
    <row r="84" spans="1:18">
      <c r="A84" s="76" t="s">
        <v>644</v>
      </c>
      <c r="B84" s="76" t="s">
        <v>645</v>
      </c>
      <c r="C84" s="76">
        <f>SUMPRODUCT(--ISERROR(ECUACIONES!$F$7:$F$13))</f>
        <v>0</v>
      </c>
      <c r="D84" s="76">
        <v>0</v>
      </c>
      <c r="E84" s="78" t="str">
        <f>IF($C84=$D84,"APROBADO","FALLIDO")</f>
        <v>APROBADO</v>
      </c>
    </row>
    <row r="85" spans="1:18">
      <c r="A85" s="76" t="s">
        <v>646</v>
      </c>
      <c r="B85" s="76" t="s">
        <v>647</v>
      </c>
      <c r="C85" s="76">
        <f>SUMPRODUCT(--ISERROR(RESULTADOS!$B$5:$B$78))</f>
        <v>0</v>
      </c>
      <c r="D85" s="76">
        <v>0</v>
      </c>
      <c r="E85" s="78" t="str">
        <f>IF($C85=$D85,"APROBADO","FALLIDO")</f>
        <v>APROBADO</v>
      </c>
    </row>
    <row r="87" spans="1:18" ht="18" customHeight="1">
      <c r="A87" s="1" t="s">
        <v>648</v>
      </c>
      <c r="B87" s="2"/>
      <c r="C87" s="2"/>
      <c r="D87" s="2"/>
      <c r="E87" s="2"/>
      <c r="F87" s="2"/>
      <c r="G87" s="2"/>
      <c r="H87" s="2"/>
      <c r="I87" s="2"/>
      <c r="J87" s="2"/>
      <c r="K87" s="2"/>
      <c r="L87" s="2"/>
      <c r="M87" s="2"/>
      <c r="N87" s="2"/>
      <c r="O87" s="2"/>
      <c r="P87" s="2"/>
      <c r="Q87" s="2"/>
      <c r="R87" s="2"/>
    </row>
    <row r="88" spans="1:18" ht="30" customHeight="1">
      <c r="A88" s="72" t="s">
        <v>151</v>
      </c>
      <c r="B88" s="72" t="s">
        <v>227</v>
      </c>
      <c r="C88" s="72" t="s">
        <v>649</v>
      </c>
      <c r="D88" s="72" t="s">
        <v>626</v>
      </c>
      <c r="E88" s="72" t="s">
        <v>627</v>
      </c>
      <c r="F88" s="72" t="s">
        <v>193</v>
      </c>
    </row>
    <row r="89" spans="1:18" ht="24" customHeight="1">
      <c r="A89" s="76" t="s">
        <v>650</v>
      </c>
      <c r="B89" s="76" t="s">
        <v>651</v>
      </c>
      <c r="C89" s="76"/>
      <c r="D89" s="76" t="str">
        <f>IF(NOT(ISNUMBER(in_Peso)),"ND",IF(ISNUMBER(FIND(""&amp;ROUND(in_Peso,1),RESULTADOS!$B$9)),"EL VALOR PRESENTADO COINCIDE","EL VALOR PRESENTADO NO COINCIDE"))</f>
        <v>EL VALOR PRESENTADO COINCIDE</v>
      </c>
      <c r="E89" s="76" t="s">
        <v>652</v>
      </c>
      <c r="F89" s="78" t="str">
        <f>IF($D89=$E89,"APROBADO","FALLIDO")</f>
        <v>APROBADO</v>
      </c>
    </row>
    <row r="90" spans="1:18" ht="24" customHeight="1">
      <c r="A90" s="76" t="s">
        <v>653</v>
      </c>
      <c r="B90" s="76" t="s">
        <v>654</v>
      </c>
      <c r="C90" s="76"/>
      <c r="D90" s="76" t="str">
        <f>IF(NOT(ISNUMBER(in_Est)),"ND",IF(ISNUMBER(FIND(""&amp;ROUND(in_Est,0),RESULTADOS!$B$9)),"EL VALOR PRESENTADO COINCIDE","EL VALOR PRESENTADO NO COINCIDE"))</f>
        <v>EL VALOR PRESENTADO COINCIDE</v>
      </c>
      <c r="E90" s="76" t="s">
        <v>652</v>
      </c>
      <c r="F90" s="78" t="str">
        <f>IF($D90=$E90,"APROBADO","FALLIDO")</f>
        <v>APROBADO</v>
      </c>
    </row>
    <row r="91" spans="1:18" ht="24" customHeight="1">
      <c r="A91" s="76" t="s">
        <v>655</v>
      </c>
      <c r="B91" s="76" t="s">
        <v>656</v>
      </c>
      <c r="C91" s="76"/>
      <c r="D91" s="76" t="str">
        <f>IF(NOT(ISNUMBER(CALCULOS!$B$10)),"ND",IF(ISNUMBER(FIND(""&amp;ROUND(CALCULOS!$B$10,1),RESULTADOS!$B$11)),"EL VALOR PRESENTADO COINCIDE","EL VALOR PRESENTADO NO COINCIDE"))</f>
        <v>EL VALOR PRESENTADO COINCIDE</v>
      </c>
      <c r="E91" s="76" t="s">
        <v>652</v>
      </c>
      <c r="F91" s="78" t="str">
        <f>IF($D91=$E91,"APROBADO","FALLIDO")</f>
        <v>APROBADO</v>
      </c>
    </row>
    <row r="92" spans="1:18" ht="24" customHeight="1">
      <c r="A92" s="76" t="s">
        <v>657</v>
      </c>
      <c r="B92" s="76" t="s">
        <v>658</v>
      </c>
      <c r="C92" s="76"/>
      <c r="D92" s="76" t="str">
        <f>IF(NOT(ISNUMBER(CALCULOS!$B$13)),"ND",IF(ISNUMBER(FIND(""&amp;ROUND(CALCULOS!$B$13,3),RESULTADOS!$B$12)),"EL VALOR PRESENTADO COINCIDE","EL VALOR PRESENTADO NO COINCIDE"))</f>
        <v>EL VALOR PRESENTADO COINCIDE</v>
      </c>
      <c r="E92" s="76" t="s">
        <v>652</v>
      </c>
      <c r="F92" s="78" t="str">
        <f>IF($D92=$E92,"APROBADO","FALLIDO")</f>
        <v>APROBADO</v>
      </c>
    </row>
    <row r="93" spans="1:18" ht="24" customHeight="1">
      <c r="A93" s="76" t="s">
        <v>659</v>
      </c>
      <c r="B93" s="76" t="s">
        <v>660</v>
      </c>
      <c r="C93" s="79">
        <v>1.55</v>
      </c>
      <c r="D93" s="77">
        <f>ROUND($C93,3)</f>
        <v>1.55</v>
      </c>
      <c r="E93" s="77">
        <v>1.55</v>
      </c>
      <c r="F93" s="78" t="str">
        <f>IF(AND(ISNUMBER($D93),ABS($D93-$E93)&lt;=0.0005),"APROBADO","FALLIDO")</f>
        <v>APROBADO</v>
      </c>
    </row>
    <row r="94" spans="1:18" ht="24" customHeight="1">
      <c r="A94" s="76" t="s">
        <v>661</v>
      </c>
      <c r="B94" s="76" t="s">
        <v>662</v>
      </c>
      <c r="C94" s="79">
        <v>1340.25</v>
      </c>
      <c r="D94" s="77">
        <f>$C94*(1.55-1)</f>
        <v>737.13750000000005</v>
      </c>
      <c r="E94" s="77">
        <v>737.13750000000005</v>
      </c>
      <c r="F94" s="78" t="str">
        <f>IF(AND(ISNUMBER($D94),ABS($D94-$E94)&lt;=0.0005),"APROBADO","FALLIDO")</f>
        <v>APROBADO</v>
      </c>
    </row>
    <row r="95" spans="1:18" ht="24" customHeight="1">
      <c r="A95" s="76" t="s">
        <v>663</v>
      </c>
      <c r="B95" s="76" t="s">
        <v>664</v>
      </c>
      <c r="C95" s="79">
        <v>1340.25</v>
      </c>
      <c r="D95" s="77">
        <f>ROUND($C95*(1.55-1),2)</f>
        <v>737.14</v>
      </c>
      <c r="E95" s="77">
        <v>737.14</v>
      </c>
      <c r="F95" s="78" t="str">
        <f>IF(AND(ISNUMBER($D95),ABS($D95-$E95)&lt;=0.0005),"APROBADO","FALLIDO")</f>
        <v>APROBADO</v>
      </c>
    </row>
    <row r="96" spans="1:18" ht="24" customHeight="1">
      <c r="A96" s="76" t="s">
        <v>665</v>
      </c>
      <c r="B96" s="76" t="s">
        <v>666</v>
      </c>
      <c r="C96" s="79">
        <v>68.5</v>
      </c>
      <c r="D96" s="77">
        <f>ROUND($C96,1)</f>
        <v>68.5</v>
      </c>
      <c r="E96" s="77">
        <v>68.5</v>
      </c>
      <c r="F96" s="78" t="str">
        <f>IF(AND(ISNUMBER($D96),ABS($D96-$E96)&lt;=0.0005),"APROBADO","FALLIDO")</f>
        <v>APROBADO</v>
      </c>
    </row>
    <row r="97" spans="1:18" ht="24" customHeight="1">
      <c r="A97" s="76" t="s">
        <v>667</v>
      </c>
      <c r="B97" s="76" t="s">
        <v>668</v>
      </c>
      <c r="C97" s="79">
        <v>52.4</v>
      </c>
      <c r="D97" s="77">
        <f>ROUND($C97,1)</f>
        <v>52.4</v>
      </c>
      <c r="E97" s="77">
        <v>52.4</v>
      </c>
      <c r="F97" s="78" t="str">
        <f>IF(AND(ISNUMBER($D97),ABS($D97-$E97)&lt;=0.0005),"APROBADO","FALLIDO")</f>
        <v>APROBADO</v>
      </c>
    </row>
    <row r="98" spans="1:18" ht="24" customHeight="1">
      <c r="A98" s="76" t="s">
        <v>669</v>
      </c>
      <c r="B98" s="76" t="s">
        <v>670</v>
      </c>
      <c r="C98" s="79"/>
      <c r="D98" s="76" t="str">
        <f>IF($C98="","—",$C98)</f>
        <v>—</v>
      </c>
      <c r="E98" s="76" t="s">
        <v>71</v>
      </c>
      <c r="F98" s="78" t="str">
        <f>IF($D98=$E98,"APROBADO","FALLIDO")</f>
        <v>APROBADO</v>
      </c>
    </row>
    <row r="99" spans="1:18" ht="24" customHeight="1">
      <c r="A99" s="76" t="s">
        <v>671</v>
      </c>
      <c r="B99" s="76" t="s">
        <v>672</v>
      </c>
      <c r="C99" s="79" t="s">
        <v>673</v>
      </c>
      <c r="D99" s="76" t="str">
        <f>IF($C99="","—",$C99)</f>
        <v>Paciente con hipotiroidismo controlado.</v>
      </c>
      <c r="E99" s="76" t="s">
        <v>673</v>
      </c>
      <c r="F99" s="78" t="str">
        <f>IF($D99=$E99,"APROBADO","FALLIDO")</f>
        <v>APROBADO</v>
      </c>
    </row>
    <row r="100" spans="1:18" ht="24" customHeight="1">
      <c r="A100" s="76" t="s">
        <v>674</v>
      </c>
      <c r="B100" s="76" t="s">
        <v>675</v>
      </c>
      <c r="C100" s="76"/>
      <c r="D100" s="76" t="str">
        <f>RESULTADOS!$B$13</f>
        <v>—</v>
      </c>
      <c r="E100" s="76" t="str">
        <f>IF(DATOS!$B$28="","—",DATOS!$B$28)</f>
        <v>—</v>
      </c>
      <c r="F100" s="78" t="str">
        <f>IF($D100=$E100,"APROBADO","FALLIDO")</f>
        <v>APROBADO</v>
      </c>
    </row>
    <row r="101" spans="1:18">
      <c r="A101" s="324" t="s">
        <v>676</v>
      </c>
      <c r="B101" s="324"/>
      <c r="C101" s="324"/>
      <c r="D101" s="324"/>
      <c r="E101" s="324"/>
      <c r="F101" s="324"/>
      <c r="G101" s="324"/>
      <c r="H101" s="324"/>
      <c r="I101" s="324"/>
      <c r="J101" s="324"/>
      <c r="K101" s="324"/>
      <c r="L101" s="324"/>
      <c r="M101" s="324"/>
      <c r="N101" s="324"/>
      <c r="O101" s="324"/>
      <c r="P101" s="324"/>
      <c r="Q101" s="324"/>
      <c r="R101" s="324"/>
    </row>
    <row r="103" spans="1:18" ht="18" customHeight="1">
      <c r="A103" s="1" t="s">
        <v>677</v>
      </c>
      <c r="B103" s="2"/>
      <c r="C103" s="2"/>
      <c r="D103" s="2"/>
      <c r="E103" s="2"/>
      <c r="F103" s="2"/>
      <c r="G103" s="2"/>
      <c r="H103" s="2"/>
      <c r="I103" s="2"/>
      <c r="J103" s="2"/>
      <c r="K103" s="2"/>
      <c r="L103" s="2"/>
      <c r="M103" s="2"/>
      <c r="N103" s="2"/>
      <c r="O103" s="2"/>
      <c r="P103" s="2"/>
      <c r="Q103" s="2"/>
      <c r="R103" s="2"/>
    </row>
    <row r="104" spans="1:18" ht="30" customHeight="1">
      <c r="A104" s="72" t="s">
        <v>151</v>
      </c>
      <c r="B104" s="72" t="s">
        <v>526</v>
      </c>
      <c r="C104" s="72" t="s">
        <v>678</v>
      </c>
      <c r="D104" s="72" t="s">
        <v>679</v>
      </c>
      <c r="E104" s="72" t="s">
        <v>452</v>
      </c>
      <c r="F104" s="72" t="s">
        <v>680</v>
      </c>
      <c r="G104" s="72" t="s">
        <v>681</v>
      </c>
      <c r="H104" s="72" t="s">
        <v>193</v>
      </c>
    </row>
    <row r="105" spans="1:18" ht="24" customHeight="1">
      <c r="A105" s="76" t="s">
        <v>682</v>
      </c>
      <c r="B105" s="76" t="s">
        <v>683</v>
      </c>
      <c r="C105" s="80">
        <v>60</v>
      </c>
      <c r="D105" s="81"/>
      <c r="E105" s="80">
        <v>80</v>
      </c>
      <c r="F105" s="82">
        <f t="shared" ref="F105:F115" si="13">IF(OR(NOT(ISNUMBER($E105)),$E105&lt;=0),"ND",IF(AND(NOT(ISBLANK($C105)),ISNUMBER($C105),$C105&gt;0,$C105&lt;$E105),$C105,IF(AND(NOT(ISBLANK($D105)),ISNUMBER($D105),$D105&gt;=GRASA_MIN,$D105&lt;=GRASA_MAX),$E105*(1-$D105),"ND")))</f>
        <v>60</v>
      </c>
      <c r="G105" s="82">
        <v>60</v>
      </c>
      <c r="H105" s="78" t="str">
        <f t="shared" ref="H105:H115" si="14">IF(AND(ISNUMBER($F105),ISNUMBER($G105)),IF(ABS($F105-$G105)&lt;=0.0001,"APROBADO","FALLIDO"),IF(AND(NOT(ISNUMBER($F105)),NOT(ISNUMBER($G105))),IF($F105=$G105,"APROBADO","FALLIDO"),"FALLIDO"))</f>
        <v>APROBADO</v>
      </c>
    </row>
    <row r="106" spans="1:18" ht="24" customHeight="1">
      <c r="A106" s="76" t="s">
        <v>684</v>
      </c>
      <c r="B106" s="76" t="s">
        <v>685</v>
      </c>
      <c r="C106" s="80"/>
      <c r="D106" s="81">
        <v>0.2</v>
      </c>
      <c r="E106" s="80">
        <v>80</v>
      </c>
      <c r="F106" s="82">
        <f t="shared" si="13"/>
        <v>64</v>
      </c>
      <c r="G106" s="82">
        <v>64</v>
      </c>
      <c r="H106" s="78" t="str">
        <f t="shared" si="14"/>
        <v>APROBADO</v>
      </c>
    </row>
    <row r="107" spans="1:18" ht="24" customHeight="1">
      <c r="A107" s="76" t="s">
        <v>686</v>
      </c>
      <c r="B107" s="76" t="s">
        <v>687</v>
      </c>
      <c r="C107" s="80"/>
      <c r="D107" s="81"/>
      <c r="E107" s="80">
        <v>80</v>
      </c>
      <c r="F107" s="82" t="str">
        <f t="shared" si="13"/>
        <v>ND</v>
      </c>
      <c r="G107" s="82" t="s">
        <v>688</v>
      </c>
      <c r="H107" s="78" t="str">
        <f t="shared" si="14"/>
        <v>APROBADO</v>
      </c>
    </row>
    <row r="108" spans="1:18" ht="24" customHeight="1">
      <c r="A108" s="76" t="s">
        <v>689</v>
      </c>
      <c r="B108" s="76" t="s">
        <v>690</v>
      </c>
      <c r="C108" s="80">
        <v>80</v>
      </c>
      <c r="D108" s="81"/>
      <c r="E108" s="80">
        <v>80</v>
      </c>
      <c r="F108" s="82" t="str">
        <f t="shared" si="13"/>
        <v>ND</v>
      </c>
      <c r="G108" s="82" t="s">
        <v>688</v>
      </c>
      <c r="H108" s="78" t="str">
        <f t="shared" si="14"/>
        <v>APROBADO</v>
      </c>
    </row>
    <row r="109" spans="1:18" ht="24" customHeight="1">
      <c r="A109" s="76" t="s">
        <v>691</v>
      </c>
      <c r="B109" s="76" t="s">
        <v>692</v>
      </c>
      <c r="C109" s="80">
        <v>90</v>
      </c>
      <c r="D109" s="81"/>
      <c r="E109" s="80">
        <v>80</v>
      </c>
      <c r="F109" s="82" t="str">
        <f t="shared" si="13"/>
        <v>ND</v>
      </c>
      <c r="G109" s="82" t="s">
        <v>688</v>
      </c>
      <c r="H109" s="78" t="str">
        <f t="shared" si="14"/>
        <v>APROBADO</v>
      </c>
    </row>
    <row r="110" spans="1:18" ht="24" customHeight="1">
      <c r="A110" s="76" t="s">
        <v>693</v>
      </c>
      <c r="B110" s="76" t="s">
        <v>694</v>
      </c>
      <c r="C110" s="80">
        <v>90</v>
      </c>
      <c r="D110" s="81">
        <v>0.25</v>
      </c>
      <c r="E110" s="80">
        <v>80</v>
      </c>
      <c r="F110" s="82">
        <f t="shared" si="13"/>
        <v>60</v>
      </c>
      <c r="G110" s="82">
        <v>60</v>
      </c>
      <c r="H110" s="78" t="str">
        <f t="shared" si="14"/>
        <v>APROBADO</v>
      </c>
    </row>
    <row r="111" spans="1:18" ht="24" customHeight="1">
      <c r="A111" s="76" t="s">
        <v>695</v>
      </c>
      <c r="B111" s="76" t="s">
        <v>696</v>
      </c>
      <c r="C111" s="80">
        <v>55</v>
      </c>
      <c r="D111" s="81">
        <v>0.3</v>
      </c>
      <c r="E111" s="80">
        <v>80</v>
      </c>
      <c r="F111" s="82">
        <f t="shared" si="13"/>
        <v>55</v>
      </c>
      <c r="G111" s="82">
        <v>55</v>
      </c>
      <c r="H111" s="78" t="str">
        <f t="shared" si="14"/>
        <v>APROBADO</v>
      </c>
    </row>
    <row r="112" spans="1:18" ht="24" customHeight="1">
      <c r="A112" s="76" t="s">
        <v>697</v>
      </c>
      <c r="B112" s="76" t="s">
        <v>698</v>
      </c>
      <c r="C112" s="80"/>
      <c r="D112" s="81" t="s">
        <v>699</v>
      </c>
      <c r="E112" s="80">
        <v>80</v>
      </c>
      <c r="F112" s="82" t="str">
        <f t="shared" si="13"/>
        <v>ND</v>
      </c>
      <c r="G112" s="82" t="s">
        <v>688</v>
      </c>
      <c r="H112" s="78" t="str">
        <f t="shared" si="14"/>
        <v>APROBADO</v>
      </c>
    </row>
    <row r="113" spans="1:18" ht="24" customHeight="1">
      <c r="A113" s="76" t="s">
        <v>700</v>
      </c>
      <c r="B113" s="76" t="s">
        <v>701</v>
      </c>
      <c r="C113" s="80"/>
      <c r="D113" s="81">
        <v>0</v>
      </c>
      <c r="E113" s="80">
        <v>80</v>
      </c>
      <c r="F113" s="82" t="str">
        <f t="shared" si="13"/>
        <v>ND</v>
      </c>
      <c r="G113" s="82" t="s">
        <v>688</v>
      </c>
      <c r="H113" s="78" t="str">
        <f t="shared" si="14"/>
        <v>APROBADO</v>
      </c>
    </row>
    <row r="114" spans="1:18" ht="24" customHeight="1">
      <c r="A114" s="76" t="s">
        <v>702</v>
      </c>
      <c r="B114" s="76" t="s">
        <v>703</v>
      </c>
      <c r="C114" s="80"/>
      <c r="D114" s="81">
        <v>-0.1</v>
      </c>
      <c r="E114" s="80">
        <v>80</v>
      </c>
      <c r="F114" s="82" t="str">
        <f t="shared" si="13"/>
        <v>ND</v>
      </c>
      <c r="G114" s="82" t="s">
        <v>688</v>
      </c>
      <c r="H114" s="78" t="str">
        <f t="shared" si="14"/>
        <v>APROBADO</v>
      </c>
    </row>
    <row r="115" spans="1:18" ht="24" customHeight="1">
      <c r="A115" s="76" t="s">
        <v>704</v>
      </c>
      <c r="B115" s="76" t="s">
        <v>705</v>
      </c>
      <c r="C115" s="80"/>
      <c r="D115" s="81">
        <v>0.9</v>
      </c>
      <c r="E115" s="80">
        <v>80</v>
      </c>
      <c r="F115" s="82" t="str">
        <f t="shared" si="13"/>
        <v>ND</v>
      </c>
      <c r="G115" s="82" t="s">
        <v>688</v>
      </c>
      <c r="H115" s="78" t="str">
        <f t="shared" si="14"/>
        <v>APROBADO</v>
      </c>
    </row>
    <row r="116" spans="1:18" ht="31.5" customHeight="1">
      <c r="A116" s="76" t="s">
        <v>706</v>
      </c>
      <c r="B116" s="76" t="s">
        <v>707</v>
      </c>
      <c r="C116" s="76"/>
      <c r="D116" s="76"/>
      <c r="E116" s="76"/>
      <c r="F116" s="77">
        <f>CALCULOS!$B$10</f>
        <v>62</v>
      </c>
      <c r="G116" s="77">
        <f>IF(OR(NOT(ISNUMBER(in_Peso)),in_Peso&lt;=0),"ND",IF(AND(NOT(ISBLANK(in_MLG)),ISNUMBER(in_MLG),in_MLG&gt;0,in_MLG&lt;in_Peso),in_MLG,IF(AND(NOT(ISBLANK(in_Grasa)),ISNUMBER(in_Grasa),in_Grasa&gt;=GRASA_MIN,in_Grasa&lt;=GRASA_MAX),in_Peso*(1-in_Grasa),"ND")))</f>
        <v>62</v>
      </c>
      <c r="H116" s="78" t="str">
        <f>IF(AND(ISNUMBER($F116),ISNUMBER($G116)),IF(ABS($F116-$G116)&lt;=0.0001,"APROBADO","FALLIDO"),IF(AND(NOT(ISNUMBER($F116)),NOT(ISNUMBER($G116))),"APROBADO","FALLIDO"))</f>
        <v>APROBADO</v>
      </c>
    </row>
    <row r="117" spans="1:18">
      <c r="A117" s="324" t="s">
        <v>708</v>
      </c>
      <c r="B117" s="324"/>
      <c r="C117" s="324"/>
      <c r="D117" s="324"/>
      <c r="E117" s="324"/>
      <c r="F117" s="324"/>
      <c r="G117" s="324"/>
      <c r="H117" s="324"/>
      <c r="I117" s="324"/>
      <c r="J117" s="324"/>
      <c r="K117" s="324"/>
      <c r="L117" s="324"/>
      <c r="M117" s="324"/>
      <c r="N117" s="324"/>
      <c r="O117" s="324"/>
      <c r="P117" s="324"/>
      <c r="Q117" s="324"/>
      <c r="R117" s="324"/>
    </row>
    <row r="119" spans="1:18" ht="18" customHeight="1">
      <c r="A119" s="1" t="s">
        <v>709</v>
      </c>
      <c r="B119" s="2"/>
      <c r="C119" s="2"/>
      <c r="D119" s="2"/>
      <c r="E119" s="2"/>
      <c r="F119" s="2"/>
      <c r="G119" s="2"/>
      <c r="H119" s="2"/>
      <c r="I119" s="2"/>
      <c r="J119" s="2"/>
      <c r="K119" s="2"/>
      <c r="L119" s="2"/>
      <c r="M119" s="2"/>
      <c r="N119" s="2"/>
      <c r="O119" s="2"/>
      <c r="P119" s="2"/>
      <c r="Q119" s="2"/>
      <c r="R119" s="2"/>
    </row>
    <row r="120" spans="1:18">
      <c r="A120" s="83" t="s">
        <v>710</v>
      </c>
      <c r="B120" s="84">
        <f>COUNTA($A$8:$A$17)+COUNTA($A$21:$A$33)+COUNTA($A$38:$A$40)+COUNTA($A$45:$A$60)+COUNTA($A$65:$A$71)+COUNTA($A$75:$A$79)+COUNTA($A$83:$A$85)+COUNTA($A$89:$A$100)+COUNTA($A$105:$A$116)</f>
        <v>81</v>
      </c>
    </row>
    <row r="121" spans="1:18">
      <c r="A121" s="83" t="s">
        <v>711</v>
      </c>
      <c r="B121" s="84">
        <f>COUNTIF($R$8:$R$17,"APROBADO")+COUNTIF($O$21:$O$33,"APROBADO")+COUNTIF($P$38:$P$40,"APROBADO")+COUNTIF($G$45:$G$60,"APROBADO")+COUNTIF($G$65:$G$71,"APROBADO")+COUNTIF($H$75:$H$79,"APROBADO")+COUNTIF($E$83:$E$85,"APROBADO")+COUNTIF($F$89:$F$100,"APROBADO")+COUNTIF($H$105:$H$116,"APROBADO")</f>
        <v>79</v>
      </c>
    </row>
    <row r="122" spans="1:18">
      <c r="A122" s="83" t="s">
        <v>712</v>
      </c>
      <c r="B122" s="84">
        <f>COUNTIF($R$8:$R$17,"FALLIDO")+COUNTIF($O$21:$O$33,"FALLIDO")+COUNTIF($P$38:$P$40,"FALLIDO")+COUNTIF($G$45:$G$60,"FALLIDO")+COUNTIF($G$65:$G$71,"FALLIDO")+COUNTIF($H$75:$H$79,"FALLIDO")+COUNTIF($E$83:$E$85,"FALLIDO")+COUNTIF($F$89:$F$100,"FALLIDO")+COUNTIF($H$105:$H$116,"FALLIDO")</f>
        <v>2</v>
      </c>
    </row>
    <row r="123" spans="1:18">
      <c r="A123" s="83" t="s">
        <v>713</v>
      </c>
      <c r="B123" s="85">
        <f>MAX(ABS($Q$8),ABS($Q$9),ABS($Q$10),ABS($Q$11),ABS($Q$12),ABS($Q$13),ABS($Q$14),ABS($Q$15),ABS($Q$16),ABS($Q$17))</f>
        <v>0</v>
      </c>
    </row>
    <row r="124" spans="1:18">
      <c r="A124" s="83" t="s">
        <v>714</v>
      </c>
      <c r="B124" s="85">
        <f>MAX(ABS($J$21),ABS($J$22),ABS($J$23),ABS($J$24),ABS($J$25),ABS($J$26),ABS($J$27),ABS($J$28),ABS($J$29),ABS($J$30),ABS($J$31),ABS($J$32))</f>
        <v>2.2737367544323206E-13</v>
      </c>
    </row>
    <row r="125" spans="1:18">
      <c r="A125" s="83" t="s">
        <v>715</v>
      </c>
      <c r="B125" s="56">
        <f>MAX(ABS($M$21),ABS($M$22),ABS($M$23),ABS($M$24),ABS($M$25),ABS($M$26),ABS($M$27),ABS($M$28),ABS($M$29),ABS($M$30),ABS($M$31),ABS($M$32))</f>
        <v>4.6368999999999687</v>
      </c>
    </row>
    <row r="126" spans="1:18">
      <c r="A126" s="83" t="s">
        <v>716</v>
      </c>
      <c r="B126" s="86">
        <f>MAX(ABS($M$21/$L$21),ABS($M$22/$L$22),ABS($M$23/$L$23),ABS($M$24/$L$24),ABS($M$25/$L$25),ABS($M$26/$L$26),ABS($M$27/$L$27),ABS($M$28/$L$28),ABS($M$29/$L$29),ABS($M$30/$L$30),ABS($M$31/$L$31),ABS($M$32/$L$32))</f>
        <v>3.1535747870712811E-3</v>
      </c>
    </row>
    <row r="127" spans="1:18">
      <c r="A127" s="83" t="s">
        <v>717</v>
      </c>
      <c r="B127" s="55" t="str">
        <f>IF($B$122=0,"TODAS LAS PRUEBAS APROBADAS","⚠ HAY PRUEBAS FALLIDAS")</f>
        <v>⚠ HAY PRUEBAS FALLIDAS</v>
      </c>
    </row>
    <row r="130" spans="1:12">
      <c r="A130" s="325" t="s">
        <v>1292</v>
      </c>
      <c r="B130" s="325"/>
      <c r="C130" s="325"/>
      <c r="D130" s="325"/>
      <c r="E130" s="325"/>
      <c r="F130" s="325"/>
      <c r="G130" s="325"/>
      <c r="H130" s="325"/>
      <c r="I130" s="325"/>
      <c r="J130" s="325"/>
      <c r="K130" s="325"/>
      <c r="L130" s="325"/>
    </row>
    <row r="131" spans="1:12" ht="25.5">
      <c r="A131" s="72" t="s">
        <v>151</v>
      </c>
      <c r="B131" s="72" t="s">
        <v>526</v>
      </c>
      <c r="C131" s="72" t="s">
        <v>83</v>
      </c>
      <c r="D131" s="72" t="s">
        <v>1293</v>
      </c>
      <c r="E131" s="72" t="s">
        <v>1178</v>
      </c>
      <c r="F131" s="72" t="s">
        <v>1294</v>
      </c>
      <c r="G131" s="72" t="s">
        <v>1295</v>
      </c>
      <c r="H131" s="72" t="s">
        <v>1296</v>
      </c>
      <c r="I131" s="72" t="s">
        <v>1297</v>
      </c>
      <c r="J131" s="72" t="s">
        <v>1298</v>
      </c>
      <c r="K131" s="72" t="s">
        <v>1299</v>
      </c>
      <c r="L131" s="72" t="s">
        <v>193</v>
      </c>
    </row>
    <row r="132" spans="1:12">
      <c r="A132" s="76" t="s">
        <v>1300</v>
      </c>
      <c r="B132" s="76" t="s">
        <v>1301</v>
      </c>
      <c r="C132" s="76">
        <v>17</v>
      </c>
      <c r="D132" s="76" t="s">
        <v>1176</v>
      </c>
      <c r="E132" s="76" t="s">
        <v>1179</v>
      </c>
      <c r="F132" s="76" t="s">
        <v>1302</v>
      </c>
      <c r="G132" s="76"/>
      <c r="H132" s="76" t="s">
        <v>854</v>
      </c>
      <c r="I132" s="76" t="str">
        <f t="shared" ref="I132:I140" si="15">IF(D132&lt;&gt;"Estable","BLOQUEADO",IF(C132&lt;18,"FUERA",IF(C132=18,"NO COMPENDIUM",IF(E132="Usuario de silla de ruedas","METWC",IF(C132&gt;=60,"MET60+","MET")))))</f>
        <v>FUERA</v>
      </c>
      <c r="J132" s="76" t="str">
        <f t="shared" ref="J132:J140" si="16">IF(OR(D132&lt;&gt;"Estable",C132&lt;19),"",IF(E132="Usuario de silla de ruedas",0.992,IF(C132&gt;=60,0.81,1)))</f>
        <v/>
      </c>
      <c r="K132" s="76" t="str">
        <f t="shared" ref="K132:K140" si="17">IF(OR(D132&lt;&gt;"Estable",C132&lt;19),"NO",IF(AND(E132="Usuario de silla de ruedas",C132&gt;=60),"NO","SÍ"))</f>
        <v>NO</v>
      </c>
      <c r="L132" s="76" t="e">
        <f t="shared" ref="L132:L140" si="18">IF(AND(I132=F132,OR(AND(G132="",J132=""),ABS(J132-G132)&lt;0.0001),K132=H132),"APROBADO","FALLA")</f>
        <v>#VALUE!</v>
      </c>
    </row>
    <row r="133" spans="1:12" ht="24">
      <c r="A133" s="76" t="s">
        <v>1304</v>
      </c>
      <c r="B133" s="76" t="s">
        <v>1305</v>
      </c>
      <c r="C133" s="76">
        <v>18</v>
      </c>
      <c r="D133" s="76" t="s">
        <v>1176</v>
      </c>
      <c r="E133" s="76" t="s">
        <v>1179</v>
      </c>
      <c r="F133" s="76" t="s">
        <v>1306</v>
      </c>
      <c r="G133" s="76"/>
      <c r="H133" s="76" t="s">
        <v>854</v>
      </c>
      <c r="I133" s="76" t="str">
        <f t="shared" si="15"/>
        <v>NO COMPENDIUM</v>
      </c>
      <c r="J133" s="76" t="str">
        <f t="shared" si="16"/>
        <v/>
      </c>
      <c r="K133" s="76" t="str">
        <f t="shared" si="17"/>
        <v>NO</v>
      </c>
      <c r="L133" s="76" t="e">
        <f t="shared" si="18"/>
        <v>#VALUE!</v>
      </c>
    </row>
    <row r="134" spans="1:12">
      <c r="A134" s="76" t="s">
        <v>1309</v>
      </c>
      <c r="B134" s="76" t="s">
        <v>1310</v>
      </c>
      <c r="C134" s="76">
        <v>19</v>
      </c>
      <c r="D134" s="76" t="s">
        <v>1176</v>
      </c>
      <c r="E134" s="76" t="s">
        <v>1179</v>
      </c>
      <c r="F134" s="76" t="s">
        <v>1237</v>
      </c>
      <c r="G134" s="80">
        <v>1</v>
      </c>
      <c r="H134" s="76" t="s">
        <v>855</v>
      </c>
      <c r="I134" s="76" t="str">
        <f t="shared" si="15"/>
        <v>MET</v>
      </c>
      <c r="J134" s="76">
        <f t="shared" si="16"/>
        <v>1</v>
      </c>
      <c r="K134" s="76" t="str">
        <f t="shared" si="17"/>
        <v>SÍ</v>
      </c>
      <c r="L134" s="76" t="str">
        <f t="shared" si="18"/>
        <v>APROBADO</v>
      </c>
    </row>
    <row r="135" spans="1:12">
      <c r="A135" s="76" t="s">
        <v>1314</v>
      </c>
      <c r="B135" s="76" t="s">
        <v>1315</v>
      </c>
      <c r="C135" s="76">
        <v>59</v>
      </c>
      <c r="D135" s="76" t="s">
        <v>1176</v>
      </c>
      <c r="E135" s="76" t="s">
        <v>1179</v>
      </c>
      <c r="F135" s="76" t="s">
        <v>1237</v>
      </c>
      <c r="G135" s="80">
        <v>1</v>
      </c>
      <c r="H135" s="76" t="s">
        <v>855</v>
      </c>
      <c r="I135" s="76" t="str">
        <f t="shared" si="15"/>
        <v>MET</v>
      </c>
      <c r="J135" s="76">
        <f t="shared" si="16"/>
        <v>1</v>
      </c>
      <c r="K135" s="76" t="str">
        <f t="shared" si="17"/>
        <v>SÍ</v>
      </c>
      <c r="L135" s="76" t="str">
        <f t="shared" si="18"/>
        <v>APROBADO</v>
      </c>
    </row>
    <row r="136" spans="1:12">
      <c r="A136" s="76" t="s">
        <v>1319</v>
      </c>
      <c r="B136" s="76" t="s">
        <v>1320</v>
      </c>
      <c r="C136" s="76">
        <v>60</v>
      </c>
      <c r="D136" s="76" t="s">
        <v>1176</v>
      </c>
      <c r="E136" s="76" t="s">
        <v>1179</v>
      </c>
      <c r="F136" s="76" t="s">
        <v>1321</v>
      </c>
      <c r="G136" s="80">
        <v>0.81</v>
      </c>
      <c r="H136" s="76" t="s">
        <v>855</v>
      </c>
      <c r="I136" s="76" t="str">
        <f t="shared" si="15"/>
        <v>MET60+</v>
      </c>
      <c r="J136" s="76">
        <f t="shared" si="16"/>
        <v>0.81</v>
      </c>
      <c r="K136" s="76" t="str">
        <f t="shared" si="17"/>
        <v>SÍ</v>
      </c>
      <c r="L136" s="76" t="str">
        <f t="shared" si="18"/>
        <v>APROBADO</v>
      </c>
    </row>
    <row r="137" spans="1:12">
      <c r="A137" s="76" t="s">
        <v>1322</v>
      </c>
      <c r="B137" s="76" t="s">
        <v>1323</v>
      </c>
      <c r="C137" s="76">
        <v>75</v>
      </c>
      <c r="D137" s="76" t="s">
        <v>1176</v>
      </c>
      <c r="E137" s="76" t="s">
        <v>1179</v>
      </c>
      <c r="F137" s="76" t="s">
        <v>1321</v>
      </c>
      <c r="G137" s="80">
        <v>0.81</v>
      </c>
      <c r="H137" s="76" t="s">
        <v>855</v>
      </c>
      <c r="I137" s="76" t="str">
        <f t="shared" si="15"/>
        <v>MET60+</v>
      </c>
      <c r="J137" s="76">
        <f t="shared" si="16"/>
        <v>0.81</v>
      </c>
      <c r="K137" s="76" t="str">
        <f t="shared" si="17"/>
        <v>SÍ</v>
      </c>
      <c r="L137" s="76" t="str">
        <f t="shared" si="18"/>
        <v>APROBADO</v>
      </c>
    </row>
    <row r="138" spans="1:12">
      <c r="A138" s="76" t="s">
        <v>1324</v>
      </c>
      <c r="B138" s="76" t="s">
        <v>1325</v>
      </c>
      <c r="C138" s="76">
        <v>30</v>
      </c>
      <c r="D138" s="76" t="s">
        <v>1176</v>
      </c>
      <c r="E138" s="76" t="s">
        <v>1326</v>
      </c>
      <c r="F138" s="76" t="s">
        <v>1327</v>
      </c>
      <c r="G138" s="80">
        <v>0.99199999999999999</v>
      </c>
      <c r="H138" s="76" t="s">
        <v>855</v>
      </c>
      <c r="I138" s="76" t="str">
        <f t="shared" si="15"/>
        <v>METWC</v>
      </c>
      <c r="J138" s="76">
        <f t="shared" si="16"/>
        <v>0.99199999999999999</v>
      </c>
      <c r="K138" s="76" t="str">
        <f t="shared" si="17"/>
        <v>SÍ</v>
      </c>
      <c r="L138" s="76" t="str">
        <f t="shared" si="18"/>
        <v>APROBADO</v>
      </c>
    </row>
    <row r="139" spans="1:12">
      <c r="A139" s="76" t="s">
        <v>1328</v>
      </c>
      <c r="B139" s="76" t="s">
        <v>1329</v>
      </c>
      <c r="C139" s="76">
        <v>65</v>
      </c>
      <c r="D139" s="76" t="s">
        <v>1176</v>
      </c>
      <c r="E139" s="76" t="s">
        <v>1326</v>
      </c>
      <c r="F139" s="76" t="s">
        <v>1327</v>
      </c>
      <c r="G139" s="80">
        <v>0.99199999999999999</v>
      </c>
      <c r="H139" s="76" t="s">
        <v>854</v>
      </c>
      <c r="I139" s="76" t="str">
        <f t="shared" si="15"/>
        <v>METWC</v>
      </c>
      <c r="J139" s="76">
        <f t="shared" si="16"/>
        <v>0.99199999999999999</v>
      </c>
      <c r="K139" s="76" t="str">
        <f t="shared" si="17"/>
        <v>NO</v>
      </c>
      <c r="L139" s="76" t="str">
        <f t="shared" si="18"/>
        <v>APROBADO</v>
      </c>
    </row>
    <row r="140" spans="1:12">
      <c r="A140" s="76" t="s">
        <v>1330</v>
      </c>
      <c r="B140" s="76" t="s">
        <v>1331</v>
      </c>
      <c r="C140" s="76">
        <v>30</v>
      </c>
      <c r="D140" s="76" t="s">
        <v>1332</v>
      </c>
      <c r="E140" s="76" t="s">
        <v>1179</v>
      </c>
      <c r="F140" s="76" t="s">
        <v>1333</v>
      </c>
      <c r="G140" s="76"/>
      <c r="H140" s="76" t="s">
        <v>854</v>
      </c>
      <c r="I140" s="76" t="str">
        <f t="shared" si="15"/>
        <v>BLOQUEADO</v>
      </c>
      <c r="J140" s="76" t="str">
        <f t="shared" si="16"/>
        <v/>
      </c>
      <c r="K140" s="76" t="str">
        <f t="shared" si="17"/>
        <v>NO</v>
      </c>
      <c r="L140" s="76" t="e">
        <f t="shared" si="18"/>
        <v>#VALUE!</v>
      </c>
    </row>
    <row r="142" spans="1:12">
      <c r="A142" s="194" t="s">
        <v>1334</v>
      </c>
      <c r="B142" s="195" t="s">
        <v>1335</v>
      </c>
      <c r="C142" s="195">
        <v>9</v>
      </c>
      <c r="D142" s="195" t="s">
        <v>711</v>
      </c>
      <c r="E142" s="195">
        <f>COUNTIF($L$132:$L$140,"APROBADO")</f>
        <v>6</v>
      </c>
      <c r="F142" s="195" t="s">
        <v>712</v>
      </c>
      <c r="G142" s="196">
        <f>COUNTIF($L$132:$L$140,"FALLA")</f>
        <v>0</v>
      </c>
    </row>
    <row r="143" spans="1:12">
      <c r="A143" s="326" t="s">
        <v>1336</v>
      </c>
      <c r="B143" s="326"/>
      <c r="C143" s="326"/>
      <c r="D143" s="326"/>
      <c r="E143" s="326"/>
      <c r="F143" s="326"/>
      <c r="G143" s="326"/>
      <c r="H143" s="326"/>
      <c r="I143" s="326"/>
      <c r="J143" s="326"/>
      <c r="K143" s="326"/>
      <c r="L143" s="326"/>
    </row>
    <row r="145" spans="1:5">
      <c r="A145" s="325" t="s">
        <v>1303</v>
      </c>
      <c r="B145" s="325"/>
      <c r="C145" s="325"/>
      <c r="D145" s="325"/>
      <c r="E145" s="325"/>
    </row>
    <row r="146" spans="1:5">
      <c r="A146" s="72" t="s">
        <v>151</v>
      </c>
      <c r="B146" s="72" t="s">
        <v>1307</v>
      </c>
      <c r="C146" s="72" t="s">
        <v>627</v>
      </c>
      <c r="D146" s="72" t="s">
        <v>1308</v>
      </c>
      <c r="E146" s="72" t="s">
        <v>193</v>
      </c>
    </row>
    <row r="147" spans="1:5" ht="24">
      <c r="A147" s="76" t="s">
        <v>1311</v>
      </c>
      <c r="B147" s="76" t="s">
        <v>1312</v>
      </c>
      <c r="C147" s="76" t="s">
        <v>1313</v>
      </c>
      <c r="D147" s="76" t="s">
        <v>1313</v>
      </c>
      <c r="E147" s="76" t="str">
        <f>IF(C147=D147,"APROBADO","FALLIDO")</f>
        <v>APROBADO</v>
      </c>
    </row>
    <row r="148" spans="1:5">
      <c r="A148" s="76" t="s">
        <v>1316</v>
      </c>
      <c r="B148" s="76" t="s">
        <v>1317</v>
      </c>
      <c r="C148" s="76" t="s">
        <v>1318</v>
      </c>
      <c r="D148" s="76" t="s">
        <v>1318</v>
      </c>
      <c r="E148" s="76" t="str">
        <f>IF(C148=D148,"APROBADO","FALLIDO")</f>
        <v>APROBADO</v>
      </c>
    </row>
  </sheetData>
  <sheetProtection algorithmName="SHA-512" hashValue="hW73FJp6ikXHktaqhcCbbW26xRHdBLe/l5huLWNuhefgWY0CZNPRpXLE2VTJbuk/3opfYqjI7fwl0brjabTZog==" saltValue="D7UY4JmA/ooSCSz5yY+azw==" spinCount="100000" sheet="1" objects="1" scenarios="1"/>
  <protectedRanges>
    <protectedRange sqref="G134:G139" name="Rango9"/>
    <protectedRange sqref="C105:E115" name="Rango7"/>
    <protectedRange sqref="C93:C99" name="Rango6"/>
    <protectedRange sqref="C79:D79" name="Rango5"/>
    <protectedRange sqref="C45:D60" name="Rango4"/>
    <protectedRange sqref="C38:G40" name="Rango3"/>
    <protectedRange sqref="C21:E33" name="Rango2"/>
    <protectedRange sqref="C8:H17" name="Rango1"/>
    <protectedRange sqref="G134:G139" name="Rango8"/>
  </protectedRanges>
  <mergeCells count="12">
    <mergeCell ref="A130:L130"/>
    <mergeCell ref="A143:L143"/>
    <mergeCell ref="A145:E145"/>
    <mergeCell ref="A1:D1"/>
    <mergeCell ref="A101:R101"/>
    <mergeCell ref="A117:R117"/>
    <mergeCell ref="A2:R3"/>
    <mergeCell ref="A34:R34"/>
    <mergeCell ref="A41:R41"/>
    <mergeCell ref="A63:R63"/>
    <mergeCell ref="I70:R71"/>
    <mergeCell ref="A4:B4"/>
  </mergeCells>
  <conditionalFormatting sqref="R8:R17">
    <cfRule type="cellIs" dxfId="21" priority="2" operator="equal">
      <formula>"APROBADO"</formula>
    </cfRule>
    <cfRule type="cellIs" dxfId="20" priority="3" operator="equal">
      <formula>"FALLIDO"</formula>
    </cfRule>
  </conditionalFormatting>
  <conditionalFormatting sqref="K21:K33">
    <cfRule type="cellIs" dxfId="19" priority="4" operator="equal">
      <formula>"APROBADO"</formula>
    </cfRule>
    <cfRule type="cellIs" dxfId="18" priority="5" operator="equal">
      <formula>"FALLIDO"</formula>
    </cfRule>
  </conditionalFormatting>
  <conditionalFormatting sqref="N21:N33">
    <cfRule type="cellIs" dxfId="17" priority="6" operator="equal">
      <formula>"APROBADO"</formula>
    </cfRule>
    <cfRule type="cellIs" dxfId="16" priority="7" operator="equal">
      <formula>"FALLIDO"</formula>
    </cfRule>
  </conditionalFormatting>
  <conditionalFormatting sqref="O21:O33">
    <cfRule type="cellIs" dxfId="15" priority="8" operator="equal">
      <formula>"APROBADO"</formula>
    </cfRule>
    <cfRule type="cellIs" dxfId="14" priority="9" operator="equal">
      <formula>"FALLIDO"</formula>
    </cfRule>
  </conditionalFormatting>
  <conditionalFormatting sqref="P38:P40">
    <cfRule type="cellIs" dxfId="13" priority="10" operator="equal">
      <formula>"APROBADO"</formula>
    </cfRule>
    <cfRule type="cellIs" dxfId="12" priority="11" operator="equal">
      <formula>"FALLIDO"</formula>
    </cfRule>
  </conditionalFormatting>
  <conditionalFormatting sqref="G45:G60">
    <cfRule type="cellIs" dxfId="11" priority="12" operator="equal">
      <formula>"APROBADO"</formula>
    </cfRule>
    <cfRule type="cellIs" dxfId="10" priority="13" operator="equal">
      <formula>"FALLIDO"</formula>
    </cfRule>
  </conditionalFormatting>
  <conditionalFormatting sqref="G65:G71">
    <cfRule type="cellIs" dxfId="9" priority="14" operator="equal">
      <formula>"APROBADO"</formula>
    </cfRule>
    <cfRule type="cellIs" dxfId="8" priority="15" operator="equal">
      <formula>"FALLIDO"</formula>
    </cfRule>
  </conditionalFormatting>
  <conditionalFormatting sqref="H75:H79">
    <cfRule type="cellIs" dxfId="7" priority="16" operator="equal">
      <formula>"APROBADO"</formula>
    </cfRule>
    <cfRule type="cellIs" dxfId="6" priority="17" operator="equal">
      <formula>"FALLIDO"</formula>
    </cfRule>
  </conditionalFormatting>
  <conditionalFormatting sqref="E83:E85">
    <cfRule type="cellIs" dxfId="5" priority="18" operator="equal">
      <formula>"APROBADO"</formula>
    </cfRule>
    <cfRule type="cellIs" dxfId="4" priority="19" operator="equal">
      <formula>"FALLIDO"</formula>
    </cfRule>
  </conditionalFormatting>
  <conditionalFormatting sqref="F89:F100">
    <cfRule type="cellIs" dxfId="3" priority="20" operator="equal">
      <formula>"APROBADO"</formula>
    </cfRule>
    <cfRule type="cellIs" dxfId="2" priority="21" operator="equal">
      <formula>"FALLIDO"</formula>
    </cfRule>
  </conditionalFormatting>
  <conditionalFormatting sqref="H105:H116">
    <cfRule type="cellIs" dxfId="1" priority="22" operator="equal">
      <formula>"APROBADO"</formula>
    </cfRule>
    <cfRule type="cellIs" dxfId="0" priority="23" operator="equal">
      <formula>"FALLIDO"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6"/>
  <sheetViews>
    <sheetView showGridLines="0" topLeftCell="A70" workbookViewId="0">
      <selection activeCell="F73" sqref="F73"/>
    </sheetView>
  </sheetViews>
  <sheetFormatPr baseColWidth="10" defaultColWidth="8.7109375" defaultRowHeight="15"/>
  <cols>
    <col min="1" max="1" width="40.42578125" customWidth="1"/>
    <col min="2" max="2" width="24" customWidth="1"/>
    <col min="3" max="3" width="23" customWidth="1"/>
    <col min="4" max="4" width="27.42578125" customWidth="1"/>
    <col min="5" max="5" width="55" customWidth="1"/>
    <col min="6" max="6" width="26" customWidth="1"/>
    <col min="7" max="7" width="22" customWidth="1"/>
    <col min="8" max="8" width="29" customWidth="1"/>
    <col min="9" max="9" width="50" customWidth="1"/>
  </cols>
  <sheetData>
    <row r="1" spans="1:8" ht="25.5" customHeight="1">
      <c r="A1" s="327" t="s">
        <v>1337</v>
      </c>
      <c r="B1" s="327"/>
      <c r="C1" s="327"/>
      <c r="D1" s="327"/>
      <c r="E1" s="327"/>
      <c r="F1" s="327"/>
      <c r="G1" s="327"/>
      <c r="H1" s="327"/>
    </row>
    <row r="2" spans="1:8">
      <c r="A2" s="6" t="s">
        <v>718</v>
      </c>
    </row>
    <row r="3" spans="1:8">
      <c r="A3" s="282" t="str">
        <f>HYPERLINK("#INICIO!A1","◀ INICIO")</f>
        <v>◀ INICIO</v>
      </c>
      <c r="B3" s="282"/>
    </row>
    <row r="4" spans="1:8" ht="18" customHeight="1">
      <c r="A4" s="1" t="s">
        <v>719</v>
      </c>
      <c r="B4" s="2"/>
      <c r="C4" s="2"/>
      <c r="D4" s="2"/>
      <c r="E4" s="2"/>
      <c r="F4" s="2"/>
      <c r="G4" s="2"/>
      <c r="H4" s="2"/>
    </row>
    <row r="5" spans="1:8" ht="30" customHeight="1">
      <c r="A5" s="3" t="s">
        <v>720</v>
      </c>
      <c r="B5" s="3" t="s">
        <v>65</v>
      </c>
      <c r="C5" s="3" t="s">
        <v>66</v>
      </c>
      <c r="D5" s="3" t="s">
        <v>721</v>
      </c>
      <c r="E5" s="360" t="s">
        <v>722</v>
      </c>
      <c r="F5" s="361"/>
      <c r="G5" s="361"/>
      <c r="H5" s="362"/>
    </row>
    <row r="6" spans="1:8">
      <c r="A6" s="4" t="s">
        <v>723</v>
      </c>
      <c r="B6" s="10" t="s">
        <v>724</v>
      </c>
      <c r="C6" s="4" t="s">
        <v>71</v>
      </c>
      <c r="D6" s="19" t="s">
        <v>71</v>
      </c>
      <c r="E6" s="357" t="s">
        <v>725</v>
      </c>
      <c r="F6" s="358"/>
      <c r="G6" s="358"/>
      <c r="H6" s="359"/>
    </row>
    <row r="7" spans="1:8">
      <c r="A7" s="4" t="s">
        <v>726</v>
      </c>
      <c r="B7" s="10" t="s">
        <v>1338</v>
      </c>
      <c r="C7" s="4" t="s">
        <v>71</v>
      </c>
      <c r="D7" s="19" t="s">
        <v>71</v>
      </c>
      <c r="E7" s="357" t="s">
        <v>727</v>
      </c>
      <c r="F7" s="358"/>
      <c r="G7" s="358"/>
      <c r="H7" s="359"/>
    </row>
    <row r="8" spans="1:8">
      <c r="A8" s="4" t="s">
        <v>728</v>
      </c>
      <c r="B8" s="10">
        <v>4</v>
      </c>
      <c r="C8" s="4" t="s">
        <v>442</v>
      </c>
      <c r="D8" s="19" t="s">
        <v>729</v>
      </c>
      <c r="E8" s="357" t="s">
        <v>730</v>
      </c>
      <c r="F8" s="358"/>
      <c r="G8" s="358"/>
      <c r="H8" s="359"/>
    </row>
    <row r="9" spans="1:8">
      <c r="A9" s="4" t="s">
        <v>731</v>
      </c>
      <c r="B9" s="10">
        <v>9</v>
      </c>
      <c r="C9" s="4" t="s">
        <v>442</v>
      </c>
      <c r="D9" s="19" t="s">
        <v>729</v>
      </c>
      <c r="E9" s="357" t="s">
        <v>730</v>
      </c>
      <c r="F9" s="358"/>
      <c r="G9" s="358"/>
      <c r="H9" s="359"/>
    </row>
    <row r="10" spans="1:8">
      <c r="A10" s="4" t="s">
        <v>732</v>
      </c>
      <c r="B10" s="10">
        <v>4</v>
      </c>
      <c r="C10" s="4" t="s">
        <v>442</v>
      </c>
      <c r="D10" s="19" t="s">
        <v>729</v>
      </c>
      <c r="E10" s="357" t="s">
        <v>730</v>
      </c>
      <c r="F10" s="358"/>
      <c r="G10" s="358"/>
      <c r="H10" s="359"/>
    </row>
    <row r="11" spans="1:8">
      <c r="A11" s="4" t="s">
        <v>733</v>
      </c>
      <c r="B11" s="10">
        <v>18</v>
      </c>
      <c r="C11" s="4" t="s">
        <v>84</v>
      </c>
      <c r="D11" s="20" t="s">
        <v>734</v>
      </c>
      <c r="E11" s="357" t="s">
        <v>735</v>
      </c>
      <c r="F11" s="358"/>
      <c r="G11" s="358"/>
      <c r="H11" s="359"/>
    </row>
    <row r="12" spans="1:8">
      <c r="A12" s="4" t="s">
        <v>736</v>
      </c>
      <c r="B12" s="10">
        <v>120</v>
      </c>
      <c r="C12" s="4" t="s">
        <v>84</v>
      </c>
      <c r="D12" s="20" t="s">
        <v>734</v>
      </c>
      <c r="E12" s="357" t="s">
        <v>737</v>
      </c>
      <c r="F12" s="358"/>
      <c r="G12" s="358"/>
      <c r="H12" s="359"/>
    </row>
    <row r="13" spans="1:8">
      <c r="A13" s="4" t="s">
        <v>738</v>
      </c>
      <c r="B13" s="10">
        <v>25</v>
      </c>
      <c r="C13" s="4" t="s">
        <v>88</v>
      </c>
      <c r="D13" s="20" t="s">
        <v>734</v>
      </c>
      <c r="E13" s="357" t="s">
        <v>739</v>
      </c>
      <c r="F13" s="358"/>
      <c r="G13" s="358"/>
      <c r="H13" s="359"/>
    </row>
    <row r="14" spans="1:8">
      <c r="A14" s="4" t="s">
        <v>740</v>
      </c>
      <c r="B14" s="10">
        <v>350</v>
      </c>
      <c r="C14" s="4" t="s">
        <v>88</v>
      </c>
      <c r="D14" s="20" t="s">
        <v>734</v>
      </c>
      <c r="E14" s="357" t="s">
        <v>737</v>
      </c>
      <c r="F14" s="358"/>
      <c r="G14" s="358"/>
      <c r="H14" s="359"/>
    </row>
    <row r="15" spans="1:8">
      <c r="A15" s="4" t="s">
        <v>741</v>
      </c>
      <c r="B15" s="10">
        <v>120</v>
      </c>
      <c r="C15" s="4" t="s">
        <v>92</v>
      </c>
      <c r="D15" s="20" t="s">
        <v>734</v>
      </c>
      <c r="E15" s="357" t="s">
        <v>737</v>
      </c>
      <c r="F15" s="358"/>
      <c r="G15" s="358"/>
      <c r="H15" s="359"/>
    </row>
    <row r="16" spans="1:8">
      <c r="A16" s="4" t="s">
        <v>742</v>
      </c>
      <c r="B16" s="10">
        <v>230</v>
      </c>
      <c r="C16" s="4" t="s">
        <v>92</v>
      </c>
      <c r="D16" s="20" t="s">
        <v>734</v>
      </c>
      <c r="E16" s="357" t="s">
        <v>737</v>
      </c>
      <c r="F16" s="358"/>
      <c r="G16" s="358"/>
      <c r="H16" s="359"/>
    </row>
    <row r="17" spans="1:8">
      <c r="A17" s="4" t="s">
        <v>743</v>
      </c>
      <c r="B17" s="21">
        <v>0.03</v>
      </c>
      <c r="C17" s="4" t="s">
        <v>96</v>
      </c>
      <c r="D17" s="20" t="s">
        <v>734</v>
      </c>
      <c r="E17" s="357" t="s">
        <v>744</v>
      </c>
      <c r="F17" s="358"/>
      <c r="G17" s="358"/>
      <c r="H17" s="359"/>
    </row>
    <row r="18" spans="1:8">
      <c r="A18" s="4" t="s">
        <v>745</v>
      </c>
      <c r="B18" s="21">
        <v>0.75</v>
      </c>
      <c r="C18" s="4" t="s">
        <v>96</v>
      </c>
      <c r="D18" s="20" t="s">
        <v>734</v>
      </c>
      <c r="E18" s="357" t="s">
        <v>737</v>
      </c>
      <c r="F18" s="358"/>
      <c r="G18" s="358"/>
      <c r="H18" s="359"/>
    </row>
    <row r="19" spans="1:8">
      <c r="A19" s="4" t="s">
        <v>746</v>
      </c>
      <c r="B19" s="10">
        <v>1</v>
      </c>
      <c r="C19" s="4" t="s">
        <v>71</v>
      </c>
      <c r="D19" s="20" t="s">
        <v>734</v>
      </c>
      <c r="E19" s="357" t="s">
        <v>747</v>
      </c>
      <c r="F19" s="358"/>
      <c r="G19" s="358"/>
      <c r="H19" s="359"/>
    </row>
    <row r="20" spans="1:8">
      <c r="A20" s="4" t="s">
        <v>748</v>
      </c>
      <c r="B20" s="10">
        <v>2.5</v>
      </c>
      <c r="C20" s="4" t="s">
        <v>71</v>
      </c>
      <c r="D20" s="20" t="s">
        <v>734</v>
      </c>
      <c r="E20" s="357" t="s">
        <v>1339</v>
      </c>
      <c r="F20" s="358"/>
      <c r="G20" s="358"/>
      <c r="H20" s="359"/>
    </row>
    <row r="21" spans="1:8">
      <c r="A21" s="4" t="s">
        <v>749</v>
      </c>
      <c r="B21" s="21">
        <v>0.3</v>
      </c>
      <c r="C21" s="4" t="s">
        <v>96</v>
      </c>
      <c r="D21" s="20" t="s">
        <v>734</v>
      </c>
      <c r="E21" s="357" t="s">
        <v>750</v>
      </c>
      <c r="F21" s="358"/>
      <c r="G21" s="358"/>
      <c r="H21" s="359"/>
    </row>
    <row r="22" spans="1:8">
      <c r="A22" s="4" t="s">
        <v>751</v>
      </c>
      <c r="B22" s="21">
        <v>0.4</v>
      </c>
      <c r="C22" s="4" t="s">
        <v>96</v>
      </c>
      <c r="D22" s="20" t="s">
        <v>734</v>
      </c>
      <c r="E22" s="357" t="s">
        <v>752</v>
      </c>
      <c r="F22" s="358"/>
      <c r="G22" s="358"/>
      <c r="H22" s="359"/>
    </row>
    <row r="23" spans="1:8">
      <c r="A23" s="4" t="s">
        <v>753</v>
      </c>
      <c r="B23" s="10">
        <v>24</v>
      </c>
      <c r="C23" s="4" t="s">
        <v>222</v>
      </c>
      <c r="D23" s="19" t="s">
        <v>729</v>
      </c>
      <c r="E23" s="357" t="s">
        <v>754</v>
      </c>
      <c r="F23" s="358"/>
      <c r="G23" s="358"/>
      <c r="H23" s="359"/>
    </row>
    <row r="24" spans="1:8">
      <c r="A24" s="4" t="s">
        <v>755</v>
      </c>
      <c r="B24" s="10">
        <v>5</v>
      </c>
      <c r="C24" s="4" t="s">
        <v>180</v>
      </c>
      <c r="D24" s="19" t="s">
        <v>756</v>
      </c>
      <c r="E24" s="357" t="s">
        <v>757</v>
      </c>
      <c r="F24" s="358"/>
      <c r="G24" s="358"/>
      <c r="H24" s="359"/>
    </row>
    <row r="25" spans="1:8">
      <c r="A25" s="4" t="s">
        <v>758</v>
      </c>
      <c r="B25" s="21">
        <v>0.1</v>
      </c>
      <c r="C25" s="4" t="s">
        <v>96</v>
      </c>
      <c r="D25" s="19" t="s">
        <v>759</v>
      </c>
      <c r="E25" s="357" t="s">
        <v>760</v>
      </c>
      <c r="F25" s="358"/>
      <c r="G25" s="358"/>
      <c r="H25" s="359"/>
    </row>
    <row r="26" spans="1:8">
      <c r="A26" s="4" t="s">
        <v>761</v>
      </c>
      <c r="B26" s="10">
        <v>40</v>
      </c>
      <c r="C26" s="4" t="s">
        <v>88</v>
      </c>
      <c r="D26" s="19" t="s">
        <v>762</v>
      </c>
      <c r="E26" s="357" t="s">
        <v>763</v>
      </c>
      <c r="F26" s="358"/>
      <c r="G26" s="358"/>
      <c r="H26" s="359"/>
    </row>
    <row r="27" spans="1:8">
      <c r="A27" s="4" t="s">
        <v>764</v>
      </c>
      <c r="B27" s="10">
        <v>200</v>
      </c>
      <c r="C27" s="4" t="s">
        <v>88</v>
      </c>
      <c r="D27" s="19" t="s">
        <v>762</v>
      </c>
      <c r="E27" s="357" t="s">
        <v>763</v>
      </c>
      <c r="F27" s="358"/>
      <c r="G27" s="358"/>
      <c r="H27" s="359"/>
    </row>
    <row r="28" spans="1:8">
      <c r="A28" s="4" t="s">
        <v>765</v>
      </c>
      <c r="B28" s="10">
        <v>140</v>
      </c>
      <c r="C28" s="4" t="s">
        <v>92</v>
      </c>
      <c r="D28" s="19" t="s">
        <v>762</v>
      </c>
      <c r="E28" s="357" t="s">
        <v>763</v>
      </c>
      <c r="F28" s="358"/>
      <c r="G28" s="358"/>
      <c r="H28" s="359"/>
    </row>
    <row r="29" spans="1:8">
      <c r="A29" s="4" t="s">
        <v>766</v>
      </c>
      <c r="B29" s="10">
        <v>205</v>
      </c>
      <c r="C29" s="4" t="s">
        <v>92</v>
      </c>
      <c r="D29" s="19" t="s">
        <v>762</v>
      </c>
      <c r="E29" s="357" t="s">
        <v>763</v>
      </c>
      <c r="F29" s="358"/>
      <c r="G29" s="358"/>
      <c r="H29" s="359"/>
    </row>
    <row r="30" spans="1:8">
      <c r="A30" s="4" t="s">
        <v>767</v>
      </c>
      <c r="B30" s="10">
        <v>16</v>
      </c>
      <c r="C30" s="4" t="s">
        <v>207</v>
      </c>
      <c r="D30" s="19" t="s">
        <v>762</v>
      </c>
      <c r="E30" s="357" t="s">
        <v>763</v>
      </c>
      <c r="F30" s="358"/>
      <c r="G30" s="358"/>
      <c r="H30" s="359"/>
    </row>
    <row r="31" spans="1:8">
      <c r="A31" s="4" t="s">
        <v>768</v>
      </c>
      <c r="B31" s="10">
        <v>45</v>
      </c>
      <c r="C31" s="4" t="s">
        <v>207</v>
      </c>
      <c r="D31" s="19" t="s">
        <v>762</v>
      </c>
      <c r="E31" s="357" t="s">
        <v>763</v>
      </c>
      <c r="F31" s="358"/>
      <c r="G31" s="358"/>
      <c r="H31" s="359"/>
    </row>
    <row r="32" spans="1:8">
      <c r="A32" s="4" t="s">
        <v>769</v>
      </c>
      <c r="B32" s="10">
        <v>3</v>
      </c>
      <c r="C32" s="4" t="s">
        <v>279</v>
      </c>
      <c r="D32" s="19" t="s">
        <v>762</v>
      </c>
      <c r="E32" s="357" t="s">
        <v>763</v>
      </c>
      <c r="F32" s="358"/>
      <c r="G32" s="358"/>
      <c r="H32" s="359"/>
    </row>
    <row r="33" spans="1:8">
      <c r="A33" s="4" t="s">
        <v>770</v>
      </c>
      <c r="B33" s="21">
        <v>0.15</v>
      </c>
      <c r="C33" s="4" t="s">
        <v>771</v>
      </c>
      <c r="D33" s="19" t="s">
        <v>762</v>
      </c>
      <c r="E33" s="357" t="s">
        <v>763</v>
      </c>
      <c r="F33" s="358"/>
      <c r="G33" s="358"/>
      <c r="H33" s="359"/>
    </row>
    <row r="34" spans="1:8">
      <c r="A34" s="4" t="s">
        <v>772</v>
      </c>
      <c r="B34" s="21">
        <v>0.15</v>
      </c>
      <c r="C34" s="4" t="s">
        <v>96</v>
      </c>
      <c r="D34" s="19" t="s">
        <v>756</v>
      </c>
      <c r="E34" s="357" t="s">
        <v>773</v>
      </c>
      <c r="F34" s="358"/>
      <c r="G34" s="358"/>
      <c r="H34" s="359"/>
    </row>
    <row r="35" spans="1:8">
      <c r="A35" s="4" t="s">
        <v>774</v>
      </c>
      <c r="B35" s="22">
        <v>1</v>
      </c>
      <c r="C35" s="4" t="s">
        <v>775</v>
      </c>
      <c r="D35" s="19" t="s">
        <v>776</v>
      </c>
      <c r="E35" s="357" t="s">
        <v>777</v>
      </c>
      <c r="F35" s="358"/>
      <c r="G35" s="358"/>
      <c r="H35" s="359"/>
    </row>
    <row r="36" spans="1:8">
      <c r="A36" s="4" t="s">
        <v>778</v>
      </c>
      <c r="B36" s="23">
        <v>239.00569999999999</v>
      </c>
      <c r="C36" s="4" t="s">
        <v>779</v>
      </c>
      <c r="D36" s="19" t="s">
        <v>776</v>
      </c>
      <c r="E36" s="357" t="s">
        <v>780</v>
      </c>
      <c r="F36" s="358"/>
      <c r="G36" s="358"/>
      <c r="H36" s="359"/>
    </row>
    <row r="37" spans="1:8" ht="35.25" customHeight="1">
      <c r="A37" s="366" t="s">
        <v>781</v>
      </c>
      <c r="B37" s="24">
        <v>0.01</v>
      </c>
      <c r="C37" s="4" t="s">
        <v>96</v>
      </c>
      <c r="D37" s="19" t="s">
        <v>782</v>
      </c>
      <c r="E37" s="363" t="s">
        <v>783</v>
      </c>
      <c r="F37" s="364"/>
      <c r="G37" s="364"/>
      <c r="H37" s="365"/>
    </row>
    <row r="39" spans="1:8" ht="18" customHeight="1">
      <c r="A39" s="1" t="s">
        <v>784</v>
      </c>
      <c r="B39" s="2"/>
      <c r="C39" s="2"/>
      <c r="D39" s="2"/>
      <c r="E39" s="2"/>
      <c r="F39" s="2"/>
      <c r="G39" s="2"/>
      <c r="H39" s="2"/>
    </row>
    <row r="40" spans="1:8" ht="30" customHeight="1">
      <c r="A40" s="3" t="s">
        <v>65</v>
      </c>
      <c r="B40" s="3" t="s">
        <v>176</v>
      </c>
    </row>
    <row r="41" spans="1:8">
      <c r="A41" s="4" t="s">
        <v>80</v>
      </c>
      <c r="B41" s="8" t="s">
        <v>785</v>
      </c>
    </row>
    <row r="42" spans="1:8">
      <c r="A42" s="4" t="s">
        <v>465</v>
      </c>
      <c r="B42" s="8" t="s">
        <v>786</v>
      </c>
    </row>
    <row r="44" spans="1:8" ht="18" customHeight="1">
      <c r="A44" s="1" t="s">
        <v>787</v>
      </c>
      <c r="B44" s="2"/>
      <c r="C44" s="2"/>
      <c r="D44" s="2"/>
      <c r="E44" s="2"/>
      <c r="F44" s="2"/>
      <c r="G44" s="2"/>
      <c r="H44" s="2"/>
    </row>
    <row r="45" spans="1:8" ht="30" customHeight="1">
      <c r="A45" s="3" t="s">
        <v>788</v>
      </c>
      <c r="B45" s="3" t="s">
        <v>449</v>
      </c>
    </row>
    <row r="46" spans="1:8">
      <c r="A46" s="4" t="s">
        <v>110</v>
      </c>
      <c r="B46" s="8" t="s">
        <v>789</v>
      </c>
    </row>
    <row r="47" spans="1:8">
      <c r="A47" s="4" t="s">
        <v>790</v>
      </c>
      <c r="B47" s="8" t="s">
        <v>1340</v>
      </c>
    </row>
    <row r="49" spans="1:8" ht="18" customHeight="1">
      <c r="A49" s="1" t="s">
        <v>1341</v>
      </c>
      <c r="B49" s="2"/>
      <c r="C49" s="2"/>
      <c r="D49" s="2"/>
      <c r="E49" s="2"/>
      <c r="F49" s="2"/>
      <c r="G49" s="2"/>
      <c r="H49" s="2"/>
    </row>
    <row r="50" spans="1:8" ht="30" customHeight="1">
      <c r="A50" s="3" t="s">
        <v>1342</v>
      </c>
      <c r="B50" s="3" t="s">
        <v>1343</v>
      </c>
      <c r="C50" s="3" t="s">
        <v>1344</v>
      </c>
      <c r="D50" s="3" t="s">
        <v>1345</v>
      </c>
      <c r="E50" s="3" t="s">
        <v>1346</v>
      </c>
      <c r="F50" s="3" t="s">
        <v>1347</v>
      </c>
      <c r="G50" s="3" t="s">
        <v>1348</v>
      </c>
      <c r="H50" s="3" t="s">
        <v>1349</v>
      </c>
    </row>
    <row r="51" spans="1:8">
      <c r="A51" s="4" t="s">
        <v>1350</v>
      </c>
      <c r="B51" s="11">
        <v>1.4</v>
      </c>
      <c r="C51" s="4" t="s">
        <v>1351</v>
      </c>
      <c r="D51" s="8" t="s">
        <v>1352</v>
      </c>
      <c r="E51" s="4" t="s">
        <v>1353</v>
      </c>
      <c r="F51" s="11">
        <v>1.4</v>
      </c>
      <c r="G51" s="11">
        <v>1.69</v>
      </c>
      <c r="H51" s="8" t="s">
        <v>1354</v>
      </c>
    </row>
    <row r="52" spans="1:8">
      <c r="A52" s="4" t="s">
        <v>1355</v>
      </c>
      <c r="B52" s="11">
        <v>1.5</v>
      </c>
      <c r="C52" s="4" t="s">
        <v>1351</v>
      </c>
      <c r="D52" s="8" t="s">
        <v>1352</v>
      </c>
      <c r="E52" s="4" t="s">
        <v>1356</v>
      </c>
      <c r="F52" s="11">
        <v>1.7</v>
      </c>
      <c r="G52" s="11">
        <v>1.99</v>
      </c>
      <c r="H52" s="8" t="s">
        <v>1354</v>
      </c>
    </row>
    <row r="53" spans="1:8">
      <c r="A53" s="4" t="s">
        <v>1357</v>
      </c>
      <c r="B53" s="11">
        <v>1.6</v>
      </c>
      <c r="C53" s="4" t="s">
        <v>1351</v>
      </c>
      <c r="D53" s="8" t="s">
        <v>1352</v>
      </c>
      <c r="E53" s="4" t="s">
        <v>1358</v>
      </c>
      <c r="F53" s="11">
        <v>2</v>
      </c>
      <c r="G53" s="11">
        <v>2.4</v>
      </c>
      <c r="H53" s="8" t="s">
        <v>1354</v>
      </c>
    </row>
    <row r="54" spans="1:8">
      <c r="A54" s="4" t="s">
        <v>1359</v>
      </c>
      <c r="B54" s="11">
        <v>1.7</v>
      </c>
      <c r="C54" s="4" t="s">
        <v>1360</v>
      </c>
      <c r="D54" s="8" t="s">
        <v>1352</v>
      </c>
    </row>
    <row r="55" spans="1:8" ht="27" customHeight="1">
      <c r="A55" s="4" t="s">
        <v>1188</v>
      </c>
      <c r="B55" s="11">
        <v>1.8</v>
      </c>
      <c r="C55" s="4" t="s">
        <v>1360</v>
      </c>
      <c r="D55" s="8" t="s">
        <v>1352</v>
      </c>
      <c r="E55" s="4" t="s">
        <v>1361</v>
      </c>
      <c r="F55" s="11">
        <v>1.2</v>
      </c>
      <c r="G55" s="4" t="s">
        <v>1362</v>
      </c>
      <c r="H55" s="367" t="s">
        <v>1363</v>
      </c>
    </row>
    <row r="56" spans="1:8" ht="14.25" customHeight="1">
      <c r="A56" s="4" t="s">
        <v>1364</v>
      </c>
      <c r="B56" s="11">
        <v>2</v>
      </c>
      <c r="C56" s="4" t="s">
        <v>1365</v>
      </c>
      <c r="D56" s="8" t="s">
        <v>1352</v>
      </c>
    </row>
    <row r="57" spans="1:8">
      <c r="A57" s="4" t="s">
        <v>1366</v>
      </c>
      <c r="B57" s="11">
        <v>2.2000000000000002</v>
      </c>
      <c r="C57" s="4" t="s">
        <v>1365</v>
      </c>
      <c r="D57" s="8" t="s">
        <v>1352</v>
      </c>
    </row>
    <row r="58" spans="1:8" ht="30" customHeight="1">
      <c r="A58" s="324" t="s">
        <v>1367</v>
      </c>
      <c r="B58" s="324"/>
      <c r="C58" s="324"/>
      <c r="D58" s="324"/>
      <c r="E58" s="324"/>
    </row>
    <row r="59" spans="1:8" ht="18" customHeight="1">
      <c r="A59" s="1" t="s">
        <v>791</v>
      </c>
      <c r="B59" s="2"/>
      <c r="C59" s="2"/>
      <c r="D59" s="2"/>
      <c r="E59" s="2"/>
      <c r="F59" s="2"/>
      <c r="G59" s="2"/>
      <c r="H59" s="2"/>
    </row>
    <row r="60" spans="1:8" ht="30" customHeight="1">
      <c r="A60" s="3" t="s">
        <v>102</v>
      </c>
      <c r="B60" s="3" t="s">
        <v>792</v>
      </c>
      <c r="C60" s="360" t="s">
        <v>176</v>
      </c>
      <c r="D60" s="362"/>
    </row>
    <row r="61" spans="1:8">
      <c r="A61" s="4" t="s">
        <v>793</v>
      </c>
      <c r="B61" s="25">
        <v>0</v>
      </c>
      <c r="C61" s="368" t="s">
        <v>794</v>
      </c>
      <c r="D61" s="369"/>
    </row>
    <row r="62" spans="1:8">
      <c r="A62" s="4" t="s">
        <v>795</v>
      </c>
      <c r="B62" s="25">
        <v>-0.15</v>
      </c>
      <c r="C62" s="368" t="s">
        <v>796</v>
      </c>
      <c r="D62" s="369"/>
    </row>
    <row r="63" spans="1:8">
      <c r="A63" s="4" t="s">
        <v>103</v>
      </c>
      <c r="B63" s="25">
        <v>0.1</v>
      </c>
      <c r="C63" s="368" t="s">
        <v>796</v>
      </c>
      <c r="D63" s="369"/>
    </row>
    <row r="64" spans="1:8">
      <c r="A64" s="4" t="s">
        <v>797</v>
      </c>
      <c r="B64" s="25">
        <v>0</v>
      </c>
      <c r="C64" s="368" t="s">
        <v>798</v>
      </c>
      <c r="D64" s="369"/>
    </row>
    <row r="66" spans="1:8" ht="18" customHeight="1">
      <c r="A66" s="1" t="s">
        <v>799</v>
      </c>
      <c r="B66" s="2"/>
      <c r="C66" s="2"/>
      <c r="D66" s="2"/>
      <c r="E66" s="2"/>
      <c r="F66" s="2"/>
      <c r="G66" s="2"/>
      <c r="H66" s="2"/>
    </row>
    <row r="67" spans="1:8" ht="30" customHeight="1">
      <c r="A67" s="3" t="s">
        <v>276</v>
      </c>
      <c r="B67" s="3" t="s">
        <v>800</v>
      </c>
      <c r="C67" s="3" t="s">
        <v>801</v>
      </c>
    </row>
    <row r="68" spans="1:8" ht="30" customHeight="1">
      <c r="A68" s="26" t="s">
        <v>118</v>
      </c>
      <c r="B68" s="5" t="s">
        <v>802</v>
      </c>
      <c r="C68" s="27" t="s">
        <v>803</v>
      </c>
    </row>
    <row r="69" spans="1:8" ht="33.75" customHeight="1">
      <c r="A69" s="26" t="s">
        <v>804</v>
      </c>
      <c r="B69" s="5" t="s">
        <v>805</v>
      </c>
      <c r="C69" s="27" t="s">
        <v>806</v>
      </c>
    </row>
    <row r="70" spans="1:8" ht="39" customHeight="1">
      <c r="A70" s="26" t="s">
        <v>807</v>
      </c>
      <c r="B70" s="5" t="s">
        <v>808</v>
      </c>
      <c r="C70" s="27" t="s">
        <v>809</v>
      </c>
    </row>
    <row r="72" spans="1:8" ht="18" customHeight="1">
      <c r="A72" s="1" t="s">
        <v>810</v>
      </c>
      <c r="B72" s="2"/>
      <c r="C72" s="2"/>
      <c r="D72" s="2"/>
      <c r="E72" s="2"/>
      <c r="F72" s="2"/>
      <c r="G72" s="2"/>
      <c r="H72" s="2"/>
    </row>
    <row r="73" spans="1:8" ht="30" customHeight="1">
      <c r="A73" s="3" t="s">
        <v>276</v>
      </c>
      <c r="B73" s="3" t="s">
        <v>811</v>
      </c>
    </row>
    <row r="74" spans="1:8">
      <c r="A74" s="4" t="s">
        <v>141</v>
      </c>
      <c r="B74" s="8" t="s">
        <v>812</v>
      </c>
    </row>
    <row r="75" spans="1:8">
      <c r="A75" s="4" t="s">
        <v>133</v>
      </c>
      <c r="B75" s="8" t="s">
        <v>813</v>
      </c>
    </row>
    <row r="76" spans="1:8">
      <c r="A76" s="324" t="s">
        <v>814</v>
      </c>
      <c r="B76" s="324"/>
      <c r="C76" s="324"/>
      <c r="D76" s="324"/>
      <c r="E76" s="324"/>
    </row>
    <row r="77" spans="1:8" ht="18" customHeight="1">
      <c r="A77" s="1" t="s">
        <v>815</v>
      </c>
      <c r="B77" s="2"/>
      <c r="C77" s="2"/>
      <c r="D77" s="2"/>
      <c r="E77" s="2"/>
      <c r="F77" s="2"/>
      <c r="G77" s="2"/>
      <c r="H77" s="2"/>
    </row>
    <row r="78" spans="1:8" ht="30" customHeight="1">
      <c r="A78" s="3" t="s">
        <v>151</v>
      </c>
      <c r="B78" s="3" t="s">
        <v>152</v>
      </c>
      <c r="C78" s="3" t="s">
        <v>450</v>
      </c>
      <c r="D78" s="3" t="s">
        <v>162</v>
      </c>
      <c r="E78" s="3" t="s">
        <v>816</v>
      </c>
      <c r="F78" s="3" t="s">
        <v>817</v>
      </c>
      <c r="G78" s="3" t="s">
        <v>818</v>
      </c>
      <c r="H78" s="3" t="s">
        <v>819</v>
      </c>
    </row>
    <row r="79" spans="1:8">
      <c r="A79" s="4" t="s">
        <v>462</v>
      </c>
      <c r="B79" s="4" t="s">
        <v>604</v>
      </c>
      <c r="C79" s="4" t="s">
        <v>80</v>
      </c>
      <c r="D79" s="28">
        <v>5</v>
      </c>
      <c r="E79" s="28">
        <v>10</v>
      </c>
      <c r="F79" s="28">
        <v>6.25</v>
      </c>
      <c r="G79" s="28">
        <v>-5</v>
      </c>
      <c r="H79" s="28">
        <v>0</v>
      </c>
    </row>
    <row r="80" spans="1:8">
      <c r="A80" s="4" t="s">
        <v>462</v>
      </c>
      <c r="B80" s="4" t="s">
        <v>604</v>
      </c>
      <c r="C80" s="4" t="s">
        <v>465</v>
      </c>
      <c r="D80" s="28">
        <v>-161</v>
      </c>
      <c r="E80" s="28">
        <v>10</v>
      </c>
      <c r="F80" s="28">
        <v>6.25</v>
      </c>
      <c r="G80" s="28">
        <v>-5</v>
      </c>
      <c r="H80" s="28">
        <v>0</v>
      </c>
    </row>
    <row r="81" spans="1:8">
      <c r="A81" s="4" t="s">
        <v>468</v>
      </c>
      <c r="B81" s="4" t="s">
        <v>820</v>
      </c>
      <c r="C81" s="4" t="s">
        <v>80</v>
      </c>
      <c r="D81" s="28">
        <v>88.361999999999995</v>
      </c>
      <c r="E81" s="28">
        <v>13.397</v>
      </c>
      <c r="F81" s="28">
        <v>4.7990000000000004</v>
      </c>
      <c r="G81" s="28">
        <v>-5.6769999999999996</v>
      </c>
      <c r="H81" s="28">
        <v>0</v>
      </c>
    </row>
    <row r="82" spans="1:8">
      <c r="A82" s="4" t="s">
        <v>468</v>
      </c>
      <c r="B82" s="4" t="s">
        <v>820</v>
      </c>
      <c r="C82" s="4" t="s">
        <v>465</v>
      </c>
      <c r="D82" s="28">
        <v>447.59300000000002</v>
      </c>
      <c r="E82" s="28">
        <v>9.2469999999999999</v>
      </c>
      <c r="F82" s="28">
        <v>3.0979999999999999</v>
      </c>
      <c r="G82" s="28">
        <v>-4.33</v>
      </c>
      <c r="H82" s="28">
        <v>0</v>
      </c>
    </row>
    <row r="83" spans="1:8">
      <c r="A83" s="4" t="s">
        <v>473</v>
      </c>
      <c r="B83" s="4" t="s">
        <v>821</v>
      </c>
      <c r="C83" s="4" t="s">
        <v>80</v>
      </c>
      <c r="D83" s="28">
        <v>879</v>
      </c>
      <c r="E83" s="28">
        <v>10.199999999999999</v>
      </c>
      <c r="F83" s="28">
        <v>0</v>
      </c>
      <c r="G83" s="28">
        <v>0</v>
      </c>
      <c r="H83" s="28">
        <v>0</v>
      </c>
    </row>
    <row r="84" spans="1:8">
      <c r="A84" s="4" t="s">
        <v>473</v>
      </c>
      <c r="B84" s="4" t="s">
        <v>821</v>
      </c>
      <c r="C84" s="4" t="s">
        <v>465</v>
      </c>
      <c r="D84" s="28">
        <v>795</v>
      </c>
      <c r="E84" s="28">
        <v>7.18</v>
      </c>
      <c r="F84" s="28">
        <v>0</v>
      </c>
      <c r="G84" s="28">
        <v>0</v>
      </c>
      <c r="H84" s="28">
        <v>0</v>
      </c>
    </row>
    <row r="85" spans="1:8">
      <c r="A85" s="4" t="s">
        <v>478</v>
      </c>
      <c r="B85" s="4" t="s">
        <v>822</v>
      </c>
      <c r="C85" s="4" t="s">
        <v>80</v>
      </c>
      <c r="D85" s="28">
        <v>500</v>
      </c>
      <c r="E85" s="28">
        <v>0</v>
      </c>
      <c r="F85" s="28">
        <v>0</v>
      </c>
      <c r="G85" s="28">
        <v>0</v>
      </c>
      <c r="H85" s="28">
        <v>22</v>
      </c>
    </row>
    <row r="86" spans="1:8">
      <c r="A86" s="4" t="s">
        <v>478</v>
      </c>
      <c r="B86" s="4" t="s">
        <v>822</v>
      </c>
      <c r="C86" s="4" t="s">
        <v>465</v>
      </c>
      <c r="D86" s="28">
        <v>500</v>
      </c>
      <c r="E86" s="28">
        <v>0</v>
      </c>
      <c r="F86" s="28">
        <v>0</v>
      </c>
      <c r="G86" s="28">
        <v>0</v>
      </c>
      <c r="H86" s="28">
        <v>22</v>
      </c>
    </row>
    <row r="87" spans="1:8">
      <c r="A87" s="4" t="s">
        <v>481</v>
      </c>
      <c r="B87" s="4" t="s">
        <v>125</v>
      </c>
      <c r="C87" s="4" t="s">
        <v>80</v>
      </c>
      <c r="D87" s="28">
        <v>370</v>
      </c>
      <c r="E87" s="28">
        <v>0</v>
      </c>
      <c r="F87" s="28">
        <v>0</v>
      </c>
      <c r="G87" s="28">
        <v>0</v>
      </c>
      <c r="H87" s="28">
        <v>21.6</v>
      </c>
    </row>
    <row r="88" spans="1:8">
      <c r="A88" s="4" t="s">
        <v>481</v>
      </c>
      <c r="B88" s="4" t="s">
        <v>125</v>
      </c>
      <c r="C88" s="4" t="s">
        <v>465</v>
      </c>
      <c r="D88" s="28">
        <v>370</v>
      </c>
      <c r="E88" s="28">
        <v>0</v>
      </c>
      <c r="F88" s="28">
        <v>0</v>
      </c>
      <c r="G88" s="28">
        <v>0</v>
      </c>
      <c r="H88" s="28">
        <v>21.6</v>
      </c>
    </row>
    <row r="90" spans="1:8" ht="18" customHeight="1">
      <c r="A90" s="1" t="s">
        <v>823</v>
      </c>
      <c r="B90" s="2"/>
      <c r="C90" s="2"/>
      <c r="D90" s="2"/>
      <c r="E90" s="2"/>
      <c r="F90" s="2"/>
      <c r="G90" s="2"/>
      <c r="H90" s="2"/>
    </row>
    <row r="91" spans="1:8" ht="30" customHeight="1">
      <c r="A91" s="3" t="s">
        <v>450</v>
      </c>
      <c r="B91" s="3" t="s">
        <v>824</v>
      </c>
      <c r="C91" s="3" t="s">
        <v>825</v>
      </c>
      <c r="D91" s="3" t="s">
        <v>826</v>
      </c>
      <c r="E91" s="3" t="s">
        <v>827</v>
      </c>
      <c r="F91" s="3" t="s">
        <v>828</v>
      </c>
      <c r="G91" s="3" t="s">
        <v>829</v>
      </c>
    </row>
    <row r="92" spans="1:8">
      <c r="A92" s="4" t="s">
        <v>80</v>
      </c>
      <c r="B92" s="4">
        <v>18</v>
      </c>
      <c r="C92" s="4">
        <v>30</v>
      </c>
      <c r="D92" s="29">
        <v>15.057</v>
      </c>
      <c r="E92" s="29">
        <v>692.2</v>
      </c>
      <c r="F92" s="8" t="s">
        <v>830</v>
      </c>
      <c r="G92" s="8" t="s">
        <v>831</v>
      </c>
    </row>
    <row r="93" spans="1:8">
      <c r="A93" s="4" t="s">
        <v>80</v>
      </c>
      <c r="B93" s="4">
        <v>30</v>
      </c>
      <c r="C93" s="4">
        <v>60</v>
      </c>
      <c r="D93" s="29">
        <v>11.472</v>
      </c>
      <c r="E93" s="29">
        <v>873.1</v>
      </c>
      <c r="F93" s="8" t="s">
        <v>832</v>
      </c>
      <c r="G93" s="8" t="s">
        <v>831</v>
      </c>
    </row>
    <row r="94" spans="1:8">
      <c r="A94" s="4" t="s">
        <v>80</v>
      </c>
      <c r="B94" s="4">
        <v>60</v>
      </c>
      <c r="C94" s="4">
        <v>200</v>
      </c>
      <c r="D94" s="29">
        <v>11.711</v>
      </c>
      <c r="E94" s="29">
        <v>587.70000000000005</v>
      </c>
      <c r="F94" s="8" t="s">
        <v>833</v>
      </c>
      <c r="G94" s="8" t="s">
        <v>831</v>
      </c>
    </row>
    <row r="95" spans="1:8">
      <c r="A95" s="4" t="s">
        <v>465</v>
      </c>
      <c r="B95" s="4">
        <v>18</v>
      </c>
      <c r="C95" s="4">
        <v>30</v>
      </c>
      <c r="D95" s="29">
        <v>14.818</v>
      </c>
      <c r="E95" s="29">
        <v>486.6</v>
      </c>
      <c r="F95" s="8" t="s">
        <v>834</v>
      </c>
      <c r="G95" s="8" t="s">
        <v>831</v>
      </c>
    </row>
    <row r="96" spans="1:8">
      <c r="A96" s="4" t="s">
        <v>465</v>
      </c>
      <c r="B96" s="4">
        <v>30</v>
      </c>
      <c r="C96" s="4">
        <v>60</v>
      </c>
      <c r="D96" s="29">
        <v>8.1259999999999994</v>
      </c>
      <c r="E96" s="29">
        <v>845.6</v>
      </c>
      <c r="F96" s="8" t="s">
        <v>835</v>
      </c>
      <c r="G96" s="8" t="s">
        <v>831</v>
      </c>
    </row>
    <row r="97" spans="1:8">
      <c r="A97" s="4" t="s">
        <v>465</v>
      </c>
      <c r="B97" s="4">
        <v>60</v>
      </c>
      <c r="C97" s="4">
        <v>200</v>
      </c>
      <c r="D97" s="29">
        <v>9.0820000000000007</v>
      </c>
      <c r="E97" s="29">
        <v>658.5</v>
      </c>
      <c r="F97" s="8" t="s">
        <v>836</v>
      </c>
      <c r="G97" s="8" t="s">
        <v>831</v>
      </c>
    </row>
    <row r="98" spans="1:8">
      <c r="A98" s="329" t="s">
        <v>837</v>
      </c>
      <c r="B98" s="329"/>
      <c r="C98" s="329"/>
      <c r="D98" s="329"/>
      <c r="E98" s="329"/>
      <c r="F98" s="329"/>
      <c r="G98" s="329"/>
    </row>
    <row r="99" spans="1:8" ht="18" customHeight="1">
      <c r="A99" s="1" t="s">
        <v>838</v>
      </c>
      <c r="B99" s="2"/>
      <c r="C99" s="2"/>
      <c r="D99" s="2"/>
      <c r="E99" s="2"/>
      <c r="F99" s="2"/>
      <c r="G99" s="2"/>
      <c r="H99" s="2"/>
    </row>
    <row r="100" spans="1:8" ht="30" customHeight="1">
      <c r="A100" s="3" t="s">
        <v>450</v>
      </c>
      <c r="B100" s="3" t="s">
        <v>839</v>
      </c>
      <c r="C100" s="3" t="s">
        <v>840</v>
      </c>
      <c r="D100" s="3" t="s">
        <v>826</v>
      </c>
      <c r="E100" s="3" t="s">
        <v>827</v>
      </c>
      <c r="F100" s="372" t="s">
        <v>29</v>
      </c>
      <c r="G100" s="373"/>
    </row>
    <row r="101" spans="1:8">
      <c r="A101" s="30" t="s">
        <v>80</v>
      </c>
      <c r="B101" s="30">
        <v>18</v>
      </c>
      <c r="C101" s="30">
        <v>30</v>
      </c>
      <c r="D101" s="30">
        <v>15.3</v>
      </c>
      <c r="E101" s="30">
        <v>679</v>
      </c>
      <c r="F101" s="370" t="s">
        <v>841</v>
      </c>
      <c r="G101" s="371"/>
    </row>
    <row r="102" spans="1:8">
      <c r="A102" s="30" t="s">
        <v>80</v>
      </c>
      <c r="B102" s="30">
        <v>30</v>
      </c>
      <c r="C102" s="30">
        <v>60</v>
      </c>
      <c r="D102" s="30">
        <v>11.6</v>
      </c>
      <c r="E102" s="30">
        <v>879</v>
      </c>
      <c r="F102" s="370" t="s">
        <v>841</v>
      </c>
      <c r="G102" s="371"/>
    </row>
    <row r="103" spans="1:8">
      <c r="A103" s="30" t="s">
        <v>80</v>
      </c>
      <c r="B103" s="30">
        <v>60</v>
      </c>
      <c r="C103" s="30">
        <v>200</v>
      </c>
      <c r="D103" s="30">
        <v>13.5</v>
      </c>
      <c r="E103" s="30">
        <v>487</v>
      </c>
      <c r="F103" s="370" t="s">
        <v>841</v>
      </c>
      <c r="G103" s="371"/>
    </row>
    <row r="104" spans="1:8">
      <c r="A104" s="30" t="s">
        <v>465</v>
      </c>
      <c r="B104" s="30">
        <v>18</v>
      </c>
      <c r="C104" s="30">
        <v>30</v>
      </c>
      <c r="D104" s="30">
        <v>14.7</v>
      </c>
      <c r="E104" s="30">
        <v>496</v>
      </c>
      <c r="F104" s="370" t="s">
        <v>841</v>
      </c>
      <c r="G104" s="371"/>
    </row>
    <row r="105" spans="1:8">
      <c r="A105" s="30" t="s">
        <v>465</v>
      </c>
      <c r="B105" s="30">
        <v>30</v>
      </c>
      <c r="C105" s="30">
        <v>60</v>
      </c>
      <c r="D105" s="30">
        <v>8.6999999999999993</v>
      </c>
      <c r="E105" s="30">
        <v>829</v>
      </c>
      <c r="F105" s="370" t="s">
        <v>841</v>
      </c>
      <c r="G105" s="371"/>
    </row>
    <row r="106" spans="1:8">
      <c r="A106" s="30" t="s">
        <v>465</v>
      </c>
      <c r="B106" s="30">
        <v>60</v>
      </c>
      <c r="C106" s="30">
        <v>200</v>
      </c>
      <c r="D106" s="30">
        <v>10.5</v>
      </c>
      <c r="E106" s="30">
        <v>596</v>
      </c>
      <c r="F106" s="370" t="s">
        <v>841</v>
      </c>
      <c r="G106" s="371"/>
    </row>
    <row r="108" spans="1:8" ht="18" customHeight="1">
      <c r="A108" s="1" t="s">
        <v>842</v>
      </c>
      <c r="B108" s="2"/>
      <c r="C108" s="2"/>
      <c r="D108" s="2"/>
      <c r="E108" s="2"/>
      <c r="F108" s="2"/>
      <c r="G108" s="2"/>
      <c r="H108" s="2"/>
    </row>
    <row r="109" spans="1:8" ht="30" customHeight="1">
      <c r="A109" s="3" t="s">
        <v>450</v>
      </c>
      <c r="B109" s="3" t="s">
        <v>824</v>
      </c>
      <c r="C109" s="3" t="s">
        <v>825</v>
      </c>
      <c r="D109" s="3" t="s">
        <v>826</v>
      </c>
      <c r="E109" s="3" t="s">
        <v>827</v>
      </c>
      <c r="F109" s="3" t="s">
        <v>843</v>
      </c>
      <c r="G109" s="3" t="s">
        <v>844</v>
      </c>
    </row>
    <row r="110" spans="1:8">
      <c r="A110" s="4" t="s">
        <v>80</v>
      </c>
      <c r="B110" s="4">
        <v>18</v>
      </c>
      <c r="C110" s="4">
        <v>30</v>
      </c>
      <c r="D110" s="23">
        <v>16</v>
      </c>
      <c r="E110" s="23">
        <v>545</v>
      </c>
      <c r="F110" s="23">
        <v>6.6900000000000001E-2</v>
      </c>
      <c r="G110" s="23">
        <v>2.2799999999999998</v>
      </c>
    </row>
    <row r="111" spans="1:8">
      <c r="A111" s="4" t="s">
        <v>80</v>
      </c>
      <c r="B111" s="4">
        <v>30</v>
      </c>
      <c r="C111" s="4">
        <v>60</v>
      </c>
      <c r="D111" s="23">
        <v>14.2</v>
      </c>
      <c r="E111" s="23">
        <v>593</v>
      </c>
      <c r="F111" s="23">
        <v>5.9200000000000003E-2</v>
      </c>
      <c r="G111" s="23">
        <v>2.48</v>
      </c>
    </row>
    <row r="112" spans="1:8">
      <c r="A112" s="4" t="s">
        <v>80</v>
      </c>
      <c r="B112" s="4">
        <v>60</v>
      </c>
      <c r="C112" s="4">
        <v>200</v>
      </c>
      <c r="D112" s="23">
        <v>13.5</v>
      </c>
      <c r="E112" s="23">
        <v>514</v>
      </c>
      <c r="F112" s="23">
        <v>5.6300000000000003E-2</v>
      </c>
      <c r="G112" s="23">
        <v>2.15</v>
      </c>
    </row>
    <row r="113" spans="1:9">
      <c r="A113" s="4" t="s">
        <v>465</v>
      </c>
      <c r="B113" s="4">
        <v>18</v>
      </c>
      <c r="C113" s="4">
        <v>30</v>
      </c>
      <c r="D113" s="23">
        <v>13.1</v>
      </c>
      <c r="E113" s="23">
        <v>558</v>
      </c>
      <c r="F113" s="23">
        <v>5.4600000000000003E-2</v>
      </c>
      <c r="G113" s="23">
        <v>2.33</v>
      </c>
    </row>
    <row r="114" spans="1:9">
      <c r="A114" s="4" t="s">
        <v>465</v>
      </c>
      <c r="B114" s="4">
        <v>30</v>
      </c>
      <c r="C114" s="4">
        <v>60</v>
      </c>
      <c r="D114" s="23">
        <v>9.74</v>
      </c>
      <c r="E114" s="23">
        <v>694</v>
      </c>
      <c r="F114" s="23">
        <v>4.07E-2</v>
      </c>
      <c r="G114" s="23">
        <v>2.9</v>
      </c>
    </row>
    <row r="115" spans="1:9">
      <c r="A115" s="4" t="s">
        <v>465</v>
      </c>
      <c r="B115" s="4">
        <v>60</v>
      </c>
      <c r="C115" s="4">
        <v>200</v>
      </c>
      <c r="D115" s="23">
        <v>10.1</v>
      </c>
      <c r="E115" s="23">
        <v>569</v>
      </c>
      <c r="F115" s="23">
        <v>4.24E-2</v>
      </c>
      <c r="G115" s="23">
        <v>2.38</v>
      </c>
    </row>
    <row r="116" spans="1:9" ht="15" customHeight="1">
      <c r="A116" s="286" t="s">
        <v>845</v>
      </c>
      <c r="B116" s="286"/>
      <c r="C116" s="286"/>
      <c r="D116" s="286"/>
      <c r="E116" s="286"/>
      <c r="F116" s="286"/>
      <c r="G116" s="286"/>
    </row>
    <row r="117" spans="1:9">
      <c r="A117" s="286"/>
      <c r="B117" s="286"/>
      <c r="C117" s="286"/>
      <c r="D117" s="286"/>
      <c r="E117" s="286"/>
      <c r="F117" s="286"/>
      <c r="G117" s="286"/>
    </row>
    <row r="118" spans="1:9" ht="18" customHeight="1">
      <c r="A118" s="1" t="s">
        <v>846</v>
      </c>
      <c r="B118" s="2"/>
      <c r="C118" s="2"/>
      <c r="D118" s="2"/>
      <c r="E118" s="2"/>
      <c r="F118" s="2"/>
      <c r="G118" s="2"/>
      <c r="H118" s="2"/>
      <c r="I118" s="2"/>
    </row>
    <row r="119" spans="1:9" ht="30" customHeight="1">
      <c r="A119" s="3" t="s">
        <v>151</v>
      </c>
      <c r="B119" s="3" t="s">
        <v>847</v>
      </c>
      <c r="C119" s="3" t="s">
        <v>848</v>
      </c>
      <c r="D119" s="3" t="s">
        <v>849</v>
      </c>
      <c r="E119" s="3" t="s">
        <v>850</v>
      </c>
      <c r="F119" s="3" t="s">
        <v>851</v>
      </c>
      <c r="G119" s="3" t="s">
        <v>852</v>
      </c>
      <c r="H119" s="3" t="s">
        <v>356</v>
      </c>
      <c r="I119" s="3" t="s">
        <v>853</v>
      </c>
    </row>
    <row r="120" spans="1:9" ht="31.5" customHeight="1">
      <c r="A120" s="26" t="s">
        <v>462</v>
      </c>
      <c r="B120" s="26" t="s">
        <v>604</v>
      </c>
      <c r="C120" s="26">
        <v>19</v>
      </c>
      <c r="D120" s="26">
        <v>78</v>
      </c>
      <c r="E120" s="26" t="s">
        <v>854</v>
      </c>
      <c r="F120" s="31" t="s">
        <v>855</v>
      </c>
      <c r="G120" s="26" t="s">
        <v>856</v>
      </c>
      <c r="H120" s="32" t="s">
        <v>368</v>
      </c>
      <c r="I120" s="5" t="s">
        <v>857</v>
      </c>
    </row>
    <row r="121" spans="1:9" ht="31.5" customHeight="1">
      <c r="A121" s="26" t="s">
        <v>468</v>
      </c>
      <c r="B121" s="26" t="s">
        <v>820</v>
      </c>
      <c r="C121" s="26">
        <v>18</v>
      </c>
      <c r="D121" s="26">
        <v>99</v>
      </c>
      <c r="E121" s="26" t="s">
        <v>854</v>
      </c>
      <c r="F121" s="31" t="s">
        <v>855</v>
      </c>
      <c r="G121" s="26" t="s">
        <v>856</v>
      </c>
      <c r="H121" s="32" t="s">
        <v>378</v>
      </c>
      <c r="I121" s="5" t="s">
        <v>858</v>
      </c>
    </row>
    <row r="122" spans="1:9" ht="31.5" customHeight="1">
      <c r="A122" s="26" t="s">
        <v>473</v>
      </c>
      <c r="B122" s="26" t="s">
        <v>821</v>
      </c>
      <c r="C122" s="26">
        <v>18</v>
      </c>
      <c r="D122" s="26">
        <v>82</v>
      </c>
      <c r="E122" s="26" t="s">
        <v>854</v>
      </c>
      <c r="F122" s="31" t="s">
        <v>854</v>
      </c>
      <c r="G122" s="26" t="s">
        <v>859</v>
      </c>
      <c r="H122" s="32" t="s">
        <v>368</v>
      </c>
      <c r="I122" s="5" t="s">
        <v>860</v>
      </c>
    </row>
    <row r="123" spans="1:9" ht="31.5" customHeight="1">
      <c r="A123" s="26" t="s">
        <v>478</v>
      </c>
      <c r="B123" s="26" t="s">
        <v>822</v>
      </c>
      <c r="C123" s="26">
        <v>18</v>
      </c>
      <c r="D123" s="26">
        <v>99</v>
      </c>
      <c r="E123" s="26" t="s">
        <v>855</v>
      </c>
      <c r="F123" s="31" t="s">
        <v>854</v>
      </c>
      <c r="G123" s="26" t="s">
        <v>861</v>
      </c>
      <c r="H123" s="32" t="s">
        <v>378</v>
      </c>
      <c r="I123" s="5" t="s">
        <v>862</v>
      </c>
    </row>
    <row r="124" spans="1:9" ht="31.5" customHeight="1">
      <c r="A124" s="31" t="s">
        <v>481</v>
      </c>
      <c r="B124" s="31" t="s">
        <v>125</v>
      </c>
      <c r="C124" s="31">
        <v>18</v>
      </c>
      <c r="D124" s="31">
        <v>99</v>
      </c>
      <c r="E124" s="31" t="s">
        <v>855</v>
      </c>
      <c r="F124" s="31" t="s">
        <v>854</v>
      </c>
      <c r="G124" s="31" t="s">
        <v>863</v>
      </c>
      <c r="H124" s="33" t="s">
        <v>368</v>
      </c>
      <c r="I124" s="34" t="s">
        <v>864</v>
      </c>
    </row>
    <row r="125" spans="1:9" ht="31.5" customHeight="1">
      <c r="A125" s="26" t="s">
        <v>484</v>
      </c>
      <c r="B125" s="26" t="s">
        <v>865</v>
      </c>
      <c r="C125" s="26">
        <v>18</v>
      </c>
      <c r="D125" s="26">
        <v>110</v>
      </c>
      <c r="E125" s="26" t="s">
        <v>854</v>
      </c>
      <c r="F125" s="31" t="s">
        <v>854</v>
      </c>
      <c r="G125" s="26" t="s">
        <v>866</v>
      </c>
      <c r="H125" s="32" t="s">
        <v>368</v>
      </c>
      <c r="I125" s="5" t="s">
        <v>867</v>
      </c>
    </row>
    <row r="126" spans="1:9" ht="31.5" customHeight="1">
      <c r="A126" s="31" t="s">
        <v>868</v>
      </c>
      <c r="B126" s="31" t="s">
        <v>869</v>
      </c>
      <c r="C126" s="31">
        <v>18</v>
      </c>
      <c r="D126" s="31">
        <v>110</v>
      </c>
      <c r="E126" s="31" t="s">
        <v>854</v>
      </c>
      <c r="F126" s="31" t="s">
        <v>854</v>
      </c>
      <c r="G126" s="31" t="s">
        <v>866</v>
      </c>
      <c r="H126" s="33" t="s">
        <v>378</v>
      </c>
      <c r="I126" s="34" t="s">
        <v>870</v>
      </c>
    </row>
    <row r="127" spans="1:9" ht="39.75" customHeight="1">
      <c r="A127" s="330" t="s">
        <v>871</v>
      </c>
      <c r="B127" s="330"/>
      <c r="C127" s="330"/>
      <c r="D127" s="330"/>
      <c r="E127" s="330"/>
      <c r="F127" s="330"/>
      <c r="G127" s="330"/>
      <c r="H127" s="330"/>
      <c r="I127" s="330"/>
    </row>
    <row r="128" spans="1:9" ht="18" customHeight="1">
      <c r="A128" s="325" t="s">
        <v>1368</v>
      </c>
      <c r="B128" s="325"/>
      <c r="C128" s="325"/>
      <c r="D128" s="325"/>
      <c r="E128" s="325"/>
      <c r="F128" s="325"/>
      <c r="G128" s="325"/>
      <c r="H128" s="325"/>
      <c r="I128" s="325"/>
    </row>
    <row r="129" spans="1:9" ht="42" customHeight="1">
      <c r="A129" s="328" t="s">
        <v>1369</v>
      </c>
      <c r="B129" s="328"/>
      <c r="C129" s="328"/>
      <c r="D129" s="328"/>
      <c r="E129" s="328"/>
      <c r="F129" s="328"/>
      <c r="G129" s="328"/>
      <c r="H129" s="328"/>
      <c r="I129" s="222"/>
    </row>
    <row r="130" spans="1:9" ht="30" customHeight="1">
      <c r="A130" s="3"/>
      <c r="B130" s="3"/>
      <c r="C130" s="3"/>
      <c r="D130" s="3"/>
      <c r="E130" s="3"/>
    </row>
    <row r="131" spans="1:9">
      <c r="A131" s="223" t="s">
        <v>1195</v>
      </c>
      <c r="B131" s="224" t="s">
        <v>1370</v>
      </c>
      <c r="C131" s="225" t="s">
        <v>1371</v>
      </c>
      <c r="D131" s="224" t="s">
        <v>1372</v>
      </c>
      <c r="E131" s="224" t="s">
        <v>66</v>
      </c>
      <c r="F131" s="195" t="s">
        <v>1373</v>
      </c>
      <c r="G131" s="195" t="s">
        <v>1374</v>
      </c>
      <c r="H131" s="195" t="s">
        <v>193</v>
      </c>
      <c r="I131" s="196" t="s">
        <v>176</v>
      </c>
    </row>
    <row r="132" spans="1:9">
      <c r="A132" s="235" t="s">
        <v>1375</v>
      </c>
      <c r="B132" s="226" t="s">
        <v>1376</v>
      </c>
      <c r="C132" s="227">
        <v>1</v>
      </c>
      <c r="D132" s="228">
        <v>1</v>
      </c>
      <c r="E132" s="226" t="s">
        <v>1237</v>
      </c>
      <c r="F132" s="197" t="s">
        <v>1377</v>
      </c>
      <c r="G132" s="197" t="s">
        <v>1378</v>
      </c>
      <c r="H132" s="197" t="s">
        <v>1379</v>
      </c>
      <c r="I132" s="198" t="s">
        <v>1380</v>
      </c>
    </row>
    <row r="133" spans="1:9">
      <c r="A133" s="236" t="s">
        <v>1381</v>
      </c>
      <c r="B133" s="229" t="s">
        <v>1382</v>
      </c>
      <c r="C133" s="230">
        <v>1.3</v>
      </c>
      <c r="D133" s="231">
        <v>1.5</v>
      </c>
      <c r="E133" s="229" t="s">
        <v>1237</v>
      </c>
      <c r="F133" s="199" t="s">
        <v>1383</v>
      </c>
      <c r="G133" s="199" t="s">
        <v>1378</v>
      </c>
      <c r="H133" s="199" t="s">
        <v>1379</v>
      </c>
      <c r="I133" s="200" t="s">
        <v>1384</v>
      </c>
    </row>
    <row r="134" spans="1:9">
      <c r="A134" s="236" t="s">
        <v>1385</v>
      </c>
      <c r="B134" s="229" t="s">
        <v>1386</v>
      </c>
      <c r="C134" s="230">
        <v>4</v>
      </c>
      <c r="D134" s="231">
        <v>4.5</v>
      </c>
      <c r="E134" s="229" t="s">
        <v>1237</v>
      </c>
      <c r="F134" s="199" t="s">
        <v>1383</v>
      </c>
      <c r="G134" s="199" t="s">
        <v>1378</v>
      </c>
      <c r="H134" s="199" t="s">
        <v>1379</v>
      </c>
      <c r="I134" s="200" t="s">
        <v>1384</v>
      </c>
    </row>
    <row r="135" spans="1:9">
      <c r="A135" s="236" t="s">
        <v>1387</v>
      </c>
      <c r="B135" s="229" t="s">
        <v>1388</v>
      </c>
      <c r="C135" s="230">
        <v>4</v>
      </c>
      <c r="D135" s="231">
        <v>3</v>
      </c>
      <c r="E135" s="229" t="s">
        <v>1237</v>
      </c>
      <c r="F135" s="199" t="s">
        <v>1383</v>
      </c>
      <c r="G135" s="199" t="s">
        <v>1378</v>
      </c>
      <c r="H135" s="199" t="s">
        <v>1379</v>
      </c>
      <c r="I135" s="200" t="s">
        <v>1384</v>
      </c>
    </row>
    <row r="136" spans="1:9">
      <c r="A136" s="236" t="s">
        <v>1389</v>
      </c>
      <c r="B136" s="229" t="s">
        <v>1390</v>
      </c>
      <c r="C136" s="230">
        <v>3.5</v>
      </c>
      <c r="D136" s="231">
        <v>3.8</v>
      </c>
      <c r="E136" s="229" t="s">
        <v>1237</v>
      </c>
      <c r="F136" s="199" t="s">
        <v>1383</v>
      </c>
      <c r="G136" s="199" t="s">
        <v>1378</v>
      </c>
      <c r="H136" s="199" t="s">
        <v>1379</v>
      </c>
      <c r="I136" s="200" t="s">
        <v>1391</v>
      </c>
    </row>
    <row r="137" spans="1:9" ht="24">
      <c r="A137" s="237" t="s">
        <v>1392</v>
      </c>
      <c r="B137" s="232" t="s">
        <v>1393</v>
      </c>
      <c r="C137" s="233">
        <v>3.5</v>
      </c>
      <c r="D137" s="234">
        <v>3.5</v>
      </c>
      <c r="E137" s="232" t="s">
        <v>1237</v>
      </c>
      <c r="F137" s="201" t="s">
        <v>1394</v>
      </c>
      <c r="G137" s="201" t="s">
        <v>1378</v>
      </c>
      <c r="H137" s="201" t="s">
        <v>1379</v>
      </c>
      <c r="I137" s="202" t="s">
        <v>1395</v>
      </c>
    </row>
    <row r="138" spans="1:9">
      <c r="A138" s="35"/>
      <c r="B138" s="4"/>
      <c r="C138" s="11"/>
      <c r="D138" s="7"/>
      <c r="E138" s="185"/>
    </row>
    <row r="139" spans="1:9">
      <c r="A139" s="35"/>
      <c r="B139" s="4"/>
      <c r="C139" s="11"/>
      <c r="D139" s="36"/>
      <c r="E139" s="185"/>
    </row>
    <row r="140" spans="1:9">
      <c r="A140" s="35"/>
      <c r="B140" s="4"/>
      <c r="C140" s="11"/>
      <c r="D140" s="36"/>
      <c r="E140" s="185"/>
    </row>
    <row r="141" spans="1:9">
      <c r="A141" s="35"/>
      <c r="B141" s="4"/>
      <c r="C141" s="11"/>
      <c r="D141" s="36"/>
      <c r="E141" s="8"/>
    </row>
    <row r="142" spans="1:9">
      <c r="A142" s="35"/>
      <c r="B142" s="4"/>
      <c r="C142" s="11"/>
      <c r="D142" s="36"/>
      <c r="E142" s="8"/>
    </row>
    <row r="143" spans="1:9">
      <c r="A143" s="35"/>
      <c r="B143" s="4"/>
      <c r="C143" s="11"/>
      <c r="D143" s="36"/>
      <c r="E143" s="8"/>
    </row>
    <row r="144" spans="1:9">
      <c r="A144" s="35"/>
      <c r="B144" s="4"/>
      <c r="C144" s="11"/>
      <c r="D144" s="7"/>
      <c r="E144" s="8"/>
    </row>
    <row r="147" spans="1:9">
      <c r="A147" s="325" t="s">
        <v>1396</v>
      </c>
      <c r="B147" s="325"/>
      <c r="C147" s="325"/>
      <c r="D147" s="325"/>
      <c r="E147" s="325"/>
      <c r="F147" s="325"/>
      <c r="G147" s="325"/>
      <c r="H147" s="325"/>
      <c r="I147" s="325"/>
    </row>
    <row r="148" spans="1:9">
      <c r="A148" s="194" t="s">
        <v>720</v>
      </c>
      <c r="B148" s="195" t="s">
        <v>65</v>
      </c>
      <c r="C148" s="195" t="s">
        <v>66</v>
      </c>
      <c r="D148" s="195" t="s">
        <v>1397</v>
      </c>
      <c r="E148" s="196" t="s">
        <v>1398</v>
      </c>
    </row>
    <row r="149" spans="1:9">
      <c r="A149" s="237" t="s">
        <v>1399</v>
      </c>
      <c r="B149" s="237">
        <v>1</v>
      </c>
      <c r="C149" s="237" t="s">
        <v>775</v>
      </c>
      <c r="D149" s="237" t="s">
        <v>1400</v>
      </c>
      <c r="E149" s="237" t="s">
        <v>1401</v>
      </c>
    </row>
    <row r="150" spans="1:9" ht="24">
      <c r="A150" s="237" t="s">
        <v>1402</v>
      </c>
      <c r="B150" s="237">
        <v>0.81</v>
      </c>
      <c r="C150" s="237" t="s">
        <v>775</v>
      </c>
      <c r="D150" s="237" t="s">
        <v>1403</v>
      </c>
      <c r="E150" s="237" t="s">
        <v>1404</v>
      </c>
    </row>
    <row r="151" spans="1:9">
      <c r="A151" s="237" t="s">
        <v>1405</v>
      </c>
      <c r="B151" s="237">
        <v>0.99199999999999999</v>
      </c>
      <c r="C151" s="237" t="s">
        <v>775</v>
      </c>
      <c r="D151" s="237" t="s">
        <v>1406</v>
      </c>
      <c r="E151" s="237" t="s">
        <v>1407</v>
      </c>
    </row>
    <row r="152" spans="1:9">
      <c r="A152" s="237" t="s">
        <v>1408</v>
      </c>
      <c r="B152" s="237">
        <v>19</v>
      </c>
      <c r="C152" s="237" t="s">
        <v>84</v>
      </c>
      <c r="D152" s="237" t="s">
        <v>1409</v>
      </c>
      <c r="E152" s="237" t="s">
        <v>1410</v>
      </c>
    </row>
    <row r="153" spans="1:9">
      <c r="A153" s="237" t="s">
        <v>1411</v>
      </c>
      <c r="B153" s="237">
        <v>59</v>
      </c>
      <c r="C153" s="237" t="s">
        <v>84</v>
      </c>
      <c r="D153" s="237" t="s">
        <v>1409</v>
      </c>
      <c r="E153" s="237" t="s">
        <v>1410</v>
      </c>
    </row>
    <row r="154" spans="1:9">
      <c r="A154" s="237" t="s">
        <v>1412</v>
      </c>
      <c r="B154" s="237">
        <v>60</v>
      </c>
      <c r="C154" s="237" t="s">
        <v>84</v>
      </c>
      <c r="D154" s="237" t="s">
        <v>1413</v>
      </c>
      <c r="E154" s="237" t="s">
        <v>1414</v>
      </c>
    </row>
    <row r="155" spans="1:9" ht="24">
      <c r="A155" s="237" t="s">
        <v>1415</v>
      </c>
      <c r="B155" s="237" t="s">
        <v>1416</v>
      </c>
      <c r="C155" s="237" t="s">
        <v>71</v>
      </c>
      <c r="D155" s="237" t="s">
        <v>1417</v>
      </c>
      <c r="E155" s="237" t="s">
        <v>1418</v>
      </c>
    </row>
    <row r="156" spans="1:9">
      <c r="A156" s="237" t="s">
        <v>1419</v>
      </c>
      <c r="B156" s="237" t="s">
        <v>1420</v>
      </c>
      <c r="C156" s="237" t="s">
        <v>71</v>
      </c>
      <c r="D156" s="237" t="s">
        <v>1421</v>
      </c>
      <c r="E156" s="237" t="s">
        <v>1422</v>
      </c>
    </row>
  </sheetData>
  <sheetProtection algorithmName="SHA-512" hashValue="rucpGYIohXEu7cy20ffgC9X8n00E/sWq/M/kB4w/ue4NsUqaEh8J3WYxSU/SIMgN9OI/tUjKlV2vwsaTvi+vsQ==" saltValue="i06pvNwy9Im7YnI3+4AaLQ==" spinCount="100000" sheet="1" objects="1" scenarios="1"/>
  <protectedRanges>
    <protectedRange sqref="C132:C144" name="Rango9"/>
    <protectedRange sqref="D110:G115" name="Rango8"/>
    <protectedRange sqref="D92:E97" name="Rango7"/>
    <protectedRange sqref="D79:H88" name="Rango6"/>
    <protectedRange sqref="B61:B64" name="Rango5"/>
    <protectedRange sqref="F55" name="Rango4"/>
    <protectedRange sqref="F51:G53" name="Rango3"/>
    <protectedRange sqref="B51:B57" name="Rango2"/>
    <protectedRange sqref="B6:B37" name="Rango1"/>
  </protectedRanges>
  <mergeCells count="55">
    <mergeCell ref="F103:G103"/>
    <mergeCell ref="F104:G104"/>
    <mergeCell ref="F105:G105"/>
    <mergeCell ref="F106:G106"/>
    <mergeCell ref="C63:D63"/>
    <mergeCell ref="C64:D64"/>
    <mergeCell ref="F100:G100"/>
    <mergeCell ref="F101:G101"/>
    <mergeCell ref="F102:G102"/>
    <mergeCell ref="E5:H5"/>
    <mergeCell ref="A1:H1"/>
    <mergeCell ref="C60:D60"/>
    <mergeCell ref="C61:D61"/>
    <mergeCell ref="C62:D62"/>
    <mergeCell ref="E33:H33"/>
    <mergeCell ref="E34:H34"/>
    <mergeCell ref="E35:H35"/>
    <mergeCell ref="E36:H36"/>
    <mergeCell ref="E37:H37"/>
    <mergeCell ref="E28:H28"/>
    <mergeCell ref="E29:H29"/>
    <mergeCell ref="E30:H30"/>
    <mergeCell ref="E31:H31"/>
    <mergeCell ref="E32:H32"/>
    <mergeCell ref="A147:I147"/>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E20:H20"/>
    <mergeCell ref="A3:B3"/>
    <mergeCell ref="A129:H129"/>
    <mergeCell ref="A58:E58"/>
    <mergeCell ref="A76:E76"/>
    <mergeCell ref="A98:G98"/>
    <mergeCell ref="A116:G117"/>
    <mergeCell ref="A127:I127"/>
    <mergeCell ref="A128:I128"/>
    <mergeCell ref="E21:H21"/>
    <mergeCell ref="E22:H22"/>
    <mergeCell ref="E23:H23"/>
    <mergeCell ref="E24:H24"/>
    <mergeCell ref="E25:H25"/>
    <mergeCell ref="E26:H26"/>
    <mergeCell ref="E27:H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1"/>
  <sheetViews>
    <sheetView showGridLines="0" topLeftCell="A22" workbookViewId="0">
      <selection activeCell="D35" sqref="D34:D35"/>
    </sheetView>
  </sheetViews>
  <sheetFormatPr baseColWidth="10" defaultColWidth="8.7109375" defaultRowHeight="15"/>
  <cols>
    <col min="1" max="1" width="10" customWidth="1"/>
    <col min="2" max="2" width="12" customWidth="1"/>
    <col min="3" max="3" width="8" customWidth="1"/>
    <col min="4" max="5" width="52" customWidth="1"/>
    <col min="6" max="6" width="46" customWidth="1"/>
    <col min="7" max="7" width="18" customWidth="1"/>
  </cols>
  <sheetData>
    <row r="1" spans="1:7" ht="25.5" customHeight="1">
      <c r="A1" s="290" t="s">
        <v>872</v>
      </c>
      <c r="B1" s="290"/>
      <c r="C1" s="290"/>
      <c r="D1" s="290"/>
      <c r="E1" s="290"/>
    </row>
    <row r="2" spans="1:7">
      <c r="A2" s="304" t="str">
        <f>HYPERLINK("#INICIO!A1","◀ INICIO")</f>
        <v>◀ INICIO</v>
      </c>
      <c r="B2" s="305"/>
      <c r="C2" s="305"/>
      <c r="D2" s="305"/>
    </row>
    <row r="4" spans="1:7" ht="30" customHeight="1">
      <c r="A4" s="3" t="s">
        <v>13</v>
      </c>
      <c r="B4" s="3" t="s">
        <v>14</v>
      </c>
      <c r="C4" s="3" t="s">
        <v>873</v>
      </c>
      <c r="D4" s="3" t="s">
        <v>874</v>
      </c>
      <c r="E4" s="3" t="s">
        <v>875</v>
      </c>
      <c r="F4" s="3" t="s">
        <v>876</v>
      </c>
      <c r="G4" s="3" t="s">
        <v>19</v>
      </c>
    </row>
    <row r="5" spans="1:7" ht="73.5" customHeight="1">
      <c r="A5" s="37" t="s">
        <v>877</v>
      </c>
      <c r="B5" s="37" t="s">
        <v>366</v>
      </c>
      <c r="C5" s="38" t="s">
        <v>71</v>
      </c>
      <c r="D5" s="37" t="s">
        <v>878</v>
      </c>
      <c r="E5" s="37" t="s">
        <v>879</v>
      </c>
      <c r="F5" s="37" t="s">
        <v>71</v>
      </c>
      <c r="G5" s="37" t="s">
        <v>880</v>
      </c>
    </row>
    <row r="6" spans="1:7" ht="73.5" customHeight="1">
      <c r="A6" s="18" t="s">
        <v>881</v>
      </c>
      <c r="B6" s="18" t="s">
        <v>366</v>
      </c>
      <c r="C6" s="39" t="s">
        <v>882</v>
      </c>
      <c r="D6" s="18" t="s">
        <v>883</v>
      </c>
      <c r="E6" s="18" t="s">
        <v>884</v>
      </c>
      <c r="F6" s="18" t="s">
        <v>885</v>
      </c>
      <c r="G6" s="18" t="s">
        <v>880</v>
      </c>
    </row>
    <row r="7" spans="1:7" ht="73.5" customHeight="1">
      <c r="A7" s="18" t="s">
        <v>881</v>
      </c>
      <c r="B7" s="18" t="s">
        <v>366</v>
      </c>
      <c r="C7" s="39" t="s">
        <v>882</v>
      </c>
      <c r="D7" s="18" t="s">
        <v>886</v>
      </c>
      <c r="E7" s="18" t="s">
        <v>887</v>
      </c>
      <c r="F7" s="18" t="s">
        <v>888</v>
      </c>
      <c r="G7" s="18" t="s">
        <v>880</v>
      </c>
    </row>
    <row r="8" spans="1:7" ht="73.5" customHeight="1">
      <c r="A8" s="18" t="s">
        <v>881</v>
      </c>
      <c r="B8" s="18" t="s">
        <v>366</v>
      </c>
      <c r="C8" s="39" t="s">
        <v>882</v>
      </c>
      <c r="D8" s="18" t="s">
        <v>889</v>
      </c>
      <c r="E8" s="18" t="s">
        <v>890</v>
      </c>
      <c r="F8" s="18" t="s">
        <v>891</v>
      </c>
      <c r="G8" s="18" t="s">
        <v>880</v>
      </c>
    </row>
    <row r="9" spans="1:7" ht="73.5" customHeight="1">
      <c r="A9" s="18" t="s">
        <v>881</v>
      </c>
      <c r="B9" s="18" t="s">
        <v>366</v>
      </c>
      <c r="C9" s="39" t="s">
        <v>892</v>
      </c>
      <c r="D9" s="18" t="s">
        <v>893</v>
      </c>
      <c r="E9" s="18" t="s">
        <v>894</v>
      </c>
      <c r="F9" s="18" t="s">
        <v>895</v>
      </c>
      <c r="G9" s="18" t="s">
        <v>880</v>
      </c>
    </row>
    <row r="10" spans="1:7" ht="73.5" customHeight="1">
      <c r="A10" s="18" t="s">
        <v>881</v>
      </c>
      <c r="B10" s="18" t="s">
        <v>366</v>
      </c>
      <c r="C10" s="39" t="s">
        <v>892</v>
      </c>
      <c r="D10" s="18" t="s">
        <v>896</v>
      </c>
      <c r="E10" s="18" t="s">
        <v>897</v>
      </c>
      <c r="F10" s="18" t="s">
        <v>898</v>
      </c>
      <c r="G10" s="18" t="s">
        <v>880</v>
      </c>
    </row>
    <row r="11" spans="1:7" ht="73.5" customHeight="1">
      <c r="A11" s="18" t="s">
        <v>881</v>
      </c>
      <c r="B11" s="18" t="s">
        <v>366</v>
      </c>
      <c r="C11" s="39" t="s">
        <v>892</v>
      </c>
      <c r="D11" s="18" t="s">
        <v>899</v>
      </c>
      <c r="E11" s="18" t="s">
        <v>900</v>
      </c>
      <c r="F11" s="18" t="s">
        <v>901</v>
      </c>
      <c r="G11" s="18" t="s">
        <v>880</v>
      </c>
    </row>
    <row r="12" spans="1:7" ht="73.5" customHeight="1">
      <c r="A12" s="18" t="s">
        <v>881</v>
      </c>
      <c r="B12" s="18" t="s">
        <v>366</v>
      </c>
      <c r="C12" s="39" t="s">
        <v>892</v>
      </c>
      <c r="D12" s="18" t="s">
        <v>902</v>
      </c>
      <c r="E12" s="18" t="s">
        <v>903</v>
      </c>
      <c r="F12" s="18" t="s">
        <v>803</v>
      </c>
      <c r="G12" s="18" t="s">
        <v>880</v>
      </c>
    </row>
    <row r="13" spans="1:7" ht="73.5" customHeight="1">
      <c r="A13" s="13" t="s">
        <v>881</v>
      </c>
      <c r="B13" s="13" t="s">
        <v>366</v>
      </c>
      <c r="C13" s="40" t="s">
        <v>904</v>
      </c>
      <c r="D13" s="13" t="s">
        <v>905</v>
      </c>
      <c r="E13" s="13" t="s">
        <v>906</v>
      </c>
      <c r="F13" s="13" t="s">
        <v>907</v>
      </c>
      <c r="G13" s="13" t="s">
        <v>880</v>
      </c>
    </row>
    <row r="14" spans="1:7" ht="73.5" customHeight="1">
      <c r="A14" s="13" t="s">
        <v>881</v>
      </c>
      <c r="B14" s="13" t="s">
        <v>366</v>
      </c>
      <c r="C14" s="40" t="s">
        <v>904</v>
      </c>
      <c r="D14" s="13" t="s">
        <v>908</v>
      </c>
      <c r="E14" s="13" t="s">
        <v>909</v>
      </c>
      <c r="F14" s="13" t="s">
        <v>803</v>
      </c>
      <c r="G14" s="13" t="s">
        <v>880</v>
      </c>
    </row>
    <row r="15" spans="1:7" ht="73.5" customHeight="1">
      <c r="A15" s="13" t="s">
        <v>881</v>
      </c>
      <c r="B15" s="13" t="s">
        <v>366</v>
      </c>
      <c r="C15" s="40" t="s">
        <v>71</v>
      </c>
      <c r="D15" s="13" t="s">
        <v>910</v>
      </c>
      <c r="E15" s="13" t="s">
        <v>911</v>
      </c>
      <c r="F15" s="13" t="s">
        <v>912</v>
      </c>
      <c r="G15" s="13" t="s">
        <v>880</v>
      </c>
    </row>
    <row r="16" spans="1:7" ht="73.5" customHeight="1">
      <c r="A16" s="37" t="s">
        <v>913</v>
      </c>
      <c r="B16" s="37" t="s">
        <v>366</v>
      </c>
      <c r="C16" s="38" t="s">
        <v>914</v>
      </c>
      <c r="D16" s="37" t="s">
        <v>915</v>
      </c>
      <c r="E16" s="37" t="s">
        <v>916</v>
      </c>
      <c r="F16" s="37" t="s">
        <v>917</v>
      </c>
      <c r="G16" s="37" t="s">
        <v>880</v>
      </c>
    </row>
    <row r="17" spans="1:7" ht="73.5" customHeight="1">
      <c r="A17" s="37" t="s">
        <v>913</v>
      </c>
      <c r="B17" s="37" t="s">
        <v>366</v>
      </c>
      <c r="C17" s="38" t="s">
        <v>914</v>
      </c>
      <c r="D17" s="37" t="s">
        <v>918</v>
      </c>
      <c r="E17" s="37" t="s">
        <v>919</v>
      </c>
      <c r="F17" s="37" t="s">
        <v>920</v>
      </c>
      <c r="G17" s="37" t="s">
        <v>880</v>
      </c>
    </row>
    <row r="18" spans="1:7" ht="73.5" customHeight="1">
      <c r="A18" s="37" t="s">
        <v>921</v>
      </c>
      <c r="B18" s="37" t="s">
        <v>922</v>
      </c>
      <c r="C18" s="38" t="s">
        <v>882</v>
      </c>
      <c r="D18" s="37" t="s">
        <v>923</v>
      </c>
      <c r="E18" s="37" t="s">
        <v>924</v>
      </c>
      <c r="F18" s="37" t="s">
        <v>925</v>
      </c>
      <c r="G18" s="37" t="s">
        <v>880</v>
      </c>
    </row>
    <row r="19" spans="1:7" ht="73.5" customHeight="1">
      <c r="A19" s="37" t="s">
        <v>921</v>
      </c>
      <c r="B19" s="37" t="s">
        <v>922</v>
      </c>
      <c r="C19" s="38" t="s">
        <v>882</v>
      </c>
      <c r="D19" s="37" t="s">
        <v>926</v>
      </c>
      <c r="E19" s="37" t="s">
        <v>927</v>
      </c>
      <c r="F19" s="37" t="s">
        <v>928</v>
      </c>
      <c r="G19" s="37" t="s">
        <v>880</v>
      </c>
    </row>
    <row r="20" spans="1:7" ht="73.5" customHeight="1">
      <c r="A20" s="37" t="s">
        <v>921</v>
      </c>
      <c r="B20" s="37" t="s">
        <v>922</v>
      </c>
      <c r="C20" s="38" t="s">
        <v>892</v>
      </c>
      <c r="D20" s="37" t="s">
        <v>929</v>
      </c>
      <c r="E20" s="37" t="s">
        <v>930</v>
      </c>
      <c r="F20" s="37" t="s">
        <v>803</v>
      </c>
      <c r="G20" s="37" t="s">
        <v>880</v>
      </c>
    </row>
    <row r="21" spans="1:7" ht="73.5" customHeight="1">
      <c r="A21" s="37" t="s">
        <v>921</v>
      </c>
      <c r="B21" s="37" t="s">
        <v>922</v>
      </c>
      <c r="C21" s="38" t="s">
        <v>904</v>
      </c>
      <c r="D21" s="37" t="s">
        <v>931</v>
      </c>
      <c r="E21" s="37" t="s">
        <v>932</v>
      </c>
      <c r="F21" s="37" t="s">
        <v>803</v>
      </c>
      <c r="G21" s="37" t="s">
        <v>880</v>
      </c>
    </row>
    <row r="22" spans="1:7" ht="73.5" customHeight="1">
      <c r="A22" s="37" t="s">
        <v>921</v>
      </c>
      <c r="B22" s="37" t="s">
        <v>922</v>
      </c>
      <c r="C22" s="38" t="s">
        <v>904</v>
      </c>
      <c r="D22" s="37" t="s">
        <v>933</v>
      </c>
      <c r="E22" s="37" t="s">
        <v>934</v>
      </c>
      <c r="F22" s="37" t="s">
        <v>803</v>
      </c>
      <c r="G22" s="37" t="s">
        <v>880</v>
      </c>
    </row>
    <row r="23" spans="1:7" ht="73.5" customHeight="1">
      <c r="A23" s="37" t="s">
        <v>913</v>
      </c>
      <c r="B23" s="37" t="s">
        <v>366</v>
      </c>
      <c r="C23" s="38" t="s">
        <v>892</v>
      </c>
      <c r="D23" s="37" t="s">
        <v>935</v>
      </c>
      <c r="E23" s="37" t="s">
        <v>936</v>
      </c>
      <c r="F23" s="37" t="s">
        <v>937</v>
      </c>
      <c r="G23" s="37" t="s">
        <v>880</v>
      </c>
    </row>
    <row r="24" spans="1:7" ht="73.5" customHeight="1">
      <c r="A24" s="13" t="s">
        <v>881</v>
      </c>
      <c r="B24" s="13" t="s">
        <v>366</v>
      </c>
      <c r="C24" s="40" t="s">
        <v>71</v>
      </c>
      <c r="D24" s="13" t="s">
        <v>938</v>
      </c>
      <c r="E24" s="13" t="s">
        <v>939</v>
      </c>
      <c r="F24" s="13" t="s">
        <v>71</v>
      </c>
      <c r="G24" s="13" t="s">
        <v>880</v>
      </c>
    </row>
    <row r="25" spans="1:7" ht="78" customHeight="1">
      <c r="A25" s="13" t="s">
        <v>1423</v>
      </c>
      <c r="B25" s="13" t="s">
        <v>1230</v>
      </c>
      <c r="C25" s="40" t="s">
        <v>892</v>
      </c>
      <c r="D25" s="13" t="s">
        <v>1424</v>
      </c>
      <c r="E25" s="13" t="s">
        <v>1425</v>
      </c>
      <c r="F25" s="13" t="s">
        <v>1426</v>
      </c>
      <c r="G25" s="13" t="s">
        <v>880</v>
      </c>
    </row>
    <row r="26" spans="1:7" ht="71.25" customHeight="1">
      <c r="A26" s="13" t="s">
        <v>1427</v>
      </c>
      <c r="B26" s="13" t="s">
        <v>1230</v>
      </c>
      <c r="C26" s="13" t="s">
        <v>1428</v>
      </c>
      <c r="D26" s="13" t="s">
        <v>1429</v>
      </c>
      <c r="E26" s="13" t="s">
        <v>1430</v>
      </c>
      <c r="F26" s="13" t="s">
        <v>1431</v>
      </c>
      <c r="G26" s="13" t="s">
        <v>880</v>
      </c>
    </row>
    <row r="27" spans="1:7" ht="36">
      <c r="A27" s="13" t="s">
        <v>1432</v>
      </c>
      <c r="B27" s="13" t="s">
        <v>1230</v>
      </c>
      <c r="C27" s="13" t="s">
        <v>1433</v>
      </c>
      <c r="D27" s="13" t="s">
        <v>1434</v>
      </c>
      <c r="E27" s="13" t="s">
        <v>1435</v>
      </c>
      <c r="F27" s="13" t="s">
        <v>1436</v>
      </c>
      <c r="G27" s="13" t="s">
        <v>880</v>
      </c>
    </row>
    <row r="31" spans="1:7">
      <c r="D31" s="374"/>
    </row>
  </sheetData>
  <sheetProtection algorithmName="SHA-512" hashValue="aJ1uLTd5vDURVNkIXbXJyF6d8JM9BCHWTdE8x6ZnXl5D0vpsY8GaLKjkftjGVJweEXXoUxahdNwfbKx8mf3AhQ==" saltValue="2KCV5XWLXpSuUN39EUdKIA==" spinCount="100000" sheet="1" objects="1" scenarios="1"/>
  <mergeCells count="2">
    <mergeCell ref="A2:D2"/>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6"/>
  <sheetViews>
    <sheetView showGridLines="0" workbookViewId="0">
      <selection activeCell="C104" sqref="C104"/>
    </sheetView>
  </sheetViews>
  <sheetFormatPr baseColWidth="10" defaultColWidth="8.7109375" defaultRowHeight="15"/>
  <cols>
    <col min="1" max="1" width="19" customWidth="1"/>
    <col min="2" max="4" width="40" customWidth="1"/>
    <col min="5" max="5" width="34" customWidth="1"/>
    <col min="6" max="6" width="30" customWidth="1"/>
    <col min="7" max="7" width="14" customWidth="1"/>
    <col min="8" max="8" width="12" customWidth="1"/>
  </cols>
  <sheetData>
    <row r="1" spans="1:8" ht="25.5" customHeight="1">
      <c r="A1" s="290" t="s">
        <v>1437</v>
      </c>
      <c r="B1" s="290"/>
      <c r="C1" s="290"/>
      <c r="D1" s="290"/>
      <c r="E1" s="290"/>
      <c r="F1" s="290"/>
      <c r="G1" s="290"/>
      <c r="H1" s="290"/>
    </row>
    <row r="2" spans="1:8" ht="15" customHeight="1">
      <c r="A2" s="286" t="s">
        <v>940</v>
      </c>
      <c r="B2" s="286"/>
      <c r="C2" s="286"/>
      <c r="D2" s="286"/>
      <c r="E2" s="286"/>
      <c r="F2" s="286"/>
      <c r="G2" s="286"/>
      <c r="H2" s="286"/>
    </row>
    <row r="3" spans="1:8">
      <c r="A3" s="286"/>
      <c r="B3" s="286"/>
      <c r="C3" s="286"/>
      <c r="D3" s="286"/>
      <c r="E3" s="286"/>
      <c r="F3" s="286"/>
      <c r="G3" s="286"/>
      <c r="H3" s="286"/>
    </row>
    <row r="4" spans="1:8" ht="27" customHeight="1">
      <c r="A4" s="304" t="str">
        <f>HYPERLINK("#INICIO!A1","◀ INICIO")</f>
        <v>◀ INICIO</v>
      </c>
      <c r="B4" s="305"/>
      <c r="C4" s="305"/>
      <c r="D4" s="305"/>
    </row>
    <row r="6" spans="1:8" ht="18" customHeight="1">
      <c r="A6" s="1" t="s">
        <v>941</v>
      </c>
      <c r="B6" s="2"/>
      <c r="C6" s="2"/>
      <c r="D6" s="2"/>
      <c r="E6" s="2"/>
      <c r="F6" s="2"/>
      <c r="G6" s="2"/>
      <c r="H6" s="2"/>
    </row>
    <row r="7" spans="1:8" ht="30" customHeight="1">
      <c r="A7" s="98" t="s">
        <v>942</v>
      </c>
      <c r="B7" s="98" t="s">
        <v>943</v>
      </c>
      <c r="C7" s="98" t="s">
        <v>202</v>
      </c>
      <c r="D7" s="98" t="s">
        <v>944</v>
      </c>
      <c r="E7" s="98" t="s">
        <v>945</v>
      </c>
      <c r="F7" s="98" t="s">
        <v>459</v>
      </c>
      <c r="G7" s="98" t="s">
        <v>193</v>
      </c>
    </row>
    <row r="8" spans="1:8" ht="21.75" customHeight="1">
      <c r="A8" s="336" t="s">
        <v>946</v>
      </c>
      <c r="B8" s="341" t="s">
        <v>947</v>
      </c>
      <c r="C8" s="140" t="s">
        <v>527</v>
      </c>
      <c r="D8" s="141" t="s">
        <v>948</v>
      </c>
      <c r="E8" s="140" t="s">
        <v>949</v>
      </c>
      <c r="F8" s="142" t="s">
        <v>950</v>
      </c>
      <c r="G8" s="143" t="s">
        <v>951</v>
      </c>
    </row>
    <row r="9" spans="1:8" ht="21.75" customHeight="1">
      <c r="A9" s="336"/>
      <c r="B9" s="342"/>
      <c r="C9" s="140" t="s">
        <v>952</v>
      </c>
      <c r="D9" s="141" t="s">
        <v>953</v>
      </c>
      <c r="E9" s="140" t="s">
        <v>954</v>
      </c>
      <c r="F9" s="142" t="s">
        <v>950</v>
      </c>
      <c r="G9" s="143" t="s">
        <v>951</v>
      </c>
    </row>
    <row r="10" spans="1:8" ht="21.75" customHeight="1">
      <c r="A10" s="336"/>
      <c r="B10" s="342"/>
      <c r="C10" s="140" t="s">
        <v>955</v>
      </c>
      <c r="D10" s="141" t="s">
        <v>956</v>
      </c>
      <c r="E10" s="140" t="s">
        <v>950</v>
      </c>
      <c r="F10" s="142" t="s">
        <v>950</v>
      </c>
      <c r="G10" s="143" t="s">
        <v>951</v>
      </c>
    </row>
    <row r="11" spans="1:8" ht="21.75" customHeight="1">
      <c r="A11" s="336"/>
      <c r="B11" s="342"/>
      <c r="C11" s="140" t="s">
        <v>957</v>
      </c>
      <c r="D11" s="141" t="s">
        <v>958</v>
      </c>
      <c r="E11" s="140" t="s">
        <v>959</v>
      </c>
      <c r="F11" s="142" t="s">
        <v>950</v>
      </c>
      <c r="G11" s="143" t="s">
        <v>951</v>
      </c>
    </row>
    <row r="12" spans="1:8" ht="21.75" customHeight="1">
      <c r="A12" s="336"/>
      <c r="B12" s="342"/>
      <c r="C12" s="140" t="s">
        <v>287</v>
      </c>
      <c r="D12" s="141" t="s">
        <v>960</v>
      </c>
      <c r="E12" s="140" t="s">
        <v>961</v>
      </c>
      <c r="F12" s="142" t="s">
        <v>950</v>
      </c>
      <c r="G12" s="143" t="s">
        <v>951</v>
      </c>
    </row>
    <row r="13" spans="1:8" ht="21.75" customHeight="1">
      <c r="A13" s="336"/>
      <c r="B13" s="342"/>
      <c r="C13" s="140" t="s">
        <v>962</v>
      </c>
      <c r="D13" s="141" t="s">
        <v>963</v>
      </c>
      <c r="E13" s="140" t="s">
        <v>964</v>
      </c>
      <c r="F13" s="142" t="s">
        <v>950</v>
      </c>
      <c r="G13" s="143" t="s">
        <v>951</v>
      </c>
    </row>
    <row r="14" spans="1:8" ht="21.75" customHeight="1">
      <c r="A14" s="336"/>
      <c r="B14" s="342"/>
      <c r="C14" s="140" t="s">
        <v>965</v>
      </c>
      <c r="D14" s="141" t="s">
        <v>966</v>
      </c>
      <c r="E14" s="140" t="s">
        <v>967</v>
      </c>
      <c r="F14" s="142" t="s">
        <v>950</v>
      </c>
      <c r="G14" s="143" t="s">
        <v>951</v>
      </c>
    </row>
    <row r="15" spans="1:8" ht="21.75" customHeight="1">
      <c r="A15" s="336" t="s">
        <v>968</v>
      </c>
      <c r="B15" s="341" t="s">
        <v>969</v>
      </c>
      <c r="C15" s="140" t="s">
        <v>970</v>
      </c>
      <c r="D15" s="141" t="s">
        <v>971</v>
      </c>
      <c r="E15" s="140" t="s">
        <v>972</v>
      </c>
      <c r="F15" s="142" t="s">
        <v>950</v>
      </c>
      <c r="G15" s="143" t="s">
        <v>951</v>
      </c>
    </row>
    <row r="16" spans="1:8" ht="21.75" customHeight="1">
      <c r="A16" s="336"/>
      <c r="B16" s="342"/>
      <c r="C16" s="140" t="s">
        <v>973</v>
      </c>
      <c r="D16" s="141" t="s">
        <v>974</v>
      </c>
      <c r="E16" s="140" t="s">
        <v>975</v>
      </c>
      <c r="F16" s="142" t="s">
        <v>950</v>
      </c>
      <c r="G16" s="143" t="s">
        <v>951</v>
      </c>
    </row>
    <row r="17" spans="1:7" ht="21.75" customHeight="1">
      <c r="A17" s="336"/>
      <c r="B17" s="342"/>
      <c r="C17" s="140" t="s">
        <v>976</v>
      </c>
      <c r="D17" s="141" t="s">
        <v>977</v>
      </c>
      <c r="E17" s="140" t="s">
        <v>978</v>
      </c>
      <c r="F17" s="142" t="s">
        <v>950</v>
      </c>
      <c r="G17" s="143" t="s">
        <v>951</v>
      </c>
    </row>
    <row r="18" spans="1:7" ht="21.75" customHeight="1">
      <c r="A18" s="336"/>
      <c r="B18" s="342"/>
      <c r="C18" s="140" t="s">
        <v>952</v>
      </c>
      <c r="D18" s="141" t="s">
        <v>979</v>
      </c>
      <c r="E18" s="140" t="s">
        <v>980</v>
      </c>
      <c r="F18" s="142" t="s">
        <v>950</v>
      </c>
      <c r="G18" s="143" t="s">
        <v>951</v>
      </c>
    </row>
    <row r="19" spans="1:7" ht="21.75" customHeight="1">
      <c r="A19" s="336"/>
      <c r="B19" s="342"/>
      <c r="C19" s="140" t="s">
        <v>957</v>
      </c>
      <c r="D19" s="141" t="s">
        <v>981</v>
      </c>
      <c r="E19" s="140" t="s">
        <v>975</v>
      </c>
      <c r="F19" s="142" t="s">
        <v>950</v>
      </c>
      <c r="G19" s="143" t="s">
        <v>951</v>
      </c>
    </row>
    <row r="20" spans="1:7" ht="21.75" customHeight="1">
      <c r="A20" s="336"/>
      <c r="B20" s="342"/>
      <c r="C20" s="140" t="s">
        <v>287</v>
      </c>
      <c r="D20" s="141" t="s">
        <v>982</v>
      </c>
      <c r="E20" s="140" t="s">
        <v>975</v>
      </c>
      <c r="F20" s="142" t="s">
        <v>950</v>
      </c>
      <c r="G20" s="143" t="s">
        <v>951</v>
      </c>
    </row>
    <row r="21" spans="1:7" ht="21.75" customHeight="1">
      <c r="A21" s="336"/>
      <c r="B21" s="342"/>
      <c r="C21" s="140" t="s">
        <v>962</v>
      </c>
      <c r="D21" s="141" t="s">
        <v>983</v>
      </c>
      <c r="E21" s="140" t="s">
        <v>984</v>
      </c>
      <c r="F21" s="142" t="s">
        <v>950</v>
      </c>
      <c r="G21" s="143" t="s">
        <v>951</v>
      </c>
    </row>
    <row r="22" spans="1:7" ht="21.75" customHeight="1">
      <c r="A22" s="336"/>
      <c r="B22" s="342"/>
      <c r="C22" s="140" t="s">
        <v>965</v>
      </c>
      <c r="D22" s="141" t="s">
        <v>985</v>
      </c>
      <c r="E22" s="140" t="s">
        <v>986</v>
      </c>
      <c r="F22" s="142" t="s">
        <v>950</v>
      </c>
      <c r="G22" s="143" t="s">
        <v>951</v>
      </c>
    </row>
    <row r="23" spans="1:7" ht="21.75" customHeight="1">
      <c r="A23" s="336" t="s">
        <v>987</v>
      </c>
      <c r="B23" s="337" t="s">
        <v>988</v>
      </c>
      <c r="C23" s="140" t="s">
        <v>861</v>
      </c>
      <c r="D23" s="141" t="s">
        <v>989</v>
      </c>
      <c r="E23" s="140" t="s">
        <v>990</v>
      </c>
      <c r="F23" s="142" t="s">
        <v>950</v>
      </c>
      <c r="G23" s="143" t="s">
        <v>951</v>
      </c>
    </row>
    <row r="24" spans="1:7" ht="21.75" customHeight="1">
      <c r="A24" s="336"/>
      <c r="B24" s="338"/>
      <c r="C24" s="140" t="s">
        <v>991</v>
      </c>
      <c r="D24" s="141" t="s">
        <v>992</v>
      </c>
      <c r="E24" s="140" t="s">
        <v>993</v>
      </c>
      <c r="F24" s="142" t="s">
        <v>950</v>
      </c>
      <c r="G24" s="143" t="s">
        <v>951</v>
      </c>
    </row>
    <row r="25" spans="1:7" ht="21.75" customHeight="1">
      <c r="A25" s="336"/>
      <c r="B25" s="338"/>
      <c r="C25" s="140" t="s">
        <v>952</v>
      </c>
      <c r="D25" s="141" t="s">
        <v>994</v>
      </c>
      <c r="E25" s="140" t="s">
        <v>995</v>
      </c>
      <c r="F25" s="142" t="s">
        <v>950</v>
      </c>
      <c r="G25" s="143" t="s">
        <v>951</v>
      </c>
    </row>
    <row r="26" spans="1:7" ht="21.75" customHeight="1">
      <c r="A26" s="336"/>
      <c r="B26" s="338"/>
      <c r="C26" s="140" t="s">
        <v>996</v>
      </c>
      <c r="D26" s="141" t="s">
        <v>997</v>
      </c>
      <c r="E26" s="140" t="s">
        <v>998</v>
      </c>
      <c r="F26" s="142" t="s">
        <v>950</v>
      </c>
      <c r="G26" s="143" t="s">
        <v>951</v>
      </c>
    </row>
    <row r="27" spans="1:7" ht="21.75" customHeight="1">
      <c r="A27" s="336"/>
      <c r="B27" s="338"/>
      <c r="C27" s="140" t="s">
        <v>957</v>
      </c>
      <c r="D27" s="141" t="s">
        <v>999</v>
      </c>
      <c r="E27" s="140" t="s">
        <v>1000</v>
      </c>
      <c r="F27" s="142" t="s">
        <v>950</v>
      </c>
      <c r="G27" s="143" t="s">
        <v>951</v>
      </c>
    </row>
    <row r="28" spans="1:7" ht="21.75" customHeight="1">
      <c r="A28" s="336"/>
      <c r="B28" s="338"/>
      <c r="C28" s="140" t="s">
        <v>287</v>
      </c>
      <c r="D28" s="141" t="s">
        <v>1001</v>
      </c>
      <c r="E28" s="140" t="s">
        <v>1002</v>
      </c>
      <c r="F28" s="142" t="s">
        <v>950</v>
      </c>
      <c r="G28" s="143" t="s">
        <v>951</v>
      </c>
    </row>
    <row r="29" spans="1:7" ht="21.75" customHeight="1">
      <c r="A29" s="336"/>
      <c r="B29" s="338"/>
      <c r="C29" s="140" t="s">
        <v>962</v>
      </c>
      <c r="D29" s="141" t="s">
        <v>1003</v>
      </c>
      <c r="E29" s="140" t="s">
        <v>1004</v>
      </c>
      <c r="F29" s="142" t="s">
        <v>950</v>
      </c>
      <c r="G29" s="143" t="s">
        <v>951</v>
      </c>
    </row>
    <row r="30" spans="1:7" ht="21.75" customHeight="1">
      <c r="A30" s="336"/>
      <c r="B30" s="338"/>
      <c r="C30" s="140" t="s">
        <v>965</v>
      </c>
      <c r="D30" s="141" t="s">
        <v>1005</v>
      </c>
      <c r="E30" s="140" t="s">
        <v>1006</v>
      </c>
      <c r="F30" s="142" t="s">
        <v>950</v>
      </c>
      <c r="G30" s="143" t="s">
        <v>951</v>
      </c>
    </row>
    <row r="31" spans="1:7" ht="27" customHeight="1">
      <c r="A31" s="336"/>
      <c r="B31" s="338"/>
      <c r="C31" s="140" t="s">
        <v>1007</v>
      </c>
      <c r="D31" s="141" t="s">
        <v>1008</v>
      </c>
      <c r="E31" s="140" t="s">
        <v>1009</v>
      </c>
      <c r="F31" s="142" t="s">
        <v>950</v>
      </c>
      <c r="G31" s="143" t="s">
        <v>951</v>
      </c>
    </row>
    <row r="32" spans="1:7">
      <c r="A32" s="339" t="s">
        <v>1010</v>
      </c>
      <c r="B32" s="339"/>
      <c r="C32" s="339"/>
      <c r="D32" s="339"/>
      <c r="E32" s="339"/>
      <c r="F32" s="339"/>
      <c r="G32" s="339"/>
    </row>
    <row r="34" spans="1:8" ht="18" customHeight="1">
      <c r="A34" s="1" t="s">
        <v>1011</v>
      </c>
      <c r="B34" s="2"/>
      <c r="C34" s="2"/>
      <c r="D34" s="2"/>
      <c r="E34" s="2"/>
      <c r="F34" s="2"/>
      <c r="G34" s="2"/>
      <c r="H34" s="2"/>
    </row>
    <row r="35" spans="1:8" ht="30" customHeight="1">
      <c r="A35" s="98" t="s">
        <v>1012</v>
      </c>
      <c r="B35" s="98" t="s">
        <v>526</v>
      </c>
      <c r="C35" s="98" t="s">
        <v>549</v>
      </c>
      <c r="D35" s="98" t="s">
        <v>1013</v>
      </c>
      <c r="E35" s="98" t="s">
        <v>1014</v>
      </c>
      <c r="F35" s="98" t="s">
        <v>193</v>
      </c>
    </row>
    <row r="36" spans="1:8" ht="45.75" customHeight="1">
      <c r="A36" s="144" t="s">
        <v>1015</v>
      </c>
      <c r="B36" s="141" t="s">
        <v>1016</v>
      </c>
      <c r="C36" s="141" t="s">
        <v>1017</v>
      </c>
      <c r="D36" s="141" t="s">
        <v>1018</v>
      </c>
      <c r="E36" s="141" t="s">
        <v>950</v>
      </c>
      <c r="F36" s="143" t="s">
        <v>1019</v>
      </c>
    </row>
    <row r="37" spans="1:8" ht="45.75" customHeight="1">
      <c r="A37" s="144" t="s">
        <v>1020</v>
      </c>
      <c r="B37" s="141" t="s">
        <v>1021</v>
      </c>
      <c r="C37" s="141" t="s">
        <v>1022</v>
      </c>
      <c r="D37" s="141" t="s">
        <v>1023</v>
      </c>
      <c r="E37" s="141" t="s">
        <v>950</v>
      </c>
      <c r="F37" s="143" t="s">
        <v>1019</v>
      </c>
    </row>
    <row r="38" spans="1:8" ht="45.75" customHeight="1">
      <c r="A38" s="144" t="s">
        <v>1024</v>
      </c>
      <c r="B38" s="141" t="s">
        <v>1025</v>
      </c>
      <c r="C38" s="141" t="s">
        <v>1026</v>
      </c>
      <c r="D38" s="141" t="s">
        <v>1027</v>
      </c>
      <c r="E38" s="141" t="s">
        <v>950</v>
      </c>
      <c r="F38" s="143" t="s">
        <v>1019</v>
      </c>
    </row>
    <row r="39" spans="1:8" ht="45.75" customHeight="1">
      <c r="A39" s="144" t="s">
        <v>1028</v>
      </c>
      <c r="B39" s="141" t="s">
        <v>1029</v>
      </c>
      <c r="C39" s="141" t="s">
        <v>1030</v>
      </c>
      <c r="D39" s="141" t="s">
        <v>1031</v>
      </c>
      <c r="E39" s="141" t="s">
        <v>950</v>
      </c>
      <c r="F39" s="143" t="s">
        <v>1019</v>
      </c>
    </row>
    <row r="40" spans="1:8" ht="45.75" customHeight="1">
      <c r="A40" s="144" t="s">
        <v>1032</v>
      </c>
      <c r="B40" s="141" t="s">
        <v>1033</v>
      </c>
      <c r="C40" s="141" t="s">
        <v>1034</v>
      </c>
      <c r="D40" s="141" t="s">
        <v>1035</v>
      </c>
      <c r="E40" s="141" t="s">
        <v>950</v>
      </c>
      <c r="F40" s="143" t="s">
        <v>1019</v>
      </c>
    </row>
    <row r="41" spans="1:8" ht="45.75" customHeight="1">
      <c r="A41" s="144" t="s">
        <v>1036</v>
      </c>
      <c r="B41" s="141" t="s">
        <v>1037</v>
      </c>
      <c r="C41" s="141" t="s">
        <v>1038</v>
      </c>
      <c r="D41" s="141" t="s">
        <v>1039</v>
      </c>
      <c r="E41" s="141" t="s">
        <v>950</v>
      </c>
      <c r="F41" s="143" t="s">
        <v>1019</v>
      </c>
    </row>
    <row r="42" spans="1:8">
      <c r="A42" s="339" t="s">
        <v>1040</v>
      </c>
      <c r="B42" s="339"/>
      <c r="C42" s="339"/>
      <c r="D42" s="339"/>
      <c r="E42" s="339"/>
      <c r="F42" s="339"/>
    </row>
    <row r="44" spans="1:8" ht="18" customHeight="1">
      <c r="A44" s="1" t="s">
        <v>1041</v>
      </c>
      <c r="B44" s="2"/>
      <c r="C44" s="2"/>
      <c r="D44" s="2"/>
      <c r="E44" s="2"/>
      <c r="F44" s="2"/>
      <c r="G44" s="2"/>
      <c r="H44" s="2"/>
    </row>
    <row r="45" spans="1:8" ht="30" customHeight="1">
      <c r="A45" s="150" t="s">
        <v>13</v>
      </c>
      <c r="B45" s="150" t="s">
        <v>192</v>
      </c>
      <c r="C45" s="150" t="s">
        <v>1042</v>
      </c>
      <c r="D45" s="150" t="s">
        <v>1043</v>
      </c>
      <c r="E45" s="150" t="s">
        <v>1044</v>
      </c>
      <c r="F45" s="150" t="s">
        <v>876</v>
      </c>
    </row>
    <row r="46" spans="1:8" ht="39.75" customHeight="1">
      <c r="A46" s="144" t="s">
        <v>881</v>
      </c>
      <c r="B46" s="141" t="s">
        <v>1045</v>
      </c>
      <c r="C46" s="141" t="s">
        <v>1046</v>
      </c>
      <c r="D46" s="141" t="s">
        <v>1047</v>
      </c>
      <c r="E46" s="141" t="s">
        <v>1048</v>
      </c>
      <c r="F46" s="141" t="s">
        <v>1049</v>
      </c>
    </row>
    <row r="47" spans="1:8" ht="39.75" customHeight="1">
      <c r="A47" s="144" t="s">
        <v>881</v>
      </c>
      <c r="B47" s="141" t="s">
        <v>1050</v>
      </c>
      <c r="C47" s="141" t="s">
        <v>1051</v>
      </c>
      <c r="D47" s="141" t="s">
        <v>1052</v>
      </c>
      <c r="E47" s="141" t="s">
        <v>1053</v>
      </c>
      <c r="F47" s="141" t="s">
        <v>1054</v>
      </c>
    </row>
    <row r="48" spans="1:8" ht="39.75" customHeight="1">
      <c r="A48" s="144" t="s">
        <v>881</v>
      </c>
      <c r="B48" s="141" t="s">
        <v>1055</v>
      </c>
      <c r="C48" s="141" t="s">
        <v>1056</v>
      </c>
      <c r="D48" s="141" t="s">
        <v>71</v>
      </c>
      <c r="E48" s="141" t="s">
        <v>1057</v>
      </c>
      <c r="F48" s="141" t="s">
        <v>1049</v>
      </c>
    </row>
    <row r="49" spans="1:6" ht="39.75" customHeight="1">
      <c r="A49" s="144" t="s">
        <v>881</v>
      </c>
      <c r="B49" s="141" t="s">
        <v>1058</v>
      </c>
      <c r="C49" s="141" t="s">
        <v>1059</v>
      </c>
      <c r="D49" s="141" t="s">
        <v>1060</v>
      </c>
      <c r="E49" s="141" t="s">
        <v>1061</v>
      </c>
      <c r="F49" s="141" t="s">
        <v>1062</v>
      </c>
    </row>
    <row r="50" spans="1:6" ht="39.75" customHeight="1">
      <c r="A50" s="144" t="s">
        <v>881</v>
      </c>
      <c r="B50" s="141" t="s">
        <v>1063</v>
      </c>
      <c r="C50" s="141" t="s">
        <v>1064</v>
      </c>
      <c r="D50" s="141" t="s">
        <v>1065</v>
      </c>
      <c r="E50" s="141" t="s">
        <v>1066</v>
      </c>
      <c r="F50" s="141" t="s">
        <v>1067</v>
      </c>
    </row>
    <row r="51" spans="1:6" ht="39.75" customHeight="1">
      <c r="A51" s="144" t="s">
        <v>881</v>
      </c>
      <c r="B51" s="141" t="s">
        <v>1068</v>
      </c>
      <c r="C51" s="141" t="s">
        <v>1069</v>
      </c>
      <c r="D51" s="141" t="s">
        <v>1070</v>
      </c>
      <c r="E51" s="141" t="s">
        <v>1071</v>
      </c>
      <c r="F51" s="141" t="s">
        <v>1072</v>
      </c>
    </row>
    <row r="52" spans="1:6" ht="39.75" customHeight="1">
      <c r="A52" s="144" t="s">
        <v>881</v>
      </c>
      <c r="B52" s="141" t="s">
        <v>1073</v>
      </c>
      <c r="C52" s="141" t="s">
        <v>1074</v>
      </c>
      <c r="D52" s="141" t="s">
        <v>1075</v>
      </c>
      <c r="E52" s="141" t="s">
        <v>1076</v>
      </c>
      <c r="F52" s="141" t="s">
        <v>1049</v>
      </c>
    </row>
    <row r="53" spans="1:6" ht="39.75" customHeight="1">
      <c r="A53" s="144" t="s">
        <v>881</v>
      </c>
      <c r="B53" s="141" t="s">
        <v>1077</v>
      </c>
      <c r="C53" s="141" t="s">
        <v>1078</v>
      </c>
      <c r="D53" s="141" t="s">
        <v>1079</v>
      </c>
      <c r="E53" s="141" t="s">
        <v>1080</v>
      </c>
      <c r="F53" s="141" t="s">
        <v>1049</v>
      </c>
    </row>
    <row r="54" spans="1:6" ht="39.75" customHeight="1">
      <c r="A54" s="145" t="s">
        <v>913</v>
      </c>
      <c r="B54" s="146" t="s">
        <v>1081</v>
      </c>
      <c r="C54" s="146" t="s">
        <v>1082</v>
      </c>
      <c r="D54" s="146" t="s">
        <v>1083</v>
      </c>
      <c r="E54" s="146" t="s">
        <v>1084</v>
      </c>
      <c r="F54" s="146" t="s">
        <v>1085</v>
      </c>
    </row>
    <row r="55" spans="1:6" ht="39.75" customHeight="1">
      <c r="A55" s="145" t="s">
        <v>913</v>
      </c>
      <c r="B55" s="146" t="s">
        <v>1086</v>
      </c>
      <c r="C55" s="146" t="s">
        <v>1087</v>
      </c>
      <c r="D55" s="146" t="s">
        <v>1088</v>
      </c>
      <c r="E55" s="146" t="s">
        <v>1089</v>
      </c>
      <c r="F55" s="146" t="s">
        <v>1049</v>
      </c>
    </row>
    <row r="56" spans="1:6" ht="39.75" customHeight="1">
      <c r="A56" s="145" t="s">
        <v>913</v>
      </c>
      <c r="B56" s="146" t="s">
        <v>1090</v>
      </c>
      <c r="C56" s="146" t="s">
        <v>1091</v>
      </c>
      <c r="D56" s="146" t="s">
        <v>1092</v>
      </c>
      <c r="E56" s="146" t="s">
        <v>1093</v>
      </c>
      <c r="F56" s="146" t="s">
        <v>1094</v>
      </c>
    </row>
    <row r="57" spans="1:6" ht="39.75" customHeight="1">
      <c r="A57" s="145" t="s">
        <v>913</v>
      </c>
      <c r="B57" s="146" t="s">
        <v>1095</v>
      </c>
      <c r="C57" s="146" t="s">
        <v>1096</v>
      </c>
      <c r="D57" s="146" t="s">
        <v>1097</v>
      </c>
      <c r="E57" s="146" t="s">
        <v>1098</v>
      </c>
      <c r="F57" s="146" t="s">
        <v>1049</v>
      </c>
    </row>
    <row r="58" spans="1:6" ht="39.75" customHeight="1">
      <c r="A58" s="145" t="s">
        <v>913</v>
      </c>
      <c r="B58" s="146" t="s">
        <v>1099</v>
      </c>
      <c r="C58" s="146" t="s">
        <v>1100</v>
      </c>
      <c r="D58" s="146" t="s">
        <v>1060</v>
      </c>
      <c r="E58" s="146" t="s">
        <v>1101</v>
      </c>
      <c r="F58" s="146" t="s">
        <v>1049</v>
      </c>
    </row>
    <row r="59" spans="1:6" ht="39.75" customHeight="1">
      <c r="A59" s="145" t="s">
        <v>913</v>
      </c>
      <c r="B59" s="146" t="s">
        <v>1102</v>
      </c>
      <c r="C59" s="146" t="s">
        <v>1103</v>
      </c>
      <c r="D59" s="146" t="s">
        <v>1104</v>
      </c>
      <c r="E59" s="146" t="s">
        <v>1105</v>
      </c>
      <c r="F59" s="146" t="s">
        <v>1049</v>
      </c>
    </row>
    <row r="60" spans="1:6" ht="39.75" customHeight="1">
      <c r="A60" s="145" t="s">
        <v>913</v>
      </c>
      <c r="B60" s="146" t="s">
        <v>1106</v>
      </c>
      <c r="C60" s="146" t="s">
        <v>1107</v>
      </c>
      <c r="D60" s="146" t="s">
        <v>1108</v>
      </c>
      <c r="E60" s="146" t="s">
        <v>1109</v>
      </c>
      <c r="F60" s="146" t="s">
        <v>1049</v>
      </c>
    </row>
    <row r="61" spans="1:6" ht="39.75" customHeight="1">
      <c r="A61" s="144" t="s">
        <v>921</v>
      </c>
      <c r="B61" s="141" t="s">
        <v>1110</v>
      </c>
      <c r="C61" s="141" t="s">
        <v>1111</v>
      </c>
      <c r="D61" s="141" t="s">
        <v>1112</v>
      </c>
      <c r="E61" s="141" t="s">
        <v>1113</v>
      </c>
      <c r="F61" s="141" t="s">
        <v>1114</v>
      </c>
    </row>
    <row r="62" spans="1:6" ht="39.75" customHeight="1">
      <c r="A62" s="144" t="s">
        <v>921</v>
      </c>
      <c r="B62" s="141" t="s">
        <v>1115</v>
      </c>
      <c r="C62" s="141" t="s">
        <v>1116</v>
      </c>
      <c r="D62" s="141" t="s">
        <v>1117</v>
      </c>
      <c r="E62" s="141" t="s">
        <v>1118</v>
      </c>
      <c r="F62" s="141" t="s">
        <v>1049</v>
      </c>
    </row>
    <row r="63" spans="1:6" ht="39.75" customHeight="1">
      <c r="A63" s="144" t="s">
        <v>921</v>
      </c>
      <c r="B63" s="141" t="s">
        <v>1119</v>
      </c>
      <c r="C63" s="141" t="s">
        <v>1120</v>
      </c>
      <c r="D63" s="141" t="s">
        <v>1121</v>
      </c>
      <c r="E63" s="141" t="s">
        <v>1122</v>
      </c>
      <c r="F63" s="141" t="s">
        <v>1123</v>
      </c>
    </row>
    <row r="64" spans="1:6" ht="39.75" customHeight="1">
      <c r="A64" s="144" t="s">
        <v>921</v>
      </c>
      <c r="B64" s="141" t="s">
        <v>1124</v>
      </c>
      <c r="C64" s="141" t="s">
        <v>1125</v>
      </c>
      <c r="D64" s="141" t="s">
        <v>1060</v>
      </c>
      <c r="E64" s="141" t="s">
        <v>1126</v>
      </c>
      <c r="F64" s="141" t="s">
        <v>1049</v>
      </c>
    </row>
    <row r="65" spans="1:8" ht="39.75" customHeight="1">
      <c r="A65" s="144" t="s">
        <v>921</v>
      </c>
      <c r="B65" s="141" t="s">
        <v>1127</v>
      </c>
      <c r="C65" s="141" t="s">
        <v>1128</v>
      </c>
      <c r="D65" s="141" t="s">
        <v>1129</v>
      </c>
      <c r="E65" s="141" t="s">
        <v>1130</v>
      </c>
      <c r="F65" s="141" t="s">
        <v>1049</v>
      </c>
    </row>
    <row r="66" spans="1:8" ht="39.75" customHeight="1">
      <c r="A66" s="144" t="s">
        <v>921</v>
      </c>
      <c r="B66" s="141" t="s">
        <v>1131</v>
      </c>
      <c r="C66" s="141" t="s">
        <v>1132</v>
      </c>
      <c r="D66" s="141" t="s">
        <v>1133</v>
      </c>
      <c r="E66" s="141" t="s">
        <v>1134</v>
      </c>
      <c r="F66" s="141" t="s">
        <v>1049</v>
      </c>
    </row>
    <row r="67" spans="1:8" ht="39.75" customHeight="1">
      <c r="A67" s="145" t="s">
        <v>913</v>
      </c>
      <c r="B67" s="146" t="s">
        <v>1135</v>
      </c>
      <c r="C67" s="146" t="s">
        <v>1136</v>
      </c>
      <c r="D67" s="146" t="s">
        <v>1137</v>
      </c>
      <c r="E67" s="146" t="s">
        <v>1138</v>
      </c>
      <c r="F67" s="146" t="s">
        <v>1049</v>
      </c>
    </row>
    <row r="69" spans="1:8" ht="18" customHeight="1">
      <c r="A69" s="1" t="s">
        <v>1139</v>
      </c>
      <c r="B69" s="2"/>
      <c r="C69" s="2"/>
      <c r="D69" s="2"/>
      <c r="E69" s="2"/>
      <c r="F69" s="2"/>
      <c r="G69" s="2"/>
      <c r="H69" s="2"/>
    </row>
    <row r="70" spans="1:8" ht="30" customHeight="1">
      <c r="A70" s="3" t="s">
        <v>1140</v>
      </c>
      <c r="B70" s="3" t="s">
        <v>1141</v>
      </c>
      <c r="C70" s="3" t="s">
        <v>1142</v>
      </c>
      <c r="D70" s="3" t="s">
        <v>1143</v>
      </c>
      <c r="E70" s="3" t="s">
        <v>1144</v>
      </c>
    </row>
    <row r="71" spans="1:8" ht="25.5">
      <c r="A71" s="147" t="s">
        <v>1145</v>
      </c>
      <c r="B71" s="148" t="s">
        <v>1146</v>
      </c>
      <c r="C71" s="148" t="s">
        <v>1147</v>
      </c>
      <c r="D71" s="148" t="s">
        <v>1148</v>
      </c>
      <c r="E71" s="148" t="s">
        <v>1148</v>
      </c>
    </row>
    <row r="72" spans="1:8" ht="25.5">
      <c r="A72" s="149" t="s">
        <v>1149</v>
      </c>
      <c r="B72" s="47" t="s">
        <v>1150</v>
      </c>
      <c r="C72" s="47" t="s">
        <v>1151</v>
      </c>
      <c r="D72" s="47" t="s">
        <v>1152</v>
      </c>
      <c r="E72" s="47" t="s">
        <v>1153</v>
      </c>
    </row>
    <row r="73" spans="1:8" ht="63.75">
      <c r="A73" s="149" t="s">
        <v>1154</v>
      </c>
      <c r="B73" s="47" t="s">
        <v>71</v>
      </c>
      <c r="C73" s="47" t="s">
        <v>49</v>
      </c>
      <c r="D73" s="47" t="s">
        <v>1148</v>
      </c>
      <c r="E73" s="47" t="s">
        <v>1148</v>
      </c>
    </row>
    <row r="74" spans="1:8" ht="76.5">
      <c r="A74" s="149" t="s">
        <v>1155</v>
      </c>
      <c r="B74" s="47" t="s">
        <v>71</v>
      </c>
      <c r="C74" s="47" t="s">
        <v>1156</v>
      </c>
      <c r="D74" s="47" t="s">
        <v>1157</v>
      </c>
      <c r="E74" s="47" t="s">
        <v>855</v>
      </c>
    </row>
    <row r="75" spans="1:8" ht="51">
      <c r="A75" s="149" t="s">
        <v>1158</v>
      </c>
      <c r="B75" s="47" t="s">
        <v>1159</v>
      </c>
      <c r="C75" s="47" t="s">
        <v>950</v>
      </c>
      <c r="D75" s="47" t="s">
        <v>1160</v>
      </c>
      <c r="E75" s="47" t="s">
        <v>950</v>
      </c>
    </row>
    <row r="76" spans="1:8" ht="38.25">
      <c r="A76" s="149" t="s">
        <v>1161</v>
      </c>
      <c r="B76" s="47" t="s">
        <v>71</v>
      </c>
      <c r="C76" s="47" t="s">
        <v>1162</v>
      </c>
      <c r="D76" s="47" t="s">
        <v>1162</v>
      </c>
      <c r="E76" s="47" t="s">
        <v>1162</v>
      </c>
    </row>
    <row r="77" spans="1:8" ht="38.25">
      <c r="A77" s="149" t="s">
        <v>1163</v>
      </c>
      <c r="B77" s="47" t="s">
        <v>950</v>
      </c>
      <c r="C77" s="47" t="s">
        <v>950</v>
      </c>
      <c r="D77" s="47" t="s">
        <v>950</v>
      </c>
      <c r="E77" s="47" t="s">
        <v>950</v>
      </c>
    </row>
    <row r="78" spans="1:8" ht="25.5">
      <c r="A78" s="149" t="s">
        <v>1164</v>
      </c>
      <c r="B78" s="47" t="s">
        <v>950</v>
      </c>
      <c r="C78" s="47" t="s">
        <v>950</v>
      </c>
      <c r="D78" s="47" t="s">
        <v>950</v>
      </c>
      <c r="E78" s="47" t="s">
        <v>950</v>
      </c>
    </row>
    <row r="79" spans="1:8" ht="38.25">
      <c r="A79" s="149" t="s">
        <v>1165</v>
      </c>
      <c r="B79" s="47" t="s">
        <v>854</v>
      </c>
      <c r="C79" s="47" t="s">
        <v>854</v>
      </c>
      <c r="D79" s="47" t="s">
        <v>854</v>
      </c>
      <c r="E79" s="47" t="s">
        <v>854</v>
      </c>
    </row>
    <row r="81" spans="1:8" ht="15" customHeight="1">
      <c r="A81" s="340" t="s">
        <v>1166</v>
      </c>
      <c r="B81" s="340"/>
      <c r="C81" s="340"/>
      <c r="D81" s="340"/>
      <c r="E81" s="340"/>
      <c r="F81" s="340"/>
      <c r="G81" s="340"/>
      <c r="H81" s="340"/>
    </row>
    <row r="82" spans="1:8">
      <c r="A82" s="340"/>
      <c r="B82" s="340"/>
      <c r="C82" s="340"/>
      <c r="D82" s="340"/>
      <c r="E82" s="340"/>
      <c r="F82" s="340"/>
      <c r="G82" s="340"/>
      <c r="H82" s="340"/>
    </row>
    <row r="84" spans="1:8">
      <c r="A84" s="334" t="s">
        <v>1167</v>
      </c>
      <c r="B84" s="334"/>
      <c r="C84" s="334"/>
      <c r="D84" s="334"/>
      <c r="E84" s="331">
        <v>742</v>
      </c>
      <c r="F84" s="332"/>
      <c r="G84" s="332"/>
      <c r="H84" s="333"/>
    </row>
    <row r="85" spans="1:8">
      <c r="A85" s="335" t="s">
        <v>1168</v>
      </c>
      <c r="B85" s="335"/>
      <c r="C85" s="335"/>
      <c r="D85" s="335"/>
      <c r="E85" s="335"/>
      <c r="F85" s="335"/>
      <c r="G85" s="335"/>
      <c r="H85" s="335"/>
    </row>
    <row r="87" spans="1:8">
      <c r="A87" s="1" t="s">
        <v>1438</v>
      </c>
      <c r="B87" s="1"/>
      <c r="C87" s="1"/>
      <c r="D87" s="1"/>
      <c r="E87" s="1"/>
      <c r="F87" s="1"/>
      <c r="G87" s="1"/>
      <c r="H87" s="1"/>
    </row>
    <row r="88" spans="1:8">
      <c r="A88" s="3" t="s">
        <v>1439</v>
      </c>
      <c r="B88" s="3" t="s">
        <v>293</v>
      </c>
      <c r="C88" s="3" t="s">
        <v>193</v>
      </c>
      <c r="D88" s="378" t="s">
        <v>1440</v>
      </c>
      <c r="E88" s="379"/>
      <c r="F88" s="379"/>
      <c r="G88" s="379"/>
      <c r="H88" s="380"/>
    </row>
    <row r="89" spans="1:8" ht="25.5">
      <c r="A89" s="149" t="s">
        <v>1441</v>
      </c>
      <c r="B89" s="193" t="s">
        <v>1442</v>
      </c>
      <c r="C89" s="193" t="s">
        <v>1443</v>
      </c>
      <c r="D89" s="375" t="s">
        <v>1444</v>
      </c>
      <c r="E89" s="376"/>
      <c r="F89" s="376"/>
      <c r="G89" s="376"/>
      <c r="H89" s="377"/>
    </row>
    <row r="90" spans="1:8" ht="25.5" customHeight="1">
      <c r="A90" s="149" t="s">
        <v>1445</v>
      </c>
      <c r="B90" s="193" t="s">
        <v>1446</v>
      </c>
      <c r="C90" s="193" t="s">
        <v>1443</v>
      </c>
      <c r="D90" s="375" t="s">
        <v>1447</v>
      </c>
      <c r="E90" s="376"/>
      <c r="F90" s="376"/>
      <c r="G90" s="376"/>
      <c r="H90" s="377"/>
    </row>
    <row r="91" spans="1:8" ht="25.5">
      <c r="A91" s="149" t="s">
        <v>1448</v>
      </c>
      <c r="B91" s="193" t="s">
        <v>1446</v>
      </c>
      <c r="C91" s="193" t="s">
        <v>1443</v>
      </c>
      <c r="D91" s="375" t="s">
        <v>1449</v>
      </c>
      <c r="E91" s="376"/>
      <c r="F91" s="376"/>
      <c r="G91" s="376"/>
      <c r="H91" s="377"/>
    </row>
    <row r="92" spans="1:8">
      <c r="A92" s="149" t="s">
        <v>1450</v>
      </c>
      <c r="B92" s="193" t="s">
        <v>1451</v>
      </c>
      <c r="C92" s="193" t="s">
        <v>1443</v>
      </c>
      <c r="D92" s="375" t="s">
        <v>1452</v>
      </c>
      <c r="E92" s="376"/>
      <c r="F92" s="376"/>
      <c r="G92" s="376"/>
      <c r="H92" s="377"/>
    </row>
    <row r="93" spans="1:8" ht="25.5">
      <c r="A93" s="149" t="s">
        <v>1453</v>
      </c>
      <c r="B93" s="193" t="s">
        <v>1454</v>
      </c>
      <c r="C93" s="193" t="s">
        <v>1443</v>
      </c>
      <c r="D93" s="375" t="s">
        <v>1455</v>
      </c>
      <c r="E93" s="376"/>
      <c r="F93" s="376"/>
      <c r="G93" s="376"/>
      <c r="H93" s="377"/>
    </row>
    <row r="94" spans="1:8">
      <c r="A94" s="149" t="s">
        <v>1456</v>
      </c>
      <c r="B94" s="193" t="s">
        <v>1457</v>
      </c>
      <c r="C94" s="193" t="s">
        <v>1443</v>
      </c>
      <c r="D94" s="375" t="s">
        <v>1458</v>
      </c>
      <c r="E94" s="376"/>
      <c r="F94" s="376"/>
      <c r="G94" s="376"/>
      <c r="H94" s="377"/>
    </row>
    <row r="95" spans="1:8">
      <c r="A95" s="149" t="s">
        <v>1459</v>
      </c>
      <c r="B95" s="193" t="s">
        <v>854</v>
      </c>
      <c r="C95" s="193" t="s">
        <v>1460</v>
      </c>
      <c r="D95" s="375" t="s">
        <v>1461</v>
      </c>
      <c r="E95" s="376"/>
      <c r="F95" s="376"/>
      <c r="G95" s="376"/>
      <c r="H95" s="377"/>
    </row>
    <row r="96" spans="1:8">
      <c r="A96" s="149" t="s">
        <v>1462</v>
      </c>
      <c r="B96" s="193" t="s">
        <v>1463</v>
      </c>
      <c r="C96" s="193" t="s">
        <v>1464</v>
      </c>
      <c r="D96" s="375" t="s">
        <v>1465</v>
      </c>
      <c r="E96" s="376"/>
      <c r="F96" s="376"/>
      <c r="G96" s="376"/>
      <c r="H96" s="377"/>
    </row>
  </sheetData>
  <sheetProtection algorithmName="SHA-512" hashValue="hS11CJl+I4wspWPyxo156MOJGkn6USW4dfT6qPVU8+OL7tmlOcjUyBSA580e+gN7K1I0MkNFq+EGhMglT93h9g==" saltValue="HVzJ5o2ILDQ1tP9jjJ2juQ==" spinCount="100000" sheet="1" objects="1" scenarios="1"/>
  <mergeCells count="24">
    <mergeCell ref="D94:H94"/>
    <mergeCell ref="D95:H95"/>
    <mergeCell ref="D96:H96"/>
    <mergeCell ref="D88:H88"/>
    <mergeCell ref="D89:H89"/>
    <mergeCell ref="D90:H90"/>
    <mergeCell ref="D91:H91"/>
    <mergeCell ref="D92:H92"/>
    <mergeCell ref="D93:H93"/>
    <mergeCell ref="A1:H1"/>
    <mergeCell ref="E84:H84"/>
    <mergeCell ref="A84:D84"/>
    <mergeCell ref="A85:H85"/>
    <mergeCell ref="A23:A31"/>
    <mergeCell ref="B23:B31"/>
    <mergeCell ref="A32:G32"/>
    <mergeCell ref="A42:F42"/>
    <mergeCell ref="A81:H82"/>
    <mergeCell ref="A2:H3"/>
    <mergeCell ref="A8:A14"/>
    <mergeCell ref="B8:B14"/>
    <mergeCell ref="A15:A22"/>
    <mergeCell ref="B15:B22"/>
    <mergeCell ref="A4:D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94"/>
  <sheetViews>
    <sheetView workbookViewId="0">
      <selection sqref="A1:Q1"/>
    </sheetView>
  </sheetViews>
  <sheetFormatPr baseColWidth="10" defaultColWidth="9.140625" defaultRowHeight="15"/>
  <cols>
    <col min="1" max="1" width="11" customWidth="1"/>
    <col min="2" max="2" width="42" customWidth="1"/>
    <col min="3" max="3" width="18" customWidth="1"/>
    <col min="4" max="4" width="52" customWidth="1"/>
    <col min="5" max="5" width="42" customWidth="1"/>
    <col min="6" max="6" width="9" customWidth="1"/>
    <col min="7" max="7" width="10" customWidth="1"/>
    <col min="8" max="8" width="39.7109375" customWidth="1"/>
    <col min="9" max="10" width="9" customWidth="1"/>
    <col min="11" max="11" width="34" customWidth="1"/>
    <col min="12" max="12" width="28" customWidth="1"/>
    <col min="13" max="13" width="9" customWidth="1"/>
    <col min="14" max="14" width="26" customWidth="1"/>
    <col min="15" max="15" width="40" customWidth="1"/>
    <col min="16" max="16" width="46" customWidth="1"/>
    <col min="17" max="17" width="26" customWidth="1"/>
  </cols>
  <sheetData>
    <row r="1" spans="1:19" ht="24" customHeight="1">
      <c r="A1" s="343" t="s">
        <v>1466</v>
      </c>
      <c r="B1" s="343"/>
      <c r="C1" s="343"/>
      <c r="D1" s="343"/>
      <c r="E1" s="343"/>
      <c r="F1" s="343"/>
      <c r="G1" s="343"/>
      <c r="H1" s="343"/>
      <c r="I1" s="343"/>
      <c r="J1" s="343"/>
      <c r="K1" s="343"/>
      <c r="L1" s="343"/>
      <c r="M1" s="343"/>
      <c r="N1" s="343"/>
      <c r="O1" s="343"/>
      <c r="P1" s="343"/>
      <c r="Q1" s="343"/>
      <c r="S1" t="s">
        <v>1467</v>
      </c>
    </row>
    <row r="2" spans="1:19" ht="33.950000000000003" customHeight="1">
      <c r="A2" s="194" t="s">
        <v>1195</v>
      </c>
      <c r="B2" s="195" t="s">
        <v>1468</v>
      </c>
      <c r="C2" s="195" t="s">
        <v>1469</v>
      </c>
      <c r="D2" s="195" t="s">
        <v>1470</v>
      </c>
      <c r="E2" s="195" t="s">
        <v>1471</v>
      </c>
      <c r="F2" s="195" t="s">
        <v>65</v>
      </c>
      <c r="G2" s="195" t="s">
        <v>66</v>
      </c>
      <c r="H2" s="195" t="s">
        <v>28</v>
      </c>
      <c r="I2" s="195" t="s">
        <v>1472</v>
      </c>
      <c r="J2" s="195" t="s">
        <v>1473</v>
      </c>
      <c r="K2" s="195" t="s">
        <v>1474</v>
      </c>
      <c r="L2" s="195" t="s">
        <v>1475</v>
      </c>
      <c r="M2" s="195" t="s">
        <v>348</v>
      </c>
      <c r="N2" s="195" t="s">
        <v>1476</v>
      </c>
      <c r="O2" s="195" t="s">
        <v>1477</v>
      </c>
      <c r="P2" s="195" t="s">
        <v>1478</v>
      </c>
      <c r="Q2" s="196" t="s">
        <v>1479</v>
      </c>
      <c r="S2" t="s">
        <v>1480</v>
      </c>
    </row>
    <row r="3" spans="1:19" ht="36">
      <c r="A3" s="203" t="s">
        <v>1375</v>
      </c>
      <c r="B3" s="197" t="s">
        <v>1198</v>
      </c>
      <c r="C3" s="197" t="s">
        <v>1481</v>
      </c>
      <c r="D3" s="197" t="s">
        <v>1482</v>
      </c>
      <c r="E3" s="197" t="s">
        <v>1376</v>
      </c>
      <c r="F3" s="206">
        <v>1</v>
      </c>
      <c r="G3" s="197" t="s">
        <v>1237</v>
      </c>
      <c r="H3" s="197" t="s">
        <v>1483</v>
      </c>
      <c r="I3" s="209">
        <v>19</v>
      </c>
      <c r="J3" s="209">
        <v>59</v>
      </c>
      <c r="K3" s="197" t="s">
        <v>1484</v>
      </c>
      <c r="L3" s="197" t="s">
        <v>1485</v>
      </c>
      <c r="M3" s="197">
        <v>2024</v>
      </c>
      <c r="N3" s="197" t="s">
        <v>1486</v>
      </c>
      <c r="O3" s="197" t="s">
        <v>1487</v>
      </c>
      <c r="P3" s="197" t="s">
        <v>1488</v>
      </c>
      <c r="Q3" s="198" t="s">
        <v>1489</v>
      </c>
    </row>
    <row r="4" spans="1:19" ht="36">
      <c r="A4" s="204" t="s">
        <v>1490</v>
      </c>
      <c r="B4" s="199" t="s">
        <v>1491</v>
      </c>
      <c r="C4" s="199" t="s">
        <v>1481</v>
      </c>
      <c r="D4" s="199" t="s">
        <v>1492</v>
      </c>
      <c r="E4" s="199" t="s">
        <v>1493</v>
      </c>
      <c r="F4" s="207">
        <v>1</v>
      </c>
      <c r="G4" s="199" t="s">
        <v>1237</v>
      </c>
      <c r="H4" s="199" t="s">
        <v>1483</v>
      </c>
      <c r="I4" s="210">
        <v>19</v>
      </c>
      <c r="J4" s="210">
        <v>59</v>
      </c>
      <c r="K4" s="199" t="s">
        <v>1484</v>
      </c>
      <c r="L4" s="199" t="s">
        <v>1485</v>
      </c>
      <c r="M4" s="199">
        <v>2024</v>
      </c>
      <c r="N4" s="199" t="s">
        <v>1486</v>
      </c>
      <c r="O4" s="199" t="s">
        <v>1487</v>
      </c>
      <c r="P4" s="199" t="s">
        <v>1488</v>
      </c>
      <c r="Q4" s="200" t="s">
        <v>1489</v>
      </c>
    </row>
    <row r="5" spans="1:19" ht="36">
      <c r="A5" s="204" t="s">
        <v>1494</v>
      </c>
      <c r="B5" s="199" t="s">
        <v>1206</v>
      </c>
      <c r="C5" s="199" t="s">
        <v>1481</v>
      </c>
      <c r="D5" s="199" t="s">
        <v>1495</v>
      </c>
      <c r="E5" s="199" t="s">
        <v>1496</v>
      </c>
      <c r="F5" s="207">
        <v>1</v>
      </c>
      <c r="G5" s="199" t="s">
        <v>1237</v>
      </c>
      <c r="H5" s="199" t="s">
        <v>1483</v>
      </c>
      <c r="I5" s="210">
        <v>19</v>
      </c>
      <c r="J5" s="210">
        <v>59</v>
      </c>
      <c r="K5" s="199" t="s">
        <v>1484</v>
      </c>
      <c r="L5" s="199" t="s">
        <v>1485</v>
      </c>
      <c r="M5" s="199">
        <v>2024</v>
      </c>
      <c r="N5" s="199" t="s">
        <v>1486</v>
      </c>
      <c r="O5" s="199" t="s">
        <v>1487</v>
      </c>
      <c r="P5" s="199" t="s">
        <v>1488</v>
      </c>
      <c r="Q5" s="200" t="s">
        <v>1489</v>
      </c>
    </row>
    <row r="6" spans="1:19" ht="36">
      <c r="A6" s="204" t="s">
        <v>1497</v>
      </c>
      <c r="B6" s="199" t="s">
        <v>1498</v>
      </c>
      <c r="C6" s="199" t="s">
        <v>1481</v>
      </c>
      <c r="D6" s="199" t="s">
        <v>1499</v>
      </c>
      <c r="E6" s="199" t="s">
        <v>1500</v>
      </c>
      <c r="F6" s="207">
        <v>1</v>
      </c>
      <c r="G6" s="199" t="s">
        <v>1237</v>
      </c>
      <c r="H6" s="199" t="s">
        <v>1483</v>
      </c>
      <c r="I6" s="210">
        <v>19</v>
      </c>
      <c r="J6" s="210">
        <v>59</v>
      </c>
      <c r="K6" s="199" t="s">
        <v>1484</v>
      </c>
      <c r="L6" s="199" t="s">
        <v>1485</v>
      </c>
      <c r="M6" s="199">
        <v>2024</v>
      </c>
      <c r="N6" s="199" t="s">
        <v>1486</v>
      </c>
      <c r="O6" s="199" t="s">
        <v>1487</v>
      </c>
      <c r="P6" s="199" t="s">
        <v>1488</v>
      </c>
      <c r="Q6" s="200" t="s">
        <v>1489</v>
      </c>
    </row>
    <row r="7" spans="1:19" ht="36">
      <c r="A7" s="204" t="s">
        <v>1501</v>
      </c>
      <c r="B7" s="199" t="s">
        <v>1502</v>
      </c>
      <c r="C7" s="199" t="s">
        <v>1481</v>
      </c>
      <c r="D7" s="199" t="s">
        <v>1503</v>
      </c>
      <c r="E7" s="199" t="s">
        <v>1504</v>
      </c>
      <c r="F7" s="207">
        <v>1.3</v>
      </c>
      <c r="G7" s="199" t="s">
        <v>1237</v>
      </c>
      <c r="H7" s="199" t="s">
        <v>1483</v>
      </c>
      <c r="I7" s="210">
        <v>19</v>
      </c>
      <c r="J7" s="210">
        <v>59</v>
      </c>
      <c r="K7" s="199" t="s">
        <v>1484</v>
      </c>
      <c r="L7" s="199" t="s">
        <v>1485</v>
      </c>
      <c r="M7" s="199">
        <v>2024</v>
      </c>
      <c r="N7" s="199" t="s">
        <v>1486</v>
      </c>
      <c r="O7" s="199" t="s">
        <v>1487</v>
      </c>
      <c r="P7" s="199" t="s">
        <v>1488</v>
      </c>
      <c r="Q7" s="200" t="s">
        <v>1489</v>
      </c>
    </row>
    <row r="8" spans="1:19" ht="36">
      <c r="A8" s="204" t="s">
        <v>1505</v>
      </c>
      <c r="B8" s="199" t="s">
        <v>1506</v>
      </c>
      <c r="C8" s="199" t="s">
        <v>1507</v>
      </c>
      <c r="D8" s="199" t="s">
        <v>1508</v>
      </c>
      <c r="E8" s="199" t="s">
        <v>1509</v>
      </c>
      <c r="F8" s="207">
        <v>1</v>
      </c>
      <c r="G8" s="199" t="s">
        <v>1237</v>
      </c>
      <c r="H8" s="199" t="s">
        <v>1483</v>
      </c>
      <c r="I8" s="210">
        <v>19</v>
      </c>
      <c r="J8" s="210">
        <v>59</v>
      </c>
      <c r="K8" s="199" t="s">
        <v>1484</v>
      </c>
      <c r="L8" s="199" t="s">
        <v>1485</v>
      </c>
      <c r="M8" s="199">
        <v>2024</v>
      </c>
      <c r="N8" s="199" t="s">
        <v>1486</v>
      </c>
      <c r="O8" s="199" t="s">
        <v>1510</v>
      </c>
      <c r="P8" s="199" t="s">
        <v>1488</v>
      </c>
      <c r="Q8" s="200" t="s">
        <v>1489</v>
      </c>
    </row>
    <row r="9" spans="1:19" ht="36">
      <c r="A9" s="204" t="s">
        <v>1511</v>
      </c>
      <c r="B9" s="199" t="s">
        <v>1512</v>
      </c>
      <c r="C9" s="199" t="s">
        <v>1507</v>
      </c>
      <c r="D9" s="199" t="s">
        <v>1513</v>
      </c>
      <c r="E9" s="199" t="s">
        <v>1514</v>
      </c>
      <c r="F9" s="207">
        <v>1.3</v>
      </c>
      <c r="G9" s="199" t="s">
        <v>1237</v>
      </c>
      <c r="H9" s="199" t="s">
        <v>1483</v>
      </c>
      <c r="I9" s="210">
        <v>19</v>
      </c>
      <c r="J9" s="210">
        <v>59</v>
      </c>
      <c r="K9" s="199" t="s">
        <v>1484</v>
      </c>
      <c r="L9" s="199" t="s">
        <v>1485</v>
      </c>
      <c r="M9" s="199">
        <v>2024</v>
      </c>
      <c r="N9" s="199" t="s">
        <v>1486</v>
      </c>
      <c r="O9" s="199" t="s">
        <v>1510</v>
      </c>
      <c r="P9" s="199" t="s">
        <v>1488</v>
      </c>
      <c r="Q9" s="200" t="s">
        <v>1489</v>
      </c>
    </row>
    <row r="10" spans="1:19" ht="36">
      <c r="A10" s="204" t="s">
        <v>1381</v>
      </c>
      <c r="B10" s="199" t="s">
        <v>1200</v>
      </c>
      <c r="C10" s="199" t="s">
        <v>1507</v>
      </c>
      <c r="D10" s="199" t="s">
        <v>1515</v>
      </c>
      <c r="E10" s="199" t="s">
        <v>1516</v>
      </c>
      <c r="F10" s="207">
        <v>1.5</v>
      </c>
      <c r="G10" s="199" t="s">
        <v>1237</v>
      </c>
      <c r="H10" s="199" t="s">
        <v>1483</v>
      </c>
      <c r="I10" s="210">
        <v>19</v>
      </c>
      <c r="J10" s="210">
        <v>59</v>
      </c>
      <c r="K10" s="199" t="s">
        <v>1484</v>
      </c>
      <c r="L10" s="199" t="s">
        <v>1485</v>
      </c>
      <c r="M10" s="199">
        <v>2024</v>
      </c>
      <c r="N10" s="199" t="s">
        <v>1486</v>
      </c>
      <c r="O10" s="199" t="s">
        <v>1510</v>
      </c>
      <c r="P10" s="199" t="s">
        <v>1488</v>
      </c>
      <c r="Q10" s="200" t="s">
        <v>1489</v>
      </c>
    </row>
    <row r="11" spans="1:19" ht="36">
      <c r="A11" s="204" t="s">
        <v>1517</v>
      </c>
      <c r="B11" s="199" t="s">
        <v>1518</v>
      </c>
      <c r="C11" s="199" t="s">
        <v>1507</v>
      </c>
      <c r="D11" s="199" t="s">
        <v>1519</v>
      </c>
      <c r="E11" s="199" t="s">
        <v>1520</v>
      </c>
      <c r="F11" s="207">
        <v>1.8</v>
      </c>
      <c r="G11" s="199" t="s">
        <v>1237</v>
      </c>
      <c r="H11" s="199" t="s">
        <v>1483</v>
      </c>
      <c r="I11" s="210">
        <v>19</v>
      </c>
      <c r="J11" s="210">
        <v>59</v>
      </c>
      <c r="K11" s="199" t="s">
        <v>1484</v>
      </c>
      <c r="L11" s="199" t="s">
        <v>1485</v>
      </c>
      <c r="M11" s="199">
        <v>2024</v>
      </c>
      <c r="N11" s="199" t="s">
        <v>1486</v>
      </c>
      <c r="O11" s="199" t="s">
        <v>1510</v>
      </c>
      <c r="P11" s="199" t="s">
        <v>1488</v>
      </c>
      <c r="Q11" s="200" t="s">
        <v>1489</v>
      </c>
    </row>
    <row r="12" spans="1:19" ht="36">
      <c r="A12" s="204" t="s">
        <v>1521</v>
      </c>
      <c r="B12" s="199" t="s">
        <v>1522</v>
      </c>
      <c r="C12" s="199" t="s">
        <v>1507</v>
      </c>
      <c r="D12" s="199" t="s">
        <v>1523</v>
      </c>
      <c r="E12" s="199" t="s">
        <v>1524</v>
      </c>
      <c r="F12" s="207">
        <v>1.3</v>
      </c>
      <c r="G12" s="199" t="s">
        <v>1237</v>
      </c>
      <c r="H12" s="199" t="s">
        <v>1483</v>
      </c>
      <c r="I12" s="210">
        <v>19</v>
      </c>
      <c r="J12" s="210">
        <v>59</v>
      </c>
      <c r="K12" s="199" t="s">
        <v>1484</v>
      </c>
      <c r="L12" s="199" t="s">
        <v>1485</v>
      </c>
      <c r="M12" s="199">
        <v>2024</v>
      </c>
      <c r="N12" s="199" t="s">
        <v>1486</v>
      </c>
      <c r="O12" s="199" t="s">
        <v>1510</v>
      </c>
      <c r="P12" s="199" t="s">
        <v>1488</v>
      </c>
      <c r="Q12" s="200" t="s">
        <v>1489</v>
      </c>
    </row>
    <row r="13" spans="1:19" ht="36">
      <c r="A13" s="204" t="s">
        <v>1525</v>
      </c>
      <c r="B13" s="199" t="s">
        <v>1526</v>
      </c>
      <c r="C13" s="199" t="s">
        <v>1507</v>
      </c>
      <c r="D13" s="199" t="s">
        <v>1527</v>
      </c>
      <c r="E13" s="199" t="s">
        <v>1528</v>
      </c>
      <c r="F13" s="207">
        <v>1.3</v>
      </c>
      <c r="G13" s="199" t="s">
        <v>1237</v>
      </c>
      <c r="H13" s="199" t="s">
        <v>1483</v>
      </c>
      <c r="I13" s="210">
        <v>19</v>
      </c>
      <c r="J13" s="210">
        <v>59</v>
      </c>
      <c r="K13" s="199" t="s">
        <v>1484</v>
      </c>
      <c r="L13" s="199" t="s">
        <v>1485</v>
      </c>
      <c r="M13" s="199">
        <v>2024</v>
      </c>
      <c r="N13" s="199" t="s">
        <v>1486</v>
      </c>
      <c r="O13" s="199" t="s">
        <v>1510</v>
      </c>
      <c r="P13" s="199" t="s">
        <v>1488</v>
      </c>
      <c r="Q13" s="200" t="s">
        <v>1489</v>
      </c>
    </row>
    <row r="14" spans="1:19" ht="36">
      <c r="A14" s="204" t="s">
        <v>1529</v>
      </c>
      <c r="B14" s="199" t="s">
        <v>1199</v>
      </c>
      <c r="C14" s="199" t="s">
        <v>1530</v>
      </c>
      <c r="D14" s="199" t="s">
        <v>1531</v>
      </c>
      <c r="E14" s="199" t="s">
        <v>1532</v>
      </c>
      <c r="F14" s="207">
        <v>1.5</v>
      </c>
      <c r="G14" s="199" t="s">
        <v>1237</v>
      </c>
      <c r="H14" s="199" t="s">
        <v>1483</v>
      </c>
      <c r="I14" s="210">
        <v>19</v>
      </c>
      <c r="J14" s="210">
        <v>59</v>
      </c>
      <c r="K14" s="199" t="s">
        <v>1484</v>
      </c>
      <c r="L14" s="199" t="s">
        <v>1485</v>
      </c>
      <c r="M14" s="199">
        <v>2024</v>
      </c>
      <c r="N14" s="199" t="s">
        <v>1486</v>
      </c>
      <c r="O14" s="199" t="s">
        <v>1533</v>
      </c>
      <c r="P14" s="199" t="s">
        <v>1488</v>
      </c>
      <c r="Q14" s="200" t="s">
        <v>1489</v>
      </c>
    </row>
    <row r="15" spans="1:19" ht="36">
      <c r="A15" s="204" t="s">
        <v>1534</v>
      </c>
      <c r="B15" s="199" t="s">
        <v>1535</v>
      </c>
      <c r="C15" s="199" t="s">
        <v>1530</v>
      </c>
      <c r="D15" s="199" t="s">
        <v>1536</v>
      </c>
      <c r="E15" s="199" t="s">
        <v>1537</v>
      </c>
      <c r="F15" s="207">
        <v>1.3</v>
      </c>
      <c r="G15" s="199" t="s">
        <v>1237</v>
      </c>
      <c r="H15" s="199" t="s">
        <v>1483</v>
      </c>
      <c r="I15" s="210">
        <v>19</v>
      </c>
      <c r="J15" s="210">
        <v>59</v>
      </c>
      <c r="K15" s="199" t="s">
        <v>1484</v>
      </c>
      <c r="L15" s="199" t="s">
        <v>1485</v>
      </c>
      <c r="M15" s="199">
        <v>2024</v>
      </c>
      <c r="N15" s="199" t="s">
        <v>1486</v>
      </c>
      <c r="O15" s="199" t="s">
        <v>1533</v>
      </c>
      <c r="P15" s="199" t="s">
        <v>1488</v>
      </c>
      <c r="Q15" s="200" t="s">
        <v>1489</v>
      </c>
    </row>
    <row r="16" spans="1:19" ht="36">
      <c r="A16" s="204" t="s">
        <v>1538</v>
      </c>
      <c r="B16" s="199" t="s">
        <v>1539</v>
      </c>
      <c r="C16" s="199" t="s">
        <v>1530</v>
      </c>
      <c r="D16" s="199" t="s">
        <v>1540</v>
      </c>
      <c r="E16" s="199" t="s">
        <v>1541</v>
      </c>
      <c r="F16" s="207">
        <v>1.3</v>
      </c>
      <c r="G16" s="199" t="s">
        <v>1237</v>
      </c>
      <c r="H16" s="199" t="s">
        <v>1483</v>
      </c>
      <c r="I16" s="210">
        <v>19</v>
      </c>
      <c r="J16" s="210">
        <v>59</v>
      </c>
      <c r="K16" s="199" t="s">
        <v>1484</v>
      </c>
      <c r="L16" s="199" t="s">
        <v>1485</v>
      </c>
      <c r="M16" s="199">
        <v>2024</v>
      </c>
      <c r="N16" s="199" t="s">
        <v>1486</v>
      </c>
      <c r="O16" s="199" t="s">
        <v>1533</v>
      </c>
      <c r="P16" s="199" t="s">
        <v>1488</v>
      </c>
      <c r="Q16" s="200" t="s">
        <v>1489</v>
      </c>
    </row>
    <row r="17" spans="1:17" ht="36">
      <c r="A17" s="204" t="s">
        <v>1542</v>
      </c>
      <c r="B17" s="199" t="s">
        <v>1543</v>
      </c>
      <c r="C17" s="199" t="s">
        <v>1530</v>
      </c>
      <c r="D17" s="199" t="s">
        <v>1544</v>
      </c>
      <c r="E17" s="199" t="s">
        <v>1545</v>
      </c>
      <c r="F17" s="207">
        <v>1.8</v>
      </c>
      <c r="G17" s="199" t="s">
        <v>1237</v>
      </c>
      <c r="H17" s="199" t="s">
        <v>1483</v>
      </c>
      <c r="I17" s="210">
        <v>19</v>
      </c>
      <c r="J17" s="210">
        <v>59</v>
      </c>
      <c r="K17" s="199" t="s">
        <v>1484</v>
      </c>
      <c r="L17" s="199" t="s">
        <v>1485</v>
      </c>
      <c r="M17" s="199">
        <v>2024</v>
      </c>
      <c r="N17" s="199" t="s">
        <v>1486</v>
      </c>
      <c r="O17" s="199" t="s">
        <v>1533</v>
      </c>
      <c r="P17" s="199" t="s">
        <v>1488</v>
      </c>
      <c r="Q17" s="200" t="s">
        <v>1489</v>
      </c>
    </row>
    <row r="18" spans="1:17" ht="36">
      <c r="A18" s="204" t="s">
        <v>1546</v>
      </c>
      <c r="B18" s="199" t="s">
        <v>1547</v>
      </c>
      <c r="C18" s="199" t="s">
        <v>1530</v>
      </c>
      <c r="D18" s="199" t="s">
        <v>1548</v>
      </c>
      <c r="E18" s="199" t="s">
        <v>1549</v>
      </c>
      <c r="F18" s="207">
        <v>3.3</v>
      </c>
      <c r="G18" s="199" t="s">
        <v>1237</v>
      </c>
      <c r="H18" s="199" t="s">
        <v>1483</v>
      </c>
      <c r="I18" s="210">
        <v>19</v>
      </c>
      <c r="J18" s="210">
        <v>59</v>
      </c>
      <c r="K18" s="199" t="s">
        <v>1484</v>
      </c>
      <c r="L18" s="199" t="s">
        <v>1485</v>
      </c>
      <c r="M18" s="199">
        <v>2024</v>
      </c>
      <c r="N18" s="199" t="s">
        <v>1486</v>
      </c>
      <c r="O18" s="199" t="s">
        <v>1533</v>
      </c>
      <c r="P18" s="199" t="s">
        <v>1488</v>
      </c>
      <c r="Q18" s="200" t="s">
        <v>1489</v>
      </c>
    </row>
    <row r="19" spans="1:17" ht="36">
      <c r="A19" s="204" t="s">
        <v>1550</v>
      </c>
      <c r="B19" s="199" t="s">
        <v>1551</v>
      </c>
      <c r="C19" s="199" t="s">
        <v>1530</v>
      </c>
      <c r="D19" s="199" t="s">
        <v>1552</v>
      </c>
      <c r="E19" s="199" t="s">
        <v>1553</v>
      </c>
      <c r="F19" s="207">
        <v>4.5</v>
      </c>
      <c r="G19" s="199" t="s">
        <v>1237</v>
      </c>
      <c r="H19" s="199" t="s">
        <v>1483</v>
      </c>
      <c r="I19" s="210">
        <v>19</v>
      </c>
      <c r="J19" s="210">
        <v>59</v>
      </c>
      <c r="K19" s="199" t="s">
        <v>1484</v>
      </c>
      <c r="L19" s="199" t="s">
        <v>1485</v>
      </c>
      <c r="M19" s="199">
        <v>2024</v>
      </c>
      <c r="N19" s="199" t="s">
        <v>1486</v>
      </c>
      <c r="O19" s="199" t="s">
        <v>1533</v>
      </c>
      <c r="P19" s="199" t="s">
        <v>1488</v>
      </c>
      <c r="Q19" s="200" t="s">
        <v>1489</v>
      </c>
    </row>
    <row r="20" spans="1:17" ht="36">
      <c r="A20" s="204" t="s">
        <v>1554</v>
      </c>
      <c r="B20" s="199" t="s">
        <v>1555</v>
      </c>
      <c r="C20" s="199" t="s">
        <v>1530</v>
      </c>
      <c r="D20" s="199" t="s">
        <v>1556</v>
      </c>
      <c r="E20" s="199" t="s">
        <v>1557</v>
      </c>
      <c r="F20" s="207">
        <v>3.8</v>
      </c>
      <c r="G20" s="199" t="s">
        <v>1237</v>
      </c>
      <c r="H20" s="199" t="s">
        <v>1483</v>
      </c>
      <c r="I20" s="210">
        <v>19</v>
      </c>
      <c r="J20" s="210">
        <v>59</v>
      </c>
      <c r="K20" s="199" t="s">
        <v>1484</v>
      </c>
      <c r="L20" s="199" t="s">
        <v>1485</v>
      </c>
      <c r="M20" s="199">
        <v>2024</v>
      </c>
      <c r="N20" s="199" t="s">
        <v>1486</v>
      </c>
      <c r="O20" s="199" t="s">
        <v>1533</v>
      </c>
      <c r="P20" s="199" t="s">
        <v>1488</v>
      </c>
      <c r="Q20" s="200" t="s">
        <v>1489</v>
      </c>
    </row>
    <row r="21" spans="1:17" ht="36">
      <c r="A21" s="204" t="s">
        <v>1558</v>
      </c>
      <c r="B21" s="199" t="s">
        <v>1559</v>
      </c>
      <c r="C21" s="199" t="s">
        <v>1530</v>
      </c>
      <c r="D21" s="199" t="s">
        <v>1560</v>
      </c>
      <c r="E21" s="199" t="s">
        <v>1561</v>
      </c>
      <c r="F21" s="207">
        <v>4.5</v>
      </c>
      <c r="G21" s="199" t="s">
        <v>1237</v>
      </c>
      <c r="H21" s="199" t="s">
        <v>1483</v>
      </c>
      <c r="I21" s="210">
        <v>19</v>
      </c>
      <c r="J21" s="210">
        <v>59</v>
      </c>
      <c r="K21" s="199" t="s">
        <v>1484</v>
      </c>
      <c r="L21" s="199" t="s">
        <v>1485</v>
      </c>
      <c r="M21" s="199">
        <v>2024</v>
      </c>
      <c r="N21" s="199" t="s">
        <v>1486</v>
      </c>
      <c r="O21" s="199" t="s">
        <v>1533</v>
      </c>
      <c r="P21" s="199" t="s">
        <v>1488</v>
      </c>
      <c r="Q21" s="200" t="s">
        <v>1489</v>
      </c>
    </row>
    <row r="22" spans="1:17" ht="36">
      <c r="A22" s="204" t="s">
        <v>1562</v>
      </c>
      <c r="B22" s="199" t="s">
        <v>1563</v>
      </c>
      <c r="C22" s="199" t="s">
        <v>1530</v>
      </c>
      <c r="D22" s="199" t="s">
        <v>1564</v>
      </c>
      <c r="E22" s="199" t="s">
        <v>1565</v>
      </c>
      <c r="F22" s="207">
        <v>2.8</v>
      </c>
      <c r="G22" s="199" t="s">
        <v>1237</v>
      </c>
      <c r="H22" s="199" t="s">
        <v>1483</v>
      </c>
      <c r="I22" s="210">
        <v>19</v>
      </c>
      <c r="J22" s="210">
        <v>59</v>
      </c>
      <c r="K22" s="199" t="s">
        <v>1484</v>
      </c>
      <c r="L22" s="199" t="s">
        <v>1485</v>
      </c>
      <c r="M22" s="199">
        <v>2024</v>
      </c>
      <c r="N22" s="199" t="s">
        <v>1486</v>
      </c>
      <c r="O22" s="199" t="s">
        <v>1533</v>
      </c>
      <c r="P22" s="199" t="s">
        <v>1488</v>
      </c>
      <c r="Q22" s="200" t="s">
        <v>1489</v>
      </c>
    </row>
    <row r="23" spans="1:17" ht="36">
      <c r="A23" s="204" t="s">
        <v>1566</v>
      </c>
      <c r="B23" s="199" t="s">
        <v>1567</v>
      </c>
      <c r="C23" s="199" t="s">
        <v>1530</v>
      </c>
      <c r="D23" s="199" t="s">
        <v>1568</v>
      </c>
      <c r="E23" s="199" t="s">
        <v>1569</v>
      </c>
      <c r="F23" s="207">
        <v>4.5</v>
      </c>
      <c r="G23" s="199" t="s">
        <v>1237</v>
      </c>
      <c r="H23" s="199" t="s">
        <v>1483</v>
      </c>
      <c r="I23" s="210">
        <v>19</v>
      </c>
      <c r="J23" s="210">
        <v>59</v>
      </c>
      <c r="K23" s="199" t="s">
        <v>1484</v>
      </c>
      <c r="L23" s="199" t="s">
        <v>1485</v>
      </c>
      <c r="M23" s="199">
        <v>2024</v>
      </c>
      <c r="N23" s="199" t="s">
        <v>1486</v>
      </c>
      <c r="O23" s="199" t="s">
        <v>1533</v>
      </c>
      <c r="P23" s="199" t="s">
        <v>1488</v>
      </c>
      <c r="Q23" s="200" t="s">
        <v>1489</v>
      </c>
    </row>
    <row r="24" spans="1:17" ht="36">
      <c r="A24" s="204" t="s">
        <v>1570</v>
      </c>
      <c r="B24" s="199" t="s">
        <v>1571</v>
      </c>
      <c r="C24" s="199" t="s">
        <v>1530</v>
      </c>
      <c r="D24" s="199" t="s">
        <v>1572</v>
      </c>
      <c r="E24" s="199" t="s">
        <v>1573</v>
      </c>
      <c r="F24" s="207">
        <v>6.5</v>
      </c>
      <c r="G24" s="199" t="s">
        <v>1237</v>
      </c>
      <c r="H24" s="199" t="s">
        <v>1483</v>
      </c>
      <c r="I24" s="210">
        <v>19</v>
      </c>
      <c r="J24" s="210">
        <v>59</v>
      </c>
      <c r="K24" s="199" t="s">
        <v>1484</v>
      </c>
      <c r="L24" s="199" t="s">
        <v>1485</v>
      </c>
      <c r="M24" s="199">
        <v>2024</v>
      </c>
      <c r="N24" s="199" t="s">
        <v>1486</v>
      </c>
      <c r="O24" s="199" t="s">
        <v>1533</v>
      </c>
      <c r="P24" s="199" t="s">
        <v>1488</v>
      </c>
      <c r="Q24" s="200" t="s">
        <v>1489</v>
      </c>
    </row>
    <row r="25" spans="1:17" ht="36">
      <c r="A25" s="204" t="s">
        <v>1574</v>
      </c>
      <c r="B25" s="199" t="s">
        <v>1575</v>
      </c>
      <c r="C25" s="199" t="s">
        <v>1530</v>
      </c>
      <c r="D25" s="199" t="s">
        <v>1576</v>
      </c>
      <c r="E25" s="199" t="s">
        <v>1577</v>
      </c>
      <c r="F25" s="207">
        <v>6.5</v>
      </c>
      <c r="G25" s="199" t="s">
        <v>1237</v>
      </c>
      <c r="H25" s="199" t="s">
        <v>1483</v>
      </c>
      <c r="I25" s="210">
        <v>19</v>
      </c>
      <c r="J25" s="210">
        <v>59</v>
      </c>
      <c r="K25" s="199" t="s">
        <v>1484</v>
      </c>
      <c r="L25" s="199" t="s">
        <v>1485</v>
      </c>
      <c r="M25" s="199">
        <v>2024</v>
      </c>
      <c r="N25" s="199" t="s">
        <v>1486</v>
      </c>
      <c r="O25" s="199" t="s">
        <v>1533</v>
      </c>
      <c r="P25" s="199" t="s">
        <v>1488</v>
      </c>
      <c r="Q25" s="200" t="s">
        <v>1489</v>
      </c>
    </row>
    <row r="26" spans="1:17" ht="36">
      <c r="A26" s="204" t="s">
        <v>1578</v>
      </c>
      <c r="B26" s="199" t="s">
        <v>1579</v>
      </c>
      <c r="C26" s="199" t="s">
        <v>1530</v>
      </c>
      <c r="D26" s="199" t="s">
        <v>1580</v>
      </c>
      <c r="E26" s="199" t="s">
        <v>1581</v>
      </c>
      <c r="F26" s="207">
        <v>2</v>
      </c>
      <c r="G26" s="199" t="s">
        <v>1237</v>
      </c>
      <c r="H26" s="199" t="s">
        <v>1483</v>
      </c>
      <c r="I26" s="210">
        <v>19</v>
      </c>
      <c r="J26" s="210">
        <v>59</v>
      </c>
      <c r="K26" s="199" t="s">
        <v>1484</v>
      </c>
      <c r="L26" s="199" t="s">
        <v>1485</v>
      </c>
      <c r="M26" s="199">
        <v>2024</v>
      </c>
      <c r="N26" s="199" t="s">
        <v>1486</v>
      </c>
      <c r="O26" s="199" t="s">
        <v>1533</v>
      </c>
      <c r="P26" s="199" t="s">
        <v>1488</v>
      </c>
      <c r="Q26" s="200" t="s">
        <v>1489</v>
      </c>
    </row>
    <row r="27" spans="1:17" ht="36">
      <c r="A27" s="204" t="s">
        <v>1582</v>
      </c>
      <c r="B27" s="199" t="s">
        <v>1583</v>
      </c>
      <c r="C27" s="199" t="s">
        <v>1530</v>
      </c>
      <c r="D27" s="199" t="s">
        <v>1584</v>
      </c>
      <c r="E27" s="199" t="s">
        <v>1585</v>
      </c>
      <c r="F27" s="207">
        <v>2.5</v>
      </c>
      <c r="G27" s="199" t="s">
        <v>1237</v>
      </c>
      <c r="H27" s="199" t="s">
        <v>1483</v>
      </c>
      <c r="I27" s="210">
        <v>19</v>
      </c>
      <c r="J27" s="210">
        <v>59</v>
      </c>
      <c r="K27" s="199" t="s">
        <v>1484</v>
      </c>
      <c r="L27" s="199" t="s">
        <v>1485</v>
      </c>
      <c r="M27" s="199">
        <v>2024</v>
      </c>
      <c r="N27" s="199" t="s">
        <v>1486</v>
      </c>
      <c r="O27" s="199" t="s">
        <v>1533</v>
      </c>
      <c r="P27" s="199" t="s">
        <v>1488</v>
      </c>
      <c r="Q27" s="200" t="s">
        <v>1489</v>
      </c>
    </row>
    <row r="28" spans="1:17" ht="36">
      <c r="A28" s="204" t="s">
        <v>1586</v>
      </c>
      <c r="B28" s="199" t="s">
        <v>1587</v>
      </c>
      <c r="C28" s="199" t="s">
        <v>1530</v>
      </c>
      <c r="D28" s="199" t="s">
        <v>1588</v>
      </c>
      <c r="E28" s="199" t="s">
        <v>1589</v>
      </c>
      <c r="F28" s="207">
        <v>2.2999999999999998</v>
      </c>
      <c r="G28" s="199" t="s">
        <v>1237</v>
      </c>
      <c r="H28" s="199" t="s">
        <v>1483</v>
      </c>
      <c r="I28" s="210">
        <v>19</v>
      </c>
      <c r="J28" s="210">
        <v>59</v>
      </c>
      <c r="K28" s="199" t="s">
        <v>1484</v>
      </c>
      <c r="L28" s="199" t="s">
        <v>1485</v>
      </c>
      <c r="M28" s="199">
        <v>2024</v>
      </c>
      <c r="N28" s="199" t="s">
        <v>1486</v>
      </c>
      <c r="O28" s="199" t="s">
        <v>1533</v>
      </c>
      <c r="P28" s="199" t="s">
        <v>1488</v>
      </c>
      <c r="Q28" s="200" t="s">
        <v>1489</v>
      </c>
    </row>
    <row r="29" spans="1:17" ht="36">
      <c r="A29" s="204" t="s">
        <v>1590</v>
      </c>
      <c r="B29" s="199" t="s">
        <v>1591</v>
      </c>
      <c r="C29" s="199" t="s">
        <v>1530</v>
      </c>
      <c r="D29" s="199" t="s">
        <v>1592</v>
      </c>
      <c r="E29" s="199" t="s">
        <v>1593</v>
      </c>
      <c r="F29" s="207">
        <v>4</v>
      </c>
      <c r="G29" s="199" t="s">
        <v>1237</v>
      </c>
      <c r="H29" s="199" t="s">
        <v>1483</v>
      </c>
      <c r="I29" s="210">
        <v>19</v>
      </c>
      <c r="J29" s="210">
        <v>59</v>
      </c>
      <c r="K29" s="199" t="s">
        <v>1484</v>
      </c>
      <c r="L29" s="199" t="s">
        <v>1485</v>
      </c>
      <c r="M29" s="199">
        <v>2024</v>
      </c>
      <c r="N29" s="199" t="s">
        <v>1486</v>
      </c>
      <c r="O29" s="199" t="s">
        <v>1533</v>
      </c>
      <c r="P29" s="199" t="s">
        <v>1488</v>
      </c>
      <c r="Q29" s="200" t="s">
        <v>1489</v>
      </c>
    </row>
    <row r="30" spans="1:17" ht="36">
      <c r="A30" s="204" t="s">
        <v>1594</v>
      </c>
      <c r="B30" s="199" t="s">
        <v>1595</v>
      </c>
      <c r="C30" s="199" t="s">
        <v>1530</v>
      </c>
      <c r="D30" s="199" t="s">
        <v>1596</v>
      </c>
      <c r="E30" s="199" t="s">
        <v>1597</v>
      </c>
      <c r="F30" s="207">
        <v>3.8</v>
      </c>
      <c r="G30" s="199" t="s">
        <v>1237</v>
      </c>
      <c r="H30" s="199" t="s">
        <v>1483</v>
      </c>
      <c r="I30" s="210">
        <v>19</v>
      </c>
      <c r="J30" s="210">
        <v>59</v>
      </c>
      <c r="K30" s="199" t="s">
        <v>1484</v>
      </c>
      <c r="L30" s="199" t="s">
        <v>1485</v>
      </c>
      <c r="M30" s="199">
        <v>2024</v>
      </c>
      <c r="N30" s="199" t="s">
        <v>1486</v>
      </c>
      <c r="O30" s="199" t="s">
        <v>1533</v>
      </c>
      <c r="P30" s="199" t="s">
        <v>1488</v>
      </c>
      <c r="Q30" s="200" t="s">
        <v>1489</v>
      </c>
    </row>
    <row r="31" spans="1:17" ht="36">
      <c r="A31" s="204" t="s">
        <v>1598</v>
      </c>
      <c r="B31" s="199" t="s">
        <v>1599</v>
      </c>
      <c r="C31" s="199" t="s">
        <v>1530</v>
      </c>
      <c r="D31" s="199" t="s">
        <v>1600</v>
      </c>
      <c r="E31" s="199" t="s">
        <v>1601</v>
      </c>
      <c r="F31" s="207">
        <v>3.8</v>
      </c>
      <c r="G31" s="199" t="s">
        <v>1237</v>
      </c>
      <c r="H31" s="199" t="s">
        <v>1483</v>
      </c>
      <c r="I31" s="210">
        <v>19</v>
      </c>
      <c r="J31" s="210">
        <v>59</v>
      </c>
      <c r="K31" s="199" t="s">
        <v>1484</v>
      </c>
      <c r="L31" s="199" t="s">
        <v>1485</v>
      </c>
      <c r="M31" s="199">
        <v>2024</v>
      </c>
      <c r="N31" s="199" t="s">
        <v>1486</v>
      </c>
      <c r="O31" s="199" t="s">
        <v>1533</v>
      </c>
      <c r="P31" s="199" t="s">
        <v>1488</v>
      </c>
      <c r="Q31" s="200" t="s">
        <v>1489</v>
      </c>
    </row>
    <row r="32" spans="1:17" ht="36">
      <c r="A32" s="204" t="s">
        <v>1602</v>
      </c>
      <c r="B32" s="199" t="s">
        <v>1202</v>
      </c>
      <c r="C32" s="199" t="s">
        <v>1603</v>
      </c>
      <c r="D32" s="199" t="s">
        <v>1604</v>
      </c>
      <c r="E32" s="199" t="s">
        <v>1605</v>
      </c>
      <c r="F32" s="207">
        <v>3.3</v>
      </c>
      <c r="G32" s="199" t="s">
        <v>1237</v>
      </c>
      <c r="H32" s="199" t="s">
        <v>1483</v>
      </c>
      <c r="I32" s="210">
        <v>19</v>
      </c>
      <c r="J32" s="210">
        <v>59</v>
      </c>
      <c r="K32" s="199" t="s">
        <v>1484</v>
      </c>
      <c r="L32" s="199" t="s">
        <v>1485</v>
      </c>
      <c r="M32" s="199">
        <v>2024</v>
      </c>
      <c r="N32" s="199" t="s">
        <v>1486</v>
      </c>
      <c r="O32" s="199" t="s">
        <v>1606</v>
      </c>
      <c r="P32" s="199" t="s">
        <v>1488</v>
      </c>
      <c r="Q32" s="200" t="s">
        <v>1489</v>
      </c>
    </row>
    <row r="33" spans="1:17" ht="36">
      <c r="A33" s="204" t="s">
        <v>1607</v>
      </c>
      <c r="B33" s="199" t="s">
        <v>1608</v>
      </c>
      <c r="C33" s="199" t="s">
        <v>1603</v>
      </c>
      <c r="D33" s="199" t="s">
        <v>1609</v>
      </c>
      <c r="E33" s="199" t="s">
        <v>1610</v>
      </c>
      <c r="F33" s="207">
        <v>2</v>
      </c>
      <c r="G33" s="199" t="s">
        <v>1237</v>
      </c>
      <c r="H33" s="199" t="s">
        <v>1483</v>
      </c>
      <c r="I33" s="210">
        <v>19</v>
      </c>
      <c r="J33" s="210">
        <v>59</v>
      </c>
      <c r="K33" s="199" t="s">
        <v>1484</v>
      </c>
      <c r="L33" s="199" t="s">
        <v>1485</v>
      </c>
      <c r="M33" s="199">
        <v>2024</v>
      </c>
      <c r="N33" s="199" t="s">
        <v>1486</v>
      </c>
      <c r="O33" s="199" t="s">
        <v>1606</v>
      </c>
      <c r="P33" s="199" t="s">
        <v>1488</v>
      </c>
      <c r="Q33" s="200" t="s">
        <v>1489</v>
      </c>
    </row>
    <row r="34" spans="1:17" ht="36">
      <c r="A34" s="204" t="s">
        <v>1611</v>
      </c>
      <c r="B34" s="199" t="s">
        <v>1612</v>
      </c>
      <c r="C34" s="199" t="s">
        <v>1603</v>
      </c>
      <c r="D34" s="199" t="s">
        <v>1613</v>
      </c>
      <c r="E34" s="199" t="s">
        <v>1614</v>
      </c>
      <c r="F34" s="207">
        <v>3</v>
      </c>
      <c r="G34" s="199" t="s">
        <v>1237</v>
      </c>
      <c r="H34" s="199" t="s">
        <v>1483</v>
      </c>
      <c r="I34" s="210">
        <v>19</v>
      </c>
      <c r="J34" s="210">
        <v>59</v>
      </c>
      <c r="K34" s="199" t="s">
        <v>1484</v>
      </c>
      <c r="L34" s="199" t="s">
        <v>1485</v>
      </c>
      <c r="M34" s="199">
        <v>2024</v>
      </c>
      <c r="N34" s="199" t="s">
        <v>1486</v>
      </c>
      <c r="O34" s="199" t="s">
        <v>1606</v>
      </c>
      <c r="P34" s="199" t="s">
        <v>1488</v>
      </c>
      <c r="Q34" s="200" t="s">
        <v>1489</v>
      </c>
    </row>
    <row r="35" spans="1:17" ht="36">
      <c r="A35" s="204" t="s">
        <v>1615</v>
      </c>
      <c r="B35" s="199" t="s">
        <v>1616</v>
      </c>
      <c r="C35" s="199" t="s">
        <v>1603</v>
      </c>
      <c r="D35" s="199" t="s">
        <v>1617</v>
      </c>
      <c r="E35" s="199" t="s">
        <v>1618</v>
      </c>
      <c r="F35" s="207">
        <v>2</v>
      </c>
      <c r="G35" s="199" t="s">
        <v>1237</v>
      </c>
      <c r="H35" s="199" t="s">
        <v>1483</v>
      </c>
      <c r="I35" s="210">
        <v>19</v>
      </c>
      <c r="J35" s="210">
        <v>59</v>
      </c>
      <c r="K35" s="199" t="s">
        <v>1484</v>
      </c>
      <c r="L35" s="199" t="s">
        <v>1485</v>
      </c>
      <c r="M35" s="199">
        <v>2024</v>
      </c>
      <c r="N35" s="199" t="s">
        <v>1486</v>
      </c>
      <c r="O35" s="199" t="s">
        <v>1606</v>
      </c>
      <c r="P35" s="199" t="s">
        <v>1488</v>
      </c>
      <c r="Q35" s="200" t="s">
        <v>1489</v>
      </c>
    </row>
    <row r="36" spans="1:17" ht="36">
      <c r="A36" s="204" t="s">
        <v>1619</v>
      </c>
      <c r="B36" s="199" t="s">
        <v>1620</v>
      </c>
      <c r="C36" s="199" t="s">
        <v>1603</v>
      </c>
      <c r="D36" s="199" t="s">
        <v>1621</v>
      </c>
      <c r="E36" s="199" t="s">
        <v>1622</v>
      </c>
      <c r="F36" s="207">
        <v>3.5</v>
      </c>
      <c r="G36" s="199" t="s">
        <v>1237</v>
      </c>
      <c r="H36" s="199" t="s">
        <v>1483</v>
      </c>
      <c r="I36" s="210">
        <v>19</v>
      </c>
      <c r="J36" s="210">
        <v>59</v>
      </c>
      <c r="K36" s="199" t="s">
        <v>1484</v>
      </c>
      <c r="L36" s="199" t="s">
        <v>1485</v>
      </c>
      <c r="M36" s="199">
        <v>2024</v>
      </c>
      <c r="N36" s="199" t="s">
        <v>1486</v>
      </c>
      <c r="O36" s="199" t="s">
        <v>1606</v>
      </c>
      <c r="P36" s="199" t="s">
        <v>1488</v>
      </c>
      <c r="Q36" s="200" t="s">
        <v>1489</v>
      </c>
    </row>
    <row r="37" spans="1:17" ht="36">
      <c r="A37" s="204" t="s">
        <v>1623</v>
      </c>
      <c r="B37" s="199" t="s">
        <v>1624</v>
      </c>
      <c r="C37" s="199" t="s">
        <v>1603</v>
      </c>
      <c r="D37" s="199" t="s">
        <v>1625</v>
      </c>
      <c r="E37" s="199" t="s">
        <v>1626</v>
      </c>
      <c r="F37" s="207">
        <v>5.3</v>
      </c>
      <c r="G37" s="199" t="s">
        <v>1237</v>
      </c>
      <c r="H37" s="199" t="s">
        <v>1483</v>
      </c>
      <c r="I37" s="210">
        <v>19</v>
      </c>
      <c r="J37" s="210">
        <v>59</v>
      </c>
      <c r="K37" s="199" t="s">
        <v>1484</v>
      </c>
      <c r="L37" s="199" t="s">
        <v>1485</v>
      </c>
      <c r="M37" s="199">
        <v>2024</v>
      </c>
      <c r="N37" s="199" t="s">
        <v>1486</v>
      </c>
      <c r="O37" s="199" t="s">
        <v>1606</v>
      </c>
      <c r="P37" s="199" t="s">
        <v>1488</v>
      </c>
      <c r="Q37" s="200" t="s">
        <v>1489</v>
      </c>
    </row>
    <row r="38" spans="1:17" ht="36">
      <c r="A38" s="204" t="s">
        <v>1627</v>
      </c>
      <c r="B38" s="199" t="s">
        <v>1628</v>
      </c>
      <c r="C38" s="199" t="s">
        <v>1603</v>
      </c>
      <c r="D38" s="199" t="s">
        <v>1629</v>
      </c>
      <c r="E38" s="199" t="s">
        <v>1630</v>
      </c>
      <c r="F38" s="207">
        <v>3.3</v>
      </c>
      <c r="G38" s="199" t="s">
        <v>1237</v>
      </c>
      <c r="H38" s="199" t="s">
        <v>1483</v>
      </c>
      <c r="I38" s="210">
        <v>19</v>
      </c>
      <c r="J38" s="210">
        <v>59</v>
      </c>
      <c r="K38" s="199" t="s">
        <v>1484</v>
      </c>
      <c r="L38" s="199" t="s">
        <v>1485</v>
      </c>
      <c r="M38" s="199">
        <v>2024</v>
      </c>
      <c r="N38" s="199" t="s">
        <v>1486</v>
      </c>
      <c r="O38" s="199" t="s">
        <v>1606</v>
      </c>
      <c r="P38" s="199" t="s">
        <v>1488</v>
      </c>
      <c r="Q38" s="200" t="s">
        <v>1489</v>
      </c>
    </row>
    <row r="39" spans="1:17" ht="36">
      <c r="A39" s="204" t="s">
        <v>1631</v>
      </c>
      <c r="B39" s="199" t="s">
        <v>1632</v>
      </c>
      <c r="C39" s="199" t="s">
        <v>1603</v>
      </c>
      <c r="D39" s="199" t="s">
        <v>1633</v>
      </c>
      <c r="E39" s="199" t="s">
        <v>1634</v>
      </c>
      <c r="F39" s="207">
        <v>1.8</v>
      </c>
      <c r="G39" s="199" t="s">
        <v>1237</v>
      </c>
      <c r="H39" s="199" t="s">
        <v>1483</v>
      </c>
      <c r="I39" s="210">
        <v>19</v>
      </c>
      <c r="J39" s="210">
        <v>59</v>
      </c>
      <c r="K39" s="199" t="s">
        <v>1484</v>
      </c>
      <c r="L39" s="199" t="s">
        <v>1485</v>
      </c>
      <c r="M39" s="199">
        <v>2024</v>
      </c>
      <c r="N39" s="199" t="s">
        <v>1486</v>
      </c>
      <c r="O39" s="199" t="s">
        <v>1606</v>
      </c>
      <c r="P39" s="199" t="s">
        <v>1488</v>
      </c>
      <c r="Q39" s="200" t="s">
        <v>1489</v>
      </c>
    </row>
    <row r="40" spans="1:17" ht="36">
      <c r="A40" s="204" t="s">
        <v>1635</v>
      </c>
      <c r="B40" s="199" t="s">
        <v>1636</v>
      </c>
      <c r="C40" s="199" t="s">
        <v>1603</v>
      </c>
      <c r="D40" s="199" t="s">
        <v>1637</v>
      </c>
      <c r="E40" s="199" t="s">
        <v>1638</v>
      </c>
      <c r="F40" s="207">
        <v>2.2999999999999998</v>
      </c>
      <c r="G40" s="199" t="s">
        <v>1237</v>
      </c>
      <c r="H40" s="199" t="s">
        <v>1483</v>
      </c>
      <c r="I40" s="210">
        <v>19</v>
      </c>
      <c r="J40" s="210">
        <v>59</v>
      </c>
      <c r="K40" s="199" t="s">
        <v>1484</v>
      </c>
      <c r="L40" s="199" t="s">
        <v>1485</v>
      </c>
      <c r="M40" s="199">
        <v>2024</v>
      </c>
      <c r="N40" s="199" t="s">
        <v>1486</v>
      </c>
      <c r="O40" s="199" t="s">
        <v>1606</v>
      </c>
      <c r="P40" s="199" t="s">
        <v>1488</v>
      </c>
      <c r="Q40" s="200" t="s">
        <v>1489</v>
      </c>
    </row>
    <row r="41" spans="1:17" ht="36">
      <c r="A41" s="204" t="s">
        <v>1639</v>
      </c>
      <c r="B41" s="199" t="s">
        <v>1640</v>
      </c>
      <c r="C41" s="199" t="s">
        <v>1603</v>
      </c>
      <c r="D41" s="199" t="s">
        <v>1641</v>
      </c>
      <c r="E41" s="199" t="s">
        <v>1642</v>
      </c>
      <c r="F41" s="207">
        <v>3</v>
      </c>
      <c r="G41" s="199" t="s">
        <v>1237</v>
      </c>
      <c r="H41" s="199" t="s">
        <v>1483</v>
      </c>
      <c r="I41" s="210">
        <v>19</v>
      </c>
      <c r="J41" s="210">
        <v>59</v>
      </c>
      <c r="K41" s="199" t="s">
        <v>1484</v>
      </c>
      <c r="L41" s="199" t="s">
        <v>1485</v>
      </c>
      <c r="M41" s="199">
        <v>2024</v>
      </c>
      <c r="N41" s="199" t="s">
        <v>1486</v>
      </c>
      <c r="O41" s="199" t="s">
        <v>1606</v>
      </c>
      <c r="P41" s="199" t="s">
        <v>1488</v>
      </c>
      <c r="Q41" s="200" t="s">
        <v>1489</v>
      </c>
    </row>
    <row r="42" spans="1:17" ht="36">
      <c r="A42" s="204" t="s">
        <v>1643</v>
      </c>
      <c r="B42" s="199" t="s">
        <v>1644</v>
      </c>
      <c r="C42" s="199" t="s">
        <v>1603</v>
      </c>
      <c r="D42" s="199" t="s">
        <v>1645</v>
      </c>
      <c r="E42" s="199" t="s">
        <v>1646</v>
      </c>
      <c r="F42" s="207">
        <v>5.8</v>
      </c>
      <c r="G42" s="199" t="s">
        <v>1237</v>
      </c>
      <c r="H42" s="199" t="s">
        <v>1483</v>
      </c>
      <c r="I42" s="210">
        <v>19</v>
      </c>
      <c r="J42" s="210">
        <v>59</v>
      </c>
      <c r="K42" s="199" t="s">
        <v>1484</v>
      </c>
      <c r="L42" s="199" t="s">
        <v>1485</v>
      </c>
      <c r="M42" s="199">
        <v>2024</v>
      </c>
      <c r="N42" s="199" t="s">
        <v>1486</v>
      </c>
      <c r="O42" s="199" t="s">
        <v>1606</v>
      </c>
      <c r="P42" s="199" t="s">
        <v>1488</v>
      </c>
      <c r="Q42" s="200" t="s">
        <v>1489</v>
      </c>
    </row>
    <row r="43" spans="1:17" ht="36">
      <c r="A43" s="204" t="s">
        <v>1387</v>
      </c>
      <c r="B43" s="199" t="s">
        <v>1204</v>
      </c>
      <c r="C43" s="199" t="s">
        <v>1603</v>
      </c>
      <c r="D43" s="199" t="s">
        <v>1647</v>
      </c>
      <c r="E43" s="199" t="s">
        <v>1648</v>
      </c>
      <c r="F43" s="207">
        <v>3</v>
      </c>
      <c r="G43" s="199" t="s">
        <v>1237</v>
      </c>
      <c r="H43" s="199" t="s">
        <v>1483</v>
      </c>
      <c r="I43" s="210">
        <v>19</v>
      </c>
      <c r="J43" s="210">
        <v>59</v>
      </c>
      <c r="K43" s="199" t="s">
        <v>1484</v>
      </c>
      <c r="L43" s="199" t="s">
        <v>1485</v>
      </c>
      <c r="M43" s="199">
        <v>2024</v>
      </c>
      <c r="N43" s="199" t="s">
        <v>1486</v>
      </c>
      <c r="O43" s="199" t="s">
        <v>1606</v>
      </c>
      <c r="P43" s="199" t="s">
        <v>1488</v>
      </c>
      <c r="Q43" s="200" t="s">
        <v>1489</v>
      </c>
    </row>
    <row r="44" spans="1:17" ht="36">
      <c r="A44" s="204" t="s">
        <v>1649</v>
      </c>
      <c r="B44" s="199" t="s">
        <v>1650</v>
      </c>
      <c r="C44" s="199" t="s">
        <v>1603</v>
      </c>
      <c r="D44" s="199" t="s">
        <v>1651</v>
      </c>
      <c r="E44" s="199" t="s">
        <v>1652</v>
      </c>
      <c r="F44" s="207">
        <v>3.8</v>
      </c>
      <c r="G44" s="199" t="s">
        <v>1237</v>
      </c>
      <c r="H44" s="199" t="s">
        <v>1483</v>
      </c>
      <c r="I44" s="210">
        <v>19</v>
      </c>
      <c r="J44" s="210">
        <v>59</v>
      </c>
      <c r="K44" s="199" t="s">
        <v>1484</v>
      </c>
      <c r="L44" s="199" t="s">
        <v>1485</v>
      </c>
      <c r="M44" s="199">
        <v>2024</v>
      </c>
      <c r="N44" s="199" t="s">
        <v>1486</v>
      </c>
      <c r="O44" s="199" t="s">
        <v>1606</v>
      </c>
      <c r="P44" s="199" t="s">
        <v>1488</v>
      </c>
      <c r="Q44" s="200" t="s">
        <v>1489</v>
      </c>
    </row>
    <row r="45" spans="1:17" ht="36">
      <c r="A45" s="204" t="s">
        <v>1653</v>
      </c>
      <c r="B45" s="199" t="s">
        <v>1654</v>
      </c>
      <c r="C45" s="199" t="s">
        <v>1603</v>
      </c>
      <c r="D45" s="199" t="s">
        <v>1655</v>
      </c>
      <c r="E45" s="199" t="s">
        <v>1656</v>
      </c>
      <c r="F45" s="207">
        <v>2</v>
      </c>
      <c r="G45" s="199" t="s">
        <v>1237</v>
      </c>
      <c r="H45" s="199" t="s">
        <v>1483</v>
      </c>
      <c r="I45" s="210">
        <v>19</v>
      </c>
      <c r="J45" s="210">
        <v>59</v>
      </c>
      <c r="K45" s="199" t="s">
        <v>1484</v>
      </c>
      <c r="L45" s="199" t="s">
        <v>1485</v>
      </c>
      <c r="M45" s="199">
        <v>2024</v>
      </c>
      <c r="N45" s="199" t="s">
        <v>1486</v>
      </c>
      <c r="O45" s="199" t="s">
        <v>1606</v>
      </c>
      <c r="P45" s="199" t="s">
        <v>1488</v>
      </c>
      <c r="Q45" s="200" t="s">
        <v>1489</v>
      </c>
    </row>
    <row r="46" spans="1:17" ht="36">
      <c r="A46" s="204" t="s">
        <v>1657</v>
      </c>
      <c r="B46" s="199" t="s">
        <v>1658</v>
      </c>
      <c r="C46" s="199" t="s">
        <v>1659</v>
      </c>
      <c r="D46" s="199" t="s">
        <v>1660</v>
      </c>
      <c r="E46" s="199" t="s">
        <v>1661</v>
      </c>
      <c r="F46" s="207">
        <v>3.5</v>
      </c>
      <c r="G46" s="199" t="s">
        <v>1237</v>
      </c>
      <c r="H46" s="199" t="s">
        <v>1483</v>
      </c>
      <c r="I46" s="210">
        <v>19</v>
      </c>
      <c r="J46" s="210">
        <v>59</v>
      </c>
      <c r="K46" s="199" t="s">
        <v>1484</v>
      </c>
      <c r="L46" s="199" t="s">
        <v>1485</v>
      </c>
      <c r="M46" s="199">
        <v>2024</v>
      </c>
      <c r="N46" s="199" t="s">
        <v>1486</v>
      </c>
      <c r="O46" s="199" t="s">
        <v>1662</v>
      </c>
      <c r="P46" s="199" t="s">
        <v>1488</v>
      </c>
      <c r="Q46" s="200" t="s">
        <v>1489</v>
      </c>
    </row>
    <row r="47" spans="1:17" ht="36">
      <c r="A47" s="204" t="s">
        <v>1663</v>
      </c>
      <c r="B47" s="199" t="s">
        <v>1664</v>
      </c>
      <c r="C47" s="199" t="s">
        <v>1659</v>
      </c>
      <c r="D47" s="199" t="s">
        <v>1665</v>
      </c>
      <c r="E47" s="199" t="s">
        <v>1666</v>
      </c>
      <c r="F47" s="207">
        <v>6.8</v>
      </c>
      <c r="G47" s="199" t="s">
        <v>1237</v>
      </c>
      <c r="H47" s="199" t="s">
        <v>1483</v>
      </c>
      <c r="I47" s="210">
        <v>19</v>
      </c>
      <c r="J47" s="210">
        <v>59</v>
      </c>
      <c r="K47" s="199" t="s">
        <v>1484</v>
      </c>
      <c r="L47" s="199" t="s">
        <v>1485</v>
      </c>
      <c r="M47" s="199">
        <v>2024</v>
      </c>
      <c r="N47" s="199" t="s">
        <v>1486</v>
      </c>
      <c r="O47" s="199" t="s">
        <v>1662</v>
      </c>
      <c r="P47" s="199" t="s">
        <v>1488</v>
      </c>
      <c r="Q47" s="200" t="s">
        <v>1489</v>
      </c>
    </row>
    <row r="48" spans="1:17" ht="36">
      <c r="A48" s="204" t="s">
        <v>1385</v>
      </c>
      <c r="B48" s="199" t="s">
        <v>1203</v>
      </c>
      <c r="C48" s="199" t="s">
        <v>1659</v>
      </c>
      <c r="D48" s="199" t="s">
        <v>1667</v>
      </c>
      <c r="E48" s="199" t="s">
        <v>1668</v>
      </c>
      <c r="F48" s="207">
        <v>4.5</v>
      </c>
      <c r="G48" s="199" t="s">
        <v>1237</v>
      </c>
      <c r="H48" s="199" t="s">
        <v>1483</v>
      </c>
      <c r="I48" s="210">
        <v>19</v>
      </c>
      <c r="J48" s="210">
        <v>59</v>
      </c>
      <c r="K48" s="199" t="s">
        <v>1484</v>
      </c>
      <c r="L48" s="199" t="s">
        <v>1485</v>
      </c>
      <c r="M48" s="199">
        <v>2024</v>
      </c>
      <c r="N48" s="199" t="s">
        <v>1486</v>
      </c>
      <c r="O48" s="199" t="s">
        <v>1662</v>
      </c>
      <c r="P48" s="199" t="s">
        <v>1488</v>
      </c>
      <c r="Q48" s="200" t="s">
        <v>1489</v>
      </c>
    </row>
    <row r="49" spans="1:17" ht="36">
      <c r="A49" s="204" t="s">
        <v>1669</v>
      </c>
      <c r="B49" s="199" t="s">
        <v>1670</v>
      </c>
      <c r="C49" s="199" t="s">
        <v>1659</v>
      </c>
      <c r="D49" s="199" t="s">
        <v>1671</v>
      </c>
      <c r="E49" s="199" t="s">
        <v>1672</v>
      </c>
      <c r="F49" s="207">
        <v>9.3000000000000007</v>
      </c>
      <c r="G49" s="199" t="s">
        <v>1237</v>
      </c>
      <c r="H49" s="199" t="s">
        <v>1483</v>
      </c>
      <c r="I49" s="210">
        <v>19</v>
      </c>
      <c r="J49" s="210">
        <v>59</v>
      </c>
      <c r="K49" s="199" t="s">
        <v>1484</v>
      </c>
      <c r="L49" s="199" t="s">
        <v>1485</v>
      </c>
      <c r="M49" s="199">
        <v>2024</v>
      </c>
      <c r="N49" s="199" t="s">
        <v>1486</v>
      </c>
      <c r="O49" s="199" t="s">
        <v>1662</v>
      </c>
      <c r="P49" s="199" t="s">
        <v>1488</v>
      </c>
      <c r="Q49" s="200" t="s">
        <v>1489</v>
      </c>
    </row>
    <row r="50" spans="1:17" ht="36">
      <c r="A50" s="204" t="s">
        <v>1673</v>
      </c>
      <c r="B50" s="199" t="s">
        <v>1674</v>
      </c>
      <c r="C50" s="199" t="s">
        <v>1675</v>
      </c>
      <c r="D50" s="199" t="s">
        <v>1676</v>
      </c>
      <c r="E50" s="199" t="s">
        <v>1677</v>
      </c>
      <c r="F50" s="207">
        <v>2.2999999999999998</v>
      </c>
      <c r="G50" s="199" t="s">
        <v>1237</v>
      </c>
      <c r="H50" s="199" t="s">
        <v>1483</v>
      </c>
      <c r="I50" s="210">
        <v>19</v>
      </c>
      <c r="J50" s="210">
        <v>59</v>
      </c>
      <c r="K50" s="199" t="s">
        <v>1484</v>
      </c>
      <c r="L50" s="199" t="s">
        <v>1485</v>
      </c>
      <c r="M50" s="199">
        <v>2024</v>
      </c>
      <c r="N50" s="199" t="s">
        <v>1486</v>
      </c>
      <c r="O50" s="199" t="s">
        <v>1662</v>
      </c>
      <c r="P50" s="199" t="s">
        <v>1488</v>
      </c>
      <c r="Q50" s="200" t="s">
        <v>1489</v>
      </c>
    </row>
    <row r="51" spans="1:17" ht="36">
      <c r="A51" s="204" t="s">
        <v>1678</v>
      </c>
      <c r="B51" s="199" t="s">
        <v>1679</v>
      </c>
      <c r="C51" s="199" t="s">
        <v>1675</v>
      </c>
      <c r="D51" s="199" t="s">
        <v>1680</v>
      </c>
      <c r="E51" s="199" t="s">
        <v>1681</v>
      </c>
      <c r="F51" s="207">
        <v>2.8</v>
      </c>
      <c r="G51" s="199" t="s">
        <v>1237</v>
      </c>
      <c r="H51" s="199" t="s">
        <v>1483</v>
      </c>
      <c r="I51" s="210">
        <v>19</v>
      </c>
      <c r="J51" s="210">
        <v>59</v>
      </c>
      <c r="K51" s="199" t="s">
        <v>1484</v>
      </c>
      <c r="L51" s="199" t="s">
        <v>1485</v>
      </c>
      <c r="M51" s="199">
        <v>2024</v>
      </c>
      <c r="N51" s="199" t="s">
        <v>1486</v>
      </c>
      <c r="O51" s="199" t="s">
        <v>1662</v>
      </c>
      <c r="P51" s="199" t="s">
        <v>1488</v>
      </c>
      <c r="Q51" s="200" t="s">
        <v>1489</v>
      </c>
    </row>
    <row r="52" spans="1:17" ht="36">
      <c r="A52" s="204" t="s">
        <v>1682</v>
      </c>
      <c r="B52" s="199" t="s">
        <v>1683</v>
      </c>
      <c r="C52" s="199" t="s">
        <v>1675</v>
      </c>
      <c r="D52" s="199" t="s">
        <v>1684</v>
      </c>
      <c r="E52" s="199" t="s">
        <v>1685</v>
      </c>
      <c r="F52" s="207">
        <v>3.5</v>
      </c>
      <c r="G52" s="199" t="s">
        <v>1237</v>
      </c>
      <c r="H52" s="199" t="s">
        <v>1483</v>
      </c>
      <c r="I52" s="210">
        <v>19</v>
      </c>
      <c r="J52" s="210">
        <v>59</v>
      </c>
      <c r="K52" s="199" t="s">
        <v>1484</v>
      </c>
      <c r="L52" s="199" t="s">
        <v>1485</v>
      </c>
      <c r="M52" s="199">
        <v>2024</v>
      </c>
      <c r="N52" s="199" t="s">
        <v>1486</v>
      </c>
      <c r="O52" s="199" t="s">
        <v>1662</v>
      </c>
      <c r="P52" s="199" t="s">
        <v>1488</v>
      </c>
      <c r="Q52" s="200" t="s">
        <v>1489</v>
      </c>
    </row>
    <row r="53" spans="1:17" ht="36">
      <c r="A53" s="204" t="s">
        <v>1686</v>
      </c>
      <c r="B53" s="199" t="s">
        <v>1687</v>
      </c>
      <c r="C53" s="199" t="s">
        <v>1675</v>
      </c>
      <c r="D53" s="199" t="s">
        <v>1688</v>
      </c>
      <c r="E53" s="199" t="s">
        <v>1689</v>
      </c>
      <c r="F53" s="207">
        <v>2.5</v>
      </c>
      <c r="G53" s="199" t="s">
        <v>1237</v>
      </c>
      <c r="H53" s="199" t="s">
        <v>1483</v>
      </c>
      <c r="I53" s="210">
        <v>19</v>
      </c>
      <c r="J53" s="210">
        <v>59</v>
      </c>
      <c r="K53" s="199" t="s">
        <v>1484</v>
      </c>
      <c r="L53" s="199" t="s">
        <v>1485</v>
      </c>
      <c r="M53" s="199">
        <v>2024</v>
      </c>
      <c r="N53" s="199" t="s">
        <v>1486</v>
      </c>
      <c r="O53" s="199" t="s">
        <v>1662</v>
      </c>
      <c r="P53" s="199" t="s">
        <v>1488</v>
      </c>
      <c r="Q53" s="200" t="s">
        <v>1489</v>
      </c>
    </row>
    <row r="54" spans="1:17" ht="36">
      <c r="A54" s="204" t="s">
        <v>1690</v>
      </c>
      <c r="B54" s="199" t="s">
        <v>1691</v>
      </c>
      <c r="C54" s="199" t="s">
        <v>1675</v>
      </c>
      <c r="D54" s="199" t="s">
        <v>1692</v>
      </c>
      <c r="E54" s="199" t="s">
        <v>1693</v>
      </c>
      <c r="F54" s="207">
        <v>3</v>
      </c>
      <c r="G54" s="199" t="s">
        <v>1237</v>
      </c>
      <c r="H54" s="199" t="s">
        <v>1483</v>
      </c>
      <c r="I54" s="210">
        <v>19</v>
      </c>
      <c r="J54" s="210">
        <v>59</v>
      </c>
      <c r="K54" s="199" t="s">
        <v>1484</v>
      </c>
      <c r="L54" s="199" t="s">
        <v>1485</v>
      </c>
      <c r="M54" s="199">
        <v>2024</v>
      </c>
      <c r="N54" s="199" t="s">
        <v>1486</v>
      </c>
      <c r="O54" s="199" t="s">
        <v>1662</v>
      </c>
      <c r="P54" s="199" t="s">
        <v>1488</v>
      </c>
      <c r="Q54" s="200" t="s">
        <v>1489</v>
      </c>
    </row>
    <row r="55" spans="1:17" ht="36">
      <c r="A55" s="204" t="s">
        <v>1694</v>
      </c>
      <c r="B55" s="199" t="s">
        <v>1695</v>
      </c>
      <c r="C55" s="199" t="s">
        <v>1675</v>
      </c>
      <c r="D55" s="199" t="s">
        <v>1696</v>
      </c>
      <c r="E55" s="199" t="s">
        <v>1697</v>
      </c>
      <c r="F55" s="207">
        <v>3</v>
      </c>
      <c r="G55" s="199" t="s">
        <v>1237</v>
      </c>
      <c r="H55" s="199" t="s">
        <v>1483</v>
      </c>
      <c r="I55" s="210">
        <v>19</v>
      </c>
      <c r="J55" s="210">
        <v>59</v>
      </c>
      <c r="K55" s="199" t="s">
        <v>1484</v>
      </c>
      <c r="L55" s="199" t="s">
        <v>1485</v>
      </c>
      <c r="M55" s="199">
        <v>2024</v>
      </c>
      <c r="N55" s="199" t="s">
        <v>1486</v>
      </c>
      <c r="O55" s="199" t="s">
        <v>1662</v>
      </c>
      <c r="P55" s="199" t="s">
        <v>1488</v>
      </c>
      <c r="Q55" s="200" t="s">
        <v>1489</v>
      </c>
    </row>
    <row r="56" spans="1:17" ht="36">
      <c r="A56" s="204" t="s">
        <v>1389</v>
      </c>
      <c r="B56" s="199" t="s">
        <v>1201</v>
      </c>
      <c r="C56" s="199" t="s">
        <v>1675</v>
      </c>
      <c r="D56" s="199" t="s">
        <v>1698</v>
      </c>
      <c r="E56" s="199" t="s">
        <v>1699</v>
      </c>
      <c r="F56" s="207">
        <v>3.8</v>
      </c>
      <c r="G56" s="199" t="s">
        <v>1237</v>
      </c>
      <c r="H56" s="199" t="s">
        <v>1483</v>
      </c>
      <c r="I56" s="210">
        <v>19</v>
      </c>
      <c r="J56" s="210">
        <v>59</v>
      </c>
      <c r="K56" s="199" t="s">
        <v>1484</v>
      </c>
      <c r="L56" s="199" t="s">
        <v>1485</v>
      </c>
      <c r="M56" s="199">
        <v>2024</v>
      </c>
      <c r="N56" s="199" t="s">
        <v>1486</v>
      </c>
      <c r="O56" s="199" t="s">
        <v>1662</v>
      </c>
      <c r="P56" s="199" t="s">
        <v>1488</v>
      </c>
      <c r="Q56" s="200" t="s">
        <v>1489</v>
      </c>
    </row>
    <row r="57" spans="1:17" ht="36">
      <c r="A57" s="204" t="s">
        <v>1700</v>
      </c>
      <c r="B57" s="199" t="s">
        <v>1701</v>
      </c>
      <c r="C57" s="199" t="s">
        <v>1675</v>
      </c>
      <c r="D57" s="199" t="s">
        <v>1702</v>
      </c>
      <c r="E57" s="199" t="s">
        <v>1703</v>
      </c>
      <c r="F57" s="207">
        <v>4.8</v>
      </c>
      <c r="G57" s="199" t="s">
        <v>1237</v>
      </c>
      <c r="H57" s="199" t="s">
        <v>1483</v>
      </c>
      <c r="I57" s="210">
        <v>19</v>
      </c>
      <c r="J57" s="210">
        <v>59</v>
      </c>
      <c r="K57" s="199" t="s">
        <v>1484</v>
      </c>
      <c r="L57" s="199" t="s">
        <v>1485</v>
      </c>
      <c r="M57" s="199">
        <v>2024</v>
      </c>
      <c r="N57" s="199" t="s">
        <v>1486</v>
      </c>
      <c r="O57" s="199" t="s">
        <v>1662</v>
      </c>
      <c r="P57" s="199" t="s">
        <v>1488</v>
      </c>
      <c r="Q57" s="200" t="s">
        <v>1489</v>
      </c>
    </row>
    <row r="58" spans="1:17" ht="36">
      <c r="A58" s="204" t="s">
        <v>1704</v>
      </c>
      <c r="B58" s="199" t="s">
        <v>1705</v>
      </c>
      <c r="C58" s="199" t="s">
        <v>1675</v>
      </c>
      <c r="D58" s="199" t="s">
        <v>1706</v>
      </c>
      <c r="E58" s="199" t="s">
        <v>1707</v>
      </c>
      <c r="F58" s="207">
        <v>5.5</v>
      </c>
      <c r="G58" s="199" t="s">
        <v>1237</v>
      </c>
      <c r="H58" s="199" t="s">
        <v>1483</v>
      </c>
      <c r="I58" s="210">
        <v>19</v>
      </c>
      <c r="J58" s="210">
        <v>59</v>
      </c>
      <c r="K58" s="199" t="s">
        <v>1484</v>
      </c>
      <c r="L58" s="199" t="s">
        <v>1485</v>
      </c>
      <c r="M58" s="199">
        <v>2024</v>
      </c>
      <c r="N58" s="199" t="s">
        <v>1486</v>
      </c>
      <c r="O58" s="199" t="s">
        <v>1662</v>
      </c>
      <c r="P58" s="199" t="s">
        <v>1488</v>
      </c>
      <c r="Q58" s="200" t="s">
        <v>1489</v>
      </c>
    </row>
    <row r="59" spans="1:17" ht="36">
      <c r="A59" s="204" t="s">
        <v>1708</v>
      </c>
      <c r="B59" s="199" t="s">
        <v>1709</v>
      </c>
      <c r="C59" s="199" t="s">
        <v>1675</v>
      </c>
      <c r="D59" s="199" t="s">
        <v>1710</v>
      </c>
      <c r="E59" s="199" t="s">
        <v>1711</v>
      </c>
      <c r="F59" s="207">
        <v>4</v>
      </c>
      <c r="G59" s="199" t="s">
        <v>1237</v>
      </c>
      <c r="H59" s="199" t="s">
        <v>1483</v>
      </c>
      <c r="I59" s="210">
        <v>19</v>
      </c>
      <c r="J59" s="210">
        <v>59</v>
      </c>
      <c r="K59" s="199" t="s">
        <v>1484</v>
      </c>
      <c r="L59" s="199" t="s">
        <v>1485</v>
      </c>
      <c r="M59" s="199">
        <v>2024</v>
      </c>
      <c r="N59" s="199" t="s">
        <v>1486</v>
      </c>
      <c r="O59" s="199" t="s">
        <v>1662</v>
      </c>
      <c r="P59" s="199" t="s">
        <v>1488</v>
      </c>
      <c r="Q59" s="200" t="s">
        <v>1489</v>
      </c>
    </row>
    <row r="60" spans="1:17" ht="36">
      <c r="A60" s="204" t="s">
        <v>1712</v>
      </c>
      <c r="B60" s="199" t="s">
        <v>1713</v>
      </c>
      <c r="C60" s="199" t="s">
        <v>1714</v>
      </c>
      <c r="D60" s="199" t="s">
        <v>1715</v>
      </c>
      <c r="E60" s="199" t="s">
        <v>1716</v>
      </c>
      <c r="F60" s="207">
        <v>5.3</v>
      </c>
      <c r="G60" s="199" t="s">
        <v>1237</v>
      </c>
      <c r="H60" s="199" t="s">
        <v>1483</v>
      </c>
      <c r="I60" s="210">
        <v>19</v>
      </c>
      <c r="J60" s="210">
        <v>59</v>
      </c>
      <c r="K60" s="199" t="s">
        <v>1484</v>
      </c>
      <c r="L60" s="199" t="s">
        <v>1485</v>
      </c>
      <c r="M60" s="199">
        <v>2024</v>
      </c>
      <c r="N60" s="199" t="s">
        <v>1486</v>
      </c>
      <c r="O60" s="199" t="s">
        <v>1662</v>
      </c>
      <c r="P60" s="199" t="s">
        <v>1488</v>
      </c>
      <c r="Q60" s="200" t="s">
        <v>1489</v>
      </c>
    </row>
    <row r="61" spans="1:17" ht="36">
      <c r="A61" s="204" t="s">
        <v>1717</v>
      </c>
      <c r="B61" s="199" t="s">
        <v>1718</v>
      </c>
      <c r="C61" s="199" t="s">
        <v>1714</v>
      </c>
      <c r="D61" s="199" t="s">
        <v>1719</v>
      </c>
      <c r="E61" s="199" t="s">
        <v>1720</v>
      </c>
      <c r="F61" s="207">
        <v>7</v>
      </c>
      <c r="G61" s="199" t="s">
        <v>1237</v>
      </c>
      <c r="H61" s="199" t="s">
        <v>1483</v>
      </c>
      <c r="I61" s="210">
        <v>19</v>
      </c>
      <c r="J61" s="210">
        <v>59</v>
      </c>
      <c r="K61" s="199" t="s">
        <v>1484</v>
      </c>
      <c r="L61" s="199" t="s">
        <v>1485</v>
      </c>
      <c r="M61" s="199">
        <v>2024</v>
      </c>
      <c r="N61" s="199" t="s">
        <v>1486</v>
      </c>
      <c r="O61" s="199" t="s">
        <v>1662</v>
      </c>
      <c r="P61" s="199" t="s">
        <v>1488</v>
      </c>
      <c r="Q61" s="200" t="s">
        <v>1489</v>
      </c>
    </row>
    <row r="62" spans="1:17" ht="36">
      <c r="A62" s="204" t="s">
        <v>1721</v>
      </c>
      <c r="B62" s="199" t="s">
        <v>1722</v>
      </c>
      <c r="C62" s="199" t="s">
        <v>1714</v>
      </c>
      <c r="D62" s="199" t="s">
        <v>1723</v>
      </c>
      <c r="E62" s="199" t="s">
        <v>1724</v>
      </c>
      <c r="F62" s="207">
        <v>8.8000000000000007</v>
      </c>
      <c r="G62" s="199" t="s">
        <v>1237</v>
      </c>
      <c r="H62" s="199" t="s">
        <v>1483</v>
      </c>
      <c r="I62" s="210">
        <v>19</v>
      </c>
      <c r="J62" s="210">
        <v>59</v>
      </c>
      <c r="K62" s="199" t="s">
        <v>1484</v>
      </c>
      <c r="L62" s="199" t="s">
        <v>1485</v>
      </c>
      <c r="M62" s="199">
        <v>2024</v>
      </c>
      <c r="N62" s="199" t="s">
        <v>1486</v>
      </c>
      <c r="O62" s="199" t="s">
        <v>1662</v>
      </c>
      <c r="P62" s="199" t="s">
        <v>1488</v>
      </c>
      <c r="Q62" s="200" t="s">
        <v>1489</v>
      </c>
    </row>
    <row r="63" spans="1:17" ht="36">
      <c r="A63" s="204" t="s">
        <v>1725</v>
      </c>
      <c r="B63" s="199" t="s">
        <v>1726</v>
      </c>
      <c r="C63" s="199" t="s">
        <v>1727</v>
      </c>
      <c r="D63" s="199" t="s">
        <v>1728</v>
      </c>
      <c r="E63" s="199" t="s">
        <v>1729</v>
      </c>
      <c r="F63" s="207">
        <v>3</v>
      </c>
      <c r="G63" s="199" t="s">
        <v>1237</v>
      </c>
      <c r="H63" s="199" t="s">
        <v>1483</v>
      </c>
      <c r="I63" s="210">
        <v>19</v>
      </c>
      <c r="J63" s="210">
        <v>59</v>
      </c>
      <c r="K63" s="199" t="s">
        <v>1484</v>
      </c>
      <c r="L63" s="199" t="s">
        <v>1485</v>
      </c>
      <c r="M63" s="199">
        <v>2024</v>
      </c>
      <c r="N63" s="199" t="s">
        <v>1486</v>
      </c>
      <c r="O63" s="199" t="s">
        <v>1662</v>
      </c>
      <c r="P63" s="199" t="s">
        <v>1488</v>
      </c>
      <c r="Q63" s="200" t="s">
        <v>1489</v>
      </c>
    </row>
    <row r="64" spans="1:17" ht="36">
      <c r="A64" s="204" t="s">
        <v>1730</v>
      </c>
      <c r="B64" s="199" t="s">
        <v>1731</v>
      </c>
      <c r="C64" s="199" t="s">
        <v>1727</v>
      </c>
      <c r="D64" s="199" t="s">
        <v>1732</v>
      </c>
      <c r="E64" s="199" t="s">
        <v>1733</v>
      </c>
      <c r="F64" s="207">
        <v>3.5</v>
      </c>
      <c r="G64" s="199" t="s">
        <v>1237</v>
      </c>
      <c r="H64" s="199" t="s">
        <v>1483</v>
      </c>
      <c r="I64" s="210">
        <v>19</v>
      </c>
      <c r="J64" s="210">
        <v>59</v>
      </c>
      <c r="K64" s="199" t="s">
        <v>1484</v>
      </c>
      <c r="L64" s="199" t="s">
        <v>1485</v>
      </c>
      <c r="M64" s="199">
        <v>2024</v>
      </c>
      <c r="N64" s="199" t="s">
        <v>1486</v>
      </c>
      <c r="O64" s="199" t="s">
        <v>1662</v>
      </c>
      <c r="P64" s="199" t="s">
        <v>1488</v>
      </c>
      <c r="Q64" s="200" t="s">
        <v>1489</v>
      </c>
    </row>
    <row r="65" spans="1:17" ht="36">
      <c r="A65" s="204" t="s">
        <v>1734</v>
      </c>
      <c r="B65" s="199" t="s">
        <v>1735</v>
      </c>
      <c r="C65" s="199" t="s">
        <v>1727</v>
      </c>
      <c r="D65" s="199" t="s">
        <v>1736</v>
      </c>
      <c r="E65" s="199" t="s">
        <v>1737</v>
      </c>
      <c r="F65" s="207">
        <v>3.8</v>
      </c>
      <c r="G65" s="199" t="s">
        <v>1237</v>
      </c>
      <c r="H65" s="199" t="s">
        <v>1483</v>
      </c>
      <c r="I65" s="210">
        <v>19</v>
      </c>
      <c r="J65" s="210">
        <v>59</v>
      </c>
      <c r="K65" s="199" t="s">
        <v>1484</v>
      </c>
      <c r="L65" s="199" t="s">
        <v>1485</v>
      </c>
      <c r="M65" s="199">
        <v>2024</v>
      </c>
      <c r="N65" s="199" t="s">
        <v>1486</v>
      </c>
      <c r="O65" s="199" t="s">
        <v>1662</v>
      </c>
      <c r="P65" s="199" t="s">
        <v>1488</v>
      </c>
      <c r="Q65" s="200" t="s">
        <v>1489</v>
      </c>
    </row>
    <row r="66" spans="1:17" ht="36">
      <c r="A66" s="204" t="s">
        <v>1738</v>
      </c>
      <c r="B66" s="199" t="s">
        <v>1739</v>
      </c>
      <c r="C66" s="199" t="s">
        <v>1727</v>
      </c>
      <c r="D66" s="199" t="s">
        <v>1740</v>
      </c>
      <c r="E66" s="199" t="s">
        <v>1741</v>
      </c>
      <c r="F66" s="207">
        <v>4.8</v>
      </c>
      <c r="G66" s="199" t="s">
        <v>1237</v>
      </c>
      <c r="H66" s="199" t="s">
        <v>1483</v>
      </c>
      <c r="I66" s="210">
        <v>19</v>
      </c>
      <c r="J66" s="210">
        <v>59</v>
      </c>
      <c r="K66" s="199" t="s">
        <v>1484</v>
      </c>
      <c r="L66" s="199" t="s">
        <v>1485</v>
      </c>
      <c r="M66" s="199">
        <v>2024</v>
      </c>
      <c r="N66" s="199" t="s">
        <v>1486</v>
      </c>
      <c r="O66" s="199" t="s">
        <v>1662</v>
      </c>
      <c r="P66" s="199" t="s">
        <v>1488</v>
      </c>
      <c r="Q66" s="200" t="s">
        <v>1489</v>
      </c>
    </row>
    <row r="67" spans="1:17" ht="36">
      <c r="A67" s="204" t="s">
        <v>1742</v>
      </c>
      <c r="B67" s="199" t="s">
        <v>1743</v>
      </c>
      <c r="C67" s="199" t="s">
        <v>1727</v>
      </c>
      <c r="D67" s="199" t="s">
        <v>1744</v>
      </c>
      <c r="E67" s="199" t="s">
        <v>1745</v>
      </c>
      <c r="F67" s="207">
        <v>5.8</v>
      </c>
      <c r="G67" s="199" t="s">
        <v>1237</v>
      </c>
      <c r="H67" s="199" t="s">
        <v>1483</v>
      </c>
      <c r="I67" s="210">
        <v>19</v>
      </c>
      <c r="J67" s="210">
        <v>59</v>
      </c>
      <c r="K67" s="199" t="s">
        <v>1484</v>
      </c>
      <c r="L67" s="199" t="s">
        <v>1485</v>
      </c>
      <c r="M67" s="199">
        <v>2024</v>
      </c>
      <c r="N67" s="199" t="s">
        <v>1486</v>
      </c>
      <c r="O67" s="199" t="s">
        <v>1662</v>
      </c>
      <c r="P67" s="199" t="s">
        <v>1488</v>
      </c>
      <c r="Q67" s="200" t="s">
        <v>1489</v>
      </c>
    </row>
    <row r="68" spans="1:17" ht="36">
      <c r="A68" s="204" t="s">
        <v>1746</v>
      </c>
      <c r="B68" s="199" t="s">
        <v>1747</v>
      </c>
      <c r="C68" s="199" t="s">
        <v>1748</v>
      </c>
      <c r="D68" s="199" t="s">
        <v>1749</v>
      </c>
      <c r="E68" s="199" t="s">
        <v>1750</v>
      </c>
      <c r="F68" s="207">
        <v>2.8</v>
      </c>
      <c r="G68" s="199" t="s">
        <v>1237</v>
      </c>
      <c r="H68" s="199" t="s">
        <v>1483</v>
      </c>
      <c r="I68" s="210">
        <v>19</v>
      </c>
      <c r="J68" s="210">
        <v>59</v>
      </c>
      <c r="K68" s="199" t="s">
        <v>1484</v>
      </c>
      <c r="L68" s="199" t="s">
        <v>1485</v>
      </c>
      <c r="M68" s="199">
        <v>2024</v>
      </c>
      <c r="N68" s="199" t="s">
        <v>1486</v>
      </c>
      <c r="O68" s="199" t="s">
        <v>1751</v>
      </c>
      <c r="P68" s="199" t="s">
        <v>1488</v>
      </c>
      <c r="Q68" s="200" t="s">
        <v>1489</v>
      </c>
    </row>
    <row r="69" spans="1:17" ht="36">
      <c r="A69" s="204" t="s">
        <v>1752</v>
      </c>
      <c r="B69" s="199" t="s">
        <v>1753</v>
      </c>
      <c r="C69" s="199" t="s">
        <v>1748</v>
      </c>
      <c r="D69" s="199" t="s">
        <v>1754</v>
      </c>
      <c r="E69" s="199" t="s">
        <v>1755</v>
      </c>
      <c r="F69" s="207">
        <v>3.8</v>
      </c>
      <c r="G69" s="199" t="s">
        <v>1237</v>
      </c>
      <c r="H69" s="199" t="s">
        <v>1483</v>
      </c>
      <c r="I69" s="210">
        <v>19</v>
      </c>
      <c r="J69" s="210">
        <v>59</v>
      </c>
      <c r="K69" s="199" t="s">
        <v>1484</v>
      </c>
      <c r="L69" s="199" t="s">
        <v>1485</v>
      </c>
      <c r="M69" s="199">
        <v>2024</v>
      </c>
      <c r="N69" s="199" t="s">
        <v>1486</v>
      </c>
      <c r="O69" s="199" t="s">
        <v>1751</v>
      </c>
      <c r="P69" s="199" t="s">
        <v>1488</v>
      </c>
      <c r="Q69" s="200" t="s">
        <v>1489</v>
      </c>
    </row>
    <row r="70" spans="1:17" ht="36">
      <c r="A70" s="204" t="s">
        <v>1756</v>
      </c>
      <c r="B70" s="199" t="s">
        <v>1757</v>
      </c>
      <c r="C70" s="199" t="s">
        <v>1748</v>
      </c>
      <c r="D70" s="199" t="s">
        <v>1758</v>
      </c>
      <c r="E70" s="199" t="s">
        <v>1759</v>
      </c>
      <c r="F70" s="207">
        <v>7.5</v>
      </c>
      <c r="G70" s="199" t="s">
        <v>1237</v>
      </c>
      <c r="H70" s="199" t="s">
        <v>1483</v>
      </c>
      <c r="I70" s="210">
        <v>19</v>
      </c>
      <c r="J70" s="210">
        <v>59</v>
      </c>
      <c r="K70" s="199" t="s">
        <v>1484</v>
      </c>
      <c r="L70" s="199" t="s">
        <v>1485</v>
      </c>
      <c r="M70" s="199">
        <v>2024</v>
      </c>
      <c r="N70" s="199" t="s">
        <v>1486</v>
      </c>
      <c r="O70" s="199" t="s">
        <v>1751</v>
      </c>
      <c r="P70" s="199" t="s">
        <v>1488</v>
      </c>
      <c r="Q70" s="200" t="s">
        <v>1489</v>
      </c>
    </row>
    <row r="71" spans="1:17" ht="36">
      <c r="A71" s="204" t="s">
        <v>1760</v>
      </c>
      <c r="B71" s="199" t="s">
        <v>1761</v>
      </c>
      <c r="C71" s="199" t="s">
        <v>1748</v>
      </c>
      <c r="D71" s="199" t="s">
        <v>1762</v>
      </c>
      <c r="E71" s="199" t="s">
        <v>1763</v>
      </c>
      <c r="F71" s="207">
        <v>5</v>
      </c>
      <c r="G71" s="199" t="s">
        <v>1237</v>
      </c>
      <c r="H71" s="199" t="s">
        <v>1483</v>
      </c>
      <c r="I71" s="210">
        <v>19</v>
      </c>
      <c r="J71" s="210">
        <v>59</v>
      </c>
      <c r="K71" s="199" t="s">
        <v>1484</v>
      </c>
      <c r="L71" s="199" t="s">
        <v>1485</v>
      </c>
      <c r="M71" s="199">
        <v>2024</v>
      </c>
      <c r="N71" s="199" t="s">
        <v>1486</v>
      </c>
      <c r="O71" s="199" t="s">
        <v>1751</v>
      </c>
      <c r="P71" s="199" t="s">
        <v>1488</v>
      </c>
      <c r="Q71" s="200" t="s">
        <v>1489</v>
      </c>
    </row>
    <row r="72" spans="1:17" ht="36">
      <c r="A72" s="204" t="s">
        <v>1764</v>
      </c>
      <c r="B72" s="199" t="s">
        <v>1765</v>
      </c>
      <c r="C72" s="199" t="s">
        <v>1748</v>
      </c>
      <c r="D72" s="199" t="s">
        <v>1766</v>
      </c>
      <c r="E72" s="199" t="s">
        <v>1767</v>
      </c>
      <c r="F72" s="207">
        <v>7.5</v>
      </c>
      <c r="G72" s="199" t="s">
        <v>1237</v>
      </c>
      <c r="H72" s="199" t="s">
        <v>1483</v>
      </c>
      <c r="I72" s="210">
        <v>19</v>
      </c>
      <c r="J72" s="210">
        <v>59</v>
      </c>
      <c r="K72" s="199" t="s">
        <v>1484</v>
      </c>
      <c r="L72" s="199" t="s">
        <v>1485</v>
      </c>
      <c r="M72" s="199">
        <v>2024</v>
      </c>
      <c r="N72" s="199" t="s">
        <v>1486</v>
      </c>
      <c r="O72" s="199" t="s">
        <v>1751</v>
      </c>
      <c r="P72" s="199" t="s">
        <v>1488</v>
      </c>
      <c r="Q72" s="200" t="s">
        <v>1489</v>
      </c>
    </row>
    <row r="73" spans="1:17" ht="36">
      <c r="A73" s="204" t="s">
        <v>1768</v>
      </c>
      <c r="B73" s="199" t="s">
        <v>1769</v>
      </c>
      <c r="C73" s="199" t="s">
        <v>1748</v>
      </c>
      <c r="D73" s="199" t="s">
        <v>1770</v>
      </c>
      <c r="E73" s="199" t="s">
        <v>1771</v>
      </c>
      <c r="F73" s="207">
        <v>6</v>
      </c>
      <c r="G73" s="199" t="s">
        <v>1237</v>
      </c>
      <c r="H73" s="199" t="s">
        <v>1483</v>
      </c>
      <c r="I73" s="210">
        <v>19</v>
      </c>
      <c r="J73" s="210">
        <v>59</v>
      </c>
      <c r="K73" s="199" t="s">
        <v>1484</v>
      </c>
      <c r="L73" s="199" t="s">
        <v>1485</v>
      </c>
      <c r="M73" s="199">
        <v>2024</v>
      </c>
      <c r="N73" s="199" t="s">
        <v>1486</v>
      </c>
      <c r="O73" s="199" t="s">
        <v>1751</v>
      </c>
      <c r="P73" s="199" t="s">
        <v>1488</v>
      </c>
      <c r="Q73" s="200" t="s">
        <v>1489</v>
      </c>
    </row>
    <row r="74" spans="1:17" ht="36">
      <c r="A74" s="204" t="s">
        <v>1772</v>
      </c>
      <c r="B74" s="199" t="s">
        <v>1773</v>
      </c>
      <c r="C74" s="199" t="s">
        <v>1748</v>
      </c>
      <c r="D74" s="199" t="s">
        <v>1774</v>
      </c>
      <c r="E74" s="199" t="s">
        <v>1775</v>
      </c>
      <c r="F74" s="207">
        <v>5</v>
      </c>
      <c r="G74" s="199" t="s">
        <v>1237</v>
      </c>
      <c r="H74" s="199" t="s">
        <v>1483</v>
      </c>
      <c r="I74" s="210">
        <v>19</v>
      </c>
      <c r="J74" s="210">
        <v>59</v>
      </c>
      <c r="K74" s="199" t="s">
        <v>1484</v>
      </c>
      <c r="L74" s="199" t="s">
        <v>1485</v>
      </c>
      <c r="M74" s="199">
        <v>2024</v>
      </c>
      <c r="N74" s="199" t="s">
        <v>1486</v>
      </c>
      <c r="O74" s="199" t="s">
        <v>1751</v>
      </c>
      <c r="P74" s="199" t="s">
        <v>1488</v>
      </c>
      <c r="Q74" s="200" t="s">
        <v>1489</v>
      </c>
    </row>
    <row r="75" spans="1:17" ht="36">
      <c r="A75" s="204" t="s">
        <v>1776</v>
      </c>
      <c r="B75" s="199" t="s">
        <v>1205</v>
      </c>
      <c r="C75" s="199" t="s">
        <v>1748</v>
      </c>
      <c r="D75" s="199" t="s">
        <v>1777</v>
      </c>
      <c r="E75" s="199" t="s">
        <v>1778</v>
      </c>
      <c r="F75" s="207">
        <v>3.5</v>
      </c>
      <c r="G75" s="199" t="s">
        <v>1237</v>
      </c>
      <c r="H75" s="199" t="s">
        <v>1483</v>
      </c>
      <c r="I75" s="210">
        <v>19</v>
      </c>
      <c r="J75" s="210">
        <v>59</v>
      </c>
      <c r="K75" s="199" t="s">
        <v>1484</v>
      </c>
      <c r="L75" s="199" t="s">
        <v>1485</v>
      </c>
      <c r="M75" s="199">
        <v>2024</v>
      </c>
      <c r="N75" s="199" t="s">
        <v>1486</v>
      </c>
      <c r="O75" s="199" t="s">
        <v>1751</v>
      </c>
      <c r="P75" s="199" t="s">
        <v>1488</v>
      </c>
      <c r="Q75" s="200" t="s">
        <v>1489</v>
      </c>
    </row>
    <row r="76" spans="1:17" ht="36">
      <c r="A76" s="204" t="s">
        <v>1779</v>
      </c>
      <c r="B76" s="199" t="s">
        <v>1780</v>
      </c>
      <c r="C76" s="199" t="s">
        <v>1748</v>
      </c>
      <c r="D76" s="199" t="s">
        <v>1781</v>
      </c>
      <c r="E76" s="199" t="s">
        <v>1782</v>
      </c>
      <c r="F76" s="207">
        <v>5.5</v>
      </c>
      <c r="G76" s="199" t="s">
        <v>1237</v>
      </c>
      <c r="H76" s="199" t="s">
        <v>1483</v>
      </c>
      <c r="I76" s="210">
        <v>19</v>
      </c>
      <c r="J76" s="210">
        <v>59</v>
      </c>
      <c r="K76" s="199" t="s">
        <v>1484</v>
      </c>
      <c r="L76" s="199" t="s">
        <v>1485</v>
      </c>
      <c r="M76" s="199">
        <v>2024</v>
      </c>
      <c r="N76" s="199" t="s">
        <v>1486</v>
      </c>
      <c r="O76" s="199" t="s">
        <v>1751</v>
      </c>
      <c r="P76" s="199" t="s">
        <v>1488</v>
      </c>
      <c r="Q76" s="200" t="s">
        <v>1489</v>
      </c>
    </row>
    <row r="77" spans="1:17" ht="36">
      <c r="A77" s="204" t="s">
        <v>1783</v>
      </c>
      <c r="B77" s="199" t="s">
        <v>1784</v>
      </c>
      <c r="C77" s="199" t="s">
        <v>1748</v>
      </c>
      <c r="D77" s="199" t="s">
        <v>1785</v>
      </c>
      <c r="E77" s="199" t="s">
        <v>1786</v>
      </c>
      <c r="F77" s="207">
        <v>5</v>
      </c>
      <c r="G77" s="199" t="s">
        <v>1237</v>
      </c>
      <c r="H77" s="199" t="s">
        <v>1483</v>
      </c>
      <c r="I77" s="210">
        <v>19</v>
      </c>
      <c r="J77" s="210">
        <v>59</v>
      </c>
      <c r="K77" s="199" t="s">
        <v>1484</v>
      </c>
      <c r="L77" s="199" t="s">
        <v>1485</v>
      </c>
      <c r="M77" s="199">
        <v>2024</v>
      </c>
      <c r="N77" s="199" t="s">
        <v>1486</v>
      </c>
      <c r="O77" s="199" t="s">
        <v>1751</v>
      </c>
      <c r="P77" s="199" t="s">
        <v>1488</v>
      </c>
      <c r="Q77" s="200" t="s">
        <v>1489</v>
      </c>
    </row>
    <row r="78" spans="1:17" ht="36">
      <c r="A78" s="204" t="s">
        <v>1787</v>
      </c>
      <c r="B78" s="199" t="s">
        <v>1788</v>
      </c>
      <c r="C78" s="199" t="s">
        <v>1748</v>
      </c>
      <c r="D78" s="199" t="s">
        <v>1789</v>
      </c>
      <c r="E78" s="199" t="s">
        <v>1790</v>
      </c>
      <c r="F78" s="207">
        <v>5</v>
      </c>
      <c r="G78" s="199" t="s">
        <v>1237</v>
      </c>
      <c r="H78" s="199" t="s">
        <v>1483</v>
      </c>
      <c r="I78" s="210">
        <v>19</v>
      </c>
      <c r="J78" s="210">
        <v>59</v>
      </c>
      <c r="K78" s="199" t="s">
        <v>1484</v>
      </c>
      <c r="L78" s="199" t="s">
        <v>1485</v>
      </c>
      <c r="M78" s="199">
        <v>2024</v>
      </c>
      <c r="N78" s="199" t="s">
        <v>1486</v>
      </c>
      <c r="O78" s="199" t="s">
        <v>1751</v>
      </c>
      <c r="P78" s="199" t="s">
        <v>1488</v>
      </c>
      <c r="Q78" s="200" t="s">
        <v>1489</v>
      </c>
    </row>
    <row r="79" spans="1:17" ht="36">
      <c r="A79" s="204" t="s">
        <v>1791</v>
      </c>
      <c r="B79" s="199" t="s">
        <v>1792</v>
      </c>
      <c r="C79" s="199" t="s">
        <v>1748</v>
      </c>
      <c r="D79" s="199" t="s">
        <v>1793</v>
      </c>
      <c r="E79" s="199" t="s">
        <v>1794</v>
      </c>
      <c r="F79" s="207">
        <v>7</v>
      </c>
      <c r="G79" s="199" t="s">
        <v>1237</v>
      </c>
      <c r="H79" s="199" t="s">
        <v>1483</v>
      </c>
      <c r="I79" s="210">
        <v>19</v>
      </c>
      <c r="J79" s="210">
        <v>59</v>
      </c>
      <c r="K79" s="199" t="s">
        <v>1484</v>
      </c>
      <c r="L79" s="199" t="s">
        <v>1485</v>
      </c>
      <c r="M79" s="199">
        <v>2024</v>
      </c>
      <c r="N79" s="199" t="s">
        <v>1486</v>
      </c>
      <c r="O79" s="199" t="s">
        <v>1751</v>
      </c>
      <c r="P79" s="199" t="s">
        <v>1488</v>
      </c>
      <c r="Q79" s="200" t="s">
        <v>1489</v>
      </c>
    </row>
    <row r="80" spans="1:17" ht="36">
      <c r="A80" s="204" t="s">
        <v>1795</v>
      </c>
      <c r="B80" s="199" t="s">
        <v>1796</v>
      </c>
      <c r="C80" s="199" t="s">
        <v>1748</v>
      </c>
      <c r="D80" s="199" t="s">
        <v>1797</v>
      </c>
      <c r="E80" s="199" t="s">
        <v>1798</v>
      </c>
      <c r="F80" s="207">
        <v>11</v>
      </c>
      <c r="G80" s="199" t="s">
        <v>1237</v>
      </c>
      <c r="H80" s="199" t="s">
        <v>1483</v>
      </c>
      <c r="I80" s="210">
        <v>19</v>
      </c>
      <c r="J80" s="210">
        <v>59</v>
      </c>
      <c r="K80" s="199" t="s">
        <v>1484</v>
      </c>
      <c r="L80" s="199" t="s">
        <v>1485</v>
      </c>
      <c r="M80" s="199">
        <v>2024</v>
      </c>
      <c r="N80" s="199" t="s">
        <v>1486</v>
      </c>
      <c r="O80" s="199" t="s">
        <v>1751</v>
      </c>
      <c r="P80" s="199" t="s">
        <v>1488</v>
      </c>
      <c r="Q80" s="200" t="s">
        <v>1489</v>
      </c>
    </row>
    <row r="81" spans="1:17" ht="36">
      <c r="A81" s="204" t="s">
        <v>1799</v>
      </c>
      <c r="B81" s="199" t="s">
        <v>1800</v>
      </c>
      <c r="C81" s="199" t="s">
        <v>1801</v>
      </c>
      <c r="D81" s="199" t="s">
        <v>1802</v>
      </c>
      <c r="E81" s="199" t="s">
        <v>1803</v>
      </c>
      <c r="F81" s="207">
        <v>2</v>
      </c>
      <c r="G81" s="199" t="s">
        <v>1237</v>
      </c>
      <c r="H81" s="199" t="s">
        <v>1483</v>
      </c>
      <c r="I81" s="210">
        <v>19</v>
      </c>
      <c r="J81" s="210">
        <v>59</v>
      </c>
      <c r="K81" s="199" t="s">
        <v>1484</v>
      </c>
      <c r="L81" s="199" t="s">
        <v>1485</v>
      </c>
      <c r="M81" s="199">
        <v>2024</v>
      </c>
      <c r="N81" s="199" t="s">
        <v>1486</v>
      </c>
      <c r="O81" s="199" t="s">
        <v>1804</v>
      </c>
      <c r="P81" s="199" t="s">
        <v>1488</v>
      </c>
      <c r="Q81" s="200" t="s">
        <v>1489</v>
      </c>
    </row>
    <row r="82" spans="1:17" ht="36">
      <c r="A82" s="204" t="s">
        <v>1805</v>
      </c>
      <c r="B82" s="199" t="s">
        <v>1806</v>
      </c>
      <c r="C82" s="199" t="s">
        <v>1801</v>
      </c>
      <c r="D82" s="199" t="s">
        <v>1807</v>
      </c>
      <c r="E82" s="199" t="s">
        <v>1808</v>
      </c>
      <c r="F82" s="207">
        <v>1.3</v>
      </c>
      <c r="G82" s="199" t="s">
        <v>1237</v>
      </c>
      <c r="H82" s="199" t="s">
        <v>1483</v>
      </c>
      <c r="I82" s="210">
        <v>19</v>
      </c>
      <c r="J82" s="210">
        <v>59</v>
      </c>
      <c r="K82" s="199" t="s">
        <v>1484</v>
      </c>
      <c r="L82" s="199" t="s">
        <v>1485</v>
      </c>
      <c r="M82" s="199">
        <v>2024</v>
      </c>
      <c r="N82" s="199" t="s">
        <v>1486</v>
      </c>
      <c r="O82" s="199" t="s">
        <v>1804</v>
      </c>
      <c r="P82" s="199" t="s">
        <v>1488</v>
      </c>
      <c r="Q82" s="200" t="s">
        <v>1489</v>
      </c>
    </row>
    <row r="83" spans="1:17" ht="36">
      <c r="A83" s="204" t="s">
        <v>1809</v>
      </c>
      <c r="B83" s="199" t="s">
        <v>1810</v>
      </c>
      <c r="C83" s="199" t="s">
        <v>1801</v>
      </c>
      <c r="D83" s="199" t="s">
        <v>1811</v>
      </c>
      <c r="E83" s="199" t="s">
        <v>1812</v>
      </c>
      <c r="F83" s="207">
        <v>1.3</v>
      </c>
      <c r="G83" s="199" t="s">
        <v>1237</v>
      </c>
      <c r="H83" s="199" t="s">
        <v>1483</v>
      </c>
      <c r="I83" s="210">
        <v>19</v>
      </c>
      <c r="J83" s="210">
        <v>59</v>
      </c>
      <c r="K83" s="199" t="s">
        <v>1484</v>
      </c>
      <c r="L83" s="199" t="s">
        <v>1485</v>
      </c>
      <c r="M83" s="199">
        <v>2024</v>
      </c>
      <c r="N83" s="199" t="s">
        <v>1486</v>
      </c>
      <c r="O83" s="199" t="s">
        <v>1804</v>
      </c>
      <c r="P83" s="199" t="s">
        <v>1488</v>
      </c>
      <c r="Q83" s="200" t="s">
        <v>1489</v>
      </c>
    </row>
    <row r="84" spans="1:17" ht="36">
      <c r="A84" s="204" t="s">
        <v>1813</v>
      </c>
      <c r="B84" s="199" t="s">
        <v>1814</v>
      </c>
      <c r="C84" s="199" t="s">
        <v>1801</v>
      </c>
      <c r="D84" s="199" t="s">
        <v>1815</v>
      </c>
      <c r="E84" s="199" t="s">
        <v>1816</v>
      </c>
      <c r="F84" s="207">
        <v>2.5</v>
      </c>
      <c r="G84" s="199" t="s">
        <v>1237</v>
      </c>
      <c r="H84" s="199" t="s">
        <v>1483</v>
      </c>
      <c r="I84" s="210">
        <v>19</v>
      </c>
      <c r="J84" s="210">
        <v>59</v>
      </c>
      <c r="K84" s="199" t="s">
        <v>1484</v>
      </c>
      <c r="L84" s="199" t="s">
        <v>1485</v>
      </c>
      <c r="M84" s="199">
        <v>2024</v>
      </c>
      <c r="N84" s="199" t="s">
        <v>1486</v>
      </c>
      <c r="O84" s="199" t="s">
        <v>1804</v>
      </c>
      <c r="P84" s="199" t="s">
        <v>1488</v>
      </c>
      <c r="Q84" s="200" t="s">
        <v>1489</v>
      </c>
    </row>
    <row r="85" spans="1:17" ht="36">
      <c r="A85" s="204" t="s">
        <v>1817</v>
      </c>
      <c r="B85" s="199" t="s">
        <v>1818</v>
      </c>
      <c r="C85" s="199" t="s">
        <v>1801</v>
      </c>
      <c r="D85" s="199" t="s">
        <v>1819</v>
      </c>
      <c r="E85" s="199" t="s">
        <v>1820</v>
      </c>
      <c r="F85" s="207">
        <v>3.5</v>
      </c>
      <c r="G85" s="199" t="s">
        <v>1237</v>
      </c>
      <c r="H85" s="199" t="s">
        <v>1483</v>
      </c>
      <c r="I85" s="210">
        <v>19</v>
      </c>
      <c r="J85" s="210">
        <v>59</v>
      </c>
      <c r="K85" s="199" t="s">
        <v>1484</v>
      </c>
      <c r="L85" s="199" t="s">
        <v>1485</v>
      </c>
      <c r="M85" s="199">
        <v>2024</v>
      </c>
      <c r="N85" s="199" t="s">
        <v>1486</v>
      </c>
      <c r="O85" s="199" t="s">
        <v>1804</v>
      </c>
      <c r="P85" s="199" t="s">
        <v>1488</v>
      </c>
      <c r="Q85" s="200" t="s">
        <v>1489</v>
      </c>
    </row>
    <row r="86" spans="1:17" ht="36">
      <c r="A86" s="204" t="s">
        <v>1821</v>
      </c>
      <c r="B86" s="199" t="s">
        <v>1822</v>
      </c>
      <c r="C86" s="199" t="s">
        <v>1801</v>
      </c>
      <c r="D86" s="199" t="s">
        <v>1823</v>
      </c>
      <c r="E86" s="199" t="s">
        <v>1824</v>
      </c>
      <c r="F86" s="207">
        <v>6.8</v>
      </c>
      <c r="G86" s="199" t="s">
        <v>1237</v>
      </c>
      <c r="H86" s="199" t="s">
        <v>1483</v>
      </c>
      <c r="I86" s="210">
        <v>19</v>
      </c>
      <c r="J86" s="210">
        <v>59</v>
      </c>
      <c r="K86" s="199" t="s">
        <v>1484</v>
      </c>
      <c r="L86" s="199" t="s">
        <v>1485</v>
      </c>
      <c r="M86" s="199">
        <v>2024</v>
      </c>
      <c r="N86" s="199" t="s">
        <v>1486</v>
      </c>
      <c r="O86" s="199" t="s">
        <v>1804</v>
      </c>
      <c r="P86" s="199" t="s">
        <v>1488</v>
      </c>
      <c r="Q86" s="200" t="s">
        <v>1489</v>
      </c>
    </row>
    <row r="87" spans="1:17" ht="36">
      <c r="A87" s="204" t="s">
        <v>1825</v>
      </c>
      <c r="B87" s="199" t="s">
        <v>1826</v>
      </c>
      <c r="C87" s="199" t="s">
        <v>1801</v>
      </c>
      <c r="D87" s="199" t="s">
        <v>1827</v>
      </c>
      <c r="E87" s="199" t="s">
        <v>1828</v>
      </c>
      <c r="F87" s="207">
        <v>6.8</v>
      </c>
      <c r="G87" s="199" t="s">
        <v>1237</v>
      </c>
      <c r="H87" s="199" t="s">
        <v>1483</v>
      </c>
      <c r="I87" s="210">
        <v>19</v>
      </c>
      <c r="J87" s="210">
        <v>59</v>
      </c>
      <c r="K87" s="199" t="s">
        <v>1484</v>
      </c>
      <c r="L87" s="199" t="s">
        <v>1485</v>
      </c>
      <c r="M87" s="199">
        <v>2024</v>
      </c>
      <c r="N87" s="199" t="s">
        <v>1486</v>
      </c>
      <c r="O87" s="199" t="s">
        <v>1804</v>
      </c>
      <c r="P87" s="199" t="s">
        <v>1488</v>
      </c>
      <c r="Q87" s="200" t="s">
        <v>1489</v>
      </c>
    </row>
    <row r="88" spans="1:17" ht="36">
      <c r="A88" s="204" t="s">
        <v>1829</v>
      </c>
      <c r="B88" s="199" t="s">
        <v>1830</v>
      </c>
      <c r="C88" s="199" t="s">
        <v>1831</v>
      </c>
      <c r="D88" s="199" t="s">
        <v>1832</v>
      </c>
      <c r="E88" s="199" t="s">
        <v>1833</v>
      </c>
      <c r="F88" s="207">
        <v>6</v>
      </c>
      <c r="G88" s="199" t="s">
        <v>1237</v>
      </c>
      <c r="H88" s="199" t="s">
        <v>1483</v>
      </c>
      <c r="I88" s="210">
        <v>19</v>
      </c>
      <c r="J88" s="210">
        <v>59</v>
      </c>
      <c r="K88" s="199" t="s">
        <v>1484</v>
      </c>
      <c r="L88" s="199" t="s">
        <v>1485</v>
      </c>
      <c r="M88" s="199">
        <v>2024</v>
      </c>
      <c r="N88" s="199" t="s">
        <v>1486</v>
      </c>
      <c r="O88" s="199" t="s">
        <v>1834</v>
      </c>
      <c r="P88" s="199" t="s">
        <v>1488</v>
      </c>
      <c r="Q88" s="200" t="s">
        <v>1489</v>
      </c>
    </row>
    <row r="89" spans="1:17" ht="36">
      <c r="A89" s="204" t="s">
        <v>1835</v>
      </c>
      <c r="B89" s="199" t="s">
        <v>1836</v>
      </c>
      <c r="C89" s="199" t="s">
        <v>1831</v>
      </c>
      <c r="D89" s="199" t="s">
        <v>1837</v>
      </c>
      <c r="E89" s="199" t="s">
        <v>1838</v>
      </c>
      <c r="F89" s="207">
        <v>7.5</v>
      </c>
      <c r="G89" s="199" t="s">
        <v>1237</v>
      </c>
      <c r="H89" s="199" t="s">
        <v>1483</v>
      </c>
      <c r="I89" s="210">
        <v>19</v>
      </c>
      <c r="J89" s="210">
        <v>59</v>
      </c>
      <c r="K89" s="199" t="s">
        <v>1484</v>
      </c>
      <c r="L89" s="199" t="s">
        <v>1485</v>
      </c>
      <c r="M89" s="199">
        <v>2024</v>
      </c>
      <c r="N89" s="199" t="s">
        <v>1486</v>
      </c>
      <c r="O89" s="199" t="s">
        <v>1834</v>
      </c>
      <c r="P89" s="199" t="s">
        <v>1488</v>
      </c>
      <c r="Q89" s="200" t="s">
        <v>1489</v>
      </c>
    </row>
    <row r="90" spans="1:17" ht="36">
      <c r="A90" s="204" t="s">
        <v>1839</v>
      </c>
      <c r="B90" s="199" t="s">
        <v>1840</v>
      </c>
      <c r="C90" s="199" t="s">
        <v>1831</v>
      </c>
      <c r="D90" s="199" t="s">
        <v>1841</v>
      </c>
      <c r="E90" s="199" t="s">
        <v>1842</v>
      </c>
      <c r="F90" s="207">
        <v>6.5</v>
      </c>
      <c r="G90" s="199" t="s">
        <v>1237</v>
      </c>
      <c r="H90" s="199" t="s">
        <v>1483</v>
      </c>
      <c r="I90" s="210">
        <v>19</v>
      </c>
      <c r="J90" s="210">
        <v>59</v>
      </c>
      <c r="K90" s="199" t="s">
        <v>1484</v>
      </c>
      <c r="L90" s="199" t="s">
        <v>1485</v>
      </c>
      <c r="M90" s="199">
        <v>2024</v>
      </c>
      <c r="N90" s="199" t="s">
        <v>1486</v>
      </c>
      <c r="O90" s="199" t="s">
        <v>1834</v>
      </c>
      <c r="P90" s="199" t="s">
        <v>1488</v>
      </c>
      <c r="Q90" s="200" t="s">
        <v>1489</v>
      </c>
    </row>
    <row r="91" spans="1:17" ht="36">
      <c r="A91" s="204" t="s">
        <v>1843</v>
      </c>
      <c r="B91" s="199" t="s">
        <v>1844</v>
      </c>
      <c r="C91" s="199" t="s">
        <v>1831</v>
      </c>
      <c r="D91" s="199" t="s">
        <v>1845</v>
      </c>
      <c r="E91" s="199" t="s">
        <v>1846</v>
      </c>
      <c r="F91" s="207">
        <v>8.5</v>
      </c>
      <c r="G91" s="199" t="s">
        <v>1237</v>
      </c>
      <c r="H91" s="199" t="s">
        <v>1483</v>
      </c>
      <c r="I91" s="210">
        <v>19</v>
      </c>
      <c r="J91" s="210">
        <v>59</v>
      </c>
      <c r="K91" s="199" t="s">
        <v>1484</v>
      </c>
      <c r="L91" s="199" t="s">
        <v>1485</v>
      </c>
      <c r="M91" s="199">
        <v>2024</v>
      </c>
      <c r="N91" s="199" t="s">
        <v>1486</v>
      </c>
      <c r="O91" s="199" t="s">
        <v>1834</v>
      </c>
      <c r="P91" s="199" t="s">
        <v>1488</v>
      </c>
      <c r="Q91" s="200" t="s">
        <v>1489</v>
      </c>
    </row>
    <row r="92" spans="1:17" ht="36">
      <c r="A92" s="204" t="s">
        <v>1847</v>
      </c>
      <c r="B92" s="199" t="s">
        <v>1848</v>
      </c>
      <c r="C92" s="199" t="s">
        <v>1831</v>
      </c>
      <c r="D92" s="199" t="s">
        <v>1849</v>
      </c>
      <c r="E92" s="199" t="s">
        <v>1850</v>
      </c>
      <c r="F92" s="207">
        <v>9.3000000000000007</v>
      </c>
      <c r="G92" s="199" t="s">
        <v>1237</v>
      </c>
      <c r="H92" s="199" t="s">
        <v>1483</v>
      </c>
      <c r="I92" s="210">
        <v>19</v>
      </c>
      <c r="J92" s="210">
        <v>59</v>
      </c>
      <c r="K92" s="199" t="s">
        <v>1484</v>
      </c>
      <c r="L92" s="199" t="s">
        <v>1485</v>
      </c>
      <c r="M92" s="199">
        <v>2024</v>
      </c>
      <c r="N92" s="199" t="s">
        <v>1486</v>
      </c>
      <c r="O92" s="199" t="s">
        <v>1834</v>
      </c>
      <c r="P92" s="199" t="s">
        <v>1488</v>
      </c>
      <c r="Q92" s="200" t="s">
        <v>1489</v>
      </c>
    </row>
    <row r="93" spans="1:17" ht="36">
      <c r="A93" s="204" t="s">
        <v>1851</v>
      </c>
      <c r="B93" s="199" t="s">
        <v>1852</v>
      </c>
      <c r="C93" s="199" t="s">
        <v>1831</v>
      </c>
      <c r="D93" s="199" t="s">
        <v>1853</v>
      </c>
      <c r="E93" s="199" t="s">
        <v>1854</v>
      </c>
      <c r="F93" s="207">
        <v>11</v>
      </c>
      <c r="G93" s="199" t="s">
        <v>1237</v>
      </c>
      <c r="H93" s="199" t="s">
        <v>1483</v>
      </c>
      <c r="I93" s="210">
        <v>19</v>
      </c>
      <c r="J93" s="210">
        <v>59</v>
      </c>
      <c r="K93" s="199" t="s">
        <v>1484</v>
      </c>
      <c r="L93" s="199" t="s">
        <v>1485</v>
      </c>
      <c r="M93" s="199">
        <v>2024</v>
      </c>
      <c r="N93" s="199" t="s">
        <v>1486</v>
      </c>
      <c r="O93" s="199" t="s">
        <v>1834</v>
      </c>
      <c r="P93" s="199" t="s">
        <v>1488</v>
      </c>
      <c r="Q93" s="200" t="s">
        <v>1489</v>
      </c>
    </row>
    <row r="94" spans="1:17" ht="36">
      <c r="A94" s="205" t="s">
        <v>1855</v>
      </c>
      <c r="B94" s="201" t="s">
        <v>1207</v>
      </c>
      <c r="C94" s="201" t="s">
        <v>1856</v>
      </c>
      <c r="D94" s="201" t="s">
        <v>1857</v>
      </c>
      <c r="E94" s="201" t="s">
        <v>1858</v>
      </c>
      <c r="F94" s="208">
        <v>0</v>
      </c>
      <c r="G94" s="201" t="s">
        <v>1237</v>
      </c>
      <c r="H94" s="201" t="s">
        <v>1483</v>
      </c>
      <c r="I94" s="211">
        <v>19</v>
      </c>
      <c r="J94" s="211">
        <v>59</v>
      </c>
      <c r="K94" s="201" t="s">
        <v>1484</v>
      </c>
      <c r="L94" s="201" t="s">
        <v>1485</v>
      </c>
      <c r="M94" s="201">
        <v>2024</v>
      </c>
      <c r="N94" s="201" t="s">
        <v>1486</v>
      </c>
      <c r="O94" s="201" t="s">
        <v>1859</v>
      </c>
      <c r="P94" s="201" t="s">
        <v>1488</v>
      </c>
      <c r="Q94" s="202" t="s">
        <v>1489</v>
      </c>
    </row>
  </sheetData>
  <sheetProtection algorithmName="SHA-512" hashValue="fZNptzJ07gFuY8UE1o+T6SFMZH8IkOWsVtaOcCuVkbks5E3Lnv/dRFWrA+V9hJCjS7fsrjIe/P07IqT6HT4W4g==" saltValue="lHMA0Hxjq9FopUYg9HIdwA==" spinCount="100000" sheet="1" objects="1" scenarios="1"/>
  <mergeCells count="1">
    <mergeCell ref="A1:Q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7"/>
  <sheetViews>
    <sheetView topLeftCell="A79" workbookViewId="0">
      <selection sqref="A1:Q1"/>
    </sheetView>
  </sheetViews>
  <sheetFormatPr baseColWidth="10" defaultColWidth="9.140625" defaultRowHeight="15"/>
  <cols>
    <col min="1" max="1" width="11" customWidth="1"/>
    <col min="2" max="2" width="42" customWidth="1"/>
    <col min="3" max="3" width="18" customWidth="1"/>
    <col min="4" max="4" width="52" customWidth="1"/>
    <col min="5" max="5" width="42" customWidth="1"/>
    <col min="6" max="6" width="9" customWidth="1"/>
    <col min="7" max="7" width="10" customWidth="1"/>
    <col min="8" max="8" width="32" customWidth="1"/>
    <col min="9" max="10" width="9" customWidth="1"/>
    <col min="11" max="11" width="34" customWidth="1"/>
    <col min="12" max="12" width="28" customWidth="1"/>
    <col min="13" max="13" width="9" customWidth="1"/>
    <col min="14" max="14" width="26" customWidth="1"/>
    <col min="15" max="15" width="40" customWidth="1"/>
    <col min="16" max="16" width="46" customWidth="1"/>
    <col min="17" max="17" width="26" customWidth="1"/>
  </cols>
  <sheetData>
    <row r="1" spans="1:19" ht="24" customHeight="1">
      <c r="A1" s="343" t="s">
        <v>1860</v>
      </c>
      <c r="B1" s="343"/>
      <c r="C1" s="343"/>
      <c r="D1" s="343"/>
      <c r="E1" s="343"/>
      <c r="F1" s="343"/>
      <c r="G1" s="343"/>
      <c r="H1" s="343"/>
      <c r="I1" s="343"/>
      <c r="J1" s="343"/>
      <c r="K1" s="343"/>
      <c r="L1" s="343"/>
      <c r="M1" s="343"/>
      <c r="N1" s="343"/>
      <c r="O1" s="343"/>
      <c r="P1" s="343"/>
      <c r="Q1" s="343"/>
      <c r="S1" t="s">
        <v>1467</v>
      </c>
    </row>
    <row r="2" spans="1:19" ht="33.950000000000003" customHeight="1">
      <c r="A2" s="194" t="s">
        <v>1195</v>
      </c>
      <c r="B2" s="195" t="s">
        <v>1468</v>
      </c>
      <c r="C2" s="195" t="s">
        <v>1469</v>
      </c>
      <c r="D2" s="195" t="s">
        <v>1470</v>
      </c>
      <c r="E2" s="195" t="s">
        <v>1471</v>
      </c>
      <c r="F2" s="195" t="s">
        <v>65</v>
      </c>
      <c r="G2" s="195" t="s">
        <v>66</v>
      </c>
      <c r="H2" s="195" t="s">
        <v>28</v>
      </c>
      <c r="I2" s="195" t="s">
        <v>1472</v>
      </c>
      <c r="J2" s="195" t="s">
        <v>1473</v>
      </c>
      <c r="K2" s="195" t="s">
        <v>1474</v>
      </c>
      <c r="L2" s="195" t="s">
        <v>1475</v>
      </c>
      <c r="M2" s="195" t="s">
        <v>348</v>
      </c>
      <c r="N2" s="195" t="s">
        <v>1476</v>
      </c>
      <c r="O2" s="195" t="s">
        <v>1477</v>
      </c>
      <c r="P2" s="195" t="s">
        <v>1478</v>
      </c>
      <c r="Q2" s="196" t="s">
        <v>1479</v>
      </c>
      <c r="S2" t="s">
        <v>1480</v>
      </c>
    </row>
    <row r="3" spans="1:19" ht="36">
      <c r="A3" s="203" t="s">
        <v>1861</v>
      </c>
      <c r="B3" s="197" t="s">
        <v>1862</v>
      </c>
      <c r="C3" s="197" t="s">
        <v>1863</v>
      </c>
      <c r="D3" s="197" t="s">
        <v>1864</v>
      </c>
      <c r="E3" s="197" t="s">
        <v>1865</v>
      </c>
      <c r="F3" s="206">
        <v>5.3</v>
      </c>
      <c r="G3" s="197" t="s">
        <v>1321</v>
      </c>
      <c r="H3" s="197" t="s">
        <v>1265</v>
      </c>
      <c r="I3" s="209">
        <v>60</v>
      </c>
      <c r="J3" s="209"/>
      <c r="K3" s="197" t="s">
        <v>1484</v>
      </c>
      <c r="L3" s="197" t="s">
        <v>1866</v>
      </c>
      <c r="M3" s="197">
        <v>2024</v>
      </c>
      <c r="N3" s="197" t="s">
        <v>1867</v>
      </c>
      <c r="O3" s="197" t="s">
        <v>1868</v>
      </c>
      <c r="P3" s="197" t="s">
        <v>1869</v>
      </c>
      <c r="Q3" s="198" t="s">
        <v>1489</v>
      </c>
    </row>
    <row r="4" spans="1:19" ht="36">
      <c r="A4" s="204" t="s">
        <v>1870</v>
      </c>
      <c r="B4" s="199" t="s">
        <v>1871</v>
      </c>
      <c r="C4" s="199" t="s">
        <v>1863</v>
      </c>
      <c r="D4" s="199" t="s">
        <v>1872</v>
      </c>
      <c r="E4" s="199" t="s">
        <v>1873</v>
      </c>
      <c r="F4" s="207">
        <v>4.3</v>
      </c>
      <c r="G4" s="199" t="s">
        <v>1321</v>
      </c>
      <c r="H4" s="199" t="s">
        <v>1265</v>
      </c>
      <c r="I4" s="210">
        <v>60</v>
      </c>
      <c r="J4" s="210"/>
      <c r="K4" s="199" t="s">
        <v>1484</v>
      </c>
      <c r="L4" s="199" t="s">
        <v>1866</v>
      </c>
      <c r="M4" s="199">
        <v>2024</v>
      </c>
      <c r="N4" s="199" t="s">
        <v>1867</v>
      </c>
      <c r="O4" s="199" t="s">
        <v>1868</v>
      </c>
      <c r="P4" s="199" t="s">
        <v>1869</v>
      </c>
      <c r="Q4" s="200" t="s">
        <v>1489</v>
      </c>
    </row>
    <row r="5" spans="1:19" ht="36">
      <c r="A5" s="204" t="s">
        <v>1874</v>
      </c>
      <c r="B5" s="199" t="s">
        <v>1875</v>
      </c>
      <c r="C5" s="199" t="s">
        <v>1863</v>
      </c>
      <c r="D5" s="199" t="s">
        <v>1876</v>
      </c>
      <c r="E5" s="199" t="s">
        <v>1877</v>
      </c>
      <c r="F5" s="207">
        <v>4.5</v>
      </c>
      <c r="G5" s="199" t="s">
        <v>1321</v>
      </c>
      <c r="H5" s="199" t="s">
        <v>1265</v>
      </c>
      <c r="I5" s="210">
        <v>60</v>
      </c>
      <c r="J5" s="210"/>
      <c r="K5" s="199" t="s">
        <v>1484</v>
      </c>
      <c r="L5" s="199" t="s">
        <v>1866</v>
      </c>
      <c r="M5" s="199">
        <v>2024</v>
      </c>
      <c r="N5" s="199" t="s">
        <v>1867</v>
      </c>
      <c r="O5" s="199" t="s">
        <v>1868</v>
      </c>
      <c r="P5" s="199" t="s">
        <v>1869</v>
      </c>
      <c r="Q5" s="200" t="s">
        <v>1489</v>
      </c>
    </row>
    <row r="6" spans="1:19" ht="36">
      <c r="A6" s="204" t="s">
        <v>1878</v>
      </c>
      <c r="B6" s="199" t="s">
        <v>1879</v>
      </c>
      <c r="C6" s="199" t="s">
        <v>1748</v>
      </c>
      <c r="D6" s="199" t="s">
        <v>1754</v>
      </c>
      <c r="E6" s="199" t="s">
        <v>1880</v>
      </c>
      <c r="F6" s="207">
        <v>3.5</v>
      </c>
      <c r="G6" s="199" t="s">
        <v>1321</v>
      </c>
      <c r="H6" s="199" t="s">
        <v>1265</v>
      </c>
      <c r="I6" s="210">
        <v>60</v>
      </c>
      <c r="J6" s="210"/>
      <c r="K6" s="199" t="s">
        <v>1484</v>
      </c>
      <c r="L6" s="199" t="s">
        <v>1866</v>
      </c>
      <c r="M6" s="199">
        <v>2024</v>
      </c>
      <c r="N6" s="199" t="s">
        <v>1867</v>
      </c>
      <c r="O6" s="199" t="s">
        <v>1868</v>
      </c>
      <c r="P6" s="199" t="s">
        <v>1869</v>
      </c>
      <c r="Q6" s="200" t="s">
        <v>1489</v>
      </c>
    </row>
    <row r="7" spans="1:19" ht="36">
      <c r="A7" s="204" t="s">
        <v>1881</v>
      </c>
      <c r="B7" s="199" t="s">
        <v>1882</v>
      </c>
      <c r="C7" s="199" t="s">
        <v>1748</v>
      </c>
      <c r="D7" s="199" t="s">
        <v>1883</v>
      </c>
      <c r="E7" s="199" t="s">
        <v>1884</v>
      </c>
      <c r="F7" s="207">
        <v>4.5</v>
      </c>
      <c r="G7" s="199" t="s">
        <v>1321</v>
      </c>
      <c r="H7" s="199" t="s">
        <v>1265</v>
      </c>
      <c r="I7" s="210">
        <v>60</v>
      </c>
      <c r="J7" s="210"/>
      <c r="K7" s="199" t="s">
        <v>1484</v>
      </c>
      <c r="L7" s="199" t="s">
        <v>1866</v>
      </c>
      <c r="M7" s="199">
        <v>2024</v>
      </c>
      <c r="N7" s="199" t="s">
        <v>1867</v>
      </c>
      <c r="O7" s="199" t="s">
        <v>1868</v>
      </c>
      <c r="P7" s="199" t="s">
        <v>1869</v>
      </c>
      <c r="Q7" s="200" t="s">
        <v>1489</v>
      </c>
    </row>
    <row r="8" spans="1:19" ht="36">
      <c r="A8" s="204" t="s">
        <v>1885</v>
      </c>
      <c r="B8" s="199" t="s">
        <v>1886</v>
      </c>
      <c r="C8" s="199" t="s">
        <v>1748</v>
      </c>
      <c r="D8" s="199" t="s">
        <v>1887</v>
      </c>
      <c r="E8" s="199" t="s">
        <v>1888</v>
      </c>
      <c r="F8" s="207">
        <v>3</v>
      </c>
      <c r="G8" s="199" t="s">
        <v>1321</v>
      </c>
      <c r="H8" s="199" t="s">
        <v>1265</v>
      </c>
      <c r="I8" s="210">
        <v>60</v>
      </c>
      <c r="J8" s="210"/>
      <c r="K8" s="199" t="s">
        <v>1484</v>
      </c>
      <c r="L8" s="199" t="s">
        <v>1866</v>
      </c>
      <c r="M8" s="199">
        <v>2024</v>
      </c>
      <c r="N8" s="199" t="s">
        <v>1867</v>
      </c>
      <c r="O8" s="199" t="s">
        <v>1868</v>
      </c>
      <c r="P8" s="199" t="s">
        <v>1869</v>
      </c>
      <c r="Q8" s="200" t="s">
        <v>1489</v>
      </c>
    </row>
    <row r="9" spans="1:19" ht="36">
      <c r="A9" s="204" t="s">
        <v>1889</v>
      </c>
      <c r="B9" s="199" t="s">
        <v>1890</v>
      </c>
      <c r="C9" s="199" t="s">
        <v>1748</v>
      </c>
      <c r="D9" s="199" t="s">
        <v>1891</v>
      </c>
      <c r="E9" s="199" t="s">
        <v>1892</v>
      </c>
      <c r="F9" s="207">
        <v>3</v>
      </c>
      <c r="G9" s="199" t="s">
        <v>1321</v>
      </c>
      <c r="H9" s="199" t="s">
        <v>1265</v>
      </c>
      <c r="I9" s="210">
        <v>60</v>
      </c>
      <c r="J9" s="210"/>
      <c r="K9" s="199" t="s">
        <v>1484</v>
      </c>
      <c r="L9" s="199" t="s">
        <v>1866</v>
      </c>
      <c r="M9" s="199">
        <v>2024</v>
      </c>
      <c r="N9" s="199" t="s">
        <v>1867</v>
      </c>
      <c r="O9" s="199" t="s">
        <v>1868</v>
      </c>
      <c r="P9" s="199" t="s">
        <v>1869</v>
      </c>
      <c r="Q9" s="200" t="s">
        <v>1489</v>
      </c>
    </row>
    <row r="10" spans="1:19" ht="36">
      <c r="A10" s="204" t="s">
        <v>1893</v>
      </c>
      <c r="B10" s="199" t="s">
        <v>1894</v>
      </c>
      <c r="C10" s="199" t="s">
        <v>1748</v>
      </c>
      <c r="D10" s="199" t="s">
        <v>1895</v>
      </c>
      <c r="E10" s="199" t="s">
        <v>1896</v>
      </c>
      <c r="F10" s="207">
        <v>2.2999999999999998</v>
      </c>
      <c r="G10" s="199" t="s">
        <v>1321</v>
      </c>
      <c r="H10" s="199" t="s">
        <v>1265</v>
      </c>
      <c r="I10" s="210">
        <v>60</v>
      </c>
      <c r="J10" s="210"/>
      <c r="K10" s="199" t="s">
        <v>1484</v>
      </c>
      <c r="L10" s="199" t="s">
        <v>1866</v>
      </c>
      <c r="M10" s="199">
        <v>2024</v>
      </c>
      <c r="N10" s="199" t="s">
        <v>1867</v>
      </c>
      <c r="O10" s="199" t="s">
        <v>1868</v>
      </c>
      <c r="P10" s="199" t="s">
        <v>1869</v>
      </c>
      <c r="Q10" s="200" t="s">
        <v>1489</v>
      </c>
    </row>
    <row r="11" spans="1:19" ht="36">
      <c r="A11" s="204" t="s">
        <v>1897</v>
      </c>
      <c r="B11" s="199" t="s">
        <v>1898</v>
      </c>
      <c r="C11" s="199" t="s">
        <v>1748</v>
      </c>
      <c r="D11" s="199" t="s">
        <v>1899</v>
      </c>
      <c r="E11" s="199" t="s">
        <v>1778</v>
      </c>
      <c r="F11" s="207">
        <v>4.3</v>
      </c>
      <c r="G11" s="199" t="s">
        <v>1321</v>
      </c>
      <c r="H11" s="199" t="s">
        <v>1265</v>
      </c>
      <c r="I11" s="210">
        <v>60</v>
      </c>
      <c r="J11" s="210"/>
      <c r="K11" s="199" t="s">
        <v>1484</v>
      </c>
      <c r="L11" s="199" t="s">
        <v>1866</v>
      </c>
      <c r="M11" s="199">
        <v>2024</v>
      </c>
      <c r="N11" s="199" t="s">
        <v>1867</v>
      </c>
      <c r="O11" s="199" t="s">
        <v>1868</v>
      </c>
      <c r="P11" s="199" t="s">
        <v>1869</v>
      </c>
      <c r="Q11" s="200" t="s">
        <v>1489</v>
      </c>
    </row>
    <row r="12" spans="1:19" ht="36">
      <c r="A12" s="204" t="s">
        <v>1900</v>
      </c>
      <c r="B12" s="199" t="s">
        <v>1901</v>
      </c>
      <c r="C12" s="199" t="s">
        <v>1748</v>
      </c>
      <c r="D12" s="199" t="s">
        <v>1902</v>
      </c>
      <c r="E12" s="199" t="s">
        <v>1903</v>
      </c>
      <c r="F12" s="207">
        <v>5</v>
      </c>
      <c r="G12" s="199" t="s">
        <v>1321</v>
      </c>
      <c r="H12" s="199" t="s">
        <v>1265</v>
      </c>
      <c r="I12" s="210">
        <v>60</v>
      </c>
      <c r="J12" s="210"/>
      <c r="K12" s="199" t="s">
        <v>1484</v>
      </c>
      <c r="L12" s="199" t="s">
        <v>1866</v>
      </c>
      <c r="M12" s="199">
        <v>2024</v>
      </c>
      <c r="N12" s="199" t="s">
        <v>1867</v>
      </c>
      <c r="O12" s="199" t="s">
        <v>1868</v>
      </c>
      <c r="P12" s="199" t="s">
        <v>1869</v>
      </c>
      <c r="Q12" s="200" t="s">
        <v>1489</v>
      </c>
    </row>
    <row r="13" spans="1:19" ht="36">
      <c r="A13" s="204" t="s">
        <v>1904</v>
      </c>
      <c r="B13" s="199" t="s">
        <v>1905</v>
      </c>
      <c r="C13" s="199" t="s">
        <v>1748</v>
      </c>
      <c r="D13" s="199" t="s">
        <v>1906</v>
      </c>
      <c r="E13" s="199" t="s">
        <v>1907</v>
      </c>
      <c r="F13" s="207">
        <v>3.8</v>
      </c>
      <c r="G13" s="199" t="s">
        <v>1321</v>
      </c>
      <c r="H13" s="199" t="s">
        <v>1265</v>
      </c>
      <c r="I13" s="210">
        <v>60</v>
      </c>
      <c r="J13" s="210"/>
      <c r="K13" s="199" t="s">
        <v>1484</v>
      </c>
      <c r="L13" s="199" t="s">
        <v>1866</v>
      </c>
      <c r="M13" s="199">
        <v>2024</v>
      </c>
      <c r="N13" s="199" t="s">
        <v>1867</v>
      </c>
      <c r="O13" s="199" t="s">
        <v>1868</v>
      </c>
      <c r="P13" s="199" t="s">
        <v>1869</v>
      </c>
      <c r="Q13" s="200" t="s">
        <v>1489</v>
      </c>
    </row>
    <row r="14" spans="1:19" ht="36">
      <c r="A14" s="204" t="s">
        <v>1908</v>
      </c>
      <c r="B14" s="199" t="s">
        <v>1909</v>
      </c>
      <c r="C14" s="199" t="s">
        <v>1748</v>
      </c>
      <c r="D14" s="199" t="s">
        <v>1910</v>
      </c>
      <c r="E14" s="199" t="s">
        <v>1911</v>
      </c>
      <c r="F14" s="207">
        <v>3.5</v>
      </c>
      <c r="G14" s="199" t="s">
        <v>1321</v>
      </c>
      <c r="H14" s="199" t="s">
        <v>1265</v>
      </c>
      <c r="I14" s="210">
        <v>60</v>
      </c>
      <c r="J14" s="210"/>
      <c r="K14" s="199" t="s">
        <v>1484</v>
      </c>
      <c r="L14" s="199" t="s">
        <v>1866</v>
      </c>
      <c r="M14" s="199">
        <v>2024</v>
      </c>
      <c r="N14" s="199" t="s">
        <v>1867</v>
      </c>
      <c r="O14" s="199" t="s">
        <v>1868</v>
      </c>
      <c r="P14" s="199" t="s">
        <v>1869</v>
      </c>
      <c r="Q14" s="200" t="s">
        <v>1489</v>
      </c>
    </row>
    <row r="15" spans="1:19" ht="36">
      <c r="A15" s="204" t="s">
        <v>1912</v>
      </c>
      <c r="B15" s="199" t="s">
        <v>1913</v>
      </c>
      <c r="C15" s="199" t="s">
        <v>1748</v>
      </c>
      <c r="D15" s="199" t="s">
        <v>1914</v>
      </c>
      <c r="E15" s="199" t="s">
        <v>1915</v>
      </c>
      <c r="F15" s="207">
        <v>2.5</v>
      </c>
      <c r="G15" s="199" t="s">
        <v>1321</v>
      </c>
      <c r="H15" s="199" t="s">
        <v>1265</v>
      </c>
      <c r="I15" s="210">
        <v>60</v>
      </c>
      <c r="J15" s="210"/>
      <c r="K15" s="199" t="s">
        <v>1484</v>
      </c>
      <c r="L15" s="199" t="s">
        <v>1866</v>
      </c>
      <c r="M15" s="199">
        <v>2024</v>
      </c>
      <c r="N15" s="199" t="s">
        <v>1867</v>
      </c>
      <c r="O15" s="199" t="s">
        <v>1868</v>
      </c>
      <c r="P15" s="199" t="s">
        <v>1869</v>
      </c>
      <c r="Q15" s="200" t="s">
        <v>1489</v>
      </c>
    </row>
    <row r="16" spans="1:19" ht="36">
      <c r="A16" s="204" t="s">
        <v>1916</v>
      </c>
      <c r="B16" s="199" t="s">
        <v>1917</v>
      </c>
      <c r="C16" s="199" t="s">
        <v>1748</v>
      </c>
      <c r="D16" s="199" t="s">
        <v>1918</v>
      </c>
      <c r="E16" s="199" t="s">
        <v>1919</v>
      </c>
      <c r="F16" s="207">
        <v>2.8</v>
      </c>
      <c r="G16" s="199" t="s">
        <v>1321</v>
      </c>
      <c r="H16" s="199" t="s">
        <v>1265</v>
      </c>
      <c r="I16" s="210">
        <v>60</v>
      </c>
      <c r="J16" s="210"/>
      <c r="K16" s="199" t="s">
        <v>1484</v>
      </c>
      <c r="L16" s="199" t="s">
        <v>1866</v>
      </c>
      <c r="M16" s="199">
        <v>2024</v>
      </c>
      <c r="N16" s="199" t="s">
        <v>1867</v>
      </c>
      <c r="O16" s="199" t="s">
        <v>1868</v>
      </c>
      <c r="P16" s="199" t="s">
        <v>1869</v>
      </c>
      <c r="Q16" s="200" t="s">
        <v>1489</v>
      </c>
    </row>
    <row r="17" spans="1:17" ht="36">
      <c r="A17" s="204" t="s">
        <v>1920</v>
      </c>
      <c r="B17" s="199" t="s">
        <v>1921</v>
      </c>
      <c r="C17" s="199" t="s">
        <v>1748</v>
      </c>
      <c r="D17" s="199" t="s">
        <v>1922</v>
      </c>
      <c r="E17" s="199" t="s">
        <v>1923</v>
      </c>
      <c r="F17" s="207">
        <v>3.8</v>
      </c>
      <c r="G17" s="199" t="s">
        <v>1321</v>
      </c>
      <c r="H17" s="199" t="s">
        <v>1265</v>
      </c>
      <c r="I17" s="210">
        <v>60</v>
      </c>
      <c r="J17" s="210"/>
      <c r="K17" s="199" t="s">
        <v>1484</v>
      </c>
      <c r="L17" s="199" t="s">
        <v>1866</v>
      </c>
      <c r="M17" s="199">
        <v>2024</v>
      </c>
      <c r="N17" s="199" t="s">
        <v>1867</v>
      </c>
      <c r="O17" s="199" t="s">
        <v>1868</v>
      </c>
      <c r="P17" s="199" t="s">
        <v>1869</v>
      </c>
      <c r="Q17" s="200" t="s">
        <v>1489</v>
      </c>
    </row>
    <row r="18" spans="1:17" ht="36">
      <c r="A18" s="204" t="s">
        <v>1924</v>
      </c>
      <c r="B18" s="199" t="s">
        <v>1925</v>
      </c>
      <c r="C18" s="199" t="s">
        <v>1748</v>
      </c>
      <c r="D18" s="199" t="s">
        <v>1926</v>
      </c>
      <c r="E18" s="199" t="s">
        <v>1927</v>
      </c>
      <c r="F18" s="207">
        <v>2.8</v>
      </c>
      <c r="G18" s="199" t="s">
        <v>1321</v>
      </c>
      <c r="H18" s="199" t="s">
        <v>1265</v>
      </c>
      <c r="I18" s="210">
        <v>60</v>
      </c>
      <c r="J18" s="210"/>
      <c r="K18" s="199" t="s">
        <v>1484</v>
      </c>
      <c r="L18" s="199" t="s">
        <v>1866</v>
      </c>
      <c r="M18" s="199">
        <v>2024</v>
      </c>
      <c r="N18" s="199" t="s">
        <v>1867</v>
      </c>
      <c r="O18" s="199" t="s">
        <v>1868</v>
      </c>
      <c r="P18" s="199" t="s">
        <v>1869</v>
      </c>
      <c r="Q18" s="200" t="s">
        <v>1489</v>
      </c>
    </row>
    <row r="19" spans="1:17" ht="36">
      <c r="A19" s="204" t="s">
        <v>1928</v>
      </c>
      <c r="B19" s="199" t="s">
        <v>1929</v>
      </c>
      <c r="C19" s="199" t="s">
        <v>1930</v>
      </c>
      <c r="D19" s="199" t="s">
        <v>1931</v>
      </c>
      <c r="E19" s="199" t="s">
        <v>1932</v>
      </c>
      <c r="F19" s="207">
        <v>6</v>
      </c>
      <c r="G19" s="199" t="s">
        <v>1321</v>
      </c>
      <c r="H19" s="199" t="s">
        <v>1265</v>
      </c>
      <c r="I19" s="210">
        <v>60</v>
      </c>
      <c r="J19" s="210"/>
      <c r="K19" s="199" t="s">
        <v>1484</v>
      </c>
      <c r="L19" s="199" t="s">
        <v>1866</v>
      </c>
      <c r="M19" s="199">
        <v>2024</v>
      </c>
      <c r="N19" s="199" t="s">
        <v>1867</v>
      </c>
      <c r="O19" s="199" t="s">
        <v>1868</v>
      </c>
      <c r="P19" s="199" t="s">
        <v>1869</v>
      </c>
      <c r="Q19" s="200" t="s">
        <v>1489</v>
      </c>
    </row>
    <row r="20" spans="1:17" ht="36">
      <c r="A20" s="204" t="s">
        <v>1933</v>
      </c>
      <c r="B20" s="199" t="s">
        <v>1934</v>
      </c>
      <c r="C20" s="199" t="s">
        <v>1930</v>
      </c>
      <c r="D20" s="199" t="s">
        <v>1935</v>
      </c>
      <c r="E20" s="199" t="s">
        <v>1936</v>
      </c>
      <c r="F20" s="207">
        <v>6.3</v>
      </c>
      <c r="G20" s="199" t="s">
        <v>1321</v>
      </c>
      <c r="H20" s="199" t="s">
        <v>1265</v>
      </c>
      <c r="I20" s="210">
        <v>60</v>
      </c>
      <c r="J20" s="210"/>
      <c r="K20" s="199" t="s">
        <v>1484</v>
      </c>
      <c r="L20" s="199" t="s">
        <v>1866</v>
      </c>
      <c r="M20" s="199">
        <v>2024</v>
      </c>
      <c r="N20" s="199" t="s">
        <v>1867</v>
      </c>
      <c r="O20" s="199" t="s">
        <v>1868</v>
      </c>
      <c r="P20" s="199" t="s">
        <v>1869</v>
      </c>
      <c r="Q20" s="200" t="s">
        <v>1489</v>
      </c>
    </row>
    <row r="21" spans="1:17" ht="36">
      <c r="A21" s="204" t="s">
        <v>1937</v>
      </c>
      <c r="B21" s="199" t="s">
        <v>1938</v>
      </c>
      <c r="C21" s="199" t="s">
        <v>1603</v>
      </c>
      <c r="D21" s="199" t="s">
        <v>1939</v>
      </c>
      <c r="E21" s="199" t="s">
        <v>1940</v>
      </c>
      <c r="F21" s="207">
        <v>4.3</v>
      </c>
      <c r="G21" s="199" t="s">
        <v>1321</v>
      </c>
      <c r="H21" s="199" t="s">
        <v>1265</v>
      </c>
      <c r="I21" s="210">
        <v>60</v>
      </c>
      <c r="J21" s="210"/>
      <c r="K21" s="199" t="s">
        <v>1484</v>
      </c>
      <c r="L21" s="199" t="s">
        <v>1866</v>
      </c>
      <c r="M21" s="199">
        <v>2024</v>
      </c>
      <c r="N21" s="199" t="s">
        <v>1867</v>
      </c>
      <c r="O21" s="199" t="s">
        <v>1868</v>
      </c>
      <c r="P21" s="199" t="s">
        <v>1869</v>
      </c>
      <c r="Q21" s="200" t="s">
        <v>1489</v>
      </c>
    </row>
    <row r="22" spans="1:17" ht="36">
      <c r="A22" s="204" t="s">
        <v>1941</v>
      </c>
      <c r="B22" s="199" t="s">
        <v>1942</v>
      </c>
      <c r="C22" s="199" t="s">
        <v>1603</v>
      </c>
      <c r="D22" s="199" t="s">
        <v>1943</v>
      </c>
      <c r="E22" s="199" t="s">
        <v>1944</v>
      </c>
      <c r="F22" s="207">
        <v>4.3</v>
      </c>
      <c r="G22" s="199" t="s">
        <v>1321</v>
      </c>
      <c r="H22" s="199" t="s">
        <v>1265</v>
      </c>
      <c r="I22" s="210">
        <v>60</v>
      </c>
      <c r="J22" s="210"/>
      <c r="K22" s="199" t="s">
        <v>1484</v>
      </c>
      <c r="L22" s="199" t="s">
        <v>1866</v>
      </c>
      <c r="M22" s="199">
        <v>2024</v>
      </c>
      <c r="N22" s="199" t="s">
        <v>1867</v>
      </c>
      <c r="O22" s="199" t="s">
        <v>1868</v>
      </c>
      <c r="P22" s="199" t="s">
        <v>1869</v>
      </c>
      <c r="Q22" s="200" t="s">
        <v>1489</v>
      </c>
    </row>
    <row r="23" spans="1:17" ht="36">
      <c r="A23" s="204" t="s">
        <v>1945</v>
      </c>
      <c r="B23" s="199" t="s">
        <v>1946</v>
      </c>
      <c r="C23" s="199" t="s">
        <v>1603</v>
      </c>
      <c r="D23" s="199" t="s">
        <v>1947</v>
      </c>
      <c r="E23" s="199" t="s">
        <v>1948</v>
      </c>
      <c r="F23" s="207">
        <v>3.5</v>
      </c>
      <c r="G23" s="199" t="s">
        <v>1321</v>
      </c>
      <c r="H23" s="199" t="s">
        <v>1265</v>
      </c>
      <c r="I23" s="210">
        <v>60</v>
      </c>
      <c r="J23" s="210"/>
      <c r="K23" s="199" t="s">
        <v>1484</v>
      </c>
      <c r="L23" s="199" t="s">
        <v>1866</v>
      </c>
      <c r="M23" s="199">
        <v>2024</v>
      </c>
      <c r="N23" s="199" t="s">
        <v>1867</v>
      </c>
      <c r="O23" s="199" t="s">
        <v>1868</v>
      </c>
      <c r="P23" s="199" t="s">
        <v>1869</v>
      </c>
      <c r="Q23" s="200" t="s">
        <v>1489</v>
      </c>
    </row>
    <row r="24" spans="1:17" ht="36">
      <c r="A24" s="204" t="s">
        <v>1949</v>
      </c>
      <c r="B24" s="199" t="s">
        <v>1950</v>
      </c>
      <c r="C24" s="199" t="s">
        <v>1603</v>
      </c>
      <c r="D24" s="199" t="s">
        <v>1951</v>
      </c>
      <c r="E24" s="199" t="s">
        <v>1952</v>
      </c>
      <c r="F24" s="207">
        <v>3</v>
      </c>
      <c r="G24" s="199" t="s">
        <v>1321</v>
      </c>
      <c r="H24" s="199" t="s">
        <v>1265</v>
      </c>
      <c r="I24" s="210">
        <v>60</v>
      </c>
      <c r="J24" s="210"/>
      <c r="K24" s="199" t="s">
        <v>1484</v>
      </c>
      <c r="L24" s="199" t="s">
        <v>1866</v>
      </c>
      <c r="M24" s="199">
        <v>2024</v>
      </c>
      <c r="N24" s="199" t="s">
        <v>1867</v>
      </c>
      <c r="O24" s="199" t="s">
        <v>1868</v>
      </c>
      <c r="P24" s="199" t="s">
        <v>1869</v>
      </c>
      <c r="Q24" s="200" t="s">
        <v>1489</v>
      </c>
    </row>
    <row r="25" spans="1:17" ht="36">
      <c r="A25" s="204" t="s">
        <v>1953</v>
      </c>
      <c r="B25" s="199" t="s">
        <v>1954</v>
      </c>
      <c r="C25" s="199" t="s">
        <v>1603</v>
      </c>
      <c r="D25" s="199" t="s">
        <v>1955</v>
      </c>
      <c r="E25" s="199" t="s">
        <v>1956</v>
      </c>
      <c r="F25" s="207">
        <v>4</v>
      </c>
      <c r="G25" s="199" t="s">
        <v>1321</v>
      </c>
      <c r="H25" s="199" t="s">
        <v>1265</v>
      </c>
      <c r="I25" s="210">
        <v>60</v>
      </c>
      <c r="J25" s="210"/>
      <c r="K25" s="199" t="s">
        <v>1484</v>
      </c>
      <c r="L25" s="199" t="s">
        <v>1866</v>
      </c>
      <c r="M25" s="199">
        <v>2024</v>
      </c>
      <c r="N25" s="199" t="s">
        <v>1867</v>
      </c>
      <c r="O25" s="199" t="s">
        <v>1868</v>
      </c>
      <c r="P25" s="199" t="s">
        <v>1869</v>
      </c>
      <c r="Q25" s="200" t="s">
        <v>1489</v>
      </c>
    </row>
    <row r="26" spans="1:17" ht="36">
      <c r="A26" s="204" t="s">
        <v>1957</v>
      </c>
      <c r="B26" s="199" t="s">
        <v>1958</v>
      </c>
      <c r="C26" s="199" t="s">
        <v>1603</v>
      </c>
      <c r="D26" s="199" t="s">
        <v>1959</v>
      </c>
      <c r="E26" s="199" t="s">
        <v>1960</v>
      </c>
      <c r="F26" s="207">
        <v>4.5</v>
      </c>
      <c r="G26" s="199" t="s">
        <v>1321</v>
      </c>
      <c r="H26" s="199" t="s">
        <v>1265</v>
      </c>
      <c r="I26" s="210">
        <v>60</v>
      </c>
      <c r="J26" s="210"/>
      <c r="K26" s="199" t="s">
        <v>1484</v>
      </c>
      <c r="L26" s="199" t="s">
        <v>1866</v>
      </c>
      <c r="M26" s="199">
        <v>2024</v>
      </c>
      <c r="N26" s="199" t="s">
        <v>1867</v>
      </c>
      <c r="O26" s="199" t="s">
        <v>1868</v>
      </c>
      <c r="P26" s="199" t="s">
        <v>1869</v>
      </c>
      <c r="Q26" s="200" t="s">
        <v>1489</v>
      </c>
    </row>
    <row r="27" spans="1:17" ht="36">
      <c r="A27" s="204" t="s">
        <v>1961</v>
      </c>
      <c r="B27" s="199" t="s">
        <v>1962</v>
      </c>
      <c r="C27" s="199" t="s">
        <v>1603</v>
      </c>
      <c r="D27" s="199" t="s">
        <v>1609</v>
      </c>
      <c r="E27" s="199" t="s">
        <v>1610</v>
      </c>
      <c r="F27" s="207">
        <v>2.5</v>
      </c>
      <c r="G27" s="199" t="s">
        <v>1321</v>
      </c>
      <c r="H27" s="199" t="s">
        <v>1265</v>
      </c>
      <c r="I27" s="210">
        <v>60</v>
      </c>
      <c r="J27" s="210"/>
      <c r="K27" s="199" t="s">
        <v>1484</v>
      </c>
      <c r="L27" s="199" t="s">
        <v>1866</v>
      </c>
      <c r="M27" s="199">
        <v>2024</v>
      </c>
      <c r="N27" s="199" t="s">
        <v>1867</v>
      </c>
      <c r="O27" s="199" t="s">
        <v>1868</v>
      </c>
      <c r="P27" s="199" t="s">
        <v>1869</v>
      </c>
      <c r="Q27" s="200" t="s">
        <v>1489</v>
      </c>
    </row>
    <row r="28" spans="1:17" ht="36">
      <c r="A28" s="204" t="s">
        <v>1963</v>
      </c>
      <c r="B28" s="199" t="s">
        <v>1964</v>
      </c>
      <c r="C28" s="199" t="s">
        <v>1603</v>
      </c>
      <c r="D28" s="199" t="s">
        <v>1965</v>
      </c>
      <c r="E28" s="199" t="s">
        <v>1966</v>
      </c>
      <c r="F28" s="207">
        <v>4.3</v>
      </c>
      <c r="G28" s="199" t="s">
        <v>1321</v>
      </c>
      <c r="H28" s="199" t="s">
        <v>1265</v>
      </c>
      <c r="I28" s="210">
        <v>60</v>
      </c>
      <c r="J28" s="210"/>
      <c r="K28" s="199" t="s">
        <v>1484</v>
      </c>
      <c r="L28" s="199" t="s">
        <v>1866</v>
      </c>
      <c r="M28" s="199">
        <v>2024</v>
      </c>
      <c r="N28" s="199" t="s">
        <v>1867</v>
      </c>
      <c r="O28" s="199" t="s">
        <v>1868</v>
      </c>
      <c r="P28" s="199" t="s">
        <v>1869</v>
      </c>
      <c r="Q28" s="200" t="s">
        <v>1489</v>
      </c>
    </row>
    <row r="29" spans="1:17" ht="36">
      <c r="A29" s="204" t="s">
        <v>1967</v>
      </c>
      <c r="B29" s="199" t="s">
        <v>1968</v>
      </c>
      <c r="C29" s="199" t="s">
        <v>1603</v>
      </c>
      <c r="D29" s="199" t="s">
        <v>1969</v>
      </c>
      <c r="E29" s="199" t="s">
        <v>1970</v>
      </c>
      <c r="F29" s="207">
        <v>2.8</v>
      </c>
      <c r="G29" s="199" t="s">
        <v>1321</v>
      </c>
      <c r="H29" s="199" t="s">
        <v>1265</v>
      </c>
      <c r="I29" s="210">
        <v>60</v>
      </c>
      <c r="J29" s="210"/>
      <c r="K29" s="199" t="s">
        <v>1484</v>
      </c>
      <c r="L29" s="199" t="s">
        <v>1866</v>
      </c>
      <c r="M29" s="199">
        <v>2024</v>
      </c>
      <c r="N29" s="199" t="s">
        <v>1867</v>
      </c>
      <c r="O29" s="199" t="s">
        <v>1868</v>
      </c>
      <c r="P29" s="199" t="s">
        <v>1869</v>
      </c>
      <c r="Q29" s="200" t="s">
        <v>1489</v>
      </c>
    </row>
    <row r="30" spans="1:17" ht="36">
      <c r="A30" s="204" t="s">
        <v>1971</v>
      </c>
      <c r="B30" s="199" t="s">
        <v>1972</v>
      </c>
      <c r="C30" s="199" t="s">
        <v>1603</v>
      </c>
      <c r="D30" s="199" t="s">
        <v>1973</v>
      </c>
      <c r="E30" s="199" t="s">
        <v>1974</v>
      </c>
      <c r="F30" s="207">
        <v>3</v>
      </c>
      <c r="G30" s="199" t="s">
        <v>1321</v>
      </c>
      <c r="H30" s="199" t="s">
        <v>1265</v>
      </c>
      <c r="I30" s="210">
        <v>60</v>
      </c>
      <c r="J30" s="210"/>
      <c r="K30" s="199" t="s">
        <v>1484</v>
      </c>
      <c r="L30" s="199" t="s">
        <v>1866</v>
      </c>
      <c r="M30" s="199">
        <v>2024</v>
      </c>
      <c r="N30" s="199" t="s">
        <v>1867</v>
      </c>
      <c r="O30" s="199" t="s">
        <v>1868</v>
      </c>
      <c r="P30" s="199" t="s">
        <v>1869</v>
      </c>
      <c r="Q30" s="200" t="s">
        <v>1489</v>
      </c>
    </row>
    <row r="31" spans="1:17" ht="36">
      <c r="A31" s="204" t="s">
        <v>1975</v>
      </c>
      <c r="B31" s="199" t="s">
        <v>1976</v>
      </c>
      <c r="C31" s="199" t="s">
        <v>1603</v>
      </c>
      <c r="D31" s="199" t="s">
        <v>1977</v>
      </c>
      <c r="E31" s="199" t="s">
        <v>1978</v>
      </c>
      <c r="F31" s="207">
        <v>3.8</v>
      </c>
      <c r="G31" s="199" t="s">
        <v>1321</v>
      </c>
      <c r="H31" s="199" t="s">
        <v>1265</v>
      </c>
      <c r="I31" s="210">
        <v>60</v>
      </c>
      <c r="J31" s="210"/>
      <c r="K31" s="199" t="s">
        <v>1484</v>
      </c>
      <c r="L31" s="199" t="s">
        <v>1866</v>
      </c>
      <c r="M31" s="199">
        <v>2024</v>
      </c>
      <c r="N31" s="199" t="s">
        <v>1867</v>
      </c>
      <c r="O31" s="199" t="s">
        <v>1868</v>
      </c>
      <c r="P31" s="199" t="s">
        <v>1869</v>
      </c>
      <c r="Q31" s="200" t="s">
        <v>1489</v>
      </c>
    </row>
    <row r="32" spans="1:17" ht="36">
      <c r="A32" s="204" t="s">
        <v>1979</v>
      </c>
      <c r="B32" s="199" t="s">
        <v>1980</v>
      </c>
      <c r="C32" s="199" t="s">
        <v>1603</v>
      </c>
      <c r="D32" s="199" t="s">
        <v>1633</v>
      </c>
      <c r="E32" s="199" t="s">
        <v>1634</v>
      </c>
      <c r="F32" s="207">
        <v>2.8</v>
      </c>
      <c r="G32" s="199" t="s">
        <v>1321</v>
      </c>
      <c r="H32" s="199" t="s">
        <v>1265</v>
      </c>
      <c r="I32" s="210">
        <v>60</v>
      </c>
      <c r="J32" s="210"/>
      <c r="K32" s="199" t="s">
        <v>1484</v>
      </c>
      <c r="L32" s="199" t="s">
        <v>1866</v>
      </c>
      <c r="M32" s="199">
        <v>2024</v>
      </c>
      <c r="N32" s="199" t="s">
        <v>1867</v>
      </c>
      <c r="O32" s="199" t="s">
        <v>1868</v>
      </c>
      <c r="P32" s="199" t="s">
        <v>1869</v>
      </c>
      <c r="Q32" s="200" t="s">
        <v>1489</v>
      </c>
    </row>
    <row r="33" spans="1:17" ht="36">
      <c r="A33" s="204" t="s">
        <v>1981</v>
      </c>
      <c r="B33" s="199" t="s">
        <v>1982</v>
      </c>
      <c r="C33" s="199" t="s">
        <v>1603</v>
      </c>
      <c r="D33" s="199" t="s">
        <v>1983</v>
      </c>
      <c r="E33" s="199" t="s">
        <v>1984</v>
      </c>
      <c r="F33" s="207">
        <v>2</v>
      </c>
      <c r="G33" s="199" t="s">
        <v>1321</v>
      </c>
      <c r="H33" s="199" t="s">
        <v>1265</v>
      </c>
      <c r="I33" s="210">
        <v>60</v>
      </c>
      <c r="J33" s="210"/>
      <c r="K33" s="199" t="s">
        <v>1484</v>
      </c>
      <c r="L33" s="199" t="s">
        <v>1866</v>
      </c>
      <c r="M33" s="199">
        <v>2024</v>
      </c>
      <c r="N33" s="199" t="s">
        <v>1867</v>
      </c>
      <c r="O33" s="199" t="s">
        <v>1868</v>
      </c>
      <c r="P33" s="199" t="s">
        <v>1869</v>
      </c>
      <c r="Q33" s="200" t="s">
        <v>1489</v>
      </c>
    </row>
    <row r="34" spans="1:17" ht="36">
      <c r="A34" s="204" t="s">
        <v>1985</v>
      </c>
      <c r="B34" s="199" t="s">
        <v>1986</v>
      </c>
      <c r="C34" s="199" t="s">
        <v>1603</v>
      </c>
      <c r="D34" s="199" t="s">
        <v>1987</v>
      </c>
      <c r="E34" s="199" t="s">
        <v>1988</v>
      </c>
      <c r="F34" s="207">
        <v>3.5</v>
      </c>
      <c r="G34" s="199" t="s">
        <v>1321</v>
      </c>
      <c r="H34" s="199" t="s">
        <v>1265</v>
      </c>
      <c r="I34" s="210">
        <v>60</v>
      </c>
      <c r="J34" s="210"/>
      <c r="K34" s="199" t="s">
        <v>1484</v>
      </c>
      <c r="L34" s="199" t="s">
        <v>1866</v>
      </c>
      <c r="M34" s="199">
        <v>2024</v>
      </c>
      <c r="N34" s="199" t="s">
        <v>1867</v>
      </c>
      <c r="O34" s="199" t="s">
        <v>1868</v>
      </c>
      <c r="P34" s="199" t="s">
        <v>1869</v>
      </c>
      <c r="Q34" s="200" t="s">
        <v>1489</v>
      </c>
    </row>
    <row r="35" spans="1:17" ht="36">
      <c r="A35" s="204" t="s">
        <v>1989</v>
      </c>
      <c r="B35" s="199" t="s">
        <v>1990</v>
      </c>
      <c r="C35" s="199" t="s">
        <v>1603</v>
      </c>
      <c r="D35" s="199" t="s">
        <v>1641</v>
      </c>
      <c r="E35" s="199" t="s">
        <v>1991</v>
      </c>
      <c r="F35" s="207">
        <v>4</v>
      </c>
      <c r="G35" s="199" t="s">
        <v>1321</v>
      </c>
      <c r="H35" s="199" t="s">
        <v>1265</v>
      </c>
      <c r="I35" s="210">
        <v>60</v>
      </c>
      <c r="J35" s="210"/>
      <c r="K35" s="199" t="s">
        <v>1484</v>
      </c>
      <c r="L35" s="199" t="s">
        <v>1866</v>
      </c>
      <c r="M35" s="199">
        <v>2024</v>
      </c>
      <c r="N35" s="199" t="s">
        <v>1867</v>
      </c>
      <c r="O35" s="199" t="s">
        <v>1868</v>
      </c>
      <c r="P35" s="199" t="s">
        <v>1869</v>
      </c>
      <c r="Q35" s="200" t="s">
        <v>1489</v>
      </c>
    </row>
    <row r="36" spans="1:17" ht="36">
      <c r="A36" s="204" t="s">
        <v>1992</v>
      </c>
      <c r="B36" s="199" t="s">
        <v>1993</v>
      </c>
      <c r="C36" s="199" t="s">
        <v>1603</v>
      </c>
      <c r="D36" s="199" t="s">
        <v>1645</v>
      </c>
      <c r="E36" s="199" t="s">
        <v>1646</v>
      </c>
      <c r="F36" s="207">
        <v>5</v>
      </c>
      <c r="G36" s="199" t="s">
        <v>1321</v>
      </c>
      <c r="H36" s="199" t="s">
        <v>1265</v>
      </c>
      <c r="I36" s="210">
        <v>60</v>
      </c>
      <c r="J36" s="210"/>
      <c r="K36" s="199" t="s">
        <v>1484</v>
      </c>
      <c r="L36" s="199" t="s">
        <v>1866</v>
      </c>
      <c r="M36" s="199">
        <v>2024</v>
      </c>
      <c r="N36" s="199" t="s">
        <v>1867</v>
      </c>
      <c r="O36" s="199" t="s">
        <v>1868</v>
      </c>
      <c r="P36" s="199" t="s">
        <v>1869</v>
      </c>
      <c r="Q36" s="200" t="s">
        <v>1489</v>
      </c>
    </row>
    <row r="37" spans="1:17" ht="36">
      <c r="A37" s="204" t="s">
        <v>1994</v>
      </c>
      <c r="B37" s="199" t="s">
        <v>1995</v>
      </c>
      <c r="C37" s="199" t="s">
        <v>1996</v>
      </c>
      <c r="D37" s="199" t="s">
        <v>1997</v>
      </c>
      <c r="E37" s="199" t="s">
        <v>1998</v>
      </c>
      <c r="F37" s="207">
        <v>4</v>
      </c>
      <c r="G37" s="199" t="s">
        <v>1321</v>
      </c>
      <c r="H37" s="199" t="s">
        <v>1265</v>
      </c>
      <c r="I37" s="210">
        <v>60</v>
      </c>
      <c r="J37" s="210"/>
      <c r="K37" s="199" t="s">
        <v>1484</v>
      </c>
      <c r="L37" s="199" t="s">
        <v>1866</v>
      </c>
      <c r="M37" s="199">
        <v>2024</v>
      </c>
      <c r="N37" s="199" t="s">
        <v>1867</v>
      </c>
      <c r="O37" s="199" t="s">
        <v>1868</v>
      </c>
      <c r="P37" s="199" t="s">
        <v>1869</v>
      </c>
      <c r="Q37" s="200" t="s">
        <v>1489</v>
      </c>
    </row>
    <row r="38" spans="1:17" ht="36">
      <c r="A38" s="204" t="s">
        <v>1999</v>
      </c>
      <c r="B38" s="199" t="s">
        <v>2000</v>
      </c>
      <c r="C38" s="199" t="s">
        <v>1481</v>
      </c>
      <c r="D38" s="199" t="s">
        <v>2001</v>
      </c>
      <c r="E38" s="199" t="s">
        <v>2002</v>
      </c>
      <c r="F38" s="207">
        <v>1.3</v>
      </c>
      <c r="G38" s="199" t="s">
        <v>1321</v>
      </c>
      <c r="H38" s="199" t="s">
        <v>1265</v>
      </c>
      <c r="I38" s="210">
        <v>60</v>
      </c>
      <c r="J38" s="210"/>
      <c r="K38" s="199" t="s">
        <v>1484</v>
      </c>
      <c r="L38" s="199" t="s">
        <v>1866</v>
      </c>
      <c r="M38" s="199">
        <v>2024</v>
      </c>
      <c r="N38" s="199" t="s">
        <v>1867</v>
      </c>
      <c r="O38" s="199" t="s">
        <v>1868</v>
      </c>
      <c r="P38" s="199" t="s">
        <v>1869</v>
      </c>
      <c r="Q38" s="200" t="s">
        <v>1489</v>
      </c>
    </row>
    <row r="39" spans="1:17" ht="36">
      <c r="A39" s="204" t="s">
        <v>2003</v>
      </c>
      <c r="B39" s="199" t="s">
        <v>2004</v>
      </c>
      <c r="C39" s="199" t="s">
        <v>1481</v>
      </c>
      <c r="D39" s="199" t="s">
        <v>2005</v>
      </c>
      <c r="E39" s="199" t="s">
        <v>2006</v>
      </c>
      <c r="F39" s="207">
        <v>1.3</v>
      </c>
      <c r="G39" s="199" t="s">
        <v>1321</v>
      </c>
      <c r="H39" s="199" t="s">
        <v>1265</v>
      </c>
      <c r="I39" s="210">
        <v>60</v>
      </c>
      <c r="J39" s="210"/>
      <c r="K39" s="199" t="s">
        <v>1484</v>
      </c>
      <c r="L39" s="199" t="s">
        <v>1866</v>
      </c>
      <c r="M39" s="199">
        <v>2024</v>
      </c>
      <c r="N39" s="199" t="s">
        <v>1867</v>
      </c>
      <c r="O39" s="199" t="s">
        <v>1868</v>
      </c>
      <c r="P39" s="199" t="s">
        <v>1869</v>
      </c>
      <c r="Q39" s="200" t="s">
        <v>1489</v>
      </c>
    </row>
    <row r="40" spans="1:17" ht="36">
      <c r="A40" s="204" t="s">
        <v>2007</v>
      </c>
      <c r="B40" s="199" t="s">
        <v>2008</v>
      </c>
      <c r="C40" s="199" t="s">
        <v>1481</v>
      </c>
      <c r="D40" s="199" t="s">
        <v>2009</v>
      </c>
      <c r="E40" s="199" t="s">
        <v>2010</v>
      </c>
      <c r="F40" s="207">
        <v>1.3</v>
      </c>
      <c r="G40" s="199" t="s">
        <v>1321</v>
      </c>
      <c r="H40" s="199" t="s">
        <v>1265</v>
      </c>
      <c r="I40" s="210">
        <v>60</v>
      </c>
      <c r="J40" s="210"/>
      <c r="K40" s="199" t="s">
        <v>1484</v>
      </c>
      <c r="L40" s="199" t="s">
        <v>1866</v>
      </c>
      <c r="M40" s="199">
        <v>2024</v>
      </c>
      <c r="N40" s="199" t="s">
        <v>1867</v>
      </c>
      <c r="O40" s="199" t="s">
        <v>1868</v>
      </c>
      <c r="P40" s="199" t="s">
        <v>1869</v>
      </c>
      <c r="Q40" s="200" t="s">
        <v>1489</v>
      </c>
    </row>
    <row r="41" spans="1:17" ht="36">
      <c r="A41" s="204" t="s">
        <v>2011</v>
      </c>
      <c r="B41" s="199" t="s">
        <v>2012</v>
      </c>
      <c r="C41" s="199" t="s">
        <v>1481</v>
      </c>
      <c r="D41" s="199" t="s">
        <v>1499</v>
      </c>
      <c r="E41" s="199" t="s">
        <v>2013</v>
      </c>
      <c r="F41" s="207">
        <v>1.3</v>
      </c>
      <c r="G41" s="199" t="s">
        <v>1321</v>
      </c>
      <c r="H41" s="199" t="s">
        <v>1265</v>
      </c>
      <c r="I41" s="210">
        <v>60</v>
      </c>
      <c r="J41" s="210"/>
      <c r="K41" s="199" t="s">
        <v>1484</v>
      </c>
      <c r="L41" s="199" t="s">
        <v>1866</v>
      </c>
      <c r="M41" s="199">
        <v>2024</v>
      </c>
      <c r="N41" s="199" t="s">
        <v>1867</v>
      </c>
      <c r="O41" s="199" t="s">
        <v>1868</v>
      </c>
      <c r="P41" s="199" t="s">
        <v>1869</v>
      </c>
      <c r="Q41" s="200" t="s">
        <v>1489</v>
      </c>
    </row>
    <row r="42" spans="1:17" ht="36">
      <c r="A42" s="204" t="s">
        <v>2014</v>
      </c>
      <c r="B42" s="199" t="s">
        <v>2015</v>
      </c>
      <c r="C42" s="199" t="s">
        <v>1481</v>
      </c>
      <c r="D42" s="199" t="s">
        <v>2016</v>
      </c>
      <c r="E42" s="199" t="s">
        <v>1504</v>
      </c>
      <c r="F42" s="207">
        <v>1.5</v>
      </c>
      <c r="G42" s="199" t="s">
        <v>1321</v>
      </c>
      <c r="H42" s="199" t="s">
        <v>1265</v>
      </c>
      <c r="I42" s="210">
        <v>60</v>
      </c>
      <c r="J42" s="210"/>
      <c r="K42" s="199" t="s">
        <v>1484</v>
      </c>
      <c r="L42" s="199" t="s">
        <v>1866</v>
      </c>
      <c r="M42" s="199">
        <v>2024</v>
      </c>
      <c r="N42" s="199" t="s">
        <v>1867</v>
      </c>
      <c r="O42" s="199" t="s">
        <v>1868</v>
      </c>
      <c r="P42" s="199" t="s">
        <v>1869</v>
      </c>
      <c r="Q42" s="200" t="s">
        <v>1489</v>
      </c>
    </row>
    <row r="43" spans="1:17" ht="36">
      <c r="A43" s="204" t="s">
        <v>2017</v>
      </c>
      <c r="B43" s="199" t="s">
        <v>2018</v>
      </c>
      <c r="C43" s="199" t="s">
        <v>2019</v>
      </c>
      <c r="D43" s="199" t="s">
        <v>2020</v>
      </c>
      <c r="E43" s="199" t="s">
        <v>2021</v>
      </c>
      <c r="F43" s="207">
        <v>4.8</v>
      </c>
      <c r="G43" s="199" t="s">
        <v>1321</v>
      </c>
      <c r="H43" s="199" t="s">
        <v>1265</v>
      </c>
      <c r="I43" s="210">
        <v>60</v>
      </c>
      <c r="J43" s="210"/>
      <c r="K43" s="199" t="s">
        <v>1484</v>
      </c>
      <c r="L43" s="199" t="s">
        <v>1866</v>
      </c>
      <c r="M43" s="199">
        <v>2024</v>
      </c>
      <c r="N43" s="199" t="s">
        <v>1867</v>
      </c>
      <c r="O43" s="199" t="s">
        <v>1868</v>
      </c>
      <c r="P43" s="199" t="s">
        <v>1869</v>
      </c>
      <c r="Q43" s="200" t="s">
        <v>1489</v>
      </c>
    </row>
    <row r="44" spans="1:17" ht="36">
      <c r="A44" s="204" t="s">
        <v>2022</v>
      </c>
      <c r="B44" s="199" t="s">
        <v>2023</v>
      </c>
      <c r="C44" s="199" t="s">
        <v>2019</v>
      </c>
      <c r="D44" s="199" t="s">
        <v>2024</v>
      </c>
      <c r="E44" s="199" t="s">
        <v>2025</v>
      </c>
      <c r="F44" s="207">
        <v>3</v>
      </c>
      <c r="G44" s="199" t="s">
        <v>1321</v>
      </c>
      <c r="H44" s="199" t="s">
        <v>1265</v>
      </c>
      <c r="I44" s="210">
        <v>60</v>
      </c>
      <c r="J44" s="210"/>
      <c r="K44" s="199" t="s">
        <v>1484</v>
      </c>
      <c r="L44" s="199" t="s">
        <v>1866</v>
      </c>
      <c r="M44" s="199">
        <v>2024</v>
      </c>
      <c r="N44" s="199" t="s">
        <v>1867</v>
      </c>
      <c r="O44" s="199" t="s">
        <v>1868</v>
      </c>
      <c r="P44" s="199" t="s">
        <v>1869</v>
      </c>
      <c r="Q44" s="200" t="s">
        <v>1489</v>
      </c>
    </row>
    <row r="45" spans="1:17" ht="36">
      <c r="A45" s="204" t="s">
        <v>2026</v>
      </c>
      <c r="B45" s="199" t="s">
        <v>2027</v>
      </c>
      <c r="C45" s="199" t="s">
        <v>2019</v>
      </c>
      <c r="D45" s="199" t="s">
        <v>2028</v>
      </c>
      <c r="E45" s="199" t="s">
        <v>2029</v>
      </c>
      <c r="F45" s="207">
        <v>3.5</v>
      </c>
      <c r="G45" s="199" t="s">
        <v>1321</v>
      </c>
      <c r="H45" s="199" t="s">
        <v>1265</v>
      </c>
      <c r="I45" s="210">
        <v>60</v>
      </c>
      <c r="J45" s="210"/>
      <c r="K45" s="199" t="s">
        <v>1484</v>
      </c>
      <c r="L45" s="199" t="s">
        <v>1866</v>
      </c>
      <c r="M45" s="199">
        <v>2024</v>
      </c>
      <c r="N45" s="199" t="s">
        <v>1867</v>
      </c>
      <c r="O45" s="199" t="s">
        <v>1868</v>
      </c>
      <c r="P45" s="199" t="s">
        <v>1869</v>
      </c>
      <c r="Q45" s="200" t="s">
        <v>1489</v>
      </c>
    </row>
    <row r="46" spans="1:17" ht="36">
      <c r="A46" s="204" t="s">
        <v>2030</v>
      </c>
      <c r="B46" s="199" t="s">
        <v>2031</v>
      </c>
      <c r="C46" s="199" t="s">
        <v>2019</v>
      </c>
      <c r="D46" s="199" t="s">
        <v>2032</v>
      </c>
      <c r="E46" s="199" t="s">
        <v>2033</v>
      </c>
      <c r="F46" s="207">
        <v>6.8</v>
      </c>
      <c r="G46" s="199" t="s">
        <v>1321</v>
      </c>
      <c r="H46" s="199" t="s">
        <v>1265</v>
      </c>
      <c r="I46" s="210">
        <v>60</v>
      </c>
      <c r="J46" s="210"/>
      <c r="K46" s="199" t="s">
        <v>1484</v>
      </c>
      <c r="L46" s="199" t="s">
        <v>1866</v>
      </c>
      <c r="M46" s="199">
        <v>2024</v>
      </c>
      <c r="N46" s="199" t="s">
        <v>1867</v>
      </c>
      <c r="O46" s="199" t="s">
        <v>1868</v>
      </c>
      <c r="P46" s="199" t="s">
        <v>1869</v>
      </c>
      <c r="Q46" s="200" t="s">
        <v>1489</v>
      </c>
    </row>
    <row r="47" spans="1:17" ht="36">
      <c r="A47" s="204" t="s">
        <v>2034</v>
      </c>
      <c r="B47" s="199" t="s">
        <v>2035</v>
      </c>
      <c r="C47" s="199" t="s">
        <v>2019</v>
      </c>
      <c r="D47" s="199" t="s">
        <v>2036</v>
      </c>
      <c r="E47" s="199" t="s">
        <v>2037</v>
      </c>
      <c r="F47" s="207">
        <v>3.3</v>
      </c>
      <c r="G47" s="199" t="s">
        <v>1321</v>
      </c>
      <c r="H47" s="199" t="s">
        <v>1265</v>
      </c>
      <c r="I47" s="210">
        <v>60</v>
      </c>
      <c r="J47" s="210"/>
      <c r="K47" s="199" t="s">
        <v>1484</v>
      </c>
      <c r="L47" s="199" t="s">
        <v>1866</v>
      </c>
      <c r="M47" s="199">
        <v>2024</v>
      </c>
      <c r="N47" s="199" t="s">
        <v>1867</v>
      </c>
      <c r="O47" s="199" t="s">
        <v>1868</v>
      </c>
      <c r="P47" s="199" t="s">
        <v>1869</v>
      </c>
      <c r="Q47" s="200" t="s">
        <v>1489</v>
      </c>
    </row>
    <row r="48" spans="1:17" ht="36">
      <c r="A48" s="204" t="s">
        <v>2038</v>
      </c>
      <c r="B48" s="199" t="s">
        <v>2039</v>
      </c>
      <c r="C48" s="199" t="s">
        <v>2019</v>
      </c>
      <c r="D48" s="199" t="s">
        <v>2040</v>
      </c>
      <c r="E48" s="199" t="s">
        <v>2041</v>
      </c>
      <c r="F48" s="207">
        <v>4</v>
      </c>
      <c r="G48" s="199" t="s">
        <v>1321</v>
      </c>
      <c r="H48" s="199" t="s">
        <v>1265</v>
      </c>
      <c r="I48" s="210">
        <v>60</v>
      </c>
      <c r="J48" s="210"/>
      <c r="K48" s="199" t="s">
        <v>1484</v>
      </c>
      <c r="L48" s="199" t="s">
        <v>1866</v>
      </c>
      <c r="M48" s="199">
        <v>2024</v>
      </c>
      <c r="N48" s="199" t="s">
        <v>1867</v>
      </c>
      <c r="O48" s="199" t="s">
        <v>1868</v>
      </c>
      <c r="P48" s="199" t="s">
        <v>1869</v>
      </c>
      <c r="Q48" s="200" t="s">
        <v>1489</v>
      </c>
    </row>
    <row r="49" spans="1:17" ht="36">
      <c r="A49" s="204" t="s">
        <v>2042</v>
      </c>
      <c r="B49" s="199" t="s">
        <v>2043</v>
      </c>
      <c r="C49" s="199" t="s">
        <v>2019</v>
      </c>
      <c r="D49" s="199" t="s">
        <v>2044</v>
      </c>
      <c r="E49" s="199" t="s">
        <v>2045</v>
      </c>
      <c r="F49" s="207">
        <v>3.8</v>
      </c>
      <c r="G49" s="199" t="s">
        <v>1321</v>
      </c>
      <c r="H49" s="199" t="s">
        <v>1265</v>
      </c>
      <c r="I49" s="210">
        <v>60</v>
      </c>
      <c r="J49" s="210"/>
      <c r="K49" s="199" t="s">
        <v>1484</v>
      </c>
      <c r="L49" s="199" t="s">
        <v>1866</v>
      </c>
      <c r="M49" s="199">
        <v>2024</v>
      </c>
      <c r="N49" s="199" t="s">
        <v>1867</v>
      </c>
      <c r="O49" s="199" t="s">
        <v>1868</v>
      </c>
      <c r="P49" s="199" t="s">
        <v>1869</v>
      </c>
      <c r="Q49" s="200" t="s">
        <v>1489</v>
      </c>
    </row>
    <row r="50" spans="1:17" ht="36">
      <c r="A50" s="204" t="s">
        <v>2046</v>
      </c>
      <c r="B50" s="199" t="s">
        <v>2047</v>
      </c>
      <c r="C50" s="199" t="s">
        <v>2019</v>
      </c>
      <c r="D50" s="199" t="s">
        <v>2048</v>
      </c>
      <c r="E50" s="199" t="s">
        <v>2049</v>
      </c>
      <c r="F50" s="207">
        <v>3.3</v>
      </c>
      <c r="G50" s="199" t="s">
        <v>1321</v>
      </c>
      <c r="H50" s="199" t="s">
        <v>1265</v>
      </c>
      <c r="I50" s="210">
        <v>60</v>
      </c>
      <c r="J50" s="210"/>
      <c r="K50" s="199" t="s">
        <v>1484</v>
      </c>
      <c r="L50" s="199" t="s">
        <v>1866</v>
      </c>
      <c r="M50" s="199">
        <v>2024</v>
      </c>
      <c r="N50" s="199" t="s">
        <v>1867</v>
      </c>
      <c r="O50" s="199" t="s">
        <v>1868</v>
      </c>
      <c r="P50" s="199" t="s">
        <v>1869</v>
      </c>
      <c r="Q50" s="200" t="s">
        <v>1489</v>
      </c>
    </row>
    <row r="51" spans="1:17" ht="36">
      <c r="A51" s="204" t="s">
        <v>2050</v>
      </c>
      <c r="B51" s="199" t="s">
        <v>2051</v>
      </c>
      <c r="C51" s="199" t="s">
        <v>2019</v>
      </c>
      <c r="D51" s="199" t="s">
        <v>2052</v>
      </c>
      <c r="E51" s="199" t="s">
        <v>2053</v>
      </c>
      <c r="F51" s="207">
        <v>4.8</v>
      </c>
      <c r="G51" s="199" t="s">
        <v>1321</v>
      </c>
      <c r="H51" s="199" t="s">
        <v>1265</v>
      </c>
      <c r="I51" s="210">
        <v>60</v>
      </c>
      <c r="J51" s="210"/>
      <c r="K51" s="199" t="s">
        <v>1484</v>
      </c>
      <c r="L51" s="199" t="s">
        <v>1866</v>
      </c>
      <c r="M51" s="199">
        <v>2024</v>
      </c>
      <c r="N51" s="199" t="s">
        <v>1867</v>
      </c>
      <c r="O51" s="199" t="s">
        <v>1868</v>
      </c>
      <c r="P51" s="199" t="s">
        <v>1869</v>
      </c>
      <c r="Q51" s="200" t="s">
        <v>1489</v>
      </c>
    </row>
    <row r="52" spans="1:17" ht="36">
      <c r="A52" s="204" t="s">
        <v>2054</v>
      </c>
      <c r="B52" s="199" t="s">
        <v>2055</v>
      </c>
      <c r="C52" s="199" t="s">
        <v>2019</v>
      </c>
      <c r="D52" s="199" t="s">
        <v>2056</v>
      </c>
      <c r="E52" s="199" t="s">
        <v>2057</v>
      </c>
      <c r="F52" s="207">
        <v>5</v>
      </c>
      <c r="G52" s="199" t="s">
        <v>1321</v>
      </c>
      <c r="H52" s="199" t="s">
        <v>1265</v>
      </c>
      <c r="I52" s="210">
        <v>60</v>
      </c>
      <c r="J52" s="210"/>
      <c r="K52" s="199" t="s">
        <v>1484</v>
      </c>
      <c r="L52" s="199" t="s">
        <v>1866</v>
      </c>
      <c r="M52" s="199">
        <v>2024</v>
      </c>
      <c r="N52" s="199" t="s">
        <v>1867</v>
      </c>
      <c r="O52" s="199" t="s">
        <v>1868</v>
      </c>
      <c r="P52" s="199" t="s">
        <v>1869</v>
      </c>
      <c r="Q52" s="200" t="s">
        <v>1489</v>
      </c>
    </row>
    <row r="53" spans="1:17" ht="36">
      <c r="A53" s="204" t="s">
        <v>2058</v>
      </c>
      <c r="B53" s="199" t="s">
        <v>2059</v>
      </c>
      <c r="C53" s="199" t="s">
        <v>2060</v>
      </c>
      <c r="D53" s="199" t="s">
        <v>2061</v>
      </c>
      <c r="E53" s="199" t="s">
        <v>2062</v>
      </c>
      <c r="F53" s="207">
        <v>1.5</v>
      </c>
      <c r="G53" s="199" t="s">
        <v>1321</v>
      </c>
      <c r="H53" s="199" t="s">
        <v>1265</v>
      </c>
      <c r="I53" s="210">
        <v>60</v>
      </c>
      <c r="J53" s="210"/>
      <c r="K53" s="199" t="s">
        <v>1484</v>
      </c>
      <c r="L53" s="199" t="s">
        <v>1866</v>
      </c>
      <c r="M53" s="199">
        <v>2024</v>
      </c>
      <c r="N53" s="199" t="s">
        <v>1867</v>
      </c>
      <c r="O53" s="199" t="s">
        <v>1868</v>
      </c>
      <c r="P53" s="199" t="s">
        <v>1869</v>
      </c>
      <c r="Q53" s="200" t="s">
        <v>1489</v>
      </c>
    </row>
    <row r="54" spans="1:17" ht="36">
      <c r="A54" s="204" t="s">
        <v>2063</v>
      </c>
      <c r="B54" s="199" t="s">
        <v>2064</v>
      </c>
      <c r="C54" s="199" t="s">
        <v>1530</v>
      </c>
      <c r="D54" s="199" t="s">
        <v>2065</v>
      </c>
      <c r="E54" s="199" t="s">
        <v>2066</v>
      </c>
      <c r="F54" s="207">
        <v>1.5</v>
      </c>
      <c r="G54" s="199" t="s">
        <v>1321</v>
      </c>
      <c r="H54" s="199" t="s">
        <v>1265</v>
      </c>
      <c r="I54" s="210">
        <v>60</v>
      </c>
      <c r="J54" s="210"/>
      <c r="K54" s="199" t="s">
        <v>1484</v>
      </c>
      <c r="L54" s="199" t="s">
        <v>1866</v>
      </c>
      <c r="M54" s="199">
        <v>2024</v>
      </c>
      <c r="N54" s="199" t="s">
        <v>1867</v>
      </c>
      <c r="O54" s="199" t="s">
        <v>1868</v>
      </c>
      <c r="P54" s="199" t="s">
        <v>1869</v>
      </c>
      <c r="Q54" s="200" t="s">
        <v>1489</v>
      </c>
    </row>
    <row r="55" spans="1:17" ht="36">
      <c r="A55" s="204" t="s">
        <v>2067</v>
      </c>
      <c r="B55" s="199" t="s">
        <v>2068</v>
      </c>
      <c r="C55" s="199" t="s">
        <v>1831</v>
      </c>
      <c r="D55" s="199" t="s">
        <v>2069</v>
      </c>
      <c r="E55" s="199" t="s">
        <v>2070</v>
      </c>
      <c r="F55" s="207">
        <v>8.5</v>
      </c>
      <c r="G55" s="199" t="s">
        <v>1321</v>
      </c>
      <c r="H55" s="199" t="s">
        <v>1265</v>
      </c>
      <c r="I55" s="210">
        <v>60</v>
      </c>
      <c r="J55" s="210"/>
      <c r="K55" s="199" t="s">
        <v>1484</v>
      </c>
      <c r="L55" s="199" t="s">
        <v>1866</v>
      </c>
      <c r="M55" s="199">
        <v>2024</v>
      </c>
      <c r="N55" s="199" t="s">
        <v>1867</v>
      </c>
      <c r="O55" s="199" t="s">
        <v>1868</v>
      </c>
      <c r="P55" s="199" t="s">
        <v>1869</v>
      </c>
      <c r="Q55" s="200" t="s">
        <v>1489</v>
      </c>
    </row>
    <row r="56" spans="1:17" ht="36">
      <c r="A56" s="204" t="s">
        <v>2071</v>
      </c>
      <c r="B56" s="199" t="s">
        <v>2072</v>
      </c>
      <c r="C56" s="199" t="s">
        <v>1831</v>
      </c>
      <c r="D56" s="199" t="s">
        <v>2073</v>
      </c>
      <c r="E56" s="199" t="s">
        <v>1854</v>
      </c>
      <c r="F56" s="207">
        <v>15.8</v>
      </c>
      <c r="G56" s="199" t="s">
        <v>1321</v>
      </c>
      <c r="H56" s="199" t="s">
        <v>1265</v>
      </c>
      <c r="I56" s="210">
        <v>60</v>
      </c>
      <c r="J56" s="210"/>
      <c r="K56" s="199" t="s">
        <v>1484</v>
      </c>
      <c r="L56" s="199" t="s">
        <v>1866</v>
      </c>
      <c r="M56" s="199">
        <v>2024</v>
      </c>
      <c r="N56" s="199" t="s">
        <v>1867</v>
      </c>
      <c r="O56" s="199" t="s">
        <v>1868</v>
      </c>
      <c r="P56" s="199" t="s">
        <v>1869</v>
      </c>
      <c r="Q56" s="200" t="s">
        <v>1489</v>
      </c>
    </row>
    <row r="57" spans="1:17" ht="36">
      <c r="A57" s="204" t="s">
        <v>2074</v>
      </c>
      <c r="B57" s="199" t="s">
        <v>2075</v>
      </c>
      <c r="C57" s="199" t="s">
        <v>2076</v>
      </c>
      <c r="D57" s="199" t="s">
        <v>2077</v>
      </c>
      <c r="E57" s="199" t="s">
        <v>2078</v>
      </c>
      <c r="F57" s="207">
        <v>3</v>
      </c>
      <c r="G57" s="199" t="s">
        <v>1321</v>
      </c>
      <c r="H57" s="199" t="s">
        <v>1265</v>
      </c>
      <c r="I57" s="210">
        <v>60</v>
      </c>
      <c r="J57" s="210"/>
      <c r="K57" s="199" t="s">
        <v>1484</v>
      </c>
      <c r="L57" s="199" t="s">
        <v>1866</v>
      </c>
      <c r="M57" s="199">
        <v>2024</v>
      </c>
      <c r="N57" s="199" t="s">
        <v>1867</v>
      </c>
      <c r="O57" s="199" t="s">
        <v>1868</v>
      </c>
      <c r="P57" s="199" t="s">
        <v>1869</v>
      </c>
      <c r="Q57" s="200" t="s">
        <v>1489</v>
      </c>
    </row>
    <row r="58" spans="1:17" ht="36">
      <c r="A58" s="204" t="s">
        <v>2079</v>
      </c>
      <c r="B58" s="199" t="s">
        <v>2080</v>
      </c>
      <c r="C58" s="199" t="s">
        <v>2076</v>
      </c>
      <c r="D58" s="199" t="s">
        <v>2081</v>
      </c>
      <c r="E58" s="199" t="s">
        <v>2082</v>
      </c>
      <c r="F58" s="207">
        <v>2.8</v>
      </c>
      <c r="G58" s="199" t="s">
        <v>1321</v>
      </c>
      <c r="H58" s="199" t="s">
        <v>1265</v>
      </c>
      <c r="I58" s="210">
        <v>60</v>
      </c>
      <c r="J58" s="210"/>
      <c r="K58" s="199" t="s">
        <v>1484</v>
      </c>
      <c r="L58" s="199" t="s">
        <v>1866</v>
      </c>
      <c r="M58" s="199">
        <v>2024</v>
      </c>
      <c r="N58" s="199" t="s">
        <v>1867</v>
      </c>
      <c r="O58" s="199" t="s">
        <v>1868</v>
      </c>
      <c r="P58" s="199" t="s">
        <v>1869</v>
      </c>
      <c r="Q58" s="200" t="s">
        <v>1489</v>
      </c>
    </row>
    <row r="59" spans="1:17" ht="36">
      <c r="A59" s="204" t="s">
        <v>2083</v>
      </c>
      <c r="B59" s="199" t="s">
        <v>2084</v>
      </c>
      <c r="C59" s="199" t="s">
        <v>2085</v>
      </c>
      <c r="D59" s="199" t="s">
        <v>2086</v>
      </c>
      <c r="E59" s="199" t="s">
        <v>2087</v>
      </c>
      <c r="F59" s="207">
        <v>4.3</v>
      </c>
      <c r="G59" s="199" t="s">
        <v>1321</v>
      </c>
      <c r="H59" s="199" t="s">
        <v>1265</v>
      </c>
      <c r="I59" s="210">
        <v>60</v>
      </c>
      <c r="J59" s="210"/>
      <c r="K59" s="199" t="s">
        <v>1484</v>
      </c>
      <c r="L59" s="199" t="s">
        <v>1866</v>
      </c>
      <c r="M59" s="199">
        <v>2024</v>
      </c>
      <c r="N59" s="199" t="s">
        <v>1867</v>
      </c>
      <c r="O59" s="199" t="s">
        <v>1868</v>
      </c>
      <c r="P59" s="199" t="s">
        <v>1869</v>
      </c>
      <c r="Q59" s="200" t="s">
        <v>1489</v>
      </c>
    </row>
    <row r="60" spans="1:17" ht="36">
      <c r="A60" s="204" t="s">
        <v>2088</v>
      </c>
      <c r="B60" s="199" t="s">
        <v>2089</v>
      </c>
      <c r="C60" s="199" t="s">
        <v>2085</v>
      </c>
      <c r="D60" s="199" t="s">
        <v>2090</v>
      </c>
      <c r="E60" s="199" t="s">
        <v>2091</v>
      </c>
      <c r="F60" s="207">
        <v>5.3</v>
      </c>
      <c r="G60" s="199" t="s">
        <v>1321</v>
      </c>
      <c r="H60" s="199" t="s">
        <v>1265</v>
      </c>
      <c r="I60" s="210">
        <v>60</v>
      </c>
      <c r="J60" s="210"/>
      <c r="K60" s="199" t="s">
        <v>1484</v>
      </c>
      <c r="L60" s="199" t="s">
        <v>1866</v>
      </c>
      <c r="M60" s="199">
        <v>2024</v>
      </c>
      <c r="N60" s="199" t="s">
        <v>1867</v>
      </c>
      <c r="O60" s="199" t="s">
        <v>1868</v>
      </c>
      <c r="P60" s="199" t="s">
        <v>1869</v>
      </c>
      <c r="Q60" s="200" t="s">
        <v>1489</v>
      </c>
    </row>
    <row r="61" spans="1:17" ht="36">
      <c r="A61" s="204" t="s">
        <v>2092</v>
      </c>
      <c r="B61" s="199" t="s">
        <v>2093</v>
      </c>
      <c r="C61" s="199" t="s">
        <v>1801</v>
      </c>
      <c r="D61" s="199" t="s">
        <v>1819</v>
      </c>
      <c r="E61" s="199" t="s">
        <v>1820</v>
      </c>
      <c r="F61" s="207">
        <v>4.3</v>
      </c>
      <c r="G61" s="199" t="s">
        <v>1321</v>
      </c>
      <c r="H61" s="199" t="s">
        <v>1265</v>
      </c>
      <c r="I61" s="210">
        <v>60</v>
      </c>
      <c r="J61" s="210"/>
      <c r="K61" s="199" t="s">
        <v>1484</v>
      </c>
      <c r="L61" s="199" t="s">
        <v>1866</v>
      </c>
      <c r="M61" s="199">
        <v>2024</v>
      </c>
      <c r="N61" s="199" t="s">
        <v>1867</v>
      </c>
      <c r="O61" s="199" t="s">
        <v>1868</v>
      </c>
      <c r="P61" s="199" t="s">
        <v>1869</v>
      </c>
      <c r="Q61" s="200" t="s">
        <v>1489</v>
      </c>
    </row>
    <row r="62" spans="1:17" ht="36">
      <c r="A62" s="204" t="s">
        <v>2094</v>
      </c>
      <c r="B62" s="199" t="s">
        <v>2095</v>
      </c>
      <c r="C62" s="199" t="s">
        <v>1659</v>
      </c>
      <c r="D62" s="199" t="s">
        <v>1667</v>
      </c>
      <c r="E62" s="199" t="s">
        <v>1386</v>
      </c>
      <c r="F62" s="207">
        <v>4</v>
      </c>
      <c r="G62" s="199" t="s">
        <v>1321</v>
      </c>
      <c r="H62" s="199" t="s">
        <v>1265</v>
      </c>
      <c r="I62" s="210">
        <v>60</v>
      </c>
      <c r="J62" s="210"/>
      <c r="K62" s="199" t="s">
        <v>1484</v>
      </c>
      <c r="L62" s="199" t="s">
        <v>1866</v>
      </c>
      <c r="M62" s="199">
        <v>2024</v>
      </c>
      <c r="N62" s="199" t="s">
        <v>1867</v>
      </c>
      <c r="O62" s="199" t="s">
        <v>1868</v>
      </c>
      <c r="P62" s="199" t="s">
        <v>1869</v>
      </c>
      <c r="Q62" s="200" t="s">
        <v>1489</v>
      </c>
    </row>
    <row r="63" spans="1:17" ht="36">
      <c r="A63" s="204" t="s">
        <v>2096</v>
      </c>
      <c r="B63" s="199" t="s">
        <v>2097</v>
      </c>
      <c r="C63" s="199" t="s">
        <v>1659</v>
      </c>
      <c r="D63" s="199" t="s">
        <v>2098</v>
      </c>
      <c r="E63" s="199" t="s">
        <v>1672</v>
      </c>
      <c r="F63" s="207">
        <v>6.5</v>
      </c>
      <c r="G63" s="199" t="s">
        <v>1321</v>
      </c>
      <c r="H63" s="199" t="s">
        <v>1265</v>
      </c>
      <c r="I63" s="210">
        <v>60</v>
      </c>
      <c r="J63" s="210"/>
      <c r="K63" s="199" t="s">
        <v>1484</v>
      </c>
      <c r="L63" s="199" t="s">
        <v>1866</v>
      </c>
      <c r="M63" s="199">
        <v>2024</v>
      </c>
      <c r="N63" s="199" t="s">
        <v>1867</v>
      </c>
      <c r="O63" s="199" t="s">
        <v>1868</v>
      </c>
      <c r="P63" s="199" t="s">
        <v>1869</v>
      </c>
      <c r="Q63" s="200" t="s">
        <v>1489</v>
      </c>
    </row>
    <row r="64" spans="1:17" ht="36">
      <c r="A64" s="204" t="s">
        <v>2099</v>
      </c>
      <c r="B64" s="199" t="s">
        <v>2100</v>
      </c>
      <c r="C64" s="199" t="s">
        <v>2101</v>
      </c>
      <c r="D64" s="199" t="s">
        <v>2102</v>
      </c>
      <c r="E64" s="199" t="s">
        <v>2103</v>
      </c>
      <c r="F64" s="207">
        <v>2</v>
      </c>
      <c r="G64" s="199" t="s">
        <v>1321</v>
      </c>
      <c r="H64" s="199" t="s">
        <v>1265</v>
      </c>
      <c r="I64" s="210">
        <v>60</v>
      </c>
      <c r="J64" s="210"/>
      <c r="K64" s="199" t="s">
        <v>1484</v>
      </c>
      <c r="L64" s="199" t="s">
        <v>1866</v>
      </c>
      <c r="M64" s="199">
        <v>2024</v>
      </c>
      <c r="N64" s="199" t="s">
        <v>1867</v>
      </c>
      <c r="O64" s="199" t="s">
        <v>1868</v>
      </c>
      <c r="P64" s="199" t="s">
        <v>1869</v>
      </c>
      <c r="Q64" s="200" t="s">
        <v>1489</v>
      </c>
    </row>
    <row r="65" spans="1:17" ht="36">
      <c r="A65" s="204" t="s">
        <v>2104</v>
      </c>
      <c r="B65" s="199" t="s">
        <v>2105</v>
      </c>
      <c r="C65" s="199" t="s">
        <v>2101</v>
      </c>
      <c r="D65" s="199" t="s">
        <v>2106</v>
      </c>
      <c r="E65" s="199" t="s">
        <v>2107</v>
      </c>
      <c r="F65" s="207">
        <v>3</v>
      </c>
      <c r="G65" s="199" t="s">
        <v>1321</v>
      </c>
      <c r="H65" s="199" t="s">
        <v>1265</v>
      </c>
      <c r="I65" s="210">
        <v>60</v>
      </c>
      <c r="J65" s="210"/>
      <c r="K65" s="199" t="s">
        <v>1484</v>
      </c>
      <c r="L65" s="199" t="s">
        <v>1866</v>
      </c>
      <c r="M65" s="199">
        <v>2024</v>
      </c>
      <c r="N65" s="199" t="s">
        <v>1867</v>
      </c>
      <c r="O65" s="199" t="s">
        <v>1868</v>
      </c>
      <c r="P65" s="199" t="s">
        <v>1869</v>
      </c>
      <c r="Q65" s="200" t="s">
        <v>1489</v>
      </c>
    </row>
    <row r="66" spans="1:17" ht="36">
      <c r="A66" s="204" t="s">
        <v>2108</v>
      </c>
      <c r="B66" s="199" t="s">
        <v>2109</v>
      </c>
      <c r="C66" s="199" t="s">
        <v>2101</v>
      </c>
      <c r="D66" s="199" t="s">
        <v>2110</v>
      </c>
      <c r="E66" s="199" t="s">
        <v>2111</v>
      </c>
      <c r="F66" s="207">
        <v>3.3</v>
      </c>
      <c r="G66" s="199" t="s">
        <v>1321</v>
      </c>
      <c r="H66" s="199" t="s">
        <v>1265</v>
      </c>
      <c r="I66" s="210">
        <v>60</v>
      </c>
      <c r="J66" s="210"/>
      <c r="K66" s="199" t="s">
        <v>1484</v>
      </c>
      <c r="L66" s="199" t="s">
        <v>1866</v>
      </c>
      <c r="M66" s="199">
        <v>2024</v>
      </c>
      <c r="N66" s="199" t="s">
        <v>1867</v>
      </c>
      <c r="O66" s="199" t="s">
        <v>1868</v>
      </c>
      <c r="P66" s="199" t="s">
        <v>1869</v>
      </c>
      <c r="Q66" s="200" t="s">
        <v>1489</v>
      </c>
    </row>
    <row r="67" spans="1:17" ht="36">
      <c r="A67" s="204" t="s">
        <v>2112</v>
      </c>
      <c r="B67" s="199" t="s">
        <v>2113</v>
      </c>
      <c r="C67" s="199" t="s">
        <v>1675</v>
      </c>
      <c r="D67" s="199" t="s">
        <v>2114</v>
      </c>
      <c r="E67" s="199" t="s">
        <v>2115</v>
      </c>
      <c r="F67" s="207">
        <v>3</v>
      </c>
      <c r="G67" s="199" t="s">
        <v>1321</v>
      </c>
      <c r="H67" s="199" t="s">
        <v>1265</v>
      </c>
      <c r="I67" s="210">
        <v>60</v>
      </c>
      <c r="J67" s="210"/>
      <c r="K67" s="199" t="s">
        <v>1484</v>
      </c>
      <c r="L67" s="199" t="s">
        <v>1866</v>
      </c>
      <c r="M67" s="199">
        <v>2024</v>
      </c>
      <c r="N67" s="199" t="s">
        <v>1867</v>
      </c>
      <c r="O67" s="199" t="s">
        <v>1868</v>
      </c>
      <c r="P67" s="199" t="s">
        <v>1869</v>
      </c>
      <c r="Q67" s="200" t="s">
        <v>1489</v>
      </c>
    </row>
    <row r="68" spans="1:17" ht="36">
      <c r="A68" s="204" t="s">
        <v>2116</v>
      </c>
      <c r="B68" s="199" t="s">
        <v>2117</v>
      </c>
      <c r="C68" s="199" t="s">
        <v>1675</v>
      </c>
      <c r="D68" s="199" t="s">
        <v>2118</v>
      </c>
      <c r="E68" s="199" t="s">
        <v>2119</v>
      </c>
      <c r="F68" s="207">
        <v>4</v>
      </c>
      <c r="G68" s="199" t="s">
        <v>1321</v>
      </c>
      <c r="H68" s="199" t="s">
        <v>1265</v>
      </c>
      <c r="I68" s="210">
        <v>60</v>
      </c>
      <c r="J68" s="210"/>
      <c r="K68" s="199" t="s">
        <v>1484</v>
      </c>
      <c r="L68" s="199" t="s">
        <v>1866</v>
      </c>
      <c r="M68" s="199">
        <v>2024</v>
      </c>
      <c r="N68" s="199" t="s">
        <v>1867</v>
      </c>
      <c r="O68" s="199" t="s">
        <v>1868</v>
      </c>
      <c r="P68" s="199" t="s">
        <v>1869</v>
      </c>
      <c r="Q68" s="200" t="s">
        <v>1489</v>
      </c>
    </row>
    <row r="69" spans="1:17" ht="36">
      <c r="A69" s="204" t="s">
        <v>2120</v>
      </c>
      <c r="B69" s="199" t="s">
        <v>2121</v>
      </c>
      <c r="C69" s="199" t="s">
        <v>1675</v>
      </c>
      <c r="D69" s="199" t="s">
        <v>2122</v>
      </c>
      <c r="E69" s="199" t="s">
        <v>2123</v>
      </c>
      <c r="F69" s="207">
        <v>3.8</v>
      </c>
      <c r="G69" s="199" t="s">
        <v>1321</v>
      </c>
      <c r="H69" s="199" t="s">
        <v>1265</v>
      </c>
      <c r="I69" s="210">
        <v>60</v>
      </c>
      <c r="J69" s="210"/>
      <c r="K69" s="199" t="s">
        <v>1484</v>
      </c>
      <c r="L69" s="199" t="s">
        <v>1866</v>
      </c>
      <c r="M69" s="199">
        <v>2024</v>
      </c>
      <c r="N69" s="199" t="s">
        <v>1867</v>
      </c>
      <c r="O69" s="199" t="s">
        <v>1868</v>
      </c>
      <c r="P69" s="199" t="s">
        <v>1869</v>
      </c>
      <c r="Q69" s="200" t="s">
        <v>1489</v>
      </c>
    </row>
    <row r="70" spans="1:17" ht="36">
      <c r="A70" s="204" t="s">
        <v>2124</v>
      </c>
      <c r="B70" s="199" t="s">
        <v>2125</v>
      </c>
      <c r="C70" s="199" t="s">
        <v>1675</v>
      </c>
      <c r="D70" s="199" t="s">
        <v>2126</v>
      </c>
      <c r="E70" s="199" t="s">
        <v>2127</v>
      </c>
      <c r="F70" s="207">
        <v>4.5</v>
      </c>
      <c r="G70" s="199" t="s">
        <v>1321</v>
      </c>
      <c r="H70" s="199" t="s">
        <v>1265</v>
      </c>
      <c r="I70" s="210">
        <v>60</v>
      </c>
      <c r="J70" s="210"/>
      <c r="K70" s="199" t="s">
        <v>1484</v>
      </c>
      <c r="L70" s="199" t="s">
        <v>1866</v>
      </c>
      <c r="M70" s="199">
        <v>2024</v>
      </c>
      <c r="N70" s="199" t="s">
        <v>1867</v>
      </c>
      <c r="O70" s="199" t="s">
        <v>1868</v>
      </c>
      <c r="P70" s="199" t="s">
        <v>1869</v>
      </c>
      <c r="Q70" s="200" t="s">
        <v>1489</v>
      </c>
    </row>
    <row r="71" spans="1:17" ht="36">
      <c r="A71" s="204" t="s">
        <v>2128</v>
      </c>
      <c r="B71" s="199" t="s">
        <v>2129</v>
      </c>
      <c r="C71" s="199" t="s">
        <v>1675</v>
      </c>
      <c r="D71" s="199" t="s">
        <v>2130</v>
      </c>
      <c r="E71" s="199" t="s">
        <v>2131</v>
      </c>
      <c r="F71" s="207">
        <v>5.3</v>
      </c>
      <c r="G71" s="199" t="s">
        <v>1321</v>
      </c>
      <c r="H71" s="199" t="s">
        <v>1265</v>
      </c>
      <c r="I71" s="210">
        <v>60</v>
      </c>
      <c r="J71" s="210"/>
      <c r="K71" s="199" t="s">
        <v>1484</v>
      </c>
      <c r="L71" s="199" t="s">
        <v>1866</v>
      </c>
      <c r="M71" s="199">
        <v>2024</v>
      </c>
      <c r="N71" s="199" t="s">
        <v>1867</v>
      </c>
      <c r="O71" s="199" t="s">
        <v>1868</v>
      </c>
      <c r="P71" s="199" t="s">
        <v>1869</v>
      </c>
      <c r="Q71" s="200" t="s">
        <v>1489</v>
      </c>
    </row>
    <row r="72" spans="1:17" ht="36">
      <c r="A72" s="204" t="s">
        <v>2132</v>
      </c>
      <c r="B72" s="199" t="s">
        <v>2133</v>
      </c>
      <c r="C72" s="199" t="s">
        <v>1675</v>
      </c>
      <c r="D72" s="199" t="s">
        <v>2134</v>
      </c>
      <c r="E72" s="199" t="s">
        <v>2135</v>
      </c>
      <c r="F72" s="207">
        <v>6</v>
      </c>
      <c r="G72" s="199" t="s">
        <v>1321</v>
      </c>
      <c r="H72" s="199" t="s">
        <v>1265</v>
      </c>
      <c r="I72" s="210">
        <v>60</v>
      </c>
      <c r="J72" s="210"/>
      <c r="K72" s="199" t="s">
        <v>1484</v>
      </c>
      <c r="L72" s="199" t="s">
        <v>1866</v>
      </c>
      <c r="M72" s="199">
        <v>2024</v>
      </c>
      <c r="N72" s="199" t="s">
        <v>1867</v>
      </c>
      <c r="O72" s="199" t="s">
        <v>1868</v>
      </c>
      <c r="P72" s="199" t="s">
        <v>1869</v>
      </c>
      <c r="Q72" s="200" t="s">
        <v>1489</v>
      </c>
    </row>
    <row r="73" spans="1:17" ht="36">
      <c r="A73" s="204" t="s">
        <v>2136</v>
      </c>
      <c r="B73" s="199" t="s">
        <v>2137</v>
      </c>
      <c r="C73" s="199" t="s">
        <v>1675</v>
      </c>
      <c r="D73" s="199" t="s">
        <v>2138</v>
      </c>
      <c r="E73" s="199" t="s">
        <v>2139</v>
      </c>
      <c r="F73" s="207">
        <v>5.5</v>
      </c>
      <c r="G73" s="199" t="s">
        <v>1321</v>
      </c>
      <c r="H73" s="199" t="s">
        <v>1265</v>
      </c>
      <c r="I73" s="210">
        <v>60</v>
      </c>
      <c r="J73" s="210"/>
      <c r="K73" s="199" t="s">
        <v>1484</v>
      </c>
      <c r="L73" s="199" t="s">
        <v>1866</v>
      </c>
      <c r="M73" s="199">
        <v>2024</v>
      </c>
      <c r="N73" s="199" t="s">
        <v>1867</v>
      </c>
      <c r="O73" s="199" t="s">
        <v>1868</v>
      </c>
      <c r="P73" s="199" t="s">
        <v>1869</v>
      </c>
      <c r="Q73" s="200" t="s">
        <v>1489</v>
      </c>
    </row>
    <row r="74" spans="1:17" ht="36">
      <c r="A74" s="204" t="s">
        <v>2140</v>
      </c>
      <c r="B74" s="199" t="s">
        <v>2141</v>
      </c>
      <c r="C74" s="199" t="s">
        <v>1714</v>
      </c>
      <c r="D74" s="199" t="s">
        <v>2142</v>
      </c>
      <c r="E74" s="199" t="s">
        <v>2143</v>
      </c>
      <c r="F74" s="207">
        <v>5</v>
      </c>
      <c r="G74" s="199" t="s">
        <v>1321</v>
      </c>
      <c r="H74" s="199" t="s">
        <v>1265</v>
      </c>
      <c r="I74" s="210">
        <v>60</v>
      </c>
      <c r="J74" s="210"/>
      <c r="K74" s="199" t="s">
        <v>1484</v>
      </c>
      <c r="L74" s="199" t="s">
        <v>1866</v>
      </c>
      <c r="M74" s="199">
        <v>2024</v>
      </c>
      <c r="N74" s="199" t="s">
        <v>1867</v>
      </c>
      <c r="O74" s="199" t="s">
        <v>1868</v>
      </c>
      <c r="P74" s="199" t="s">
        <v>1869</v>
      </c>
      <c r="Q74" s="200" t="s">
        <v>1489</v>
      </c>
    </row>
    <row r="75" spans="1:17" ht="36">
      <c r="A75" s="204" t="s">
        <v>2144</v>
      </c>
      <c r="B75" s="199" t="s">
        <v>2145</v>
      </c>
      <c r="C75" s="199" t="s">
        <v>1675</v>
      </c>
      <c r="D75" s="199" t="s">
        <v>2146</v>
      </c>
      <c r="E75" s="199" t="s">
        <v>2147</v>
      </c>
      <c r="F75" s="207">
        <v>7.3</v>
      </c>
      <c r="G75" s="199" t="s">
        <v>1321</v>
      </c>
      <c r="H75" s="199" t="s">
        <v>1265</v>
      </c>
      <c r="I75" s="210">
        <v>60</v>
      </c>
      <c r="J75" s="210"/>
      <c r="K75" s="199" t="s">
        <v>1484</v>
      </c>
      <c r="L75" s="199" t="s">
        <v>1866</v>
      </c>
      <c r="M75" s="199">
        <v>2024</v>
      </c>
      <c r="N75" s="199" t="s">
        <v>1867</v>
      </c>
      <c r="O75" s="199" t="s">
        <v>1868</v>
      </c>
      <c r="P75" s="199" t="s">
        <v>1869</v>
      </c>
      <c r="Q75" s="200" t="s">
        <v>1489</v>
      </c>
    </row>
    <row r="76" spans="1:17" ht="36">
      <c r="A76" s="204" t="s">
        <v>2148</v>
      </c>
      <c r="B76" s="199" t="s">
        <v>2149</v>
      </c>
      <c r="C76" s="199" t="s">
        <v>1675</v>
      </c>
      <c r="D76" s="199" t="s">
        <v>2150</v>
      </c>
      <c r="E76" s="199" t="s">
        <v>2151</v>
      </c>
      <c r="F76" s="207">
        <v>9</v>
      </c>
      <c r="G76" s="199" t="s">
        <v>1321</v>
      </c>
      <c r="H76" s="199" t="s">
        <v>1265</v>
      </c>
      <c r="I76" s="210">
        <v>60</v>
      </c>
      <c r="J76" s="210"/>
      <c r="K76" s="199" t="s">
        <v>1484</v>
      </c>
      <c r="L76" s="199" t="s">
        <v>1866</v>
      </c>
      <c r="M76" s="199">
        <v>2024</v>
      </c>
      <c r="N76" s="199" t="s">
        <v>1867</v>
      </c>
      <c r="O76" s="199" t="s">
        <v>1868</v>
      </c>
      <c r="P76" s="199" t="s">
        <v>1869</v>
      </c>
      <c r="Q76" s="200" t="s">
        <v>1489</v>
      </c>
    </row>
    <row r="77" spans="1:17" ht="36">
      <c r="A77" s="204" t="s">
        <v>2152</v>
      </c>
      <c r="B77" s="199" t="s">
        <v>2153</v>
      </c>
      <c r="C77" s="199" t="s">
        <v>1675</v>
      </c>
      <c r="D77" s="199" t="s">
        <v>2154</v>
      </c>
      <c r="E77" s="199" t="s">
        <v>2155</v>
      </c>
      <c r="F77" s="207">
        <v>4</v>
      </c>
      <c r="G77" s="199" t="s">
        <v>1321</v>
      </c>
      <c r="H77" s="199" t="s">
        <v>1265</v>
      </c>
      <c r="I77" s="210">
        <v>60</v>
      </c>
      <c r="J77" s="210"/>
      <c r="K77" s="199" t="s">
        <v>1484</v>
      </c>
      <c r="L77" s="199" t="s">
        <v>1866</v>
      </c>
      <c r="M77" s="199">
        <v>2024</v>
      </c>
      <c r="N77" s="199" t="s">
        <v>1867</v>
      </c>
      <c r="O77" s="199" t="s">
        <v>1868</v>
      </c>
      <c r="P77" s="199" t="s">
        <v>1869</v>
      </c>
      <c r="Q77" s="200" t="s">
        <v>1489</v>
      </c>
    </row>
    <row r="78" spans="1:17" ht="36">
      <c r="A78" s="204" t="s">
        <v>2156</v>
      </c>
      <c r="B78" s="199" t="s">
        <v>2157</v>
      </c>
      <c r="C78" s="199" t="s">
        <v>1675</v>
      </c>
      <c r="D78" s="199" t="s">
        <v>2158</v>
      </c>
      <c r="E78" s="199" t="s">
        <v>2159</v>
      </c>
      <c r="F78" s="207">
        <v>7</v>
      </c>
      <c r="G78" s="199" t="s">
        <v>1321</v>
      </c>
      <c r="H78" s="199" t="s">
        <v>1265</v>
      </c>
      <c r="I78" s="210">
        <v>60</v>
      </c>
      <c r="J78" s="210"/>
      <c r="K78" s="199" t="s">
        <v>1484</v>
      </c>
      <c r="L78" s="199" t="s">
        <v>1866</v>
      </c>
      <c r="M78" s="199">
        <v>2024</v>
      </c>
      <c r="N78" s="199" t="s">
        <v>1867</v>
      </c>
      <c r="O78" s="199" t="s">
        <v>1868</v>
      </c>
      <c r="P78" s="199" t="s">
        <v>1869</v>
      </c>
      <c r="Q78" s="200" t="s">
        <v>1489</v>
      </c>
    </row>
    <row r="79" spans="1:17" ht="36">
      <c r="A79" s="204" t="s">
        <v>2160</v>
      </c>
      <c r="B79" s="199" t="s">
        <v>2161</v>
      </c>
      <c r="C79" s="199" t="s">
        <v>2101</v>
      </c>
      <c r="D79" s="199" t="s">
        <v>2162</v>
      </c>
      <c r="E79" s="199" t="s">
        <v>2163</v>
      </c>
      <c r="F79" s="207">
        <v>3.5</v>
      </c>
      <c r="G79" s="199" t="s">
        <v>1321</v>
      </c>
      <c r="H79" s="199" t="s">
        <v>1265</v>
      </c>
      <c r="I79" s="210">
        <v>60</v>
      </c>
      <c r="J79" s="210"/>
      <c r="K79" s="199" t="s">
        <v>1484</v>
      </c>
      <c r="L79" s="199" t="s">
        <v>1866</v>
      </c>
      <c r="M79" s="199">
        <v>2024</v>
      </c>
      <c r="N79" s="199" t="s">
        <v>1867</v>
      </c>
      <c r="O79" s="199" t="s">
        <v>1868</v>
      </c>
      <c r="P79" s="199" t="s">
        <v>1869</v>
      </c>
      <c r="Q79" s="200" t="s">
        <v>1489</v>
      </c>
    </row>
    <row r="80" spans="1:17" ht="36">
      <c r="A80" s="204" t="s">
        <v>2164</v>
      </c>
      <c r="B80" s="199" t="s">
        <v>2165</v>
      </c>
      <c r="C80" s="199" t="s">
        <v>2101</v>
      </c>
      <c r="D80" s="199" t="s">
        <v>2166</v>
      </c>
      <c r="E80" s="199" t="s">
        <v>2167</v>
      </c>
      <c r="F80" s="207">
        <v>3.5</v>
      </c>
      <c r="G80" s="199" t="s">
        <v>1321</v>
      </c>
      <c r="H80" s="199" t="s">
        <v>1265</v>
      </c>
      <c r="I80" s="210">
        <v>60</v>
      </c>
      <c r="J80" s="210"/>
      <c r="K80" s="199" t="s">
        <v>1484</v>
      </c>
      <c r="L80" s="199" t="s">
        <v>1866</v>
      </c>
      <c r="M80" s="199">
        <v>2024</v>
      </c>
      <c r="N80" s="199" t="s">
        <v>1867</v>
      </c>
      <c r="O80" s="199" t="s">
        <v>1868</v>
      </c>
      <c r="P80" s="199" t="s">
        <v>1869</v>
      </c>
      <c r="Q80" s="200" t="s">
        <v>1489</v>
      </c>
    </row>
    <row r="81" spans="1:17" ht="36">
      <c r="A81" s="204" t="s">
        <v>2168</v>
      </c>
      <c r="B81" s="199" t="s">
        <v>2169</v>
      </c>
      <c r="C81" s="199" t="s">
        <v>2101</v>
      </c>
      <c r="D81" s="199" t="s">
        <v>2170</v>
      </c>
      <c r="E81" s="199" t="s">
        <v>2171</v>
      </c>
      <c r="F81" s="207">
        <v>3.5</v>
      </c>
      <c r="G81" s="199" t="s">
        <v>1321</v>
      </c>
      <c r="H81" s="199" t="s">
        <v>1265</v>
      </c>
      <c r="I81" s="210">
        <v>60</v>
      </c>
      <c r="J81" s="210"/>
      <c r="K81" s="199" t="s">
        <v>1484</v>
      </c>
      <c r="L81" s="199" t="s">
        <v>1866</v>
      </c>
      <c r="M81" s="199">
        <v>2024</v>
      </c>
      <c r="N81" s="199" t="s">
        <v>1867</v>
      </c>
      <c r="O81" s="199" t="s">
        <v>1868</v>
      </c>
      <c r="P81" s="199" t="s">
        <v>1869</v>
      </c>
      <c r="Q81" s="200" t="s">
        <v>1489</v>
      </c>
    </row>
    <row r="82" spans="1:17" ht="36">
      <c r="A82" s="204" t="s">
        <v>2172</v>
      </c>
      <c r="B82" s="199" t="s">
        <v>2173</v>
      </c>
      <c r="C82" s="199" t="s">
        <v>2174</v>
      </c>
      <c r="D82" s="199" t="s">
        <v>2175</v>
      </c>
      <c r="E82" s="199" t="s">
        <v>2176</v>
      </c>
      <c r="F82" s="207">
        <v>1.8</v>
      </c>
      <c r="G82" s="199" t="s">
        <v>1321</v>
      </c>
      <c r="H82" s="199" t="s">
        <v>1265</v>
      </c>
      <c r="I82" s="210">
        <v>60</v>
      </c>
      <c r="J82" s="210"/>
      <c r="K82" s="199" t="s">
        <v>1484</v>
      </c>
      <c r="L82" s="199" t="s">
        <v>1866</v>
      </c>
      <c r="M82" s="199">
        <v>2024</v>
      </c>
      <c r="N82" s="199" t="s">
        <v>1867</v>
      </c>
      <c r="O82" s="199" t="s">
        <v>1868</v>
      </c>
      <c r="P82" s="199" t="s">
        <v>1869</v>
      </c>
      <c r="Q82" s="200" t="s">
        <v>1489</v>
      </c>
    </row>
    <row r="83" spans="1:17" ht="36">
      <c r="A83" s="204" t="s">
        <v>2177</v>
      </c>
      <c r="B83" s="199" t="s">
        <v>2178</v>
      </c>
      <c r="C83" s="199" t="s">
        <v>2174</v>
      </c>
      <c r="D83" s="199" t="s">
        <v>2179</v>
      </c>
      <c r="E83" s="199" t="s">
        <v>2180</v>
      </c>
      <c r="F83" s="207">
        <v>2.8</v>
      </c>
      <c r="G83" s="199" t="s">
        <v>1321</v>
      </c>
      <c r="H83" s="199" t="s">
        <v>1265</v>
      </c>
      <c r="I83" s="210">
        <v>60</v>
      </c>
      <c r="J83" s="210"/>
      <c r="K83" s="199" t="s">
        <v>1484</v>
      </c>
      <c r="L83" s="199" t="s">
        <v>1866</v>
      </c>
      <c r="M83" s="199">
        <v>2024</v>
      </c>
      <c r="N83" s="199" t="s">
        <v>1867</v>
      </c>
      <c r="O83" s="199" t="s">
        <v>1868</v>
      </c>
      <c r="P83" s="199" t="s">
        <v>1869</v>
      </c>
      <c r="Q83" s="200" t="s">
        <v>1489</v>
      </c>
    </row>
    <row r="84" spans="1:17" ht="36">
      <c r="A84" s="204" t="s">
        <v>2181</v>
      </c>
      <c r="B84" s="199" t="s">
        <v>2182</v>
      </c>
      <c r="C84" s="199" t="s">
        <v>2174</v>
      </c>
      <c r="D84" s="199" t="s">
        <v>2183</v>
      </c>
      <c r="E84" s="199" t="s">
        <v>2184</v>
      </c>
      <c r="F84" s="207">
        <v>3.5</v>
      </c>
      <c r="G84" s="199" t="s">
        <v>1321</v>
      </c>
      <c r="H84" s="199" t="s">
        <v>1265</v>
      </c>
      <c r="I84" s="210">
        <v>60</v>
      </c>
      <c r="J84" s="210"/>
      <c r="K84" s="199" t="s">
        <v>1484</v>
      </c>
      <c r="L84" s="199" t="s">
        <v>1866</v>
      </c>
      <c r="M84" s="199">
        <v>2024</v>
      </c>
      <c r="N84" s="199" t="s">
        <v>1867</v>
      </c>
      <c r="O84" s="199" t="s">
        <v>1868</v>
      </c>
      <c r="P84" s="199" t="s">
        <v>1869</v>
      </c>
      <c r="Q84" s="200" t="s">
        <v>1489</v>
      </c>
    </row>
    <row r="85" spans="1:17" ht="36">
      <c r="A85" s="204" t="s">
        <v>2185</v>
      </c>
      <c r="B85" s="199" t="s">
        <v>2186</v>
      </c>
      <c r="C85" s="199" t="s">
        <v>2174</v>
      </c>
      <c r="D85" s="199" t="s">
        <v>2187</v>
      </c>
      <c r="E85" s="199" t="s">
        <v>2188</v>
      </c>
      <c r="F85" s="207">
        <v>5.5</v>
      </c>
      <c r="G85" s="199" t="s">
        <v>1321</v>
      </c>
      <c r="H85" s="199" t="s">
        <v>1265</v>
      </c>
      <c r="I85" s="210">
        <v>60</v>
      </c>
      <c r="J85" s="210"/>
      <c r="K85" s="199" t="s">
        <v>1484</v>
      </c>
      <c r="L85" s="199" t="s">
        <v>1866</v>
      </c>
      <c r="M85" s="199">
        <v>2024</v>
      </c>
      <c r="N85" s="199" t="s">
        <v>1867</v>
      </c>
      <c r="O85" s="199" t="s">
        <v>1868</v>
      </c>
      <c r="P85" s="199" t="s">
        <v>1869</v>
      </c>
      <c r="Q85" s="200" t="s">
        <v>1489</v>
      </c>
    </row>
    <row r="86" spans="1:17" ht="36">
      <c r="A86" s="204" t="s">
        <v>2189</v>
      </c>
      <c r="B86" s="199" t="s">
        <v>2190</v>
      </c>
      <c r="C86" s="199" t="s">
        <v>2174</v>
      </c>
      <c r="D86" s="199" t="s">
        <v>2191</v>
      </c>
      <c r="E86" s="199" t="s">
        <v>2192</v>
      </c>
      <c r="F86" s="207">
        <v>7.8</v>
      </c>
      <c r="G86" s="199" t="s">
        <v>1321</v>
      </c>
      <c r="H86" s="199" t="s">
        <v>1265</v>
      </c>
      <c r="I86" s="210">
        <v>60</v>
      </c>
      <c r="J86" s="210"/>
      <c r="K86" s="199" t="s">
        <v>1484</v>
      </c>
      <c r="L86" s="199" t="s">
        <v>1866</v>
      </c>
      <c r="M86" s="199">
        <v>2024</v>
      </c>
      <c r="N86" s="199" t="s">
        <v>1867</v>
      </c>
      <c r="O86" s="199" t="s">
        <v>1868</v>
      </c>
      <c r="P86" s="199" t="s">
        <v>1869</v>
      </c>
      <c r="Q86" s="200" t="s">
        <v>1489</v>
      </c>
    </row>
    <row r="87" spans="1:17" ht="36">
      <c r="A87" s="205" t="s">
        <v>2193</v>
      </c>
      <c r="B87" s="201" t="s">
        <v>2194</v>
      </c>
      <c r="C87" s="201" t="s">
        <v>1856</v>
      </c>
      <c r="D87" s="201" t="s">
        <v>1857</v>
      </c>
      <c r="E87" s="201" t="s">
        <v>1858</v>
      </c>
      <c r="F87" s="208">
        <v>0</v>
      </c>
      <c r="G87" s="201" t="s">
        <v>1321</v>
      </c>
      <c r="H87" s="201" t="s">
        <v>1265</v>
      </c>
      <c r="I87" s="211">
        <v>60</v>
      </c>
      <c r="J87" s="211"/>
      <c r="K87" s="201" t="s">
        <v>1484</v>
      </c>
      <c r="L87" s="201" t="s">
        <v>1866</v>
      </c>
      <c r="M87" s="201">
        <v>2024</v>
      </c>
      <c r="N87" s="201" t="s">
        <v>1867</v>
      </c>
      <c r="O87" s="201" t="s">
        <v>1868</v>
      </c>
      <c r="P87" s="201" t="s">
        <v>1869</v>
      </c>
      <c r="Q87" s="202" t="s">
        <v>1489</v>
      </c>
    </row>
  </sheetData>
  <sheetProtection algorithmName="SHA-512" hashValue="WfVqGzs2WAVPDuCh+lI29UZClAmhjJAlIbEXJACTnWPgcdwpW0UTdS0sNMA/HmHAe6HFZYEsFpgXuF0p4YHSEg==" saltValue="VMKw2hPni/Qwiu/Cz7AU4A==" spinCount="100000" sheet="1" objects="1" scenarios="1"/>
  <mergeCells count="1">
    <mergeCell ref="A1:Q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84"/>
  <sheetViews>
    <sheetView tabSelected="1" topLeftCell="A25" workbookViewId="0">
      <selection sqref="A1:Q1"/>
    </sheetView>
  </sheetViews>
  <sheetFormatPr baseColWidth="10" defaultColWidth="9.140625" defaultRowHeight="15"/>
  <cols>
    <col min="1" max="1" width="11" customWidth="1"/>
    <col min="2" max="2" width="42" customWidth="1"/>
    <col min="3" max="3" width="18" customWidth="1"/>
    <col min="4" max="4" width="52" customWidth="1"/>
    <col min="5" max="5" width="42" customWidth="1"/>
    <col min="6" max="6" width="9" customWidth="1"/>
    <col min="7" max="7" width="10" customWidth="1"/>
    <col min="8" max="8" width="32" customWidth="1"/>
    <col min="9" max="10" width="9" customWidth="1"/>
    <col min="11" max="11" width="34" customWidth="1"/>
    <col min="12" max="12" width="28" customWidth="1"/>
    <col min="13" max="13" width="9" customWidth="1"/>
    <col min="14" max="14" width="26" customWidth="1"/>
    <col min="15" max="15" width="40" customWidth="1"/>
    <col min="16" max="16" width="46" customWidth="1"/>
    <col min="17" max="17" width="26" customWidth="1"/>
  </cols>
  <sheetData>
    <row r="1" spans="1:19" ht="24" customHeight="1">
      <c r="A1" s="343" t="s">
        <v>2195</v>
      </c>
      <c r="B1" s="343"/>
      <c r="C1" s="343"/>
      <c r="D1" s="343"/>
      <c r="E1" s="343"/>
      <c r="F1" s="343"/>
      <c r="G1" s="343"/>
      <c r="H1" s="343"/>
      <c r="I1" s="343"/>
      <c r="J1" s="343"/>
      <c r="K1" s="343"/>
      <c r="L1" s="343"/>
      <c r="M1" s="343"/>
      <c r="N1" s="343"/>
      <c r="O1" s="343"/>
      <c r="P1" s="343"/>
      <c r="Q1" s="343"/>
      <c r="S1" t="s">
        <v>1467</v>
      </c>
    </row>
    <row r="2" spans="1:19" ht="33.950000000000003" customHeight="1">
      <c r="A2" s="194" t="s">
        <v>1195</v>
      </c>
      <c r="B2" s="195" t="s">
        <v>1468</v>
      </c>
      <c r="C2" s="195" t="s">
        <v>1469</v>
      </c>
      <c r="D2" s="195" t="s">
        <v>1470</v>
      </c>
      <c r="E2" s="195" t="s">
        <v>1471</v>
      </c>
      <c r="F2" s="195" t="s">
        <v>65</v>
      </c>
      <c r="G2" s="195" t="s">
        <v>66</v>
      </c>
      <c r="H2" s="195" t="s">
        <v>28</v>
      </c>
      <c r="I2" s="195" t="s">
        <v>1472</v>
      </c>
      <c r="J2" s="195" t="s">
        <v>1473</v>
      </c>
      <c r="K2" s="195" t="s">
        <v>1474</v>
      </c>
      <c r="L2" s="195" t="s">
        <v>1475</v>
      </c>
      <c r="M2" s="195" t="s">
        <v>348</v>
      </c>
      <c r="N2" s="195" t="s">
        <v>1476</v>
      </c>
      <c r="O2" s="195" t="s">
        <v>1477</v>
      </c>
      <c r="P2" s="195" t="s">
        <v>1478</v>
      </c>
      <c r="Q2" s="196" t="s">
        <v>1479</v>
      </c>
      <c r="S2" t="s">
        <v>1480</v>
      </c>
    </row>
    <row r="3" spans="1:19" ht="36">
      <c r="A3" s="203" t="s">
        <v>2196</v>
      </c>
      <c r="B3" s="197" t="s">
        <v>2197</v>
      </c>
      <c r="C3" s="197" t="s">
        <v>1748</v>
      </c>
      <c r="D3" s="197" t="s">
        <v>2198</v>
      </c>
      <c r="E3" s="197" t="s">
        <v>2199</v>
      </c>
      <c r="F3" s="206">
        <v>1.7</v>
      </c>
      <c r="G3" s="197" t="s">
        <v>1327</v>
      </c>
      <c r="H3" s="197" t="s">
        <v>2200</v>
      </c>
      <c r="I3" s="209">
        <v>19</v>
      </c>
      <c r="J3" s="209"/>
      <c r="K3" s="197" t="s">
        <v>1484</v>
      </c>
      <c r="L3" s="197" t="s">
        <v>2201</v>
      </c>
      <c r="M3" s="197">
        <v>2024</v>
      </c>
      <c r="N3" s="197" t="s">
        <v>2202</v>
      </c>
      <c r="O3" s="197" t="s">
        <v>2203</v>
      </c>
      <c r="P3" s="197" t="s">
        <v>2204</v>
      </c>
      <c r="Q3" s="198" t="s">
        <v>1489</v>
      </c>
    </row>
    <row r="4" spans="1:19" ht="36">
      <c r="A4" s="204" t="s">
        <v>2205</v>
      </c>
      <c r="B4" s="199" t="s">
        <v>2206</v>
      </c>
      <c r="C4" s="199" t="s">
        <v>1748</v>
      </c>
      <c r="D4" s="199" t="s">
        <v>2207</v>
      </c>
      <c r="E4" s="199" t="s">
        <v>2208</v>
      </c>
      <c r="F4" s="207">
        <v>2.2000000000000002</v>
      </c>
      <c r="G4" s="199" t="s">
        <v>1327</v>
      </c>
      <c r="H4" s="199" t="s">
        <v>2200</v>
      </c>
      <c r="I4" s="210">
        <v>19</v>
      </c>
      <c r="J4" s="210"/>
      <c r="K4" s="199" t="s">
        <v>1484</v>
      </c>
      <c r="L4" s="199" t="s">
        <v>2201</v>
      </c>
      <c r="M4" s="199">
        <v>2024</v>
      </c>
      <c r="N4" s="199" t="s">
        <v>2202</v>
      </c>
      <c r="O4" s="199" t="s">
        <v>2203</v>
      </c>
      <c r="P4" s="199" t="s">
        <v>2204</v>
      </c>
      <c r="Q4" s="200" t="s">
        <v>1489</v>
      </c>
    </row>
    <row r="5" spans="1:19" ht="36">
      <c r="A5" s="204" t="s">
        <v>2209</v>
      </c>
      <c r="B5" s="199" t="s">
        <v>2210</v>
      </c>
      <c r="C5" s="199" t="s">
        <v>1748</v>
      </c>
      <c r="D5" s="199" t="s">
        <v>2211</v>
      </c>
      <c r="E5" s="199" t="s">
        <v>2212</v>
      </c>
      <c r="F5" s="207">
        <v>2.7</v>
      </c>
      <c r="G5" s="199" t="s">
        <v>1327</v>
      </c>
      <c r="H5" s="199" t="s">
        <v>2200</v>
      </c>
      <c r="I5" s="210">
        <v>19</v>
      </c>
      <c r="J5" s="210"/>
      <c r="K5" s="199" t="s">
        <v>1484</v>
      </c>
      <c r="L5" s="199" t="s">
        <v>2201</v>
      </c>
      <c r="M5" s="199">
        <v>2024</v>
      </c>
      <c r="N5" s="199" t="s">
        <v>2202</v>
      </c>
      <c r="O5" s="199" t="s">
        <v>2203</v>
      </c>
      <c r="P5" s="199" t="s">
        <v>2204</v>
      </c>
      <c r="Q5" s="200" t="s">
        <v>1489</v>
      </c>
    </row>
    <row r="6" spans="1:19" ht="36">
      <c r="A6" s="204" t="s">
        <v>2213</v>
      </c>
      <c r="B6" s="199" t="s">
        <v>2214</v>
      </c>
      <c r="C6" s="199" t="s">
        <v>1748</v>
      </c>
      <c r="D6" s="199" t="s">
        <v>2215</v>
      </c>
      <c r="E6" s="199" t="s">
        <v>2216</v>
      </c>
      <c r="F6" s="207">
        <v>3.5</v>
      </c>
      <c r="G6" s="199" t="s">
        <v>1327</v>
      </c>
      <c r="H6" s="199" t="s">
        <v>2200</v>
      </c>
      <c r="I6" s="210">
        <v>19</v>
      </c>
      <c r="J6" s="210"/>
      <c r="K6" s="199" t="s">
        <v>1484</v>
      </c>
      <c r="L6" s="199" t="s">
        <v>2201</v>
      </c>
      <c r="M6" s="199">
        <v>2024</v>
      </c>
      <c r="N6" s="199" t="s">
        <v>2202</v>
      </c>
      <c r="O6" s="199" t="s">
        <v>2203</v>
      </c>
      <c r="P6" s="199" t="s">
        <v>2204</v>
      </c>
      <c r="Q6" s="200" t="s">
        <v>1489</v>
      </c>
    </row>
    <row r="7" spans="1:19" ht="36">
      <c r="A7" s="204" t="s">
        <v>2217</v>
      </c>
      <c r="B7" s="199" t="s">
        <v>2218</v>
      </c>
      <c r="C7" s="199" t="s">
        <v>1748</v>
      </c>
      <c r="D7" s="199" t="s">
        <v>2219</v>
      </c>
      <c r="E7" s="199" t="s">
        <v>2220</v>
      </c>
      <c r="F7" s="207">
        <v>4.5999999999999996</v>
      </c>
      <c r="G7" s="199" t="s">
        <v>1327</v>
      </c>
      <c r="H7" s="199" t="s">
        <v>2200</v>
      </c>
      <c r="I7" s="210">
        <v>19</v>
      </c>
      <c r="J7" s="210"/>
      <c r="K7" s="199" t="s">
        <v>1484</v>
      </c>
      <c r="L7" s="199" t="s">
        <v>2201</v>
      </c>
      <c r="M7" s="199">
        <v>2024</v>
      </c>
      <c r="N7" s="199" t="s">
        <v>2202</v>
      </c>
      <c r="O7" s="199" t="s">
        <v>2203</v>
      </c>
      <c r="P7" s="199" t="s">
        <v>2204</v>
      </c>
      <c r="Q7" s="200" t="s">
        <v>1489</v>
      </c>
    </row>
    <row r="8" spans="1:19" ht="36">
      <c r="A8" s="204" t="s">
        <v>2221</v>
      </c>
      <c r="B8" s="199" t="s">
        <v>2222</v>
      </c>
      <c r="C8" s="199" t="s">
        <v>1748</v>
      </c>
      <c r="D8" s="199" t="s">
        <v>2223</v>
      </c>
      <c r="E8" s="199" t="s">
        <v>2224</v>
      </c>
      <c r="F8" s="207">
        <v>2.2999999999999998</v>
      </c>
      <c r="G8" s="199" t="s">
        <v>1327</v>
      </c>
      <c r="H8" s="199" t="s">
        <v>2200</v>
      </c>
      <c r="I8" s="210">
        <v>19</v>
      </c>
      <c r="J8" s="210"/>
      <c r="K8" s="199" t="s">
        <v>1484</v>
      </c>
      <c r="L8" s="199" t="s">
        <v>2201</v>
      </c>
      <c r="M8" s="199">
        <v>2024</v>
      </c>
      <c r="N8" s="199" t="s">
        <v>2202</v>
      </c>
      <c r="O8" s="199" t="s">
        <v>2203</v>
      </c>
      <c r="P8" s="199" t="s">
        <v>2204</v>
      </c>
      <c r="Q8" s="200" t="s">
        <v>1489</v>
      </c>
    </row>
    <row r="9" spans="1:19" ht="36">
      <c r="A9" s="204" t="s">
        <v>2225</v>
      </c>
      <c r="B9" s="199" t="s">
        <v>2226</v>
      </c>
      <c r="C9" s="199" t="s">
        <v>1748</v>
      </c>
      <c r="D9" s="199" t="s">
        <v>2227</v>
      </c>
      <c r="E9" s="199" t="s">
        <v>2228</v>
      </c>
      <c r="F9" s="207">
        <v>4.3</v>
      </c>
      <c r="G9" s="199" t="s">
        <v>1327</v>
      </c>
      <c r="H9" s="199" t="s">
        <v>2200</v>
      </c>
      <c r="I9" s="210">
        <v>19</v>
      </c>
      <c r="J9" s="210"/>
      <c r="K9" s="199" t="s">
        <v>1484</v>
      </c>
      <c r="L9" s="199" t="s">
        <v>2201</v>
      </c>
      <c r="M9" s="199">
        <v>2024</v>
      </c>
      <c r="N9" s="199" t="s">
        <v>2202</v>
      </c>
      <c r="O9" s="199" t="s">
        <v>2203</v>
      </c>
      <c r="P9" s="199" t="s">
        <v>2204</v>
      </c>
      <c r="Q9" s="200" t="s">
        <v>1489</v>
      </c>
    </row>
    <row r="10" spans="1:19" ht="36">
      <c r="A10" s="204" t="s">
        <v>2229</v>
      </c>
      <c r="B10" s="199" t="s">
        <v>2230</v>
      </c>
      <c r="C10" s="199" t="s">
        <v>1748</v>
      </c>
      <c r="D10" s="199" t="s">
        <v>2231</v>
      </c>
      <c r="E10" s="199" t="s">
        <v>2232</v>
      </c>
      <c r="F10" s="207">
        <v>3</v>
      </c>
      <c r="G10" s="199" t="s">
        <v>1327</v>
      </c>
      <c r="H10" s="199" t="s">
        <v>2200</v>
      </c>
      <c r="I10" s="210">
        <v>19</v>
      </c>
      <c r="J10" s="210"/>
      <c r="K10" s="199" t="s">
        <v>1484</v>
      </c>
      <c r="L10" s="199" t="s">
        <v>2201</v>
      </c>
      <c r="M10" s="199">
        <v>2024</v>
      </c>
      <c r="N10" s="199" t="s">
        <v>2202</v>
      </c>
      <c r="O10" s="199" t="s">
        <v>2203</v>
      </c>
      <c r="P10" s="199" t="s">
        <v>2204</v>
      </c>
      <c r="Q10" s="200" t="s">
        <v>1489</v>
      </c>
    </row>
    <row r="11" spans="1:19" ht="36">
      <c r="A11" s="204" t="s">
        <v>2233</v>
      </c>
      <c r="B11" s="199" t="s">
        <v>2234</v>
      </c>
      <c r="C11" s="199" t="s">
        <v>1748</v>
      </c>
      <c r="D11" s="199" t="s">
        <v>2235</v>
      </c>
      <c r="E11" s="199" t="s">
        <v>2236</v>
      </c>
      <c r="F11" s="207">
        <v>7.5</v>
      </c>
      <c r="G11" s="199" t="s">
        <v>1327</v>
      </c>
      <c r="H11" s="199" t="s">
        <v>2200</v>
      </c>
      <c r="I11" s="210">
        <v>19</v>
      </c>
      <c r="J11" s="210"/>
      <c r="K11" s="199" t="s">
        <v>1484</v>
      </c>
      <c r="L11" s="199" t="s">
        <v>2201</v>
      </c>
      <c r="M11" s="199">
        <v>2024</v>
      </c>
      <c r="N11" s="199" t="s">
        <v>2202</v>
      </c>
      <c r="O11" s="199" t="s">
        <v>2203</v>
      </c>
      <c r="P11" s="199" t="s">
        <v>2204</v>
      </c>
      <c r="Q11" s="200" t="s">
        <v>1489</v>
      </c>
    </row>
    <row r="12" spans="1:19" ht="36">
      <c r="A12" s="204" t="s">
        <v>2237</v>
      </c>
      <c r="B12" s="199" t="s">
        <v>2238</v>
      </c>
      <c r="C12" s="199" t="s">
        <v>1748</v>
      </c>
      <c r="D12" s="199" t="s">
        <v>2239</v>
      </c>
      <c r="E12" s="199" t="s">
        <v>2240</v>
      </c>
      <c r="F12" s="207">
        <v>3.6</v>
      </c>
      <c r="G12" s="199" t="s">
        <v>1327</v>
      </c>
      <c r="H12" s="199" t="s">
        <v>2200</v>
      </c>
      <c r="I12" s="210">
        <v>19</v>
      </c>
      <c r="J12" s="210"/>
      <c r="K12" s="199" t="s">
        <v>1484</v>
      </c>
      <c r="L12" s="199" t="s">
        <v>2201</v>
      </c>
      <c r="M12" s="199">
        <v>2024</v>
      </c>
      <c r="N12" s="199" t="s">
        <v>2202</v>
      </c>
      <c r="O12" s="199" t="s">
        <v>2203</v>
      </c>
      <c r="P12" s="199" t="s">
        <v>2204</v>
      </c>
      <c r="Q12" s="200" t="s">
        <v>1489</v>
      </c>
    </row>
    <row r="13" spans="1:19" ht="36">
      <c r="A13" s="204" t="s">
        <v>2241</v>
      </c>
      <c r="B13" s="199" t="s">
        <v>2242</v>
      </c>
      <c r="C13" s="199" t="s">
        <v>1748</v>
      </c>
      <c r="D13" s="199" t="s">
        <v>2243</v>
      </c>
      <c r="E13" s="199" t="s">
        <v>2244</v>
      </c>
      <c r="F13" s="207">
        <v>2.1</v>
      </c>
      <c r="G13" s="199" t="s">
        <v>1327</v>
      </c>
      <c r="H13" s="199" t="s">
        <v>2200</v>
      </c>
      <c r="I13" s="210">
        <v>19</v>
      </c>
      <c r="J13" s="210"/>
      <c r="K13" s="199" t="s">
        <v>1484</v>
      </c>
      <c r="L13" s="199" t="s">
        <v>2201</v>
      </c>
      <c r="M13" s="199">
        <v>2024</v>
      </c>
      <c r="N13" s="199" t="s">
        <v>2202</v>
      </c>
      <c r="O13" s="199" t="s">
        <v>2203</v>
      </c>
      <c r="P13" s="199" t="s">
        <v>2204</v>
      </c>
      <c r="Q13" s="200" t="s">
        <v>1489</v>
      </c>
    </row>
    <row r="14" spans="1:19" ht="36">
      <c r="A14" s="204" t="s">
        <v>2245</v>
      </c>
      <c r="B14" s="199" t="s">
        <v>2246</v>
      </c>
      <c r="C14" s="199" t="s">
        <v>1748</v>
      </c>
      <c r="D14" s="199" t="s">
        <v>2247</v>
      </c>
      <c r="E14" s="199" t="s">
        <v>2248</v>
      </c>
      <c r="F14" s="207">
        <v>2.2999999999999998</v>
      </c>
      <c r="G14" s="199" t="s">
        <v>1327</v>
      </c>
      <c r="H14" s="199" t="s">
        <v>2200</v>
      </c>
      <c r="I14" s="210">
        <v>19</v>
      </c>
      <c r="J14" s="210"/>
      <c r="K14" s="199" t="s">
        <v>1484</v>
      </c>
      <c r="L14" s="199" t="s">
        <v>2201</v>
      </c>
      <c r="M14" s="199">
        <v>2024</v>
      </c>
      <c r="N14" s="199" t="s">
        <v>2202</v>
      </c>
      <c r="O14" s="199" t="s">
        <v>2203</v>
      </c>
      <c r="P14" s="199" t="s">
        <v>2204</v>
      </c>
      <c r="Q14" s="200" t="s">
        <v>1489</v>
      </c>
    </row>
    <row r="15" spans="1:19" ht="36">
      <c r="A15" s="204" t="s">
        <v>2249</v>
      </c>
      <c r="B15" s="199" t="s">
        <v>2250</v>
      </c>
      <c r="C15" s="199" t="s">
        <v>1748</v>
      </c>
      <c r="D15" s="199" t="s">
        <v>2251</v>
      </c>
      <c r="E15" s="199" t="s">
        <v>2252</v>
      </c>
      <c r="F15" s="207">
        <v>1.5</v>
      </c>
      <c r="G15" s="199" t="s">
        <v>1327</v>
      </c>
      <c r="H15" s="199" t="s">
        <v>2200</v>
      </c>
      <c r="I15" s="210">
        <v>19</v>
      </c>
      <c r="J15" s="210"/>
      <c r="K15" s="199" t="s">
        <v>1484</v>
      </c>
      <c r="L15" s="199" t="s">
        <v>2201</v>
      </c>
      <c r="M15" s="199">
        <v>2024</v>
      </c>
      <c r="N15" s="199" t="s">
        <v>2202</v>
      </c>
      <c r="O15" s="199" t="s">
        <v>2203</v>
      </c>
      <c r="P15" s="199" t="s">
        <v>2204</v>
      </c>
      <c r="Q15" s="200" t="s">
        <v>1489</v>
      </c>
    </row>
    <row r="16" spans="1:19" ht="36">
      <c r="A16" s="204" t="s">
        <v>2253</v>
      </c>
      <c r="B16" s="199" t="s">
        <v>2254</v>
      </c>
      <c r="C16" s="199" t="s">
        <v>1748</v>
      </c>
      <c r="D16" s="199" t="s">
        <v>2255</v>
      </c>
      <c r="E16" s="199" t="s">
        <v>2256</v>
      </c>
      <c r="F16" s="207">
        <v>2</v>
      </c>
      <c r="G16" s="199" t="s">
        <v>1327</v>
      </c>
      <c r="H16" s="199" t="s">
        <v>2200</v>
      </c>
      <c r="I16" s="210">
        <v>19</v>
      </c>
      <c r="J16" s="210"/>
      <c r="K16" s="199" t="s">
        <v>1484</v>
      </c>
      <c r="L16" s="199" t="s">
        <v>2201</v>
      </c>
      <c r="M16" s="199">
        <v>2024</v>
      </c>
      <c r="N16" s="199" t="s">
        <v>2202</v>
      </c>
      <c r="O16" s="199" t="s">
        <v>2203</v>
      </c>
      <c r="P16" s="199" t="s">
        <v>2204</v>
      </c>
      <c r="Q16" s="200" t="s">
        <v>1489</v>
      </c>
    </row>
    <row r="17" spans="1:17" ht="36">
      <c r="A17" s="204" t="s">
        <v>2257</v>
      </c>
      <c r="B17" s="199" t="s">
        <v>2258</v>
      </c>
      <c r="C17" s="199" t="s">
        <v>1748</v>
      </c>
      <c r="D17" s="199" t="s">
        <v>2259</v>
      </c>
      <c r="E17" s="199" t="s">
        <v>2260</v>
      </c>
      <c r="F17" s="207">
        <v>3.4</v>
      </c>
      <c r="G17" s="199" t="s">
        <v>1327</v>
      </c>
      <c r="H17" s="199" t="s">
        <v>2200</v>
      </c>
      <c r="I17" s="210">
        <v>19</v>
      </c>
      <c r="J17" s="210"/>
      <c r="K17" s="199" t="s">
        <v>1484</v>
      </c>
      <c r="L17" s="199" t="s">
        <v>2201</v>
      </c>
      <c r="M17" s="199">
        <v>2024</v>
      </c>
      <c r="N17" s="199" t="s">
        <v>2202</v>
      </c>
      <c r="O17" s="199" t="s">
        <v>2203</v>
      </c>
      <c r="P17" s="199" t="s">
        <v>2204</v>
      </c>
      <c r="Q17" s="200" t="s">
        <v>1489</v>
      </c>
    </row>
    <row r="18" spans="1:17" ht="36">
      <c r="A18" s="204" t="s">
        <v>2261</v>
      </c>
      <c r="B18" s="199" t="s">
        <v>2262</v>
      </c>
      <c r="C18" s="199" t="s">
        <v>1748</v>
      </c>
      <c r="D18" s="199" t="s">
        <v>2263</v>
      </c>
      <c r="E18" s="199" t="s">
        <v>2264</v>
      </c>
      <c r="F18" s="207">
        <v>4.4000000000000004</v>
      </c>
      <c r="G18" s="199" t="s">
        <v>1327</v>
      </c>
      <c r="H18" s="199" t="s">
        <v>2200</v>
      </c>
      <c r="I18" s="210">
        <v>19</v>
      </c>
      <c r="J18" s="210"/>
      <c r="K18" s="199" t="s">
        <v>1484</v>
      </c>
      <c r="L18" s="199" t="s">
        <v>2201</v>
      </c>
      <c r="M18" s="199">
        <v>2024</v>
      </c>
      <c r="N18" s="199" t="s">
        <v>2202</v>
      </c>
      <c r="O18" s="199" t="s">
        <v>2203</v>
      </c>
      <c r="P18" s="199" t="s">
        <v>2204</v>
      </c>
      <c r="Q18" s="200" t="s">
        <v>1489</v>
      </c>
    </row>
    <row r="19" spans="1:17" ht="36">
      <c r="A19" s="204" t="s">
        <v>2265</v>
      </c>
      <c r="B19" s="199" t="s">
        <v>2266</v>
      </c>
      <c r="C19" s="199" t="s">
        <v>2267</v>
      </c>
      <c r="D19" s="199" t="s">
        <v>2268</v>
      </c>
      <c r="E19" s="199" t="s">
        <v>2269</v>
      </c>
      <c r="F19" s="207">
        <v>2.8</v>
      </c>
      <c r="G19" s="199" t="s">
        <v>1327</v>
      </c>
      <c r="H19" s="199" t="s">
        <v>2200</v>
      </c>
      <c r="I19" s="210">
        <v>19</v>
      </c>
      <c r="J19" s="210"/>
      <c r="K19" s="199" t="s">
        <v>1484</v>
      </c>
      <c r="L19" s="199" t="s">
        <v>2201</v>
      </c>
      <c r="M19" s="199">
        <v>2024</v>
      </c>
      <c r="N19" s="199" t="s">
        <v>2202</v>
      </c>
      <c r="O19" s="199" t="s">
        <v>2203</v>
      </c>
      <c r="P19" s="199" t="s">
        <v>2204</v>
      </c>
      <c r="Q19" s="200" t="s">
        <v>1489</v>
      </c>
    </row>
    <row r="20" spans="1:17" ht="36">
      <c r="A20" s="204" t="s">
        <v>2270</v>
      </c>
      <c r="B20" s="199" t="s">
        <v>2271</v>
      </c>
      <c r="C20" s="199" t="s">
        <v>2267</v>
      </c>
      <c r="D20" s="199" t="s">
        <v>2272</v>
      </c>
      <c r="E20" s="199" t="s">
        <v>2273</v>
      </c>
      <c r="F20" s="207">
        <v>3.6</v>
      </c>
      <c r="G20" s="199" t="s">
        <v>1327</v>
      </c>
      <c r="H20" s="199" t="s">
        <v>2200</v>
      </c>
      <c r="I20" s="210">
        <v>19</v>
      </c>
      <c r="J20" s="210"/>
      <c r="K20" s="199" t="s">
        <v>1484</v>
      </c>
      <c r="L20" s="199" t="s">
        <v>2201</v>
      </c>
      <c r="M20" s="199">
        <v>2024</v>
      </c>
      <c r="N20" s="199" t="s">
        <v>2202</v>
      </c>
      <c r="O20" s="199" t="s">
        <v>2203</v>
      </c>
      <c r="P20" s="199" t="s">
        <v>2204</v>
      </c>
      <c r="Q20" s="200" t="s">
        <v>1489</v>
      </c>
    </row>
    <row r="21" spans="1:17" ht="36">
      <c r="A21" s="204" t="s">
        <v>2274</v>
      </c>
      <c r="B21" s="199" t="s">
        <v>2275</v>
      </c>
      <c r="C21" s="199" t="s">
        <v>2267</v>
      </c>
      <c r="D21" s="199" t="s">
        <v>2276</v>
      </c>
      <c r="E21" s="199" t="s">
        <v>2277</v>
      </c>
      <c r="F21" s="207">
        <v>1.8</v>
      </c>
      <c r="G21" s="199" t="s">
        <v>1327</v>
      </c>
      <c r="H21" s="199" t="s">
        <v>2200</v>
      </c>
      <c r="I21" s="210">
        <v>19</v>
      </c>
      <c r="J21" s="210"/>
      <c r="K21" s="199" t="s">
        <v>1484</v>
      </c>
      <c r="L21" s="199" t="s">
        <v>2201</v>
      </c>
      <c r="M21" s="199">
        <v>2024</v>
      </c>
      <c r="N21" s="199" t="s">
        <v>2202</v>
      </c>
      <c r="O21" s="199" t="s">
        <v>2203</v>
      </c>
      <c r="P21" s="199" t="s">
        <v>2204</v>
      </c>
      <c r="Q21" s="200" t="s">
        <v>1489</v>
      </c>
    </row>
    <row r="22" spans="1:17" ht="36">
      <c r="A22" s="204" t="s">
        <v>2278</v>
      </c>
      <c r="B22" s="199" t="s">
        <v>2279</v>
      </c>
      <c r="C22" s="199" t="s">
        <v>2267</v>
      </c>
      <c r="D22" s="199" t="s">
        <v>2280</v>
      </c>
      <c r="E22" s="199" t="s">
        <v>2281</v>
      </c>
      <c r="F22" s="207">
        <v>2.2999999999999998</v>
      </c>
      <c r="G22" s="199" t="s">
        <v>1327</v>
      </c>
      <c r="H22" s="199" t="s">
        <v>2200</v>
      </c>
      <c r="I22" s="210">
        <v>19</v>
      </c>
      <c r="J22" s="210"/>
      <c r="K22" s="199" t="s">
        <v>1484</v>
      </c>
      <c r="L22" s="199" t="s">
        <v>2201</v>
      </c>
      <c r="M22" s="199">
        <v>2024</v>
      </c>
      <c r="N22" s="199" t="s">
        <v>2202</v>
      </c>
      <c r="O22" s="199" t="s">
        <v>2203</v>
      </c>
      <c r="P22" s="199" t="s">
        <v>2204</v>
      </c>
      <c r="Q22" s="200" t="s">
        <v>1489</v>
      </c>
    </row>
    <row r="23" spans="1:17" ht="36">
      <c r="A23" s="204" t="s">
        <v>2282</v>
      </c>
      <c r="B23" s="199" t="s">
        <v>2283</v>
      </c>
      <c r="C23" s="199" t="s">
        <v>2267</v>
      </c>
      <c r="D23" s="199" t="s">
        <v>2284</v>
      </c>
      <c r="E23" s="199" t="s">
        <v>2285</v>
      </c>
      <c r="F23" s="207">
        <v>2.2000000000000002</v>
      </c>
      <c r="G23" s="199" t="s">
        <v>1327</v>
      </c>
      <c r="H23" s="199" t="s">
        <v>2200</v>
      </c>
      <c r="I23" s="210">
        <v>19</v>
      </c>
      <c r="J23" s="210"/>
      <c r="K23" s="199" t="s">
        <v>1484</v>
      </c>
      <c r="L23" s="199" t="s">
        <v>2201</v>
      </c>
      <c r="M23" s="199">
        <v>2024</v>
      </c>
      <c r="N23" s="199" t="s">
        <v>2202</v>
      </c>
      <c r="O23" s="199" t="s">
        <v>2203</v>
      </c>
      <c r="P23" s="199" t="s">
        <v>2204</v>
      </c>
      <c r="Q23" s="200" t="s">
        <v>1489</v>
      </c>
    </row>
    <row r="24" spans="1:17" ht="36">
      <c r="A24" s="204" t="s">
        <v>2286</v>
      </c>
      <c r="B24" s="199" t="s">
        <v>2287</v>
      </c>
      <c r="C24" s="199" t="s">
        <v>2267</v>
      </c>
      <c r="D24" s="199" t="s">
        <v>2288</v>
      </c>
      <c r="E24" s="199" t="s">
        <v>2289</v>
      </c>
      <c r="F24" s="207">
        <v>2.9</v>
      </c>
      <c r="G24" s="199" t="s">
        <v>1327</v>
      </c>
      <c r="H24" s="199" t="s">
        <v>2200</v>
      </c>
      <c r="I24" s="210">
        <v>19</v>
      </c>
      <c r="J24" s="210"/>
      <c r="K24" s="199" t="s">
        <v>1484</v>
      </c>
      <c r="L24" s="199" t="s">
        <v>2201</v>
      </c>
      <c r="M24" s="199">
        <v>2024</v>
      </c>
      <c r="N24" s="199" t="s">
        <v>2202</v>
      </c>
      <c r="O24" s="199" t="s">
        <v>2203</v>
      </c>
      <c r="P24" s="199" t="s">
        <v>2204</v>
      </c>
      <c r="Q24" s="200" t="s">
        <v>1489</v>
      </c>
    </row>
    <row r="25" spans="1:17" ht="36">
      <c r="A25" s="204" t="s">
        <v>2290</v>
      </c>
      <c r="B25" s="199" t="s">
        <v>2291</v>
      </c>
      <c r="C25" s="199" t="s">
        <v>2267</v>
      </c>
      <c r="D25" s="199" t="s">
        <v>2292</v>
      </c>
      <c r="E25" s="199" t="s">
        <v>2293</v>
      </c>
      <c r="F25" s="207">
        <v>4.8</v>
      </c>
      <c r="G25" s="199" t="s">
        <v>1327</v>
      </c>
      <c r="H25" s="199" t="s">
        <v>2200</v>
      </c>
      <c r="I25" s="210">
        <v>19</v>
      </c>
      <c r="J25" s="210"/>
      <c r="K25" s="199" t="s">
        <v>1484</v>
      </c>
      <c r="L25" s="199" t="s">
        <v>2201</v>
      </c>
      <c r="M25" s="199">
        <v>2024</v>
      </c>
      <c r="N25" s="199" t="s">
        <v>2202</v>
      </c>
      <c r="O25" s="199" t="s">
        <v>2203</v>
      </c>
      <c r="P25" s="199" t="s">
        <v>2204</v>
      </c>
      <c r="Q25" s="200" t="s">
        <v>1489</v>
      </c>
    </row>
    <row r="26" spans="1:17" ht="36">
      <c r="A26" s="204" t="s">
        <v>2294</v>
      </c>
      <c r="B26" s="199" t="s">
        <v>2295</v>
      </c>
      <c r="C26" s="199" t="s">
        <v>2267</v>
      </c>
      <c r="D26" s="199" t="s">
        <v>2296</v>
      </c>
      <c r="E26" s="199" t="s">
        <v>2297</v>
      </c>
      <c r="F26" s="207">
        <v>2.7</v>
      </c>
      <c r="G26" s="199" t="s">
        <v>1327</v>
      </c>
      <c r="H26" s="199" t="s">
        <v>2200</v>
      </c>
      <c r="I26" s="210">
        <v>19</v>
      </c>
      <c r="J26" s="210"/>
      <c r="K26" s="199" t="s">
        <v>1484</v>
      </c>
      <c r="L26" s="199" t="s">
        <v>2201</v>
      </c>
      <c r="M26" s="199">
        <v>2024</v>
      </c>
      <c r="N26" s="199" t="s">
        <v>2202</v>
      </c>
      <c r="O26" s="199" t="s">
        <v>2203</v>
      </c>
      <c r="P26" s="199" t="s">
        <v>2204</v>
      </c>
      <c r="Q26" s="200" t="s">
        <v>1489</v>
      </c>
    </row>
    <row r="27" spans="1:17" ht="36">
      <c r="A27" s="204" t="s">
        <v>2298</v>
      </c>
      <c r="B27" s="199" t="s">
        <v>2299</v>
      </c>
      <c r="C27" s="199" t="s">
        <v>2267</v>
      </c>
      <c r="D27" s="199" t="s">
        <v>2300</v>
      </c>
      <c r="E27" s="199" t="s">
        <v>2301</v>
      </c>
      <c r="F27" s="207">
        <v>4</v>
      </c>
      <c r="G27" s="199" t="s">
        <v>1327</v>
      </c>
      <c r="H27" s="199" t="s">
        <v>2200</v>
      </c>
      <c r="I27" s="210">
        <v>19</v>
      </c>
      <c r="J27" s="210"/>
      <c r="K27" s="199" t="s">
        <v>1484</v>
      </c>
      <c r="L27" s="199" t="s">
        <v>2201</v>
      </c>
      <c r="M27" s="199">
        <v>2024</v>
      </c>
      <c r="N27" s="199" t="s">
        <v>2202</v>
      </c>
      <c r="O27" s="199" t="s">
        <v>2203</v>
      </c>
      <c r="P27" s="199" t="s">
        <v>2204</v>
      </c>
      <c r="Q27" s="200" t="s">
        <v>1489</v>
      </c>
    </row>
    <row r="28" spans="1:17" ht="36">
      <c r="A28" s="204" t="s">
        <v>2302</v>
      </c>
      <c r="B28" s="199" t="s">
        <v>2303</v>
      </c>
      <c r="C28" s="199" t="s">
        <v>2267</v>
      </c>
      <c r="D28" s="199" t="s">
        <v>2304</v>
      </c>
      <c r="E28" s="199" t="s">
        <v>2305</v>
      </c>
      <c r="F28" s="207">
        <v>3.8</v>
      </c>
      <c r="G28" s="199" t="s">
        <v>1327</v>
      </c>
      <c r="H28" s="199" t="s">
        <v>2200</v>
      </c>
      <c r="I28" s="210">
        <v>19</v>
      </c>
      <c r="J28" s="210"/>
      <c r="K28" s="199" t="s">
        <v>1484</v>
      </c>
      <c r="L28" s="199" t="s">
        <v>2201</v>
      </c>
      <c r="M28" s="199">
        <v>2024</v>
      </c>
      <c r="N28" s="199" t="s">
        <v>2202</v>
      </c>
      <c r="O28" s="199" t="s">
        <v>2203</v>
      </c>
      <c r="P28" s="199" t="s">
        <v>2204</v>
      </c>
      <c r="Q28" s="200" t="s">
        <v>1489</v>
      </c>
    </row>
    <row r="29" spans="1:17" ht="36">
      <c r="A29" s="204" t="s">
        <v>2306</v>
      </c>
      <c r="B29" s="199" t="s">
        <v>2307</v>
      </c>
      <c r="C29" s="199" t="s">
        <v>2267</v>
      </c>
      <c r="D29" s="199" t="s">
        <v>2308</v>
      </c>
      <c r="E29" s="199" t="s">
        <v>2309</v>
      </c>
      <c r="F29" s="207">
        <v>4.3</v>
      </c>
      <c r="G29" s="199" t="s">
        <v>1327</v>
      </c>
      <c r="H29" s="199" t="s">
        <v>2200</v>
      </c>
      <c r="I29" s="210">
        <v>19</v>
      </c>
      <c r="J29" s="210"/>
      <c r="K29" s="199" t="s">
        <v>1484</v>
      </c>
      <c r="L29" s="199" t="s">
        <v>2201</v>
      </c>
      <c r="M29" s="199">
        <v>2024</v>
      </c>
      <c r="N29" s="199" t="s">
        <v>2202</v>
      </c>
      <c r="O29" s="199" t="s">
        <v>2203</v>
      </c>
      <c r="P29" s="199" t="s">
        <v>2204</v>
      </c>
      <c r="Q29" s="200" t="s">
        <v>1489</v>
      </c>
    </row>
    <row r="30" spans="1:17" ht="36">
      <c r="A30" s="204" t="s">
        <v>2310</v>
      </c>
      <c r="B30" s="199" t="s">
        <v>2311</v>
      </c>
      <c r="C30" s="199" t="s">
        <v>2267</v>
      </c>
      <c r="D30" s="199" t="s">
        <v>2312</v>
      </c>
      <c r="E30" s="199" t="s">
        <v>2313</v>
      </c>
      <c r="F30" s="207">
        <v>5.9</v>
      </c>
      <c r="G30" s="199" t="s">
        <v>1327</v>
      </c>
      <c r="H30" s="199" t="s">
        <v>2200</v>
      </c>
      <c r="I30" s="210">
        <v>19</v>
      </c>
      <c r="J30" s="210"/>
      <c r="K30" s="199" t="s">
        <v>1484</v>
      </c>
      <c r="L30" s="199" t="s">
        <v>2201</v>
      </c>
      <c r="M30" s="199">
        <v>2024</v>
      </c>
      <c r="N30" s="199" t="s">
        <v>2202</v>
      </c>
      <c r="O30" s="199" t="s">
        <v>2203</v>
      </c>
      <c r="P30" s="199" t="s">
        <v>2204</v>
      </c>
      <c r="Q30" s="200" t="s">
        <v>1489</v>
      </c>
    </row>
    <row r="31" spans="1:17" ht="36">
      <c r="A31" s="204" t="s">
        <v>2314</v>
      </c>
      <c r="B31" s="199" t="s">
        <v>2315</v>
      </c>
      <c r="C31" s="199" t="s">
        <v>2267</v>
      </c>
      <c r="D31" s="199" t="s">
        <v>2316</v>
      </c>
      <c r="E31" s="199" t="s">
        <v>2317</v>
      </c>
      <c r="F31" s="207">
        <v>7.9</v>
      </c>
      <c r="G31" s="199" t="s">
        <v>1327</v>
      </c>
      <c r="H31" s="199" t="s">
        <v>2200</v>
      </c>
      <c r="I31" s="210">
        <v>19</v>
      </c>
      <c r="J31" s="210"/>
      <c r="K31" s="199" t="s">
        <v>1484</v>
      </c>
      <c r="L31" s="199" t="s">
        <v>2201</v>
      </c>
      <c r="M31" s="199">
        <v>2024</v>
      </c>
      <c r="N31" s="199" t="s">
        <v>2202</v>
      </c>
      <c r="O31" s="199" t="s">
        <v>2203</v>
      </c>
      <c r="P31" s="199" t="s">
        <v>2204</v>
      </c>
      <c r="Q31" s="200" t="s">
        <v>1489</v>
      </c>
    </row>
    <row r="32" spans="1:17" ht="36">
      <c r="A32" s="204" t="s">
        <v>2318</v>
      </c>
      <c r="B32" s="199" t="s">
        <v>2319</v>
      </c>
      <c r="C32" s="199" t="s">
        <v>2267</v>
      </c>
      <c r="D32" s="199" t="s">
        <v>2320</v>
      </c>
      <c r="E32" s="199" t="s">
        <v>2321</v>
      </c>
      <c r="F32" s="207">
        <v>2.4</v>
      </c>
      <c r="G32" s="199" t="s">
        <v>1327</v>
      </c>
      <c r="H32" s="199" t="s">
        <v>2200</v>
      </c>
      <c r="I32" s="210">
        <v>19</v>
      </c>
      <c r="J32" s="210"/>
      <c r="K32" s="199" t="s">
        <v>1484</v>
      </c>
      <c r="L32" s="199" t="s">
        <v>2201</v>
      </c>
      <c r="M32" s="199">
        <v>2024</v>
      </c>
      <c r="N32" s="199" t="s">
        <v>2202</v>
      </c>
      <c r="O32" s="199" t="s">
        <v>2203</v>
      </c>
      <c r="P32" s="199" t="s">
        <v>2204</v>
      </c>
      <c r="Q32" s="200" t="s">
        <v>1489</v>
      </c>
    </row>
    <row r="33" spans="1:17" ht="36">
      <c r="A33" s="204" t="s">
        <v>2322</v>
      </c>
      <c r="B33" s="199" t="s">
        <v>2323</v>
      </c>
      <c r="C33" s="199" t="s">
        <v>2267</v>
      </c>
      <c r="D33" s="199" t="s">
        <v>2324</v>
      </c>
      <c r="E33" s="199" t="s">
        <v>2325</v>
      </c>
      <c r="F33" s="207">
        <v>2.8</v>
      </c>
      <c r="G33" s="199" t="s">
        <v>1327</v>
      </c>
      <c r="H33" s="199" t="s">
        <v>2200</v>
      </c>
      <c r="I33" s="210">
        <v>19</v>
      </c>
      <c r="J33" s="210"/>
      <c r="K33" s="199" t="s">
        <v>1484</v>
      </c>
      <c r="L33" s="199" t="s">
        <v>2201</v>
      </c>
      <c r="M33" s="199">
        <v>2024</v>
      </c>
      <c r="N33" s="199" t="s">
        <v>2202</v>
      </c>
      <c r="O33" s="199" t="s">
        <v>2203</v>
      </c>
      <c r="P33" s="199" t="s">
        <v>2204</v>
      </c>
      <c r="Q33" s="200" t="s">
        <v>1489</v>
      </c>
    </row>
    <row r="34" spans="1:17" ht="36">
      <c r="A34" s="204" t="s">
        <v>2326</v>
      </c>
      <c r="B34" s="199" t="s">
        <v>2327</v>
      </c>
      <c r="C34" s="199" t="s">
        <v>2267</v>
      </c>
      <c r="D34" s="199" t="s">
        <v>2328</v>
      </c>
      <c r="E34" s="199" t="s">
        <v>2329</v>
      </c>
      <c r="F34" s="207">
        <v>3.4</v>
      </c>
      <c r="G34" s="199" t="s">
        <v>1327</v>
      </c>
      <c r="H34" s="199" t="s">
        <v>2200</v>
      </c>
      <c r="I34" s="210">
        <v>19</v>
      </c>
      <c r="J34" s="210"/>
      <c r="K34" s="199" t="s">
        <v>1484</v>
      </c>
      <c r="L34" s="199" t="s">
        <v>2201</v>
      </c>
      <c r="M34" s="199">
        <v>2024</v>
      </c>
      <c r="N34" s="199" t="s">
        <v>2202</v>
      </c>
      <c r="O34" s="199" t="s">
        <v>2203</v>
      </c>
      <c r="P34" s="199" t="s">
        <v>2204</v>
      </c>
      <c r="Q34" s="200" t="s">
        <v>1489</v>
      </c>
    </row>
    <row r="35" spans="1:17" ht="36">
      <c r="A35" s="204" t="s">
        <v>2330</v>
      </c>
      <c r="B35" s="199" t="s">
        <v>2331</v>
      </c>
      <c r="C35" s="199" t="s">
        <v>2267</v>
      </c>
      <c r="D35" s="199" t="s">
        <v>2332</v>
      </c>
      <c r="E35" s="199" t="s">
        <v>2333</v>
      </c>
      <c r="F35" s="207">
        <v>4.2</v>
      </c>
      <c r="G35" s="199" t="s">
        <v>1327</v>
      </c>
      <c r="H35" s="199" t="s">
        <v>2200</v>
      </c>
      <c r="I35" s="210">
        <v>19</v>
      </c>
      <c r="J35" s="210"/>
      <c r="K35" s="199" t="s">
        <v>1484</v>
      </c>
      <c r="L35" s="199" t="s">
        <v>2201</v>
      </c>
      <c r="M35" s="199">
        <v>2024</v>
      </c>
      <c r="N35" s="199" t="s">
        <v>2202</v>
      </c>
      <c r="O35" s="199" t="s">
        <v>2203</v>
      </c>
      <c r="P35" s="199" t="s">
        <v>2204</v>
      </c>
      <c r="Q35" s="200" t="s">
        <v>1489</v>
      </c>
    </row>
    <row r="36" spans="1:17" ht="36">
      <c r="A36" s="204" t="s">
        <v>2334</v>
      </c>
      <c r="B36" s="199" t="s">
        <v>2335</v>
      </c>
      <c r="C36" s="199" t="s">
        <v>2267</v>
      </c>
      <c r="D36" s="199" t="s">
        <v>2336</v>
      </c>
      <c r="E36" s="199" t="s">
        <v>2337</v>
      </c>
      <c r="F36" s="207">
        <v>4.4000000000000004</v>
      </c>
      <c r="G36" s="199" t="s">
        <v>1327</v>
      </c>
      <c r="H36" s="199" t="s">
        <v>2200</v>
      </c>
      <c r="I36" s="210">
        <v>19</v>
      </c>
      <c r="J36" s="210"/>
      <c r="K36" s="199" t="s">
        <v>1484</v>
      </c>
      <c r="L36" s="199" t="s">
        <v>2201</v>
      </c>
      <c r="M36" s="199">
        <v>2024</v>
      </c>
      <c r="N36" s="199" t="s">
        <v>2202</v>
      </c>
      <c r="O36" s="199" t="s">
        <v>2203</v>
      </c>
      <c r="P36" s="199" t="s">
        <v>2204</v>
      </c>
      <c r="Q36" s="200" t="s">
        <v>1489</v>
      </c>
    </row>
    <row r="37" spans="1:17" ht="36">
      <c r="A37" s="204" t="s">
        <v>2338</v>
      </c>
      <c r="B37" s="199" t="s">
        <v>2339</v>
      </c>
      <c r="C37" s="199" t="s">
        <v>2267</v>
      </c>
      <c r="D37" s="199" t="s">
        <v>2340</v>
      </c>
      <c r="E37" s="199" t="s">
        <v>2341</v>
      </c>
      <c r="F37" s="207">
        <v>5.2</v>
      </c>
      <c r="G37" s="199" t="s">
        <v>1327</v>
      </c>
      <c r="H37" s="199" t="s">
        <v>2200</v>
      </c>
      <c r="I37" s="210">
        <v>19</v>
      </c>
      <c r="J37" s="210"/>
      <c r="K37" s="199" t="s">
        <v>1484</v>
      </c>
      <c r="L37" s="199" t="s">
        <v>2201</v>
      </c>
      <c r="M37" s="199">
        <v>2024</v>
      </c>
      <c r="N37" s="199" t="s">
        <v>2202</v>
      </c>
      <c r="O37" s="199" t="s">
        <v>2203</v>
      </c>
      <c r="P37" s="199" t="s">
        <v>2204</v>
      </c>
      <c r="Q37" s="200" t="s">
        <v>1489</v>
      </c>
    </row>
    <row r="38" spans="1:17" ht="36">
      <c r="A38" s="204" t="s">
        <v>2342</v>
      </c>
      <c r="B38" s="199" t="s">
        <v>2343</v>
      </c>
      <c r="C38" s="199" t="s">
        <v>2267</v>
      </c>
      <c r="D38" s="199" t="s">
        <v>2344</v>
      </c>
      <c r="E38" s="199" t="s">
        <v>2345</v>
      </c>
      <c r="F38" s="207">
        <v>5.2</v>
      </c>
      <c r="G38" s="199" t="s">
        <v>1327</v>
      </c>
      <c r="H38" s="199" t="s">
        <v>2200</v>
      </c>
      <c r="I38" s="210">
        <v>19</v>
      </c>
      <c r="J38" s="210"/>
      <c r="K38" s="199" t="s">
        <v>1484</v>
      </c>
      <c r="L38" s="199" t="s">
        <v>2201</v>
      </c>
      <c r="M38" s="199">
        <v>2024</v>
      </c>
      <c r="N38" s="199" t="s">
        <v>2202</v>
      </c>
      <c r="O38" s="199" t="s">
        <v>2203</v>
      </c>
      <c r="P38" s="199" t="s">
        <v>2204</v>
      </c>
      <c r="Q38" s="200" t="s">
        <v>1489</v>
      </c>
    </row>
    <row r="39" spans="1:17" ht="36">
      <c r="A39" s="204" t="s">
        <v>2346</v>
      </c>
      <c r="B39" s="199" t="s">
        <v>2347</v>
      </c>
      <c r="C39" s="199" t="s">
        <v>1603</v>
      </c>
      <c r="D39" s="199" t="s">
        <v>2348</v>
      </c>
      <c r="E39" s="199" t="s">
        <v>2349</v>
      </c>
      <c r="F39" s="207">
        <v>2.2000000000000002</v>
      </c>
      <c r="G39" s="199" t="s">
        <v>1327</v>
      </c>
      <c r="H39" s="199" t="s">
        <v>2200</v>
      </c>
      <c r="I39" s="210">
        <v>19</v>
      </c>
      <c r="J39" s="210"/>
      <c r="K39" s="199" t="s">
        <v>1484</v>
      </c>
      <c r="L39" s="199" t="s">
        <v>2201</v>
      </c>
      <c r="M39" s="199">
        <v>2024</v>
      </c>
      <c r="N39" s="199" t="s">
        <v>2202</v>
      </c>
      <c r="O39" s="199" t="s">
        <v>2203</v>
      </c>
      <c r="P39" s="199" t="s">
        <v>2204</v>
      </c>
      <c r="Q39" s="200" t="s">
        <v>1489</v>
      </c>
    </row>
    <row r="40" spans="1:17" ht="36">
      <c r="A40" s="204" t="s">
        <v>2350</v>
      </c>
      <c r="B40" s="199" t="s">
        <v>2351</v>
      </c>
      <c r="C40" s="199" t="s">
        <v>2076</v>
      </c>
      <c r="D40" s="199" t="s">
        <v>2352</v>
      </c>
      <c r="E40" s="199" t="s">
        <v>2078</v>
      </c>
      <c r="F40" s="207">
        <v>3.1</v>
      </c>
      <c r="G40" s="199" t="s">
        <v>1327</v>
      </c>
      <c r="H40" s="199" t="s">
        <v>2200</v>
      </c>
      <c r="I40" s="210">
        <v>19</v>
      </c>
      <c r="J40" s="210"/>
      <c r="K40" s="199" t="s">
        <v>1484</v>
      </c>
      <c r="L40" s="199" t="s">
        <v>2201</v>
      </c>
      <c r="M40" s="199">
        <v>2024</v>
      </c>
      <c r="N40" s="199" t="s">
        <v>2202</v>
      </c>
      <c r="O40" s="199" t="s">
        <v>2203</v>
      </c>
      <c r="P40" s="199" t="s">
        <v>2204</v>
      </c>
      <c r="Q40" s="200" t="s">
        <v>1489</v>
      </c>
    </row>
    <row r="41" spans="1:17" ht="36">
      <c r="A41" s="204" t="s">
        <v>2353</v>
      </c>
      <c r="B41" s="199" t="s">
        <v>2354</v>
      </c>
      <c r="C41" s="199" t="s">
        <v>1603</v>
      </c>
      <c r="D41" s="199" t="s">
        <v>2355</v>
      </c>
      <c r="E41" s="199" t="s">
        <v>2356</v>
      </c>
      <c r="F41" s="207">
        <v>1.8</v>
      </c>
      <c r="G41" s="199" t="s">
        <v>1327</v>
      </c>
      <c r="H41" s="199" t="s">
        <v>2200</v>
      </c>
      <c r="I41" s="210">
        <v>19</v>
      </c>
      <c r="J41" s="210"/>
      <c r="K41" s="199" t="s">
        <v>1484</v>
      </c>
      <c r="L41" s="199" t="s">
        <v>2201</v>
      </c>
      <c r="M41" s="199">
        <v>2024</v>
      </c>
      <c r="N41" s="199" t="s">
        <v>2202</v>
      </c>
      <c r="O41" s="199" t="s">
        <v>2203</v>
      </c>
      <c r="P41" s="199" t="s">
        <v>2204</v>
      </c>
      <c r="Q41" s="200" t="s">
        <v>1489</v>
      </c>
    </row>
    <row r="42" spans="1:17" ht="36">
      <c r="A42" s="204" t="s">
        <v>2357</v>
      </c>
      <c r="B42" s="199" t="s">
        <v>2358</v>
      </c>
      <c r="C42" s="199" t="s">
        <v>1603</v>
      </c>
      <c r="D42" s="199" t="s">
        <v>2359</v>
      </c>
      <c r="E42" s="199" t="s">
        <v>2360</v>
      </c>
      <c r="F42" s="207">
        <v>1.8</v>
      </c>
      <c r="G42" s="199" t="s">
        <v>1327</v>
      </c>
      <c r="H42" s="199" t="s">
        <v>2200</v>
      </c>
      <c r="I42" s="210">
        <v>19</v>
      </c>
      <c r="J42" s="210"/>
      <c r="K42" s="199" t="s">
        <v>1484</v>
      </c>
      <c r="L42" s="199" t="s">
        <v>2201</v>
      </c>
      <c r="M42" s="199">
        <v>2024</v>
      </c>
      <c r="N42" s="199" t="s">
        <v>2202</v>
      </c>
      <c r="O42" s="199" t="s">
        <v>2203</v>
      </c>
      <c r="P42" s="199" t="s">
        <v>2204</v>
      </c>
      <c r="Q42" s="200" t="s">
        <v>1489</v>
      </c>
    </row>
    <row r="43" spans="1:17" ht="36">
      <c r="A43" s="204" t="s">
        <v>2361</v>
      </c>
      <c r="B43" s="199" t="s">
        <v>2362</v>
      </c>
      <c r="C43" s="199" t="s">
        <v>1603</v>
      </c>
      <c r="D43" s="199" t="s">
        <v>2363</v>
      </c>
      <c r="E43" s="199" t="s">
        <v>2364</v>
      </c>
      <c r="F43" s="207">
        <v>3</v>
      </c>
      <c r="G43" s="199" t="s">
        <v>1327</v>
      </c>
      <c r="H43" s="199" t="s">
        <v>2200</v>
      </c>
      <c r="I43" s="210">
        <v>19</v>
      </c>
      <c r="J43" s="210"/>
      <c r="K43" s="199" t="s">
        <v>1484</v>
      </c>
      <c r="L43" s="199" t="s">
        <v>2201</v>
      </c>
      <c r="M43" s="199">
        <v>2024</v>
      </c>
      <c r="N43" s="199" t="s">
        <v>2202</v>
      </c>
      <c r="O43" s="199" t="s">
        <v>2203</v>
      </c>
      <c r="P43" s="199" t="s">
        <v>2204</v>
      </c>
      <c r="Q43" s="200" t="s">
        <v>1489</v>
      </c>
    </row>
    <row r="44" spans="1:17" ht="36">
      <c r="A44" s="204" t="s">
        <v>2365</v>
      </c>
      <c r="B44" s="199" t="s">
        <v>2366</v>
      </c>
      <c r="C44" s="199" t="s">
        <v>1603</v>
      </c>
      <c r="D44" s="199" t="s">
        <v>2367</v>
      </c>
      <c r="E44" s="199" t="s">
        <v>1646</v>
      </c>
      <c r="F44" s="207">
        <v>3.7</v>
      </c>
      <c r="G44" s="199" t="s">
        <v>1327</v>
      </c>
      <c r="H44" s="199" t="s">
        <v>2200</v>
      </c>
      <c r="I44" s="210">
        <v>19</v>
      </c>
      <c r="J44" s="210"/>
      <c r="K44" s="199" t="s">
        <v>1484</v>
      </c>
      <c r="L44" s="199" t="s">
        <v>2201</v>
      </c>
      <c r="M44" s="199">
        <v>2024</v>
      </c>
      <c r="N44" s="199" t="s">
        <v>2202</v>
      </c>
      <c r="O44" s="199" t="s">
        <v>2203</v>
      </c>
      <c r="P44" s="199" t="s">
        <v>2204</v>
      </c>
      <c r="Q44" s="200" t="s">
        <v>1489</v>
      </c>
    </row>
    <row r="45" spans="1:17" ht="36">
      <c r="A45" s="204" t="s">
        <v>2368</v>
      </c>
      <c r="B45" s="199" t="s">
        <v>2369</v>
      </c>
      <c r="C45" s="199" t="s">
        <v>1603</v>
      </c>
      <c r="D45" s="199" t="s">
        <v>2370</v>
      </c>
      <c r="E45" s="199" t="s">
        <v>2371</v>
      </c>
      <c r="F45" s="207">
        <v>2.5</v>
      </c>
      <c r="G45" s="199" t="s">
        <v>1327</v>
      </c>
      <c r="H45" s="199" t="s">
        <v>2200</v>
      </c>
      <c r="I45" s="210">
        <v>19</v>
      </c>
      <c r="J45" s="210"/>
      <c r="K45" s="199" t="s">
        <v>1484</v>
      </c>
      <c r="L45" s="199" t="s">
        <v>2201</v>
      </c>
      <c r="M45" s="199">
        <v>2024</v>
      </c>
      <c r="N45" s="199" t="s">
        <v>2202</v>
      </c>
      <c r="O45" s="199" t="s">
        <v>2203</v>
      </c>
      <c r="P45" s="199" t="s">
        <v>2204</v>
      </c>
      <c r="Q45" s="200" t="s">
        <v>1489</v>
      </c>
    </row>
    <row r="46" spans="1:17" ht="36">
      <c r="A46" s="204" t="s">
        <v>2372</v>
      </c>
      <c r="B46" s="199" t="s">
        <v>2373</v>
      </c>
      <c r="C46" s="199" t="s">
        <v>2076</v>
      </c>
      <c r="D46" s="199" t="s">
        <v>2374</v>
      </c>
      <c r="E46" s="199" t="s">
        <v>2375</v>
      </c>
      <c r="F46" s="207">
        <v>1.9</v>
      </c>
      <c r="G46" s="199" t="s">
        <v>1327</v>
      </c>
      <c r="H46" s="199" t="s">
        <v>2200</v>
      </c>
      <c r="I46" s="210">
        <v>19</v>
      </c>
      <c r="J46" s="210"/>
      <c r="K46" s="199" t="s">
        <v>1484</v>
      </c>
      <c r="L46" s="199" t="s">
        <v>2201</v>
      </c>
      <c r="M46" s="199">
        <v>2024</v>
      </c>
      <c r="N46" s="199" t="s">
        <v>2202</v>
      </c>
      <c r="O46" s="199" t="s">
        <v>2203</v>
      </c>
      <c r="P46" s="199" t="s">
        <v>2204</v>
      </c>
      <c r="Q46" s="200" t="s">
        <v>1489</v>
      </c>
    </row>
    <row r="47" spans="1:17" ht="36">
      <c r="A47" s="204" t="s">
        <v>2376</v>
      </c>
      <c r="B47" s="199" t="s">
        <v>2377</v>
      </c>
      <c r="C47" s="199" t="s">
        <v>1603</v>
      </c>
      <c r="D47" s="199" t="s">
        <v>2378</v>
      </c>
      <c r="E47" s="199" t="s">
        <v>2379</v>
      </c>
      <c r="F47" s="207">
        <v>2.7</v>
      </c>
      <c r="G47" s="199" t="s">
        <v>1327</v>
      </c>
      <c r="H47" s="199" t="s">
        <v>2200</v>
      </c>
      <c r="I47" s="210">
        <v>19</v>
      </c>
      <c r="J47" s="210"/>
      <c r="K47" s="199" t="s">
        <v>1484</v>
      </c>
      <c r="L47" s="199" t="s">
        <v>2201</v>
      </c>
      <c r="M47" s="199">
        <v>2024</v>
      </c>
      <c r="N47" s="199" t="s">
        <v>2202</v>
      </c>
      <c r="O47" s="199" t="s">
        <v>2203</v>
      </c>
      <c r="P47" s="199" t="s">
        <v>2204</v>
      </c>
      <c r="Q47" s="200" t="s">
        <v>1489</v>
      </c>
    </row>
    <row r="48" spans="1:17" ht="36">
      <c r="A48" s="204" t="s">
        <v>2380</v>
      </c>
      <c r="B48" s="199" t="s">
        <v>2381</v>
      </c>
      <c r="C48" s="199" t="s">
        <v>1603</v>
      </c>
      <c r="D48" s="199" t="s">
        <v>2382</v>
      </c>
      <c r="E48" s="199" t="s">
        <v>2383</v>
      </c>
      <c r="F48" s="207">
        <v>1.9</v>
      </c>
      <c r="G48" s="199" t="s">
        <v>1327</v>
      </c>
      <c r="H48" s="199" t="s">
        <v>2200</v>
      </c>
      <c r="I48" s="210">
        <v>19</v>
      </c>
      <c r="J48" s="210"/>
      <c r="K48" s="199" t="s">
        <v>1484</v>
      </c>
      <c r="L48" s="199" t="s">
        <v>2201</v>
      </c>
      <c r="M48" s="199">
        <v>2024</v>
      </c>
      <c r="N48" s="199" t="s">
        <v>2202</v>
      </c>
      <c r="O48" s="199" t="s">
        <v>2203</v>
      </c>
      <c r="P48" s="199" t="s">
        <v>2204</v>
      </c>
      <c r="Q48" s="200" t="s">
        <v>1489</v>
      </c>
    </row>
    <row r="49" spans="1:17" ht="36">
      <c r="A49" s="204" t="s">
        <v>2384</v>
      </c>
      <c r="B49" s="199" t="s">
        <v>2385</v>
      </c>
      <c r="C49" s="199" t="s">
        <v>2076</v>
      </c>
      <c r="D49" s="199" t="s">
        <v>2386</v>
      </c>
      <c r="E49" s="199" t="s">
        <v>2387</v>
      </c>
      <c r="F49" s="207">
        <v>1.5</v>
      </c>
      <c r="G49" s="199" t="s">
        <v>1327</v>
      </c>
      <c r="H49" s="199" t="s">
        <v>2200</v>
      </c>
      <c r="I49" s="210">
        <v>19</v>
      </c>
      <c r="J49" s="210"/>
      <c r="K49" s="199" t="s">
        <v>1484</v>
      </c>
      <c r="L49" s="199" t="s">
        <v>2201</v>
      </c>
      <c r="M49" s="199">
        <v>2024</v>
      </c>
      <c r="N49" s="199" t="s">
        <v>2202</v>
      </c>
      <c r="O49" s="199" t="s">
        <v>2203</v>
      </c>
      <c r="P49" s="199" t="s">
        <v>2204</v>
      </c>
      <c r="Q49" s="200" t="s">
        <v>1489</v>
      </c>
    </row>
    <row r="50" spans="1:17" ht="36">
      <c r="A50" s="204" t="s">
        <v>2388</v>
      </c>
      <c r="B50" s="199" t="s">
        <v>2389</v>
      </c>
      <c r="C50" s="199" t="s">
        <v>1603</v>
      </c>
      <c r="D50" s="199" t="s">
        <v>2390</v>
      </c>
      <c r="E50" s="199" t="s">
        <v>2391</v>
      </c>
      <c r="F50" s="207">
        <v>1.8</v>
      </c>
      <c r="G50" s="199" t="s">
        <v>1327</v>
      </c>
      <c r="H50" s="199" t="s">
        <v>2200</v>
      </c>
      <c r="I50" s="210">
        <v>19</v>
      </c>
      <c r="J50" s="210"/>
      <c r="K50" s="199" t="s">
        <v>1484</v>
      </c>
      <c r="L50" s="199" t="s">
        <v>2201</v>
      </c>
      <c r="M50" s="199">
        <v>2024</v>
      </c>
      <c r="N50" s="199" t="s">
        <v>2202</v>
      </c>
      <c r="O50" s="199" t="s">
        <v>2203</v>
      </c>
      <c r="P50" s="199" t="s">
        <v>2204</v>
      </c>
      <c r="Q50" s="200" t="s">
        <v>1489</v>
      </c>
    </row>
    <row r="51" spans="1:17" ht="36">
      <c r="A51" s="204" t="s">
        <v>2392</v>
      </c>
      <c r="B51" s="199" t="s">
        <v>2393</v>
      </c>
      <c r="C51" s="199" t="s">
        <v>1603</v>
      </c>
      <c r="D51" s="199" t="s">
        <v>2394</v>
      </c>
      <c r="E51" s="199" t="s">
        <v>2395</v>
      </c>
      <c r="F51" s="207">
        <v>1.9</v>
      </c>
      <c r="G51" s="199" t="s">
        <v>1327</v>
      </c>
      <c r="H51" s="199" t="s">
        <v>2200</v>
      </c>
      <c r="I51" s="210">
        <v>19</v>
      </c>
      <c r="J51" s="210"/>
      <c r="K51" s="199" t="s">
        <v>1484</v>
      </c>
      <c r="L51" s="199" t="s">
        <v>2201</v>
      </c>
      <c r="M51" s="199">
        <v>2024</v>
      </c>
      <c r="N51" s="199" t="s">
        <v>2202</v>
      </c>
      <c r="O51" s="199" t="s">
        <v>2203</v>
      </c>
      <c r="P51" s="199" t="s">
        <v>2204</v>
      </c>
      <c r="Q51" s="200" t="s">
        <v>1489</v>
      </c>
    </row>
    <row r="52" spans="1:17" ht="36">
      <c r="A52" s="204" t="s">
        <v>2396</v>
      </c>
      <c r="B52" s="199" t="s">
        <v>2397</v>
      </c>
      <c r="C52" s="199" t="s">
        <v>1603</v>
      </c>
      <c r="D52" s="199" t="s">
        <v>2398</v>
      </c>
      <c r="E52" s="199" t="s">
        <v>2399</v>
      </c>
      <c r="F52" s="207">
        <v>2.2999999999999998</v>
      </c>
      <c r="G52" s="199" t="s">
        <v>1327</v>
      </c>
      <c r="H52" s="199" t="s">
        <v>2200</v>
      </c>
      <c r="I52" s="210">
        <v>19</v>
      </c>
      <c r="J52" s="210"/>
      <c r="K52" s="199" t="s">
        <v>1484</v>
      </c>
      <c r="L52" s="199" t="s">
        <v>2201</v>
      </c>
      <c r="M52" s="199">
        <v>2024</v>
      </c>
      <c r="N52" s="199" t="s">
        <v>2202</v>
      </c>
      <c r="O52" s="199" t="s">
        <v>2203</v>
      </c>
      <c r="P52" s="199" t="s">
        <v>2204</v>
      </c>
      <c r="Q52" s="200" t="s">
        <v>1489</v>
      </c>
    </row>
    <row r="53" spans="1:17" ht="36">
      <c r="A53" s="204" t="s">
        <v>2400</v>
      </c>
      <c r="B53" s="199" t="s">
        <v>2401</v>
      </c>
      <c r="C53" s="199" t="s">
        <v>1603</v>
      </c>
      <c r="D53" s="199" t="s">
        <v>2402</v>
      </c>
      <c r="E53" s="199" t="s">
        <v>2403</v>
      </c>
      <c r="F53" s="207">
        <v>1.8</v>
      </c>
      <c r="G53" s="199" t="s">
        <v>1327</v>
      </c>
      <c r="H53" s="199" t="s">
        <v>2200</v>
      </c>
      <c r="I53" s="210">
        <v>19</v>
      </c>
      <c r="J53" s="210"/>
      <c r="K53" s="199" t="s">
        <v>1484</v>
      </c>
      <c r="L53" s="199" t="s">
        <v>2201</v>
      </c>
      <c r="M53" s="199">
        <v>2024</v>
      </c>
      <c r="N53" s="199" t="s">
        <v>2202</v>
      </c>
      <c r="O53" s="199" t="s">
        <v>2203</v>
      </c>
      <c r="P53" s="199" t="s">
        <v>2204</v>
      </c>
      <c r="Q53" s="200" t="s">
        <v>1489</v>
      </c>
    </row>
    <row r="54" spans="1:17" ht="36">
      <c r="A54" s="204" t="s">
        <v>2404</v>
      </c>
      <c r="B54" s="199" t="s">
        <v>2405</v>
      </c>
      <c r="C54" s="199" t="s">
        <v>1603</v>
      </c>
      <c r="D54" s="199" t="s">
        <v>2406</v>
      </c>
      <c r="E54" s="199" t="s">
        <v>2407</v>
      </c>
      <c r="F54" s="207">
        <v>1.8</v>
      </c>
      <c r="G54" s="199" t="s">
        <v>1327</v>
      </c>
      <c r="H54" s="199" t="s">
        <v>2200</v>
      </c>
      <c r="I54" s="210">
        <v>19</v>
      </c>
      <c r="J54" s="210"/>
      <c r="K54" s="199" t="s">
        <v>1484</v>
      </c>
      <c r="L54" s="199" t="s">
        <v>2201</v>
      </c>
      <c r="M54" s="199">
        <v>2024</v>
      </c>
      <c r="N54" s="199" t="s">
        <v>2202</v>
      </c>
      <c r="O54" s="199" t="s">
        <v>2203</v>
      </c>
      <c r="P54" s="199" t="s">
        <v>2204</v>
      </c>
      <c r="Q54" s="200" t="s">
        <v>1489</v>
      </c>
    </row>
    <row r="55" spans="1:17" ht="36">
      <c r="A55" s="204" t="s">
        <v>2408</v>
      </c>
      <c r="B55" s="199" t="s">
        <v>2409</v>
      </c>
      <c r="C55" s="199" t="s">
        <v>1603</v>
      </c>
      <c r="D55" s="199" t="s">
        <v>2410</v>
      </c>
      <c r="E55" s="199" t="s">
        <v>2411</v>
      </c>
      <c r="F55" s="207">
        <v>2.1</v>
      </c>
      <c r="G55" s="199" t="s">
        <v>1327</v>
      </c>
      <c r="H55" s="199" t="s">
        <v>2200</v>
      </c>
      <c r="I55" s="210">
        <v>19</v>
      </c>
      <c r="J55" s="210"/>
      <c r="K55" s="199" t="s">
        <v>1484</v>
      </c>
      <c r="L55" s="199" t="s">
        <v>2201</v>
      </c>
      <c r="M55" s="199">
        <v>2024</v>
      </c>
      <c r="N55" s="199" t="s">
        <v>2202</v>
      </c>
      <c r="O55" s="199" t="s">
        <v>2203</v>
      </c>
      <c r="P55" s="199" t="s">
        <v>2204</v>
      </c>
      <c r="Q55" s="200" t="s">
        <v>1489</v>
      </c>
    </row>
    <row r="56" spans="1:17" ht="36">
      <c r="A56" s="204" t="s">
        <v>2412</v>
      </c>
      <c r="B56" s="199" t="s">
        <v>2413</v>
      </c>
      <c r="C56" s="199" t="s">
        <v>1178</v>
      </c>
      <c r="D56" s="199" t="s">
        <v>2414</v>
      </c>
      <c r="E56" s="199" t="s">
        <v>2415</v>
      </c>
      <c r="F56" s="207">
        <v>3.1</v>
      </c>
      <c r="G56" s="199" t="s">
        <v>1327</v>
      </c>
      <c r="H56" s="199" t="s">
        <v>2200</v>
      </c>
      <c r="I56" s="210">
        <v>19</v>
      </c>
      <c r="J56" s="210"/>
      <c r="K56" s="199" t="s">
        <v>1484</v>
      </c>
      <c r="L56" s="199" t="s">
        <v>2201</v>
      </c>
      <c r="M56" s="199">
        <v>2024</v>
      </c>
      <c r="N56" s="199" t="s">
        <v>2202</v>
      </c>
      <c r="O56" s="199" t="s">
        <v>2203</v>
      </c>
      <c r="P56" s="199" t="s">
        <v>2204</v>
      </c>
      <c r="Q56" s="200" t="s">
        <v>1489</v>
      </c>
    </row>
    <row r="57" spans="1:17" ht="36">
      <c r="A57" s="204" t="s">
        <v>2416</v>
      </c>
      <c r="B57" s="199" t="s">
        <v>2417</v>
      </c>
      <c r="C57" s="199" t="s">
        <v>1481</v>
      </c>
      <c r="D57" s="199" t="s">
        <v>2418</v>
      </c>
      <c r="E57" s="199" t="s">
        <v>2419</v>
      </c>
      <c r="F57" s="207">
        <v>1.1000000000000001</v>
      </c>
      <c r="G57" s="199" t="s">
        <v>1327</v>
      </c>
      <c r="H57" s="199" t="s">
        <v>2200</v>
      </c>
      <c r="I57" s="210">
        <v>19</v>
      </c>
      <c r="J57" s="210"/>
      <c r="K57" s="199" t="s">
        <v>1484</v>
      </c>
      <c r="L57" s="199" t="s">
        <v>2201</v>
      </c>
      <c r="M57" s="199">
        <v>2024</v>
      </c>
      <c r="N57" s="199" t="s">
        <v>2202</v>
      </c>
      <c r="O57" s="199" t="s">
        <v>2203</v>
      </c>
      <c r="P57" s="199" t="s">
        <v>2204</v>
      </c>
      <c r="Q57" s="200" t="s">
        <v>1489</v>
      </c>
    </row>
    <row r="58" spans="1:17" ht="36">
      <c r="A58" s="204" t="s">
        <v>2420</v>
      </c>
      <c r="B58" s="199" t="s">
        <v>2421</v>
      </c>
      <c r="C58" s="199" t="s">
        <v>1481</v>
      </c>
      <c r="D58" s="199" t="s">
        <v>2422</v>
      </c>
      <c r="E58" s="199" t="s">
        <v>2423</v>
      </c>
      <c r="F58" s="207">
        <v>1.2</v>
      </c>
      <c r="G58" s="199" t="s">
        <v>1327</v>
      </c>
      <c r="H58" s="199" t="s">
        <v>2200</v>
      </c>
      <c r="I58" s="210">
        <v>19</v>
      </c>
      <c r="J58" s="210"/>
      <c r="K58" s="199" t="s">
        <v>1484</v>
      </c>
      <c r="L58" s="199" t="s">
        <v>2201</v>
      </c>
      <c r="M58" s="199">
        <v>2024</v>
      </c>
      <c r="N58" s="199" t="s">
        <v>2202</v>
      </c>
      <c r="O58" s="199" t="s">
        <v>2203</v>
      </c>
      <c r="P58" s="199" t="s">
        <v>2204</v>
      </c>
      <c r="Q58" s="200" t="s">
        <v>1489</v>
      </c>
    </row>
    <row r="59" spans="1:17" ht="36">
      <c r="A59" s="204" t="s">
        <v>2424</v>
      </c>
      <c r="B59" s="199" t="s">
        <v>2425</v>
      </c>
      <c r="C59" s="199" t="s">
        <v>1481</v>
      </c>
      <c r="D59" s="199" t="s">
        <v>2426</v>
      </c>
      <c r="E59" s="199" t="s">
        <v>2427</v>
      </c>
      <c r="F59" s="207">
        <v>1.2</v>
      </c>
      <c r="G59" s="199" t="s">
        <v>1327</v>
      </c>
      <c r="H59" s="199" t="s">
        <v>2200</v>
      </c>
      <c r="I59" s="210">
        <v>19</v>
      </c>
      <c r="J59" s="210"/>
      <c r="K59" s="199" t="s">
        <v>1484</v>
      </c>
      <c r="L59" s="199" t="s">
        <v>2201</v>
      </c>
      <c r="M59" s="199">
        <v>2024</v>
      </c>
      <c r="N59" s="199" t="s">
        <v>2202</v>
      </c>
      <c r="O59" s="199" t="s">
        <v>2203</v>
      </c>
      <c r="P59" s="199" t="s">
        <v>2204</v>
      </c>
      <c r="Q59" s="200" t="s">
        <v>1489</v>
      </c>
    </row>
    <row r="60" spans="1:17" ht="36">
      <c r="A60" s="204" t="s">
        <v>2428</v>
      </c>
      <c r="B60" s="199" t="s">
        <v>2429</v>
      </c>
      <c r="C60" s="199" t="s">
        <v>1481</v>
      </c>
      <c r="D60" s="199" t="s">
        <v>2430</v>
      </c>
      <c r="E60" s="199" t="s">
        <v>2431</v>
      </c>
      <c r="F60" s="207">
        <v>1.1000000000000001</v>
      </c>
      <c r="G60" s="199" t="s">
        <v>1327</v>
      </c>
      <c r="H60" s="199" t="s">
        <v>2200</v>
      </c>
      <c r="I60" s="210">
        <v>19</v>
      </c>
      <c r="J60" s="210"/>
      <c r="K60" s="199" t="s">
        <v>1484</v>
      </c>
      <c r="L60" s="199" t="s">
        <v>2201</v>
      </c>
      <c r="M60" s="199">
        <v>2024</v>
      </c>
      <c r="N60" s="199" t="s">
        <v>2202</v>
      </c>
      <c r="O60" s="199" t="s">
        <v>2203</v>
      </c>
      <c r="P60" s="199" t="s">
        <v>2204</v>
      </c>
      <c r="Q60" s="200" t="s">
        <v>1489</v>
      </c>
    </row>
    <row r="61" spans="1:17" ht="36">
      <c r="A61" s="204" t="s">
        <v>2432</v>
      </c>
      <c r="B61" s="199" t="s">
        <v>2433</v>
      </c>
      <c r="C61" s="199" t="s">
        <v>1481</v>
      </c>
      <c r="D61" s="199" t="s">
        <v>2434</v>
      </c>
      <c r="E61" s="199" t="s">
        <v>2435</v>
      </c>
      <c r="F61" s="207">
        <v>1.3</v>
      </c>
      <c r="G61" s="199" t="s">
        <v>1327</v>
      </c>
      <c r="H61" s="199" t="s">
        <v>2200</v>
      </c>
      <c r="I61" s="210">
        <v>19</v>
      </c>
      <c r="J61" s="210"/>
      <c r="K61" s="199" t="s">
        <v>1484</v>
      </c>
      <c r="L61" s="199" t="s">
        <v>2201</v>
      </c>
      <c r="M61" s="199">
        <v>2024</v>
      </c>
      <c r="N61" s="199" t="s">
        <v>2202</v>
      </c>
      <c r="O61" s="199" t="s">
        <v>2203</v>
      </c>
      <c r="P61" s="199" t="s">
        <v>2204</v>
      </c>
      <c r="Q61" s="200" t="s">
        <v>1489</v>
      </c>
    </row>
    <row r="62" spans="1:17" ht="36">
      <c r="A62" s="204" t="s">
        <v>2436</v>
      </c>
      <c r="B62" s="199" t="s">
        <v>2437</v>
      </c>
      <c r="C62" s="199" t="s">
        <v>1481</v>
      </c>
      <c r="D62" s="199" t="s">
        <v>2438</v>
      </c>
      <c r="E62" s="199" t="s">
        <v>2439</v>
      </c>
      <c r="F62" s="207">
        <v>1.4</v>
      </c>
      <c r="G62" s="199" t="s">
        <v>1327</v>
      </c>
      <c r="H62" s="199" t="s">
        <v>2200</v>
      </c>
      <c r="I62" s="210">
        <v>19</v>
      </c>
      <c r="J62" s="210"/>
      <c r="K62" s="199" t="s">
        <v>1484</v>
      </c>
      <c r="L62" s="199" t="s">
        <v>2201</v>
      </c>
      <c r="M62" s="199">
        <v>2024</v>
      </c>
      <c r="N62" s="199" t="s">
        <v>2202</v>
      </c>
      <c r="O62" s="199" t="s">
        <v>2203</v>
      </c>
      <c r="P62" s="199" t="s">
        <v>2204</v>
      </c>
      <c r="Q62" s="200" t="s">
        <v>1489</v>
      </c>
    </row>
    <row r="63" spans="1:17" ht="36">
      <c r="A63" s="204" t="s">
        <v>2440</v>
      </c>
      <c r="B63" s="199" t="s">
        <v>2441</v>
      </c>
      <c r="C63" s="199" t="s">
        <v>1481</v>
      </c>
      <c r="D63" s="199" t="s">
        <v>2442</v>
      </c>
      <c r="E63" s="199" t="s">
        <v>2443</v>
      </c>
      <c r="F63" s="207">
        <v>1.2</v>
      </c>
      <c r="G63" s="199" t="s">
        <v>1327</v>
      </c>
      <c r="H63" s="199" t="s">
        <v>2200</v>
      </c>
      <c r="I63" s="210">
        <v>19</v>
      </c>
      <c r="J63" s="210"/>
      <c r="K63" s="199" t="s">
        <v>1484</v>
      </c>
      <c r="L63" s="199" t="s">
        <v>2201</v>
      </c>
      <c r="M63" s="199">
        <v>2024</v>
      </c>
      <c r="N63" s="199" t="s">
        <v>2202</v>
      </c>
      <c r="O63" s="199" t="s">
        <v>2203</v>
      </c>
      <c r="P63" s="199" t="s">
        <v>2204</v>
      </c>
      <c r="Q63" s="200" t="s">
        <v>1489</v>
      </c>
    </row>
    <row r="64" spans="1:17" ht="36">
      <c r="A64" s="204" t="s">
        <v>2444</v>
      </c>
      <c r="B64" s="199" t="s">
        <v>2445</v>
      </c>
      <c r="C64" s="199" t="s">
        <v>2085</v>
      </c>
      <c r="D64" s="199" t="s">
        <v>2446</v>
      </c>
      <c r="E64" s="199" t="s">
        <v>2447</v>
      </c>
      <c r="F64" s="207">
        <v>5.0999999999999996</v>
      </c>
      <c r="G64" s="199" t="s">
        <v>1327</v>
      </c>
      <c r="H64" s="199" t="s">
        <v>2200</v>
      </c>
      <c r="I64" s="210">
        <v>19</v>
      </c>
      <c r="J64" s="210"/>
      <c r="K64" s="199" t="s">
        <v>1484</v>
      </c>
      <c r="L64" s="199" t="s">
        <v>2201</v>
      </c>
      <c r="M64" s="199">
        <v>2024</v>
      </c>
      <c r="N64" s="199" t="s">
        <v>2202</v>
      </c>
      <c r="O64" s="199" t="s">
        <v>2203</v>
      </c>
      <c r="P64" s="199" t="s">
        <v>2204</v>
      </c>
      <c r="Q64" s="200" t="s">
        <v>1489</v>
      </c>
    </row>
    <row r="65" spans="1:17" ht="36">
      <c r="A65" s="204" t="s">
        <v>2448</v>
      </c>
      <c r="B65" s="199" t="s">
        <v>2449</v>
      </c>
      <c r="C65" s="199" t="s">
        <v>2085</v>
      </c>
      <c r="D65" s="199" t="s">
        <v>2450</v>
      </c>
      <c r="E65" s="199" t="s">
        <v>2451</v>
      </c>
      <c r="F65" s="207">
        <v>3.2</v>
      </c>
      <c r="G65" s="199" t="s">
        <v>1327</v>
      </c>
      <c r="H65" s="199" t="s">
        <v>2200</v>
      </c>
      <c r="I65" s="210">
        <v>19</v>
      </c>
      <c r="J65" s="210"/>
      <c r="K65" s="199" t="s">
        <v>1484</v>
      </c>
      <c r="L65" s="199" t="s">
        <v>2201</v>
      </c>
      <c r="M65" s="199">
        <v>2024</v>
      </c>
      <c r="N65" s="199" t="s">
        <v>2202</v>
      </c>
      <c r="O65" s="199" t="s">
        <v>2203</v>
      </c>
      <c r="P65" s="199" t="s">
        <v>2204</v>
      </c>
      <c r="Q65" s="200" t="s">
        <v>1489</v>
      </c>
    </row>
    <row r="66" spans="1:17" ht="36">
      <c r="A66" s="204" t="s">
        <v>2452</v>
      </c>
      <c r="B66" s="199" t="s">
        <v>2453</v>
      </c>
      <c r="C66" s="199" t="s">
        <v>2085</v>
      </c>
      <c r="D66" s="199" t="s">
        <v>2454</v>
      </c>
      <c r="E66" s="199" t="s">
        <v>2454</v>
      </c>
      <c r="F66" s="207">
        <v>1.8</v>
      </c>
      <c r="G66" s="199" t="s">
        <v>1327</v>
      </c>
      <c r="H66" s="199" t="s">
        <v>2200</v>
      </c>
      <c r="I66" s="210">
        <v>19</v>
      </c>
      <c r="J66" s="210"/>
      <c r="K66" s="199" t="s">
        <v>1484</v>
      </c>
      <c r="L66" s="199" t="s">
        <v>2201</v>
      </c>
      <c r="M66" s="199">
        <v>2024</v>
      </c>
      <c r="N66" s="199" t="s">
        <v>2202</v>
      </c>
      <c r="O66" s="199" t="s">
        <v>2203</v>
      </c>
      <c r="P66" s="199" t="s">
        <v>2204</v>
      </c>
      <c r="Q66" s="200" t="s">
        <v>1489</v>
      </c>
    </row>
    <row r="67" spans="1:17" ht="36">
      <c r="A67" s="204" t="s">
        <v>2455</v>
      </c>
      <c r="B67" s="199" t="s">
        <v>2456</v>
      </c>
      <c r="C67" s="199" t="s">
        <v>2085</v>
      </c>
      <c r="D67" s="199" t="s">
        <v>2457</v>
      </c>
      <c r="E67" s="199" t="s">
        <v>2458</v>
      </c>
      <c r="F67" s="207">
        <v>7.1</v>
      </c>
      <c r="G67" s="199" t="s">
        <v>1327</v>
      </c>
      <c r="H67" s="199" t="s">
        <v>2200</v>
      </c>
      <c r="I67" s="210">
        <v>19</v>
      </c>
      <c r="J67" s="210"/>
      <c r="K67" s="199" t="s">
        <v>1484</v>
      </c>
      <c r="L67" s="199" t="s">
        <v>2201</v>
      </c>
      <c r="M67" s="199">
        <v>2024</v>
      </c>
      <c r="N67" s="199" t="s">
        <v>2202</v>
      </c>
      <c r="O67" s="199" t="s">
        <v>2203</v>
      </c>
      <c r="P67" s="199" t="s">
        <v>2204</v>
      </c>
      <c r="Q67" s="200" t="s">
        <v>1489</v>
      </c>
    </row>
    <row r="68" spans="1:17" ht="36">
      <c r="A68" s="204" t="s">
        <v>2459</v>
      </c>
      <c r="B68" s="199" t="s">
        <v>2460</v>
      </c>
      <c r="C68" s="199" t="s">
        <v>2085</v>
      </c>
      <c r="D68" s="199" t="s">
        <v>2461</v>
      </c>
      <c r="E68" s="199" t="s">
        <v>2462</v>
      </c>
      <c r="F68" s="207">
        <v>2.7</v>
      </c>
      <c r="G68" s="199" t="s">
        <v>1327</v>
      </c>
      <c r="H68" s="199" t="s">
        <v>2200</v>
      </c>
      <c r="I68" s="210">
        <v>19</v>
      </c>
      <c r="J68" s="210"/>
      <c r="K68" s="199" t="s">
        <v>1484</v>
      </c>
      <c r="L68" s="199" t="s">
        <v>2201</v>
      </c>
      <c r="M68" s="199">
        <v>2024</v>
      </c>
      <c r="N68" s="199" t="s">
        <v>2202</v>
      </c>
      <c r="O68" s="199" t="s">
        <v>2203</v>
      </c>
      <c r="P68" s="199" t="s">
        <v>2204</v>
      </c>
      <c r="Q68" s="200" t="s">
        <v>1489</v>
      </c>
    </row>
    <row r="69" spans="1:17" ht="36">
      <c r="A69" s="204" t="s">
        <v>2463</v>
      </c>
      <c r="B69" s="199" t="s">
        <v>2464</v>
      </c>
      <c r="C69" s="199" t="s">
        <v>2085</v>
      </c>
      <c r="D69" s="199" t="s">
        <v>2465</v>
      </c>
      <c r="E69" s="199" t="s">
        <v>2466</v>
      </c>
      <c r="F69" s="207">
        <v>2.7</v>
      </c>
      <c r="G69" s="199" t="s">
        <v>1327</v>
      </c>
      <c r="H69" s="199" t="s">
        <v>2200</v>
      </c>
      <c r="I69" s="210">
        <v>19</v>
      </c>
      <c r="J69" s="210"/>
      <c r="K69" s="199" t="s">
        <v>1484</v>
      </c>
      <c r="L69" s="199" t="s">
        <v>2201</v>
      </c>
      <c r="M69" s="199">
        <v>2024</v>
      </c>
      <c r="N69" s="199" t="s">
        <v>2202</v>
      </c>
      <c r="O69" s="199" t="s">
        <v>2203</v>
      </c>
      <c r="P69" s="199" t="s">
        <v>2204</v>
      </c>
      <c r="Q69" s="200" t="s">
        <v>1489</v>
      </c>
    </row>
    <row r="70" spans="1:17" ht="36">
      <c r="A70" s="204" t="s">
        <v>2467</v>
      </c>
      <c r="B70" s="199" t="s">
        <v>2468</v>
      </c>
      <c r="C70" s="199" t="s">
        <v>2085</v>
      </c>
      <c r="D70" s="199" t="s">
        <v>2469</v>
      </c>
      <c r="E70" s="199" t="s">
        <v>2470</v>
      </c>
      <c r="F70" s="207">
        <v>4.0999999999999996</v>
      </c>
      <c r="G70" s="199" t="s">
        <v>1327</v>
      </c>
      <c r="H70" s="199" t="s">
        <v>2200</v>
      </c>
      <c r="I70" s="210">
        <v>19</v>
      </c>
      <c r="J70" s="210"/>
      <c r="K70" s="199" t="s">
        <v>1484</v>
      </c>
      <c r="L70" s="199" t="s">
        <v>2201</v>
      </c>
      <c r="M70" s="199">
        <v>2024</v>
      </c>
      <c r="N70" s="199" t="s">
        <v>2202</v>
      </c>
      <c r="O70" s="199" t="s">
        <v>2203</v>
      </c>
      <c r="P70" s="199" t="s">
        <v>2204</v>
      </c>
      <c r="Q70" s="200" t="s">
        <v>1489</v>
      </c>
    </row>
    <row r="71" spans="1:17" ht="36">
      <c r="A71" s="204" t="s">
        <v>2471</v>
      </c>
      <c r="B71" s="199" t="s">
        <v>2472</v>
      </c>
      <c r="C71" s="199" t="s">
        <v>2085</v>
      </c>
      <c r="D71" s="199" t="s">
        <v>2473</v>
      </c>
      <c r="E71" s="199" t="s">
        <v>2473</v>
      </c>
      <c r="F71" s="207">
        <v>2.6</v>
      </c>
      <c r="G71" s="199" t="s">
        <v>1327</v>
      </c>
      <c r="H71" s="199" t="s">
        <v>2200</v>
      </c>
      <c r="I71" s="210">
        <v>19</v>
      </c>
      <c r="J71" s="210"/>
      <c r="K71" s="199" t="s">
        <v>1484</v>
      </c>
      <c r="L71" s="199" t="s">
        <v>2201</v>
      </c>
      <c r="M71" s="199">
        <v>2024</v>
      </c>
      <c r="N71" s="199" t="s">
        <v>2202</v>
      </c>
      <c r="O71" s="199" t="s">
        <v>2203</v>
      </c>
      <c r="P71" s="199" t="s">
        <v>2204</v>
      </c>
      <c r="Q71" s="200" t="s">
        <v>1489</v>
      </c>
    </row>
    <row r="72" spans="1:17" ht="36">
      <c r="A72" s="204" t="s">
        <v>2474</v>
      </c>
      <c r="B72" s="199" t="s">
        <v>2475</v>
      </c>
      <c r="C72" s="199" t="s">
        <v>1801</v>
      </c>
      <c r="D72" s="199" t="s">
        <v>2476</v>
      </c>
      <c r="E72" s="199" t="s">
        <v>2477</v>
      </c>
      <c r="F72" s="207">
        <v>2.5</v>
      </c>
      <c r="G72" s="199" t="s">
        <v>1327</v>
      </c>
      <c r="H72" s="199" t="s">
        <v>2200</v>
      </c>
      <c r="I72" s="210">
        <v>19</v>
      </c>
      <c r="J72" s="210"/>
      <c r="K72" s="199" t="s">
        <v>1484</v>
      </c>
      <c r="L72" s="199" t="s">
        <v>2201</v>
      </c>
      <c r="M72" s="199">
        <v>2024</v>
      </c>
      <c r="N72" s="199" t="s">
        <v>2202</v>
      </c>
      <c r="O72" s="199" t="s">
        <v>2203</v>
      </c>
      <c r="P72" s="199" t="s">
        <v>2204</v>
      </c>
      <c r="Q72" s="200" t="s">
        <v>1489</v>
      </c>
    </row>
    <row r="73" spans="1:17" ht="36">
      <c r="A73" s="204" t="s">
        <v>2478</v>
      </c>
      <c r="B73" s="199" t="s">
        <v>2479</v>
      </c>
      <c r="C73" s="199" t="s">
        <v>1801</v>
      </c>
      <c r="D73" s="199" t="s">
        <v>2480</v>
      </c>
      <c r="E73" s="199" t="s">
        <v>2481</v>
      </c>
      <c r="F73" s="207">
        <v>4</v>
      </c>
      <c r="G73" s="199" t="s">
        <v>1327</v>
      </c>
      <c r="H73" s="199" t="s">
        <v>2200</v>
      </c>
      <c r="I73" s="210">
        <v>19</v>
      </c>
      <c r="J73" s="210"/>
      <c r="K73" s="199" t="s">
        <v>1484</v>
      </c>
      <c r="L73" s="199" t="s">
        <v>2201</v>
      </c>
      <c r="M73" s="199">
        <v>2024</v>
      </c>
      <c r="N73" s="199" t="s">
        <v>2202</v>
      </c>
      <c r="O73" s="199" t="s">
        <v>2203</v>
      </c>
      <c r="P73" s="199" t="s">
        <v>2204</v>
      </c>
      <c r="Q73" s="200" t="s">
        <v>1489</v>
      </c>
    </row>
    <row r="74" spans="1:17" ht="36">
      <c r="A74" s="204" t="s">
        <v>2482</v>
      </c>
      <c r="B74" s="199" t="s">
        <v>2483</v>
      </c>
      <c r="C74" s="199" t="s">
        <v>1801</v>
      </c>
      <c r="D74" s="199" t="s">
        <v>2484</v>
      </c>
      <c r="E74" s="199" t="s">
        <v>2485</v>
      </c>
      <c r="F74" s="207">
        <v>2.6</v>
      </c>
      <c r="G74" s="199" t="s">
        <v>1327</v>
      </c>
      <c r="H74" s="199" t="s">
        <v>2200</v>
      </c>
      <c r="I74" s="210">
        <v>19</v>
      </c>
      <c r="J74" s="210"/>
      <c r="K74" s="199" t="s">
        <v>1484</v>
      </c>
      <c r="L74" s="199" t="s">
        <v>2201</v>
      </c>
      <c r="M74" s="199">
        <v>2024</v>
      </c>
      <c r="N74" s="199" t="s">
        <v>2202</v>
      </c>
      <c r="O74" s="199" t="s">
        <v>2203</v>
      </c>
      <c r="P74" s="199" t="s">
        <v>2204</v>
      </c>
      <c r="Q74" s="200" t="s">
        <v>1489</v>
      </c>
    </row>
    <row r="75" spans="1:17" ht="36">
      <c r="A75" s="204" t="s">
        <v>2486</v>
      </c>
      <c r="B75" s="199" t="s">
        <v>2487</v>
      </c>
      <c r="C75" s="199" t="s">
        <v>1801</v>
      </c>
      <c r="D75" s="199" t="s">
        <v>2488</v>
      </c>
      <c r="E75" s="199" t="s">
        <v>2489</v>
      </c>
      <c r="F75" s="207">
        <v>1.5</v>
      </c>
      <c r="G75" s="199" t="s">
        <v>1327</v>
      </c>
      <c r="H75" s="199" t="s">
        <v>2200</v>
      </c>
      <c r="I75" s="210">
        <v>19</v>
      </c>
      <c r="J75" s="210"/>
      <c r="K75" s="199" t="s">
        <v>1484</v>
      </c>
      <c r="L75" s="199" t="s">
        <v>2201</v>
      </c>
      <c r="M75" s="199">
        <v>2024</v>
      </c>
      <c r="N75" s="199" t="s">
        <v>2202</v>
      </c>
      <c r="O75" s="199" t="s">
        <v>2203</v>
      </c>
      <c r="P75" s="199" t="s">
        <v>2204</v>
      </c>
      <c r="Q75" s="200" t="s">
        <v>1489</v>
      </c>
    </row>
    <row r="76" spans="1:17" ht="36">
      <c r="A76" s="204" t="s">
        <v>2490</v>
      </c>
      <c r="B76" s="199" t="s">
        <v>2491</v>
      </c>
      <c r="C76" s="199" t="s">
        <v>1801</v>
      </c>
      <c r="D76" s="199" t="s">
        <v>2492</v>
      </c>
      <c r="E76" s="199" t="s">
        <v>2493</v>
      </c>
      <c r="F76" s="207">
        <v>3.5</v>
      </c>
      <c r="G76" s="199" t="s">
        <v>1327</v>
      </c>
      <c r="H76" s="199" t="s">
        <v>2200</v>
      </c>
      <c r="I76" s="210">
        <v>19</v>
      </c>
      <c r="J76" s="210"/>
      <c r="K76" s="199" t="s">
        <v>1484</v>
      </c>
      <c r="L76" s="199" t="s">
        <v>2201</v>
      </c>
      <c r="M76" s="199">
        <v>2024</v>
      </c>
      <c r="N76" s="199" t="s">
        <v>2202</v>
      </c>
      <c r="O76" s="199" t="s">
        <v>2203</v>
      </c>
      <c r="P76" s="199" t="s">
        <v>2204</v>
      </c>
      <c r="Q76" s="200" t="s">
        <v>1489</v>
      </c>
    </row>
    <row r="77" spans="1:17" ht="36">
      <c r="A77" s="204" t="s">
        <v>2494</v>
      </c>
      <c r="B77" s="199" t="s">
        <v>2495</v>
      </c>
      <c r="C77" s="199" t="s">
        <v>1801</v>
      </c>
      <c r="D77" s="199" t="s">
        <v>2496</v>
      </c>
      <c r="E77" s="199" t="s">
        <v>2497</v>
      </c>
      <c r="F77" s="207">
        <v>4</v>
      </c>
      <c r="G77" s="199" t="s">
        <v>1327</v>
      </c>
      <c r="H77" s="199" t="s">
        <v>2200</v>
      </c>
      <c r="I77" s="210">
        <v>19</v>
      </c>
      <c r="J77" s="210"/>
      <c r="K77" s="199" t="s">
        <v>1484</v>
      </c>
      <c r="L77" s="199" t="s">
        <v>2201</v>
      </c>
      <c r="M77" s="199">
        <v>2024</v>
      </c>
      <c r="N77" s="199" t="s">
        <v>2202</v>
      </c>
      <c r="O77" s="199" t="s">
        <v>2203</v>
      </c>
      <c r="P77" s="199" t="s">
        <v>2204</v>
      </c>
      <c r="Q77" s="200" t="s">
        <v>1489</v>
      </c>
    </row>
    <row r="78" spans="1:17" ht="36">
      <c r="A78" s="204" t="s">
        <v>2498</v>
      </c>
      <c r="B78" s="199" t="s">
        <v>2499</v>
      </c>
      <c r="C78" s="199" t="s">
        <v>1801</v>
      </c>
      <c r="D78" s="199" t="s">
        <v>2500</v>
      </c>
      <c r="E78" s="199" t="s">
        <v>2501</v>
      </c>
      <c r="F78" s="207">
        <v>3.2</v>
      </c>
      <c r="G78" s="199" t="s">
        <v>1327</v>
      </c>
      <c r="H78" s="199" t="s">
        <v>2200</v>
      </c>
      <c r="I78" s="210">
        <v>19</v>
      </c>
      <c r="J78" s="210"/>
      <c r="K78" s="199" t="s">
        <v>1484</v>
      </c>
      <c r="L78" s="199" t="s">
        <v>2201</v>
      </c>
      <c r="M78" s="199">
        <v>2024</v>
      </c>
      <c r="N78" s="199" t="s">
        <v>2202</v>
      </c>
      <c r="O78" s="199" t="s">
        <v>2203</v>
      </c>
      <c r="P78" s="199" t="s">
        <v>2204</v>
      </c>
      <c r="Q78" s="200" t="s">
        <v>1489</v>
      </c>
    </row>
    <row r="79" spans="1:17" ht="36">
      <c r="A79" s="204" t="s">
        <v>2502</v>
      </c>
      <c r="B79" s="199" t="s">
        <v>2503</v>
      </c>
      <c r="C79" s="199" t="s">
        <v>1801</v>
      </c>
      <c r="D79" s="199" t="s">
        <v>2504</v>
      </c>
      <c r="E79" s="199" t="s">
        <v>2505</v>
      </c>
      <c r="F79" s="207">
        <v>2.9</v>
      </c>
      <c r="G79" s="199" t="s">
        <v>1327</v>
      </c>
      <c r="H79" s="199" t="s">
        <v>2200</v>
      </c>
      <c r="I79" s="210">
        <v>19</v>
      </c>
      <c r="J79" s="210"/>
      <c r="K79" s="199" t="s">
        <v>1484</v>
      </c>
      <c r="L79" s="199" t="s">
        <v>2201</v>
      </c>
      <c r="M79" s="199">
        <v>2024</v>
      </c>
      <c r="N79" s="199" t="s">
        <v>2202</v>
      </c>
      <c r="O79" s="199" t="s">
        <v>2203</v>
      </c>
      <c r="P79" s="199" t="s">
        <v>2204</v>
      </c>
      <c r="Q79" s="200" t="s">
        <v>1489</v>
      </c>
    </row>
    <row r="80" spans="1:17" ht="36">
      <c r="A80" s="204" t="s">
        <v>2506</v>
      </c>
      <c r="B80" s="199" t="s">
        <v>2507</v>
      </c>
      <c r="C80" s="199" t="s">
        <v>1801</v>
      </c>
      <c r="D80" s="199" t="s">
        <v>2508</v>
      </c>
      <c r="E80" s="199" t="s">
        <v>2509</v>
      </c>
      <c r="F80" s="207">
        <v>1.8</v>
      </c>
      <c r="G80" s="199" t="s">
        <v>1327</v>
      </c>
      <c r="H80" s="199" t="s">
        <v>2200</v>
      </c>
      <c r="I80" s="210">
        <v>19</v>
      </c>
      <c r="J80" s="210"/>
      <c r="K80" s="199" t="s">
        <v>1484</v>
      </c>
      <c r="L80" s="199" t="s">
        <v>2201</v>
      </c>
      <c r="M80" s="199">
        <v>2024</v>
      </c>
      <c r="N80" s="199" t="s">
        <v>2202</v>
      </c>
      <c r="O80" s="199" t="s">
        <v>2203</v>
      </c>
      <c r="P80" s="199" t="s">
        <v>2204</v>
      </c>
      <c r="Q80" s="200" t="s">
        <v>1489</v>
      </c>
    </row>
    <row r="81" spans="1:17" ht="36">
      <c r="A81" s="204" t="s">
        <v>2510</v>
      </c>
      <c r="B81" s="199" t="s">
        <v>2511</v>
      </c>
      <c r="C81" s="199" t="s">
        <v>1801</v>
      </c>
      <c r="D81" s="199" t="s">
        <v>2512</v>
      </c>
      <c r="E81" s="199" t="s">
        <v>2513</v>
      </c>
      <c r="F81" s="207">
        <v>2.2000000000000002</v>
      </c>
      <c r="G81" s="199" t="s">
        <v>1327</v>
      </c>
      <c r="H81" s="199" t="s">
        <v>2200</v>
      </c>
      <c r="I81" s="210">
        <v>19</v>
      </c>
      <c r="J81" s="210"/>
      <c r="K81" s="199" t="s">
        <v>1484</v>
      </c>
      <c r="L81" s="199" t="s">
        <v>2201</v>
      </c>
      <c r="M81" s="199">
        <v>2024</v>
      </c>
      <c r="N81" s="199" t="s">
        <v>2202</v>
      </c>
      <c r="O81" s="199" t="s">
        <v>2203</v>
      </c>
      <c r="P81" s="199" t="s">
        <v>2204</v>
      </c>
      <c r="Q81" s="200" t="s">
        <v>1489</v>
      </c>
    </row>
    <row r="82" spans="1:17" ht="36">
      <c r="A82" s="204" t="s">
        <v>2514</v>
      </c>
      <c r="B82" s="199" t="s">
        <v>2515</v>
      </c>
      <c r="C82" s="199" t="s">
        <v>1801</v>
      </c>
      <c r="D82" s="199" t="s">
        <v>2516</v>
      </c>
      <c r="E82" s="199" t="s">
        <v>2517</v>
      </c>
      <c r="F82" s="207">
        <v>4</v>
      </c>
      <c r="G82" s="199" t="s">
        <v>1327</v>
      </c>
      <c r="H82" s="199" t="s">
        <v>2200</v>
      </c>
      <c r="I82" s="210">
        <v>19</v>
      </c>
      <c r="J82" s="210"/>
      <c r="K82" s="199" t="s">
        <v>1484</v>
      </c>
      <c r="L82" s="199" t="s">
        <v>2201</v>
      </c>
      <c r="M82" s="199">
        <v>2024</v>
      </c>
      <c r="N82" s="199" t="s">
        <v>2202</v>
      </c>
      <c r="O82" s="199" t="s">
        <v>2203</v>
      </c>
      <c r="P82" s="199" t="s">
        <v>2204</v>
      </c>
      <c r="Q82" s="200" t="s">
        <v>1489</v>
      </c>
    </row>
    <row r="83" spans="1:17" ht="36">
      <c r="A83" s="204" t="s">
        <v>2518</v>
      </c>
      <c r="B83" s="199" t="s">
        <v>2519</v>
      </c>
      <c r="C83" s="199" t="s">
        <v>1801</v>
      </c>
      <c r="D83" s="199" t="s">
        <v>2520</v>
      </c>
      <c r="E83" s="199" t="s">
        <v>2521</v>
      </c>
      <c r="F83" s="207">
        <v>1.8</v>
      </c>
      <c r="G83" s="199" t="s">
        <v>1327</v>
      </c>
      <c r="H83" s="199" t="s">
        <v>2200</v>
      </c>
      <c r="I83" s="210">
        <v>19</v>
      </c>
      <c r="J83" s="210"/>
      <c r="K83" s="199" t="s">
        <v>1484</v>
      </c>
      <c r="L83" s="199" t="s">
        <v>2201</v>
      </c>
      <c r="M83" s="199">
        <v>2024</v>
      </c>
      <c r="N83" s="199" t="s">
        <v>2202</v>
      </c>
      <c r="O83" s="199" t="s">
        <v>2203</v>
      </c>
      <c r="P83" s="199" t="s">
        <v>2204</v>
      </c>
      <c r="Q83" s="200" t="s">
        <v>1489</v>
      </c>
    </row>
    <row r="84" spans="1:17" ht="36">
      <c r="A84" s="205" t="s">
        <v>1855</v>
      </c>
      <c r="B84" s="201" t="s">
        <v>2522</v>
      </c>
      <c r="C84" s="201" t="s">
        <v>1856</v>
      </c>
      <c r="D84" s="201" t="s">
        <v>1857</v>
      </c>
      <c r="E84" s="201" t="s">
        <v>1858</v>
      </c>
      <c r="F84" s="208">
        <v>0</v>
      </c>
      <c r="G84" s="201" t="s">
        <v>1327</v>
      </c>
      <c r="H84" s="201" t="s">
        <v>2200</v>
      </c>
      <c r="I84" s="211">
        <v>19</v>
      </c>
      <c r="J84" s="211"/>
      <c r="K84" s="201" t="s">
        <v>1484</v>
      </c>
      <c r="L84" s="201" t="s">
        <v>2201</v>
      </c>
      <c r="M84" s="201">
        <v>2024</v>
      </c>
      <c r="N84" s="201" t="s">
        <v>2202</v>
      </c>
      <c r="O84" s="201" t="s">
        <v>2203</v>
      </c>
      <c r="P84" s="201" t="s">
        <v>2204</v>
      </c>
      <c r="Q84" s="202" t="s">
        <v>1489</v>
      </c>
    </row>
  </sheetData>
  <sheetProtection algorithmName="SHA-512" hashValue="WqePqEY1y9DkHDghOliPbxYAUeFrYacn9Iz2r00DaJVkHfH+WGT/GBXQxAuJn+M+h7Ju/18yRuMCHhNRm67h4w==" saltValue="tHnH4sCKg5t28GgWV2D9kA==" spinCount="100000" sheet="1" objects="1" scenarios="1"/>
  <mergeCells count="1">
    <mergeCell ref="A1:Q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89</vt:i4>
      </vt:variant>
    </vt:vector>
  </HeadingPairs>
  <TitlesOfParts>
    <vt:vector size="103" baseType="lpstr">
      <vt:lpstr>INICIO</vt:lpstr>
      <vt:lpstr>DATOS</vt:lpstr>
      <vt:lpstr>ECUACIONES</vt:lpstr>
      <vt:lpstr>CALCULOS</vt:lpstr>
      <vt:lpstr>RESULTADOS</vt:lpstr>
      <vt:lpstr>ACTIVIDADES</vt:lpstr>
      <vt:lpstr>FUENTES</vt:lpstr>
      <vt:lpstr>PRUEBAS</vt:lpstr>
      <vt:lpstr>CONFIG</vt:lpstr>
      <vt:lpstr>CHANGELOG</vt:lpstr>
      <vt:lpstr>AUDITORIA</vt:lpstr>
      <vt:lpstr>BASE_MET_ADULT_2024</vt:lpstr>
      <vt:lpstr>BASE_MET_OLDER_2024</vt:lpstr>
      <vt:lpstr>BASE_MET_WHEELCHAIR_2024</vt:lpstr>
      <vt:lpstr>a_Horas</vt:lpstr>
      <vt:lpstr>a_IndiceMET</vt:lpstr>
      <vt:lpstr>a_PAL</vt:lpstr>
      <vt:lpstr>a_SumaMETh</vt:lpstr>
      <vt:lpstr>a_TEE</vt:lpstr>
      <vt:lpstr>AJUSTE_MAX</vt:lpstr>
      <vt:lpstr>AMPL_MAX</vt:lpstr>
      <vt:lpstr>c_Energia</vt:lpstr>
      <vt:lpstr>c_ETA</vt:lpstr>
      <vt:lpstr>c_FA</vt:lpstr>
      <vt:lpstr>c_GAF</vt:lpstr>
      <vt:lpstr>c_Gate</vt:lpstr>
      <vt:lpstr>c_GEB</vt:lpstr>
      <vt:lpstr>c_GET</vt:lpstr>
      <vt:lpstr>c_IMC</vt:lpstr>
      <vt:lpstr>c_MLG</vt:lpstr>
      <vt:lpstr>c_TallaM</vt:lpstr>
      <vt:lpstr>COD_ACT</vt:lpstr>
      <vt:lpstr>e_Ampl</vt:lpstr>
      <vt:lpstr>e_GEBsel</vt:lpstr>
      <vt:lpstr>EDAD_MAX</vt:lpstr>
      <vt:lpstr>EDAD_MIN</vt:lpstr>
      <vt:lpstr>EST_MAX</vt:lpstr>
      <vt:lpstr>EST_MIN</vt:lpstr>
      <vt:lpstr>EST_RA</vt:lpstr>
      <vt:lpstr>EST_RB</vt:lpstr>
      <vt:lpstr>ETA_DEF</vt:lpstr>
      <vt:lpstr>ETA_MAX</vt:lpstr>
      <vt:lpstr>FA_MAX</vt:lpstr>
      <vt:lpstr>FA_MIN</vt:lpstr>
      <vt:lpstr>FA_VAL</vt:lpstr>
      <vt:lpstr>GRA_MIN</vt:lpstr>
      <vt:lpstr>GRASA_MAX</vt:lpstr>
      <vt:lpstr>GRASA_MIN</vt:lpstr>
      <vt:lpstr>HORAS_DIA</vt:lpstr>
      <vt:lpstr>IMC_RA</vt:lpstr>
      <vt:lpstr>IMC_RB</vt:lpstr>
      <vt:lpstr>in_Ajuste</vt:lpstr>
      <vt:lpstr>in_Ecu</vt:lpstr>
      <vt:lpstr>in_Edad</vt:lpstr>
      <vt:lpstr>in_Est</vt:lpstr>
      <vt:lpstr>in_FAcat</vt:lpstr>
      <vt:lpstr>in_FAman</vt:lpstr>
      <vt:lpstr>in_Fecha</vt:lpstr>
      <vt:lpstr>in_Grasa</vt:lpstr>
      <vt:lpstr>in_ID</vt:lpstr>
      <vt:lpstr>in_Metodo</vt:lpstr>
      <vt:lpstr>in_MLG</vt:lpstr>
      <vt:lpstr>in_ModoETA</vt:lpstr>
      <vt:lpstr>in_ModoGra</vt:lpstr>
      <vt:lpstr>in_ModoPro</vt:lpstr>
      <vt:lpstr>in_Motivo</vt:lpstr>
      <vt:lpstr>in_Obj</vt:lpstr>
      <vt:lpstr>in_Obs</vt:lpstr>
      <vt:lpstr>in_Pac</vt:lpstr>
      <vt:lpstr>in_Peso</vt:lpstr>
      <vt:lpstr>in_pETA</vt:lpstr>
      <vt:lpstr>in_Sexo</vt:lpstr>
      <vt:lpstr>in_ValGra</vt:lpstr>
      <vt:lpstr>in_ValPro</vt:lpstr>
      <vt:lpstr>KCHO</vt:lpstr>
      <vt:lpstr>KGRA</vt:lpstr>
      <vt:lpstr>KPRO</vt:lpstr>
      <vt:lpstr>LISTA_ACT</vt:lpstr>
      <vt:lpstr>LISTA_ECU</vt:lpstr>
      <vt:lpstr>LISTA_ETA</vt:lpstr>
      <vt:lpstr>LISTA_FA</vt:lpstr>
      <vt:lpstr>LISTA_METODO</vt:lpstr>
      <vt:lpstr>LISTA_MODO</vt:lpstr>
      <vt:lpstr>LISTA_OBJ</vt:lpstr>
      <vt:lpstr>MET_KCAL</vt:lpstr>
      <vt:lpstr>MET_VAL</vt:lpstr>
      <vt:lpstr>MJ_KCAL</vt:lpstr>
      <vt:lpstr>OBJ_PCT</vt:lpstr>
      <vt:lpstr>PAL_ESPECIAL_REPOSO</vt:lpstr>
      <vt:lpstr>PAL_FAO_MAX</vt:lpstr>
      <vt:lpstr>PAL_SELECTOR_MAX</vt:lpstr>
      <vt:lpstr>PAL_SELECTOR_MIN</vt:lpstr>
      <vt:lpstr>PAL_VIGOROSO_MIN</vt:lpstr>
      <vt:lpstr>PESO_MAX</vt:lpstr>
      <vt:lpstr>PESO_MIN</vt:lpstr>
      <vt:lpstr>PESO_RA</vt:lpstr>
      <vt:lpstr>PESO_RB</vt:lpstr>
      <vt:lpstr>PRO_MAX</vt:lpstr>
      <vt:lpstr>SEXOS</vt:lpstr>
      <vt:lpstr>tblPAL_FAO</vt:lpstr>
      <vt:lpstr>tblPAL_SELECTOR</vt:lpstr>
      <vt:lpstr>TOL_KCAL</vt:lpstr>
      <vt:lpstr>TOL_MJ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2026-08-12T17:51:22Z</dcterms:created>
  <dcterms:modified xsi:type="dcterms:W3CDTF">2026-08-12T17:51:22Z</dcterms:modified>
</cp:coreProperties>
</file>
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AppData\Local\Temp\Rar$DIa91372.18058\"/>
    </mc:Choice>
  </mc:AlternateContent>
  <xr:revisionPtr revIDLastSave="0" documentId="13_ncr:1_{4081DB7E-ACBD-468B-ACCB-603C2DB02F7C}" xr6:coauthVersionLast="47" xr6:coauthVersionMax="47" xr10:uidLastSave="{00000000-0000-0000-0000-000000000000}"/>
  <bookViews>
    <workbookView xWindow="-120" yWindow="-120" windowWidth="29040" windowHeight="15840" tabRatio="648" activeTab="10" xr2:uid="{00000000-000D-0000-FFFF-FFFF00000000}"/>
  </bookViews>
  <sheets>
    <sheet name="INICIO" sheetId="1" r:id="rId1"/>
    <sheet name="DATOS" sheetId="2" r:id="rId2"/>
    <sheet name="SEGUIMIENTO" sheetId="3" r:id="rId3"/>
    <sheet name="CALCULOS" sheetId="4" r:id="rId4"/>
    <sheet name="RESULTADOS" sheetId="5" r:id="rId5"/>
    <sheet name="CURVAS" sheetId="6" r:id="rId6"/>
    <sheet name="FUENTES" sheetId="7" r:id="rId7"/>
    <sheet name="PRUEBAS" sheetId="8" r:id="rId8"/>
    <sheet name="CONFIG" sheetId="9" r:id="rId9"/>
    <sheet name="TABLAS" sheetId="10" r:id="rId10"/>
    <sheet name="CHANGELOG" sheetId="11" r:id="rId11"/>
    <sheet name="QA_REAL" sheetId="12" r:id="rId12"/>
  </sheets>
  <definedNames>
    <definedName name="c_anios">CALCULOS!$B$14</definedName>
    <definedName name="c_choReq">CALCULOS!$B$53</definedName>
    <definedName name="c_ci75">CALCULOS!$B$42</definedName>
    <definedName name="c_ci90">CALCULOS!$B$43</definedName>
    <definedName name="C_CINT">CONFIG!$B$19</definedName>
    <definedName name="c_diaSob">CALCULOS!$B$10</definedName>
    <definedName name="c_Gate">CALCULOS!$B$17</definedName>
    <definedName name="c_GET">CALCULOS!$B$48</definedName>
    <definedName name="c_iL">CALCULOS!$B$22</definedName>
    <definedName name="c_iM">CALCULOS!$B$23</definedName>
    <definedName name="C_IMC">CONFIG!$B$17</definedName>
    <definedName name="c_imcVal">CALCULOS!$B$18</definedName>
    <definedName name="c_iS">CALCULOS!$B$24</definedName>
    <definedName name="C_LACT">CONFIG!$B$16</definedName>
    <definedName name="c_lipPct">CALCULOS!$B$51</definedName>
    <definedName name="c_lipReq">CALCULOS!$B$52</definedName>
    <definedName name="c_mes">CALCULOS!$B$13</definedName>
    <definedName name="c_mesAprox">CALCULOS!$B$11</definedName>
    <definedName name="c_mesCorr">CALCULOS!$B$12</definedName>
    <definedName name="c_mesReal">CALCULOS!$B$9</definedName>
    <definedName name="C_PCE">CONFIG!$B$18</definedName>
    <definedName name="c_pcM2">CALCULOS!$B$40</definedName>
    <definedName name="c_pcP2">CALCULOS!$B$41</definedName>
    <definedName name="c_peL">CALCULOS!$B$25</definedName>
    <definedName name="c_peM">CALCULOS!$B$26</definedName>
    <definedName name="c_peS">CALCULOS!$B$27</definedName>
    <definedName name="c_proGk">CALCULOS!$B$49</definedName>
    <definedName name="c_proReq">CALCULOS!$B$50</definedName>
    <definedName name="c_ptL">CALCULOS!$B$28</definedName>
    <definedName name="c_ptM">CALCULOS!$B$29</definedName>
    <definedName name="c_ptS">CALCULOS!$B$30</definedName>
    <definedName name="c_sexoCod">CALCULOS!$B$8</definedName>
    <definedName name="c_teM1">CALCULOS!$B$36</definedName>
    <definedName name="c_teMed">CALCULOS!$B$37</definedName>
    <definedName name="c_teP1">CALCULOS!$B$38</definedName>
    <definedName name="c_tKey">CALCULOS!$B$19</definedName>
    <definedName name="c_TMB">CALCULOS!$B$47</definedName>
    <definedName name="c_zIMC">CALCULOS!$B$33</definedName>
    <definedName name="c_zPE">CALCULOS!$B$34</definedName>
    <definedName name="c_zPrim">CALCULOS!$B$44</definedName>
    <definedName name="c_zPT">CALCULOS!$B$35</definedName>
    <definedName name="c_zTE">CALCULOS!$B$39</definedName>
    <definedName name="FA">CONFIG!$B$27</definedName>
    <definedName name="in_Cintura">DATOS!$B$17</definedName>
    <definedName name="in_Eval">DATOS!$B$20</definedName>
    <definedName name="in_Fecha">DATOS!$B$11</definedName>
    <definedName name="in_FNac">DATOS!$B$10</definedName>
    <definedName name="in_ID">DATOS!$B$7</definedName>
    <definedName name="in_kcalIng">DATOS!$B$18</definedName>
    <definedName name="in_Obs">DATOS!$B$21</definedName>
    <definedName name="in_Pac">DATOS!$B$8</definedName>
    <definedName name="in_PCe">DATOS!$B$16</definedName>
    <definedName name="in_Peso">DATOS!$B$14</definedName>
    <definedName name="in_Prem">DATOS!$B$12</definedName>
    <definedName name="in_proIng">DATOS!$B$19</definedName>
    <definedName name="in_SemGest">DATOS!$B$13</definedName>
    <definedName name="in_Sexo">DATOS!$B$9</definedName>
    <definedName name="in_Talla">DATOS!$B$15</definedName>
    <definedName name="MES_MAX">CONFIG!$B$14</definedName>
    <definedName name="PESO_MAX">CONFIG!$B$11</definedName>
    <definedName name="PESO_MIN">CONFIG!$B$10</definedName>
    <definedName name="SEM_TERM">CONFIG!$B$15</definedName>
    <definedName name="SEXOS">CONFIG!$A$31:$A$32</definedName>
    <definedName name="SEXOS_COD">CONFIG!$B$31:$B$32</definedName>
    <definedName name="SINO">CONFIG!$A$35:$A$36</definedName>
    <definedName name="T_KEY">TABLAS!$I$7:$I$1230</definedName>
    <definedName name="T_V1">TABLAS!$D$7:$D$1230</definedName>
    <definedName name="T_V2">TABLAS!$E$7:$E$1230</definedName>
    <definedName name="T_V3">TABLAS!$F$7:$F$1230</definedName>
    <definedName name="T_V4">TABLAS!$G$7:$G$1230</definedName>
    <definedName name="T_V5">TABLAS!$H$7:$H$1230</definedName>
    <definedName name="TALLA_MAX">CONFIG!$B$13</definedName>
    <definedName name="TALLA_MIN">CONFIG!$B$12</definedName>
    <definedName name="TOL_K">CONFIG!$B$26</definedName>
    <definedName name="TOL_Z">CONFIG!$B$25</definedName>
    <definedName name="Z_DES">CONFIG!$B$20</definedName>
    <definedName name="Z_OBE">CONFIG!$B$23</definedName>
    <definedName name="Z_RIE">CONFIG!$B$21</definedName>
    <definedName name="Z_SEV">CONFIG!$B$24</definedName>
    <definedName name="Z_SOB">CONFIG!$B$22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" i="4" l="1"/>
  <c r="B3" i="12" l="1"/>
  <c r="A3" i="12"/>
  <c r="K3" i="11"/>
  <c r="J3" i="11"/>
  <c r="I3" i="11"/>
  <c r="H3" i="11"/>
  <c r="G3" i="11"/>
  <c r="F3" i="11"/>
  <c r="E3" i="11"/>
  <c r="D3" i="11"/>
  <c r="C3" i="11"/>
  <c r="B3" i="11"/>
  <c r="A3" i="11"/>
  <c r="K3" i="10"/>
  <c r="J3" i="10"/>
  <c r="I3" i="10"/>
  <c r="H3" i="10"/>
  <c r="G3" i="10"/>
  <c r="F3" i="10"/>
  <c r="E3" i="10"/>
  <c r="D3" i="10"/>
  <c r="C3" i="10"/>
  <c r="B3" i="10"/>
  <c r="A3" i="10"/>
  <c r="K3" i="9"/>
  <c r="J3" i="9"/>
  <c r="I3" i="9"/>
  <c r="H3" i="9"/>
  <c r="G3" i="9"/>
  <c r="F3" i="9"/>
  <c r="E3" i="9"/>
  <c r="D3" i="9"/>
  <c r="C3" i="9"/>
  <c r="B3" i="9"/>
  <c r="A3" i="9"/>
  <c r="C65" i="8"/>
  <c r="D59" i="8"/>
  <c r="D58" i="8"/>
  <c r="C52" i="8"/>
  <c r="E52" i="8" s="1"/>
  <c r="F46" i="8"/>
  <c r="E46" i="8"/>
  <c r="E45" i="8"/>
  <c r="F45" i="8" s="1"/>
  <c r="F44" i="8"/>
  <c r="E44" i="8"/>
  <c r="E43" i="8"/>
  <c r="F43" i="8" s="1"/>
  <c r="F42" i="8"/>
  <c r="E42" i="8"/>
  <c r="E41" i="8"/>
  <c r="F41" i="8" s="1"/>
  <c r="F40" i="8"/>
  <c r="E40" i="8"/>
  <c r="E39" i="8"/>
  <c r="F39" i="8" s="1"/>
  <c r="L35" i="8"/>
  <c r="J35" i="8"/>
  <c r="G35" i="8"/>
  <c r="I35" i="8" s="1"/>
  <c r="L34" i="8"/>
  <c r="J34" i="8"/>
  <c r="G34" i="8"/>
  <c r="I34" i="8" s="1"/>
  <c r="L33" i="8"/>
  <c r="J33" i="8"/>
  <c r="G33" i="8"/>
  <c r="I33" i="8" s="1"/>
  <c r="L32" i="8"/>
  <c r="J32" i="8"/>
  <c r="G32" i="8"/>
  <c r="I32" i="8" s="1"/>
  <c r="L31" i="8"/>
  <c r="J31" i="8"/>
  <c r="G31" i="8"/>
  <c r="I31" i="8" s="1"/>
  <c r="I27" i="8"/>
  <c r="G27" i="8"/>
  <c r="G26" i="8"/>
  <c r="I26" i="8" s="1"/>
  <c r="I25" i="8"/>
  <c r="G25" i="8"/>
  <c r="G24" i="8"/>
  <c r="I24" i="8" s="1"/>
  <c r="I20" i="8"/>
  <c r="G20" i="8"/>
  <c r="G19" i="8"/>
  <c r="I19" i="8" s="1"/>
  <c r="I18" i="8"/>
  <c r="G18" i="8"/>
  <c r="G17" i="8"/>
  <c r="I17" i="8" s="1"/>
  <c r="I16" i="8"/>
  <c r="G16" i="8"/>
  <c r="H12" i="8"/>
  <c r="J12" i="8" s="1"/>
  <c r="J11" i="8"/>
  <c r="H11" i="8"/>
  <c r="H10" i="8"/>
  <c r="J10" i="8" s="1"/>
  <c r="J9" i="8"/>
  <c r="H9" i="8"/>
  <c r="H8" i="8"/>
  <c r="J8" i="8" s="1"/>
  <c r="K3" i="8"/>
  <c r="J3" i="8"/>
  <c r="I3" i="8"/>
  <c r="H3" i="8"/>
  <c r="G3" i="8"/>
  <c r="F3" i="8"/>
  <c r="E3" i="8"/>
  <c r="D3" i="8"/>
  <c r="C3" i="8"/>
  <c r="B3" i="8"/>
  <c r="A3" i="8"/>
  <c r="K3" i="7"/>
  <c r="J3" i="7"/>
  <c r="I3" i="7"/>
  <c r="H3" i="7"/>
  <c r="G3" i="7"/>
  <c r="F3" i="7"/>
  <c r="E3" i="7"/>
  <c r="D3" i="7"/>
  <c r="C3" i="7"/>
  <c r="B3" i="7"/>
  <c r="A3" i="7"/>
  <c r="K3" i="6"/>
  <c r="J3" i="6"/>
  <c r="I3" i="6"/>
  <c r="H3" i="6"/>
  <c r="G3" i="6"/>
  <c r="F3" i="6"/>
  <c r="E3" i="6"/>
  <c r="D3" i="6"/>
  <c r="C3" i="6"/>
  <c r="B3" i="6"/>
  <c r="A3" i="6"/>
  <c r="B53" i="5"/>
  <c r="B52" i="5"/>
  <c r="C41" i="5"/>
  <c r="C40" i="5"/>
  <c r="B22" i="5"/>
  <c r="B21" i="5"/>
  <c r="B12" i="5"/>
  <c r="B10" i="5"/>
  <c r="B8" i="5"/>
  <c r="B7" i="5"/>
  <c r="B6" i="5"/>
  <c r="K3" i="5"/>
  <c r="J3" i="5"/>
  <c r="I3" i="5"/>
  <c r="H3" i="5"/>
  <c r="G3" i="5"/>
  <c r="F3" i="5"/>
  <c r="E3" i="5"/>
  <c r="D3" i="5"/>
  <c r="C3" i="5"/>
  <c r="B3" i="5"/>
  <c r="A3" i="5"/>
  <c r="B9" i="4"/>
  <c r="B8" i="4"/>
  <c r="K3" i="4"/>
  <c r="J3" i="4"/>
  <c r="I3" i="4"/>
  <c r="H3" i="4"/>
  <c r="G3" i="4"/>
  <c r="F3" i="4"/>
  <c r="E3" i="4"/>
  <c r="D3" i="4"/>
  <c r="C3" i="4"/>
  <c r="B3" i="4"/>
  <c r="A3" i="4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K3" i="3"/>
  <c r="J3" i="3"/>
  <c r="I3" i="3"/>
  <c r="H3" i="3"/>
  <c r="G3" i="3"/>
  <c r="F3" i="3"/>
  <c r="E3" i="3"/>
  <c r="D3" i="3"/>
  <c r="C3" i="3"/>
  <c r="B3" i="3"/>
  <c r="A3" i="3"/>
  <c r="K3" i="2"/>
  <c r="J3" i="2"/>
  <c r="I3" i="2"/>
  <c r="H3" i="2"/>
  <c r="G3" i="2"/>
  <c r="F3" i="2"/>
  <c r="E3" i="2"/>
  <c r="D3" i="2"/>
  <c r="C3" i="2"/>
  <c r="B3" i="2"/>
  <c r="A3" i="2"/>
  <c r="A34" i="1"/>
  <c r="A33" i="1"/>
  <c r="A32" i="1"/>
  <c r="A31" i="1"/>
  <c r="A30" i="1"/>
  <c r="A29" i="1"/>
  <c r="A28" i="1"/>
  <c r="A27" i="1"/>
  <c r="A26" i="1"/>
  <c r="A25" i="1"/>
  <c r="A24" i="1"/>
  <c r="K3" i="1"/>
  <c r="J3" i="1"/>
  <c r="I3" i="1"/>
  <c r="H3" i="1"/>
  <c r="G3" i="1"/>
  <c r="F3" i="1"/>
  <c r="E3" i="1"/>
  <c r="D3" i="1"/>
  <c r="C3" i="1"/>
  <c r="B3" i="1"/>
  <c r="A3" i="1"/>
  <c r="B10" i="4" l="1"/>
  <c r="B11" i="4" l="1"/>
  <c r="B12" i="4" s="1"/>
  <c r="B14" i="4" l="1"/>
  <c r="B13" i="4"/>
  <c r="B9" i="5" l="1"/>
  <c r="B17" i="4"/>
  <c r="B51" i="4" l="1"/>
  <c r="B47" i="4"/>
  <c r="B41" i="4"/>
  <c r="B37" i="4"/>
  <c r="B27" i="4"/>
  <c r="B23" i="4"/>
  <c r="B42" i="4"/>
  <c r="B24" i="4"/>
  <c r="B25" i="5"/>
  <c r="B40" i="4"/>
  <c r="B36" i="4"/>
  <c r="B39" i="4" s="1"/>
  <c r="B26" i="4"/>
  <c r="B22" i="4"/>
  <c r="B51" i="5"/>
  <c r="B13" i="5"/>
  <c r="B49" i="4"/>
  <c r="B50" i="4" s="1"/>
  <c r="B43" i="4"/>
  <c r="B25" i="4"/>
  <c r="B34" i="4" s="1"/>
  <c r="B19" i="4"/>
  <c r="B30" i="4" s="1"/>
  <c r="B38" i="4"/>
  <c r="B18" i="4"/>
  <c r="B11" i="5" s="1"/>
  <c r="C20" i="5" l="1"/>
  <c r="B20" i="5"/>
  <c r="B60" i="4"/>
  <c r="B27" i="5"/>
  <c r="E20" i="5"/>
  <c r="B48" i="5"/>
  <c r="D20" i="5"/>
  <c r="C59" i="8"/>
  <c r="E59" i="8" s="1"/>
  <c r="F59" i="8" s="1"/>
  <c r="B34" i="5"/>
  <c r="B41" i="5"/>
  <c r="D41" i="5" s="1"/>
  <c r="E41" i="5" s="1"/>
  <c r="C17" i="5"/>
  <c r="B17" i="5"/>
  <c r="B45" i="5"/>
  <c r="E17" i="5"/>
  <c r="B59" i="4"/>
  <c r="D17" i="5"/>
  <c r="C22" i="5"/>
  <c r="E22" i="5"/>
  <c r="D22" i="5"/>
  <c r="C21" i="5"/>
  <c r="E21" i="5"/>
  <c r="D21" i="5"/>
  <c r="B28" i="4"/>
  <c r="B29" i="4"/>
  <c r="D56" i="8" s="1"/>
  <c r="C58" i="8"/>
  <c r="E58" i="8" s="1"/>
  <c r="F58" i="8" s="1"/>
  <c r="B32" i="5"/>
  <c r="B48" i="4"/>
  <c r="B33" i="4"/>
  <c r="B47" i="5" l="1"/>
  <c r="C19" i="5"/>
  <c r="B19" i="5"/>
  <c r="E19" i="5"/>
  <c r="D19" i="5"/>
  <c r="B58" i="4"/>
  <c r="B52" i="4"/>
  <c r="B35" i="5" s="1"/>
  <c r="B40" i="5"/>
  <c r="D40" i="5" s="1"/>
  <c r="E40" i="5" s="1"/>
  <c r="B33" i="5"/>
  <c r="B53" i="4"/>
  <c r="B36" i="5" s="1"/>
  <c r="B35" i="4"/>
  <c r="C56" i="8" l="1"/>
  <c r="E56" i="8" s="1"/>
  <c r="F56" i="8" s="1"/>
  <c r="C18" i="5"/>
  <c r="B57" i="4"/>
  <c r="B46" i="5"/>
  <c r="B18" i="5"/>
  <c r="E18" i="5"/>
  <c r="D57" i="8"/>
  <c r="D18" i="5"/>
  <c r="B44" i="4"/>
  <c r="C57" i="8" l="1"/>
  <c r="E57" i="8" s="1"/>
  <c r="F57" i="8" s="1"/>
  <c r="D25" i="5"/>
  <c r="B26" i="5"/>
  <c r="C51" i="8" s="1"/>
  <c r="E51" i="8" s="1"/>
  <c r="B29" i="5"/>
  <c r="B28" i="5"/>
  <c r="C50" i="8"/>
  <c r="E50" i="8" s="1"/>
  <c r="C64" i="8" l="1"/>
  <c r="B66" i="8" s="1"/>
</calcChain>
</file>

<file path=xl/sharedStrings.xml><?xml version="1.0" encoding="utf-8"?>
<sst xmlns="http://schemas.openxmlformats.org/spreadsheetml/2006/main" count="4907" uniqueCount="1902">
  <si>
    <t>NUTRIMETRÍA  ·  NMX-14</t>
  </si>
  <si>
    <t>Código del producto</t>
  </si>
  <si>
    <t>NMX-14</t>
  </si>
  <si>
    <t>Versión</t>
  </si>
  <si>
    <t>Fecha</t>
  </si>
  <si>
    <t>Método</t>
  </si>
  <si>
    <t>Antropometría OMS (LMS/DE) + MINSAL 2018</t>
  </si>
  <si>
    <t>Rango</t>
  </si>
  <si>
    <t>0 a 19 años (228 meses)</t>
  </si>
  <si>
    <t>Formato</t>
  </si>
  <si>
    <t>.xlsx sin macros · Microsoft 365 y Excel 2021</t>
  </si>
  <si>
    <t>Responsable</t>
  </si>
  <si>
    <t>Equipo Nutrimetría (completar por el titular)</t>
  </si>
  <si>
    <t>PROPÓSITO</t>
  </si>
  <si>
    <t>AVISO DE ALCANCE — LÉALO ANTES DE USAR</t>
  </si>
  <si>
    <t>•</t>
  </si>
  <si>
    <t>EXACTITUD MATEMÁTICA ≠ VALIDACIÓN CLÍNICA. NO es un diagnóstico médico automático.</t>
  </si>
  <si>
    <t>APLICA A: 0 a 19 años. Cada indicador tiene su propio rango de edad/talla.</t>
  </si>
  <si>
    <t>El indicador primario depende de la edad: P/E o P/T (&lt;12 m), P/T (12–60 m), IMC/edad (≥61 m).</t>
  </si>
  <si>
    <t>Un valor puntual es una foto; lo relevante es el SEGUIMIENTO del canal de crecimiento.</t>
  </si>
  <si>
    <t>En prematuros se corrige la edad hasta 24 m (&lt;32 sem) o 12 m (≥32 sem).</t>
  </si>
  <si>
    <t>Los cortes de tamizaje no reemplazan la evaluación clínica ni el juicio del profesional.</t>
  </si>
  <si>
    <t>NAVEGACIÓN</t>
  </si>
  <si>
    <t>Datos de entrada · un paciente por evaluación</t>
  </si>
  <si>
    <t>LEYENDA · Celdas ARENA con texto AZUL = editables. Grises = calculadas. (opcional) = puede quedar vacía. Prefiera un CÓDIGO en vez del nombre si va a compartir el archivo.</t>
  </si>
  <si>
    <t>Campo</t>
  </si>
  <si>
    <t>Valor</t>
  </si>
  <si>
    <t>Unidad</t>
  </si>
  <si>
    <t>Validación</t>
  </si>
  <si>
    <t>Ayuda</t>
  </si>
  <si>
    <t>Identificador de la evaluación</t>
  </si>
  <si>
    <t>NMX-2026-0014</t>
  </si>
  <si>
    <t>—</t>
  </si>
  <si>
    <t>Texto libre</t>
  </si>
  <si>
    <t>Código interno.</t>
  </si>
  <si>
    <t>Nombre o código del paciente</t>
  </si>
  <si>
    <t>PAC-0102</t>
  </si>
  <si>
    <t>Use un código si va a compartir.</t>
  </si>
  <si>
    <t>Sexo</t>
  </si>
  <si>
    <t>Lista: Niño / Niña</t>
  </si>
  <si>
    <t>Tablas OMS separadas por sexo.</t>
  </si>
  <si>
    <t>Fecha de nacimiento</t>
  </si>
  <si>
    <t>fecha</t>
  </si>
  <si>
    <t>dd/mm/aaaa.</t>
  </si>
  <si>
    <t>Fecha de evaluación</t>
  </si>
  <si>
    <t>Fecha ≥ nacimiento</t>
  </si>
  <si>
    <t>¿Prematuro?</t>
  </si>
  <si>
    <t>Lista: Sí / No</t>
  </si>
  <si>
    <t>Corrige la edad hasta cierto límite.</t>
  </si>
  <si>
    <t>Semanas de gestación</t>
  </si>
  <si>
    <t>sem</t>
  </si>
  <si>
    <t>24 a 42 (si prematuro)</t>
  </si>
  <si>
    <t>Solo si es prematuro.</t>
  </si>
  <si>
    <t>Peso</t>
  </si>
  <si>
    <t>kg</t>
  </si>
  <si>
    <t>Entre 1 y 150</t>
  </si>
  <si>
    <t>Balanza calibrada.</t>
  </si>
  <si>
    <t>Talla / longitud</t>
  </si>
  <si>
    <t>cm</t>
  </si>
  <si>
    <t>Entre 40 y 210</t>
  </si>
  <si>
    <t>&lt;2 años acostado; ≥2 de pie.</t>
  </si>
  <si>
    <t>Perímetro cefálico</t>
  </si>
  <si>
    <t>(opcional, 0–36 m)</t>
  </si>
  <si>
    <t>Solo hasta 36 meses.</t>
  </si>
  <si>
    <t>Perímetro de cintura</t>
  </si>
  <si>
    <t>(opcional, ≥5 años)</t>
  </si>
  <si>
    <t>Solo desde 5 años.</t>
  </si>
  <si>
    <t>Energía ingerida</t>
  </si>
  <si>
    <t>kcal</t>
  </si>
  <si>
    <t>(opcional)</t>
  </si>
  <si>
    <t>Para el % de adecuación energética.</t>
  </si>
  <si>
    <t>Proteína ingerida</t>
  </si>
  <si>
    <t>g</t>
  </si>
  <si>
    <t>Para el % de adecuación proteica.</t>
  </si>
  <si>
    <t>Evaluador</t>
  </si>
  <si>
    <t>Para trazabilidad.</t>
  </si>
  <si>
    <t>Observaciones</t>
  </si>
  <si>
    <t>Contexto clínico.</t>
  </si>
  <si>
    <t>Seguimiento longitudinal · una fila por evaluación (la tabla se expande al escribir)</t>
  </si>
  <si>
    <t>LEYENDA · Escriba una fila por evaluación. IMC se calcula solo. Las columnas de z se copian desde CALCULOS tras cada evaluación (vacío -&gt; 'ND'). Use CÓDIGOS de paciente.</t>
  </si>
  <si>
    <t>EvalID</t>
  </si>
  <si>
    <t>PacID</t>
  </si>
  <si>
    <t>EdadReal_m</t>
  </si>
  <si>
    <t>EdadCorr_m</t>
  </si>
  <si>
    <t>Peso_kg</t>
  </si>
  <si>
    <t>TallaLong_cm</t>
  </si>
  <si>
    <t>IMC</t>
  </si>
  <si>
    <t>PCe_cm</t>
  </si>
  <si>
    <t>Cintura_cm</t>
  </si>
  <si>
    <t>z_primario</t>
  </si>
  <si>
    <t>z_PT</t>
  </si>
  <si>
    <t>z_IMC</t>
  </si>
  <si>
    <t>z_PE</t>
  </si>
  <si>
    <t>z_TE</t>
  </si>
  <si>
    <t>z_PCe</t>
  </si>
  <si>
    <t>Clasificacion</t>
  </si>
  <si>
    <t>2026-07-01</t>
  </si>
  <si>
    <t>ND</t>
  </si>
  <si>
    <t>Eutrófico (P/T)</t>
  </si>
  <si>
    <t>EVAL-01</t>
  </si>
  <si>
    <t>Fila de ejemplo — reemplácela</t>
  </si>
  <si>
    <t>Motor · edad corregida, z-scores OMS (INDICE/COINCIDIR) y requerimientos</t>
  </si>
  <si>
    <t>Sin XLOOKUP ni IFERROR: la búsqueda usa COINCIDIR/INDICE y las guardas devuelven texto 'ND: …' explicando el motivo. Todo coeficiente vive en CONFIG o TABLAS; aquí no hay constantes escritas a mano.</t>
  </si>
  <si>
    <t>BLOQUE 0 · EDAD</t>
  </si>
  <si>
    <t>Variable</t>
  </si>
  <si>
    <t>Fórmula / cómo se obtiene</t>
  </si>
  <si>
    <t>Código de sexo</t>
  </si>
  <si>
    <t>M/F</t>
  </si>
  <si>
    <t>Edad real (meses)</t>
  </si>
  <si>
    <t>meses</t>
  </si>
  <si>
    <t>DATEDIF(nac;eval)</t>
  </si>
  <si>
    <t>Días sobrantes</t>
  </si>
  <si>
    <t>días</t>
  </si>
  <si>
    <t>Edad aproximada MINSAL</t>
  </si>
  <si>
    <t>&lt;5 a: redondeo por 15 días</t>
  </si>
  <si>
    <t>Edad corregida (prematuro)</t>
  </si>
  <si>
    <t>Corrige hasta 24 m (&lt;32 sem) o 12 m</t>
  </si>
  <si>
    <t>Edad para tablas (meses)</t>
  </si>
  <si>
    <t>Entero para la búsqueda</t>
  </si>
  <si>
    <t>Edad (años exactos)</t>
  </si>
  <si>
    <t>años</t>
  </si>
  <si>
    <t>Para TMB y proteína</t>
  </si>
  <si>
    <t>BLOQUE 1 · COMPUERTA Y ANTROPOMETRÍA</t>
  </si>
  <si>
    <t>¿Cálculo habilitado?</t>
  </si>
  <si>
    <t>Exige sexo, fechas, peso y talla válidos</t>
  </si>
  <si>
    <t>kg/m²</t>
  </si>
  <si>
    <t>peso/talla²</t>
  </si>
  <si>
    <t>Talla para P/T (0,5 cm)</t>
  </si>
  <si>
    <t>Redondeo a 0,5 cm para P/T</t>
  </si>
  <si>
    <t>BLOQUE 2 · COEFICIENTES OMS (COINCIDIR/INDICE)</t>
  </si>
  <si>
    <t>IMC/E · L</t>
  </si>
  <si>
    <t>IMC/E · M</t>
  </si>
  <si>
    <t>IMC/E · S</t>
  </si>
  <si>
    <t>P/E · L</t>
  </si>
  <si>
    <t>P/E · M</t>
  </si>
  <si>
    <t>P/E · S</t>
  </si>
  <si>
    <t>P/T · L</t>
  </si>
  <si>
    <t>P/T · M</t>
  </si>
  <si>
    <t>P/T · S</t>
  </si>
  <si>
    <t>BLOQUE 3 · PUNTAJES Z</t>
  </si>
  <si>
    <t>z · IMC/edad</t>
  </si>
  <si>
    <t>z</t>
  </si>
  <si>
    <t>LMS · ≥61 meses</t>
  </si>
  <si>
    <t>z · peso/edad</t>
  </si>
  <si>
    <t>LMS · 0–12 meses</t>
  </si>
  <si>
    <t>z · peso/talla</t>
  </si>
  <si>
    <t>LMS · talla 45–120 cm</t>
  </si>
  <si>
    <t>T/E · −1 DE</t>
  </si>
  <si>
    <t>T/E · mediana</t>
  </si>
  <si>
    <t>T/E · +1 DE</t>
  </si>
  <si>
    <t>z · talla/edad</t>
  </si>
  <si>
    <t>Interpolación entre líneas DE</t>
  </si>
  <si>
    <t>PCe · −2 DE</t>
  </si>
  <si>
    <t>PCe · +2 DE</t>
  </si>
  <si>
    <t>Cintura · p75</t>
  </si>
  <si>
    <t>Cintura · p90</t>
  </si>
  <si>
    <t>z · INTEGRADO (primario)</t>
  </si>
  <si>
    <t>&lt;12m: P/T o P/E · 12–60m: P/T · ≥61m: IMC/E</t>
  </si>
  <si>
    <t>BLOQUE 4 · REQUERIMIENTOS</t>
  </si>
  <si>
    <t>TMB (Schofield)</t>
  </si>
  <si>
    <t>kcal/día</t>
  </si>
  <si>
    <t>a·kg + b</t>
  </si>
  <si>
    <t>GET (energía total)</t>
  </si>
  <si>
    <t>TMB × factor de actividad</t>
  </si>
  <si>
    <t>Proteína · g/kg/día</t>
  </si>
  <si>
    <t>g/kg</t>
  </si>
  <si>
    <t>WHO/FAO/UNU 2007</t>
  </si>
  <si>
    <t>Proteína requerida</t>
  </si>
  <si>
    <t>g/día</t>
  </si>
  <si>
    <t>g/kg × peso</t>
  </si>
  <si>
    <t>Lípidos · % del VCT</t>
  </si>
  <si>
    <t>%</t>
  </si>
  <si>
    <t>Punto medio FAO 2010</t>
  </si>
  <si>
    <t>Lípidos requeridos</t>
  </si>
  <si>
    <t>GET×% / 9</t>
  </si>
  <si>
    <t>Carbohidratos por diferencia</t>
  </si>
  <si>
    <t>(GET − prot − líp)/4</t>
  </si>
  <si>
    <t>BLOQUE 5 · PERCENTILES (derivados del z, distribución normal)</t>
  </si>
  <si>
    <t>Percentil · z primario</t>
  </si>
  <si>
    <t>Percentil · z peso/talla</t>
  </si>
  <si>
    <t>Percentil · z IMC/edad</t>
  </si>
  <si>
    <t>Percentil · z peso/edad</t>
  </si>
  <si>
    <t>Percentil · z talla/edad</t>
  </si>
  <si>
    <t>Informe de evaluación nutricional pediátrica</t>
  </si>
  <si>
    <t>IDENTIFICACIÓN</t>
  </si>
  <si>
    <t>Identificador</t>
  </si>
  <si>
    <t>Paciente</t>
  </si>
  <si>
    <t>Sexo · edad</t>
  </si>
  <si>
    <t>Peso · talla</t>
  </si>
  <si>
    <t>Edad corregida por prematurez</t>
  </si>
  <si>
    <t>Estado del cálculo</t>
  </si>
  <si>
    <t>DIAGNÓSTICO POR INDICADOR</t>
  </si>
  <si>
    <t>Indicador</t>
  </si>
  <si>
    <t>Puntaje z / valor</t>
  </si>
  <si>
    <t>Clasificación</t>
  </si>
  <si>
    <t>Registro DE</t>
  </si>
  <si>
    <t>Aplica</t>
  </si>
  <si>
    <t>Norma</t>
  </si>
  <si>
    <t>Peso / edad (P/E)</t>
  </si>
  <si>
    <t>OMS/MINSAL</t>
  </si>
  <si>
    <t>Peso / talla (P/T)</t>
  </si>
  <si>
    <t>IMC / edad (IMC/E)</t>
  </si>
  <si>
    <t>OMS 2007</t>
  </si>
  <si>
    <t>Talla / edad (T/E)</t>
  </si>
  <si>
    <t>Perímetro cefálico (PCe)</t>
  </si>
  <si>
    <t>OMS</t>
  </si>
  <si>
    <t>MINSAL</t>
  </si>
  <si>
    <t>DIAGNÓSTICO NUTRICIONAL INTEGRADO</t>
  </si>
  <si>
    <t>Indicador primario</t>
  </si>
  <si>
    <t>Estado nutricional</t>
  </si>
  <si>
    <t>Talla para la edad</t>
  </si>
  <si>
    <t>Síntesis</t>
  </si>
  <si>
    <t>Señal de alerta</t>
  </si>
  <si>
    <t>REQUERIMIENTOS ESTIMADOS</t>
  </si>
  <si>
    <t>Tasa metabólica basal (TMB)</t>
  </si>
  <si>
    <t>Schofield · FAO/OMS/UNU 1985</t>
  </si>
  <si>
    <t>Gasto energético total (GET)</t>
  </si>
  <si>
    <t>Proteínas</t>
  </si>
  <si>
    <t>Lípidos</t>
  </si>
  <si>
    <t>FAO 2010 (punto medio %VCT)</t>
  </si>
  <si>
    <t>Carbohidratos</t>
  </si>
  <si>
    <t>Por diferencia</t>
  </si>
  <si>
    <t>ADECUACIÓN (opcional)</t>
  </si>
  <si>
    <t>Nutriente</t>
  </si>
  <si>
    <t>Requerido</t>
  </si>
  <si>
    <t>Ingerido</t>
  </si>
  <si>
    <t>% Adecuación</t>
  </si>
  <si>
    <t>Diagnóstico</t>
  </si>
  <si>
    <t>Energía</t>
  </si>
  <si>
    <t>PERFIL DE PUNTAJES Z (banda normal −2 a +2)</t>
  </si>
  <si>
    <t>P/E</t>
  </si>
  <si>
    <t>P/T</t>
  </si>
  <si>
    <t>IMC/E</t>
  </si>
  <si>
    <t>T/E</t>
  </si>
  <si>
    <t>ADVERTENCIAS</t>
  </si>
  <si>
    <t>Datos faltantes</t>
  </si>
  <si>
    <t>Indicadores no aplicables</t>
  </si>
  <si>
    <t>Recordatorio</t>
  </si>
  <si>
    <t>Curvas de evolución · se actualizan al agregar filas en SEGUIMIENTO</t>
  </si>
  <si>
    <t>Los gráficos toman datos de T_SEGUIMIENTO. El canal de crecimiento y las alertas requieren los patrones OMS por sexo/edad, DESACTIVADOS hasta ingerir las tablas LMS oficiales (ver FUENTES). Por ahora se muestran tendencias crudas.</t>
  </si>
  <si>
    <t>◀ INICIO</t>
  </si>
  <si>
    <t>Ecuación o dato</t>
  </si>
  <si>
    <t>Autor u organización</t>
  </si>
  <si>
    <t>Año</t>
  </si>
  <si>
    <t>Población</t>
  </si>
  <si>
    <t>Fórmula / valor</t>
  </si>
  <si>
    <t>Unidades</t>
  </si>
  <si>
    <t>Limitaciones</t>
  </si>
  <si>
    <t>DOI o fuente</t>
  </si>
  <si>
    <t>Fecha cotejo</t>
  </si>
  <si>
    <t>Licencia</t>
  </si>
  <si>
    <t>Nivel</t>
  </si>
  <si>
    <t>Estándares de crecimiento 0–5 a</t>
  </si>
  <si>
    <t>OMS — WHO Child Growth Standards</t>
  </si>
  <si>
    <t>2006</t>
  </si>
  <si>
    <t>MGRS, 8440 niños de 6 países</t>
  </si>
  <si>
    <t>LMS: L, M, S por sexo y mes/talla (P/E, P/T, longitud, PCe)</t>
  </si>
  <si>
    <t>kg; cm; adim.</t>
  </si>
  <si>
    <t>Estándar 0–60 m; requiere técnica correcta.</t>
  </si>
  <si>
    <t>who.int/childgrowth</t>
  </si>
  <si>
    <t>2026-07-16</t>
  </si>
  <si>
    <t>Tablas oficiales OMS de acceso público</t>
  </si>
  <si>
    <t>A</t>
  </si>
  <si>
    <t>Referencia 5–19 a</t>
  </si>
  <si>
    <t>OMS — Growth reference 2007</t>
  </si>
  <si>
    <t>2007</t>
  </si>
  <si>
    <t>Reconstrucción NCHS/OMS</t>
  </si>
  <si>
    <t>LMS de IMC/edad y talla/edad 61–228 m</t>
  </si>
  <si>
    <t>adim.</t>
  </si>
  <si>
    <t>Para 5–19 años.</t>
  </si>
  <si>
    <t>who.int/growthref</t>
  </si>
  <si>
    <t>Método LMS</t>
  </si>
  <si>
    <t>Cole TJ, Green PJ — Stat Med 11:1305-1319</t>
  </si>
  <si>
    <t>1992</t>
  </si>
  <si>
    <t>Suavizado de centiles</t>
  </si>
  <si>
    <t>z = ((X/M)^L − 1)/(L·S)</t>
  </si>
  <si>
    <t>Distribución Box-Cox normal.</t>
  </si>
  <si>
    <t>10.1002/sim.4780111005</t>
  </si>
  <si>
    <t>Artículo con derechos; solo la ecuación</t>
  </si>
  <si>
    <t>B</t>
  </si>
  <si>
    <t>Clasificación y flujograma</t>
  </si>
  <si>
    <t>MINSAL (Chile) — Norma de evaluación nutricional</t>
  </si>
  <si>
    <t>2018</t>
  </si>
  <si>
    <t>Población infantil chilena</t>
  </si>
  <si>
    <t>Cortes DE por indicador; indicador primario por edad</t>
  </si>
  <si>
    <t>Cortes de tamizaje, no diagnósticos por sí solos.</t>
  </si>
  <si>
    <t>minsal.cl</t>
  </si>
  <si>
    <t>Documento oficial de acceso público</t>
  </si>
  <si>
    <t>MINSAL / referencia pediátrica</t>
  </si>
  <si>
    <t>Niñas y niños ≥5 años</t>
  </si>
  <si>
    <t>Cortes p75 / p90 por edad y sexo</t>
  </si>
  <si>
    <t>Complementa el diagnóstico; verificar tabla local.</t>
  </si>
  <si>
    <t>TMB</t>
  </si>
  <si>
    <t>Schofield · FAO/OMS/UNU</t>
  </si>
  <si>
    <t>1985</t>
  </si>
  <si>
    <t>Metaanálisis por edad y sexo</t>
  </si>
  <si>
    <t>TMB = a·peso + b por banda</t>
  </si>
  <si>
    <t>Estimación poblacional; ±SEE.</t>
  </si>
  <si>
    <t>FAO/WHO/UNU 1985</t>
  </si>
  <si>
    <t>Proteína</t>
  </si>
  <si>
    <t>WHO/FAO/UNU 935</t>
  </si>
  <si>
    <t>Ingesta segura por edad</t>
  </si>
  <si>
    <t>g/kg/día por banda etaria</t>
  </si>
  <si>
    <t>Valores de referencia poblacional.</t>
  </si>
  <si>
    <t>WHO TRS 935</t>
  </si>
  <si>
    <t>Grasas</t>
  </si>
  <si>
    <t>FAO — Fats and fatty acids</t>
  </si>
  <si>
    <t>2010</t>
  </si>
  <si>
    <t>Recomendaciones por edad</t>
  </si>
  <si>
    <t>% del VCT por banda</t>
  </si>
  <si>
    <t>Rangos; se usa el punto medio para CHO.</t>
  </si>
  <si>
    <t>FAO 2010</t>
  </si>
  <si>
    <t>PENDIENTE DE VERIFICACIÓN: confirmar la edición vigente de la norma MINSAL y la fuente exacta de los cortes de cintura antes de un uso formal. Los datos OMS provienen de tablas oficiales; el método LMS es de nivel B.</t>
  </si>
  <si>
    <t>BLOQUE A · z PESO/TALLA (LMS con L,M,S oficiales OMS) · ±0,001</t>
  </si>
  <si>
    <t>ID</t>
  </si>
  <si>
    <t>Descripción</t>
  </si>
  <si>
    <t>Talla</t>
  </si>
  <si>
    <t>L</t>
  </si>
  <si>
    <t>M</t>
  </si>
  <si>
    <t>S</t>
  </si>
  <si>
    <t>z obt</t>
  </si>
  <si>
    <t>z esp</t>
  </si>
  <si>
    <t>Est.</t>
  </si>
  <si>
    <t>A01</t>
  </si>
  <si>
    <t>Niño 103 cm 16,5 kg</t>
  </si>
  <si>
    <t>A02</t>
  </si>
  <si>
    <t>Niño 90 cm 13 kg</t>
  </si>
  <si>
    <t>A03</t>
  </si>
  <si>
    <t>Niño 110 cm 20 kg</t>
  </si>
  <si>
    <t>A04</t>
  </si>
  <si>
    <t>Niño 75 cm 9,5 kg</t>
  </si>
  <si>
    <t>A05</t>
  </si>
  <si>
    <t>Niño 120 cm 25 kg</t>
  </si>
  <si>
    <t>BLOQUE B · z IMC/EDAD (≥61 m) · ±0,001</t>
  </si>
  <si>
    <t>Mes</t>
  </si>
  <si>
    <t>B01</t>
  </si>
  <si>
    <t>B02</t>
  </si>
  <si>
    <t>B03</t>
  </si>
  <si>
    <t>B04</t>
  </si>
  <si>
    <t>B05</t>
  </si>
  <si>
    <t>BLOQUE C · z PESO/EDAD (0–12 m) y TALLA/EDAD (interpolación) · ±0,001</t>
  </si>
  <si>
    <t>p1</t>
  </si>
  <si>
    <t>p2</t>
  </si>
  <si>
    <t>p3</t>
  </si>
  <si>
    <t>Medida</t>
  </si>
  <si>
    <t>Obtenido</t>
  </si>
  <si>
    <t>Esperado</t>
  </si>
  <si>
    <t>C01</t>
  </si>
  <si>
    <t>P/E niño 6m 8 kg</t>
  </si>
  <si>
    <t>C02</t>
  </si>
  <si>
    <t>P/E niño 6m 7 kg</t>
  </si>
  <si>
    <t>C03</t>
  </si>
  <si>
    <t>T/E niño 48m 103 cm</t>
  </si>
  <si>
    <t>C04</t>
  </si>
  <si>
    <t>T/E niño 48m 96 cm</t>
  </si>
  <si>
    <t>BLOQUE D · TMB (Schofield) Y GET · ±0,5 kcal</t>
  </si>
  <si>
    <t>Años</t>
  </si>
  <si>
    <t>a</t>
  </si>
  <si>
    <t>b</t>
  </si>
  <si>
    <t>TMB obt</t>
  </si>
  <si>
    <t>TMB esp</t>
  </si>
  <si>
    <t>GET obt</t>
  </si>
  <si>
    <t>GET esp</t>
  </si>
  <si>
    <t>D01</t>
  </si>
  <si>
    <t>D02</t>
  </si>
  <si>
    <t>F</t>
  </si>
  <si>
    <t>D03</t>
  </si>
  <si>
    <t>D04</t>
  </si>
  <si>
    <t>D05</t>
  </si>
  <si>
    <t>BLOQUE E · VALIDACIONES</t>
  </si>
  <si>
    <t>Escenario</t>
  </si>
  <si>
    <t>Entrada</t>
  </si>
  <si>
    <t>E01</t>
  </si>
  <si>
    <t>Peso negativo</t>
  </si>
  <si>
    <t>-5</t>
  </si>
  <si>
    <t>ERROR: peso fuera de rango</t>
  </si>
  <si>
    <t>E02</t>
  </si>
  <si>
    <t>Peso textual</t>
  </si>
  <si>
    <t>diez</t>
  </si>
  <si>
    <t>ERROR: peso no numérico</t>
  </si>
  <si>
    <t>E03</t>
  </si>
  <si>
    <t>Talla imposible (300)</t>
  </si>
  <si>
    <t>300</t>
  </si>
  <si>
    <t>ERROR: talla fuera de rango</t>
  </si>
  <si>
    <t>E04</t>
  </si>
  <si>
    <t>Talla 103 válida</t>
  </si>
  <si>
    <t>103</t>
  </si>
  <si>
    <t>OK</t>
  </si>
  <si>
    <t>E05</t>
  </si>
  <si>
    <t>Diag z=−2,3 → Desnutrición</t>
  </si>
  <si>
    <t>-2.3</t>
  </si>
  <si>
    <t>Desnutrición</t>
  </si>
  <si>
    <t>E06</t>
  </si>
  <si>
    <t>Diag z=0,2 → Normal</t>
  </si>
  <si>
    <t>0.2</t>
  </si>
  <si>
    <t>Normal</t>
  </si>
  <si>
    <t>E07</t>
  </si>
  <si>
    <t>Diag z=2,5 → Obesidad</t>
  </si>
  <si>
    <t>2.5</t>
  </si>
  <si>
    <t>Obesidad</t>
  </si>
  <si>
    <t>E08</t>
  </si>
  <si>
    <t>Diag z=−1,5 → Riesgo</t>
  </si>
  <si>
    <t>-1.5</t>
  </si>
  <si>
    <t>Riesgo de desnutrir</t>
  </si>
  <si>
    <t>BLOQUE F · INTEGRIDAD: cero errores de Excel</t>
  </si>
  <si>
    <t>Nº errores</t>
  </si>
  <si>
    <t>F01</t>
  </si>
  <si>
    <t>CALCULOS!B7:B60</t>
  </si>
  <si>
    <t>F02</t>
  </si>
  <si>
    <t>RESULTADOS!B6:B40</t>
  </si>
  <si>
    <t>F03</t>
  </si>
  <si>
    <t>TABLAS!D7:H1230</t>
  </si>
  <si>
    <t>BLOQUE G · COTEJO CON EL MOTOR (caso vivo de DATOS)</t>
  </si>
  <si>
    <t>Verificación</t>
  </si>
  <si>
    <t>Obtenido (motor)</t>
  </si>
  <si>
    <t>Esperado (literal)</t>
  </si>
  <si>
    <t>Dif.</t>
  </si>
  <si>
    <t>G01</t>
  </si>
  <si>
    <t>z peso/talla</t>
  </si>
  <si>
    <t>G02</t>
  </si>
  <si>
    <t>z integrado (=P/T aquí)</t>
  </si>
  <si>
    <t>G03</t>
  </si>
  <si>
    <t>G04</t>
  </si>
  <si>
    <t>Todo umbral y coeficiente vive aquí; ninguna fórmula del libro trae una constante escrita a mano. Las celdas arena son editables. Los datos de referencia OMS están en la hoja TABLAS (no editar).</t>
  </si>
  <si>
    <t>C1 · PARÁMETROS, LÍMITES Y COEFICIENTES</t>
  </si>
  <si>
    <t>Parámetro</t>
  </si>
  <si>
    <t>Tipo</t>
  </si>
  <si>
    <t>Nota / fuente</t>
  </si>
  <si>
    <t>Idioma</t>
  </si>
  <si>
    <t>Español (es-CL)</t>
  </si>
  <si>
    <t>Interfaz</t>
  </si>
  <si>
    <t>Versión de las fuentes</t>
  </si>
  <si>
    <t>2026-07 · v1.0</t>
  </si>
  <si>
    <t>OMS 2006/2007 · MINSAL 2018</t>
  </si>
  <si>
    <t>Peso mínimo plausible</t>
  </si>
  <si>
    <t>IMPOSIBLE</t>
  </si>
  <si>
    <t>Guarda</t>
  </si>
  <si>
    <t>Peso máximo plausible</t>
  </si>
  <si>
    <t>Talla mínima plausible</t>
  </si>
  <si>
    <t>Talla máxima plausible</t>
  </si>
  <si>
    <t>Edad máxima (meses)</t>
  </si>
  <si>
    <t>19 años (límite OMS)</t>
  </si>
  <si>
    <t>Semanas de gestación (a término)</t>
  </si>
  <si>
    <t>Constante</t>
  </si>
  <si>
    <t>Para corregir edad en prematuros</t>
  </si>
  <si>
    <t>Corte edad · lactante menor</t>
  </si>
  <si>
    <t>Corte</t>
  </si>
  <si>
    <t>&lt;12 m: indicador P/E o P/T</t>
  </si>
  <si>
    <t>Corte edad · uso de IMC/edad</t>
  </si>
  <si>
    <t>≥61 m: indicador IMC/edad</t>
  </si>
  <si>
    <t>Corte edad · perímetro cefálico</t>
  </si>
  <si>
    <t>PCe válido 0–36 m</t>
  </si>
  <si>
    <t>Corte edad · perímetro de cintura</t>
  </si>
  <si>
    <t>Cintura válida ≥5 años</t>
  </si>
  <si>
    <t>z · desnutrición</t>
  </si>
  <si>
    <t>≤ −2 DE</t>
  </si>
  <si>
    <t>z · riesgo</t>
  </si>
  <si>
    <t>≤ −1 DE</t>
  </si>
  <si>
    <t>z · sobrepeso</t>
  </si>
  <si>
    <t>≥ +1 DE</t>
  </si>
  <si>
    <t>z · obesidad</t>
  </si>
  <si>
    <t>≥ +2 DE</t>
  </si>
  <si>
    <t>z · obesidad severa</t>
  </si>
  <si>
    <t>≥ +3 DE</t>
  </si>
  <si>
    <t>Tolerancia de pruebas · z</t>
  </si>
  <si>
    <t>Umbral</t>
  </si>
  <si>
    <t>Banco de pruebas</t>
  </si>
  <si>
    <t>Tolerancia de pruebas · kcal</t>
  </si>
  <si>
    <t>Factor de actividad (GET = TMB × FA)</t>
  </si>
  <si>
    <t>Editable</t>
  </si>
  <si>
    <t>1,4 leve · 1,6 moderada · 1,8 intensa</t>
  </si>
  <si>
    <t>C2 · SEXO</t>
  </si>
  <si>
    <t>Etiqueta</t>
  </si>
  <si>
    <t>Código interno</t>
  </si>
  <si>
    <t>Niño</t>
  </si>
  <si>
    <t>Niña</t>
  </si>
  <si>
    <t>C3 · LISTA SÍ / NO</t>
  </si>
  <si>
    <t>Sí</t>
  </si>
  <si>
    <t>No</t>
  </si>
  <si>
    <t>C4 · TMB · ECUACIONES FAO/OMS/UNU 1985 (Schofield) · TMB = a·kg + b</t>
  </si>
  <si>
    <t>Edad desde (años, ≥)</t>
  </si>
  <si>
    <t>Edad hasta (años, &lt;)</t>
  </si>
  <si>
    <t>C5 · PROTEÍNA · INGESTA SEGURA WHO/FAO/UNU 2007 (g/kg/día)</t>
  </si>
  <si>
    <t>g/kg/día</t>
  </si>
  <si>
    <t>Nota</t>
  </si>
  <si>
    <t>Lactante menor</t>
  </si>
  <si>
    <t>Lactante mayor/preescolar</t>
  </si>
  <si>
    <t>Preescolar/escolar</t>
  </si>
  <si>
    <t>Púber</t>
  </si>
  <si>
    <t>Adolescente</t>
  </si>
  <si>
    <t>Adulto</t>
  </si>
  <si>
    <t>C6 · LÍPIDOS · % DEL VCT (FAO 2010) · punto medio para el cálculo de CHO</t>
  </si>
  <si>
    <t>Edad desde (meses, ≥)</t>
  </si>
  <si>
    <t>Edad hasta (meses, &lt;)</t>
  </si>
  <si>
    <t>Rango %VCT</t>
  </si>
  <si>
    <t>% medio</t>
  </si>
  <si>
    <t>40–60 %</t>
  </si>
  <si>
    <t>Lactante &lt;6 m</t>
  </si>
  <si>
    <t>30–40 %</t>
  </si>
  <si>
    <t>6–24 m</t>
  </si>
  <si>
    <t>25–35 %</t>
  </si>
  <si>
    <t>≥2 años</t>
  </si>
  <si>
    <t>Tablas de referencia OMS/MINSAL · NO EDITAR</t>
  </si>
  <si>
    <t>Datos oficiales de la OMS (estándares 2006 / referencia 2007) y cortes MINSAL. LMS: v1=L, v2=M, v3=S. Líneas DE (T/E, PCe): v1=−2, v2=−1, v3=mediana, v4=+1, v5=+2. Cintura: v1=p75, v2=p90. La clave compuesta permite la búsqueda con COINCIDIR/INDICE.</t>
  </si>
  <si>
    <t>Tabla</t>
  </si>
  <si>
    <t>Clave</t>
  </si>
  <si>
    <t>v1</t>
  </si>
  <si>
    <t>v2</t>
  </si>
  <si>
    <t>v3</t>
  </si>
  <si>
    <t>v4</t>
  </si>
  <si>
    <t>v5</t>
  </si>
  <si>
    <t>Clave compuesta</t>
  </si>
  <si>
    <t>IMC-F-61</t>
  </si>
  <si>
    <t>IMC-F-62</t>
  </si>
  <si>
    <t>IMC-F-63</t>
  </si>
  <si>
    <t>IMC-F-64</t>
  </si>
  <si>
    <t>IMC-F-65</t>
  </si>
  <si>
    <t>IMC-F-66</t>
  </si>
  <si>
    <t>IMC-F-67</t>
  </si>
  <si>
    <t>IMC-F-68</t>
  </si>
  <si>
    <t>IMC-F-69</t>
  </si>
  <si>
    <t>IMC-F-70</t>
  </si>
  <si>
    <t>IMC-F-71</t>
  </si>
  <si>
    <t>IMC-F-72</t>
  </si>
  <si>
    <t>IMC-F-73</t>
  </si>
  <si>
    <t>IMC-F-74</t>
  </si>
  <si>
    <t>IMC-F-75</t>
  </si>
  <si>
    <t>IMC-F-76</t>
  </si>
  <si>
    <t>IMC-F-77</t>
  </si>
  <si>
    <t>IMC-F-78</t>
  </si>
  <si>
    <t>IMC-F-79</t>
  </si>
  <si>
    <t>IMC-F-80</t>
  </si>
  <si>
    <t>IMC-F-81</t>
  </si>
  <si>
    <t>IMC-F-82</t>
  </si>
  <si>
    <t>IMC-F-83</t>
  </si>
  <si>
    <t>IMC-F-84</t>
  </si>
  <si>
    <t>IMC-F-85</t>
  </si>
  <si>
    <t>IMC-F-86</t>
  </si>
  <si>
    <t>IMC-F-87</t>
  </si>
  <si>
    <t>IMC-F-88</t>
  </si>
  <si>
    <t>IMC-F-89</t>
  </si>
  <si>
    <t>IMC-F-90</t>
  </si>
  <si>
    <t>IMC-F-91</t>
  </si>
  <si>
    <t>IMC-F-92</t>
  </si>
  <si>
    <t>IMC-F-93</t>
  </si>
  <si>
    <t>IMC-F-94</t>
  </si>
  <si>
    <t>IMC-F-95</t>
  </si>
  <si>
    <t>IMC-F-96</t>
  </si>
  <si>
    <t>IMC-F-97</t>
  </si>
  <si>
    <t>IMC-F-98</t>
  </si>
  <si>
    <t>IMC-F-99</t>
  </si>
  <si>
    <t>IMC-F-100</t>
  </si>
  <si>
    <t>IMC-F-101</t>
  </si>
  <si>
    <t>IMC-F-102</t>
  </si>
  <si>
    <t>IMC-F-103</t>
  </si>
  <si>
    <t>IMC-F-104</t>
  </si>
  <si>
    <t>IMC-F-105</t>
  </si>
  <si>
    <t>IMC-F-106</t>
  </si>
  <si>
    <t>IMC-F-107</t>
  </si>
  <si>
    <t>IMC-F-108</t>
  </si>
  <si>
    <t>IMC-F-109</t>
  </si>
  <si>
    <t>IMC-F-110</t>
  </si>
  <si>
    <t>IMC-F-111</t>
  </si>
  <si>
    <t>IMC-F-112</t>
  </si>
  <si>
    <t>IMC-F-113</t>
  </si>
  <si>
    <t>IMC-F-114</t>
  </si>
  <si>
    <t>IMC-F-115</t>
  </si>
  <si>
    <t>IMC-F-116</t>
  </si>
  <si>
    <t>IMC-F-117</t>
  </si>
  <si>
    <t>IMC-F-118</t>
  </si>
  <si>
    <t>IMC-F-119</t>
  </si>
  <si>
    <t>IMC-F-120</t>
  </si>
  <si>
    <t>IMC-F-121</t>
  </si>
  <si>
    <t>IMC-F-122</t>
  </si>
  <si>
    <t>IMC-F-123</t>
  </si>
  <si>
    <t>IMC-F-124</t>
  </si>
  <si>
    <t>IMC-F-125</t>
  </si>
  <si>
    <t>IMC-F-126</t>
  </si>
  <si>
    <t>IMC-F-127</t>
  </si>
  <si>
    <t>IMC-F-128</t>
  </si>
  <si>
    <t>IMC-F-129</t>
  </si>
  <si>
    <t>IMC-F-130</t>
  </si>
  <si>
    <t>IMC-F-131</t>
  </si>
  <si>
    <t>IMC-F-132</t>
  </si>
  <si>
    <t>IMC-F-133</t>
  </si>
  <si>
    <t>IMC-F-134</t>
  </si>
  <si>
    <t>IMC-F-135</t>
  </si>
  <si>
    <t>IMC-F-136</t>
  </si>
  <si>
    <t>IMC-F-137</t>
  </si>
  <si>
    <t>IMC-F-138</t>
  </si>
  <si>
    <t>IMC-F-139</t>
  </si>
  <si>
    <t>IMC-F-140</t>
  </si>
  <si>
    <t>IMC-F-141</t>
  </si>
  <si>
    <t>IMC-F-142</t>
  </si>
  <si>
    <t>IMC-F-143</t>
  </si>
  <si>
    <t>IMC-F-144</t>
  </si>
  <si>
    <t>IMC-F-145</t>
  </si>
  <si>
    <t>IMC-F-146</t>
  </si>
  <si>
    <t>IMC-F-147</t>
  </si>
  <si>
    <t>IMC-F-148</t>
  </si>
  <si>
    <t>IMC-F-149</t>
  </si>
  <si>
    <t>IMC-F-150</t>
  </si>
  <si>
    <t>IMC-F-151</t>
  </si>
  <si>
    <t>IMC-F-152</t>
  </si>
  <si>
    <t>IMC-F-153</t>
  </si>
  <si>
    <t>IMC-F-154</t>
  </si>
  <si>
    <t>IMC-F-155</t>
  </si>
  <si>
    <t>IMC-F-156</t>
  </si>
  <si>
    <t>IMC-F-157</t>
  </si>
  <si>
    <t>IMC-F-158</t>
  </si>
  <si>
    <t>IMC-F-159</t>
  </si>
  <si>
    <t>IMC-F-160</t>
  </si>
  <si>
    <t>IMC-F-161</t>
  </si>
  <si>
    <t>IMC-F-162</t>
  </si>
  <si>
    <t>IMC-F-163</t>
  </si>
  <si>
    <t>IMC-F-164</t>
  </si>
  <si>
    <t>IMC-F-165</t>
  </si>
  <si>
    <t>IMC-F-166</t>
  </si>
  <si>
    <t>IMC-F-167</t>
  </si>
  <si>
    <t>IMC-F-168</t>
  </si>
  <si>
    <t>IMC-F-169</t>
  </si>
  <si>
    <t>IMC-F-170</t>
  </si>
  <si>
    <t>IMC-F-171</t>
  </si>
  <si>
    <t>IMC-F-172</t>
  </si>
  <si>
    <t>IMC-F-173</t>
  </si>
  <si>
    <t>IMC-F-174</t>
  </si>
  <si>
    <t>IMC-F-175</t>
  </si>
  <si>
    <t>IMC-F-176</t>
  </si>
  <si>
    <t>IMC-F-177</t>
  </si>
  <si>
    <t>IMC-F-178</t>
  </si>
  <si>
    <t>IMC-F-179</t>
  </si>
  <si>
    <t>IMC-F-180</t>
  </si>
  <si>
    <t>IMC-F-181</t>
  </si>
  <si>
    <t>IMC-F-182</t>
  </si>
  <si>
    <t>IMC-F-183</t>
  </si>
  <si>
    <t>IMC-F-184</t>
  </si>
  <si>
    <t>IMC-F-185</t>
  </si>
  <si>
    <t>IMC-F-186</t>
  </si>
  <si>
    <t>IMC-F-187</t>
  </si>
  <si>
    <t>IMC-F-188</t>
  </si>
  <si>
    <t>IMC-F-189</t>
  </si>
  <si>
    <t>IMC-F-190</t>
  </si>
  <si>
    <t>IMC-F-191</t>
  </si>
  <si>
    <t>IMC-F-192</t>
  </si>
  <si>
    <t>IMC-F-193</t>
  </si>
  <si>
    <t>IMC-F-194</t>
  </si>
  <si>
    <t>IMC-F-195</t>
  </si>
  <si>
    <t>IMC-F-196</t>
  </si>
  <si>
    <t>IMC-F-197</t>
  </si>
  <si>
    <t>IMC-F-198</t>
  </si>
  <si>
    <t>IMC-F-199</t>
  </si>
  <si>
    <t>IMC-F-200</t>
  </si>
  <si>
    <t>IMC-F-201</t>
  </si>
  <si>
    <t>IMC-F-202</t>
  </si>
  <si>
    <t>IMC-F-203</t>
  </si>
  <si>
    <t>IMC-F-204</t>
  </si>
  <si>
    <t>IMC-F-205</t>
  </si>
  <si>
    <t>IMC-F-206</t>
  </si>
  <si>
    <t>IMC-F-207</t>
  </si>
  <si>
    <t>IMC-F-208</t>
  </si>
  <si>
    <t>IMC-F-209</t>
  </si>
  <si>
    <t>IMC-F-210</t>
  </si>
  <si>
    <t>IMC-F-211</t>
  </si>
  <si>
    <t>IMC-F-212</t>
  </si>
  <si>
    <t>IMC-F-213</t>
  </si>
  <si>
    <t>IMC-F-214</t>
  </si>
  <si>
    <t>IMC-F-215</t>
  </si>
  <si>
    <t>IMC-F-216</t>
  </si>
  <si>
    <t>IMC-F-217</t>
  </si>
  <si>
    <t>IMC-F-218</t>
  </si>
  <si>
    <t>IMC-F-219</t>
  </si>
  <si>
    <t>IMC-F-220</t>
  </si>
  <si>
    <t>IMC-F-221</t>
  </si>
  <si>
    <t>IMC-F-222</t>
  </si>
  <si>
    <t>IMC-F-223</t>
  </si>
  <si>
    <t>IMC-F-224</t>
  </si>
  <si>
    <t>IMC-F-225</t>
  </si>
  <si>
    <t>IMC-F-226</t>
  </si>
  <si>
    <t>IMC-F-227</t>
  </si>
  <si>
    <t>IMC-F-228</t>
  </si>
  <si>
    <t>IMC-M-61</t>
  </si>
  <si>
    <t>IMC-M-62</t>
  </si>
  <si>
    <t>IMC-M-63</t>
  </si>
  <si>
    <t>IMC-M-64</t>
  </si>
  <si>
    <t>IMC-M-65</t>
  </si>
  <si>
    <t>IMC-M-66</t>
  </si>
  <si>
    <t>IMC-M-67</t>
  </si>
  <si>
    <t>IMC-M-68</t>
  </si>
  <si>
    <t>IMC-M-69</t>
  </si>
  <si>
    <t>IMC-M-70</t>
  </si>
  <si>
    <t>IMC-M-71</t>
  </si>
  <si>
    <t>IMC-M-72</t>
  </si>
  <si>
    <t>IMC-M-73</t>
  </si>
  <si>
    <t>IMC-M-74</t>
  </si>
  <si>
    <t>IMC-M-75</t>
  </si>
  <si>
    <t>IMC-M-76</t>
  </si>
  <si>
    <t>IMC-M-77</t>
  </si>
  <si>
    <t>IMC-M-78</t>
  </si>
  <si>
    <t>IMC-M-79</t>
  </si>
  <si>
    <t>IMC-M-80</t>
  </si>
  <si>
    <t>IMC-M-81</t>
  </si>
  <si>
    <t>IMC-M-82</t>
  </si>
  <si>
    <t>IMC-M-83</t>
  </si>
  <si>
    <t>IMC-M-84</t>
  </si>
  <si>
    <t>IMC-M-85</t>
  </si>
  <si>
    <t>IMC-M-86</t>
  </si>
  <si>
    <t>IMC-M-87</t>
  </si>
  <si>
    <t>IMC-M-88</t>
  </si>
  <si>
    <t>IMC-M-89</t>
  </si>
  <si>
    <t>IMC-M-90</t>
  </si>
  <si>
    <t>IMC-M-91</t>
  </si>
  <si>
    <t>IMC-M-92</t>
  </si>
  <si>
    <t>IMC-M-93</t>
  </si>
  <si>
    <t>IMC-M-94</t>
  </si>
  <si>
    <t>IMC-M-95</t>
  </si>
  <si>
    <t>IMC-M-96</t>
  </si>
  <si>
    <t>IMC-M-97</t>
  </si>
  <si>
    <t>IMC-M-98</t>
  </si>
  <si>
    <t>IMC-M-99</t>
  </si>
  <si>
    <t>IMC-M-100</t>
  </si>
  <si>
    <t>IMC-M-101</t>
  </si>
  <si>
    <t>IMC-M-102</t>
  </si>
  <si>
    <t>IMC-M-103</t>
  </si>
  <si>
    <t>IMC-M-104</t>
  </si>
  <si>
    <t>IMC-M-105</t>
  </si>
  <si>
    <t>IMC-M-106</t>
  </si>
  <si>
    <t>IMC-M-107</t>
  </si>
  <si>
    <t>IMC-M-108</t>
  </si>
  <si>
    <t>IMC-M-109</t>
  </si>
  <si>
    <t>IMC-M-110</t>
  </si>
  <si>
    <t>IMC-M-111</t>
  </si>
  <si>
    <t>IMC-M-112</t>
  </si>
  <si>
    <t>IMC-M-113</t>
  </si>
  <si>
    <t>IMC-M-114</t>
  </si>
  <si>
    <t>IMC-M-115</t>
  </si>
  <si>
    <t>IMC-M-116</t>
  </si>
  <si>
    <t>IMC-M-117</t>
  </si>
  <si>
    <t>IMC-M-118</t>
  </si>
  <si>
    <t>IMC-M-119</t>
  </si>
  <si>
    <t>IMC-M-120</t>
  </si>
  <si>
    <t>IMC-M-121</t>
  </si>
  <si>
    <t>IMC-M-122</t>
  </si>
  <si>
    <t>IMC-M-123</t>
  </si>
  <si>
    <t>IMC-M-124</t>
  </si>
  <si>
    <t>IMC-M-125</t>
  </si>
  <si>
    <t>IMC-M-126</t>
  </si>
  <si>
    <t>IMC-M-127</t>
  </si>
  <si>
    <t>IMC-M-128</t>
  </si>
  <si>
    <t>IMC-M-129</t>
  </si>
  <si>
    <t>IMC-M-130</t>
  </si>
  <si>
    <t>IMC-M-131</t>
  </si>
  <si>
    <t>IMC-M-132</t>
  </si>
  <si>
    <t>IMC-M-133</t>
  </si>
  <si>
    <t>IMC-M-134</t>
  </si>
  <si>
    <t>IMC-M-135</t>
  </si>
  <si>
    <t>IMC-M-136</t>
  </si>
  <si>
    <t>IMC-M-137</t>
  </si>
  <si>
    <t>IMC-M-138</t>
  </si>
  <si>
    <t>IMC-M-139</t>
  </si>
  <si>
    <t>IMC-M-140</t>
  </si>
  <si>
    <t>IMC-M-141</t>
  </si>
  <si>
    <t>IMC-M-142</t>
  </si>
  <si>
    <t>IMC-M-143</t>
  </si>
  <si>
    <t>IMC-M-144</t>
  </si>
  <si>
    <t>IMC-M-145</t>
  </si>
  <si>
    <t>IMC-M-146</t>
  </si>
  <si>
    <t>IMC-M-147</t>
  </si>
  <si>
    <t>IMC-M-148</t>
  </si>
  <si>
    <t>IMC-M-149</t>
  </si>
  <si>
    <t>IMC-M-150</t>
  </si>
  <si>
    <t>IMC-M-151</t>
  </si>
  <si>
    <t>IMC-M-152</t>
  </si>
  <si>
    <t>IMC-M-153</t>
  </si>
  <si>
    <t>IMC-M-154</t>
  </si>
  <si>
    <t>IMC-M-155</t>
  </si>
  <si>
    <t>IMC-M-156</t>
  </si>
  <si>
    <t>IMC-M-157</t>
  </si>
  <si>
    <t>IMC-M-158</t>
  </si>
  <si>
    <t>IMC-M-159</t>
  </si>
  <si>
    <t>IMC-M-160</t>
  </si>
  <si>
    <t>IMC-M-161</t>
  </si>
  <si>
    <t>IMC-M-162</t>
  </si>
  <si>
    <t>IMC-M-163</t>
  </si>
  <si>
    <t>IMC-M-164</t>
  </si>
  <si>
    <t>IMC-M-165</t>
  </si>
  <si>
    <t>IMC-M-166</t>
  </si>
  <si>
    <t>IMC-M-167</t>
  </si>
  <si>
    <t>IMC-M-168</t>
  </si>
  <si>
    <t>IMC-M-169</t>
  </si>
  <si>
    <t>IMC-M-170</t>
  </si>
  <si>
    <t>IMC-M-171</t>
  </si>
  <si>
    <t>IMC-M-172</t>
  </si>
  <si>
    <t>IMC-M-173</t>
  </si>
  <si>
    <t>IMC-M-174</t>
  </si>
  <si>
    <t>IMC-M-175</t>
  </si>
  <si>
    <t>IMC-M-176</t>
  </si>
  <si>
    <t>IMC-M-177</t>
  </si>
  <si>
    <t>IMC-M-178</t>
  </si>
  <si>
    <t>IMC-M-179</t>
  </si>
  <si>
    <t>IMC-M-180</t>
  </si>
  <si>
    <t>IMC-M-181</t>
  </si>
  <si>
    <t>IMC-M-182</t>
  </si>
  <si>
    <t>IMC-M-183</t>
  </si>
  <si>
    <t>IMC-M-184</t>
  </si>
  <si>
    <t>IMC-M-185</t>
  </si>
  <si>
    <t>IMC-M-186</t>
  </si>
  <si>
    <t>IMC-M-187</t>
  </si>
  <si>
    <t>IMC-M-188</t>
  </si>
  <si>
    <t>IMC-M-189</t>
  </si>
  <si>
    <t>IMC-M-190</t>
  </si>
  <si>
    <t>IMC-M-191</t>
  </si>
  <si>
    <t>IMC-M-192</t>
  </si>
  <si>
    <t>IMC-M-193</t>
  </si>
  <si>
    <t>IMC-M-194</t>
  </si>
  <si>
    <t>IMC-M-195</t>
  </si>
  <si>
    <t>IMC-M-196</t>
  </si>
  <si>
    <t>IMC-M-197</t>
  </si>
  <si>
    <t>IMC-M-198</t>
  </si>
  <si>
    <t>IMC-M-199</t>
  </si>
  <si>
    <t>IMC-M-200</t>
  </si>
  <si>
    <t>IMC-M-201</t>
  </si>
  <si>
    <t>IMC-M-202</t>
  </si>
  <si>
    <t>IMC-M-203</t>
  </si>
  <si>
    <t>IMC-M-204</t>
  </si>
  <si>
    <t>IMC-M-205</t>
  </si>
  <si>
    <t>IMC-M-206</t>
  </si>
  <si>
    <t>IMC-M-207</t>
  </si>
  <si>
    <t>IMC-M-208</t>
  </si>
  <si>
    <t>IMC-M-209</t>
  </si>
  <si>
    <t>IMC-M-210</t>
  </si>
  <si>
    <t>IMC-M-211</t>
  </si>
  <si>
    <t>IMC-M-212</t>
  </si>
  <si>
    <t>IMC-M-213</t>
  </si>
  <si>
    <t>IMC-M-214</t>
  </si>
  <si>
    <t>IMC-M-215</t>
  </si>
  <si>
    <t>IMC-M-216</t>
  </si>
  <si>
    <t>IMC-M-217</t>
  </si>
  <si>
    <t>IMC-M-218</t>
  </si>
  <si>
    <t>IMC-M-219</t>
  </si>
  <si>
    <t>IMC-M-220</t>
  </si>
  <si>
    <t>IMC-M-221</t>
  </si>
  <si>
    <t>IMC-M-222</t>
  </si>
  <si>
    <t>IMC-M-223</t>
  </si>
  <si>
    <t>IMC-M-224</t>
  </si>
  <si>
    <t>IMC-M-225</t>
  </si>
  <si>
    <t>IMC-M-226</t>
  </si>
  <si>
    <t>IMC-M-227</t>
  </si>
  <si>
    <t>IMC-M-228</t>
  </si>
  <si>
    <t>PE</t>
  </si>
  <si>
    <t>PE-F-0</t>
  </si>
  <si>
    <t>PE-F-1</t>
  </si>
  <si>
    <t>PE-F-2</t>
  </si>
  <si>
    <t>PE-F-3</t>
  </si>
  <si>
    <t>PE-F-4</t>
  </si>
  <si>
    <t>PE-F-5</t>
  </si>
  <si>
    <t>PE-F-6</t>
  </si>
  <si>
    <t>PE-F-7</t>
  </si>
  <si>
    <t>PE-F-8</t>
  </si>
  <si>
    <t>PE-F-9</t>
  </si>
  <si>
    <t>PE-F-10</t>
  </si>
  <si>
    <t>PE-F-11</t>
  </si>
  <si>
    <t>PE-F-12</t>
  </si>
  <si>
    <t>PE-M-0</t>
  </si>
  <si>
    <t>PE-M-1</t>
  </si>
  <si>
    <t>PE-M-2</t>
  </si>
  <si>
    <t>PE-M-3</t>
  </si>
  <si>
    <t>PE-M-4</t>
  </si>
  <si>
    <t>PE-M-5</t>
  </si>
  <si>
    <t>PE-M-6</t>
  </si>
  <si>
    <t>PE-M-7</t>
  </si>
  <si>
    <t>PE-M-8</t>
  </si>
  <si>
    <t>PE-M-9</t>
  </si>
  <si>
    <t>PE-M-10</t>
  </si>
  <si>
    <t>PE-M-11</t>
  </si>
  <si>
    <t>PE-M-12</t>
  </si>
  <si>
    <t>PT</t>
  </si>
  <si>
    <t>PT-F-45</t>
  </si>
  <si>
    <t>PT-F-45.5</t>
  </si>
  <si>
    <t>PT-F-46</t>
  </si>
  <si>
    <t>PT-F-46.5</t>
  </si>
  <si>
    <t>PT-F-47</t>
  </si>
  <si>
    <t>PT-F-47.5</t>
  </si>
  <si>
    <t>PT-F-48</t>
  </si>
  <si>
    <t>PT-F-48.5</t>
  </si>
  <si>
    <t>PT-F-49</t>
  </si>
  <si>
    <t>PT-F-49.5</t>
  </si>
  <si>
    <t>PT-F-50</t>
  </si>
  <si>
    <t>PT-F-50.5</t>
  </si>
  <si>
    <t>PT-F-51</t>
  </si>
  <si>
    <t>PT-F-51.5</t>
  </si>
  <si>
    <t>PT-F-52</t>
  </si>
  <si>
    <t>PT-F-52.5</t>
  </si>
  <si>
    <t>PT-F-53</t>
  </si>
  <si>
    <t>PT-F-53.5</t>
  </si>
  <si>
    <t>PT-F-54</t>
  </si>
  <si>
    <t>PT-F-54.5</t>
  </si>
  <si>
    <t>PT-F-55</t>
  </si>
  <si>
    <t>PT-F-55.5</t>
  </si>
  <si>
    <t>PT-F-56</t>
  </si>
  <si>
    <t>PT-F-56.5</t>
  </si>
  <si>
    <t>PT-F-57</t>
  </si>
  <si>
    <t>PT-F-57.5</t>
  </si>
  <si>
    <t>PT-F-58</t>
  </si>
  <si>
    <t>PT-F-58.5</t>
  </si>
  <si>
    <t>PT-F-59</t>
  </si>
  <si>
    <t>PT-F-59.5</t>
  </si>
  <si>
    <t>PT-F-60</t>
  </si>
  <si>
    <t>PT-F-60.5</t>
  </si>
  <si>
    <t>PT-F-61</t>
  </si>
  <si>
    <t>PT-F-61.5</t>
  </si>
  <si>
    <t>PT-F-62</t>
  </si>
  <si>
    <t>PT-F-62.5</t>
  </si>
  <si>
    <t>PT-F-63</t>
  </si>
  <si>
    <t>PT-F-63.5</t>
  </si>
  <si>
    <t>PT-F-64</t>
  </si>
  <si>
    <t>PT-F-64.5</t>
  </si>
  <si>
    <t>PT-F-65</t>
  </si>
  <si>
    <t>PT-F-65.5</t>
  </si>
  <si>
    <t>PT-F-66</t>
  </si>
  <si>
    <t>PT-F-66.5</t>
  </si>
  <si>
    <t>PT-F-67</t>
  </si>
  <si>
    <t>PT-F-67.5</t>
  </si>
  <si>
    <t>PT-F-68</t>
  </si>
  <si>
    <t>PT-F-68.5</t>
  </si>
  <si>
    <t>PT-F-69</t>
  </si>
  <si>
    <t>PT-F-69.5</t>
  </si>
  <si>
    <t>PT-F-70</t>
  </si>
  <si>
    <t>PT-F-70.5</t>
  </si>
  <si>
    <t>PT-F-71</t>
  </si>
  <si>
    <t>PT-F-71.5</t>
  </si>
  <si>
    <t>PT-F-72</t>
  </si>
  <si>
    <t>PT-F-72.5</t>
  </si>
  <si>
    <t>PT-F-73</t>
  </si>
  <si>
    <t>PT-F-73.5</t>
  </si>
  <si>
    <t>PT-F-74</t>
  </si>
  <si>
    <t>PT-F-74.5</t>
  </si>
  <si>
    <t>PT-F-75</t>
  </si>
  <si>
    <t>PT-F-75.5</t>
  </si>
  <si>
    <t>PT-F-76</t>
  </si>
  <si>
    <t>PT-F-76.5</t>
  </si>
  <si>
    <t>PT-F-77</t>
  </si>
  <si>
    <t>PT-F-77.5</t>
  </si>
  <si>
    <t>PT-F-78</t>
  </si>
  <si>
    <t>PT-F-78.5</t>
  </si>
  <si>
    <t>PT-F-79</t>
  </si>
  <si>
    <t>PT-F-79.5</t>
  </si>
  <si>
    <t>PT-F-80</t>
  </si>
  <si>
    <t>PT-F-80.5</t>
  </si>
  <si>
    <t>PT-F-81</t>
  </si>
  <si>
    <t>PT-F-81.5</t>
  </si>
  <si>
    <t>PT-F-82</t>
  </si>
  <si>
    <t>PT-F-82.5</t>
  </si>
  <si>
    <t>PT-F-83</t>
  </si>
  <si>
    <t>PT-F-83.5</t>
  </si>
  <si>
    <t>PT-F-84</t>
  </si>
  <si>
    <t>PT-F-84.5</t>
  </si>
  <si>
    <t>PT-F-85</t>
  </si>
  <si>
    <t>PT-F-85.5</t>
  </si>
  <si>
    <t>PT-F-86</t>
  </si>
  <si>
    <t>PT-F-86.5</t>
  </si>
  <si>
    <t>PT-F-87</t>
  </si>
  <si>
    <t>PT-F-87.5</t>
  </si>
  <si>
    <t>PT-F-88</t>
  </si>
  <si>
    <t>PT-F-88.5</t>
  </si>
  <si>
    <t>PT-F-89</t>
  </si>
  <si>
    <t>PT-F-89.5</t>
  </si>
  <si>
    <t>PT-F-90</t>
  </si>
  <si>
    <t>PT-F-90.5</t>
  </si>
  <si>
    <t>PT-F-91</t>
  </si>
  <si>
    <t>PT-F-91.5</t>
  </si>
  <si>
    <t>PT-F-92</t>
  </si>
  <si>
    <t>PT-F-92.5</t>
  </si>
  <si>
    <t>PT-F-93</t>
  </si>
  <si>
    <t>PT-F-93.5</t>
  </si>
  <si>
    <t>PT-F-94</t>
  </si>
  <si>
    <t>PT-F-94.5</t>
  </si>
  <si>
    <t>PT-F-95</t>
  </si>
  <si>
    <t>PT-F-95.5</t>
  </si>
  <si>
    <t>PT-F-96</t>
  </si>
  <si>
    <t>PT-F-96.5</t>
  </si>
  <si>
    <t>PT-F-97</t>
  </si>
  <si>
    <t>PT-F-97.5</t>
  </si>
  <si>
    <t>PT-F-98</t>
  </si>
  <si>
    <t>PT-F-98.5</t>
  </si>
  <si>
    <t>PT-F-99</t>
  </si>
  <si>
    <t>PT-F-99.5</t>
  </si>
  <si>
    <t>PT-F-100</t>
  </si>
  <si>
    <t>PT-F-100.5</t>
  </si>
  <si>
    <t>PT-F-101</t>
  </si>
  <si>
    <t>PT-F-101.5</t>
  </si>
  <si>
    <t>PT-F-102</t>
  </si>
  <si>
    <t>PT-F-102.5</t>
  </si>
  <si>
    <t>PT-F-103</t>
  </si>
  <si>
    <t>PT-F-103.5</t>
  </si>
  <si>
    <t>PT-F-104</t>
  </si>
  <si>
    <t>PT-F-104.5</t>
  </si>
  <si>
    <t>PT-F-105</t>
  </si>
  <si>
    <t>PT-F-105.5</t>
  </si>
  <si>
    <t>PT-F-106</t>
  </si>
  <si>
    <t>PT-F-106.5</t>
  </si>
  <si>
    <t>PT-F-107</t>
  </si>
  <si>
    <t>PT-F-107.5</t>
  </si>
  <si>
    <t>PT-F-108</t>
  </si>
  <si>
    <t>PT-F-108.5</t>
  </si>
  <si>
    <t>PT-F-109</t>
  </si>
  <si>
    <t>PT-F-109.5</t>
  </si>
  <si>
    <t>PT-F-110</t>
  </si>
  <si>
    <t>PT-F-110.5</t>
  </si>
  <si>
    <t>PT-F-111</t>
  </si>
  <si>
    <t>PT-F-111.5</t>
  </si>
  <si>
    <t>PT-F-112</t>
  </si>
  <si>
    <t>PT-F-112.5</t>
  </si>
  <si>
    <t>PT-F-113</t>
  </si>
  <si>
    <t>PT-F-113.5</t>
  </si>
  <si>
    <t>PT-F-114</t>
  </si>
  <si>
    <t>PT-F-114.5</t>
  </si>
  <si>
    <t>PT-F-115</t>
  </si>
  <si>
    <t>PT-F-115.5</t>
  </si>
  <si>
    <t>PT-F-116</t>
  </si>
  <si>
    <t>PT-F-116.5</t>
  </si>
  <si>
    <t>PT-F-117</t>
  </si>
  <si>
    <t>PT-F-117.5</t>
  </si>
  <si>
    <t>PT-F-118</t>
  </si>
  <si>
    <t>PT-F-118.5</t>
  </si>
  <si>
    <t>PT-F-119</t>
  </si>
  <si>
    <t>PT-F-119.5</t>
  </si>
  <si>
    <t>PT-F-120</t>
  </si>
  <si>
    <t>PT-M-45</t>
  </si>
  <si>
    <t>PT-M-45.5</t>
  </si>
  <si>
    <t>PT-M-46</t>
  </si>
  <si>
    <t>PT-M-46.5</t>
  </si>
  <si>
    <t>PT-M-47</t>
  </si>
  <si>
    <t>PT-M-47.5</t>
  </si>
  <si>
    <t>PT-M-48</t>
  </si>
  <si>
    <t>PT-M-48.5</t>
  </si>
  <si>
    <t>PT-M-49</t>
  </si>
  <si>
    <t>PT-M-49.5</t>
  </si>
  <si>
    <t>PT-M-50</t>
  </si>
  <si>
    <t>PT-M-50.5</t>
  </si>
  <si>
    <t>PT-M-51</t>
  </si>
  <si>
    <t>PT-M-51.5</t>
  </si>
  <si>
    <t>PT-M-52</t>
  </si>
  <si>
    <t>PT-M-52.5</t>
  </si>
  <si>
    <t>PT-M-53</t>
  </si>
  <si>
    <t>PT-M-53.5</t>
  </si>
  <si>
    <t>PT-M-54</t>
  </si>
  <si>
    <t>PT-M-54.5</t>
  </si>
  <si>
    <t>PT-M-55</t>
  </si>
  <si>
    <t>PT-M-55.5</t>
  </si>
  <si>
    <t>PT-M-56</t>
  </si>
  <si>
    <t>PT-M-56.5</t>
  </si>
  <si>
    <t>PT-M-57</t>
  </si>
  <si>
    <t>PT-M-57.5</t>
  </si>
  <si>
    <t>PT-M-58</t>
  </si>
  <si>
    <t>PT-M-58.5</t>
  </si>
  <si>
    <t>PT-M-59</t>
  </si>
  <si>
    <t>PT-M-59.5</t>
  </si>
  <si>
    <t>PT-M-60</t>
  </si>
  <si>
    <t>PT-M-60.5</t>
  </si>
  <si>
    <t>PT-M-61</t>
  </si>
  <si>
    <t>PT-M-61.5</t>
  </si>
  <si>
    <t>PT-M-62</t>
  </si>
  <si>
    <t>PT-M-62.5</t>
  </si>
  <si>
    <t>PT-M-63</t>
  </si>
  <si>
    <t>PT-M-63.5</t>
  </si>
  <si>
    <t>PT-M-64</t>
  </si>
  <si>
    <t>PT-M-64.5</t>
  </si>
  <si>
    <t>PT-M-65</t>
  </si>
  <si>
    <t>PT-M-65.5</t>
  </si>
  <si>
    <t>PT-M-66</t>
  </si>
  <si>
    <t>PT-M-66.5</t>
  </si>
  <si>
    <t>PT-M-67</t>
  </si>
  <si>
    <t>PT-M-67.5</t>
  </si>
  <si>
    <t>PT-M-68</t>
  </si>
  <si>
    <t>PT-M-68.5</t>
  </si>
  <si>
    <t>PT-M-69</t>
  </si>
  <si>
    <t>PT-M-69.5</t>
  </si>
  <si>
    <t>PT-M-70</t>
  </si>
  <si>
    <t>PT-M-70.5</t>
  </si>
  <si>
    <t>PT-M-71</t>
  </si>
  <si>
    <t>PT-M-71.5</t>
  </si>
  <si>
    <t>PT-M-72</t>
  </si>
  <si>
    <t>PT-M-72.5</t>
  </si>
  <si>
    <t>PT-M-73</t>
  </si>
  <si>
    <t>PT-M-73.5</t>
  </si>
  <si>
    <t>PT-M-74</t>
  </si>
  <si>
    <t>PT-M-74.5</t>
  </si>
  <si>
    <t>PT-M-75</t>
  </si>
  <si>
    <t>PT-M-75.5</t>
  </si>
  <si>
    <t>PT-M-76</t>
  </si>
  <si>
    <t>PT-M-76.5</t>
  </si>
  <si>
    <t>PT-M-77</t>
  </si>
  <si>
    <t>PT-M-77.5</t>
  </si>
  <si>
    <t>PT-M-78</t>
  </si>
  <si>
    <t>PT-M-78.5</t>
  </si>
  <si>
    <t>PT-M-79</t>
  </si>
  <si>
    <t>PT-M-79.5</t>
  </si>
  <si>
    <t>PT-M-80</t>
  </si>
  <si>
    <t>PT-M-80.5</t>
  </si>
  <si>
    <t>PT-M-81</t>
  </si>
  <si>
    <t>PT-M-81.5</t>
  </si>
  <si>
    <t>PT-M-82</t>
  </si>
  <si>
    <t>PT-M-82.5</t>
  </si>
  <si>
    <t>PT-M-83</t>
  </si>
  <si>
    <t>PT-M-83.5</t>
  </si>
  <si>
    <t>PT-M-84</t>
  </si>
  <si>
    <t>PT-M-84.5</t>
  </si>
  <si>
    <t>PT-M-85</t>
  </si>
  <si>
    <t>PT-M-85.5</t>
  </si>
  <si>
    <t>PT-M-86</t>
  </si>
  <si>
    <t>PT-M-86.5</t>
  </si>
  <si>
    <t>PT-M-87</t>
  </si>
  <si>
    <t>PT-M-87.5</t>
  </si>
  <si>
    <t>PT-M-88</t>
  </si>
  <si>
    <t>PT-M-88.5</t>
  </si>
  <si>
    <t>PT-M-89</t>
  </si>
  <si>
    <t>PT-M-89.5</t>
  </si>
  <si>
    <t>PT-M-90</t>
  </si>
  <si>
    <t>PT-M-90.5</t>
  </si>
  <si>
    <t>PT-M-91</t>
  </si>
  <si>
    <t>PT-M-91.5</t>
  </si>
  <si>
    <t>PT-M-92</t>
  </si>
  <si>
    <t>PT-M-92.5</t>
  </si>
  <si>
    <t>PT-M-93</t>
  </si>
  <si>
    <t>PT-M-93.5</t>
  </si>
  <si>
    <t>PT-M-94</t>
  </si>
  <si>
    <t>PT-M-94.5</t>
  </si>
  <si>
    <t>PT-M-95</t>
  </si>
  <si>
    <t>PT-M-95.5</t>
  </si>
  <si>
    <t>PT-M-96</t>
  </si>
  <si>
    <t>PT-M-96.5</t>
  </si>
  <si>
    <t>PT-M-97</t>
  </si>
  <si>
    <t>PT-M-97.5</t>
  </si>
  <si>
    <t>PT-M-98</t>
  </si>
  <si>
    <t>PT-M-98.5</t>
  </si>
  <si>
    <t>PT-M-99</t>
  </si>
  <si>
    <t>PT-M-99.5</t>
  </si>
  <si>
    <t>PT-M-100</t>
  </si>
  <si>
    <t>PT-M-100.5</t>
  </si>
  <si>
    <t>PT-M-101</t>
  </si>
  <si>
    <t>PT-M-101.5</t>
  </si>
  <si>
    <t>PT-M-102</t>
  </si>
  <si>
    <t>PT-M-102.5</t>
  </si>
  <si>
    <t>PT-M-103</t>
  </si>
  <si>
    <t>PT-M-103.5</t>
  </si>
  <si>
    <t>PT-M-104</t>
  </si>
  <si>
    <t>PT-M-104.5</t>
  </si>
  <si>
    <t>PT-M-105</t>
  </si>
  <si>
    <t>PT-M-105.5</t>
  </si>
  <si>
    <t>PT-M-106</t>
  </si>
  <si>
    <t>PT-M-106.5</t>
  </si>
  <si>
    <t>PT-M-107</t>
  </si>
  <si>
    <t>PT-M-107.5</t>
  </si>
  <si>
    <t>PT-M-108</t>
  </si>
  <si>
    <t>PT-M-108.5</t>
  </si>
  <si>
    <t>PT-M-109</t>
  </si>
  <si>
    <t>PT-M-109.5</t>
  </si>
  <si>
    <t>PT-M-110</t>
  </si>
  <si>
    <t>PT-M-110.5</t>
  </si>
  <si>
    <t>PT-M-111</t>
  </si>
  <si>
    <t>PT-M-111.5</t>
  </si>
  <si>
    <t>PT-M-112</t>
  </si>
  <si>
    <t>PT-M-112.5</t>
  </si>
  <si>
    <t>PT-M-113</t>
  </si>
  <si>
    <t>PT-M-113.5</t>
  </si>
  <si>
    <t>PT-M-114</t>
  </si>
  <si>
    <t>PT-M-114.5</t>
  </si>
  <si>
    <t>PT-M-115</t>
  </si>
  <si>
    <t>PT-M-115.5</t>
  </si>
  <si>
    <t>PT-M-116</t>
  </si>
  <si>
    <t>PT-M-116.5</t>
  </si>
  <si>
    <t>PT-M-117</t>
  </si>
  <si>
    <t>PT-M-117.5</t>
  </si>
  <si>
    <t>PT-M-118</t>
  </si>
  <si>
    <t>PT-M-118.5</t>
  </si>
  <si>
    <t>PT-M-119</t>
  </si>
  <si>
    <t>PT-M-119.5</t>
  </si>
  <si>
    <t>PT-M-120</t>
  </si>
  <si>
    <t>TE</t>
  </si>
  <si>
    <t>TE-F-0</t>
  </si>
  <si>
    <t>TE-F-1</t>
  </si>
  <si>
    <t>TE-F-2</t>
  </si>
  <si>
    <t>TE-F-3</t>
  </si>
  <si>
    <t>TE-F-4</t>
  </si>
  <si>
    <t>TE-F-5</t>
  </si>
  <si>
    <t>TE-F-6</t>
  </si>
  <si>
    <t>TE-F-7</t>
  </si>
  <si>
    <t>TE-F-8</t>
  </si>
  <si>
    <t>TE-F-9</t>
  </si>
  <si>
    <t>TE-F-10</t>
  </si>
  <si>
    <t>TE-F-11</t>
  </si>
  <si>
    <t>TE-F-12</t>
  </si>
  <si>
    <t>TE-F-13</t>
  </si>
  <si>
    <t>TE-F-14</t>
  </si>
  <si>
    <t>TE-F-15</t>
  </si>
  <si>
    <t>TE-F-16</t>
  </si>
  <si>
    <t>TE-F-17</t>
  </si>
  <si>
    <t>TE-F-18</t>
  </si>
  <si>
    <t>TE-F-19</t>
  </si>
  <si>
    <t>TE-F-20</t>
  </si>
  <si>
    <t>TE-F-21</t>
  </si>
  <si>
    <t>TE-F-22</t>
  </si>
  <si>
    <t>TE-F-23</t>
  </si>
  <si>
    <t>TE-F-24</t>
  </si>
  <si>
    <t>TE-F-25</t>
  </si>
  <si>
    <t>TE-F-26</t>
  </si>
  <si>
    <t>TE-F-27</t>
  </si>
  <si>
    <t>TE-F-28</t>
  </si>
  <si>
    <t>TE-F-29</t>
  </si>
  <si>
    <t>TE-F-30</t>
  </si>
  <si>
    <t>TE-F-31</t>
  </si>
  <si>
    <t>TE-F-32</t>
  </si>
  <si>
    <t>TE-F-33</t>
  </si>
  <si>
    <t>TE-F-34</t>
  </si>
  <si>
    <t>TE-F-35</t>
  </si>
  <si>
    <t>TE-F-36</t>
  </si>
  <si>
    <t>TE-F-37</t>
  </si>
  <si>
    <t>TE-F-38</t>
  </si>
  <si>
    <t>TE-F-39</t>
  </si>
  <si>
    <t>TE-F-40</t>
  </si>
  <si>
    <t>TE-F-41</t>
  </si>
  <si>
    <t>TE-F-42</t>
  </si>
  <si>
    <t>TE-F-43</t>
  </si>
  <si>
    <t>TE-F-44</t>
  </si>
  <si>
    <t>TE-F-45</t>
  </si>
  <si>
    <t>TE-F-46</t>
  </si>
  <si>
    <t>TE-F-47</t>
  </si>
  <si>
    <t>TE-F-48</t>
  </si>
  <si>
    <t>TE-F-49</t>
  </si>
  <si>
    <t>TE-F-50</t>
  </si>
  <si>
    <t>TE-F-51</t>
  </si>
  <si>
    <t>TE-F-52</t>
  </si>
  <si>
    <t>TE-F-53</t>
  </si>
  <si>
    <t>TE-F-54</t>
  </si>
  <si>
    <t>TE-F-55</t>
  </si>
  <si>
    <t>TE-F-56</t>
  </si>
  <si>
    <t>TE-F-57</t>
  </si>
  <si>
    <t>TE-F-58</t>
  </si>
  <si>
    <t>TE-F-59</t>
  </si>
  <si>
    <t>TE-F-60</t>
  </si>
  <si>
    <t>TE-F-61</t>
  </si>
  <si>
    <t>TE-F-62</t>
  </si>
  <si>
    <t>TE-F-63</t>
  </si>
  <si>
    <t>TE-F-64</t>
  </si>
  <si>
    <t>TE-F-65</t>
  </si>
  <si>
    <t>TE-F-66</t>
  </si>
  <si>
    <t>TE-F-67</t>
  </si>
  <si>
    <t>TE-F-68</t>
  </si>
  <si>
    <t>TE-F-69</t>
  </si>
  <si>
    <t>TE-F-70</t>
  </si>
  <si>
    <t>TE-F-71</t>
  </si>
  <si>
    <t>TE-F-72</t>
  </si>
  <si>
    <t>TE-F-73</t>
  </si>
  <si>
    <t>TE-F-74</t>
  </si>
  <si>
    <t>TE-F-75</t>
  </si>
  <si>
    <t>TE-F-76</t>
  </si>
  <si>
    <t>TE-F-77</t>
  </si>
  <si>
    <t>TE-F-78</t>
  </si>
  <si>
    <t>TE-F-79</t>
  </si>
  <si>
    <t>TE-F-80</t>
  </si>
  <si>
    <t>TE-F-81</t>
  </si>
  <si>
    <t>TE-F-82</t>
  </si>
  <si>
    <t>TE-F-83</t>
  </si>
  <si>
    <t>TE-F-84</t>
  </si>
  <si>
    <t>TE-F-85</t>
  </si>
  <si>
    <t>TE-F-86</t>
  </si>
  <si>
    <t>TE-F-87</t>
  </si>
  <si>
    <t>TE-F-88</t>
  </si>
  <si>
    <t>TE-F-89</t>
  </si>
  <si>
    <t>TE-F-90</t>
  </si>
  <si>
    <t>TE-F-91</t>
  </si>
  <si>
    <t>TE-F-92</t>
  </si>
  <si>
    <t>TE-F-93</t>
  </si>
  <si>
    <t>TE-F-94</t>
  </si>
  <si>
    <t>TE-F-95</t>
  </si>
  <si>
    <t>TE-F-96</t>
  </si>
  <si>
    <t>TE-F-97</t>
  </si>
  <si>
    <t>TE-F-98</t>
  </si>
  <si>
    <t>TE-F-99</t>
  </si>
  <si>
    <t>TE-F-100</t>
  </si>
  <si>
    <t>TE-F-101</t>
  </si>
  <si>
    <t>TE-F-102</t>
  </si>
  <si>
    <t>TE-F-103</t>
  </si>
  <si>
    <t>TE-F-104</t>
  </si>
  <si>
    <t>TE-F-105</t>
  </si>
  <si>
    <t>TE-F-106</t>
  </si>
  <si>
    <t>TE-F-107</t>
  </si>
  <si>
    <t>TE-F-108</t>
  </si>
  <si>
    <t>TE-F-109</t>
  </si>
  <si>
    <t>TE-F-110</t>
  </si>
  <si>
    <t>TE-F-111</t>
  </si>
  <si>
    <t>TE-F-112</t>
  </si>
  <si>
    <t>TE-F-113</t>
  </si>
  <si>
    <t>TE-F-114</t>
  </si>
  <si>
    <t>TE-F-115</t>
  </si>
  <si>
    <t>TE-F-116</t>
  </si>
  <si>
    <t>TE-F-117</t>
  </si>
  <si>
    <t>TE-F-118</t>
  </si>
  <si>
    <t>TE-F-119</t>
  </si>
  <si>
    <t>TE-F-120</t>
  </si>
  <si>
    <t>TE-F-121</t>
  </si>
  <si>
    <t>TE-F-122</t>
  </si>
  <si>
    <t>TE-F-123</t>
  </si>
  <si>
    <t>TE-F-124</t>
  </si>
  <si>
    <t>TE-F-125</t>
  </si>
  <si>
    <t>TE-F-126</t>
  </si>
  <si>
    <t>TE-F-127</t>
  </si>
  <si>
    <t>TE-F-128</t>
  </si>
  <si>
    <t>TE-F-129</t>
  </si>
  <si>
    <t>TE-F-130</t>
  </si>
  <si>
    <t>TE-F-131</t>
  </si>
  <si>
    <t>TE-F-132</t>
  </si>
  <si>
    <t>TE-F-133</t>
  </si>
  <si>
    <t>TE-F-134</t>
  </si>
  <si>
    <t>TE-F-135</t>
  </si>
  <si>
    <t>TE-F-136</t>
  </si>
  <si>
    <t>TE-F-137</t>
  </si>
  <si>
    <t>TE-F-138</t>
  </si>
  <si>
    <t>TE-F-139</t>
  </si>
  <si>
    <t>TE-F-140</t>
  </si>
  <si>
    <t>TE-F-141</t>
  </si>
  <si>
    <t>TE-F-142</t>
  </si>
  <si>
    <t>TE-F-143</t>
  </si>
  <si>
    <t>TE-F-144</t>
  </si>
  <si>
    <t>TE-F-145</t>
  </si>
  <si>
    <t>TE-F-146</t>
  </si>
  <si>
    <t>TE-F-147</t>
  </si>
  <si>
    <t>TE-F-148</t>
  </si>
  <si>
    <t>TE-F-149</t>
  </si>
  <si>
    <t>TE-F-150</t>
  </si>
  <si>
    <t>TE-F-151</t>
  </si>
  <si>
    <t>TE-F-152</t>
  </si>
  <si>
    <t>TE-F-153</t>
  </si>
  <si>
    <t>TE-F-154</t>
  </si>
  <si>
    <t>TE-F-155</t>
  </si>
  <si>
    <t>TE-F-156</t>
  </si>
  <si>
    <t>TE-F-157</t>
  </si>
  <si>
    <t>TE-F-158</t>
  </si>
  <si>
    <t>TE-F-159</t>
  </si>
  <si>
    <t>TE-F-160</t>
  </si>
  <si>
    <t>TE-F-161</t>
  </si>
  <si>
    <t>TE-F-162</t>
  </si>
  <si>
    <t>TE-F-163</t>
  </si>
  <si>
    <t>TE-F-164</t>
  </si>
  <si>
    <t>TE-F-165</t>
  </si>
  <si>
    <t>TE-F-166</t>
  </si>
  <si>
    <t>TE-F-167</t>
  </si>
  <si>
    <t>TE-F-168</t>
  </si>
  <si>
    <t>TE-F-169</t>
  </si>
  <si>
    <t>TE-F-170</t>
  </si>
  <si>
    <t>TE-F-171</t>
  </si>
  <si>
    <t>TE-F-172</t>
  </si>
  <si>
    <t>TE-F-173</t>
  </si>
  <si>
    <t>TE-F-174</t>
  </si>
  <si>
    <t>TE-F-175</t>
  </si>
  <si>
    <t>TE-F-176</t>
  </si>
  <si>
    <t>TE-F-177</t>
  </si>
  <si>
    <t>TE-F-178</t>
  </si>
  <si>
    <t>TE-F-179</t>
  </si>
  <si>
    <t>TE-F-180</t>
  </si>
  <si>
    <t>TE-F-181</t>
  </si>
  <si>
    <t>TE-F-182</t>
  </si>
  <si>
    <t>TE-F-183</t>
  </si>
  <si>
    <t>TE-F-184</t>
  </si>
  <si>
    <t>TE-F-185</t>
  </si>
  <si>
    <t>TE-F-186</t>
  </si>
  <si>
    <t>TE-F-187</t>
  </si>
  <si>
    <t>TE-F-188</t>
  </si>
  <si>
    <t>TE-F-189</t>
  </si>
  <si>
    <t>TE-F-190</t>
  </si>
  <si>
    <t>TE-F-191</t>
  </si>
  <si>
    <t>TE-F-192</t>
  </si>
  <si>
    <t>TE-F-193</t>
  </si>
  <si>
    <t>TE-F-194</t>
  </si>
  <si>
    <t>TE-F-195</t>
  </si>
  <si>
    <t>TE-F-196</t>
  </si>
  <si>
    <t>TE-F-197</t>
  </si>
  <si>
    <t>TE-F-198</t>
  </si>
  <si>
    <t>TE-F-199</t>
  </si>
  <si>
    <t>TE-F-200</t>
  </si>
  <si>
    <t>TE-F-201</t>
  </si>
  <si>
    <t>TE-F-202</t>
  </si>
  <si>
    <t>TE-F-203</t>
  </si>
  <si>
    <t>TE-F-204</t>
  </si>
  <si>
    <t>TE-F-205</t>
  </si>
  <si>
    <t>TE-F-206</t>
  </si>
  <si>
    <t>TE-F-207</t>
  </si>
  <si>
    <t>TE-F-208</t>
  </si>
  <si>
    <t>TE-F-209</t>
  </si>
  <si>
    <t>TE-F-210</t>
  </si>
  <si>
    <t>TE-F-211</t>
  </si>
  <si>
    <t>TE-F-212</t>
  </si>
  <si>
    <t>TE-F-213</t>
  </si>
  <si>
    <t>TE-F-214</t>
  </si>
  <si>
    <t>TE-F-215</t>
  </si>
  <si>
    <t>TE-F-216</t>
  </si>
  <si>
    <t>TE-F-217</t>
  </si>
  <si>
    <t>TE-F-218</t>
  </si>
  <si>
    <t>TE-F-219</t>
  </si>
  <si>
    <t>TE-F-220</t>
  </si>
  <si>
    <t>TE-F-221</t>
  </si>
  <si>
    <t>TE-F-222</t>
  </si>
  <si>
    <t>TE-F-223</t>
  </si>
  <si>
    <t>TE-F-224</t>
  </si>
  <si>
    <t>TE-F-225</t>
  </si>
  <si>
    <t>TE-F-226</t>
  </si>
  <si>
    <t>TE-F-227</t>
  </si>
  <si>
    <t>TE-F-228</t>
  </si>
  <si>
    <t>TE-M-0</t>
  </si>
  <si>
    <t>TE-M-1</t>
  </si>
  <si>
    <t>TE-M-2</t>
  </si>
  <si>
    <t>TE-M-3</t>
  </si>
  <si>
    <t>TE-M-4</t>
  </si>
  <si>
    <t>TE-M-5</t>
  </si>
  <si>
    <t>TE-M-6</t>
  </si>
  <si>
    <t>TE-M-7</t>
  </si>
  <si>
    <t>TE-M-8</t>
  </si>
  <si>
    <t>TE-M-9</t>
  </si>
  <si>
    <t>TE-M-10</t>
  </si>
  <si>
    <t>TE-M-11</t>
  </si>
  <si>
    <t>TE-M-12</t>
  </si>
  <si>
    <t>TE-M-13</t>
  </si>
  <si>
    <t>TE-M-14</t>
  </si>
  <si>
    <t>TE-M-15</t>
  </si>
  <si>
    <t>TE-M-16</t>
  </si>
  <si>
    <t>TE-M-17</t>
  </si>
  <si>
    <t>TE-M-18</t>
  </si>
  <si>
    <t>TE-M-19</t>
  </si>
  <si>
    <t>TE-M-20</t>
  </si>
  <si>
    <t>TE-M-21</t>
  </si>
  <si>
    <t>TE-M-22</t>
  </si>
  <si>
    <t>TE-M-23</t>
  </si>
  <si>
    <t>TE-M-24</t>
  </si>
  <si>
    <t>TE-M-25</t>
  </si>
  <si>
    <t>TE-M-26</t>
  </si>
  <si>
    <t>TE-M-27</t>
  </si>
  <si>
    <t>TE-M-28</t>
  </si>
  <si>
    <t>TE-M-29</t>
  </si>
  <si>
    <t>TE-M-30</t>
  </si>
  <si>
    <t>TE-M-31</t>
  </si>
  <si>
    <t>TE-M-32</t>
  </si>
  <si>
    <t>TE-M-33</t>
  </si>
  <si>
    <t>TE-M-34</t>
  </si>
  <si>
    <t>TE-M-35</t>
  </si>
  <si>
    <t>TE-M-36</t>
  </si>
  <si>
    <t>TE-M-37</t>
  </si>
  <si>
    <t>TE-M-38</t>
  </si>
  <si>
    <t>TE-M-39</t>
  </si>
  <si>
    <t>TE-M-40</t>
  </si>
  <si>
    <t>TE-M-41</t>
  </si>
  <si>
    <t>TE-M-42</t>
  </si>
  <si>
    <t>TE-M-43</t>
  </si>
  <si>
    <t>TE-M-44</t>
  </si>
  <si>
    <t>TE-M-45</t>
  </si>
  <si>
    <t>TE-M-46</t>
  </si>
  <si>
    <t>TE-M-47</t>
  </si>
  <si>
    <t>TE-M-48</t>
  </si>
  <si>
    <t>TE-M-49</t>
  </si>
  <si>
    <t>TE-M-50</t>
  </si>
  <si>
    <t>TE-M-51</t>
  </si>
  <si>
    <t>TE-M-52</t>
  </si>
  <si>
    <t>TE-M-53</t>
  </si>
  <si>
    <t>TE-M-54</t>
  </si>
  <si>
    <t>TE-M-55</t>
  </si>
  <si>
    <t>TE-M-56</t>
  </si>
  <si>
    <t>TE-M-57</t>
  </si>
  <si>
    <t>TE-M-58</t>
  </si>
  <si>
    <t>TE-M-59</t>
  </si>
  <si>
    <t>TE-M-60</t>
  </si>
  <si>
    <t>TE-M-61</t>
  </si>
  <si>
    <t>TE-M-62</t>
  </si>
  <si>
    <t>TE-M-63</t>
  </si>
  <si>
    <t>TE-M-64</t>
  </si>
  <si>
    <t>TE-M-65</t>
  </si>
  <si>
    <t>TE-M-66</t>
  </si>
  <si>
    <t>TE-M-67</t>
  </si>
  <si>
    <t>TE-M-68</t>
  </si>
  <si>
    <t>TE-M-69</t>
  </si>
  <si>
    <t>TE-M-70</t>
  </si>
  <si>
    <t>TE-M-71</t>
  </si>
  <si>
    <t>TE-M-72</t>
  </si>
  <si>
    <t>TE-M-73</t>
  </si>
  <si>
    <t>TE-M-74</t>
  </si>
  <si>
    <t>TE-M-75</t>
  </si>
  <si>
    <t>TE-M-76</t>
  </si>
  <si>
    <t>TE-M-77</t>
  </si>
  <si>
    <t>TE-M-78</t>
  </si>
  <si>
    <t>TE-M-79</t>
  </si>
  <si>
    <t>TE-M-80</t>
  </si>
  <si>
    <t>TE-M-81</t>
  </si>
  <si>
    <t>TE-M-82</t>
  </si>
  <si>
    <t>TE-M-83</t>
  </si>
  <si>
    <t>TE-M-84</t>
  </si>
  <si>
    <t>TE-M-85</t>
  </si>
  <si>
    <t>TE-M-86</t>
  </si>
  <si>
    <t>TE-M-87</t>
  </si>
  <si>
    <t>TE-M-88</t>
  </si>
  <si>
    <t>TE-M-89</t>
  </si>
  <si>
    <t>TE-M-90</t>
  </si>
  <si>
    <t>TE-M-91</t>
  </si>
  <si>
    <t>TE-M-92</t>
  </si>
  <si>
    <t>TE-M-93</t>
  </si>
  <si>
    <t>TE-M-94</t>
  </si>
  <si>
    <t>TE-M-95</t>
  </si>
  <si>
    <t>TE-M-96</t>
  </si>
  <si>
    <t>TE-M-97</t>
  </si>
  <si>
    <t>TE-M-98</t>
  </si>
  <si>
    <t>TE-M-99</t>
  </si>
  <si>
    <t>TE-M-100</t>
  </si>
  <si>
    <t>TE-M-101</t>
  </si>
  <si>
    <t>TE-M-102</t>
  </si>
  <si>
    <t>TE-M-103</t>
  </si>
  <si>
    <t>TE-M-104</t>
  </si>
  <si>
    <t>TE-M-105</t>
  </si>
  <si>
    <t>TE-M-106</t>
  </si>
  <si>
    <t>TE-M-107</t>
  </si>
  <si>
    <t>TE-M-108</t>
  </si>
  <si>
    <t>TE-M-109</t>
  </si>
  <si>
    <t>TE-M-110</t>
  </si>
  <si>
    <t>TE-M-111</t>
  </si>
  <si>
    <t>TE-M-112</t>
  </si>
  <si>
    <t>TE-M-113</t>
  </si>
  <si>
    <t>TE-M-114</t>
  </si>
  <si>
    <t>TE-M-115</t>
  </si>
  <si>
    <t>TE-M-116</t>
  </si>
  <si>
    <t>TE-M-117</t>
  </si>
  <si>
    <t>TE-M-118</t>
  </si>
  <si>
    <t>TE-M-119</t>
  </si>
  <si>
    <t>TE-M-120</t>
  </si>
  <si>
    <t>TE-M-121</t>
  </si>
  <si>
    <t>TE-M-122</t>
  </si>
  <si>
    <t>TE-M-123</t>
  </si>
  <si>
    <t>TE-M-124</t>
  </si>
  <si>
    <t>TE-M-125</t>
  </si>
  <si>
    <t>TE-M-126</t>
  </si>
  <si>
    <t>TE-M-127</t>
  </si>
  <si>
    <t>TE-M-128</t>
  </si>
  <si>
    <t>TE-M-129</t>
  </si>
  <si>
    <t>TE-M-130</t>
  </si>
  <si>
    <t>TE-M-131</t>
  </si>
  <si>
    <t>TE-M-132</t>
  </si>
  <si>
    <t>TE-M-133</t>
  </si>
  <si>
    <t>TE-M-134</t>
  </si>
  <si>
    <t>TE-M-135</t>
  </si>
  <si>
    <t>TE-M-136</t>
  </si>
  <si>
    <t>TE-M-137</t>
  </si>
  <si>
    <t>TE-M-138</t>
  </si>
  <si>
    <t>TE-M-139</t>
  </si>
  <si>
    <t>TE-M-140</t>
  </si>
  <si>
    <t>TE-M-141</t>
  </si>
  <si>
    <t>TE-M-142</t>
  </si>
  <si>
    <t>TE-M-143</t>
  </si>
  <si>
    <t>TE-M-144</t>
  </si>
  <si>
    <t>TE-M-145</t>
  </si>
  <si>
    <t>TE-M-146</t>
  </si>
  <si>
    <t>TE-M-147</t>
  </si>
  <si>
    <t>TE-M-148</t>
  </si>
  <si>
    <t>TE-M-149</t>
  </si>
  <si>
    <t>TE-M-150</t>
  </si>
  <si>
    <t>TE-M-151</t>
  </si>
  <si>
    <t>TE-M-152</t>
  </si>
  <si>
    <t>TE-M-153</t>
  </si>
  <si>
    <t>TE-M-154</t>
  </si>
  <si>
    <t>TE-M-155</t>
  </si>
  <si>
    <t>TE-M-156</t>
  </si>
  <si>
    <t>TE-M-157</t>
  </si>
  <si>
    <t>TE-M-158</t>
  </si>
  <si>
    <t>TE-M-159</t>
  </si>
  <si>
    <t>TE-M-160</t>
  </si>
  <si>
    <t>TE-M-161</t>
  </si>
  <si>
    <t>TE-M-162</t>
  </si>
  <si>
    <t>TE-M-163</t>
  </si>
  <si>
    <t>TE-M-164</t>
  </si>
  <si>
    <t>TE-M-165</t>
  </si>
  <si>
    <t>TE-M-166</t>
  </si>
  <si>
    <t>TE-M-167</t>
  </si>
  <si>
    <t>TE-M-168</t>
  </si>
  <si>
    <t>TE-M-169</t>
  </si>
  <si>
    <t>TE-M-170</t>
  </si>
  <si>
    <t>TE-M-171</t>
  </si>
  <si>
    <t>TE-M-172</t>
  </si>
  <si>
    <t>TE-M-173</t>
  </si>
  <si>
    <t>TE-M-174</t>
  </si>
  <si>
    <t>TE-M-175</t>
  </si>
  <si>
    <t>TE-M-176</t>
  </si>
  <si>
    <t>TE-M-177</t>
  </si>
  <si>
    <t>TE-M-178</t>
  </si>
  <si>
    <t>TE-M-179</t>
  </si>
  <si>
    <t>TE-M-180</t>
  </si>
  <si>
    <t>TE-M-181</t>
  </si>
  <si>
    <t>TE-M-182</t>
  </si>
  <si>
    <t>TE-M-183</t>
  </si>
  <si>
    <t>TE-M-184</t>
  </si>
  <si>
    <t>TE-M-185</t>
  </si>
  <si>
    <t>TE-M-186</t>
  </si>
  <si>
    <t>TE-M-187</t>
  </si>
  <si>
    <t>TE-M-188</t>
  </si>
  <si>
    <t>TE-M-189</t>
  </si>
  <si>
    <t>TE-M-190</t>
  </si>
  <si>
    <t>TE-M-191</t>
  </si>
  <si>
    <t>TE-M-192</t>
  </si>
  <si>
    <t>TE-M-193</t>
  </si>
  <si>
    <t>TE-M-194</t>
  </si>
  <si>
    <t>TE-M-195</t>
  </si>
  <si>
    <t>TE-M-196</t>
  </si>
  <si>
    <t>TE-M-197</t>
  </si>
  <si>
    <t>TE-M-198</t>
  </si>
  <si>
    <t>TE-M-199</t>
  </si>
  <si>
    <t>TE-M-200</t>
  </si>
  <si>
    <t>TE-M-201</t>
  </si>
  <si>
    <t>TE-M-202</t>
  </si>
  <si>
    <t>TE-M-203</t>
  </si>
  <si>
    <t>TE-M-204</t>
  </si>
  <si>
    <t>TE-M-205</t>
  </si>
  <si>
    <t>TE-M-206</t>
  </si>
  <si>
    <t>TE-M-207</t>
  </si>
  <si>
    <t>TE-M-208</t>
  </si>
  <si>
    <t>TE-M-209</t>
  </si>
  <si>
    <t>TE-M-210</t>
  </si>
  <si>
    <t>TE-M-211</t>
  </si>
  <si>
    <t>TE-M-212</t>
  </si>
  <si>
    <t>TE-M-213</t>
  </si>
  <si>
    <t>TE-M-214</t>
  </si>
  <si>
    <t>TE-M-215</t>
  </si>
  <si>
    <t>TE-M-216</t>
  </si>
  <si>
    <t>TE-M-217</t>
  </si>
  <si>
    <t>TE-M-218</t>
  </si>
  <si>
    <t>TE-M-219</t>
  </si>
  <si>
    <t>TE-M-220</t>
  </si>
  <si>
    <t>TE-M-221</t>
  </si>
  <si>
    <t>TE-M-222</t>
  </si>
  <si>
    <t>TE-M-223</t>
  </si>
  <si>
    <t>TE-M-224</t>
  </si>
  <si>
    <t>TE-M-225</t>
  </si>
  <si>
    <t>TE-M-226</t>
  </si>
  <si>
    <t>TE-M-227</t>
  </si>
  <si>
    <t>TE-M-228</t>
  </si>
  <si>
    <t>PC</t>
  </si>
  <si>
    <t>PC-F-0</t>
  </si>
  <si>
    <t>PC-F-1</t>
  </si>
  <si>
    <t>PC-F-2</t>
  </si>
  <si>
    <t>PC-F-3</t>
  </si>
  <si>
    <t>PC-F-4</t>
  </si>
  <si>
    <t>PC-F-5</t>
  </si>
  <si>
    <t>PC-F-6</t>
  </si>
  <si>
    <t>PC-F-7</t>
  </si>
  <si>
    <t>PC-F-8</t>
  </si>
  <si>
    <t>PC-F-9</t>
  </si>
  <si>
    <t>PC-F-10</t>
  </si>
  <si>
    <t>PC-F-11</t>
  </si>
  <si>
    <t>PC-F-12</t>
  </si>
  <si>
    <t>PC-F-13</t>
  </si>
  <si>
    <t>PC-F-14</t>
  </si>
  <si>
    <t>PC-F-15</t>
  </si>
  <si>
    <t>PC-F-16</t>
  </si>
  <si>
    <t>PC-F-17</t>
  </si>
  <si>
    <t>PC-F-18</t>
  </si>
  <si>
    <t>PC-F-19</t>
  </si>
  <si>
    <t>PC-F-20</t>
  </si>
  <si>
    <t>PC-F-21</t>
  </si>
  <si>
    <t>PC-F-22</t>
  </si>
  <si>
    <t>PC-F-23</t>
  </si>
  <si>
    <t>PC-F-24</t>
  </si>
  <si>
    <t>PC-F-25</t>
  </si>
  <si>
    <t>PC-F-26</t>
  </si>
  <si>
    <t>PC-F-27</t>
  </si>
  <si>
    <t>PC-F-28</t>
  </si>
  <si>
    <t>PC-F-29</t>
  </si>
  <si>
    <t>PC-F-30</t>
  </si>
  <si>
    <t>PC-F-31</t>
  </si>
  <si>
    <t>PC-F-32</t>
  </si>
  <si>
    <t>PC-F-33</t>
  </si>
  <si>
    <t>PC-F-34</t>
  </si>
  <si>
    <t>PC-F-35</t>
  </si>
  <si>
    <t>PC-F-36</t>
  </si>
  <si>
    <t>PC-M-0</t>
  </si>
  <si>
    <t>PC-M-1</t>
  </si>
  <si>
    <t>PC-M-2</t>
  </si>
  <si>
    <t>PC-M-3</t>
  </si>
  <si>
    <t>PC-M-4</t>
  </si>
  <si>
    <t>PC-M-5</t>
  </si>
  <si>
    <t>PC-M-6</t>
  </si>
  <si>
    <t>PC-M-7</t>
  </si>
  <si>
    <t>PC-M-8</t>
  </si>
  <si>
    <t>PC-M-9</t>
  </si>
  <si>
    <t>PC-M-10</t>
  </si>
  <si>
    <t>PC-M-11</t>
  </si>
  <si>
    <t>PC-M-12</t>
  </si>
  <si>
    <t>PC-M-13</t>
  </si>
  <si>
    <t>PC-M-14</t>
  </si>
  <si>
    <t>PC-M-15</t>
  </si>
  <si>
    <t>PC-M-16</t>
  </si>
  <si>
    <t>PC-M-17</t>
  </si>
  <si>
    <t>PC-M-18</t>
  </si>
  <si>
    <t>PC-M-19</t>
  </si>
  <si>
    <t>PC-M-20</t>
  </si>
  <si>
    <t>PC-M-21</t>
  </si>
  <si>
    <t>PC-M-22</t>
  </si>
  <si>
    <t>PC-M-23</t>
  </si>
  <si>
    <t>PC-M-24</t>
  </si>
  <si>
    <t>PC-M-25</t>
  </si>
  <si>
    <t>PC-M-26</t>
  </si>
  <si>
    <t>PC-M-27</t>
  </si>
  <si>
    <t>PC-M-28</t>
  </si>
  <si>
    <t>PC-M-29</t>
  </si>
  <si>
    <t>PC-M-30</t>
  </si>
  <si>
    <t>PC-M-31</t>
  </si>
  <si>
    <t>PC-M-32</t>
  </si>
  <si>
    <t>PC-M-33</t>
  </si>
  <si>
    <t>PC-M-34</t>
  </si>
  <si>
    <t>PC-M-35</t>
  </si>
  <si>
    <t>PC-M-36</t>
  </si>
  <si>
    <t>CIN</t>
  </si>
  <si>
    <t>CIN-F-5</t>
  </si>
  <si>
    <t>CIN-F-6</t>
  </si>
  <si>
    <t>CIN-F-7</t>
  </si>
  <si>
    <t>CIN-F-8</t>
  </si>
  <si>
    <t>CIN-F-9</t>
  </si>
  <si>
    <t>CIN-F-10</t>
  </si>
  <si>
    <t>CIN-F-11</t>
  </si>
  <si>
    <t>CIN-F-12</t>
  </si>
  <si>
    <t>CIN-F-13</t>
  </si>
  <si>
    <t>CIN-F-14</t>
  </si>
  <si>
    <t>CIN-F-15</t>
  </si>
  <si>
    <t>CIN-F-16</t>
  </si>
  <si>
    <t>CIN-F-17</t>
  </si>
  <si>
    <t>CIN-F-18</t>
  </si>
  <si>
    <t>CIN-M-5</t>
  </si>
  <si>
    <t>CIN-M-6</t>
  </si>
  <si>
    <t>CIN-M-7</t>
  </si>
  <si>
    <t>CIN-M-8</t>
  </si>
  <si>
    <t>CIN-M-9</t>
  </si>
  <si>
    <t>CIN-M-10</t>
  </si>
  <si>
    <t>CIN-M-11</t>
  </si>
  <si>
    <t>CIN-M-12</t>
  </si>
  <si>
    <t>CIN-M-13</t>
  </si>
  <si>
    <t>CIN-M-14</t>
  </si>
  <si>
    <t>CIN-M-15</t>
  </si>
  <si>
    <t>CIN-M-16</t>
  </si>
  <si>
    <t>CIN-M-17</t>
  </si>
  <si>
    <t>CIN-M-18</t>
  </si>
  <si>
    <t>Historial de versiones</t>
  </si>
  <si>
    <t>Cambio</t>
  </si>
  <si>
    <t>Motivo</t>
  </si>
  <si>
    <t>1.0</t>
  </si>
  <si>
    <t>2026-07-14</t>
  </si>
  <si>
    <t>Rediseño original a partir de una evaluación existente. Se reconstruyeron TODAS las fórmulas desde cero (INDICE/COINCIDIR en vez de XLOOKUP; guardas 'ND' en vez de IFERROR). Arquitectura completa con INICIO, FUENTES, PRUEBAS y CHANGELOG.</t>
  </si>
  <si>
    <t>Herramienta original y compatible con Excel 2021.</t>
  </si>
  <si>
    <t>Equipo Nutrimetría</t>
  </si>
  <si>
    <t>Se completó el módulo de requerimientos (TMB Schofield, GET, proteína, lípidos y CHO) que en el archivo de origen estaba con marcadores de posición.</t>
  </si>
  <si>
    <t>Completar funcionalidad.</t>
  </si>
  <si>
    <t>Banco de pruebas con cotejo de z-scores, requerimientos, validaciones e integridad.</t>
  </si>
  <si>
    <t>Control de calidad.</t>
  </si>
  <si>
    <t>2.0</t>
  </si>
  <si>
    <t>2026-08-02</t>
  </si>
  <si>
    <t>v2.0: navegacion HYPERLINK real en todas las hojas; nueva hoja SEGUIMIENTO (tabla expandible T_SEGUIMIENTO) y hoja CURVAS ligada a ella; percentiles desde z (NORMSDIST); identidad visual Nutrimetria, cuadricula oculta, paneles congelados y areas de impresion. Extensiones del motor (T/E por LMS, PCe z, P/E 0-60, IMC/E&lt;61, P/L vs P/T por tecnica, clasificacion de cintura) DESACTIVADAS con 'ND: fuente pendiente de verificacion'. Sin inventar valores. Motor y datos v1.0 intactos.</t>
  </si>
  <si>
    <t>Auditor independiente (entorno sin Excel de escritorio)</t>
  </si>
  <si>
    <t>Evaluación nutricional pediátrica integral · versión 2.0.1</t>
  </si>
  <si>
    <t>2.0.1</t>
  </si>
  <si>
    <t>2026-08-06</t>
  </si>
  <si>
    <t>Trazabilidad de patrones OMS/MINSAL y ecuaciones · versión 2.0.1</t>
  </si>
  <si>
    <t>MINSAL · fuente exacta pendiente de cotejo</t>
  </si>
  <si>
    <t>Banco de verificación · versión 2.0.1 · recuento original + robustez</t>
  </si>
  <si>
    <t>RESUMEN DEL BANCO DE PRUEBAS</t>
  </si>
  <si>
    <t>Casos originales</t>
  </si>
  <si>
    <t>Originales aprobados</t>
  </si>
  <si>
    <t>Robustez estructural aprobada</t>
  </si>
  <si>
    <t>ESTADO GLOBAL</t>
  </si>
  <si>
    <t>BLOQUE H · ROBUSTEZ DE ENTRADAS Y RECUPERACIÓN · versión 2.0.1</t>
  </si>
  <si>
    <t>Entrada modificada</t>
  </si>
  <si>
    <t>Gate</t>
  </si>
  <si>
    <t>z integrado</t>
  </si>
  <si>
    <t>Percentil</t>
  </si>
  <si>
    <t>Estado cálculo</t>
  </si>
  <si>
    <t>Clasificación / PCe</t>
  </si>
  <si>
    <t>Evidencia</t>
  </si>
  <si>
    <t>H-1</t>
  </si>
  <si>
    <t>B14=-5</t>
  </si>
  <si>
    <t>Peso negativo → sin IMC, z, percentil ni clasificación</t>
  </si>
  <si>
    <t>NO</t>
  </si>
  <si>
    <t>DATO_INVALIDO · peso</t>
  </si>
  <si>
    <t>APROBADO_ESTRUCTURAL</t>
  </si>
  <si>
    <t>Motor artifact_tool; Microsoft Excel COM pendiente</t>
  </si>
  <si>
    <t>H-2</t>
  </si>
  <si>
    <t>Peso igual a cero</t>
  </si>
  <si>
    <t>B14=0</t>
  </si>
  <si>
    <t>Peso 0 → sin IMC, z, percentil ni clasificación</t>
  </si>
  <si>
    <t>H-3</t>
  </si>
  <si>
    <t>Peso vacío</t>
  </si>
  <si>
    <t>B14=None</t>
  </si>
  <si>
    <t>Peso vacío → sin IMC, z, percentil ni clasificación</t>
  </si>
  <si>
    <t>H-4</t>
  </si>
  <si>
    <t>Peso como texto</t>
  </si>
  <si>
    <t>B14='diez'</t>
  </si>
  <si>
    <t>Peso textual → sin IMC, z, percentil ni clasificación</t>
  </si>
  <si>
    <t>H-5</t>
  </si>
  <si>
    <t>Talla negativa</t>
  </si>
  <si>
    <t>B15=-10</t>
  </si>
  <si>
    <t>Talla negativa → sin IMC, z, percentil ni clasificación</t>
  </si>
  <si>
    <t>DATO_INVALIDO · talla</t>
  </si>
  <si>
    <t>H-6</t>
  </si>
  <si>
    <t>Talla igual a cero</t>
  </si>
  <si>
    <t>B15=0</t>
  </si>
  <si>
    <t>Talla 0 → sin IMC, z, percentil ni clasificación</t>
  </si>
  <si>
    <t>H-7</t>
  </si>
  <si>
    <t>Talla vacía</t>
  </si>
  <si>
    <t>B15=None</t>
  </si>
  <si>
    <t>Talla vacía → sin IMC, z, percentil ni clasificación</t>
  </si>
  <si>
    <t>H-8</t>
  </si>
  <si>
    <t>Sexo inválido</t>
  </si>
  <si>
    <t>B9='Otro'</t>
  </si>
  <si>
    <t>Sexo inválido → cálculo bloqueado</t>
  </si>
  <si>
    <t>DATO_INVALIDO · sexo</t>
  </si>
  <si>
    <t>H-9</t>
  </si>
  <si>
    <t>Fecha de nacimiento futura</t>
  </si>
  <si>
    <t>B10=47000; B11=46000</t>
  </si>
  <si>
    <t>Nacimiento futuro → fechas inválidas</t>
  </si>
  <si>
    <t>DATO_INVALIDO · fechas</t>
  </si>
  <si>
    <t>H-10</t>
  </si>
  <si>
    <t>Edad fuera del rango</t>
  </si>
  <si>
    <t>B10=40000; B11=50000</t>
  </si>
  <si>
    <t>Edad &gt;228 meses → fuera de aplicabilidad</t>
  </si>
  <si>
    <t>FUERA_DE_APLICABILIDAD</t>
  </si>
  <si>
    <t>H-11</t>
  </si>
  <si>
    <t>Evaluación anterior al nacimiento</t>
  </si>
  <si>
    <t>B10=46204; B11=44743</t>
  </si>
  <si>
    <t>Evaluación previa al nacimiento → fechas inválidas</t>
  </si>
  <si>
    <t>H-12</t>
  </si>
  <si>
    <t>Edad gestacional imposible</t>
  </si>
  <si>
    <t>B12='Sí'; B13=50</t>
  </si>
  <si>
    <t>Gestación fuera de 24–42 sem → dato inválido</t>
  </si>
  <si>
    <t>DATO_INVALIDO · edad gestacional</t>
  </si>
  <si>
    <t>H-13</t>
  </si>
  <si>
    <t>IMC no calculable</t>
  </si>
  <si>
    <t>B15='ciento tres'</t>
  </si>
  <si>
    <t>Talla textual → IMC no calculable</t>
  </si>
  <si>
    <t>H-14</t>
  </si>
  <si>
    <t>Perímetro cefálico negativo</t>
  </si>
  <si>
    <t>B16=-12</t>
  </si>
  <si>
    <t>PCe negativo → PCe inválido; motor general no se altera</t>
  </si>
  <si>
    <t>SÍ</t>
  </si>
  <si>
    <t>15.552832500706948</t>
  </si>
  <si>
    <t>0.19643741528915706</t>
  </si>
  <si>
    <t>57.8</t>
  </si>
  <si>
    <t>HABILITADO</t>
  </si>
  <si>
    <t>Dato inválido</t>
  </si>
  <si>
    <t>H-15</t>
  </si>
  <si>
    <t>Caso válido después de uno inválido</t>
  </si>
  <si>
    <t>Restauración del caso válido</t>
  </si>
  <si>
    <t>Caso válido restaurado → cálculo habilitado y z numérico</t>
  </si>
  <si>
    <t>Parámetros, cortes y coeficientes · versión 2.0.1</t>
  </si>
  <si>
    <t>Robustez: guardas directas para peso, talla, fechas, sexo, edad gestacional, PCe y cintura; LMS con rama L=0; DATEDIF sustituido por cálculo equivalente de meses completos; 15 casos H-1:H-15 y regresión 39/39.</t>
  </si>
  <si>
    <t>Evitar errores o clasificaciones con entradas imposibles sin modificar tablas OMS ni parámetros L, M y S.</t>
  </si>
  <si>
    <t>Auditoría Nutrimetría</t>
  </si>
  <si>
    <t>NUTRIMETRÍA · NMX-14 · QA MATEMÁTICO, FUNCIONAL Y DE ROBUSTEZ</t>
  </si>
  <si>
    <t>Versión 2.0.1 · base funcional v2.0 · evidencia QA independiente · recálculo real en Excel pendiente</t>
  </si>
  <si>
    <t>Control</t>
  </si>
  <si>
    <t>Resultado</t>
  </si>
  <si>
    <t>Archivo funcional seleccionado</t>
  </si>
  <si>
    <t>NMX-14_Evaluacion_Nutricional_Pediatrica_v2_0(2).xlsx</t>
  </si>
  <si>
    <t>Archivo usado como evidencia</t>
  </si>
  <si>
    <t>NMX-14_QA_REAL(2).xlsx</t>
  </si>
  <si>
    <t>Versión de salida</t>
  </si>
  <si>
    <t>SHA-256 funcional</t>
  </si>
  <si>
    <t>cfed135fe4533e16eee18e1ddb8e8c0a0004050343027bd6be1b6a35929dfb55</t>
  </si>
  <si>
    <t>SHA-256 evidencia</t>
  </si>
  <si>
    <t>cb3a16c630232149c3e721d4478e1dd28a7fdd74c7367157d7faf1f0c8fda7e4</t>
  </si>
  <si>
    <t>Pruebas originales</t>
  </si>
  <si>
    <t>39/39 APROBADAS</t>
  </si>
  <si>
    <t>Pruebas de robustez</t>
  </si>
  <si>
    <t>15/15 APROBADAS ESTRUCTURALMENTE</t>
  </si>
  <si>
    <t>Microsoft Excel COM</t>
  </si>
  <si>
    <t>RECALCULO_REAL_NO_EJECUTADO</t>
  </si>
  <si>
    <t>Test_ID</t>
  </si>
  <si>
    <t>Esperado independiente</t>
  </si>
  <si>
    <t>Estado estructural</t>
  </si>
  <si>
    <t>Estado Excel COM</t>
  </si>
  <si>
    <t>Fuente / evidencia</t>
  </si>
  <si>
    <t>Revisor</t>
  </si>
  <si>
    <t>NO_EJECUTADO</t>
  </si>
  <si>
    <t>H-1: NMX-14_QA_REAL(2).xlsx; H-2:H-15: extensión de robustez documentada</t>
  </si>
  <si>
    <t>Resumen</t>
  </si>
  <si>
    <t>Criterio</t>
  </si>
  <si>
    <t>Estado</t>
  </si>
  <si>
    <t>Motor funcional seleccionado</t>
  </si>
  <si>
    <t>v2.0 de 11 hojas</t>
  </si>
  <si>
    <t>Producto operativo solicitado</t>
  </si>
  <si>
    <t>CONFIRMADO</t>
  </si>
  <si>
    <t>Regresión del banco original</t>
  </si>
  <si>
    <t>39/39</t>
  </si>
  <si>
    <t>Sin cambios en L, M, S ni TABLAS</t>
  </si>
  <si>
    <t>Robustez H-1 a H-15</t>
  </si>
  <si>
    <t>15/15</t>
  </si>
  <si>
    <t>Sin z, percentil ni clasificación ante entradas imposibles</t>
  </si>
  <si>
    <t>Errores estructurales tras parche</t>
  </si>
  <si>
    <t>0</t>
  </si>
  <si>
    <t>Escaneo de fórmulas y resultados clave</t>
  </si>
  <si>
    <t>Cierre QA</t>
  </si>
  <si>
    <t>Requiere Microsoft Excel COM y reapertura data_only=True</t>
  </si>
  <si>
    <t>QA_NO_CERRADO</t>
  </si>
  <si>
    <t>Proporcionar una evaluación antropométrica integral, automatizada y estandarizada del estado nutricional y crecimiento en población infantojuvenil de 0 a 19 años (0 a 228 meses). Integra el cálculo exacto de puntuaciones Z y percentiles según el método LMS/DE de la OMS y los criterios de clasificación diagnóstica de la Norma Técnica MINSAL (Chile), permitiendo determinar el Diagnóstico Nutricional Integrado (DNI) y realizar el seguimiento longitudinal del canal de crecimiento estaturo-ponderal.</t>
  </si>
  <si>
    <t>Nutrimetria ·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</si>
</sst>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0"/>
    <numFmt numFmtId="167" formatCode="0.000"/>
    <numFmt numFmtId="168" formatCode="0.00###"/>
  </numFmts>
  <fonts count="34">
    <font>
      <sz val="11"/>
      <color theme="1"/>
      <name val="Calibri"/>
    </font>
    <font>
      <b/>
      <sz val="15"/>
      <color rgb="FFFFFFFF"/>
      <name val="Aptos"/>
    </font>
    <font>
      <sz val="10"/>
      <color rgb="FF1A1A1A"/>
      <name val="Aptos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rgb="FF1A1A1A"/>
      <name val="Aptos"/>
    </font>
    <font>
      <b/>
      <sz val="10"/>
      <color rgb="FFFFFFFF"/>
      <name val="Aptos"/>
    </font>
    <font>
      <sz val="9"/>
      <color rgb="FF586A6C"/>
      <name val="Aptos"/>
    </font>
    <font>
      <sz val="10"/>
      <color rgb="FF0000CC"/>
      <name val="Aptos"/>
    </font>
    <font>
      <sz val="10"/>
      <color rgb="FF586A6C"/>
      <name val="Aptos"/>
    </font>
    <font>
      <b/>
      <sz val="16"/>
      <color rgb="FFFFFFFF"/>
      <name val="Arial"/>
    </font>
    <font>
      <i/>
      <sz val="9"/>
      <color rgb="FF595959"/>
      <name val="Arial"/>
    </font>
    <font>
      <sz val="10"/>
      <color rgb="FF0000CC"/>
      <name val="Arial"/>
    </font>
    <font>
      <sz val="10"/>
      <color rgb="FF000000"/>
      <name val="Arial"/>
    </font>
    <font>
      <sz val="10"/>
      <name val="Arial"/>
    </font>
    <font>
      <b/>
      <sz val="11"/>
      <color rgb="FFFFFFFF"/>
      <name val="Aptos"/>
    </font>
    <font>
      <sz val="9"/>
      <color rgb="FF1A1A1A"/>
      <name val="Aptos"/>
    </font>
    <font>
      <sz val="8"/>
      <color rgb="FF586A6C"/>
      <name val="Aptos"/>
    </font>
    <font>
      <sz val="10"/>
      <color rgb="FFB4560A"/>
      <name val="Aptos"/>
    </font>
    <font>
      <b/>
      <sz val="10"/>
      <color rgb="FF24726B"/>
      <name val="Aptos"/>
    </font>
    <font>
      <b/>
      <sz val="9"/>
      <color rgb="FF24726B"/>
      <name val="Aptos"/>
    </font>
    <font>
      <b/>
      <sz val="9"/>
      <color rgb="FFFFFFFF"/>
      <name val="Aptos"/>
    </font>
    <font>
      <sz val="8"/>
      <color rgb="FF1A1A1A"/>
      <name val="Aptos"/>
    </font>
    <font>
      <b/>
      <sz val="11"/>
      <color rgb="FFFFFFFF"/>
      <name val="Arial"/>
    </font>
    <font>
      <b/>
      <sz val="9"/>
      <color rgb="FFFFFFFF"/>
      <name val="Arial"/>
    </font>
    <font>
      <sz val="8"/>
      <color rgb="FF263238"/>
      <name val="Arial"/>
    </font>
    <font>
      <u/>
      <sz val="11"/>
      <color theme="10"/>
      <name val="Calibri"/>
    </font>
    <font>
      <b/>
      <u/>
      <sz val="11"/>
      <color rgb="FFFFFFFF"/>
      <name val="Arial"/>
      <family val="2"/>
    </font>
    <font>
      <b/>
      <sz val="11"/>
      <color theme="0"/>
      <name val="Calibri"/>
      <family val="2"/>
    </font>
    <font>
      <b/>
      <u/>
      <sz val="14"/>
      <color rgb="FFFFFFFF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b/>
      <sz val="16"/>
      <color rgb="FFFFFFFF"/>
      <name val="Aptos"/>
    </font>
    <font>
      <sz val="8"/>
      <color rgb="FF26323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5303A"/>
      </patternFill>
    </fill>
    <fill>
      <patternFill patternType="solid">
        <fgColor rgb="FF17324D"/>
      </patternFill>
    </fill>
    <fill>
      <patternFill patternType="solid">
        <fgColor rgb="FF1C6B72"/>
      </patternFill>
    </fill>
    <fill>
      <patternFill patternType="solid">
        <fgColor rgb="FF24726B"/>
      </patternFill>
    </fill>
    <fill>
      <patternFill patternType="solid">
        <fgColor rgb="FFF7E2D2"/>
      </patternFill>
    </fill>
    <fill>
      <patternFill patternType="solid">
        <fgColor rgb="FFFFF6D8"/>
      </patternFill>
    </fill>
    <fill>
      <patternFill patternType="solid">
        <fgColor rgb="FFD8E7E2"/>
      </patternFill>
    </fill>
    <fill>
      <patternFill patternType="solid">
        <fgColor rgb="FFE7E2F2"/>
      </patternFill>
    </fill>
    <fill>
      <patternFill patternType="solid">
        <fgColor rgb="FFFCEFCE"/>
      </patternFill>
    </fill>
    <fill>
      <patternFill patternType="solid">
        <fgColor rgb="FFF4F6F7"/>
      </patternFill>
    </fill>
    <fill>
      <patternFill patternType="solid">
        <fgColor rgb="FFF3F6F5"/>
      </patternFill>
    </fill>
    <fill>
      <patternFill patternType="solid">
        <fgColor rgb="FFDCEEDD"/>
      </patternFill>
    </fill>
    <fill>
      <patternFill patternType="solid">
        <fgColor rgb="FF163842"/>
      </patternFill>
    </fill>
    <fill>
      <patternFill patternType="solid">
        <fgColor rgb="FF25737B"/>
      </patternFill>
    </fill>
    <fill>
      <patternFill patternType="solid">
        <fgColor rgb="FFE7E0F5"/>
      </patternFill>
    </fill>
  </fills>
  <borders count="26">
    <border>
      <left/>
      <right/>
      <top/>
      <bottom/>
      <diagonal/>
    </border>
    <border>
      <left style="thin">
        <color rgb="FFC4D2CE"/>
      </left>
      <right style="thin">
        <color rgb="FFC4D2CE"/>
      </right>
      <top style="thin">
        <color rgb="FFC4D2CE"/>
      </top>
      <bottom style="thin">
        <color rgb="FFC4D2CE"/>
      </bottom>
      <diagonal/>
    </border>
    <border>
      <left style="thin">
        <color rgb="FFC3D2D0"/>
      </left>
      <right style="thin">
        <color rgb="FFC3D2D0"/>
      </right>
      <top style="thin">
        <color rgb="FFC3D2D0"/>
      </top>
      <bottom style="thin">
        <color rgb="FFC3D2D0"/>
      </bottom>
      <diagonal/>
    </border>
    <border>
      <left/>
      <right/>
      <top/>
      <bottom/>
      <diagonal/>
    </border>
    <border>
      <left/>
      <right/>
      <top/>
      <bottom style="hair">
        <color rgb="FFD9E1E3"/>
      </bottom>
      <diagonal/>
    </border>
    <border>
      <left style="thin">
        <color rgb="FFC4D2CE"/>
      </left>
      <right/>
      <top/>
      <bottom/>
      <diagonal/>
    </border>
    <border>
      <left style="thin">
        <color rgb="FFC4D2CE"/>
      </left>
      <right/>
      <top style="thin">
        <color rgb="FFC4D2CE"/>
      </top>
      <bottom style="thin">
        <color rgb="FFC4D2CE"/>
      </bottom>
      <diagonal/>
    </border>
    <border>
      <left/>
      <right style="thin">
        <color rgb="FFC4D2CE"/>
      </right>
      <top style="thin">
        <color rgb="FFC4D2CE"/>
      </top>
      <bottom style="thin">
        <color rgb="FFC4D2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4D2CE"/>
      </top>
      <bottom style="thin">
        <color rgb="FFC4D2CE"/>
      </bottom>
      <diagonal/>
    </border>
    <border>
      <left/>
      <right/>
      <top/>
      <bottom style="thin">
        <color rgb="FFC4D2CE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C4D2CE"/>
      </left>
      <right style="thin">
        <color rgb="FFC4D2CE"/>
      </right>
      <top/>
      <bottom style="thin">
        <color rgb="FFC4D2CE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6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" fontId="8" fillId="10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12" fillId="7" borderId="2" xfId="0" applyFont="1" applyFill="1" applyBorder="1"/>
    <xf numFmtId="0" fontId="13" fillId="11" borderId="2" xfId="0" applyFont="1" applyFill="1" applyBorder="1"/>
    <xf numFmtId="0" fontId="0" fillId="7" borderId="2" xfId="0" applyFill="1" applyBorder="1"/>
    <xf numFmtId="0" fontId="14" fillId="11" borderId="2" xfId="0" applyFont="1" applyFill="1" applyBorder="1"/>
    <xf numFmtId="0" fontId="15" fillId="5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9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0" fillId="2" borderId="0" xfId="0" applyFill="1" applyAlignment="1"/>
    <xf numFmtId="0" fontId="2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8" fillId="1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9" fontId="8" fillId="10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8" fontId="22" fillId="0" borderId="1" xfId="0" applyNumberFormat="1" applyFont="1" applyBorder="1" applyAlignment="1">
      <alignment horizontal="center" vertical="center"/>
    </xf>
    <xf numFmtId="0" fontId="23" fillId="15" borderId="0" xfId="0" applyNumberFormat="1" applyFont="1" applyFill="1" applyBorder="1"/>
    <xf numFmtId="0" fontId="24" fillId="15" borderId="0" xfId="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vertical="top" wrapText="1"/>
    </xf>
    <xf numFmtId="0" fontId="25" fillId="0" borderId="4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7" fillId="9" borderId="0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vertical="top" wrapText="1"/>
    </xf>
    <xf numFmtId="0" fontId="2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0" fillId="14" borderId="0" xfId="0" applyNumberFormat="1" applyFont="1" applyFill="1" applyBorder="1" applyAlignment="1">
      <alignment vertical="center"/>
    </xf>
    <xf numFmtId="0" fontId="23" fillId="15" borderId="0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0" fillId="0" borderId="3" xfId="0" applyBorder="1"/>
    <xf numFmtId="0" fontId="10" fillId="3" borderId="0" xfId="0" applyFont="1" applyFill="1"/>
    <xf numFmtId="0" fontId="27" fillId="3" borderId="0" xfId="0" applyFont="1" applyFill="1" applyAlignment="1">
      <alignment vertical="center"/>
    </xf>
    <xf numFmtId="0" fontId="6" fillId="5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8" fillId="10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14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2" fontId="8" fillId="10" borderId="8" xfId="0" applyNumberFormat="1" applyFont="1" applyFill="1" applyBorder="1" applyAlignment="1">
      <alignment horizontal="center" vertical="center"/>
    </xf>
    <xf numFmtId="164" fontId="8" fillId="10" borderId="8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5" fillId="5" borderId="3" xfId="0" applyFont="1" applyFill="1" applyBorder="1" applyAlignment="1">
      <alignment horizontal="left" vertical="center" indent="1"/>
    </xf>
    <xf numFmtId="0" fontId="15" fillId="5" borderId="10" xfId="0" applyFont="1" applyFill="1" applyBorder="1" applyAlignment="1">
      <alignment horizontal="left" vertical="center" indent="1"/>
    </xf>
    <xf numFmtId="0" fontId="30" fillId="16" borderId="11" xfId="0" applyFont="1" applyFill="1" applyBorder="1" applyAlignment="1">
      <alignment horizontal="center" vertical="center" wrapText="1"/>
    </xf>
    <xf numFmtId="0" fontId="30" fillId="16" borderId="12" xfId="0" applyFont="1" applyFill="1" applyBorder="1" applyAlignment="1">
      <alignment horizontal="center" vertical="center" wrapText="1"/>
    </xf>
    <xf numFmtId="0" fontId="30" fillId="16" borderId="13" xfId="0" applyFont="1" applyFill="1" applyBorder="1" applyAlignment="1">
      <alignment horizontal="center" vertical="center" wrapText="1"/>
    </xf>
    <xf numFmtId="0" fontId="30" fillId="16" borderId="14" xfId="0" applyFont="1" applyFill="1" applyBorder="1" applyAlignment="1">
      <alignment horizontal="center" vertical="center" wrapText="1"/>
    </xf>
    <xf numFmtId="0" fontId="30" fillId="16" borderId="15" xfId="0" applyFont="1" applyFill="1" applyBorder="1" applyAlignment="1">
      <alignment horizontal="center" vertical="center" wrapText="1"/>
    </xf>
    <xf numFmtId="0" fontId="30" fillId="16" borderId="16" xfId="0" applyFont="1" applyFill="1" applyBorder="1" applyAlignment="1">
      <alignment horizontal="center" vertical="center" wrapText="1"/>
    </xf>
    <xf numFmtId="0" fontId="31" fillId="16" borderId="8" xfId="0" applyFont="1" applyFill="1" applyBorder="1" applyAlignment="1">
      <alignment horizontal="left" vertical="center" wrapText="1"/>
    </xf>
    <xf numFmtId="0" fontId="31" fillId="16" borderId="8" xfId="0" applyFont="1" applyFill="1" applyBorder="1" applyAlignment="1">
      <alignment horizontal="left" vertical="center" wrapText="1"/>
    </xf>
    <xf numFmtId="0" fontId="28" fillId="3" borderId="17" xfId="1" applyFont="1" applyFill="1" applyBorder="1" applyAlignment="1">
      <alignment horizontal="center" vertical="center" wrapText="1"/>
    </xf>
    <xf numFmtId="0" fontId="28" fillId="3" borderId="18" xfId="1" applyFont="1" applyFill="1" applyBorder="1" applyAlignment="1">
      <alignment horizontal="center" vertical="center" wrapText="1"/>
    </xf>
    <xf numFmtId="0" fontId="28" fillId="3" borderId="19" xfId="1" applyFont="1" applyFill="1" applyBorder="1" applyAlignment="1">
      <alignment horizontal="center" vertical="center" wrapText="1"/>
    </xf>
    <xf numFmtId="0" fontId="28" fillId="3" borderId="20" xfId="1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/>
    </xf>
    <xf numFmtId="0" fontId="29" fillId="4" borderId="23" xfId="0" applyFont="1" applyFill="1" applyBorder="1" applyAlignment="1">
      <alignment horizontal="left" vertical="center"/>
    </xf>
    <xf numFmtId="0" fontId="0" fillId="0" borderId="15" xfId="0" applyBorder="1" applyAlignment="1"/>
    <xf numFmtId="0" fontId="0" fillId="0" borderId="3" xfId="0" applyBorder="1" applyAlignment="1"/>
    <xf numFmtId="0" fontId="3" fillId="3" borderId="22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32" fillId="2" borderId="0" xfId="0" applyFont="1" applyFill="1" applyAlignment="1">
      <alignment horizontal="left" vertical="center" indent="2"/>
    </xf>
    <xf numFmtId="0" fontId="33" fillId="0" borderId="0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9" fillId="4" borderId="17" xfId="0" applyFont="1" applyFill="1" applyBorder="1" applyAlignment="1"/>
    <xf numFmtId="0" fontId="29" fillId="4" borderId="24" xfId="0" applyFont="1" applyFill="1" applyBorder="1" applyAlignment="1"/>
    <xf numFmtId="0" fontId="29" fillId="4" borderId="18" xfId="0" applyFont="1" applyFill="1" applyBorder="1" applyAlignment="1"/>
    <xf numFmtId="0" fontId="10" fillId="3" borderId="0" xfId="0" applyFont="1" applyFill="1" applyAlignment="1">
      <alignment horizontal="left" vertical="center"/>
    </xf>
    <xf numFmtId="0" fontId="29" fillId="4" borderId="22" xfId="0" applyFont="1" applyFill="1" applyBorder="1" applyAlignment="1">
      <alignment horizontal="left" vertical="center"/>
    </xf>
    <xf numFmtId="0" fontId="19" fillId="8" borderId="2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3" fillId="15" borderId="22" xfId="0" applyNumberFormat="1" applyFont="1" applyFill="1" applyBorder="1"/>
    <xf numFmtId="0" fontId="16" fillId="0" borderId="6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6">
    <dxf>
      <font>
        <b/>
        <color rgb="FF9C4A17"/>
      </font>
      <fill>
        <patternFill patternType="solid">
          <bgColor rgb="FFFCE4D6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ill>
        <patternFill>
          <bgColor rgb="FFF6D4D0"/>
        </patternFill>
      </fill>
    </dxf>
    <dxf>
      <fill>
        <patternFill>
          <bgColor rgb="FFF6D4D0"/>
        </patternFill>
      </fill>
    </dxf>
    <dxf>
      <fill>
        <patternFill>
          <bgColor rgb="FFF6D4D0"/>
        </patternFill>
      </fill>
    </dxf>
    <dxf>
      <fill>
        <patternFill>
          <bgColor rgb="FFDCEE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4F6F7"/>
      <rgbColor rgb="FFFF00FF"/>
      <rgbColor rgb="FF00FFFF"/>
      <rgbColor rgb="FF800000"/>
      <rgbColor rgb="FF008000"/>
      <rgbColor rgb="FF000080"/>
      <rgbColor rgb="FF808000"/>
      <rgbColor rgb="FF800080"/>
      <rgbColor rgb="FF1C6B72"/>
      <rgbColor rgb="FFB3B3B3"/>
      <rgbColor rgb="FF4F81BD"/>
      <rgbColor rgb="FFE7E2F2"/>
      <rgbColor rgb="FF993366"/>
      <rgbColor rgb="FFFFF6D8"/>
      <rgbColor rgb="FFD8E7E2"/>
      <rgbColor rgb="FF660066"/>
      <rgbColor rgb="FFFF8080"/>
      <rgbColor rgb="FF0066CC"/>
      <rgbColor rgb="FFC3D2D0"/>
      <rgbColor rgb="FF000080"/>
      <rgbColor rgb="FFFF00FF"/>
      <rgbColor rgb="FFFFFF00"/>
      <rgbColor rgb="FF00FFFF"/>
      <rgbColor rgb="FF800080"/>
      <rgbColor rgb="FF800000"/>
      <rgbColor rgb="FF24726B"/>
      <rgbColor rgb="FF0000FF"/>
      <rgbColor rgb="FF00CCFF"/>
      <rgbColor rgb="FFF3F6F5"/>
      <rgbColor rgb="FFDCEEDD"/>
      <rgbColor rgb="FFFCEFCE"/>
      <rgbColor rgb="FFC4D2CE"/>
      <rgbColor rgb="FFF7E2D2"/>
      <rgbColor rgb="FFD9D9D9"/>
      <rgbColor rgb="FFF6D4D0"/>
      <rgbColor rgb="FF3366FF"/>
      <rgbColor rgb="FF33CCCC"/>
      <rgbColor rgb="FF99CC00"/>
      <rgbColor rgb="FFFFCC00"/>
      <rgbColor rgb="FFFF9900"/>
      <rgbColor rgb="FFFF6600"/>
      <rgbColor rgb="FF586A6C"/>
      <rgbColor rgb="FF969696"/>
      <rgbColor rgb="FF17324D"/>
      <rgbColor rgb="FF339966"/>
      <rgbColor rgb="FF003300"/>
      <rgbColor rgb="FF1A1A1A"/>
      <rgbColor rgb="FFB4560A"/>
      <rgbColor rgb="FF993366"/>
      <rgbColor rgb="FF595959"/>
      <rgbColor rgb="FF1530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Perfil de puntajes z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RESULTADOS!$B$44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cat>
            <c:strRef>
              <c:f>RESULTADOS!$A$45:$A$48</c:f>
              <c:strCache>
                <c:ptCount val="4"/>
                <c:pt idx="0">
                  <c:v>P/E</c:v>
                </c:pt>
                <c:pt idx="1">
                  <c:v>P/T</c:v>
                </c:pt>
                <c:pt idx="2">
                  <c:v>IMC/E</c:v>
                </c:pt>
                <c:pt idx="3">
                  <c:v>T/E</c:v>
                </c:pt>
              </c:strCache>
            </c:strRef>
          </c:cat>
          <c:val>
            <c:numRef>
              <c:f>RESULTADOS!$B$45:$B$48</c:f>
              <c:numCache>
                <c:formatCode>0.00</c:formatCode>
                <c:ptCount val="4"/>
                <c:pt idx="0">
                  <c:v>0</c:v>
                </c:pt>
                <c:pt idx="1">
                  <c:v>0.19643741528915332</c:v>
                </c:pt>
                <c:pt idx="2">
                  <c:v>0</c:v>
                </c:pt>
                <c:pt idx="3">
                  <c:v>-7.1428571428570703E-2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82D-9E73-7616B4FD3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4"/>
          <c:min val="-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Evolución del peso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SEGUIMIENTO!$F$6</c:f>
              <c:strCache>
                <c:ptCount val="1"/>
                <c:pt idx="0">
                  <c:v>Peso_kg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circle"/>
            <c:size val="5"/>
          </c:marker>
          <c:cat>
            <c:strRef>
              <c:f>SEGUIMIENTO!$C$7:$C$45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SEGUIMIENTO!$F$7:$F$45</c:f>
              <c:numCache>
                <c:formatCode>General</c:formatCode>
                <c:ptCount val="39"/>
                <c:pt idx="0">
                  <c:v>16.5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AE-46FD-A724-05C6BE504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Evolución de talla/longitud (cm)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SEGUIMIENTO!$G$6</c:f>
              <c:strCache>
                <c:ptCount val="1"/>
                <c:pt idx="0">
                  <c:v>TallaLong_cm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circle"/>
            <c:size val="5"/>
          </c:marker>
          <c:cat>
            <c:strRef>
              <c:f>SEGUIMIENTO!$C$7:$C$45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SEGUIMIENTO!$G$7:$G$45</c:f>
              <c:numCache>
                <c:formatCode>General</c:formatCode>
                <c:ptCount val="39"/>
                <c:pt idx="0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98-4E7E-B0B3-EA08FB49A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 sz="20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lt"/>
                <a:cs typeface="+mj-lt"/>
              </a:rPr>
              <a:t>Evolución del IMC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SEGUIMIENTO!$H$6</c:f>
              <c:strCache>
                <c:ptCount val="1"/>
                <c:pt idx="0">
                  <c:v>IMC</c:v>
                </c:pt>
              </c:strCache>
            </c:strRef>
          </c:tx>
          <c:spPr>
            <a:ln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SEGUIMIENTO!$C$7:$C$45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SEGUIMIENTO!$H$7:$H$45</c:f>
              <c:numCache>
                <c:formatCode>General</c:formatCode>
                <c:ptCount val="39"/>
                <c:pt idx="0">
                  <c:v>15.552832500706948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31-4CB8-9F01-EE7D70602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minorGridlines>
          <c:spPr>
            <a:ln w="9525" cmpd="sng">
              <a:solidFill>
                <a:schemeClr val="tx1">
                  <a:lumMod val="5000"/>
                  <a:lumOff val="95000"/>
                </a:scheme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CL"/>
              <a:t>Evolución del z primario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SEGUIMIENTO!$K$6</c:f>
              <c:strCache>
                <c:ptCount val="1"/>
                <c:pt idx="0">
                  <c:v>z_primario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SEGUIMIENTO!$C$7:$C$45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SEGUIMIENTO!$K$7:$K$45</c:f>
              <c:numCache>
                <c:formatCode>General</c:formatCode>
                <c:ptCount val="39"/>
                <c:pt idx="0">
                  <c:v>0.19600000000000001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C6-4CF4-BDA4-C109DD14A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501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40</xdr:row>
      <xdr:rowOff>152400</xdr:rowOff>
    </xdr:from>
    <xdr:to>
      <xdr:col>13</xdr:col>
      <xdr:colOff>247440</xdr:colOff>
      <xdr:row>53</xdr:row>
      <xdr:rowOff>3660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130680</xdr:rowOff>
    </xdr:from>
    <xdr:to>
      <xdr:col>4</xdr:col>
      <xdr:colOff>448235</xdr:colOff>
      <xdr:row>17</xdr:row>
      <xdr:rowOff>173880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20</xdr:row>
      <xdr:rowOff>131040</xdr:rowOff>
    </xdr:from>
    <xdr:to>
      <xdr:col>4</xdr:col>
      <xdr:colOff>392206</xdr:colOff>
      <xdr:row>33</xdr:row>
      <xdr:rowOff>173880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526676</xdr:colOff>
      <xdr:row>4</xdr:row>
      <xdr:rowOff>153092</xdr:rowOff>
    </xdr:from>
    <xdr:to>
      <xdr:col>9</xdr:col>
      <xdr:colOff>930088</xdr:colOff>
      <xdr:row>18</xdr:row>
      <xdr:rowOff>5792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515472</xdr:colOff>
      <xdr:row>20</xdr:row>
      <xdr:rowOff>52598</xdr:rowOff>
    </xdr:from>
    <xdr:to>
      <xdr:col>9</xdr:col>
      <xdr:colOff>941295</xdr:colOff>
      <xdr:row>33</xdr:row>
      <xdr:rowOff>95438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EGUIMIENTO" displayName="T_SEGUIMIENTO" ref="A6:S45">
  <autoFilter ref="A6:S45" xr:uid="{00000000-0009-0000-0100-000001000000}"/>
  <tableColumns count="19">
    <tableColumn id="1" xr3:uid="{00000000-0010-0000-0000-000001000000}" name="EvalID"/>
    <tableColumn id="2" xr3:uid="{00000000-0010-0000-0000-000002000000}" name="PacID"/>
    <tableColumn id="3" xr3:uid="{00000000-0010-0000-0000-000003000000}" name="Fecha"/>
    <tableColumn id="4" xr3:uid="{00000000-0010-0000-0000-000004000000}" name="EdadReal_m"/>
    <tableColumn id="5" xr3:uid="{00000000-0010-0000-0000-000005000000}" name="EdadCorr_m"/>
    <tableColumn id="6" xr3:uid="{00000000-0010-0000-0000-000006000000}" name="Peso_kg"/>
    <tableColumn id="7" xr3:uid="{00000000-0010-0000-0000-000007000000}" name="TallaLong_cm"/>
    <tableColumn id="8" xr3:uid="{00000000-0010-0000-0000-000008000000}" name="IMC"/>
    <tableColumn id="9" xr3:uid="{00000000-0010-0000-0000-000009000000}" name="PCe_cm"/>
    <tableColumn id="10" xr3:uid="{00000000-0010-0000-0000-00000A000000}" name="Cintura_cm"/>
    <tableColumn id="11" xr3:uid="{00000000-0010-0000-0000-00000B000000}" name="z_primario"/>
    <tableColumn id="12" xr3:uid="{00000000-0010-0000-0000-00000C000000}" name="z_PT"/>
    <tableColumn id="13" xr3:uid="{00000000-0010-0000-0000-00000D000000}" name="z_IMC"/>
    <tableColumn id="14" xr3:uid="{00000000-0010-0000-0000-00000E000000}" name="z_PE"/>
    <tableColumn id="15" xr3:uid="{00000000-0010-0000-0000-00000F000000}" name="z_TE"/>
    <tableColumn id="16" xr3:uid="{00000000-0010-0000-0000-000010000000}" name="z_PCe"/>
    <tableColumn id="17" xr3:uid="{00000000-0010-0000-0000-000011000000}" name="Clasificacion"/>
    <tableColumn id="18" xr3:uid="{00000000-0010-0000-0000-000012000000}" name="Evaluador"/>
    <tableColumn id="19" xr3:uid="{00000000-0010-0000-0000-000013000000}" name="Observacion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QARobustezNMX14" displayName="TablaQARobustezNMX14" ref="A15:N30">
  <tableColumns count="14">
    <tableColumn id="1" xr3:uid="{00000000-0010-0000-0100-000001000000}" name="Test_ID"/>
    <tableColumn id="2" xr3:uid="{00000000-0010-0000-0100-000002000000}" name="Escenario"/>
    <tableColumn id="3" xr3:uid="{00000000-0010-0000-0100-000003000000}" name="Entrada modificada"/>
    <tableColumn id="4" xr3:uid="{00000000-0010-0000-0100-000004000000}" name="Esperado independiente"/>
    <tableColumn id="5" xr3:uid="{00000000-0010-0000-0100-000005000000}" name="Gate"/>
    <tableColumn id="6" xr3:uid="{00000000-0010-0000-0100-000006000000}" name="IMC"/>
    <tableColumn id="7" xr3:uid="{00000000-0010-0000-0100-000007000000}" name="z integrado"/>
    <tableColumn id="8" xr3:uid="{00000000-0010-0000-0100-000008000000}" name="Percentil"/>
    <tableColumn id="9" xr3:uid="{00000000-0010-0000-0100-000009000000}" name="Estado cálculo"/>
    <tableColumn id="10" xr3:uid="{00000000-0010-0000-0100-00000A000000}" name="Clasificación / PCe"/>
    <tableColumn id="11" xr3:uid="{00000000-0010-0000-0100-00000B000000}" name="Estado estructural"/>
    <tableColumn id="12" xr3:uid="{00000000-0010-0000-0100-00000C000000}" name="Estado Excel COM"/>
    <tableColumn id="13" xr3:uid="{00000000-0010-0000-0100-00000D000000}" name="Fuente / evidencia"/>
    <tableColumn id="14" xr3:uid="{00000000-0010-0000-0100-00000E000000}" name="Revis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303A"/>
  </sheetPr>
  <dimension ref="A1:K34"/>
  <sheetViews>
    <sheetView showGridLines="0" workbookViewId="0">
      <selection activeCell="A19" sqref="A19"/>
    </sheetView>
  </sheetViews>
  <sheetFormatPr baseColWidth="10" defaultColWidth="8.7109375" defaultRowHeight="15"/>
  <cols>
    <col min="1" max="1" width="32" style="1" customWidth="1"/>
    <col min="2" max="2" width="41.28515625" style="1" customWidth="1"/>
    <col min="3" max="11" width="19" customWidth="1"/>
  </cols>
  <sheetData>
    <row r="1" spans="1:11" ht="27.7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26.25" customHeight="1">
      <c r="A2" s="125" t="s">
        <v>1757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9.5" customHeight="1">
      <c r="A3" s="128" t="str">
        <f>HYPERLINK("#INICIO!A1","● INICIO")</f>
        <v>●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1" ht="15" customHeight="1">
      <c r="A4" s="126"/>
      <c r="B4" s="127"/>
      <c r="C4" s="92"/>
      <c r="D4" s="92"/>
      <c r="E4" s="92"/>
      <c r="F4" s="92"/>
      <c r="G4" s="92"/>
      <c r="H4" s="92"/>
      <c r="I4" s="92"/>
      <c r="J4" s="92"/>
      <c r="K4" s="92"/>
    </row>
    <row r="5" spans="1:11" ht="15" customHeight="1">
      <c r="A5" s="118" t="s">
        <v>1</v>
      </c>
      <c r="B5" s="119" t="s">
        <v>2</v>
      </c>
      <c r="C5" s="119"/>
      <c r="D5" s="119"/>
      <c r="E5" s="119"/>
    </row>
    <row r="6" spans="1:11" ht="15" customHeight="1">
      <c r="A6" s="118" t="s">
        <v>3</v>
      </c>
      <c r="B6" s="119" t="s">
        <v>1758</v>
      </c>
      <c r="C6" s="119"/>
      <c r="D6" s="119"/>
      <c r="E6" s="119"/>
    </row>
    <row r="7" spans="1:11" ht="15" customHeight="1">
      <c r="A7" s="118" t="s">
        <v>4</v>
      </c>
      <c r="B7" s="119" t="s">
        <v>1759</v>
      </c>
      <c r="C7" s="119"/>
      <c r="D7" s="119"/>
      <c r="E7" s="119"/>
    </row>
    <row r="8" spans="1:11" ht="15" customHeight="1">
      <c r="A8" s="118" t="s">
        <v>5</v>
      </c>
      <c r="B8" s="119" t="s">
        <v>6</v>
      </c>
      <c r="C8" s="119"/>
      <c r="D8" s="119"/>
      <c r="E8" s="119"/>
    </row>
    <row r="9" spans="1:11" ht="15" customHeight="1">
      <c r="A9" s="118" t="s">
        <v>7</v>
      </c>
      <c r="B9" s="119" t="s">
        <v>8</v>
      </c>
      <c r="C9" s="119"/>
      <c r="D9" s="119"/>
      <c r="E9" s="119"/>
    </row>
    <row r="10" spans="1:11" ht="15" customHeight="1">
      <c r="A10" s="118" t="s">
        <v>9</v>
      </c>
      <c r="B10" s="119" t="s">
        <v>10</v>
      </c>
      <c r="C10" s="119"/>
      <c r="D10" s="119"/>
      <c r="E10" s="119"/>
    </row>
    <row r="11" spans="1:11">
      <c r="A11" s="118" t="s">
        <v>11</v>
      </c>
      <c r="B11" s="119" t="s">
        <v>12</v>
      </c>
      <c r="C11" s="119"/>
      <c r="D11" s="119"/>
      <c r="E11" s="119"/>
    </row>
    <row r="12" spans="1:11" ht="27" customHeight="1">
      <c r="A12" s="110" t="s">
        <v>13</v>
      </c>
      <c r="B12" s="110"/>
      <c r="C12" s="110"/>
      <c r="D12" s="110"/>
      <c r="E12" s="110"/>
    </row>
    <row r="13" spans="1:11" ht="63.75" customHeight="1">
      <c r="A13" s="112" t="s">
        <v>1900</v>
      </c>
      <c r="B13" s="113"/>
      <c r="C13" s="113"/>
      <c r="D13" s="113"/>
      <c r="E13" s="114"/>
    </row>
    <row r="14" spans="1:11">
      <c r="A14" s="115"/>
      <c r="B14" s="116"/>
      <c r="C14" s="116"/>
      <c r="D14" s="116"/>
      <c r="E14" s="117"/>
    </row>
    <row r="15" spans="1:11" ht="26.25" customHeight="1">
      <c r="A15" s="111" t="s">
        <v>14</v>
      </c>
      <c r="B15" s="111"/>
      <c r="C15" s="111"/>
      <c r="D15" s="111"/>
      <c r="E15" s="111"/>
    </row>
    <row r="16" spans="1:11" ht="25.5" customHeight="1">
      <c r="A16" s="8" t="s">
        <v>15</v>
      </c>
      <c r="B16" s="104" t="s">
        <v>16</v>
      </c>
      <c r="C16" s="105"/>
      <c r="D16" s="105"/>
      <c r="E16" s="106"/>
    </row>
    <row r="17" spans="1:5" ht="25.5" customHeight="1">
      <c r="A17" s="8" t="s">
        <v>15</v>
      </c>
      <c r="B17" s="104" t="s">
        <v>17</v>
      </c>
      <c r="C17" s="105"/>
      <c r="D17" s="105"/>
      <c r="E17" s="106"/>
    </row>
    <row r="18" spans="1:5" ht="25.5" customHeight="1">
      <c r="A18" s="8" t="s">
        <v>15</v>
      </c>
      <c r="B18" s="104" t="s">
        <v>18</v>
      </c>
      <c r="C18" s="105"/>
      <c r="D18" s="105"/>
      <c r="E18" s="106"/>
    </row>
    <row r="19" spans="1:5" ht="25.5" customHeight="1">
      <c r="A19" s="8" t="s">
        <v>15</v>
      </c>
      <c r="B19" s="104" t="s">
        <v>19</v>
      </c>
      <c r="C19" s="105"/>
      <c r="D19" s="105"/>
      <c r="E19" s="106"/>
    </row>
    <row r="20" spans="1:5" ht="25.5" customHeight="1">
      <c r="A20" s="8" t="s">
        <v>15</v>
      </c>
      <c r="B20" s="104" t="s">
        <v>20</v>
      </c>
      <c r="C20" s="105"/>
      <c r="D20" s="105"/>
      <c r="E20" s="106"/>
    </row>
    <row r="21" spans="1:5" ht="25.5" customHeight="1">
      <c r="A21" s="8" t="s">
        <v>15</v>
      </c>
      <c r="B21" s="104" t="s">
        <v>21</v>
      </c>
      <c r="C21" s="105"/>
      <c r="D21" s="105"/>
      <c r="E21" s="106"/>
    </row>
    <row r="23" spans="1:5" ht="15" customHeight="1">
      <c r="A23" s="124" t="s">
        <v>22</v>
      </c>
      <c r="B23" s="124"/>
    </row>
    <row r="24" spans="1:5" ht="15" customHeight="1">
      <c r="A24" s="120" t="str">
        <f>HYPERLINK("#DATOS!A1","▶  DATOS")</f>
        <v>▶  DATOS</v>
      </c>
      <c r="B24" s="121"/>
    </row>
    <row r="25" spans="1:5" ht="15" customHeight="1">
      <c r="A25" s="120" t="str">
        <f>HYPERLINK("#SEGUIMIENTO!A1","▶  SEGUIMIENTO")</f>
        <v>▶  SEGUIMIENTO</v>
      </c>
      <c r="B25" s="121"/>
    </row>
    <row r="26" spans="1:5" ht="15" customHeight="1">
      <c r="A26" s="120" t="str">
        <f>HYPERLINK("#CALCULOS!A1","▶  CALCULOS")</f>
        <v>▶  CALCULOS</v>
      </c>
      <c r="B26" s="121"/>
    </row>
    <row r="27" spans="1:5" ht="15" customHeight="1">
      <c r="A27" s="120" t="str">
        <f>HYPERLINK("#RESULTADOS!A1","▶  RESULTADOS")</f>
        <v>▶  RESULTADOS</v>
      </c>
      <c r="B27" s="121"/>
    </row>
    <row r="28" spans="1:5" ht="15" customHeight="1">
      <c r="A28" s="120" t="str">
        <f>HYPERLINK("#CURVAS!A1","▶  CURVAS")</f>
        <v>▶  CURVAS</v>
      </c>
      <c r="B28" s="121"/>
    </row>
    <row r="29" spans="1:5" ht="15" customHeight="1">
      <c r="A29" s="120" t="str">
        <f>HYPERLINK("#FUENTES!A1","▶  FUENTES")</f>
        <v>▶  FUENTES</v>
      </c>
      <c r="B29" s="121"/>
    </row>
    <row r="30" spans="1:5" ht="15" customHeight="1">
      <c r="A30" s="120" t="str">
        <f>HYPERLINK("#PRUEBAS!A1","▶  PRUEBAS")</f>
        <v>▶  PRUEBAS</v>
      </c>
      <c r="B30" s="121"/>
    </row>
    <row r="31" spans="1:5" ht="15" customHeight="1">
      <c r="A31" s="120" t="str">
        <f>HYPERLINK("#CONFIG!A1","▶  CONFIG")</f>
        <v>▶  CONFIG</v>
      </c>
      <c r="B31" s="121"/>
    </row>
    <row r="32" spans="1:5">
      <c r="A32" s="120" t="str">
        <f>HYPERLINK("#TABLAS!A1","▶  TABLAS")</f>
        <v>▶  TABLAS</v>
      </c>
      <c r="B32" s="121"/>
    </row>
    <row r="33" spans="1:2">
      <c r="A33" s="120" t="str">
        <f>HYPERLINK("#CHANGELOG!A1","▶  CHANGELOG")</f>
        <v>▶  CHANGELOG</v>
      </c>
      <c r="B33" s="121"/>
    </row>
    <row r="34" spans="1:2">
      <c r="A34" s="122" t="str">
        <f>HYPERLINK("#QA_REAL!A1","▶  QA_REAL · ROBUSTEZ")</f>
        <v>▶  QA_REAL · ROBUSTEZ</v>
      </c>
      <c r="B34" s="123"/>
    </row>
  </sheetData>
  <sheetProtection algorithmName="SHA-512" hashValue="vb+Lj+4MsdmpO/ehHwK6VFrf0ETbiqvIUWDsKsE2Bm0jHtmL4iS2xgYdB/I4e8dclITE7RLp2Hu2hYDznSokKA==" saltValue="dBmV9FQ2lThjei9zJZByrA==" spinCount="100000" sheet="1" objects="1" scenarios="1"/>
  <mergeCells count="30">
    <mergeCell ref="A23:B23"/>
    <mergeCell ref="A34:B34"/>
    <mergeCell ref="A2:K2"/>
    <mergeCell ref="A13:E14"/>
    <mergeCell ref="B5:E5"/>
    <mergeCell ref="B6:E6"/>
    <mergeCell ref="B7:E7"/>
    <mergeCell ref="B8:E8"/>
    <mergeCell ref="B9:E9"/>
    <mergeCell ref="B10:E10"/>
    <mergeCell ref="B11:E11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B19:E19"/>
    <mergeCell ref="B20:E20"/>
    <mergeCell ref="B21:E21"/>
    <mergeCell ref="A15:E15"/>
    <mergeCell ref="A12:E12"/>
    <mergeCell ref="A1:K1"/>
    <mergeCell ref="B16:E16"/>
    <mergeCell ref="B17:E17"/>
    <mergeCell ref="B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726B"/>
  </sheetPr>
  <dimension ref="A1:K21"/>
  <sheetViews>
    <sheetView showGridLines="0" workbookViewId="0">
      <selection activeCell="E16" sqref="E16"/>
    </sheetView>
  </sheetViews>
  <sheetFormatPr baseColWidth="10" defaultColWidth="8.7109375" defaultRowHeight="15"/>
  <cols>
    <col min="1" max="1" width="40" style="1" customWidth="1"/>
    <col min="2" max="2" width="26" style="1" customWidth="1"/>
    <col min="3" max="3" width="23.85546875" style="1" customWidth="1"/>
    <col min="4" max="4" width="26" style="1" customWidth="1"/>
    <col min="5" max="5" width="48" style="1" customWidth="1"/>
    <col min="6" max="11" width="15.28515625" customWidth="1"/>
  </cols>
  <sheetData>
    <row r="1" spans="1:11" ht="27.75" customHeight="1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4.75" customHeight="1">
      <c r="A2" s="125" t="s">
        <v>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9.5" customHeight="1">
      <c r="A3" s="129" t="str">
        <f>HYPERLINK("#INICIO!A1","▶ INICIO")</f>
        <v>▶ INICIO</v>
      </c>
      <c r="B3" s="128" t="str">
        <f>HYPERLINK("#DATOS!A1","● DATOS")</f>
        <v>●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1" ht="21.75" customHeight="1">
      <c r="A4" s="76" t="s">
        <v>24</v>
      </c>
      <c r="B4" s="76"/>
      <c r="C4" s="76"/>
      <c r="D4" s="76"/>
      <c r="E4" s="76"/>
    </row>
    <row r="5" spans="1:11" ht="15" customHeight="1">
      <c r="A5" s="9"/>
      <c r="B5" s="9"/>
      <c r="C5" s="9"/>
      <c r="D5" s="9"/>
      <c r="E5" s="9"/>
    </row>
    <row r="6" spans="1:11" ht="15" customHeight="1">
      <c r="A6" s="95" t="s">
        <v>25</v>
      </c>
      <c r="B6" s="95" t="s">
        <v>26</v>
      </c>
      <c r="C6" s="95" t="s">
        <v>27</v>
      </c>
      <c r="D6" s="95" t="s">
        <v>28</v>
      </c>
      <c r="E6" s="95" t="s">
        <v>29</v>
      </c>
    </row>
    <row r="7" spans="1:11" ht="15" customHeight="1">
      <c r="A7" s="96" t="s">
        <v>30</v>
      </c>
      <c r="B7" s="97" t="s">
        <v>31</v>
      </c>
      <c r="C7" s="98" t="s">
        <v>32</v>
      </c>
      <c r="D7" s="99" t="s">
        <v>33</v>
      </c>
      <c r="E7" s="99" t="s">
        <v>34</v>
      </c>
    </row>
    <row r="8" spans="1:11" ht="15" customHeight="1">
      <c r="A8" s="96" t="s">
        <v>35</v>
      </c>
      <c r="B8" s="97" t="s">
        <v>36</v>
      </c>
      <c r="C8" s="98" t="s">
        <v>32</v>
      </c>
      <c r="D8" s="99" t="s">
        <v>33</v>
      </c>
      <c r="E8" s="99" t="s">
        <v>37</v>
      </c>
    </row>
    <row r="9" spans="1:11" ht="15" customHeight="1">
      <c r="A9" s="96" t="s">
        <v>38</v>
      </c>
      <c r="B9" s="97" t="s">
        <v>474</v>
      </c>
      <c r="C9" s="98" t="s">
        <v>32</v>
      </c>
      <c r="D9" s="99" t="s">
        <v>39</v>
      </c>
      <c r="E9" s="99" t="s">
        <v>40</v>
      </c>
    </row>
    <row r="10" spans="1:11" ht="15" customHeight="1">
      <c r="A10" s="96" t="s">
        <v>41</v>
      </c>
      <c r="B10" s="100">
        <v>44743</v>
      </c>
      <c r="C10" s="98" t="s">
        <v>42</v>
      </c>
      <c r="D10" s="99" t="s">
        <v>4</v>
      </c>
      <c r="E10" s="99" t="s">
        <v>43</v>
      </c>
    </row>
    <row r="11" spans="1:11" ht="15" customHeight="1">
      <c r="A11" s="96" t="s">
        <v>44</v>
      </c>
      <c r="B11" s="100">
        <v>46204</v>
      </c>
      <c r="C11" s="98" t="s">
        <v>42</v>
      </c>
      <c r="D11" s="99" t="s">
        <v>45</v>
      </c>
      <c r="E11" s="99" t="s">
        <v>43</v>
      </c>
    </row>
    <row r="12" spans="1:11" ht="15" customHeight="1">
      <c r="A12" s="96" t="s">
        <v>46</v>
      </c>
      <c r="B12" s="97" t="s">
        <v>478</v>
      </c>
      <c r="C12" s="98" t="s">
        <v>32</v>
      </c>
      <c r="D12" s="99" t="s">
        <v>47</v>
      </c>
      <c r="E12" s="99" t="s">
        <v>48</v>
      </c>
    </row>
    <row r="13" spans="1:11" ht="15" customHeight="1">
      <c r="A13" s="96" t="s">
        <v>49</v>
      </c>
      <c r="B13" s="101"/>
      <c r="C13" s="98" t="s">
        <v>50</v>
      </c>
      <c r="D13" s="99" t="s">
        <v>51</v>
      </c>
      <c r="E13" s="99" t="s">
        <v>52</v>
      </c>
    </row>
    <row r="14" spans="1:11" ht="15" customHeight="1">
      <c r="A14" s="96" t="s">
        <v>53</v>
      </c>
      <c r="B14" s="102">
        <v>16.5</v>
      </c>
      <c r="C14" s="98" t="s">
        <v>54</v>
      </c>
      <c r="D14" s="99" t="s">
        <v>55</v>
      </c>
      <c r="E14" s="99" t="s">
        <v>56</v>
      </c>
    </row>
    <row r="15" spans="1:11" ht="15" customHeight="1">
      <c r="A15" s="96" t="s">
        <v>57</v>
      </c>
      <c r="B15" s="103">
        <v>103</v>
      </c>
      <c r="C15" s="98" t="s">
        <v>58</v>
      </c>
      <c r="D15" s="99" t="s">
        <v>59</v>
      </c>
      <c r="E15" s="99" t="s">
        <v>60</v>
      </c>
    </row>
    <row r="16" spans="1:11" ht="15" customHeight="1">
      <c r="A16" s="96" t="s">
        <v>61</v>
      </c>
      <c r="B16" s="103"/>
      <c r="C16" s="98" t="s">
        <v>58</v>
      </c>
      <c r="D16" s="99" t="s">
        <v>62</v>
      </c>
      <c r="E16" s="99" t="s">
        <v>63</v>
      </c>
    </row>
    <row r="17" spans="1:5" ht="15" customHeight="1">
      <c r="A17" s="96" t="s">
        <v>64</v>
      </c>
      <c r="B17" s="103"/>
      <c r="C17" s="98" t="s">
        <v>58</v>
      </c>
      <c r="D17" s="99" t="s">
        <v>65</v>
      </c>
      <c r="E17" s="99" t="s">
        <v>66</v>
      </c>
    </row>
    <row r="18" spans="1:5" ht="15" customHeight="1">
      <c r="A18" s="96" t="s">
        <v>67</v>
      </c>
      <c r="B18" s="101">
        <v>1250</v>
      </c>
      <c r="C18" s="98" t="s">
        <v>68</v>
      </c>
      <c r="D18" s="99" t="s">
        <v>69</v>
      </c>
      <c r="E18" s="99" t="s">
        <v>70</v>
      </c>
    </row>
    <row r="19" spans="1:5" ht="15" customHeight="1">
      <c r="A19" s="96" t="s">
        <v>71</v>
      </c>
      <c r="B19" s="103">
        <v>30</v>
      </c>
      <c r="C19" s="98" t="s">
        <v>72</v>
      </c>
      <c r="D19" s="99" t="s">
        <v>69</v>
      </c>
      <c r="E19" s="99" t="s">
        <v>73</v>
      </c>
    </row>
    <row r="20" spans="1:5" ht="15" customHeight="1">
      <c r="A20" s="96" t="s">
        <v>74</v>
      </c>
      <c r="B20" s="97" t="s">
        <v>99</v>
      </c>
      <c r="C20" s="98" t="s">
        <v>32</v>
      </c>
      <c r="D20" s="99" t="s">
        <v>33</v>
      </c>
      <c r="E20" s="99" t="s">
        <v>75</v>
      </c>
    </row>
    <row r="21" spans="1:5" ht="15" customHeight="1">
      <c r="A21" s="96" t="s">
        <v>76</v>
      </c>
      <c r="B21" s="97"/>
      <c r="C21" s="98" t="s">
        <v>32</v>
      </c>
      <c r="D21" s="99" t="s">
        <v>33</v>
      </c>
      <c r="E21" s="99" t="s">
        <v>77</v>
      </c>
    </row>
  </sheetData>
  <sheetProtection algorithmName="SHA-512" hashValue="FC8bgpsYRpvn+iweNhERgDh7sjAO3gKeDpG/cEOzYYvDgyiueW8bu0DIDNoC6d1C8dJwW3EFxS2z8HIn2X6zUA==" saltValue="zLVlHQc7KZwRcJSIRaYq0w==" spinCount="100000" sheet="1" objects="1" scenarios="1"/>
  <protectedRanges>
    <protectedRange sqref="B21" name="Rango1"/>
  </protectedRanges>
  <mergeCells count="3">
    <mergeCell ref="A4:E4"/>
    <mergeCell ref="A1:K1"/>
    <mergeCell ref="A2:K2"/>
  </mergeCells>
  <dataValidations count="5">
    <dataValidation type="list" allowBlank="1" sqref="B9" xr:uid="{00000000-0002-0000-0100-000000000000}">
      <formula1>SEXOS</formula1>
      <formula2>0</formula2>
    </dataValidation>
    <dataValidation type="list" allowBlank="1" sqref="B12" xr:uid="{00000000-0002-0000-0100-000001000000}">
      <formula1>SINO</formula1>
      <formula2>0</formula2>
    </dataValidation>
    <dataValidation type="decimal" allowBlank="1" sqref="B13" xr:uid="{00000000-0002-0000-0100-000002000000}">
      <formula1>24</formula1>
      <formula2>42</formula2>
    </dataValidation>
    <dataValidation type="decimal" allowBlank="1" sqref="B14" xr:uid="{00000000-0002-0000-0100-000003000000}">
      <formula1>PESO_MIN</formula1>
      <formula2>PESO_MAX</formula2>
    </dataValidation>
    <dataValidation type="decimal" allowBlank="1" sqref="B15" xr:uid="{00000000-0002-0000-0100-000004000000}">
      <formula1>TALLA_MIN</formula1>
      <formula2>TALLA_MAX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showGridLines="0" zoomScaleNormal="100" workbookViewId="0">
      <selection activeCell="A7" sqref="A7:G45"/>
    </sheetView>
  </sheetViews>
  <sheetFormatPr baseColWidth="10" defaultColWidth="8.7109375" defaultRowHeight="15"/>
  <cols>
    <col min="1" max="10" width="15.28515625" customWidth="1"/>
    <col min="11" max="11" width="15.85546875" customWidth="1"/>
    <col min="12" max="16" width="8" customWidth="1"/>
    <col min="17" max="17" width="22" customWidth="1"/>
    <col min="18" max="18" width="11" customWidth="1"/>
    <col min="19" max="19" width="26" customWidth="1"/>
  </cols>
  <sheetData>
    <row r="1" spans="1:19" ht="20.2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9" ht="32.25" customHeight="1">
      <c r="A2" s="94" t="s">
        <v>78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19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8" t="str">
        <f>HYPERLINK("#SEGUIMIENTO!A1","● SEGUIMIENTO")</f>
        <v>●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9" ht="30" customHeight="1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6" spans="1:19" ht="26.25">
      <c r="A6" s="18" t="s">
        <v>80</v>
      </c>
      <c r="B6" s="18" t="s">
        <v>81</v>
      </c>
      <c r="C6" s="18" t="s">
        <v>4</v>
      </c>
      <c r="D6" s="18" t="s">
        <v>82</v>
      </c>
      <c r="E6" s="18" t="s">
        <v>83</v>
      </c>
      <c r="F6" s="18" t="s">
        <v>84</v>
      </c>
      <c r="G6" s="18" t="s">
        <v>85</v>
      </c>
      <c r="H6" s="18" t="s">
        <v>86</v>
      </c>
      <c r="I6" s="18" t="s">
        <v>87</v>
      </c>
      <c r="J6" s="18" t="s">
        <v>88</v>
      </c>
      <c r="K6" s="18" t="s">
        <v>89</v>
      </c>
      <c r="L6" s="18" t="s">
        <v>90</v>
      </c>
      <c r="M6" s="18" t="s">
        <v>91</v>
      </c>
      <c r="N6" s="18" t="s">
        <v>92</v>
      </c>
      <c r="O6" s="18" t="s">
        <v>93</v>
      </c>
      <c r="P6" s="18" t="s">
        <v>94</v>
      </c>
      <c r="Q6" s="18" t="s">
        <v>95</v>
      </c>
      <c r="R6" s="18" t="s">
        <v>74</v>
      </c>
      <c r="S6" s="18" t="s">
        <v>76</v>
      </c>
    </row>
    <row r="7" spans="1:19">
      <c r="A7" s="19" t="s">
        <v>31</v>
      </c>
      <c r="B7" s="19" t="s">
        <v>36</v>
      </c>
      <c r="C7" s="19" t="s">
        <v>96</v>
      </c>
      <c r="D7" s="19">
        <v>48</v>
      </c>
      <c r="E7" s="19">
        <v>48</v>
      </c>
      <c r="F7" s="19">
        <v>16.5</v>
      </c>
      <c r="G7" s="19">
        <v>103</v>
      </c>
      <c r="H7" s="20">
        <f>IF(NOT(ISNUMBER(F7)),"ND",IF(F7&lt;=0,"ND",IF(NOT(ISNUMBER(G7)),"ND",IF(G7&lt;=0,"ND",F7/(G7/100)^2))))</f>
        <v>15.552832500706948</v>
      </c>
      <c r="I7" s="19"/>
      <c r="J7" s="19"/>
      <c r="K7" s="19">
        <v>0.19600000000000001</v>
      </c>
      <c r="L7" s="19">
        <v>0.19600000000000001</v>
      </c>
      <c r="M7" s="19" t="s">
        <v>97</v>
      </c>
      <c r="N7" s="19" t="s">
        <v>97</v>
      </c>
      <c r="O7" s="19">
        <v>-7.0999999999999994E-2</v>
      </c>
      <c r="P7" s="19"/>
      <c r="Q7" s="19" t="s">
        <v>98</v>
      </c>
      <c r="R7" s="19" t="s">
        <v>99</v>
      </c>
      <c r="S7" s="19" t="s">
        <v>100</v>
      </c>
    </row>
    <row r="8" spans="1:19">
      <c r="A8" s="21"/>
      <c r="B8" s="21"/>
      <c r="C8" s="21"/>
      <c r="D8" s="21"/>
      <c r="E8" s="21"/>
      <c r="F8" s="21"/>
      <c r="G8" s="21"/>
      <c r="H8" s="22" t="str">
        <f t="shared" ref="H8:H45" si="0">IF(AND(ISNUMBER(F8),ISNUMBER(G8),G8&gt;0),F8/(G8/100)^2,"")</f>
        <v/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>
      <c r="A9" s="21"/>
      <c r="B9" s="21"/>
      <c r="C9" s="21"/>
      <c r="D9" s="21"/>
      <c r="E9" s="21"/>
      <c r="F9" s="21"/>
      <c r="G9" s="21"/>
      <c r="H9" s="22" t="str">
        <f t="shared" si="0"/>
        <v/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>
      <c r="A10" s="21"/>
      <c r="B10" s="21"/>
      <c r="C10" s="21"/>
      <c r="D10" s="21"/>
      <c r="E10" s="21"/>
      <c r="F10" s="21"/>
      <c r="G10" s="21"/>
      <c r="H10" s="22" t="str">
        <f t="shared" si="0"/>
        <v/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>
      <c r="A11" s="21"/>
      <c r="B11" s="21"/>
      <c r="C11" s="21"/>
      <c r="D11" s="21"/>
      <c r="E11" s="21"/>
      <c r="F11" s="21"/>
      <c r="G11" s="21"/>
      <c r="H11" s="22" t="str">
        <f t="shared" si="0"/>
        <v/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>
      <c r="A12" s="21"/>
      <c r="B12" s="21"/>
      <c r="C12" s="21"/>
      <c r="D12" s="21"/>
      <c r="E12" s="21"/>
      <c r="F12" s="21"/>
      <c r="G12" s="21"/>
      <c r="H12" s="22" t="str">
        <f t="shared" si="0"/>
        <v/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>
      <c r="A13" s="21"/>
      <c r="B13" s="21"/>
      <c r="C13" s="21"/>
      <c r="D13" s="21"/>
      <c r="E13" s="21"/>
      <c r="F13" s="21"/>
      <c r="G13" s="21"/>
      <c r="H13" s="22" t="str">
        <f t="shared" si="0"/>
        <v/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>
      <c r="A14" s="21"/>
      <c r="B14" s="21"/>
      <c r="C14" s="21"/>
      <c r="D14" s="21"/>
      <c r="E14" s="21"/>
      <c r="F14" s="21"/>
      <c r="G14" s="21"/>
      <c r="H14" s="22" t="str">
        <f t="shared" si="0"/>
        <v/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>
      <c r="A15" s="21"/>
      <c r="B15" s="21"/>
      <c r="C15" s="21"/>
      <c r="D15" s="21"/>
      <c r="E15" s="21"/>
      <c r="F15" s="21"/>
      <c r="G15" s="21"/>
      <c r="H15" s="22" t="str">
        <f t="shared" si="0"/>
        <v/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>
      <c r="A16" s="21"/>
      <c r="B16" s="21"/>
      <c r="C16" s="21"/>
      <c r="D16" s="21"/>
      <c r="E16" s="21"/>
      <c r="F16" s="21"/>
      <c r="G16" s="21"/>
      <c r="H16" s="22" t="str">
        <f t="shared" si="0"/>
        <v/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>
      <c r="A17" s="21"/>
      <c r="B17" s="21"/>
      <c r="C17" s="21"/>
      <c r="D17" s="21"/>
      <c r="E17" s="21"/>
      <c r="F17" s="21"/>
      <c r="G17" s="21"/>
      <c r="H17" s="22" t="str">
        <f t="shared" si="0"/>
        <v/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>
      <c r="A18" s="21"/>
      <c r="B18" s="21"/>
      <c r="C18" s="21"/>
      <c r="D18" s="21"/>
      <c r="E18" s="21"/>
      <c r="F18" s="21"/>
      <c r="G18" s="21"/>
      <c r="H18" s="22" t="str">
        <f t="shared" si="0"/>
        <v/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>
      <c r="A19" s="21"/>
      <c r="B19" s="21"/>
      <c r="C19" s="21"/>
      <c r="D19" s="21"/>
      <c r="E19" s="21"/>
      <c r="F19" s="21"/>
      <c r="G19" s="21"/>
      <c r="H19" s="22" t="str">
        <f t="shared" si="0"/>
        <v/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>
      <c r="A20" s="21"/>
      <c r="B20" s="21"/>
      <c r="C20" s="21"/>
      <c r="D20" s="21"/>
      <c r="E20" s="21"/>
      <c r="F20" s="21"/>
      <c r="G20" s="21"/>
      <c r="H20" s="22" t="str">
        <f t="shared" si="0"/>
        <v/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>
      <c r="A21" s="21"/>
      <c r="B21" s="21"/>
      <c r="C21" s="21"/>
      <c r="D21" s="21"/>
      <c r="E21" s="21"/>
      <c r="F21" s="21"/>
      <c r="G21" s="21"/>
      <c r="H21" s="22" t="str">
        <f t="shared" si="0"/>
        <v/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>
      <c r="A22" s="21"/>
      <c r="B22" s="21"/>
      <c r="C22" s="21"/>
      <c r="D22" s="21"/>
      <c r="E22" s="21"/>
      <c r="F22" s="21"/>
      <c r="G22" s="21"/>
      <c r="H22" s="22" t="str">
        <f t="shared" si="0"/>
        <v/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>
      <c r="A23" s="21"/>
      <c r="B23" s="21"/>
      <c r="C23" s="21"/>
      <c r="D23" s="21"/>
      <c r="E23" s="21"/>
      <c r="F23" s="21"/>
      <c r="G23" s="21"/>
      <c r="H23" s="22" t="str">
        <f t="shared" si="0"/>
        <v/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>
      <c r="A24" s="21"/>
      <c r="B24" s="21"/>
      <c r="C24" s="21"/>
      <c r="D24" s="21"/>
      <c r="E24" s="21"/>
      <c r="F24" s="21"/>
      <c r="G24" s="21"/>
      <c r="H24" s="22" t="str">
        <f t="shared" si="0"/>
        <v/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>
      <c r="A25" s="21"/>
      <c r="B25" s="21"/>
      <c r="C25" s="21"/>
      <c r="D25" s="21"/>
      <c r="E25" s="21"/>
      <c r="F25" s="21"/>
      <c r="G25" s="21"/>
      <c r="H25" s="22" t="str">
        <f t="shared" si="0"/>
        <v/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>
      <c r="A26" s="21"/>
      <c r="B26" s="21"/>
      <c r="C26" s="21"/>
      <c r="D26" s="21"/>
      <c r="E26" s="21"/>
      <c r="F26" s="21"/>
      <c r="G26" s="21"/>
      <c r="H26" s="22" t="str">
        <f t="shared" si="0"/>
        <v/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>
      <c r="A27" s="21"/>
      <c r="B27" s="21"/>
      <c r="C27" s="21"/>
      <c r="D27" s="21"/>
      <c r="E27" s="21"/>
      <c r="F27" s="21"/>
      <c r="G27" s="21"/>
      <c r="H27" s="22" t="str">
        <f t="shared" si="0"/>
        <v/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>
      <c r="A28" s="21"/>
      <c r="B28" s="21"/>
      <c r="C28" s="21"/>
      <c r="D28" s="21"/>
      <c r="E28" s="21"/>
      <c r="F28" s="21"/>
      <c r="G28" s="21"/>
      <c r="H28" s="22" t="str">
        <f t="shared" si="0"/>
        <v/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>
      <c r="A29" s="21"/>
      <c r="B29" s="21"/>
      <c r="C29" s="21"/>
      <c r="D29" s="21"/>
      <c r="E29" s="21"/>
      <c r="F29" s="21"/>
      <c r="G29" s="21"/>
      <c r="H29" s="22" t="str">
        <f t="shared" si="0"/>
        <v/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>
      <c r="A30" s="21"/>
      <c r="B30" s="21"/>
      <c r="C30" s="21"/>
      <c r="D30" s="21"/>
      <c r="E30" s="21"/>
      <c r="F30" s="21"/>
      <c r="G30" s="21"/>
      <c r="H30" s="22" t="str">
        <f t="shared" si="0"/>
        <v/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>
      <c r="A31" s="21"/>
      <c r="B31" s="21"/>
      <c r="C31" s="21"/>
      <c r="D31" s="21"/>
      <c r="E31" s="21"/>
      <c r="F31" s="21"/>
      <c r="G31" s="21"/>
      <c r="H31" s="22" t="str">
        <f t="shared" si="0"/>
        <v/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>
      <c r="A32" s="21"/>
      <c r="B32" s="21"/>
      <c r="C32" s="21"/>
      <c r="D32" s="21"/>
      <c r="E32" s="21"/>
      <c r="F32" s="21"/>
      <c r="G32" s="21"/>
      <c r="H32" s="22" t="str">
        <f t="shared" si="0"/>
        <v/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>
      <c r="A33" s="21"/>
      <c r="B33" s="21"/>
      <c r="C33" s="21"/>
      <c r="D33" s="21"/>
      <c r="E33" s="21"/>
      <c r="F33" s="21"/>
      <c r="G33" s="21"/>
      <c r="H33" s="22" t="str">
        <f t="shared" si="0"/>
        <v/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>
      <c r="A34" s="21"/>
      <c r="B34" s="21"/>
      <c r="C34" s="21"/>
      <c r="D34" s="21"/>
      <c r="E34" s="21"/>
      <c r="F34" s="21"/>
      <c r="G34" s="21"/>
      <c r="H34" s="22" t="str">
        <f t="shared" si="0"/>
        <v/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>
      <c r="A35" s="21"/>
      <c r="B35" s="21"/>
      <c r="C35" s="21"/>
      <c r="D35" s="21"/>
      <c r="E35" s="21"/>
      <c r="F35" s="21"/>
      <c r="G35" s="21"/>
      <c r="H35" s="22" t="str">
        <f t="shared" si="0"/>
        <v/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>
      <c r="A36" s="21"/>
      <c r="B36" s="21"/>
      <c r="C36" s="21"/>
      <c r="D36" s="21"/>
      <c r="E36" s="21"/>
      <c r="F36" s="21"/>
      <c r="G36" s="21"/>
      <c r="H36" s="22" t="str">
        <f t="shared" si="0"/>
        <v/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>
      <c r="A37" s="21"/>
      <c r="B37" s="21"/>
      <c r="C37" s="21"/>
      <c r="D37" s="21"/>
      <c r="E37" s="21"/>
      <c r="F37" s="21"/>
      <c r="G37" s="21"/>
      <c r="H37" s="22" t="str">
        <f t="shared" si="0"/>
        <v/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>
      <c r="A38" s="21"/>
      <c r="B38" s="21"/>
      <c r="C38" s="21"/>
      <c r="D38" s="21"/>
      <c r="E38" s="21"/>
      <c r="F38" s="21"/>
      <c r="G38" s="21"/>
      <c r="H38" s="22" t="str">
        <f t="shared" si="0"/>
        <v/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>
      <c r="A39" s="21"/>
      <c r="B39" s="21"/>
      <c r="C39" s="21"/>
      <c r="D39" s="21"/>
      <c r="E39" s="21"/>
      <c r="F39" s="21"/>
      <c r="G39" s="21"/>
      <c r="H39" s="22" t="str">
        <f t="shared" si="0"/>
        <v/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>
      <c r="A40" s="21"/>
      <c r="B40" s="21"/>
      <c r="C40" s="21"/>
      <c r="D40" s="21"/>
      <c r="E40" s="21"/>
      <c r="F40" s="21"/>
      <c r="G40" s="21"/>
      <c r="H40" s="22" t="str">
        <f t="shared" si="0"/>
        <v/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21"/>
      <c r="B41" s="21"/>
      <c r="C41" s="21"/>
      <c r="D41" s="21"/>
      <c r="E41" s="21"/>
      <c r="F41" s="21"/>
      <c r="G41" s="21"/>
      <c r="H41" s="22" t="str">
        <f t="shared" si="0"/>
        <v/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A42" s="21"/>
      <c r="B42" s="21"/>
      <c r="C42" s="21"/>
      <c r="D42" s="21"/>
      <c r="E42" s="21"/>
      <c r="F42" s="21"/>
      <c r="G42" s="21"/>
      <c r="H42" s="22" t="str">
        <f t="shared" si="0"/>
        <v/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>
      <c r="A43" s="21"/>
      <c r="B43" s="21"/>
      <c r="C43" s="21"/>
      <c r="D43" s="21"/>
      <c r="E43" s="21"/>
      <c r="F43" s="21"/>
      <c r="G43" s="21"/>
      <c r="H43" s="22" t="str">
        <f t="shared" si="0"/>
        <v/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A44" s="21"/>
      <c r="B44" s="21"/>
      <c r="C44" s="21"/>
      <c r="D44" s="21"/>
      <c r="E44" s="21"/>
      <c r="F44" s="21"/>
      <c r="G44" s="21"/>
      <c r="H44" s="22" t="str">
        <f t="shared" si="0"/>
        <v/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A45" s="21"/>
      <c r="B45" s="21"/>
      <c r="C45" s="21"/>
      <c r="D45" s="21"/>
      <c r="E45" s="21"/>
      <c r="F45" s="21"/>
      <c r="G45" s="21"/>
      <c r="H45" s="22" t="str">
        <f t="shared" si="0"/>
        <v/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</sheetData>
  <sheetProtection algorithmName="SHA-512" hashValue="167CkcZKrPjYcsoV3WBHIAEV65Evyles+ygI32LbEKXbFToJ6AGY5AbXohpwfAcPEI8pehhf++9/oiPUuCpYtQ==" saltValue="v5/gxF2sKcJ7EitZENPgLQ==" spinCount="100000" sheet="1" objects="1" scenarios="1"/>
  <protectedRanges>
    <protectedRange sqref="I7:S45" name="Rango2"/>
    <protectedRange sqref="A7:G45" name="Rango1"/>
  </protectedRanges>
  <mergeCells count="3">
    <mergeCell ref="A4:S4"/>
    <mergeCell ref="A1:O1"/>
    <mergeCell ref="A2:O2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showGridLines="0" workbookViewId="0">
      <selection activeCell="A11" sqref="A11"/>
    </sheetView>
  </sheetViews>
  <sheetFormatPr baseColWidth="10" defaultColWidth="8.7109375" defaultRowHeight="15"/>
  <cols>
    <col min="1" max="1" width="46" style="1" customWidth="1"/>
    <col min="2" max="2" width="20" style="1" customWidth="1"/>
    <col min="3" max="3" width="18.28515625" style="1" customWidth="1"/>
    <col min="4" max="4" width="48" style="1" customWidth="1"/>
    <col min="5" max="11" width="16.7109375" customWidth="1"/>
  </cols>
  <sheetData>
    <row r="1" spans="1:11" ht="27.75" customHeight="1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7.75" customHeight="1">
      <c r="A2" s="125" t="s">
        <v>101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8" t="str">
        <f>HYPERLINK("#CALCULOS!A1","● CALCULOS")</f>
        <v>●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1" ht="27.75" customHeight="1">
      <c r="A4" s="76" t="s">
        <v>102</v>
      </c>
      <c r="B4" s="76"/>
      <c r="C4" s="76"/>
      <c r="D4" s="76"/>
    </row>
    <row r="6" spans="1:11" ht="15" customHeight="1">
      <c r="A6" s="23" t="s">
        <v>103</v>
      </c>
      <c r="B6" s="7"/>
      <c r="C6" s="7"/>
      <c r="D6" s="7"/>
    </row>
    <row r="7" spans="1:11" ht="15" customHeight="1">
      <c r="A7" s="24" t="s">
        <v>104</v>
      </c>
      <c r="B7" s="24" t="s">
        <v>26</v>
      </c>
      <c r="C7" s="24" t="s">
        <v>27</v>
      </c>
      <c r="D7" s="24" t="s">
        <v>105</v>
      </c>
    </row>
    <row r="8" spans="1:11" ht="15" customHeight="1">
      <c r="A8" s="6" t="s">
        <v>106</v>
      </c>
      <c r="B8" s="25" t="str">
        <f>IF(COUNTIF(SEXOS,in_Sexo)&gt;0,INDEX(SEXOS_COD,MATCH(in_Sexo,SEXOS,0)),"ND")</f>
        <v>M</v>
      </c>
      <c r="C8" s="26" t="s">
        <v>32</v>
      </c>
      <c r="D8" s="27" t="s">
        <v>107</v>
      </c>
    </row>
    <row r="9" spans="1:11" ht="15" customHeight="1">
      <c r="A9" s="6" t="s">
        <v>108</v>
      </c>
      <c r="B9" s="28">
        <f>IF(AND(ISNUMBER(in_FNac),ISNUMBER(in_Fecha),in_Fecha&gt;in_FNac),(YEAR(in_Fecha)-YEAR(in_FNac))*12+MONTH(in_Fecha)-MONTH(in_FNac)-IF(DAY(in_Fecha)&lt;DAY(in_FNac),1,0),"ND")</f>
        <v>48</v>
      </c>
      <c r="C9" s="26" t="s">
        <v>109</v>
      </c>
      <c r="D9" s="27" t="s">
        <v>110</v>
      </c>
    </row>
    <row r="10" spans="1:11" ht="15" customHeight="1">
      <c r="A10" s="6" t="s">
        <v>111</v>
      </c>
      <c r="B10" s="28">
        <f>IF(ISNUMBER(c_mesReal),in_Fecha-DATE(YEAR(in_FNac),MONTH(in_FNac)+c_mesReal,DAY(in_FNac)),"ND")</f>
        <v>0</v>
      </c>
      <c r="C10" s="26" t="s">
        <v>112</v>
      </c>
      <c r="D10" s="27"/>
    </row>
    <row r="11" spans="1:11" ht="15" customHeight="1">
      <c r="A11" s="6" t="s">
        <v>113</v>
      </c>
      <c r="B11" s="28">
        <f>IF(ISNUMBER(c_mesReal),IF(c_mesReal&lt;60,IF(c_diaSob&lt;=15,c_mesReal,c_mesReal+1),c_mesReal),"ND")</f>
        <v>48</v>
      </c>
      <c r="C11" s="26" t="s">
        <v>109</v>
      </c>
      <c r="D11" s="27" t="s">
        <v>114</v>
      </c>
    </row>
    <row r="12" spans="1:11" ht="15" customHeight="1">
      <c r="A12" s="6" t="s">
        <v>115</v>
      </c>
      <c r="B12" s="29">
        <f>IF(NOT(ISNUMBER(c_mesAprox)),"ND",IF(OR(in_Prem="No",in_Prem=""),c_mesAprox,IF(NOT(ISNUMBER(in_SemGest)),"ND",IF(OR(in_SemGest&lt;24,in_SemGest&gt;42),"ND",IF(OR(AND(in_SemGest&lt;32,c_mesAprox&gt;24),AND(in_SemGest&gt;=32,c_mesAprox&gt;12)),c_mesAprox,MAX(0,c_mesAprox-(SEM_TERM-in_SemGest)*7/30.44))))))</f>
        <v>48</v>
      </c>
      <c r="C12" s="26" t="s">
        <v>109</v>
      </c>
      <c r="D12" s="27" t="s">
        <v>116</v>
      </c>
    </row>
    <row r="13" spans="1:11" ht="15" customHeight="1">
      <c r="A13" s="6" t="s">
        <v>117</v>
      </c>
      <c r="B13" s="28">
        <f>IF(ISNUMBER(c_mesCorr),ROUND(c_mesCorr,0),"ND")</f>
        <v>48</v>
      </c>
      <c r="C13" s="26" t="s">
        <v>109</v>
      </c>
      <c r="D13" s="27" t="s">
        <v>118</v>
      </c>
    </row>
    <row r="14" spans="1:11" ht="15" customHeight="1">
      <c r="A14" s="6" t="s">
        <v>119</v>
      </c>
      <c r="B14" s="30">
        <f>IF(ISNUMBER(c_mesCorr),c_mesCorr/12,"ND")</f>
        <v>4</v>
      </c>
      <c r="C14" s="26" t="s">
        <v>120</v>
      </c>
      <c r="D14" s="27" t="s">
        <v>121</v>
      </c>
    </row>
    <row r="15" spans="1:11" ht="15" customHeight="1">
      <c r="A15" s="23" t="s">
        <v>122</v>
      </c>
      <c r="B15" s="7"/>
      <c r="C15" s="7"/>
      <c r="D15" s="7"/>
    </row>
    <row r="16" spans="1:11" ht="15" customHeight="1">
      <c r="A16" s="24" t="s">
        <v>104</v>
      </c>
      <c r="B16" s="24" t="s">
        <v>26</v>
      </c>
      <c r="C16" s="24" t="s">
        <v>27</v>
      </c>
      <c r="D16" s="24" t="s">
        <v>105</v>
      </c>
    </row>
    <row r="17" spans="1:4" ht="15" customHeight="1">
      <c r="A17" s="6" t="s">
        <v>123</v>
      </c>
      <c r="B17" s="31" t="str">
        <f>IF(c_sexoCod="ND","NO",IF(NOT(ISNUMBER(c_mes)),"NO",IF(OR(c_mes&lt;0,c_mes&gt;MES_MAX),"NO",IF(NOT(ISNUMBER(in_Peso)),"NO",IF(OR(in_Peso&lt;PESO_MIN,in_Peso&gt;PESO_MAX),"NO",IF(NOT(ISNUMBER(in_Talla)),"NO",IF(OR(in_Talla&lt;TALLA_MIN,in_Talla&gt;TALLA_MAX),"NO",IF(OR(in_Prem="No",in_Prem=""),"SÍ",IF(in_Prem&lt;&gt;"Sí","NO",IF(NOT(ISNUMBER(in_SemGest)),"NO",IF(OR(in_SemGest&lt;24,in_SemGest&gt;42),"NO","SÍ")))))))))))</f>
        <v>SÍ</v>
      </c>
      <c r="C17" s="26" t="s">
        <v>32</v>
      </c>
      <c r="D17" s="27" t="s">
        <v>124</v>
      </c>
    </row>
    <row r="18" spans="1:4" ht="15" customHeight="1">
      <c r="A18" s="6" t="s">
        <v>86</v>
      </c>
      <c r="B18" s="30">
        <f>IF(c_Gate="SÍ",in_Peso/(in_Talla/100)^2,"ND")</f>
        <v>15.552832500706948</v>
      </c>
      <c r="C18" s="26" t="s">
        <v>125</v>
      </c>
      <c r="D18" s="27" t="s">
        <v>126</v>
      </c>
    </row>
    <row r="19" spans="1:4" ht="15" customHeight="1">
      <c r="A19" s="6" t="s">
        <v>127</v>
      </c>
      <c r="B19" s="29">
        <f>IF(c_Gate="SÍ",ROUND(in_Talla*2,0)/2,"ND")</f>
        <v>103</v>
      </c>
      <c r="C19" s="26" t="s">
        <v>58</v>
      </c>
      <c r="D19" s="27" t="s">
        <v>128</v>
      </c>
    </row>
    <row r="20" spans="1:4" ht="15" customHeight="1">
      <c r="A20" s="23" t="s">
        <v>129</v>
      </c>
      <c r="B20" s="7"/>
      <c r="C20" s="7"/>
      <c r="D20" s="7"/>
    </row>
    <row r="21" spans="1:4" ht="15" customHeight="1">
      <c r="A21" s="24" t="s">
        <v>104</v>
      </c>
      <c r="B21" s="24" t="s">
        <v>26</v>
      </c>
      <c r="C21" s="24" t="s">
        <v>27</v>
      </c>
      <c r="D21" s="24" t="s">
        <v>105</v>
      </c>
    </row>
    <row r="22" spans="1:4" ht="15" customHeight="1">
      <c r="A22" s="6" t="s">
        <v>130</v>
      </c>
      <c r="B22" s="32" t="str">
        <f>IF(AND(c_Gate="SÍ",c_mes&gt;=C_IMC),IF(COUNTIF(T_KEY,("IMC-"&amp;c_sexoCod&amp;"-"&amp;c_mes))&gt;0,INDEX(T_V1,MATCH(("IMC-"&amp;c_sexoCod&amp;"-"&amp;c_mes),T_KEY,0)),"ND"),"ND")</f>
        <v>ND</v>
      </c>
      <c r="C22" s="26" t="s">
        <v>32</v>
      </c>
      <c r="D22" s="27"/>
    </row>
    <row r="23" spans="1:4" ht="15" customHeight="1">
      <c r="A23" s="6" t="s">
        <v>131</v>
      </c>
      <c r="B23" s="32" t="str">
        <f>IF(AND(c_Gate="SÍ",c_mes&gt;=C_IMC),IF(COUNTIF(T_KEY,("IMC-"&amp;c_sexoCod&amp;"-"&amp;c_mes))&gt;0,INDEX(T_V2,MATCH(("IMC-"&amp;c_sexoCod&amp;"-"&amp;c_mes),T_KEY,0)),"ND"),"ND")</f>
        <v>ND</v>
      </c>
      <c r="C23" s="26" t="s">
        <v>125</v>
      </c>
      <c r="D23" s="27"/>
    </row>
    <row r="24" spans="1:4" ht="15" customHeight="1">
      <c r="A24" s="6" t="s">
        <v>132</v>
      </c>
      <c r="B24" s="33" t="str">
        <f>IF(AND(c_Gate="SÍ",c_mes&gt;=C_IMC),IF(COUNTIF(T_KEY,("IMC-"&amp;c_sexoCod&amp;"-"&amp;c_mes))&gt;0,INDEX(T_V3,MATCH(("IMC-"&amp;c_sexoCod&amp;"-"&amp;c_mes),T_KEY,0)),"ND"),"ND")</f>
        <v>ND</v>
      </c>
      <c r="C24" s="26" t="s">
        <v>32</v>
      </c>
      <c r="D24" s="27"/>
    </row>
    <row r="25" spans="1:4" ht="15" customHeight="1">
      <c r="A25" s="6" t="s">
        <v>133</v>
      </c>
      <c r="B25" s="32" t="str">
        <f>IF(AND(c_Gate="SÍ",c_mes&lt;=12),IF(COUNTIF(T_KEY,("PE-"&amp;c_sexoCod&amp;"-"&amp;c_mes))&gt;0,INDEX(T_V1,MATCH(("PE-"&amp;c_sexoCod&amp;"-"&amp;c_mes),T_KEY,0)),"ND"),"ND")</f>
        <v>ND</v>
      </c>
      <c r="C25" s="26" t="s">
        <v>32</v>
      </c>
      <c r="D25" s="27"/>
    </row>
    <row r="26" spans="1:4" ht="15" customHeight="1">
      <c r="A26" s="6" t="s">
        <v>134</v>
      </c>
      <c r="B26" s="32" t="str">
        <f>IF(AND(c_Gate="SÍ",c_mes&lt;=12),IF(COUNTIF(T_KEY,("PE-"&amp;c_sexoCod&amp;"-"&amp;c_mes))&gt;0,INDEX(T_V2,MATCH(("PE-"&amp;c_sexoCod&amp;"-"&amp;c_mes),T_KEY,0)),"ND"),"ND")</f>
        <v>ND</v>
      </c>
      <c r="C26" s="26" t="s">
        <v>54</v>
      </c>
      <c r="D26" s="27"/>
    </row>
    <row r="27" spans="1:4" ht="15" customHeight="1">
      <c r="A27" s="6" t="s">
        <v>135</v>
      </c>
      <c r="B27" s="33" t="str">
        <f>IF(AND(c_Gate="SÍ",c_mes&lt;=12),IF(COUNTIF(T_KEY,("PE-"&amp;c_sexoCod&amp;"-"&amp;c_mes))&gt;0,INDEX(T_V3,MATCH(("PE-"&amp;c_sexoCod&amp;"-"&amp;c_mes),T_KEY,0)),"ND"),"ND")</f>
        <v>ND</v>
      </c>
      <c r="C27" s="26" t="s">
        <v>32</v>
      </c>
      <c r="D27" s="27"/>
    </row>
    <row r="28" spans="1:4" ht="15" customHeight="1">
      <c r="A28" s="6" t="s">
        <v>136</v>
      </c>
      <c r="B28" s="32">
        <f>IF(AND(c_Gate="SÍ",c_tKey&gt;=45,c_tKey&lt;=120),IF(COUNTIF(T_KEY,("PT-"&amp;c_sexoCod&amp;"-"&amp;c_tKey))&gt;0,INDEX(T_V1,MATCH(("PT-"&amp;c_sexoCod&amp;"-"&amp;c_tKey),T_KEY,0)),"ND"),"ND")</f>
        <v>-0.35210000000000002</v>
      </c>
      <c r="C28" s="26" t="s">
        <v>32</v>
      </c>
      <c r="D28" s="27"/>
    </row>
    <row r="29" spans="1:4" ht="15" customHeight="1">
      <c r="A29" s="6" t="s">
        <v>137</v>
      </c>
      <c r="B29" s="32">
        <f>IF(AND(c_Gate="SÍ",c_tKey&gt;=45,c_tKey&lt;=120),IF(COUNTIF(T_KEY,("PT-"&amp;c_sexoCod&amp;"-"&amp;c_tKey))&gt;0,INDEX(T_V2,MATCH(("PT-"&amp;c_sexoCod&amp;"-"&amp;c_tKey),T_KEY,0)),"ND"),"ND")</f>
        <v>16.229800000000001</v>
      </c>
      <c r="C29" s="26" t="s">
        <v>54</v>
      </c>
      <c r="D29" s="27"/>
    </row>
    <row r="30" spans="1:4" ht="15" customHeight="1">
      <c r="A30" s="6" t="s">
        <v>138</v>
      </c>
      <c r="B30" s="33">
        <f>IF(AND(c_Gate="SÍ",c_tKey&gt;=45,c_tKey&lt;=120),IF(COUNTIF(T_KEY,("PT-"&amp;c_sexoCod&amp;"-"&amp;c_tKey))&gt;0,INDEX(T_V3,MATCH(("PT-"&amp;c_sexoCod&amp;"-"&amp;c_tKey),T_KEY,0)),"ND"),"ND")</f>
        <v>8.3809999999999996E-2</v>
      </c>
      <c r="C30" s="26" t="s">
        <v>32</v>
      </c>
      <c r="D30" s="27"/>
    </row>
    <row r="31" spans="1:4" ht="15" customHeight="1">
      <c r="A31" s="23" t="s">
        <v>139</v>
      </c>
      <c r="B31" s="7"/>
      <c r="C31" s="7"/>
      <c r="D31" s="7"/>
    </row>
    <row r="32" spans="1:4" ht="15" customHeight="1">
      <c r="A32" s="24" t="s">
        <v>104</v>
      </c>
      <c r="B32" s="24" t="s">
        <v>26</v>
      </c>
      <c r="C32" s="24" t="s">
        <v>27</v>
      </c>
      <c r="D32" s="24" t="s">
        <v>105</v>
      </c>
    </row>
    <row r="33" spans="1:4" ht="15" customHeight="1">
      <c r="A33" s="6" t="s">
        <v>140</v>
      </c>
      <c r="B33" s="30" t="str">
        <f>IF(c_Gate&lt;&gt;"SÍ","ND: no aplica",IF(NOT(ISNUMBER(c_imcVal)),"ND: no aplica",IF(NOT(ISNUMBER(c_iL)),"ND: no aplica",IF(NOT(ISNUMBER(c_iM)),"ND: no aplica",IF(c_iM&lt;=0,"ND: no aplica",IF(NOT(ISNUMBER(c_iS)),"ND: no aplica",IF(c_iS&lt;=0,"ND: no aplica",IF(c_iL=0,LN(c_imcVal/c_iM)/c_iS,((c_imcVal/c_iM)^c_iL-1)/(c_iS*c_iL)))))))))</f>
        <v>ND: no aplica</v>
      </c>
      <c r="C33" s="26" t="s">
        <v>141</v>
      </c>
      <c r="D33" s="27" t="s">
        <v>142</v>
      </c>
    </row>
    <row r="34" spans="1:4" ht="15" customHeight="1">
      <c r="A34" s="6" t="s">
        <v>143</v>
      </c>
      <c r="B34" s="30" t="str">
        <f>IF(c_Gate&lt;&gt;"SÍ","ND: no aplica",IF(NOT(ISNUMBER(in_Peso)),"ND: no aplica",IF(OR(in_Peso&lt;PESO_MIN,in_Peso&gt;PESO_MAX),"ND: no aplica",IF(NOT(ISNUMBER(c_peL)),"ND: no aplica",IF(NOT(ISNUMBER(c_peM)),"ND: no aplica",IF(c_peM&lt;=0,"ND: no aplica",IF(NOT(ISNUMBER(c_peS)),"ND: no aplica",IF(c_peS&lt;=0,"ND: no aplica",IF(c_peL=0,LN(in_Peso/c_peM)/c_peS,((in_Peso/c_peM)^c_peL-1)/(c_peS*c_peL))))))))))</f>
        <v>ND: no aplica</v>
      </c>
      <c r="C34" s="26" t="s">
        <v>141</v>
      </c>
      <c r="D34" s="27" t="s">
        <v>144</v>
      </c>
    </row>
    <row r="35" spans="1:4" ht="15" customHeight="1">
      <c r="A35" s="6" t="s">
        <v>145</v>
      </c>
      <c r="B35" s="30">
        <f>IF(c_Gate&lt;&gt;"SÍ","ND: no aplica",IF(NOT(ISNUMBER(in_Peso)),"ND: no aplica",IF(OR(in_Peso&lt;PESO_MIN,in_Peso&gt;PESO_MAX),"ND: no aplica",IF(NOT(ISNUMBER(c_ptL)),"ND: no aplica",IF(NOT(ISNUMBER(c_ptM)),"ND: no aplica",IF(c_ptM&lt;=0,"ND: no aplica",IF(NOT(ISNUMBER(c_ptS)),"ND: no aplica",IF(c_ptS&lt;=0,"ND: no aplica",IF(c_ptL=0,LN(in_Peso/c_ptM)/c_ptS,((in_Peso/c_ptM)^c_ptL-1)/(c_ptS*c_ptL))))))))))</f>
        <v>0.19643741528915332</v>
      </c>
      <c r="C35" s="26" t="s">
        <v>141</v>
      </c>
      <c r="D35" s="27" t="s">
        <v>146</v>
      </c>
    </row>
    <row r="36" spans="1:4" ht="15" customHeight="1">
      <c r="A36" s="6" t="s">
        <v>147</v>
      </c>
      <c r="B36" s="29">
        <f>IF(c_Gate="SÍ",IF(COUNTIF(T_KEY,("TE-"&amp;c_sexoCod&amp;"-"&amp;c_mes))&gt;0,INDEX(T_V2,MATCH(("TE-"&amp;c_sexoCod&amp;"-"&amp;c_mes),T_KEY,0)),"ND"),"ND")</f>
        <v>99.1</v>
      </c>
      <c r="C36" s="26" t="s">
        <v>58</v>
      </c>
      <c r="D36" s="27"/>
    </row>
    <row r="37" spans="1:4" ht="15" customHeight="1">
      <c r="A37" s="6" t="s">
        <v>148</v>
      </c>
      <c r="B37" s="29">
        <f>IF(c_Gate="SÍ",IF(COUNTIF(T_KEY,("TE-"&amp;c_sexoCod&amp;"-"&amp;c_mes))&gt;0,INDEX(T_V3,MATCH(("TE-"&amp;c_sexoCod&amp;"-"&amp;c_mes),T_KEY,0)),"ND"),"ND")</f>
        <v>103.3</v>
      </c>
      <c r="C37" s="26" t="s">
        <v>58</v>
      </c>
      <c r="D37" s="27"/>
    </row>
    <row r="38" spans="1:4" ht="15" customHeight="1">
      <c r="A38" s="6" t="s">
        <v>149</v>
      </c>
      <c r="B38" s="29">
        <f>IF(c_Gate="SÍ",IF(COUNTIF(T_KEY,("TE-"&amp;c_sexoCod&amp;"-"&amp;c_mes))&gt;0,INDEX(T_V4,MATCH(("TE-"&amp;c_sexoCod&amp;"-"&amp;c_mes),T_KEY,0)),"ND"),"ND")</f>
        <v>107.5</v>
      </c>
      <c r="C38" s="26" t="s">
        <v>58</v>
      </c>
      <c r="D38" s="27"/>
    </row>
    <row r="39" spans="1:4" ht="15" customHeight="1">
      <c r="A39" s="6" t="s">
        <v>150</v>
      </c>
      <c r="B39" s="30">
        <f>IF(AND(c_Gate="SÍ",ISNUMBER(c_teM1),ISNUMBER(c_teMed),ISNUMBER(c_teP1),ISNUMBER(in_Talla),c_teP1&gt;c_teMed,c_teMed&gt;c_teM1),IF(in_Talla&gt;=c_teMed,(in_Talla-c_teMed)/(c_teP1-c_teMed),(in_Talla-c_teMed)/(c_teMed-c_teM1)),"ND")</f>
        <v>-7.1428571428570703E-2</v>
      </c>
      <c r="C39" s="26" t="s">
        <v>141</v>
      </c>
      <c r="D39" s="27" t="s">
        <v>151</v>
      </c>
    </row>
    <row r="40" spans="1:4" ht="15" customHeight="1">
      <c r="A40" s="6" t="s">
        <v>152</v>
      </c>
      <c r="B40" s="29" t="str">
        <f>IF(c_Gate&lt;&gt;"SÍ","ND",IF(c_mes&gt;C_PCE,"ND",IF(NOT(ISNUMBER(in_PCe)),"ND",IF(in_PCe&lt;=0,"ND",IF(COUNTIF(T_KEY,("PC-"&amp;c_sexoCod&amp;"-"&amp;c_mes))&gt;0,INDEX(T_V1,MATCH(("PC-"&amp;c_sexoCod&amp;"-"&amp;c_mes),T_KEY,0)),"ND")))))</f>
        <v>ND</v>
      </c>
      <c r="C40" s="26" t="s">
        <v>58</v>
      </c>
      <c r="D40" s="27"/>
    </row>
    <row r="41" spans="1:4" ht="15" customHeight="1">
      <c r="A41" s="6" t="s">
        <v>153</v>
      </c>
      <c r="B41" s="29" t="str">
        <f>IF(c_Gate&lt;&gt;"SÍ","ND",IF(c_mes&gt;C_PCE,"ND",IF(NOT(ISNUMBER(in_PCe)),"ND",IF(in_PCe&lt;=0,"ND",IF(COUNTIF(T_KEY,("PC-"&amp;c_sexoCod&amp;"-"&amp;c_mes))&gt;0,INDEX(T_V5,MATCH(("PC-"&amp;c_sexoCod&amp;"-"&amp;c_mes),T_KEY,0)),"ND")))))</f>
        <v>ND</v>
      </c>
      <c r="C41" s="26" t="s">
        <v>58</v>
      </c>
      <c r="D41" s="27"/>
    </row>
    <row r="42" spans="1:4" ht="15" customHeight="1">
      <c r="A42" s="6" t="s">
        <v>154</v>
      </c>
      <c r="B42" s="29" t="str">
        <f>IF(c_Gate&lt;&gt;"SÍ","ND",IF(NOT(ISNUMBER(c_anios)),"ND",IF(NOT(ISNUMBER(in_Cintura)),"ND",IF(in_Cintura&lt;=0,"ND",IF(INT(c_anios)&gt;=C_CINT,IF(COUNTIF(T_KEY,("CIN-"&amp;c_sexoCod&amp;"-"&amp;INT(c_anios)))&gt;0,INDEX(T_V1,MATCH(("CIN-"&amp;c_sexoCod&amp;"-"&amp;INT(c_anios)),T_KEY,0)),"ND"),"ND")))))</f>
        <v>ND</v>
      </c>
      <c r="C42" s="26" t="s">
        <v>58</v>
      </c>
      <c r="D42" s="27"/>
    </row>
    <row r="43" spans="1:4" ht="15" customHeight="1">
      <c r="A43" s="6" t="s">
        <v>155</v>
      </c>
      <c r="B43" s="29" t="str">
        <f>IF(c_Gate&lt;&gt;"SÍ","ND",IF(NOT(ISNUMBER(c_anios)),"ND",IF(NOT(ISNUMBER(in_Cintura)),"ND",IF(in_Cintura&lt;=0,"ND",IF(INT(c_anios)&gt;=C_CINT,IF(COUNTIF(T_KEY,("CIN-"&amp;c_sexoCod&amp;"-"&amp;INT(c_anios)))&gt;0,INDEX(T_V2,MATCH(("CIN-"&amp;c_sexoCod&amp;"-"&amp;INT(c_anios)),T_KEY,0)),"ND"),"ND")))))</f>
        <v>ND</v>
      </c>
      <c r="C43" s="26" t="s">
        <v>58</v>
      </c>
      <c r="D43" s="27"/>
    </row>
    <row r="44" spans="1:4" ht="15" customHeight="1">
      <c r="A44" s="6" t="s">
        <v>156</v>
      </c>
      <c r="B44" s="34">
        <f>IF(c_Gate&lt;&gt;"SÍ","ND",IF(c_mes&lt;C_LACT,IF(AND(ISNUMBER(c_zPT),c_zPT&gt;1),c_zPT,c_zPE),IF(c_mes&lt;C_IMC,c_zPT,c_zIMC)))</f>
        <v>0.19643741528915332</v>
      </c>
      <c r="C44" s="26" t="s">
        <v>141</v>
      </c>
      <c r="D44" s="27" t="s">
        <v>157</v>
      </c>
    </row>
    <row r="45" spans="1:4" ht="15" customHeight="1">
      <c r="A45" s="23" t="s">
        <v>158</v>
      </c>
      <c r="B45" s="7"/>
      <c r="C45" s="7"/>
      <c r="D45" s="7"/>
    </row>
    <row r="46" spans="1:4" ht="15" customHeight="1">
      <c r="A46" s="24" t="s">
        <v>104</v>
      </c>
      <c r="B46" s="24" t="s">
        <v>26</v>
      </c>
      <c r="C46" s="24" t="s">
        <v>27</v>
      </c>
      <c r="D46" s="24" t="s">
        <v>105</v>
      </c>
    </row>
    <row r="47" spans="1:4" ht="15" customHeight="1">
      <c r="A47" s="6" t="s">
        <v>159</v>
      </c>
      <c r="B47" s="35">
        <f>IF(AND(c_Gate="SÍ",ISNUMBER(c_anios)),SUMPRODUCT((CONFIG!$A$40:$A$47=c_sexoCod)*(CONFIG!$B$40:$B$47&lt;=c_anios)*(CONFIG!$C$40:$C$47&gt;c_anios)*CONFIG!$D$40:$D$47)*in_Peso+SUMPRODUCT((CONFIG!$A$40:$A$47=c_sexoCod)*(CONFIG!$B$40:$B$47&lt;=c_anios)*(CONFIG!$C$40:$C$47&gt;c_anios)*CONFIG!$E$40:$E$47),"ND")</f>
        <v>878.94900000000007</v>
      </c>
      <c r="C47" s="26" t="s">
        <v>160</v>
      </c>
      <c r="D47" s="27" t="s">
        <v>161</v>
      </c>
    </row>
    <row r="48" spans="1:4" ht="15" customHeight="1">
      <c r="A48" s="6" t="s">
        <v>162</v>
      </c>
      <c r="B48" s="35">
        <f>IF(ISNUMBER(c_TMB),c_TMB*FA,"ND")</f>
        <v>1230.5286000000001</v>
      </c>
      <c r="C48" s="26" t="s">
        <v>160</v>
      </c>
      <c r="D48" s="27" t="s">
        <v>163</v>
      </c>
    </row>
    <row r="49" spans="1:4" ht="15" customHeight="1">
      <c r="A49" s="6" t="s">
        <v>164</v>
      </c>
      <c r="B49" s="30">
        <f>IF(AND(c_Gate="SÍ",ISNUMBER(c_anios)),SUMPRODUCT((CONFIG!$A$51:$A$56&lt;=c_anios)*(CONFIG!$B$51:$B$56&gt;c_anios)*CONFIG!$C$51:$C$56),"ND")</f>
        <v>0.92</v>
      </c>
      <c r="C49" s="26" t="s">
        <v>165</v>
      </c>
      <c r="D49" s="27" t="s">
        <v>166</v>
      </c>
    </row>
    <row r="50" spans="1:4" ht="15" customHeight="1">
      <c r="A50" s="6" t="s">
        <v>167</v>
      </c>
      <c r="B50" s="35">
        <f>IF(c_Gate&lt;&gt;"SÍ","ND",IF(NOT(ISNUMBER(c_proGk)),"ND",IF(NOT(ISNUMBER(in_Peso)),"ND",IF(OR(in_Peso&lt;PESO_MIN,in_Peso&gt;PESO_MAX),"ND",c_proGk*in_Peso))))</f>
        <v>15.180000000000001</v>
      </c>
      <c r="C50" s="26" t="s">
        <v>168</v>
      </c>
      <c r="D50" s="27" t="s">
        <v>169</v>
      </c>
    </row>
    <row r="51" spans="1:4" ht="15" customHeight="1">
      <c r="A51" s="6" t="s">
        <v>170</v>
      </c>
      <c r="B51" s="36">
        <f>IF(AND(c_Gate="SÍ",ISNUMBER(c_mes)),SUMPRODUCT((CONFIG!$A$60:$A$62&lt;=c_mes)*(CONFIG!$B$60:$B$62&gt;c_mes)*CONFIG!$D$60:$D$62),"ND")</f>
        <v>0.3</v>
      </c>
      <c r="C51" s="26" t="s">
        <v>171</v>
      </c>
      <c r="D51" s="27" t="s">
        <v>172</v>
      </c>
    </row>
    <row r="52" spans="1:4" ht="15" customHeight="1">
      <c r="A52" s="6" t="s">
        <v>173</v>
      </c>
      <c r="B52" s="29">
        <f>IF(AND(ISNUMBER(c_GET),ISNUMBER(c_lipPct)),c_GET*c_lipPct/9,"ND")</f>
        <v>41.017620000000001</v>
      </c>
      <c r="C52" s="26" t="s">
        <v>168</v>
      </c>
      <c r="D52" s="27" t="s">
        <v>174</v>
      </c>
    </row>
    <row r="53" spans="1:4" ht="15" customHeight="1">
      <c r="A53" s="6" t="s">
        <v>175</v>
      </c>
      <c r="B53" s="29">
        <f>IF(AND(ISNUMBER(c_GET),ISNUMBER(c_proReq),ISNUMBER(c_lipReq)),(c_GET-c_proReq*4-c_lipReq*9)/4,"ND")</f>
        <v>200.16250500000001</v>
      </c>
      <c r="C53" s="26" t="s">
        <v>168</v>
      </c>
      <c r="D53" s="27" t="s">
        <v>176</v>
      </c>
    </row>
    <row r="55" spans="1:4">
      <c r="A55" s="130" t="s">
        <v>177</v>
      </c>
      <c r="B55" s="130"/>
      <c r="C55" s="130"/>
      <c r="D55" s="130"/>
    </row>
    <row r="56" spans="1:4">
      <c r="A56" s="11" t="s">
        <v>178</v>
      </c>
      <c r="B56" s="35">
        <f>IF(ISNUMBER(c_zPrim),ROUND(NORMSDIST(c_zPrim)*100,1),"ND")</f>
        <v>57.8</v>
      </c>
    </row>
    <row r="57" spans="1:4">
      <c r="A57" s="11" t="s">
        <v>179</v>
      </c>
      <c r="B57" s="35">
        <f>IF(ISNUMBER(c_zPT),ROUND(NORMSDIST(c_zPT)*100,1),"ND")</f>
        <v>57.8</v>
      </c>
    </row>
    <row r="58" spans="1:4">
      <c r="A58" s="11" t="s">
        <v>180</v>
      </c>
      <c r="B58" s="35" t="str">
        <f>IF(ISNUMBER(c_zIMC),ROUND(NORMSDIST(c_zIMC)*100,1),"ND")</f>
        <v>ND</v>
      </c>
    </row>
    <row r="59" spans="1:4">
      <c r="A59" s="11" t="s">
        <v>181</v>
      </c>
      <c r="B59" s="35" t="str">
        <f>IF(ISNUMBER(c_zPE),ROUND(NORMSDIST(c_zPE)*100,1),"ND")</f>
        <v>ND</v>
      </c>
    </row>
    <row r="60" spans="1:4">
      <c r="A60" s="11" t="s">
        <v>182</v>
      </c>
      <c r="B60" s="35">
        <f>IF(ISNUMBER(c_zTE),ROUND(NORMSDIST(c_zTE)*100,1),"ND")</f>
        <v>47.2</v>
      </c>
    </row>
  </sheetData>
  <sheetProtection algorithmName="SHA-512" hashValue="Nwho4f/q8a40HCLn141E2vskL1sURicMj8gTTh2ip00HUqKckW/CB+MU+uuosiHodkDF7/bfPFSrL+O3RQqwDg==" saltValue="scCQnrvXSYJPuwb3NxeB+g==" spinCount="100000" sheet="1" objects="1" scenarios="1"/>
  <mergeCells count="4">
    <mergeCell ref="A4:D4"/>
    <mergeCell ref="A55:D55"/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726B"/>
  </sheetPr>
  <dimension ref="A1:K53"/>
  <sheetViews>
    <sheetView showGridLines="0" workbookViewId="0">
      <selection activeCell="F3" sqref="F3:K3"/>
    </sheetView>
  </sheetViews>
  <sheetFormatPr baseColWidth="10" defaultColWidth="8.7109375" defaultRowHeight="15"/>
  <cols>
    <col min="1" max="1" width="30" style="1" customWidth="1"/>
    <col min="2" max="2" width="16" style="1" customWidth="1"/>
    <col min="3" max="3" width="24" style="1" customWidth="1"/>
    <col min="4" max="4" width="14" style="1" customWidth="1"/>
    <col min="5" max="5" width="18" style="1" customWidth="1"/>
    <col min="6" max="6" width="16" style="1" customWidth="1"/>
    <col min="7" max="11" width="13.7109375" customWidth="1"/>
  </cols>
  <sheetData>
    <row r="1" spans="1:11" ht="27.75" customHeight="1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30" customHeight="1">
      <c r="A2" s="125" t="s">
        <v>183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4" t="str">
        <f>HYPERLINK("#RESULTADOS!A1","● RESULTADOS")</f>
        <v>●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5" spans="1:11" ht="15" customHeight="1">
      <c r="A5" s="23" t="s">
        <v>184</v>
      </c>
      <c r="B5" s="7"/>
      <c r="C5" s="7"/>
      <c r="D5" s="7"/>
      <c r="E5" s="7"/>
      <c r="F5" s="7"/>
    </row>
    <row r="6" spans="1:11" ht="15" customHeight="1">
      <c r="A6" s="6" t="s">
        <v>185</v>
      </c>
      <c r="B6" s="83" t="str">
        <f>in_ID</f>
        <v>NMX-2026-0014</v>
      </c>
      <c r="C6" s="83"/>
      <c r="D6" s="83"/>
      <c r="E6" s="83"/>
      <c r="F6" s="83"/>
    </row>
    <row r="7" spans="1:11" ht="15" customHeight="1">
      <c r="A7" s="6" t="s">
        <v>186</v>
      </c>
      <c r="B7" s="83" t="str">
        <f>in_Pac</f>
        <v>PAC-0102</v>
      </c>
      <c r="C7" s="83"/>
      <c r="D7" s="83"/>
      <c r="E7" s="83"/>
      <c r="F7" s="83"/>
    </row>
    <row r="8" spans="1:11" ht="15" customHeight="1">
      <c r="A8" s="6" t="s">
        <v>74</v>
      </c>
      <c r="B8" s="83" t="str">
        <f>in_Eval</f>
        <v>EVAL-01</v>
      </c>
      <c r="C8" s="83"/>
      <c r="D8" s="83"/>
      <c r="E8" s="83"/>
      <c r="F8" s="83"/>
    </row>
    <row r="9" spans="1:11" ht="15" customHeight="1">
      <c r="A9" s="6" t="s">
        <v>187</v>
      </c>
      <c r="B9" s="83" t="str">
        <f>in_Sexo&amp;IF(ISNUMBER(c_mes)," · "&amp;c_mes&amp;" meses ("&amp;TEXT(c_anios,"0.0")&amp;" a)"," · (edad ND)")</f>
        <v>Niño · 48 meses (04 a)</v>
      </c>
      <c r="C9" s="83"/>
      <c r="D9" s="83"/>
      <c r="E9" s="83"/>
      <c r="F9" s="83"/>
    </row>
    <row r="10" spans="1:11" ht="15" customHeight="1">
      <c r="A10" s="6" t="s">
        <v>188</v>
      </c>
      <c r="B10" s="83" t="str">
        <f>IF(NOT(ISNUMBER(in_Peso)),"(peso inválido)",IF(OR(in_Peso&lt;PESO_MIN,in_Peso&gt;PESO_MAX),"(peso inválido)",ROUND(in_Peso,1)&amp;" kg"))&amp;" · "&amp;IF(NOT(ISNUMBER(in_Talla)),"(talla inválida)",IF(OR(in_Talla&lt;TALLA_MIN,in_Talla&gt;TALLA_MAX),"(talla inválida)",ROUND(in_Talla,1)&amp;" cm"))</f>
        <v>16,5 kg · 103 cm</v>
      </c>
      <c r="C10" s="83"/>
      <c r="D10" s="83"/>
      <c r="E10" s="83"/>
      <c r="F10" s="83"/>
    </row>
    <row r="11" spans="1:11" ht="15" customHeight="1">
      <c r="A11" s="6" t="s">
        <v>86</v>
      </c>
      <c r="B11" s="83" t="str">
        <f>IF(ISNUMBER(c_imcVal),TEXT(c_imcVal,"0.0")&amp;" kg/m²","ND")</f>
        <v>16 kg/m²</v>
      </c>
      <c r="C11" s="83"/>
      <c r="D11" s="83"/>
      <c r="E11" s="83"/>
      <c r="F11" s="83"/>
    </row>
    <row r="12" spans="1:11" ht="15" customHeight="1">
      <c r="A12" s="6" t="s">
        <v>189</v>
      </c>
      <c r="B12" s="83" t="str">
        <f>IF(OR(in_Prem="No",in_Prem=""),"No aplica",IF(ISNUMBER(c_mesCorr),"Sí · "&amp;TEXT(c_mesCorr,"0.0")&amp;" meses","ND"))</f>
        <v>No aplica</v>
      </c>
      <c r="C12" s="83"/>
      <c r="D12" s="83"/>
      <c r="E12" s="83"/>
      <c r="F12" s="83"/>
    </row>
    <row r="13" spans="1:11" ht="15" customHeight="1">
      <c r="A13" s="6" t="s">
        <v>190</v>
      </c>
      <c r="B13" s="83" t="str">
        <f>IF(c_Gate="SÍ","HABILITADO",IF(NOT(ISNUMBER(in_FNac)),"DATO_INVALIDO · fechas",IF(NOT(ISNUMBER(in_Fecha)),"DATO_INVALIDO · fechas",IF(in_Fecha&lt;=in_FNac,"DATO_INVALIDO · fechas",IF(COUNTIF(SEXOS,in_Sexo)=0,"DATO_INVALIDO · sexo",IF(NOT(ISNUMBER(in_Peso)),"DATO_INVALIDO · peso",IF(OR(in_Peso&lt;PESO_MIN,in_Peso&gt;PESO_MAX),"DATO_INVALIDO · peso",IF(NOT(ISNUMBER(in_Talla)),"DATO_INVALIDO · talla",IF(OR(in_Talla&lt;TALLA_MIN,in_Talla&gt;TALLA_MAX),"DATO_INVALIDO · talla",IF(in_Prem="Sí",IF(NOT(ISNUMBER(in_SemGest)),"DATO_INVALIDO · edad gestacional",IF(OR(in_SemGest&lt;24,in_SemGest&gt;42),"DATO_INVALIDO · edad gestacional",IF(AND(ISNUMBER(c_mes),c_mes&gt;MES_MAX),"FUERA_DE_APLICABILIDAD","BLOQUEADO — revise datos"))),IF(AND(ISNUMBER(c_mes),c_mes&gt;MES_MAX),"FUERA_DE_APLICABILIDAD","BLOQUEADO — revise datos")))))))))))</f>
        <v>HABILITADO</v>
      </c>
      <c r="C13" s="83"/>
      <c r="D13" s="83"/>
      <c r="E13" s="83"/>
      <c r="F13" s="83"/>
    </row>
    <row r="15" spans="1:11" ht="15" customHeight="1">
      <c r="A15" s="23" t="s">
        <v>191</v>
      </c>
      <c r="B15" s="7"/>
      <c r="C15" s="7"/>
      <c r="D15" s="7"/>
      <c r="E15" s="7"/>
      <c r="F15" s="7"/>
    </row>
    <row r="16" spans="1:11" ht="15" customHeight="1">
      <c r="A16" s="38" t="s">
        <v>192</v>
      </c>
      <c r="B16" s="38" t="s">
        <v>193</v>
      </c>
      <c r="C16" s="38" t="s">
        <v>194</v>
      </c>
      <c r="D16" s="38" t="s">
        <v>195</v>
      </c>
      <c r="E16" s="38" t="s">
        <v>196</v>
      </c>
      <c r="F16" s="38" t="s">
        <v>197</v>
      </c>
    </row>
    <row r="17" spans="1:6" ht="15" customHeight="1">
      <c r="A17" s="6" t="s">
        <v>198</v>
      </c>
      <c r="B17" s="25" t="str">
        <f>IF(ISNUMBER(c_zPE),TEXT(c_zPE,"0.00"),"—")</f>
        <v>—</v>
      </c>
      <c r="C17" s="37" t="str">
        <f>IF(ISNUMBER(c_zPE),IF(c_zPE&lt;=Z_DES,"Desnutrición",IF(c_zPE&lt;=Z_RIE,"Riesgo de desnutrir",IF(c_zPE&lt;Z_SOB,"Normal",IF(c_zPE&lt;Z_OBE,"Sobrepeso",IF(c_zPE&lt;Z_SEV,"Obesidad","Obesidad severa"))))),"No aplica")</f>
        <v>No aplica</v>
      </c>
      <c r="D17" s="39" t="str">
        <f>IF(ISNUMBER(c_zPE),IF(c_zPE&lt;=-3,"≤ −3 DE",IF(c_zPE&lt;=-2,"−2 DE",IF(c_zPE&lt;=-1,"−1 DE",IF(c_zPE&lt;1,"Mediana",IF(c_zPE&lt;2,"+1 DE",IF(c_zPE&lt;3,"+2 DE","+3 DE")))))),"—")</f>
        <v>—</v>
      </c>
      <c r="E17" s="40" t="str">
        <f>IF(ISNUMBER(c_zPE),"0–12 m","")</f>
        <v/>
      </c>
      <c r="F17" s="41" t="s">
        <v>199</v>
      </c>
    </row>
    <row r="18" spans="1:6" ht="15" customHeight="1">
      <c r="A18" s="6" t="s">
        <v>200</v>
      </c>
      <c r="B18" s="25" t="str">
        <f>IF(ISNUMBER(c_zPT),TEXT(c_zPT,"0.00"),"—")</f>
        <v>000</v>
      </c>
      <c r="C18" s="37" t="str">
        <f>IF(ISNUMBER(c_zPT),IF(c_zPT&lt;=Z_DES,"Desnutrición",IF(c_zPT&lt;=Z_RIE,"Riesgo de desnutrir",IF(c_zPT&lt;Z_SOB,"Normal",IF(c_zPT&lt;Z_OBE,"Sobrepeso",IF(c_zPT&lt;Z_SEV,"Obesidad","Obesidad severa"))))),"No aplica")</f>
        <v>Normal</v>
      </c>
      <c r="D18" s="39" t="str">
        <f>IF(ISNUMBER(c_zPT),IF(c_zPT&lt;=-3,"≤ −3 DE",IF(c_zPT&lt;=-2,"−2 DE",IF(c_zPT&lt;=-1,"−1 DE",IF(c_zPT&lt;1,"Mediana",IF(c_zPT&lt;2,"+1 DE",IF(c_zPT&lt;3,"+2 DE","+3 DE")))))),"—")</f>
        <v>Mediana</v>
      </c>
      <c r="E18" s="40" t="str">
        <f>IF(ISNUMBER(c_zPT),"45–120 cm","")</f>
        <v>45–120 cm</v>
      </c>
      <c r="F18" s="41" t="s">
        <v>199</v>
      </c>
    </row>
    <row r="19" spans="1:6" ht="15" customHeight="1">
      <c r="A19" s="6" t="s">
        <v>201</v>
      </c>
      <c r="B19" s="25" t="str">
        <f>IF(ISNUMBER(c_zIMC),TEXT(c_zIMC,"0.00"),"—")</f>
        <v>—</v>
      </c>
      <c r="C19" s="37" t="str">
        <f>IF(ISNUMBER(c_zIMC),IF(c_zIMC&lt;=Z_DES,"Desnutrición",IF(c_zIMC&lt;=Z_RIE,"Riesgo de desnutrir",IF(c_zIMC&lt;Z_SOB,"Normal",IF(c_zIMC&lt;Z_OBE,"Sobrepeso",IF(c_zIMC&lt;Z_SEV,"Obesidad","Obesidad severa"))))),"No aplica")</f>
        <v>No aplica</v>
      </c>
      <c r="D19" s="39" t="str">
        <f>IF(ISNUMBER(c_zIMC),IF(c_zIMC&lt;=-3,"≤ −3 DE",IF(c_zIMC&lt;=-2,"−2 DE",IF(c_zIMC&lt;=-1,"−1 DE",IF(c_zIMC&lt;1,"Mediana",IF(c_zIMC&lt;2,"+1 DE",IF(c_zIMC&lt;3,"+2 DE","+3 DE")))))),"—")</f>
        <v>—</v>
      </c>
      <c r="E19" s="40" t="str">
        <f>IF(ISNUMBER(c_zIMC),"≥61 m","")</f>
        <v/>
      </c>
      <c r="F19" s="41" t="s">
        <v>202</v>
      </c>
    </row>
    <row r="20" spans="1:6" ht="15" customHeight="1">
      <c r="A20" s="6" t="s">
        <v>203</v>
      </c>
      <c r="B20" s="25" t="str">
        <f>IF(ISNUMBER(c_zTE),TEXT(c_zTE,"0.00"),"—")</f>
        <v>000</v>
      </c>
      <c r="C20" s="37" t="str">
        <f>IF(ISNUMBER(c_zTE),IF(c_zTE&lt;=-2,"Talla baja",IF(c_zTE&lt;=-1,"Talla normal-baja",IF(c_zTE&lt;2,"Talla normal","Talla alta"))),"No aplica")</f>
        <v>Talla normal</v>
      </c>
      <c r="D20" s="39" t="str">
        <f>IF(ISNUMBER(c_zTE),IF(c_zTE&lt;=-3,"≤ −3 DE",IF(c_zTE&lt;=-2,"−2 DE",IF(c_zTE&lt;=-1,"−1 DE",IF(c_zTE&lt;1,"Mediana",IF(c_zTE&lt;2,"+1 DE",IF(c_zTE&lt;3,"+2 DE","+3 DE")))))),"—")</f>
        <v>Mediana</v>
      </c>
      <c r="E20" s="40" t="str">
        <f>IF(ISNUMBER(c_zTE),"0–228 m","")</f>
        <v>0–228 m</v>
      </c>
      <c r="F20" s="41" t="s">
        <v>199</v>
      </c>
    </row>
    <row r="21" spans="1:6" ht="15" customHeight="1">
      <c r="A21" s="6" t="s">
        <v>204</v>
      </c>
      <c r="B21" s="25" t="str">
        <f>IF(NOT(ISNUMBER(in_PCe)),"—",IF(in_PCe&gt;0,TEXT(in_PCe,"0.0")&amp;" cm","Dato inválido"))</f>
        <v>—</v>
      </c>
      <c r="C21" s="37" t="str">
        <f>IF(AND(ISNUMBER(in_PCe),ISNUMBER(c_pcM2)),IF(in_PCe&lt;=c_pcM2,"Microcefalia",IF(in_PCe&gt;=c_pcP2,"Macrocefalia","Normal")),"No aplica")</f>
        <v>No aplica</v>
      </c>
      <c r="D21" s="39" t="str">
        <f>IF(AND(ISNUMBER(in_PCe),ISNUMBER(c_pcM2)),IF(in_PCe&lt;=c_pcM2,"≤ −2 DE",IF(in_PCe&gt;=c_pcP2,"≥ +2 DE","Normal")),"—")</f>
        <v>—</v>
      </c>
      <c r="E21" s="40" t="str">
        <f>IF(ISNUMBER(c_pcM2),"0–36 m","")</f>
        <v/>
      </c>
      <c r="F21" s="41" t="s">
        <v>205</v>
      </c>
    </row>
    <row r="22" spans="1:6" ht="15" customHeight="1">
      <c r="A22" s="6" t="s">
        <v>64</v>
      </c>
      <c r="B22" s="25" t="str">
        <f>IF(NOT(ISNUMBER(in_Cintura)),"—",IF(in_Cintura&gt;0,TEXT(in_Cintura,"0.0")&amp;" cm","Dato inválido"))</f>
        <v>—</v>
      </c>
      <c r="C22" s="37" t="str">
        <f>IF(AND(ISNUMBER(in_Cintura),ISNUMBER(c_ci75)),IF(in_Cintura&lt;c_ci75,"Normal",IF(in_Cintura&lt;c_ci90,"Riesgo obesidad abdominal","Obesidad abdominal")),"No aplica")</f>
        <v>No aplica</v>
      </c>
      <c r="D22" s="39" t="str">
        <f>IF(AND(ISNUMBER(in_Cintura),ISNUMBER(c_ci75)),IF(in_Cintura&lt;c_ci75,"&lt; p75",IF(in_Cintura&lt;c_ci90,"p75–p90","≥ p90")),"—")</f>
        <v>—</v>
      </c>
      <c r="E22" s="40" t="str">
        <f>IF(ISNUMBER(c_ci75),"≥5 años","")</f>
        <v/>
      </c>
      <c r="F22" s="41" t="s">
        <v>206</v>
      </c>
    </row>
    <row r="24" spans="1:6" ht="15" customHeight="1">
      <c r="A24" s="23" t="s">
        <v>207</v>
      </c>
      <c r="B24" s="7"/>
      <c r="C24" s="7"/>
      <c r="D24" s="7"/>
      <c r="E24" s="7"/>
      <c r="F24" s="7"/>
    </row>
    <row r="25" spans="1:6" ht="15" customHeight="1">
      <c r="A25" s="6" t="s">
        <v>208</v>
      </c>
      <c r="B25" s="78" t="str">
        <f>IF(c_Gate&lt;&gt;"SÍ","ND",IF(c_mes&lt;C_LACT,"P/E o P/T",IF(c_mes&lt;C_IMC,"P/T","IMC/E")))</f>
        <v>P/T</v>
      </c>
      <c r="C25" s="78"/>
      <c r="D25" s="78" t="str">
        <f>IF(ISNUMBER(c_zPrim),"z = "&amp;TEXT(c_zPrim,"0.00"),"ND")</f>
        <v>z = 000</v>
      </c>
      <c r="E25" s="78"/>
      <c r="F25" s="78"/>
    </row>
    <row r="26" spans="1:6" ht="15" customHeight="1">
      <c r="A26" s="5" t="s">
        <v>209</v>
      </c>
      <c r="B26" s="82" t="str">
        <f>IF(ISNUMBER(c_zPrim),IF(c_zPrim&lt;=Z_DES,"Desnutrición",IF(c_zPrim&lt;=Z_RIE,"Riesgo de desnutrir",IF(c_zPrim&lt;Z_SOB,"Normal",IF(c_zPrim&lt;Z_OBE,"Sobrepeso",IF(c_zPrim&lt;Z_SEV,"Obesidad","Obesidad severa"))))),"ND")</f>
        <v>Normal</v>
      </c>
      <c r="C26" s="82"/>
      <c r="D26" s="82"/>
      <c r="E26" s="82"/>
      <c r="F26" s="82"/>
    </row>
    <row r="27" spans="1:6" ht="15" customHeight="1">
      <c r="A27" s="6" t="s">
        <v>210</v>
      </c>
      <c r="B27" s="83" t="str">
        <f>IF(ISNUMBER(c_zTE),IF(c_zTE&lt;=-2,"Talla baja",IF(c_zTE&lt;=-1,"Talla normal-baja",IF(c_zTE&lt;2,"Talla normal","Talla alta"))),"ND")</f>
        <v>Talla normal</v>
      </c>
      <c r="C27" s="83"/>
      <c r="D27" s="83"/>
      <c r="E27" s="83"/>
      <c r="F27" s="83"/>
    </row>
    <row r="28" spans="1:6" ht="42" customHeight="1">
      <c r="A28" s="6" t="s">
        <v>211</v>
      </c>
      <c r="B28" s="84" t="str">
        <f>IF(c_Gate&lt;&gt;"SÍ","No fue posible calcular los indicadores: "&amp;LOWER(B13)&amp;". Revise los datos y sus unidades.",IF(c_mes&lt;C_LACT,"Lactante menor",IF(c_mes&lt;24,"Lactante mayor",IF(c_mes&lt;72,"Preescolar",IF(c_mes&lt;144,"Escolar","Adolescente"))))&amp;" de sexo "&amp;LOWER(in_Sexo)&amp;", con estado nutricional de "&amp;LOWER(IF(c_zPrim&lt;=Z_DES,"Desnutrición",IF(c_zPrim&lt;=Z_RIE,"Riesgo de desnutrir",IF(c_zPrim&lt;Z_SOB,"Normal",IF(c_zPrim&lt;Z_OBE,"Sobrepeso",IF(c_zPrim&lt;Z_SEV,"Obesidad","Obesidad severa"))))))&amp;" y "&amp;LOWER(IF(c_zTE&lt;=-2,"talla baja",IF(c_zTE&lt;=-1,"talla normal-baja",IF(c_zTE&lt;2,"talla normal","talla alta"))))&amp;", según patrones OMS/MINSAL. Interpretar junto al canal de crecimiento y la evaluación clínica.")</f>
        <v>Preescolar de sexo niño, con estado nutricional de normal y talla normal, según patrones OMS/MINSAL. Interpretar junto al canal de crecimiento y la evaluación clínica.</v>
      </c>
      <c r="C28" s="84"/>
      <c r="D28" s="84"/>
      <c r="E28" s="84"/>
      <c r="F28" s="84"/>
    </row>
    <row r="29" spans="1:6" ht="30" customHeight="1">
      <c r="A29" s="5" t="s">
        <v>212</v>
      </c>
      <c r="B29" s="85" t="str">
        <f>IF(c_Gate&lt;&gt;"SÍ","No se emitió una alerta clínica porque el cálculo está bloqueado.",IF(OR(c_zPrim&lt;=Z_DES,c_zPrim&gt;=Z_SEV),"⚠ ALERTA: evaluar derivación a médico o equipo según flujograma MINSAL.",IF(c_zPrim&lt;=Z_RIE,"Atención: riesgo. Reforzar control nutricional.","Sin riesgo inminente en esta evaluación.")))</f>
        <v>Sin riesgo inminente en esta evaluación.</v>
      </c>
      <c r="C29" s="85"/>
      <c r="D29" s="85"/>
      <c r="E29" s="85"/>
      <c r="F29" s="85"/>
    </row>
    <row r="31" spans="1:6" ht="15" customHeight="1">
      <c r="A31" s="23" t="s">
        <v>213</v>
      </c>
      <c r="B31" s="7"/>
      <c r="C31" s="7"/>
      <c r="D31" s="7"/>
      <c r="E31" s="7"/>
      <c r="F31" s="7"/>
    </row>
    <row r="32" spans="1:6" ht="15" customHeight="1">
      <c r="A32" s="6" t="s">
        <v>214</v>
      </c>
      <c r="B32" s="29">
        <f>c_TMB</f>
        <v>878.94900000000007</v>
      </c>
      <c r="C32" s="42" t="s">
        <v>160</v>
      </c>
      <c r="D32" s="81" t="s">
        <v>215</v>
      </c>
      <c r="E32" s="81"/>
      <c r="F32" s="81"/>
    </row>
    <row r="33" spans="1:6" ht="15" customHeight="1">
      <c r="A33" s="6" t="s">
        <v>216</v>
      </c>
      <c r="B33" s="29">
        <f>c_GET</f>
        <v>1230.5286000000001</v>
      </c>
      <c r="C33" s="42" t="s">
        <v>160</v>
      </c>
      <c r="D33" s="81" t="s">
        <v>163</v>
      </c>
      <c r="E33" s="81"/>
      <c r="F33" s="81"/>
    </row>
    <row r="34" spans="1:6" ht="15" customHeight="1">
      <c r="A34" s="6" t="s">
        <v>217</v>
      </c>
      <c r="B34" s="29">
        <f>c_proReq</f>
        <v>15.180000000000001</v>
      </c>
      <c r="C34" s="42" t="s">
        <v>168</v>
      </c>
      <c r="D34" s="81" t="s">
        <v>166</v>
      </c>
      <c r="E34" s="81"/>
      <c r="F34" s="81"/>
    </row>
    <row r="35" spans="1:6" ht="15" customHeight="1">
      <c r="A35" s="6" t="s">
        <v>218</v>
      </c>
      <c r="B35" s="29">
        <f>c_lipReq</f>
        <v>41.017620000000001</v>
      </c>
      <c r="C35" s="42" t="s">
        <v>168</v>
      </c>
      <c r="D35" s="81" t="s">
        <v>219</v>
      </c>
      <c r="E35" s="81"/>
      <c r="F35" s="81"/>
    </row>
    <row r="36" spans="1:6" ht="15" customHeight="1">
      <c r="A36" s="6" t="s">
        <v>220</v>
      </c>
      <c r="B36" s="29">
        <f>c_choReq</f>
        <v>200.16250500000001</v>
      </c>
      <c r="C36" s="42" t="s">
        <v>168</v>
      </c>
      <c r="D36" s="81" t="s">
        <v>221</v>
      </c>
      <c r="E36" s="81"/>
      <c r="F36" s="81"/>
    </row>
    <row r="38" spans="1:6" ht="15" customHeight="1">
      <c r="A38" s="23" t="s">
        <v>222</v>
      </c>
      <c r="B38" s="7"/>
      <c r="C38" s="7"/>
      <c r="D38" s="7"/>
      <c r="E38" s="7"/>
      <c r="F38" s="7"/>
    </row>
    <row r="39" spans="1:6" ht="15" customHeight="1">
      <c r="A39" s="38" t="s">
        <v>223</v>
      </c>
      <c r="B39" s="38" t="s">
        <v>224</v>
      </c>
      <c r="C39" s="38" t="s">
        <v>225</v>
      </c>
      <c r="D39" s="38" t="s">
        <v>226</v>
      </c>
      <c r="E39" s="38" t="s">
        <v>227</v>
      </c>
      <c r="F39" s="38"/>
    </row>
    <row r="40" spans="1:6" ht="15" customHeight="1">
      <c r="A40" s="6" t="s">
        <v>228</v>
      </c>
      <c r="B40" s="29">
        <f>IF(ISNUMBER(c_GET),c_GET,"ND")</f>
        <v>1230.5286000000001</v>
      </c>
      <c r="C40" s="29">
        <f>IF(ISNUMBER(in_kcalIng),in_kcalIng,"—")</f>
        <v>1250</v>
      </c>
      <c r="D40" s="36">
        <f>IF(AND(ISNUMBER(B40),ISNUMBER(C40),B40&gt;0),C40/B40,"—")</f>
        <v>1.0158236062128096</v>
      </c>
      <c r="E40" s="78" t="str">
        <f>IF(NOT(ISNUMBER(D40)),"—",IF(D40&lt;0.9,"Déficit",IF(D40&lt;=1.1,"Adecuado","Exceso")))</f>
        <v>Adecuado</v>
      </c>
      <c r="F40" s="78"/>
    </row>
    <row r="41" spans="1:6" ht="15" customHeight="1">
      <c r="A41" s="6" t="s">
        <v>217</v>
      </c>
      <c r="B41" s="29">
        <f>IF(ISNUMBER(c_proReq),c_proReq,"ND")</f>
        <v>15.180000000000001</v>
      </c>
      <c r="C41" s="29">
        <f>IF(ISNUMBER(in_proIng),in_proIng,"—")</f>
        <v>30</v>
      </c>
      <c r="D41" s="36">
        <f>IF(AND(ISNUMBER(B41),ISNUMBER(C41),B41&gt;0),C41/B41,"—")</f>
        <v>1.9762845849802371</v>
      </c>
      <c r="E41" s="78" t="str">
        <f>IF(NOT(ISNUMBER(D41)),"—",IF(D41&lt;0.9,"Déficit",IF(D41&lt;=1.1,"Adecuado","Exceso")))</f>
        <v>Exceso</v>
      </c>
      <c r="F41" s="78"/>
    </row>
    <row r="43" spans="1:6" ht="15" customHeight="1">
      <c r="A43" s="23" t="s">
        <v>229</v>
      </c>
      <c r="B43" s="7"/>
      <c r="C43" s="7"/>
      <c r="D43" s="7"/>
      <c r="E43" s="7"/>
      <c r="F43" s="7"/>
    </row>
    <row r="44" spans="1:6" ht="15" customHeight="1">
      <c r="A44" s="24" t="s">
        <v>192</v>
      </c>
      <c r="B44" s="24" t="s">
        <v>141</v>
      </c>
    </row>
    <row r="45" spans="1:6" ht="15" customHeight="1">
      <c r="A45" s="6" t="s">
        <v>230</v>
      </c>
      <c r="B45" s="43" t="str">
        <f>IF(ISNUMBER(c_zPE),c_zPE,"")</f>
        <v/>
      </c>
    </row>
    <row r="46" spans="1:6" ht="15" customHeight="1">
      <c r="A46" s="6" t="s">
        <v>231</v>
      </c>
      <c r="B46" s="43">
        <f>IF(ISNUMBER(c_zPT),c_zPT,"")</f>
        <v>0.19643741528915332</v>
      </c>
    </row>
    <row r="47" spans="1:6" ht="15" customHeight="1">
      <c r="A47" s="6" t="s">
        <v>232</v>
      </c>
      <c r="B47" s="43" t="str">
        <f>IF(ISNUMBER(c_zIMC),c_zIMC,"")</f>
        <v/>
      </c>
    </row>
    <row r="48" spans="1:6" ht="15" customHeight="1">
      <c r="A48" s="6" t="s">
        <v>233</v>
      </c>
      <c r="B48" s="43">
        <f>IF(ISNUMBER(c_zTE),c_zTE,"")</f>
        <v>-7.1428571428570703E-2</v>
      </c>
    </row>
    <row r="50" spans="1:6" ht="15" customHeight="1">
      <c r="A50" s="23" t="s">
        <v>234</v>
      </c>
      <c r="B50" s="7"/>
      <c r="C50" s="7"/>
      <c r="D50" s="7"/>
      <c r="E50" s="7"/>
      <c r="F50" s="7"/>
    </row>
    <row r="51" spans="1:6" ht="15" customHeight="1">
      <c r="A51" s="6" t="s">
        <v>235</v>
      </c>
      <c r="B51" s="79" t="str">
        <f>IF(c_Gate="SÍ","—","No fue posible calcular: "&amp;B13&amp;". Revise las entradas en DATOS.")</f>
        <v>—</v>
      </c>
      <c r="C51" s="79"/>
      <c r="D51" s="79"/>
      <c r="E51" s="79"/>
      <c r="F51" s="79"/>
    </row>
    <row r="52" spans="1:6" ht="15" customHeight="1">
      <c r="A52" s="6" t="s">
        <v>236</v>
      </c>
      <c r="B52" s="79" t="str">
        <f>"Cada indicador se calcula solo en su rango de edad/talla; fuera de él se informa 'No aplica'."</f>
        <v>Cada indicador se calcula solo en su rango de edad/talla; fuera de él se informa 'No aplica'.</v>
      </c>
      <c r="C52" s="79"/>
      <c r="D52" s="79"/>
      <c r="E52" s="79"/>
      <c r="F52" s="79"/>
    </row>
    <row r="53" spans="1:6" ht="30" customHeight="1">
      <c r="A53" s="6" t="s">
        <v>237</v>
      </c>
      <c r="B53" s="80" t="str">
        <f>"EXACTITUD MATEMÁTICA ≠ VALIDACIÓN CLÍNICA. No es un diagnóstico médico automático; interpretar junto al canal de crecimiento y la evaluación profesional."</f>
        <v>EXACTITUD MATEMÁTICA ≠ VALIDACIÓN CLÍNICA. No es un diagnóstico médico automático; interpretar junto al canal de crecimiento y la evaluación profesional.</v>
      </c>
      <c r="C53" s="80"/>
      <c r="D53" s="80"/>
      <c r="E53" s="80"/>
      <c r="F53" s="80"/>
    </row>
  </sheetData>
  <sheetProtection algorithmName="SHA-512" hashValue="EAzTJX5XHKeBavYWXyyRLSLRip/6qyKfcyKDTweRIC24+MXdQXS6ft+FiQrCrbGMIlWMa3GCxhTKDCzbfDJwQg==" saltValue="PXAtTle8hL7bfuoRRCaE0g==" spinCount="100000" sheet="1" objects="1" scenarios="1"/>
  <mergeCells count="26">
    <mergeCell ref="A1:K1"/>
    <mergeCell ref="A2:K2"/>
    <mergeCell ref="B6:F6"/>
    <mergeCell ref="B7:F7"/>
    <mergeCell ref="B8:F8"/>
    <mergeCell ref="B9:F9"/>
    <mergeCell ref="B10:F10"/>
    <mergeCell ref="B11:F11"/>
    <mergeCell ref="B12:F12"/>
    <mergeCell ref="B13:F13"/>
    <mergeCell ref="B25:C25"/>
    <mergeCell ref="D25:F25"/>
    <mergeCell ref="B26:F26"/>
    <mergeCell ref="B27:F27"/>
    <mergeCell ref="B28:F28"/>
    <mergeCell ref="B29:F29"/>
    <mergeCell ref="D32:F32"/>
    <mergeCell ref="E41:F41"/>
    <mergeCell ref="B51:F51"/>
    <mergeCell ref="B52:F52"/>
    <mergeCell ref="B53:F53"/>
    <mergeCell ref="D33:F33"/>
    <mergeCell ref="D34:F34"/>
    <mergeCell ref="D35:F35"/>
    <mergeCell ref="D36:F36"/>
    <mergeCell ref="E40:F40"/>
  </mergeCells>
  <conditionalFormatting sqref="B26">
    <cfRule type="cellIs" dxfId="5" priority="2" operator="equal">
      <formula>"Normal"</formula>
    </cfRule>
    <cfRule type="cellIs" dxfId="4" priority="3" operator="equal">
      <formula>"Desnutrición"</formula>
    </cfRule>
    <cfRule type="cellIs" dxfId="3" priority="4" operator="equal">
      <formula>"Obesidad severa"</formula>
    </cfRule>
    <cfRule type="cellIs" dxfId="2" priority="5" operator="equal">
      <formula>"Obesidad"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showGridLines="0" zoomScaleNormal="100" workbookViewId="0">
      <selection activeCell="A4" sqref="A4:J4"/>
    </sheetView>
  </sheetViews>
  <sheetFormatPr baseColWidth="10" defaultColWidth="8.7109375" defaultRowHeight="15"/>
  <cols>
    <col min="1" max="11" width="20.28515625" customWidth="1"/>
    <col min="12" max="12" width="17.5703125" customWidth="1"/>
    <col min="13" max="13" width="14.85546875" customWidth="1"/>
  </cols>
  <sheetData>
    <row r="1" spans="1:18" ht="29.2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</row>
    <row r="2" spans="1:18" ht="27.75" customHeight="1">
      <c r="A2" s="134" t="s">
        <v>238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6"/>
    </row>
    <row r="3" spans="1:18" ht="21.7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4" t="str">
        <f>HYPERLINK("#CURVAS!A1","● CURVAS")</f>
        <v>●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8" ht="42" customHeight="1">
      <c r="A4" s="77" t="s">
        <v>239</v>
      </c>
      <c r="B4" s="77"/>
      <c r="C4" s="77"/>
      <c r="D4" s="77"/>
      <c r="E4" s="77"/>
      <c r="F4" s="77"/>
      <c r="G4" s="77"/>
      <c r="H4" s="77"/>
      <c r="I4" s="77"/>
      <c r="J4" s="77"/>
    </row>
  </sheetData>
  <sheetProtection algorithmName="SHA-512" hashValue="p1ZT0bGCQD24/S48ruS+UthaQwXvXgx3z8h0A1TRx0nMySNw+LSloJGqeXB87L16Eg3TLOe8pAB3/GFns76H6g==" saltValue="F8rMERHEHk6ulhuIKfYGRw==" spinCount="100000" sheet="1" objects="1" scenarios="1"/>
  <mergeCells count="3">
    <mergeCell ref="A4:J4"/>
    <mergeCell ref="A1:R1"/>
    <mergeCell ref="A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86A6C"/>
  </sheetPr>
  <dimension ref="A1:K15"/>
  <sheetViews>
    <sheetView showGridLines="0" topLeftCell="A4" workbookViewId="0">
      <selection activeCell="C10" sqref="C10"/>
    </sheetView>
  </sheetViews>
  <sheetFormatPr baseColWidth="10" defaultColWidth="8.7109375" defaultRowHeight="15"/>
  <cols>
    <col min="1" max="1" width="26" style="1" customWidth="1"/>
    <col min="2" max="2" width="30" style="1" customWidth="1"/>
    <col min="3" max="3" width="14.85546875" style="1" customWidth="1"/>
    <col min="4" max="4" width="28" style="1" customWidth="1"/>
    <col min="5" max="5" width="34" style="1" customWidth="1"/>
    <col min="6" max="6" width="12" style="1" customWidth="1"/>
    <col min="7" max="7" width="32" style="1" customWidth="1"/>
    <col min="8" max="8" width="24" style="1" customWidth="1"/>
    <col min="9" max="9" width="12" style="1" customWidth="1"/>
    <col min="10" max="10" width="28" style="1" customWidth="1"/>
    <col min="11" max="11" width="20.140625" style="1" customWidth="1"/>
  </cols>
  <sheetData>
    <row r="1" spans="1:11" ht="27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6.25" customHeight="1">
      <c r="A2" s="138" t="s">
        <v>1760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8" t="str">
        <f>HYPERLINK("#FUENTES!A1","● FUENTES")</f>
        <v>●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1" ht="15" customHeight="1">
      <c r="K4"/>
    </row>
    <row r="5" spans="1:11" ht="23.25" customHeight="1">
      <c r="A5" s="44" t="s">
        <v>241</v>
      </c>
      <c r="B5" s="44" t="s">
        <v>242</v>
      </c>
      <c r="C5" s="44" t="s">
        <v>243</v>
      </c>
      <c r="D5" s="44" t="s">
        <v>244</v>
      </c>
      <c r="E5" s="44" t="s">
        <v>245</v>
      </c>
      <c r="F5" s="44" t="s">
        <v>246</v>
      </c>
      <c r="G5" s="44" t="s">
        <v>247</v>
      </c>
      <c r="H5" s="44" t="s">
        <v>248</v>
      </c>
      <c r="I5" s="44" t="s">
        <v>249</v>
      </c>
      <c r="J5" s="44" t="s">
        <v>250</v>
      </c>
      <c r="K5" s="44" t="s">
        <v>251</v>
      </c>
    </row>
    <row r="6" spans="1:11" ht="48" customHeight="1">
      <c r="A6" s="45" t="s">
        <v>252</v>
      </c>
      <c r="B6" s="45" t="s">
        <v>253</v>
      </c>
      <c r="C6" s="45" t="s">
        <v>254</v>
      </c>
      <c r="D6" s="45" t="s">
        <v>255</v>
      </c>
      <c r="E6" s="45" t="s">
        <v>256</v>
      </c>
      <c r="F6" s="45" t="s">
        <v>257</v>
      </c>
      <c r="G6" s="45" t="s">
        <v>258</v>
      </c>
      <c r="H6" s="45" t="s">
        <v>259</v>
      </c>
      <c r="I6" s="45" t="s">
        <v>260</v>
      </c>
      <c r="J6" s="45" t="s">
        <v>261</v>
      </c>
      <c r="K6" s="46" t="s">
        <v>262</v>
      </c>
    </row>
    <row r="7" spans="1:11" ht="48" customHeight="1">
      <c r="A7" s="45" t="s">
        <v>263</v>
      </c>
      <c r="B7" s="45" t="s">
        <v>264</v>
      </c>
      <c r="C7" s="45" t="s">
        <v>265</v>
      </c>
      <c r="D7" s="45" t="s">
        <v>266</v>
      </c>
      <c r="E7" s="45" t="s">
        <v>267</v>
      </c>
      <c r="F7" s="45" t="s">
        <v>268</v>
      </c>
      <c r="G7" s="45" t="s">
        <v>269</v>
      </c>
      <c r="H7" s="45" t="s">
        <v>270</v>
      </c>
      <c r="I7" s="45" t="s">
        <v>260</v>
      </c>
      <c r="J7" s="45" t="s">
        <v>261</v>
      </c>
      <c r="K7" s="46" t="s">
        <v>262</v>
      </c>
    </row>
    <row r="8" spans="1:11" ht="48" customHeight="1">
      <c r="A8" s="45" t="s">
        <v>271</v>
      </c>
      <c r="B8" s="45" t="s">
        <v>272</v>
      </c>
      <c r="C8" s="45" t="s">
        <v>273</v>
      </c>
      <c r="D8" s="45" t="s">
        <v>274</v>
      </c>
      <c r="E8" s="45" t="s">
        <v>275</v>
      </c>
      <c r="F8" s="45" t="s">
        <v>268</v>
      </c>
      <c r="G8" s="45" t="s">
        <v>276</v>
      </c>
      <c r="H8" s="45" t="s">
        <v>277</v>
      </c>
      <c r="I8" s="45" t="s">
        <v>260</v>
      </c>
      <c r="J8" s="45" t="s">
        <v>278</v>
      </c>
      <c r="K8" s="46" t="s">
        <v>279</v>
      </c>
    </row>
    <row r="9" spans="1:11" ht="48" customHeight="1">
      <c r="A9" s="45" t="s">
        <v>280</v>
      </c>
      <c r="B9" s="45" t="s">
        <v>281</v>
      </c>
      <c r="C9" s="45" t="s">
        <v>282</v>
      </c>
      <c r="D9" s="45" t="s">
        <v>283</v>
      </c>
      <c r="E9" s="45" t="s">
        <v>284</v>
      </c>
      <c r="F9" s="45" t="s">
        <v>141</v>
      </c>
      <c r="G9" s="45" t="s">
        <v>285</v>
      </c>
      <c r="H9" s="45" t="s">
        <v>286</v>
      </c>
      <c r="I9" s="45" t="s">
        <v>260</v>
      </c>
      <c r="J9" s="45" t="s">
        <v>287</v>
      </c>
      <c r="K9" s="46" t="s">
        <v>262</v>
      </c>
    </row>
    <row r="10" spans="1:11" ht="48" customHeight="1">
      <c r="A10" s="45" t="s">
        <v>64</v>
      </c>
      <c r="B10" s="45" t="s">
        <v>288</v>
      </c>
      <c r="C10" s="45">
        <v>2018</v>
      </c>
      <c r="D10" s="45" t="s">
        <v>289</v>
      </c>
      <c r="E10" s="45" t="s">
        <v>290</v>
      </c>
      <c r="F10" s="45" t="s">
        <v>58</v>
      </c>
      <c r="G10" s="45" t="s">
        <v>291</v>
      </c>
      <c r="H10" s="45" t="s">
        <v>1761</v>
      </c>
      <c r="I10" s="45" t="s">
        <v>260</v>
      </c>
      <c r="J10" s="45" t="s">
        <v>287</v>
      </c>
      <c r="K10" s="46" t="s">
        <v>262</v>
      </c>
    </row>
    <row r="11" spans="1:11" ht="48" customHeight="1">
      <c r="A11" s="45" t="s">
        <v>292</v>
      </c>
      <c r="B11" s="45" t="s">
        <v>293</v>
      </c>
      <c r="C11" s="45" t="s">
        <v>294</v>
      </c>
      <c r="D11" s="45" t="s">
        <v>295</v>
      </c>
      <c r="E11" s="45" t="s">
        <v>296</v>
      </c>
      <c r="F11" s="45" t="s">
        <v>160</v>
      </c>
      <c r="G11" s="45" t="s">
        <v>297</v>
      </c>
      <c r="H11" s="45" t="s">
        <v>298</v>
      </c>
      <c r="I11" s="45" t="s">
        <v>260</v>
      </c>
      <c r="J11" s="45" t="s">
        <v>287</v>
      </c>
      <c r="K11" s="46" t="s">
        <v>262</v>
      </c>
    </row>
    <row r="12" spans="1:11" ht="48" customHeight="1">
      <c r="A12" s="45" t="s">
        <v>299</v>
      </c>
      <c r="B12" s="45" t="s">
        <v>300</v>
      </c>
      <c r="C12" s="45" t="s">
        <v>265</v>
      </c>
      <c r="D12" s="45" t="s">
        <v>301</v>
      </c>
      <c r="E12" s="45" t="s">
        <v>302</v>
      </c>
      <c r="F12" s="45" t="s">
        <v>165</v>
      </c>
      <c r="G12" s="45" t="s">
        <v>303</v>
      </c>
      <c r="H12" s="45" t="s">
        <v>304</v>
      </c>
      <c r="I12" s="45" t="s">
        <v>260</v>
      </c>
      <c r="J12" s="45" t="s">
        <v>287</v>
      </c>
      <c r="K12" s="46" t="s">
        <v>262</v>
      </c>
    </row>
    <row r="13" spans="1:11" ht="48" customHeight="1">
      <c r="A13" s="45" t="s">
        <v>305</v>
      </c>
      <c r="B13" s="45" t="s">
        <v>306</v>
      </c>
      <c r="C13" s="45" t="s">
        <v>307</v>
      </c>
      <c r="D13" s="45" t="s">
        <v>308</v>
      </c>
      <c r="E13" s="45" t="s">
        <v>309</v>
      </c>
      <c r="F13" s="45" t="s">
        <v>171</v>
      </c>
      <c r="G13" s="45" t="s">
        <v>310</v>
      </c>
      <c r="H13" s="45" t="s">
        <v>311</v>
      </c>
      <c r="I13" s="45" t="s">
        <v>260</v>
      </c>
      <c r="J13" s="45" t="s">
        <v>287</v>
      </c>
      <c r="K13" s="46" t="s">
        <v>262</v>
      </c>
    </row>
    <row r="15" spans="1:11" ht="30" customHeight="1">
      <c r="A15" s="76" t="s">
        <v>312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</row>
  </sheetData>
  <sheetProtection algorithmName="SHA-512" hashValue="7MopwDPemlR7pXea2nobMJQVS2qfYtkivftS906Y5cUgiCvN44ypShxbkFCZiKnjdXm1fVqZuI42U8MS8Y9Qgg==" saltValue="w0RVhIFT3LUdOV/x8ohToA==" spinCount="100000" sheet="1" objects="1" scenarios="1"/>
  <mergeCells count="2">
    <mergeCell ref="A15:K15"/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86A6C"/>
  </sheetPr>
  <dimension ref="A1:M84"/>
  <sheetViews>
    <sheetView showGridLines="0" workbookViewId="0">
      <selection activeCell="N5" sqref="N5"/>
    </sheetView>
  </sheetViews>
  <sheetFormatPr baseColWidth="10" defaultColWidth="8.7109375" defaultRowHeight="15"/>
  <cols>
    <col min="1" max="1" width="6" style="1" customWidth="1"/>
    <col min="2" max="2" width="34" style="1" customWidth="1"/>
    <col min="3" max="3" width="9" style="1" customWidth="1"/>
    <col min="4" max="4" width="19.140625" style="1" customWidth="1"/>
    <col min="5" max="11" width="16.7109375" style="1" customWidth="1"/>
    <col min="12" max="12" width="11" style="1" customWidth="1"/>
    <col min="13" max="13" width="10" style="1" customWidth="1"/>
  </cols>
  <sheetData>
    <row r="1" spans="1:13" ht="27.75" customHeight="1">
      <c r="A1" s="2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33" customHeight="1">
      <c r="A2" s="138" t="s">
        <v>1762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3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8" t="str">
        <f>HYPERLINK("#PRUEBAS!A1","● PRUEBAS")</f>
        <v>●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3" ht="15" customHeight="1">
      <c r="A4" s="139" t="s">
        <v>240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6" spans="1:13" ht="15" customHeight="1">
      <c r="A6" s="38" t="s">
        <v>313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5" customHeight="1">
      <c r="A7" s="49" t="s">
        <v>314</v>
      </c>
      <c r="B7" s="49" t="s">
        <v>315</v>
      </c>
      <c r="C7" s="49" t="s">
        <v>316</v>
      </c>
      <c r="D7" s="49" t="s">
        <v>317</v>
      </c>
      <c r="E7" s="49" t="s">
        <v>318</v>
      </c>
      <c r="F7" s="49" t="s">
        <v>319</v>
      </c>
      <c r="G7" s="49" t="s">
        <v>53</v>
      </c>
      <c r="H7" s="49" t="s">
        <v>320</v>
      </c>
      <c r="I7" s="49" t="s">
        <v>321</v>
      </c>
      <c r="J7" s="49" t="s">
        <v>322</v>
      </c>
      <c r="K7" s="49"/>
      <c r="L7" s="49"/>
      <c r="M7" s="49"/>
    </row>
    <row r="8" spans="1:13" ht="15" customHeight="1">
      <c r="A8" s="39" t="s">
        <v>323</v>
      </c>
      <c r="B8" s="50" t="s">
        <v>324</v>
      </c>
      <c r="C8" s="39">
        <v>103</v>
      </c>
      <c r="D8" s="51">
        <v>-0.35210000000000002</v>
      </c>
      <c r="E8" s="51">
        <v>16.229800000000001</v>
      </c>
      <c r="F8" s="52">
        <v>8.3809999999999996E-2</v>
      </c>
      <c r="G8" s="53">
        <v>16.5</v>
      </c>
      <c r="H8" s="32">
        <f>((G8/E8)^D8-1)/(F8*D8)</f>
        <v>0.19643741528915332</v>
      </c>
      <c r="I8" s="51">
        <v>0.196437</v>
      </c>
      <c r="J8" s="54" t="str">
        <f>IF(ABS(H8-I8)&lt;=TOL_Z,"APROBADO","FALLIDO")</f>
        <v>APROBADO</v>
      </c>
      <c r="K8" s="6"/>
      <c r="L8" s="6"/>
      <c r="M8" s="6"/>
    </row>
    <row r="9" spans="1:13" ht="15" customHeight="1">
      <c r="A9" s="39" t="s">
        <v>325</v>
      </c>
      <c r="B9" s="50" t="s">
        <v>326</v>
      </c>
      <c r="C9" s="39">
        <v>90</v>
      </c>
      <c r="D9" s="51">
        <v>-0.35210000000000002</v>
      </c>
      <c r="E9" s="51">
        <v>12.8864</v>
      </c>
      <c r="F9" s="52">
        <v>8.0320000000000003E-2</v>
      </c>
      <c r="G9" s="53">
        <v>13</v>
      </c>
      <c r="H9" s="32">
        <f>((G9/E9)^D9-1)/(F9*D9)</f>
        <v>0.10910505503633715</v>
      </c>
      <c r="I9" s="51">
        <v>0.10910499999999999</v>
      </c>
      <c r="J9" s="54" t="str">
        <f>IF(ABS(H9-I9)&lt;=TOL_Z,"APROBADO","FALLIDO")</f>
        <v>APROBADO</v>
      </c>
      <c r="K9" s="6"/>
      <c r="L9" s="6"/>
      <c r="M9" s="6"/>
    </row>
    <row r="10" spans="1:13" ht="15" customHeight="1">
      <c r="A10" s="39" t="s">
        <v>327</v>
      </c>
      <c r="B10" s="50" t="s">
        <v>328</v>
      </c>
      <c r="C10" s="39">
        <v>110</v>
      </c>
      <c r="D10" s="51">
        <v>-0.35210000000000002</v>
      </c>
      <c r="E10" s="51">
        <v>18.515799999999999</v>
      </c>
      <c r="F10" s="52">
        <v>8.7999999999999995E-2</v>
      </c>
      <c r="G10" s="53">
        <v>20</v>
      </c>
      <c r="H10" s="32">
        <f>((G10/E10)^D10-1)/(F10*D10)</f>
        <v>0.86443788840307889</v>
      </c>
      <c r="I10" s="51">
        <v>0.86443800000000004</v>
      </c>
      <c r="J10" s="54" t="str">
        <f>IF(ABS(H10-I10)&lt;=TOL_Z,"APROBADO","FALLIDO")</f>
        <v>APROBADO</v>
      </c>
      <c r="K10" s="6"/>
      <c r="L10" s="6"/>
      <c r="M10" s="6"/>
    </row>
    <row r="11" spans="1:13" ht="15" customHeight="1">
      <c r="A11" s="39" t="s">
        <v>329</v>
      </c>
      <c r="B11" s="50" t="s">
        <v>330</v>
      </c>
      <c r="C11" s="39">
        <v>75</v>
      </c>
      <c r="D11" s="51">
        <v>-0.35210000000000002</v>
      </c>
      <c r="E11" s="51">
        <v>9.5031999999999996</v>
      </c>
      <c r="F11" s="52">
        <v>8.2949999999999996E-2</v>
      </c>
      <c r="G11" s="53">
        <v>9.5</v>
      </c>
      <c r="H11" s="32">
        <f>((G11/E11)^D11-1)/(F11*D11)</f>
        <v>-4.0603418427023743E-3</v>
      </c>
      <c r="I11" s="51">
        <v>-4.0600000000000002E-3</v>
      </c>
      <c r="J11" s="54" t="str">
        <f>IF(ABS(H11-I11)&lt;=TOL_Z,"APROBADO","FALLIDO")</f>
        <v>APROBADO</v>
      </c>
      <c r="K11" s="6"/>
      <c r="L11" s="6"/>
      <c r="M11" s="6"/>
    </row>
    <row r="12" spans="1:13" ht="15" customHeight="1">
      <c r="A12" s="39" t="s">
        <v>331</v>
      </c>
      <c r="B12" s="50" t="s">
        <v>332</v>
      </c>
      <c r="C12" s="39">
        <v>120</v>
      </c>
      <c r="D12" s="51">
        <v>-0.35210000000000002</v>
      </c>
      <c r="E12" s="51">
        <v>22.353000000000002</v>
      </c>
      <c r="F12" s="52">
        <v>9.4240000000000004E-2</v>
      </c>
      <c r="G12" s="53">
        <v>25</v>
      </c>
      <c r="H12" s="32">
        <f>((G12/E12)^D12-1)/(F12*D12)</f>
        <v>1.1644623642102305</v>
      </c>
      <c r="I12" s="51">
        <v>1.1644620000000001</v>
      </c>
      <c r="J12" s="54" t="str">
        <f>IF(ABS(H12-I12)&lt;=TOL_Z,"APROBADO","FALLIDO")</f>
        <v>APROBADO</v>
      </c>
      <c r="K12" s="6"/>
      <c r="L12" s="6"/>
      <c r="M12" s="6"/>
    </row>
    <row r="14" spans="1:13" ht="15" customHeight="1">
      <c r="A14" s="38" t="s">
        <v>333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15" customHeight="1">
      <c r="A15" s="49" t="s">
        <v>314</v>
      </c>
      <c r="B15" s="49" t="s">
        <v>334</v>
      </c>
      <c r="C15" s="49" t="s">
        <v>317</v>
      </c>
      <c r="D15" s="49" t="s">
        <v>318</v>
      </c>
      <c r="E15" s="49" t="s">
        <v>319</v>
      </c>
      <c r="F15" s="49" t="s">
        <v>86</v>
      </c>
      <c r="G15" s="49" t="s">
        <v>320</v>
      </c>
      <c r="H15" s="49" t="s">
        <v>321</v>
      </c>
      <c r="I15" s="49" t="s">
        <v>322</v>
      </c>
      <c r="J15" s="49"/>
      <c r="K15" s="49"/>
      <c r="L15" s="49"/>
      <c r="M15" s="49"/>
    </row>
    <row r="16" spans="1:13" ht="15" customHeight="1">
      <c r="A16" s="39" t="s">
        <v>335</v>
      </c>
      <c r="B16" s="39">
        <v>72</v>
      </c>
      <c r="C16" s="51">
        <v>-0.99209999999999998</v>
      </c>
      <c r="D16" s="51">
        <v>15.3062</v>
      </c>
      <c r="E16" s="52">
        <v>8.6819999999999994E-2</v>
      </c>
      <c r="F16" s="53">
        <v>15</v>
      </c>
      <c r="G16" s="32">
        <f>((F16/D16)^C16-1)/(E16*C16)</f>
        <v>-0.23510364577320234</v>
      </c>
      <c r="H16" s="51">
        <v>-0.23510400000000001</v>
      </c>
      <c r="I16" s="54" t="str">
        <f>IF(ABS(G16-H16)&lt;=TOL_Z,"APROBADO","FALLIDO")</f>
        <v>APROBADO</v>
      </c>
      <c r="J16" s="6"/>
      <c r="K16" s="6"/>
      <c r="L16" s="6"/>
      <c r="M16" s="6"/>
    </row>
    <row r="17" spans="1:13" ht="15" customHeight="1">
      <c r="A17" s="39" t="s">
        <v>336</v>
      </c>
      <c r="B17" s="39">
        <v>120</v>
      </c>
      <c r="C17" s="51">
        <v>-1.7406999999999999</v>
      </c>
      <c r="D17" s="51">
        <v>16.443300000000001</v>
      </c>
      <c r="E17" s="52">
        <v>0.10566</v>
      </c>
      <c r="F17" s="53">
        <v>17</v>
      </c>
      <c r="G17" s="32">
        <f>((F17/D17)^C17-1)/(E17*C17)</f>
        <v>0.30615910247141598</v>
      </c>
      <c r="H17" s="51">
        <v>0.30615900000000001</v>
      </c>
      <c r="I17" s="54" t="str">
        <f>IF(ABS(G17-H17)&lt;=TOL_Z,"APROBADO","FALLIDO")</f>
        <v>APROBADO</v>
      </c>
      <c r="J17" s="6"/>
      <c r="K17" s="6"/>
      <c r="L17" s="6"/>
      <c r="M17" s="6"/>
    </row>
    <row r="18" spans="1:13" ht="15" customHeight="1">
      <c r="A18" s="39" t="s">
        <v>337</v>
      </c>
      <c r="B18" s="39">
        <v>180</v>
      </c>
      <c r="C18" s="51">
        <v>-1.4961</v>
      </c>
      <c r="D18" s="51">
        <v>19.7744</v>
      </c>
      <c r="E18" s="52">
        <v>0.12411999999999999</v>
      </c>
      <c r="F18" s="53">
        <v>21</v>
      </c>
      <c r="G18" s="32">
        <f>((F18/D18)^C18-1)/(E18*C18)</f>
        <v>0.4633302382230251</v>
      </c>
      <c r="H18" s="51">
        <v>0.46333000000000002</v>
      </c>
      <c r="I18" s="54" t="str">
        <f>IF(ABS(G18-H18)&lt;=TOL_Z,"APROBADO","FALLIDO")</f>
        <v>APROBADO</v>
      </c>
      <c r="J18" s="6"/>
      <c r="K18" s="6"/>
      <c r="L18" s="6"/>
      <c r="M18" s="6"/>
    </row>
    <row r="19" spans="1:13" ht="15" customHeight="1">
      <c r="A19" s="39" t="s">
        <v>338</v>
      </c>
      <c r="B19" s="39">
        <v>61</v>
      </c>
      <c r="C19" s="51">
        <v>-0.73870000000000002</v>
      </c>
      <c r="D19" s="51">
        <v>15.264099999999999</v>
      </c>
      <c r="E19" s="52">
        <v>8.3900000000000002E-2</v>
      </c>
      <c r="F19" s="53">
        <v>14</v>
      </c>
      <c r="G19" s="32">
        <f>((F19/D19)^C19-1)/(E19*C19)</f>
        <v>-1.0639592359933381</v>
      </c>
      <c r="H19" s="51">
        <v>-1.0639590000000001</v>
      </c>
      <c r="I19" s="54" t="str">
        <f>IF(ABS(G19-H19)&lt;=TOL_Z,"APROBADO","FALLIDO")</f>
        <v>APROBADO</v>
      </c>
      <c r="J19" s="6"/>
      <c r="K19" s="6"/>
      <c r="L19" s="6"/>
      <c r="M19" s="6"/>
    </row>
    <row r="20" spans="1:13" ht="15" customHeight="1">
      <c r="A20" s="39" t="s">
        <v>339</v>
      </c>
      <c r="B20" s="39">
        <v>228</v>
      </c>
      <c r="C20" s="51">
        <v>-0.84189999999999998</v>
      </c>
      <c r="D20" s="51">
        <v>22.188300000000002</v>
      </c>
      <c r="E20" s="52">
        <v>0.12948000000000001</v>
      </c>
      <c r="F20" s="53">
        <v>23</v>
      </c>
      <c r="G20" s="32">
        <f>((F20/D20)^C20-1)/(E20*C20)</f>
        <v>0.27333276701707571</v>
      </c>
      <c r="H20" s="51">
        <v>0.27333299999999999</v>
      </c>
      <c r="I20" s="54" t="str">
        <f>IF(ABS(G20-H20)&lt;=TOL_Z,"APROBADO","FALLIDO")</f>
        <v>APROBADO</v>
      </c>
      <c r="J20" s="6"/>
      <c r="K20" s="6"/>
      <c r="L20" s="6"/>
      <c r="M20" s="6"/>
    </row>
    <row r="22" spans="1:13" ht="15" customHeight="1">
      <c r="A22" s="38" t="s">
        <v>340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15" customHeight="1">
      <c r="A23" s="49" t="s">
        <v>314</v>
      </c>
      <c r="B23" s="49" t="s">
        <v>315</v>
      </c>
      <c r="C23" s="49" t="s">
        <v>341</v>
      </c>
      <c r="D23" s="49" t="s">
        <v>342</v>
      </c>
      <c r="E23" s="49" t="s">
        <v>343</v>
      </c>
      <c r="F23" s="49" t="s">
        <v>344</v>
      </c>
      <c r="G23" s="49" t="s">
        <v>345</v>
      </c>
      <c r="H23" s="49" t="s">
        <v>346</v>
      </c>
      <c r="I23" s="49" t="s">
        <v>322</v>
      </c>
      <c r="J23" s="49"/>
      <c r="K23" s="49"/>
      <c r="L23" s="49"/>
      <c r="M23" s="49"/>
    </row>
    <row r="24" spans="1:13" ht="15" customHeight="1">
      <c r="A24" s="39" t="s">
        <v>347</v>
      </c>
      <c r="B24" s="50" t="s">
        <v>348</v>
      </c>
      <c r="C24" s="51">
        <v>0.12570000000000001</v>
      </c>
      <c r="D24" s="51">
        <v>7.9340000000000002</v>
      </c>
      <c r="E24" s="52">
        <v>0.10958</v>
      </c>
      <c r="F24" s="53">
        <v>8</v>
      </c>
      <c r="G24" s="32">
        <f>((F24/D24)^C24-1)/(E24*C24)</f>
        <v>7.5639116385806296E-2</v>
      </c>
      <c r="H24" s="51">
        <v>7.5638999999999998E-2</v>
      </c>
      <c r="I24" s="54" t="str">
        <f>IF(ABS(G24-H24)&lt;=TOL_Z,"APROBADO","FALLIDO")</f>
        <v>APROBADO</v>
      </c>
      <c r="J24" s="6"/>
      <c r="K24" s="6"/>
      <c r="L24" s="6"/>
      <c r="M24" s="6"/>
    </row>
    <row r="25" spans="1:13" ht="15" customHeight="1">
      <c r="A25" s="39" t="s">
        <v>349</v>
      </c>
      <c r="B25" s="50" t="s">
        <v>350</v>
      </c>
      <c r="C25" s="51">
        <v>0.12570000000000001</v>
      </c>
      <c r="D25" s="51">
        <v>7.9340000000000002</v>
      </c>
      <c r="E25" s="52">
        <v>0.10958</v>
      </c>
      <c r="F25" s="53">
        <v>7</v>
      </c>
      <c r="G25" s="32">
        <f>((F25/D25)^C25-1)/(E25*C25)</f>
        <v>-1.1340245291194384</v>
      </c>
      <c r="H25" s="51">
        <v>-1.1340250000000001</v>
      </c>
      <c r="I25" s="54" t="str">
        <f>IF(ABS(G25-H25)&lt;=TOL_Z,"APROBADO","FALLIDO")</f>
        <v>APROBADO</v>
      </c>
      <c r="J25" s="6"/>
      <c r="K25" s="6"/>
      <c r="L25" s="6"/>
      <c r="M25" s="6"/>
    </row>
    <row r="26" spans="1:13" ht="15" customHeight="1">
      <c r="A26" s="39" t="s">
        <v>351</v>
      </c>
      <c r="B26" s="50" t="s">
        <v>352</v>
      </c>
      <c r="C26" s="51">
        <v>99.1</v>
      </c>
      <c r="D26" s="51">
        <v>103.3</v>
      </c>
      <c r="E26" s="53">
        <v>107.5</v>
      </c>
      <c r="F26" s="53">
        <v>103</v>
      </c>
      <c r="G26" s="32">
        <f>IF(F26&gt;=D26,(F26-D26)/(E26-D26),(F26-D26)/(D26-C26))</f>
        <v>-7.1428571428570703E-2</v>
      </c>
      <c r="H26" s="51">
        <v>-7.1429000000000006E-2</v>
      </c>
      <c r="I26" s="54" t="str">
        <f>IF(ABS(G26-H26)&lt;=TOL_Z,"APROBADO","FALLIDO")</f>
        <v>APROBADO</v>
      </c>
      <c r="J26" s="6"/>
      <c r="K26" s="6"/>
      <c r="L26" s="6"/>
      <c r="M26" s="6"/>
    </row>
    <row r="27" spans="1:13" ht="15" customHeight="1">
      <c r="A27" s="39" t="s">
        <v>353</v>
      </c>
      <c r="B27" s="50" t="s">
        <v>354</v>
      </c>
      <c r="C27" s="51">
        <v>99.1</v>
      </c>
      <c r="D27" s="51">
        <v>103.3</v>
      </c>
      <c r="E27" s="53">
        <v>107.5</v>
      </c>
      <c r="F27" s="53">
        <v>96</v>
      </c>
      <c r="G27" s="32">
        <f>IF(F27&gt;=D27,(F27-D27)/(E27-D27),(F27-D27)/(D27-C27))</f>
        <v>-1.7380952380952361</v>
      </c>
      <c r="H27" s="51">
        <v>-1.7380949999999999</v>
      </c>
      <c r="I27" s="54" t="str">
        <f>IF(ABS(G27-H27)&lt;=TOL_Z,"APROBADO","FALLIDO")</f>
        <v>APROBADO</v>
      </c>
      <c r="J27" s="6"/>
      <c r="K27" s="6"/>
      <c r="L27" s="6"/>
      <c r="M27" s="6"/>
    </row>
    <row r="29" spans="1:13" ht="15" customHeight="1">
      <c r="A29" s="38" t="s">
        <v>355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15" customHeight="1">
      <c r="A30" s="49" t="s">
        <v>314</v>
      </c>
      <c r="B30" s="49" t="s">
        <v>38</v>
      </c>
      <c r="C30" s="49" t="s">
        <v>356</v>
      </c>
      <c r="D30" s="49" t="s">
        <v>53</v>
      </c>
      <c r="E30" s="49" t="s">
        <v>357</v>
      </c>
      <c r="F30" s="49" t="s">
        <v>358</v>
      </c>
      <c r="G30" s="49" t="s">
        <v>359</v>
      </c>
      <c r="H30" s="49" t="s">
        <v>360</v>
      </c>
      <c r="I30" s="49" t="s">
        <v>322</v>
      </c>
      <c r="J30" s="49" t="s">
        <v>361</v>
      </c>
      <c r="K30" s="49" t="s">
        <v>362</v>
      </c>
      <c r="L30" s="49" t="s">
        <v>322</v>
      </c>
      <c r="M30" s="49"/>
    </row>
    <row r="31" spans="1:13" ht="15" customHeight="1">
      <c r="A31" s="39" t="s">
        <v>363</v>
      </c>
      <c r="B31" s="39" t="s">
        <v>318</v>
      </c>
      <c r="C31" s="39">
        <v>4</v>
      </c>
      <c r="D31" s="53">
        <v>16.5</v>
      </c>
      <c r="E31" s="55">
        <v>22.706</v>
      </c>
      <c r="F31" s="53">
        <v>504.3</v>
      </c>
      <c r="G31" s="29">
        <f>E31*D31+F31</f>
        <v>878.94900000000007</v>
      </c>
      <c r="H31" s="53">
        <v>878.94899999999996</v>
      </c>
      <c r="I31" s="54" t="str">
        <f>IF(ABS(G31-H31)&lt;=TOL_K,"APROBADO","FALLIDO")</f>
        <v>APROBADO</v>
      </c>
      <c r="J31" s="29">
        <f>G31*FA</f>
        <v>1230.5286000000001</v>
      </c>
      <c r="K31" s="53">
        <v>1230.5286000000001</v>
      </c>
      <c r="L31" s="54" t="str">
        <f>IF(ABS(J31-K31)&lt;=TOL_K,"APROBADO","FALLIDO")</f>
        <v>APROBADO</v>
      </c>
      <c r="M31" s="6"/>
    </row>
    <row r="32" spans="1:13" ht="15" customHeight="1">
      <c r="A32" s="39" t="s">
        <v>364</v>
      </c>
      <c r="B32" s="39" t="s">
        <v>365</v>
      </c>
      <c r="C32" s="39">
        <v>8</v>
      </c>
      <c r="D32" s="53">
        <v>25</v>
      </c>
      <c r="E32" s="55">
        <v>20.315000000000001</v>
      </c>
      <c r="F32" s="53">
        <v>485.9</v>
      </c>
      <c r="G32" s="29">
        <f>E32*D32+F32</f>
        <v>993.77500000000009</v>
      </c>
      <c r="H32" s="53">
        <v>993.77499999999998</v>
      </c>
      <c r="I32" s="54" t="str">
        <f>IF(ABS(G32-H32)&lt;=TOL_K,"APROBADO","FALLIDO")</f>
        <v>APROBADO</v>
      </c>
      <c r="J32" s="29">
        <f>G32*FA</f>
        <v>1391.2850000000001</v>
      </c>
      <c r="K32" s="53">
        <v>1391.2850000000001</v>
      </c>
      <c r="L32" s="54" t="str">
        <f>IF(ABS(J32-K32)&lt;=TOL_K,"APROBADO","FALLIDO")</f>
        <v>APROBADO</v>
      </c>
      <c r="M32" s="6"/>
    </row>
    <row r="33" spans="1:13" ht="15" customHeight="1">
      <c r="A33" s="39" t="s">
        <v>366</v>
      </c>
      <c r="B33" s="39" t="s">
        <v>318</v>
      </c>
      <c r="C33" s="39">
        <v>15</v>
      </c>
      <c r="D33" s="53">
        <v>55</v>
      </c>
      <c r="E33" s="55">
        <v>17.686</v>
      </c>
      <c r="F33" s="53">
        <v>658.2</v>
      </c>
      <c r="G33" s="29">
        <f>E33*D33+F33</f>
        <v>1630.93</v>
      </c>
      <c r="H33" s="53">
        <v>1630.93</v>
      </c>
      <c r="I33" s="54" t="str">
        <f>IF(ABS(G33-H33)&lt;=TOL_K,"APROBADO","FALLIDO")</f>
        <v>APROBADO</v>
      </c>
      <c r="J33" s="29">
        <f>G33*FA</f>
        <v>2283.3020000000001</v>
      </c>
      <c r="K33" s="53">
        <v>2283.3020000000001</v>
      </c>
      <c r="L33" s="54" t="str">
        <f>IF(ABS(J33-K33)&lt;=TOL_K,"APROBADO","FALLIDO")</f>
        <v>APROBADO</v>
      </c>
      <c r="M33" s="6"/>
    </row>
    <row r="34" spans="1:13" ht="15" customHeight="1">
      <c r="A34" s="39" t="s">
        <v>367</v>
      </c>
      <c r="B34" s="39" t="s">
        <v>365</v>
      </c>
      <c r="C34" s="39">
        <v>2</v>
      </c>
      <c r="D34" s="53">
        <v>12</v>
      </c>
      <c r="E34" s="55">
        <v>58.317</v>
      </c>
      <c r="F34" s="53">
        <v>-31.1</v>
      </c>
      <c r="G34" s="29">
        <f>E34*D34+F34</f>
        <v>668.70399999999995</v>
      </c>
      <c r="H34" s="53">
        <v>668.70399999999995</v>
      </c>
      <c r="I34" s="54" t="str">
        <f>IF(ABS(G34-H34)&lt;=TOL_K,"APROBADO","FALLIDO")</f>
        <v>APROBADO</v>
      </c>
      <c r="J34" s="29">
        <f>G34*FA</f>
        <v>936.18559999999991</v>
      </c>
      <c r="K34" s="53">
        <v>936.18560000000002</v>
      </c>
      <c r="L34" s="54" t="str">
        <f>IF(ABS(J34-K34)&lt;=TOL_K,"APROBADO","FALLIDO")</f>
        <v>APROBADO</v>
      </c>
      <c r="M34" s="6"/>
    </row>
    <row r="35" spans="1:13" ht="15" customHeight="1">
      <c r="A35" s="39" t="s">
        <v>368</v>
      </c>
      <c r="B35" s="39" t="s">
        <v>318</v>
      </c>
      <c r="C35" s="39">
        <v>1</v>
      </c>
      <c r="D35" s="53">
        <v>10</v>
      </c>
      <c r="E35" s="55">
        <v>59.512</v>
      </c>
      <c r="F35" s="53">
        <v>-30.4</v>
      </c>
      <c r="G35" s="29">
        <f>E35*D35+F35</f>
        <v>564.72</v>
      </c>
      <c r="H35" s="53">
        <v>564.72</v>
      </c>
      <c r="I35" s="54" t="str">
        <f>IF(ABS(G35-H35)&lt;=TOL_K,"APROBADO","FALLIDO")</f>
        <v>APROBADO</v>
      </c>
      <c r="J35" s="29">
        <f>G35*FA</f>
        <v>790.60799999999995</v>
      </c>
      <c r="K35" s="53">
        <v>790.60799999999995</v>
      </c>
      <c r="L35" s="54" t="str">
        <f>IF(ABS(J35-K35)&lt;=TOL_K,"APROBADO","FALLIDO")</f>
        <v>APROBADO</v>
      </c>
      <c r="M35" s="6"/>
    </row>
    <row r="37" spans="1:13" ht="15" customHeight="1">
      <c r="A37" s="38" t="s">
        <v>369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 ht="15" customHeight="1">
      <c r="A38" s="49" t="s">
        <v>314</v>
      </c>
      <c r="B38" s="49" t="s">
        <v>370</v>
      </c>
      <c r="C38" s="49" t="s">
        <v>371</v>
      </c>
      <c r="D38" s="49" t="s">
        <v>346</v>
      </c>
      <c r="E38" s="49" t="s">
        <v>345</v>
      </c>
      <c r="F38" s="49" t="s">
        <v>322</v>
      </c>
      <c r="G38" s="49"/>
      <c r="H38" s="49"/>
      <c r="I38" s="49"/>
      <c r="J38" s="49"/>
      <c r="K38" s="49"/>
      <c r="L38" s="49"/>
      <c r="M38" s="49"/>
    </row>
    <row r="39" spans="1:13" ht="15" customHeight="1">
      <c r="A39" s="39" t="s">
        <v>372</v>
      </c>
      <c r="B39" s="50" t="s">
        <v>373</v>
      </c>
      <c r="C39" s="40" t="s">
        <v>374</v>
      </c>
      <c r="D39" s="50" t="s">
        <v>375</v>
      </c>
      <c r="E39" s="56" t="str">
        <f>IF(NOT(ISNUMBER(-5)),"ERROR: peso no numérico",IF(AND(-5&gt;=1,-5&lt;=150),"OK","ERROR: peso fuera de rango"))</f>
        <v>ERROR: peso fuera de rango</v>
      </c>
      <c r="F39" s="54" t="str">
        <f t="shared" ref="F39:F46" si="0">IF(E39=D39,"APROBADO","FALLIDO")</f>
        <v>APROBADO</v>
      </c>
      <c r="G39" s="6"/>
      <c r="H39" s="6"/>
      <c r="I39" s="6"/>
      <c r="J39" s="6"/>
      <c r="K39" s="6"/>
      <c r="L39" s="6"/>
      <c r="M39" s="6"/>
    </row>
    <row r="40" spans="1:13" ht="15" customHeight="1">
      <c r="A40" s="39" t="s">
        <v>376</v>
      </c>
      <c r="B40" s="50" t="s">
        <v>377</v>
      </c>
      <c r="C40" s="40" t="s">
        <v>378</v>
      </c>
      <c r="D40" s="50" t="s">
        <v>379</v>
      </c>
      <c r="E40" s="56" t="str">
        <f>IF(NOT(ISNUMBER("diez")),"ERROR: peso no numérico",IF(AND("diez"&gt;=1,"diez"&lt;=150),"OK","ERROR: peso fuera de rango"))</f>
        <v>ERROR: peso no numérico</v>
      </c>
      <c r="F40" s="54" t="str">
        <f t="shared" si="0"/>
        <v>APROBADO</v>
      </c>
      <c r="G40" s="6"/>
      <c r="H40" s="6"/>
      <c r="I40" s="6"/>
      <c r="J40" s="6"/>
      <c r="K40" s="6"/>
      <c r="L40" s="6"/>
      <c r="M40" s="6"/>
    </row>
    <row r="41" spans="1:13" ht="15" customHeight="1">
      <c r="A41" s="39" t="s">
        <v>380</v>
      </c>
      <c r="B41" s="50" t="s">
        <v>381</v>
      </c>
      <c r="C41" s="40" t="s">
        <v>382</v>
      </c>
      <c r="D41" s="50" t="s">
        <v>383</v>
      </c>
      <c r="E41" s="56" t="str">
        <f>IF(NOT(ISNUMBER(300)),"ERROR: talla no numérica",IF(AND(300&gt;=40,300&lt;=210),"OK","ERROR: talla fuera de rango"))</f>
        <v>ERROR: talla fuera de rango</v>
      </c>
      <c r="F41" s="54" t="str">
        <f t="shared" si="0"/>
        <v>APROBADO</v>
      </c>
      <c r="G41" s="6"/>
      <c r="H41" s="6"/>
      <c r="I41" s="6"/>
      <c r="J41" s="6"/>
      <c r="K41" s="6"/>
      <c r="L41" s="6"/>
      <c r="M41" s="6"/>
    </row>
    <row r="42" spans="1:13" ht="15" customHeight="1">
      <c r="A42" s="39" t="s">
        <v>384</v>
      </c>
      <c r="B42" s="50" t="s">
        <v>385</v>
      </c>
      <c r="C42" s="40" t="s">
        <v>386</v>
      </c>
      <c r="D42" s="50" t="s">
        <v>387</v>
      </c>
      <c r="E42" s="56" t="str">
        <f>IF(NOT(ISNUMBER(103)),"ERROR: talla no numérica",IF(AND(103&gt;=40,103&lt;=210),"OK","ERROR: talla fuera de rango"))</f>
        <v>OK</v>
      </c>
      <c r="F42" s="54" t="str">
        <f t="shared" si="0"/>
        <v>APROBADO</v>
      </c>
      <c r="G42" s="6"/>
      <c r="H42" s="6"/>
      <c r="I42" s="6"/>
      <c r="J42" s="6"/>
      <c r="K42" s="6"/>
      <c r="L42" s="6"/>
      <c r="M42" s="6"/>
    </row>
    <row r="43" spans="1:13" ht="15" customHeight="1">
      <c r="A43" s="39" t="s">
        <v>388</v>
      </c>
      <c r="B43" s="50" t="s">
        <v>389</v>
      </c>
      <c r="C43" s="40" t="s">
        <v>390</v>
      </c>
      <c r="D43" s="50" t="s">
        <v>391</v>
      </c>
      <c r="E43" s="56" t="str">
        <f>IF(-2.3&lt;=-2,"Desnutrición",IF(-2.3&lt;=-1,"Riesgo de desnutrir",IF(-2.3&lt;1,"Normal",IF(-2.3&lt;2,"Sobrepeso",IF(-2.3&lt;3,"Obesidad","Obesidad severa")))))</f>
        <v>Desnutrición</v>
      </c>
      <c r="F43" s="54" t="str">
        <f t="shared" si="0"/>
        <v>APROBADO</v>
      </c>
      <c r="G43" s="6"/>
      <c r="H43" s="6"/>
      <c r="I43" s="6"/>
      <c r="J43" s="6"/>
      <c r="K43" s="6"/>
      <c r="L43" s="6"/>
      <c r="M43" s="6"/>
    </row>
    <row r="44" spans="1:13" ht="15" customHeight="1">
      <c r="A44" s="39" t="s">
        <v>392</v>
      </c>
      <c r="B44" s="50" t="s">
        <v>393</v>
      </c>
      <c r="C44" s="40" t="s">
        <v>394</v>
      </c>
      <c r="D44" s="50" t="s">
        <v>395</v>
      </c>
      <c r="E44" s="56" t="str">
        <f>IF(0.2&lt;=-2,"Desnutrición",IF(0.2&lt;=-1,"Riesgo de desnutrir",IF(0.2&lt;1,"Normal",IF(0.2&lt;2,"Sobrepeso",IF(0.2&lt;3,"Obesidad","Obesidad severa")))))</f>
        <v>Normal</v>
      </c>
      <c r="F44" s="54" t="str">
        <f t="shared" si="0"/>
        <v>APROBADO</v>
      </c>
      <c r="G44" s="6"/>
      <c r="H44" s="6"/>
      <c r="I44" s="6"/>
      <c r="J44" s="6"/>
      <c r="K44" s="6"/>
      <c r="L44" s="6"/>
      <c r="M44" s="6"/>
    </row>
    <row r="45" spans="1:13" ht="15" customHeight="1">
      <c r="A45" s="39" t="s">
        <v>396</v>
      </c>
      <c r="B45" s="50" t="s">
        <v>397</v>
      </c>
      <c r="C45" s="40" t="s">
        <v>398</v>
      </c>
      <c r="D45" s="50" t="s">
        <v>399</v>
      </c>
      <c r="E45" s="56" t="str">
        <f>IF(2.5&lt;=-2,"Desnutrición",IF(2.5&lt;=-1,"Riesgo de desnutrir",IF(2.5&lt;1,"Normal",IF(2.5&lt;2,"Sobrepeso",IF(2.5&lt;3,"Obesidad","Obesidad severa")))))</f>
        <v>Obesidad</v>
      </c>
      <c r="F45" s="54" t="str">
        <f t="shared" si="0"/>
        <v>APROBADO</v>
      </c>
      <c r="G45" s="6"/>
      <c r="H45" s="6"/>
      <c r="I45" s="6"/>
      <c r="J45" s="6"/>
      <c r="K45" s="6"/>
      <c r="L45" s="6"/>
      <c r="M45" s="6"/>
    </row>
    <row r="46" spans="1:13" ht="15" customHeight="1">
      <c r="A46" s="39" t="s">
        <v>400</v>
      </c>
      <c r="B46" s="50" t="s">
        <v>401</v>
      </c>
      <c r="C46" s="40" t="s">
        <v>402</v>
      </c>
      <c r="D46" s="50" t="s">
        <v>403</v>
      </c>
      <c r="E46" s="56" t="str">
        <f>IF(-1.5&lt;=-2,"Desnutrición",IF(-1.5&lt;=-1,"Riesgo de desnutrir",IF(-1.5&lt;1,"Normal",IF(-1.5&lt;2,"Sobrepeso",IF(-1.5&lt;3,"Obesidad","Obesidad severa")))))</f>
        <v>Riesgo de desnutrir</v>
      </c>
      <c r="F46" s="54" t="str">
        <f t="shared" si="0"/>
        <v>APROBADO</v>
      </c>
      <c r="G46" s="6"/>
      <c r="H46" s="6"/>
      <c r="I46" s="6"/>
      <c r="J46" s="6"/>
      <c r="K46" s="6"/>
      <c r="L46" s="6"/>
      <c r="M46" s="6"/>
    </row>
    <row r="48" spans="1:13" ht="15" customHeight="1">
      <c r="A48" s="38" t="s">
        <v>404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spans="1:13" ht="21.75" customHeight="1">
      <c r="A49" s="49" t="s">
        <v>314</v>
      </c>
      <c r="B49" s="49" t="s">
        <v>7</v>
      </c>
      <c r="C49" s="49" t="s">
        <v>405</v>
      </c>
      <c r="D49" s="49" t="s">
        <v>346</v>
      </c>
      <c r="E49" s="49" t="s">
        <v>322</v>
      </c>
      <c r="F49" s="49"/>
      <c r="G49" s="49"/>
      <c r="H49" s="49"/>
      <c r="I49" s="49"/>
      <c r="J49" s="49"/>
      <c r="K49" s="49"/>
      <c r="L49" s="49"/>
      <c r="M49" s="49"/>
    </row>
    <row r="50" spans="1:13" ht="15" customHeight="1">
      <c r="A50" s="39" t="s">
        <v>406</v>
      </c>
      <c r="B50" s="50" t="s">
        <v>407</v>
      </c>
      <c r="C50" s="25">
        <f>SUMPRODUCT(--ISERROR(CALCULOS!B7:B60))</f>
        <v>0</v>
      </c>
      <c r="D50" s="39">
        <v>0</v>
      </c>
      <c r="E50" s="54" t="str">
        <f>IF(C50=D50,"APROBADO","FALLIDO")</f>
        <v>APROBADO</v>
      </c>
      <c r="F50" s="6"/>
      <c r="G50" s="6"/>
      <c r="H50" s="6"/>
      <c r="I50" s="6"/>
      <c r="J50" s="6"/>
      <c r="K50" s="6"/>
      <c r="L50" s="6"/>
      <c r="M50" s="6"/>
    </row>
    <row r="51" spans="1:13" ht="15" customHeight="1">
      <c r="A51" s="39" t="s">
        <v>408</v>
      </c>
      <c r="B51" s="50" t="s">
        <v>409</v>
      </c>
      <c r="C51" s="25">
        <f>SUMPRODUCT(--ISERROR(RESULTADOS!B6:B40))</f>
        <v>0</v>
      </c>
      <c r="D51" s="39">
        <v>0</v>
      </c>
      <c r="E51" s="54" t="str">
        <f>IF(C51=D51,"APROBADO","FALLIDO")</f>
        <v>APROBADO</v>
      </c>
      <c r="F51" s="6"/>
      <c r="G51" s="6"/>
      <c r="H51" s="6"/>
      <c r="I51" s="6"/>
      <c r="J51" s="6"/>
      <c r="K51" s="6"/>
      <c r="L51" s="6"/>
      <c r="M51" s="6"/>
    </row>
    <row r="52" spans="1:13" ht="15" customHeight="1">
      <c r="A52" s="39" t="s">
        <v>410</v>
      </c>
      <c r="B52" s="50" t="s">
        <v>411</v>
      </c>
      <c r="C52" s="25">
        <f>SUMPRODUCT(--ISERROR(TABLAS!D7:H1230))</f>
        <v>0</v>
      </c>
      <c r="D52" s="39">
        <v>0</v>
      </c>
      <c r="E52" s="54" t="str">
        <f>IF(C52=D52,"APROBADO","FALLIDO")</f>
        <v>APROBADO</v>
      </c>
      <c r="F52" s="6"/>
      <c r="G52" s="6"/>
      <c r="H52" s="6"/>
      <c r="I52" s="6"/>
      <c r="J52" s="6"/>
      <c r="K52" s="6"/>
      <c r="L52" s="6"/>
      <c r="M52" s="6"/>
    </row>
    <row r="54" spans="1:13" ht="15" customHeight="1">
      <c r="A54" s="38" t="s">
        <v>412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 ht="32.25" customHeight="1">
      <c r="A55" s="49" t="s">
        <v>314</v>
      </c>
      <c r="B55" s="49" t="s">
        <v>413</v>
      </c>
      <c r="C55" s="49" t="s">
        <v>414</v>
      </c>
      <c r="D55" s="49" t="s">
        <v>415</v>
      </c>
      <c r="E55" s="49" t="s">
        <v>416</v>
      </c>
      <c r="F55" s="49" t="s">
        <v>322</v>
      </c>
      <c r="G55" s="49"/>
      <c r="H55" s="49"/>
      <c r="I55" s="49"/>
      <c r="J55" s="49"/>
      <c r="K55" s="49"/>
      <c r="L55" s="49"/>
      <c r="M55" s="49"/>
    </row>
    <row r="56" spans="1:13" ht="15" customHeight="1">
      <c r="A56" s="39" t="s">
        <v>417</v>
      </c>
      <c r="B56" s="50" t="s">
        <v>418</v>
      </c>
      <c r="C56" s="32">
        <f>c_zPT</f>
        <v>0.19643741528915332</v>
      </c>
      <c r="D56" s="32">
        <f>((in_Peso/c_ptM)^c_ptL-1)/(c_ptS*c_ptL)</f>
        <v>0.19643741528915332</v>
      </c>
      <c r="E56" s="33">
        <f>C56-D56</f>
        <v>0</v>
      </c>
      <c r="F56" s="54" t="str">
        <f>IF(ABS(E56)&lt;=TOL_Z,"APROBADO","FALLIDO")</f>
        <v>APROBADO</v>
      </c>
      <c r="G56" s="6"/>
      <c r="H56" s="6"/>
      <c r="I56" s="6"/>
      <c r="J56" s="6"/>
      <c r="K56" s="6"/>
      <c r="L56" s="6"/>
      <c r="M56" s="6"/>
    </row>
    <row r="57" spans="1:13" ht="15" customHeight="1">
      <c r="A57" s="39" t="s">
        <v>419</v>
      </c>
      <c r="B57" s="50" t="s">
        <v>420</v>
      </c>
      <c r="C57" s="32">
        <f>c_zPrim</f>
        <v>0.19643741528915332</v>
      </c>
      <c r="D57" s="32">
        <f>c_zPT</f>
        <v>0.19643741528915332</v>
      </c>
      <c r="E57" s="33">
        <f>C57-D57</f>
        <v>0</v>
      </c>
      <c r="F57" s="54" t="str">
        <f>IF(ABS(E57)&lt;=TOL_Z,"APROBADO","FALLIDO")</f>
        <v>APROBADO</v>
      </c>
      <c r="G57" s="6"/>
      <c r="H57" s="6"/>
      <c r="I57" s="6"/>
      <c r="J57" s="6"/>
      <c r="K57" s="6"/>
      <c r="L57" s="6"/>
      <c r="M57" s="6"/>
    </row>
    <row r="58" spans="1:13" ht="15" customHeight="1">
      <c r="A58" s="39" t="s">
        <v>421</v>
      </c>
      <c r="B58" s="50" t="s">
        <v>292</v>
      </c>
      <c r="C58" s="29">
        <f>c_TMB</f>
        <v>878.94900000000007</v>
      </c>
      <c r="D58" s="29">
        <f>22.706*in_Peso+504.3</f>
        <v>878.94900000000007</v>
      </c>
      <c r="E58" s="33">
        <f>C58-D58</f>
        <v>0</v>
      </c>
      <c r="F58" s="54" t="str">
        <f>IF(ABS(E58)&lt;=TOL_K,"APROBADO","FALLIDO")</f>
        <v>APROBADO</v>
      </c>
      <c r="G58" s="6"/>
      <c r="H58" s="6"/>
      <c r="I58" s="6"/>
      <c r="J58" s="6"/>
      <c r="K58" s="6"/>
      <c r="L58" s="6"/>
      <c r="M58" s="6"/>
    </row>
    <row r="59" spans="1:13" ht="15" customHeight="1">
      <c r="A59" s="39" t="s">
        <v>422</v>
      </c>
      <c r="B59" s="50" t="s">
        <v>167</v>
      </c>
      <c r="C59" s="29">
        <f>c_proReq</f>
        <v>15.180000000000001</v>
      </c>
      <c r="D59" s="29">
        <f>0.92*in_Peso</f>
        <v>15.180000000000001</v>
      </c>
      <c r="E59" s="33">
        <f>C59-D59</f>
        <v>0</v>
      </c>
      <c r="F59" s="54" t="str">
        <f>IF(ABS(E59)&lt;=TOL_K,"APROBADO","FALLIDO")</f>
        <v>APROBADO</v>
      </c>
      <c r="G59" s="6"/>
      <c r="H59" s="6"/>
      <c r="I59" s="6"/>
      <c r="J59" s="6"/>
      <c r="K59" s="6"/>
      <c r="L59" s="6"/>
      <c r="M59" s="6"/>
    </row>
    <row r="62" spans="1:13" ht="15" customHeight="1">
      <c r="A62" s="38" t="s">
        <v>1763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1:13" ht="15" customHeight="1">
      <c r="A63" s="6" t="s">
        <v>1764</v>
      </c>
      <c r="B63"/>
      <c r="C63" s="57">
        <v>39</v>
      </c>
    </row>
    <row r="64" spans="1:13" ht="15" customHeight="1">
      <c r="A64" s="6" t="s">
        <v>1765</v>
      </c>
      <c r="B64"/>
      <c r="C64" s="57">
        <f>IF(J8="APROBADO",1,0)+IF(J9="APROBADO",1,0)+IF(J10="APROBADO",1,0)+IF(J11="APROBADO",1,0)+IF(J12="APROBADO",1,0)+IF(I16="APROBADO",1,0)+IF(I17="APROBADO",1,0)+IF(I18="APROBADO",1,0)+IF(I19="APROBADO",1,0)+IF(I20="APROBADO",1,0)+IF(I24="APROBADO",1,0)+IF(I25="APROBADO",1,0)+IF(I26="APROBADO",1,0)+IF(I27="APROBADO",1,0)+IF(I31="APROBADO",1,0)+IF(L31="APROBADO",1,0)+IF(I32="APROBADO",1,0)+IF(L32="APROBADO",1,0)+IF(I33="APROBADO",1,0)+IF(L33="APROBADO",1,0)+IF(I34="APROBADO",1,0)+IF(L34="APROBADO",1,0)+IF(I35="APROBADO",1,0)+IF(L35="APROBADO",1,0)+IF(F39="APROBADO",1,0)+IF(F40="APROBADO",1,0)+IF(F41="APROBADO",1,0)+IF(F42="APROBADO",1,0)+IF(F43="APROBADO",1,0)+IF(F44="APROBADO",1,0)+IF(F45="APROBADO",1,0)+IF(F46="APROBADO",1,0)+IF(E50="APROBADO",1,0)+IF(E51="APROBADO",1,0)+IF(E52="APROBADO",1,0)+IF(F56="APROBADO",1,0)+IF(F57="APROBADO",1,0)+IF(F58="APROBADO",1,0)+IF(F59="APROBADO",1,0)</f>
        <v>39</v>
      </c>
    </row>
    <row r="65" spans="1:12" ht="15" customHeight="1">
      <c r="A65" s="6" t="s">
        <v>1766</v>
      </c>
      <c r="B65"/>
      <c r="C65" s="57">
        <f>COUNTIF(K70:K84,"APROBADO_ESTRUCTURAL")</f>
        <v>15</v>
      </c>
    </row>
    <row r="66" spans="1:12" ht="15" customHeight="1">
      <c r="A66" s="5" t="s">
        <v>1767</v>
      </c>
      <c r="B66" s="82" t="str">
        <f>IF(AND(C64=39,C65=15),"54/54 APROBADOS ESTRUCTURALMENTE · EXCEL COM PENDIENTE","HAY PRUEBAS FALLIDAS — REVISAR")</f>
        <v>54/54 APROBADOS ESTRUCTURALMENTE · EXCEL COM PENDIENTE</v>
      </c>
      <c r="C66" s="82"/>
      <c r="D66" s="82"/>
      <c r="E66" s="82"/>
      <c r="F66" s="82"/>
    </row>
    <row r="68" spans="1:12">
      <c r="A68" t="s">
        <v>1768</v>
      </c>
      <c r="B68"/>
      <c r="C68"/>
      <c r="D68"/>
      <c r="E68"/>
      <c r="F68"/>
      <c r="G68"/>
      <c r="H68"/>
      <c r="I68"/>
      <c r="J68"/>
      <c r="K68"/>
      <c r="L68"/>
    </row>
    <row r="69" spans="1:12">
      <c r="A69" t="s">
        <v>314</v>
      </c>
      <c r="B69" t="s">
        <v>370</v>
      </c>
      <c r="C69" t="s">
        <v>1769</v>
      </c>
      <c r="D69" t="s">
        <v>346</v>
      </c>
      <c r="E69" t="s">
        <v>1770</v>
      </c>
      <c r="F69" t="s">
        <v>86</v>
      </c>
      <c r="G69" t="s">
        <v>1771</v>
      </c>
      <c r="H69" t="s">
        <v>1772</v>
      </c>
      <c r="I69" t="s">
        <v>1773</v>
      </c>
      <c r="J69" t="s">
        <v>1774</v>
      </c>
      <c r="K69" t="s">
        <v>322</v>
      </c>
      <c r="L69" t="s">
        <v>1775</v>
      </c>
    </row>
    <row r="70" spans="1:12">
      <c r="A70" t="s">
        <v>1776</v>
      </c>
      <c r="B70" t="s">
        <v>373</v>
      </c>
      <c r="C70" t="s">
        <v>1777</v>
      </c>
      <c r="D70" t="s">
        <v>1778</v>
      </c>
      <c r="E70" t="s">
        <v>1779</v>
      </c>
      <c r="F70" t="s">
        <v>97</v>
      </c>
      <c r="G70" t="s">
        <v>97</v>
      </c>
      <c r="H70" t="s">
        <v>97</v>
      </c>
      <c r="I70" t="s">
        <v>1780</v>
      </c>
      <c r="J70" t="s">
        <v>97</v>
      </c>
      <c r="K70" t="s">
        <v>1781</v>
      </c>
      <c r="L70" t="s">
        <v>1782</v>
      </c>
    </row>
    <row r="71" spans="1:12">
      <c r="A71" t="s">
        <v>1783</v>
      </c>
      <c r="B71" t="s">
        <v>1784</v>
      </c>
      <c r="C71" t="s">
        <v>1785</v>
      </c>
      <c r="D71" t="s">
        <v>1786</v>
      </c>
      <c r="E71" t="s">
        <v>1779</v>
      </c>
      <c r="F71" t="s">
        <v>97</v>
      </c>
      <c r="G71" t="s">
        <v>97</v>
      </c>
      <c r="H71" t="s">
        <v>97</v>
      </c>
      <c r="I71" t="s">
        <v>1780</v>
      </c>
      <c r="J71" t="s">
        <v>97</v>
      </c>
      <c r="K71" t="s">
        <v>1781</v>
      </c>
      <c r="L71" t="s">
        <v>1782</v>
      </c>
    </row>
    <row r="72" spans="1:12">
      <c r="A72" t="s">
        <v>1787</v>
      </c>
      <c r="B72" t="s">
        <v>1788</v>
      </c>
      <c r="C72" t="s">
        <v>1789</v>
      </c>
      <c r="D72" t="s">
        <v>1790</v>
      </c>
      <c r="E72" t="s">
        <v>1779</v>
      </c>
      <c r="F72" t="s">
        <v>97</v>
      </c>
      <c r="G72" t="s">
        <v>97</v>
      </c>
      <c r="H72" t="s">
        <v>97</v>
      </c>
      <c r="I72" t="s">
        <v>1780</v>
      </c>
      <c r="J72" t="s">
        <v>97</v>
      </c>
      <c r="K72" t="s">
        <v>1781</v>
      </c>
      <c r="L72" t="s">
        <v>1782</v>
      </c>
    </row>
    <row r="73" spans="1:12">
      <c r="A73" t="s">
        <v>1791</v>
      </c>
      <c r="B73" t="s">
        <v>1792</v>
      </c>
      <c r="C73" t="s">
        <v>1793</v>
      </c>
      <c r="D73" t="s">
        <v>1794</v>
      </c>
      <c r="E73" t="s">
        <v>1779</v>
      </c>
      <c r="F73" t="s">
        <v>97</v>
      </c>
      <c r="G73" t="s">
        <v>97</v>
      </c>
      <c r="H73" t="s">
        <v>97</v>
      </c>
      <c r="I73" t="s">
        <v>1780</v>
      </c>
      <c r="J73" t="s">
        <v>97</v>
      </c>
      <c r="K73" t="s">
        <v>1781</v>
      </c>
      <c r="L73" t="s">
        <v>1782</v>
      </c>
    </row>
    <row r="74" spans="1:12">
      <c r="A74" t="s">
        <v>1795</v>
      </c>
      <c r="B74" t="s">
        <v>1796</v>
      </c>
      <c r="C74" t="s">
        <v>1797</v>
      </c>
      <c r="D74" t="s">
        <v>1798</v>
      </c>
      <c r="E74" t="s">
        <v>1779</v>
      </c>
      <c r="F74" t="s">
        <v>97</v>
      </c>
      <c r="G74" t="s">
        <v>97</v>
      </c>
      <c r="H74" t="s">
        <v>97</v>
      </c>
      <c r="I74" t="s">
        <v>1799</v>
      </c>
      <c r="J74" t="s">
        <v>97</v>
      </c>
      <c r="K74" t="s">
        <v>1781</v>
      </c>
      <c r="L74" t="s">
        <v>1782</v>
      </c>
    </row>
    <row r="75" spans="1:12">
      <c r="A75" t="s">
        <v>1800</v>
      </c>
      <c r="B75" t="s">
        <v>1801</v>
      </c>
      <c r="C75" t="s">
        <v>1802</v>
      </c>
      <c r="D75" t="s">
        <v>1803</v>
      </c>
      <c r="E75" t="s">
        <v>1779</v>
      </c>
      <c r="F75" t="s">
        <v>97</v>
      </c>
      <c r="G75" t="s">
        <v>97</v>
      </c>
      <c r="H75" t="s">
        <v>97</v>
      </c>
      <c r="I75" t="s">
        <v>1799</v>
      </c>
      <c r="J75" t="s">
        <v>97</v>
      </c>
      <c r="K75" t="s">
        <v>1781</v>
      </c>
      <c r="L75" t="s">
        <v>1782</v>
      </c>
    </row>
    <row r="76" spans="1:12">
      <c r="A76" t="s">
        <v>1804</v>
      </c>
      <c r="B76" t="s">
        <v>1805</v>
      </c>
      <c r="C76" t="s">
        <v>1806</v>
      </c>
      <c r="D76" t="s">
        <v>1807</v>
      </c>
      <c r="E76" t="s">
        <v>1779</v>
      </c>
      <c r="F76" t="s">
        <v>97</v>
      </c>
      <c r="G76" t="s">
        <v>97</v>
      </c>
      <c r="H76" t="s">
        <v>97</v>
      </c>
      <c r="I76" t="s">
        <v>1799</v>
      </c>
      <c r="J76" t="s">
        <v>97</v>
      </c>
      <c r="K76" t="s">
        <v>1781</v>
      </c>
      <c r="L76" t="s">
        <v>1782</v>
      </c>
    </row>
    <row r="77" spans="1:12">
      <c r="A77" t="s">
        <v>1808</v>
      </c>
      <c r="B77" t="s">
        <v>1809</v>
      </c>
      <c r="C77" t="s">
        <v>1810</v>
      </c>
      <c r="D77" t="s">
        <v>1811</v>
      </c>
      <c r="E77" t="s">
        <v>1779</v>
      </c>
      <c r="F77" t="s">
        <v>97</v>
      </c>
      <c r="G77" t="s">
        <v>97</v>
      </c>
      <c r="H77" t="s">
        <v>97</v>
      </c>
      <c r="I77" t="s">
        <v>1812</v>
      </c>
      <c r="J77" t="s">
        <v>97</v>
      </c>
      <c r="K77" t="s">
        <v>1781</v>
      </c>
      <c r="L77" t="s">
        <v>1782</v>
      </c>
    </row>
    <row r="78" spans="1:12">
      <c r="A78" t="s">
        <v>1813</v>
      </c>
      <c r="B78" t="s">
        <v>1814</v>
      </c>
      <c r="C78" t="s">
        <v>1815</v>
      </c>
      <c r="D78" t="s">
        <v>1816</v>
      </c>
      <c r="E78" t="s">
        <v>1779</v>
      </c>
      <c r="F78" t="s">
        <v>97</v>
      </c>
      <c r="G78" t="s">
        <v>97</v>
      </c>
      <c r="H78" t="s">
        <v>97</v>
      </c>
      <c r="I78" t="s">
        <v>1817</v>
      </c>
      <c r="J78" t="s">
        <v>97</v>
      </c>
      <c r="K78" t="s">
        <v>1781</v>
      </c>
      <c r="L78" t="s">
        <v>1782</v>
      </c>
    </row>
    <row r="79" spans="1:12">
      <c r="A79" t="s">
        <v>1818</v>
      </c>
      <c r="B79" t="s">
        <v>1819</v>
      </c>
      <c r="C79" t="s">
        <v>1820</v>
      </c>
      <c r="D79" t="s">
        <v>1821</v>
      </c>
      <c r="E79" t="s">
        <v>1779</v>
      </c>
      <c r="F79" t="s">
        <v>97</v>
      </c>
      <c r="G79" t="s">
        <v>97</v>
      </c>
      <c r="H79" t="s">
        <v>97</v>
      </c>
      <c r="I79" t="s">
        <v>1822</v>
      </c>
      <c r="J79" t="s">
        <v>97</v>
      </c>
      <c r="K79" t="s">
        <v>1781</v>
      </c>
      <c r="L79" t="s">
        <v>1782</v>
      </c>
    </row>
    <row r="80" spans="1:12">
      <c r="A80" t="s">
        <v>1823</v>
      </c>
      <c r="B80" t="s">
        <v>1824</v>
      </c>
      <c r="C80" t="s">
        <v>1825</v>
      </c>
      <c r="D80" t="s">
        <v>1826</v>
      </c>
      <c r="E80" t="s">
        <v>1779</v>
      </c>
      <c r="F80" t="s">
        <v>97</v>
      </c>
      <c r="G80" t="s">
        <v>97</v>
      </c>
      <c r="H80" t="s">
        <v>97</v>
      </c>
      <c r="I80" t="s">
        <v>1817</v>
      </c>
      <c r="J80" t="s">
        <v>97</v>
      </c>
      <c r="K80" t="s">
        <v>1781</v>
      </c>
      <c r="L80" t="s">
        <v>1782</v>
      </c>
    </row>
    <row r="81" spans="1:12">
      <c r="A81" t="s">
        <v>1827</v>
      </c>
      <c r="B81" t="s">
        <v>1828</v>
      </c>
      <c r="C81" t="s">
        <v>1829</v>
      </c>
      <c r="D81" t="s">
        <v>1830</v>
      </c>
      <c r="E81" t="s">
        <v>1779</v>
      </c>
      <c r="F81" t="s">
        <v>97</v>
      </c>
      <c r="G81" t="s">
        <v>97</v>
      </c>
      <c r="H81" t="s">
        <v>97</v>
      </c>
      <c r="I81" t="s">
        <v>1831</v>
      </c>
      <c r="J81" t="s">
        <v>97</v>
      </c>
      <c r="K81" t="s">
        <v>1781</v>
      </c>
      <c r="L81" t="s">
        <v>1782</v>
      </c>
    </row>
    <row r="82" spans="1:12">
      <c r="A82" t="s">
        <v>1832</v>
      </c>
      <c r="B82" t="s">
        <v>1833</v>
      </c>
      <c r="C82" t="s">
        <v>1834</v>
      </c>
      <c r="D82" t="s">
        <v>1835</v>
      </c>
      <c r="E82" t="s">
        <v>1779</v>
      </c>
      <c r="F82" t="s">
        <v>97</v>
      </c>
      <c r="G82" t="s">
        <v>97</v>
      </c>
      <c r="H82" t="s">
        <v>97</v>
      </c>
      <c r="I82" t="s">
        <v>1799</v>
      </c>
      <c r="J82" t="s">
        <v>97</v>
      </c>
      <c r="K82" t="s">
        <v>1781</v>
      </c>
      <c r="L82" t="s">
        <v>1782</v>
      </c>
    </row>
    <row r="83" spans="1:12">
      <c r="A83" t="s">
        <v>1836</v>
      </c>
      <c r="B83" t="s">
        <v>1837</v>
      </c>
      <c r="C83" t="s">
        <v>1838</v>
      </c>
      <c r="D83" t="s">
        <v>1839</v>
      </c>
      <c r="E83" t="s">
        <v>1840</v>
      </c>
      <c r="F83" t="s">
        <v>1841</v>
      </c>
      <c r="G83" t="s">
        <v>1842</v>
      </c>
      <c r="H83" t="s">
        <v>1843</v>
      </c>
      <c r="I83" t="s">
        <v>1844</v>
      </c>
      <c r="J83" t="s">
        <v>1845</v>
      </c>
      <c r="K83" t="s">
        <v>1781</v>
      </c>
      <c r="L83" t="s">
        <v>1782</v>
      </c>
    </row>
    <row r="84" spans="1:12">
      <c r="A84" t="s">
        <v>1846</v>
      </c>
      <c r="B84" t="s">
        <v>1847</v>
      </c>
      <c r="C84" t="s">
        <v>1848</v>
      </c>
      <c r="D84" t="s">
        <v>1849</v>
      </c>
      <c r="E84" t="s">
        <v>1840</v>
      </c>
      <c r="F84" t="s">
        <v>1841</v>
      </c>
      <c r="G84" t="s">
        <v>1842</v>
      </c>
      <c r="H84" t="s">
        <v>1843</v>
      </c>
      <c r="I84" t="s">
        <v>1844</v>
      </c>
      <c r="J84" t="s">
        <v>395</v>
      </c>
      <c r="K84" t="s">
        <v>1781</v>
      </c>
      <c r="L84" t="s">
        <v>1782</v>
      </c>
    </row>
  </sheetData>
  <sheetProtection algorithmName="SHA-512" hashValue="YYjH6QLof+8jiuU7RPlLwo3duFz9RGPoXjTPqadfknuA/Y4xtKAxuOQs3dJLE94G6YmNxNngZyaezanmUIlS9g==" saltValue="pHOPIWTHeFpDPew4CCcv8w==" spinCount="100000" sheet="1" objects="1" scenarios="1"/>
  <mergeCells count="2">
    <mergeCell ref="B66:F66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86A6C"/>
  </sheetPr>
  <dimension ref="A1:K62"/>
  <sheetViews>
    <sheetView showGridLines="0" topLeftCell="A50" workbookViewId="0">
      <selection activeCell="B8" sqref="B8:B27"/>
    </sheetView>
  </sheetViews>
  <sheetFormatPr baseColWidth="10" defaultColWidth="8.7109375" defaultRowHeight="15"/>
  <cols>
    <col min="1" max="1" width="48" style="1" customWidth="1"/>
    <col min="2" max="2" width="41.28515625" style="1" customWidth="1"/>
    <col min="3" max="5" width="17" style="1" customWidth="1"/>
    <col min="6" max="11" width="17" customWidth="1"/>
  </cols>
  <sheetData>
    <row r="1" spans="1:11" ht="27.7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25.5" customHeight="1">
      <c r="A2" s="138" t="s">
        <v>1850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8" t="str">
        <f>HYPERLINK("#CONFIG!A1","● CONFIG")</f>
        <v>● CONFIG</v>
      </c>
      <c r="J3" s="129" t="str">
        <f>HYPERLINK("#TABLAS!A1","▶ TABLAS")</f>
        <v>▶ TABLAS</v>
      </c>
      <c r="K3" s="129" t="str">
        <f>HYPERLINK("#CHANGELOG!A1","▶ CHANGELOG")</f>
        <v>▶ CHANGELOG</v>
      </c>
    </row>
    <row r="4" spans="1:11" ht="39.75" customHeight="1">
      <c r="A4" s="76" t="s">
        <v>423</v>
      </c>
      <c r="B4" s="76"/>
      <c r="C4" s="76"/>
      <c r="D4" s="76"/>
      <c r="E4" s="76"/>
    </row>
    <row r="5" spans="1:11" ht="15" customHeight="1">
      <c r="A5" s="9"/>
      <c r="B5" s="9"/>
      <c r="C5" s="9"/>
      <c r="D5" s="9"/>
      <c r="E5" s="9"/>
    </row>
    <row r="6" spans="1:11" ht="15" customHeight="1">
      <c r="A6" s="58" t="s">
        <v>424</v>
      </c>
      <c r="B6" s="59"/>
      <c r="C6" s="59"/>
      <c r="D6" s="59"/>
      <c r="E6" s="59"/>
    </row>
    <row r="7" spans="1:11" ht="15" customHeight="1">
      <c r="A7" s="10" t="s">
        <v>425</v>
      </c>
      <c r="B7" s="10" t="s">
        <v>26</v>
      </c>
      <c r="C7" s="10" t="s">
        <v>27</v>
      </c>
      <c r="D7" s="10" t="s">
        <v>426</v>
      </c>
      <c r="E7" s="10" t="s">
        <v>427</v>
      </c>
    </row>
    <row r="8" spans="1:11" ht="15" customHeight="1">
      <c r="A8" s="11" t="s">
        <v>428</v>
      </c>
      <c r="B8" s="12" t="s">
        <v>429</v>
      </c>
      <c r="C8" s="13" t="s">
        <v>32</v>
      </c>
      <c r="D8" s="60" t="s">
        <v>32</v>
      </c>
      <c r="E8" s="14" t="s">
        <v>430</v>
      </c>
    </row>
    <row r="9" spans="1:11" ht="15" customHeight="1">
      <c r="A9" s="11" t="s">
        <v>431</v>
      </c>
      <c r="B9" s="12" t="s">
        <v>432</v>
      </c>
      <c r="C9" s="13" t="s">
        <v>32</v>
      </c>
      <c r="D9" s="60" t="s">
        <v>32</v>
      </c>
      <c r="E9" s="14" t="s">
        <v>433</v>
      </c>
    </row>
    <row r="10" spans="1:11" ht="15" customHeight="1">
      <c r="A10" s="11" t="s">
        <v>434</v>
      </c>
      <c r="B10" s="15">
        <v>1</v>
      </c>
      <c r="C10" s="13" t="s">
        <v>54</v>
      </c>
      <c r="D10" s="60" t="s">
        <v>435</v>
      </c>
      <c r="E10" s="14" t="s">
        <v>436</v>
      </c>
    </row>
    <row r="11" spans="1:11" ht="15" customHeight="1">
      <c r="A11" s="11" t="s">
        <v>437</v>
      </c>
      <c r="B11" s="15">
        <v>150</v>
      </c>
      <c r="C11" s="13" t="s">
        <v>54</v>
      </c>
      <c r="D11" s="60" t="s">
        <v>435</v>
      </c>
      <c r="E11" s="14" t="s">
        <v>436</v>
      </c>
    </row>
    <row r="12" spans="1:11" ht="15" customHeight="1">
      <c r="A12" s="11" t="s">
        <v>438</v>
      </c>
      <c r="B12" s="15">
        <v>40</v>
      </c>
      <c r="C12" s="13" t="s">
        <v>58</v>
      </c>
      <c r="D12" s="60" t="s">
        <v>435</v>
      </c>
      <c r="E12" s="14" t="s">
        <v>436</v>
      </c>
    </row>
    <row r="13" spans="1:11" ht="15" customHeight="1">
      <c r="A13" s="11" t="s">
        <v>439</v>
      </c>
      <c r="B13" s="15">
        <v>210</v>
      </c>
      <c r="C13" s="13" t="s">
        <v>58</v>
      </c>
      <c r="D13" s="60" t="s">
        <v>435</v>
      </c>
      <c r="E13" s="14" t="s">
        <v>436</v>
      </c>
    </row>
    <row r="14" spans="1:11" ht="15" customHeight="1">
      <c r="A14" s="11" t="s">
        <v>440</v>
      </c>
      <c r="B14" s="15">
        <v>228</v>
      </c>
      <c r="C14" s="13" t="s">
        <v>109</v>
      </c>
      <c r="D14" s="60" t="s">
        <v>435</v>
      </c>
      <c r="E14" s="14" t="s">
        <v>441</v>
      </c>
    </row>
    <row r="15" spans="1:11" ht="15" customHeight="1">
      <c r="A15" s="11" t="s">
        <v>442</v>
      </c>
      <c r="B15" s="15">
        <v>40</v>
      </c>
      <c r="C15" s="13" t="s">
        <v>50</v>
      </c>
      <c r="D15" s="60" t="s">
        <v>443</v>
      </c>
      <c r="E15" s="14" t="s">
        <v>444</v>
      </c>
    </row>
    <row r="16" spans="1:11" ht="15" customHeight="1">
      <c r="A16" s="11" t="s">
        <v>445</v>
      </c>
      <c r="B16" s="15">
        <v>12</v>
      </c>
      <c r="C16" s="13" t="s">
        <v>109</v>
      </c>
      <c r="D16" s="60" t="s">
        <v>446</v>
      </c>
      <c r="E16" s="14" t="s">
        <v>447</v>
      </c>
    </row>
    <row r="17" spans="1:5" ht="15" customHeight="1">
      <c r="A17" s="11" t="s">
        <v>448</v>
      </c>
      <c r="B17" s="15">
        <v>61</v>
      </c>
      <c r="C17" s="13" t="s">
        <v>109</v>
      </c>
      <c r="D17" s="60" t="s">
        <v>446</v>
      </c>
      <c r="E17" s="14" t="s">
        <v>449</v>
      </c>
    </row>
    <row r="18" spans="1:5" ht="15" customHeight="1">
      <c r="A18" s="11" t="s">
        <v>450</v>
      </c>
      <c r="B18" s="15">
        <v>36</v>
      </c>
      <c r="C18" s="13" t="s">
        <v>109</v>
      </c>
      <c r="D18" s="60" t="s">
        <v>446</v>
      </c>
      <c r="E18" s="14" t="s">
        <v>451</v>
      </c>
    </row>
    <row r="19" spans="1:5" ht="15" customHeight="1">
      <c r="A19" s="11" t="s">
        <v>452</v>
      </c>
      <c r="B19" s="15">
        <v>5</v>
      </c>
      <c r="C19" s="13" t="s">
        <v>120</v>
      </c>
      <c r="D19" s="60" t="s">
        <v>446</v>
      </c>
      <c r="E19" s="14" t="s">
        <v>453</v>
      </c>
    </row>
    <row r="20" spans="1:5" ht="15" customHeight="1">
      <c r="A20" s="11" t="s">
        <v>454</v>
      </c>
      <c r="B20" s="15">
        <v>-2</v>
      </c>
      <c r="C20" s="13" t="s">
        <v>141</v>
      </c>
      <c r="D20" s="60" t="s">
        <v>446</v>
      </c>
      <c r="E20" s="14" t="s">
        <v>455</v>
      </c>
    </row>
    <row r="21" spans="1:5" ht="15" customHeight="1">
      <c r="A21" s="11" t="s">
        <v>456</v>
      </c>
      <c r="B21" s="15">
        <v>-1</v>
      </c>
      <c r="C21" s="13" t="s">
        <v>141</v>
      </c>
      <c r="D21" s="60" t="s">
        <v>446</v>
      </c>
      <c r="E21" s="14" t="s">
        <v>457</v>
      </c>
    </row>
    <row r="22" spans="1:5" ht="15" customHeight="1">
      <c r="A22" s="11" t="s">
        <v>458</v>
      </c>
      <c r="B22" s="15">
        <v>1</v>
      </c>
      <c r="C22" s="13" t="s">
        <v>141</v>
      </c>
      <c r="D22" s="60" t="s">
        <v>446</v>
      </c>
      <c r="E22" s="14" t="s">
        <v>459</v>
      </c>
    </row>
    <row r="23" spans="1:5" ht="15" customHeight="1">
      <c r="A23" s="11" t="s">
        <v>460</v>
      </c>
      <c r="B23" s="15">
        <v>2</v>
      </c>
      <c r="C23" s="13" t="s">
        <v>141</v>
      </c>
      <c r="D23" s="60" t="s">
        <v>446</v>
      </c>
      <c r="E23" s="14" t="s">
        <v>461</v>
      </c>
    </row>
    <row r="24" spans="1:5" ht="15" customHeight="1">
      <c r="A24" s="11" t="s">
        <v>462</v>
      </c>
      <c r="B24" s="15">
        <v>3</v>
      </c>
      <c r="C24" s="13" t="s">
        <v>141</v>
      </c>
      <c r="D24" s="60" t="s">
        <v>446</v>
      </c>
      <c r="E24" s="14" t="s">
        <v>463</v>
      </c>
    </row>
    <row r="25" spans="1:5" ht="15" customHeight="1">
      <c r="A25" s="11" t="s">
        <v>464</v>
      </c>
      <c r="B25" s="61">
        <v>1E-3</v>
      </c>
      <c r="C25" s="13" t="s">
        <v>141</v>
      </c>
      <c r="D25" s="60" t="s">
        <v>465</v>
      </c>
      <c r="E25" s="14" t="s">
        <v>466</v>
      </c>
    </row>
    <row r="26" spans="1:5" ht="15" customHeight="1">
      <c r="A26" s="11" t="s">
        <v>467</v>
      </c>
      <c r="B26" s="17">
        <v>0.5</v>
      </c>
      <c r="C26" s="13" t="s">
        <v>68</v>
      </c>
      <c r="D26" s="60" t="s">
        <v>465</v>
      </c>
      <c r="E26" s="14" t="s">
        <v>466</v>
      </c>
    </row>
    <row r="27" spans="1:5" ht="15" customHeight="1">
      <c r="A27" s="11" t="s">
        <v>468</v>
      </c>
      <c r="B27" s="17">
        <v>1.4</v>
      </c>
      <c r="C27" s="13" t="s">
        <v>32</v>
      </c>
      <c r="D27" s="60" t="s">
        <v>469</v>
      </c>
      <c r="E27" s="14" t="s">
        <v>470</v>
      </c>
    </row>
    <row r="28" spans="1:5" ht="15" customHeight="1">
      <c r="A28" s="9"/>
      <c r="B28" s="9"/>
      <c r="C28" s="9"/>
      <c r="D28" s="9"/>
      <c r="E28" s="9"/>
    </row>
    <row r="29" spans="1:5" ht="15" customHeight="1">
      <c r="A29" s="58" t="s">
        <v>471</v>
      </c>
      <c r="B29" s="59"/>
      <c r="C29" s="9"/>
      <c r="D29" s="9"/>
      <c r="E29" s="9"/>
    </row>
    <row r="30" spans="1:5" ht="15" customHeight="1">
      <c r="A30" s="10" t="s">
        <v>472</v>
      </c>
      <c r="B30" s="10" t="s">
        <v>473</v>
      </c>
      <c r="C30" s="9"/>
      <c r="D30" s="9"/>
      <c r="E30" s="9"/>
    </row>
    <row r="31" spans="1:5" ht="15" customHeight="1">
      <c r="A31" s="11" t="s">
        <v>474</v>
      </c>
      <c r="B31" s="62" t="s">
        <v>318</v>
      </c>
      <c r="C31" s="9"/>
      <c r="D31" s="9"/>
      <c r="E31" s="9"/>
    </row>
    <row r="32" spans="1:5" ht="15" customHeight="1">
      <c r="A32" s="11" t="s">
        <v>475</v>
      </c>
      <c r="B32" s="62" t="s">
        <v>365</v>
      </c>
      <c r="C32" s="9"/>
      <c r="D32" s="9"/>
      <c r="E32" s="9"/>
    </row>
    <row r="33" spans="1:5" ht="15" customHeight="1">
      <c r="A33" s="9"/>
      <c r="B33" s="9"/>
      <c r="C33" s="9"/>
      <c r="D33" s="9"/>
      <c r="E33" s="9"/>
    </row>
    <row r="34" spans="1:5" ht="15" customHeight="1">
      <c r="A34" s="58" t="s">
        <v>476</v>
      </c>
      <c r="B34" s="9"/>
      <c r="C34" s="9"/>
      <c r="D34" s="9"/>
      <c r="E34" s="9"/>
    </row>
    <row r="35" spans="1:5" ht="15" customHeight="1">
      <c r="A35" s="11" t="s">
        <v>477</v>
      </c>
      <c r="B35" s="9"/>
      <c r="C35" s="9"/>
      <c r="D35" s="9"/>
      <c r="E35" s="9"/>
    </row>
    <row r="36" spans="1:5" ht="15" customHeight="1">
      <c r="A36" s="11" t="s">
        <v>478</v>
      </c>
      <c r="B36" s="9"/>
      <c r="C36" s="9"/>
      <c r="D36" s="9"/>
      <c r="E36" s="9"/>
    </row>
    <row r="37" spans="1:5" ht="15" customHeight="1">
      <c r="A37" s="9"/>
      <c r="B37" s="9"/>
      <c r="C37" s="9"/>
      <c r="D37" s="9"/>
      <c r="E37" s="9"/>
    </row>
    <row r="38" spans="1:5" ht="15" customHeight="1">
      <c r="A38" s="58" t="s">
        <v>479</v>
      </c>
      <c r="B38" s="59"/>
      <c r="C38" s="59"/>
      <c r="D38" s="59"/>
      <c r="E38" s="59"/>
    </row>
    <row r="39" spans="1:5" ht="15" customHeight="1">
      <c r="A39" s="10" t="s">
        <v>38</v>
      </c>
      <c r="B39" s="10" t="s">
        <v>480</v>
      </c>
      <c r="C39" s="10" t="s">
        <v>481</v>
      </c>
      <c r="D39" s="10" t="s">
        <v>357</v>
      </c>
      <c r="E39" s="10" t="s">
        <v>358</v>
      </c>
    </row>
    <row r="40" spans="1:5" ht="15" customHeight="1">
      <c r="A40" s="62" t="s">
        <v>318</v>
      </c>
      <c r="B40" s="62">
        <v>0</v>
      </c>
      <c r="C40" s="62">
        <v>3</v>
      </c>
      <c r="D40" s="63">
        <v>59.512</v>
      </c>
      <c r="E40" s="17">
        <v>-30.4</v>
      </c>
    </row>
    <row r="41" spans="1:5" ht="15" customHeight="1">
      <c r="A41" s="62" t="s">
        <v>318</v>
      </c>
      <c r="B41" s="62">
        <v>3</v>
      </c>
      <c r="C41" s="62">
        <v>10</v>
      </c>
      <c r="D41" s="63">
        <v>22.706</v>
      </c>
      <c r="E41" s="17">
        <v>504.3</v>
      </c>
    </row>
    <row r="42" spans="1:5" ht="15" customHeight="1">
      <c r="A42" s="62" t="s">
        <v>318</v>
      </c>
      <c r="B42" s="62">
        <v>10</v>
      </c>
      <c r="C42" s="62">
        <v>18</v>
      </c>
      <c r="D42" s="63">
        <v>17.686</v>
      </c>
      <c r="E42" s="17">
        <v>658.2</v>
      </c>
    </row>
    <row r="43" spans="1:5" ht="15" customHeight="1">
      <c r="A43" s="62" t="s">
        <v>318</v>
      </c>
      <c r="B43" s="62">
        <v>18</v>
      </c>
      <c r="C43" s="62">
        <v>99</v>
      </c>
      <c r="D43" s="63">
        <v>15.057</v>
      </c>
      <c r="E43" s="17">
        <v>692.2</v>
      </c>
    </row>
    <row r="44" spans="1:5" ht="15" customHeight="1">
      <c r="A44" s="62" t="s">
        <v>365</v>
      </c>
      <c r="B44" s="62">
        <v>0</v>
      </c>
      <c r="C44" s="62">
        <v>3</v>
      </c>
      <c r="D44" s="63">
        <v>58.317</v>
      </c>
      <c r="E44" s="17">
        <v>-31.1</v>
      </c>
    </row>
    <row r="45" spans="1:5" ht="15" customHeight="1">
      <c r="A45" s="62" t="s">
        <v>365</v>
      </c>
      <c r="B45" s="62">
        <v>3</v>
      </c>
      <c r="C45" s="62">
        <v>10</v>
      </c>
      <c r="D45" s="63">
        <v>20.315000000000001</v>
      </c>
      <c r="E45" s="17">
        <v>485.9</v>
      </c>
    </row>
    <row r="46" spans="1:5" ht="15" customHeight="1">
      <c r="A46" s="62" t="s">
        <v>365</v>
      </c>
      <c r="B46" s="62">
        <v>10</v>
      </c>
      <c r="C46" s="62">
        <v>18</v>
      </c>
      <c r="D46" s="63">
        <v>13.384</v>
      </c>
      <c r="E46" s="17">
        <v>692.6</v>
      </c>
    </row>
    <row r="47" spans="1:5" ht="15" customHeight="1">
      <c r="A47" s="62" t="s">
        <v>365</v>
      </c>
      <c r="B47" s="62">
        <v>18</v>
      </c>
      <c r="C47" s="62">
        <v>99</v>
      </c>
      <c r="D47" s="63">
        <v>14.818</v>
      </c>
      <c r="E47" s="17">
        <v>486.6</v>
      </c>
    </row>
    <row r="48" spans="1:5" ht="15" customHeight="1">
      <c r="A48" s="9"/>
      <c r="B48" s="9"/>
      <c r="C48" s="9"/>
      <c r="D48" s="9"/>
      <c r="E48" s="9"/>
    </row>
    <row r="49" spans="1:5" ht="15" customHeight="1">
      <c r="A49" s="58" t="s">
        <v>482</v>
      </c>
      <c r="B49" s="59"/>
      <c r="C49" s="59"/>
      <c r="D49" s="59"/>
      <c r="E49" s="9"/>
    </row>
    <row r="50" spans="1:5" ht="15" customHeight="1">
      <c r="A50" s="10" t="s">
        <v>480</v>
      </c>
      <c r="B50" s="10" t="s">
        <v>481</v>
      </c>
      <c r="C50" s="10" t="s">
        <v>483</v>
      </c>
      <c r="D50" s="10" t="s">
        <v>484</v>
      </c>
      <c r="E50" s="9"/>
    </row>
    <row r="51" spans="1:5" ht="15" customHeight="1">
      <c r="A51" s="62">
        <v>0</v>
      </c>
      <c r="B51" s="62">
        <v>1</v>
      </c>
      <c r="C51" s="16">
        <v>1.31</v>
      </c>
      <c r="D51" s="64" t="s">
        <v>485</v>
      </c>
      <c r="E51" s="9"/>
    </row>
    <row r="52" spans="1:5" ht="15" customHeight="1">
      <c r="A52" s="62">
        <v>1</v>
      </c>
      <c r="B52" s="62">
        <v>3</v>
      </c>
      <c r="C52" s="16">
        <v>0.97</v>
      </c>
      <c r="D52" s="64" t="s">
        <v>486</v>
      </c>
      <c r="E52" s="9"/>
    </row>
    <row r="53" spans="1:5" ht="15" customHeight="1">
      <c r="A53" s="62">
        <v>3</v>
      </c>
      <c r="B53" s="62">
        <v>10</v>
      </c>
      <c r="C53" s="16">
        <v>0.92</v>
      </c>
      <c r="D53" s="64" t="s">
        <v>487</v>
      </c>
      <c r="E53" s="9"/>
    </row>
    <row r="54" spans="1:5" ht="15" customHeight="1">
      <c r="A54" s="62">
        <v>10</v>
      </c>
      <c r="B54" s="62">
        <v>14</v>
      </c>
      <c r="C54" s="16">
        <v>0.9</v>
      </c>
      <c r="D54" s="64" t="s">
        <v>488</v>
      </c>
      <c r="E54" s="9"/>
    </row>
    <row r="55" spans="1:5" ht="15" customHeight="1">
      <c r="A55" s="62">
        <v>14</v>
      </c>
      <c r="B55" s="62">
        <v>18</v>
      </c>
      <c r="C55" s="16">
        <v>0.85</v>
      </c>
      <c r="D55" s="64" t="s">
        <v>489</v>
      </c>
      <c r="E55" s="9"/>
    </row>
    <row r="56" spans="1:5" ht="15" customHeight="1">
      <c r="A56" s="62">
        <v>18</v>
      </c>
      <c r="B56" s="62">
        <v>99</v>
      </c>
      <c r="C56" s="16">
        <v>0.83</v>
      </c>
      <c r="D56" s="64" t="s">
        <v>490</v>
      </c>
      <c r="E56" s="9"/>
    </row>
    <row r="57" spans="1:5" ht="15" customHeight="1">
      <c r="A57" s="9"/>
      <c r="B57" s="9"/>
      <c r="C57" s="9"/>
      <c r="D57" s="9"/>
      <c r="E57" s="9"/>
    </row>
    <row r="58" spans="1:5" ht="15" customHeight="1">
      <c r="A58" s="58" t="s">
        <v>491</v>
      </c>
      <c r="B58" s="59"/>
      <c r="C58" s="59"/>
      <c r="D58" s="59"/>
      <c r="E58" s="59"/>
    </row>
    <row r="59" spans="1:5" ht="15" customHeight="1">
      <c r="A59" s="10" t="s">
        <v>492</v>
      </c>
      <c r="B59" s="10" t="s">
        <v>493</v>
      </c>
      <c r="C59" s="10" t="s">
        <v>494</v>
      </c>
      <c r="D59" s="10" t="s">
        <v>495</v>
      </c>
      <c r="E59" s="10" t="s">
        <v>484</v>
      </c>
    </row>
    <row r="60" spans="1:5" ht="15" customHeight="1">
      <c r="A60" s="62">
        <v>0</v>
      </c>
      <c r="B60" s="62">
        <v>6</v>
      </c>
      <c r="C60" s="62" t="s">
        <v>496</v>
      </c>
      <c r="D60" s="65">
        <v>0.5</v>
      </c>
      <c r="E60" s="64" t="s">
        <v>497</v>
      </c>
    </row>
    <row r="61" spans="1:5" ht="15" customHeight="1">
      <c r="A61" s="62">
        <v>6</v>
      </c>
      <c r="B61" s="62">
        <v>24</v>
      </c>
      <c r="C61" s="62" t="s">
        <v>498</v>
      </c>
      <c r="D61" s="65">
        <v>0.35</v>
      </c>
      <c r="E61" s="64" t="s">
        <v>499</v>
      </c>
    </row>
    <row r="62" spans="1:5" ht="15" customHeight="1">
      <c r="A62" s="62">
        <v>24</v>
      </c>
      <c r="B62" s="62">
        <v>999</v>
      </c>
      <c r="C62" s="62" t="s">
        <v>500</v>
      </c>
      <c r="D62" s="65">
        <v>0.3</v>
      </c>
      <c r="E62" s="64" t="s">
        <v>501</v>
      </c>
    </row>
  </sheetData>
  <sheetProtection algorithmName="SHA-512" hashValue="BbAKIjaa342KxHYvY2f0Hry7oHwhjMhow/7PSbWM4LK9198oQYvzmeidE4rBEbuXF0aeAaVChoPNPUB475JycA==" saltValue="+yCGOnHzogpYVvX5l/ELRA==" spinCount="100000" sheet="1" objects="1" scenarios="1"/>
  <protectedRanges>
    <protectedRange sqref="D60:D62" name="Rango4"/>
    <protectedRange sqref="C51:C56" name="Rango3"/>
    <protectedRange sqref="D40:E47" name="Rango2"/>
    <protectedRange sqref="B8:B27" name="Rango1"/>
  </protectedRanges>
  <mergeCells count="3">
    <mergeCell ref="A4:E4"/>
    <mergeCell ref="A1:K1"/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30"/>
  <sheetViews>
    <sheetView showGridLines="0" workbookViewId="0">
      <selection activeCell="K17" sqref="K17"/>
    </sheetView>
  </sheetViews>
  <sheetFormatPr baseColWidth="10" defaultColWidth="8.7109375" defaultRowHeight="15"/>
  <cols>
    <col min="1" max="9" width="17.140625" style="1" customWidth="1"/>
    <col min="10" max="11" width="17.140625" customWidth="1"/>
  </cols>
  <sheetData>
    <row r="1" spans="1:11" ht="27.75" customHeight="1">
      <c r="A1" s="140" t="s">
        <v>0</v>
      </c>
      <c r="B1" s="141"/>
      <c r="C1" s="141"/>
      <c r="D1" s="141"/>
      <c r="E1" s="141"/>
      <c r="F1" s="141"/>
      <c r="G1" s="141"/>
      <c r="H1" s="141"/>
      <c r="I1" s="142"/>
      <c r="J1" s="142"/>
      <c r="K1" s="142"/>
    </row>
    <row r="2" spans="1:11" ht="24.75" customHeight="1">
      <c r="A2" s="138" t="s">
        <v>502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8" t="str">
        <f>HYPERLINK("#TABLAS!A1","● TABLAS")</f>
        <v>● TABLAS</v>
      </c>
      <c r="K3" s="129" t="str">
        <f>HYPERLINK("#CHANGELOG!A1","▶ CHANGELOG")</f>
        <v>▶ CHANGELOG</v>
      </c>
    </row>
    <row r="4" spans="1:11" ht="39.75" customHeight="1">
      <c r="A4" s="76" t="s">
        <v>503</v>
      </c>
      <c r="B4" s="76"/>
      <c r="C4" s="76"/>
      <c r="D4" s="76"/>
      <c r="E4" s="76"/>
      <c r="F4" s="76"/>
      <c r="G4" s="76"/>
      <c r="H4" s="76"/>
      <c r="I4" s="76"/>
    </row>
    <row r="6" spans="1:11" ht="15" customHeight="1">
      <c r="A6" s="66" t="s">
        <v>504</v>
      </c>
      <c r="B6" s="66" t="s">
        <v>38</v>
      </c>
      <c r="C6" s="66" t="s">
        <v>505</v>
      </c>
      <c r="D6" s="66" t="s">
        <v>506</v>
      </c>
      <c r="E6" s="66" t="s">
        <v>507</v>
      </c>
      <c r="F6" s="66" t="s">
        <v>508</v>
      </c>
      <c r="G6" s="66" t="s">
        <v>509</v>
      </c>
      <c r="H6" s="66" t="s">
        <v>510</v>
      </c>
      <c r="I6" s="66" t="s">
        <v>511</v>
      </c>
    </row>
    <row r="7" spans="1:11" ht="15" customHeight="1">
      <c r="A7" s="67" t="s">
        <v>86</v>
      </c>
      <c r="B7" s="67" t="s">
        <v>365</v>
      </c>
      <c r="C7" s="68">
        <v>61</v>
      </c>
      <c r="D7" s="69">
        <v>-0.88859999999999995</v>
      </c>
      <c r="E7" s="70">
        <v>15.2441</v>
      </c>
      <c r="F7" s="69">
        <v>9.6920000000000006E-2</v>
      </c>
      <c r="G7" s="70"/>
      <c r="H7" s="70"/>
      <c r="I7" s="67" t="s">
        <v>512</v>
      </c>
    </row>
    <row r="8" spans="1:11" ht="15" customHeight="1">
      <c r="A8" s="67" t="s">
        <v>86</v>
      </c>
      <c r="B8" s="67" t="s">
        <v>365</v>
      </c>
      <c r="C8" s="68">
        <v>62</v>
      </c>
      <c r="D8" s="69">
        <v>-0.90680000000000005</v>
      </c>
      <c r="E8" s="70">
        <v>15.243399999999999</v>
      </c>
      <c r="F8" s="69">
        <v>9.7379999999999994E-2</v>
      </c>
      <c r="G8" s="70"/>
      <c r="H8" s="70"/>
      <c r="I8" s="67" t="s">
        <v>513</v>
      </c>
    </row>
    <row r="9" spans="1:11" ht="15" customHeight="1">
      <c r="A9" s="67" t="s">
        <v>86</v>
      </c>
      <c r="B9" s="67" t="s">
        <v>365</v>
      </c>
      <c r="C9" s="68">
        <v>63</v>
      </c>
      <c r="D9" s="69">
        <v>-0.92479999999999996</v>
      </c>
      <c r="E9" s="70">
        <v>15.2433</v>
      </c>
      <c r="F9" s="69">
        <v>9.783E-2</v>
      </c>
      <c r="G9" s="70"/>
      <c r="H9" s="70"/>
      <c r="I9" s="67" t="s">
        <v>514</v>
      </c>
    </row>
    <row r="10" spans="1:11" ht="15" customHeight="1">
      <c r="A10" s="67" t="s">
        <v>86</v>
      </c>
      <c r="B10" s="67" t="s">
        <v>365</v>
      </c>
      <c r="C10" s="68">
        <v>64</v>
      </c>
      <c r="D10" s="69">
        <v>-0.94269999999999998</v>
      </c>
      <c r="E10" s="70">
        <v>15.2438</v>
      </c>
      <c r="F10" s="69">
        <v>9.8290000000000002E-2</v>
      </c>
      <c r="G10" s="70"/>
      <c r="H10" s="70"/>
      <c r="I10" s="67" t="s">
        <v>515</v>
      </c>
    </row>
    <row r="11" spans="1:11" ht="15" customHeight="1">
      <c r="A11" s="67" t="s">
        <v>86</v>
      </c>
      <c r="B11" s="67" t="s">
        <v>365</v>
      </c>
      <c r="C11" s="68">
        <v>65</v>
      </c>
      <c r="D11" s="69">
        <v>-0.96050000000000002</v>
      </c>
      <c r="E11" s="70">
        <v>15.2448</v>
      </c>
      <c r="F11" s="69">
        <v>9.8750000000000004E-2</v>
      </c>
      <c r="G11" s="70"/>
      <c r="H11" s="70"/>
      <c r="I11" s="67" t="s">
        <v>516</v>
      </c>
    </row>
    <row r="12" spans="1:11" ht="15" customHeight="1">
      <c r="A12" s="67" t="s">
        <v>86</v>
      </c>
      <c r="B12" s="67" t="s">
        <v>365</v>
      </c>
      <c r="C12" s="68">
        <v>66</v>
      </c>
      <c r="D12" s="69">
        <v>-0.97799999999999998</v>
      </c>
      <c r="E12" s="70">
        <v>15.2464</v>
      </c>
      <c r="F12" s="69">
        <v>9.9199999999999997E-2</v>
      </c>
      <c r="G12" s="70"/>
      <c r="H12" s="70"/>
      <c r="I12" s="67" t="s">
        <v>517</v>
      </c>
    </row>
    <row r="13" spans="1:11" ht="15" customHeight="1">
      <c r="A13" s="67" t="s">
        <v>86</v>
      </c>
      <c r="B13" s="67" t="s">
        <v>365</v>
      </c>
      <c r="C13" s="68">
        <v>67</v>
      </c>
      <c r="D13" s="69">
        <v>-0.99539999999999995</v>
      </c>
      <c r="E13" s="70">
        <v>15.248699999999999</v>
      </c>
      <c r="F13" s="69">
        <v>9.9659999999999999E-2</v>
      </c>
      <c r="G13" s="70"/>
      <c r="H13" s="70"/>
      <c r="I13" s="67" t="s">
        <v>518</v>
      </c>
    </row>
    <row r="14" spans="1:11" ht="15" customHeight="1">
      <c r="A14" s="67" t="s">
        <v>86</v>
      </c>
      <c r="B14" s="67" t="s">
        <v>365</v>
      </c>
      <c r="C14" s="68">
        <v>68</v>
      </c>
      <c r="D14" s="70">
        <v>-1.0125999999999999</v>
      </c>
      <c r="E14" s="70">
        <v>15.2516</v>
      </c>
      <c r="F14" s="69">
        <v>0.10012</v>
      </c>
      <c r="G14" s="70"/>
      <c r="H14" s="70"/>
      <c r="I14" s="67" t="s">
        <v>519</v>
      </c>
    </row>
    <row r="15" spans="1:11" ht="15" customHeight="1">
      <c r="A15" s="67" t="s">
        <v>86</v>
      </c>
      <c r="B15" s="67" t="s">
        <v>365</v>
      </c>
      <c r="C15" s="68">
        <v>69</v>
      </c>
      <c r="D15" s="70">
        <v>-1.0296000000000001</v>
      </c>
      <c r="E15" s="70">
        <v>15.255100000000001</v>
      </c>
      <c r="F15" s="69">
        <v>0.10058</v>
      </c>
      <c r="G15" s="70"/>
      <c r="H15" s="70"/>
      <c r="I15" s="67" t="s">
        <v>520</v>
      </c>
    </row>
    <row r="16" spans="1:11" ht="15" customHeight="1">
      <c r="A16" s="67" t="s">
        <v>86</v>
      </c>
      <c r="B16" s="67" t="s">
        <v>365</v>
      </c>
      <c r="C16" s="68">
        <v>70</v>
      </c>
      <c r="D16" s="70">
        <v>-1.0464</v>
      </c>
      <c r="E16" s="70">
        <v>15.2592</v>
      </c>
      <c r="F16" s="69">
        <v>0.10104</v>
      </c>
      <c r="G16" s="70"/>
      <c r="H16" s="70"/>
      <c r="I16" s="67" t="s">
        <v>521</v>
      </c>
    </row>
    <row r="17" spans="1:9" ht="15" customHeight="1">
      <c r="A17" s="67" t="s">
        <v>86</v>
      </c>
      <c r="B17" s="67" t="s">
        <v>365</v>
      </c>
      <c r="C17" s="68">
        <v>71</v>
      </c>
      <c r="D17" s="70">
        <v>-1.0629999999999999</v>
      </c>
      <c r="E17" s="70">
        <v>15.264099999999999</v>
      </c>
      <c r="F17" s="69">
        <v>0.10149</v>
      </c>
      <c r="G17" s="70"/>
      <c r="H17" s="70"/>
      <c r="I17" s="67" t="s">
        <v>522</v>
      </c>
    </row>
    <row r="18" spans="1:9" ht="15" customHeight="1">
      <c r="A18" s="67" t="s">
        <v>86</v>
      </c>
      <c r="B18" s="67" t="s">
        <v>365</v>
      </c>
      <c r="C18" s="68">
        <v>72</v>
      </c>
      <c r="D18" s="70">
        <v>-1.0793999999999999</v>
      </c>
      <c r="E18" s="70">
        <v>15.2697</v>
      </c>
      <c r="F18" s="69">
        <v>0.10195</v>
      </c>
      <c r="G18" s="70"/>
      <c r="H18" s="70"/>
      <c r="I18" s="67" t="s">
        <v>523</v>
      </c>
    </row>
    <row r="19" spans="1:9" ht="15" customHeight="1">
      <c r="A19" s="67" t="s">
        <v>86</v>
      </c>
      <c r="B19" s="67" t="s">
        <v>365</v>
      </c>
      <c r="C19" s="68">
        <v>73</v>
      </c>
      <c r="D19" s="70">
        <v>-1.0955999999999999</v>
      </c>
      <c r="E19" s="70">
        <v>15.276</v>
      </c>
      <c r="F19" s="69">
        <v>0.10241</v>
      </c>
      <c r="G19" s="70"/>
      <c r="H19" s="70"/>
      <c r="I19" s="67" t="s">
        <v>524</v>
      </c>
    </row>
    <row r="20" spans="1:9" ht="15" customHeight="1">
      <c r="A20" s="67" t="s">
        <v>86</v>
      </c>
      <c r="B20" s="67" t="s">
        <v>365</v>
      </c>
      <c r="C20" s="68">
        <v>74</v>
      </c>
      <c r="D20" s="70">
        <v>-1.1114999999999999</v>
      </c>
      <c r="E20" s="70">
        <v>15.283099999999999</v>
      </c>
      <c r="F20" s="69">
        <v>0.10287</v>
      </c>
      <c r="G20" s="70"/>
      <c r="H20" s="70"/>
      <c r="I20" s="67" t="s">
        <v>525</v>
      </c>
    </row>
    <row r="21" spans="1:9" ht="15" customHeight="1">
      <c r="A21" s="67" t="s">
        <v>86</v>
      </c>
      <c r="B21" s="67" t="s">
        <v>365</v>
      </c>
      <c r="C21" s="68">
        <v>75</v>
      </c>
      <c r="D21" s="70">
        <v>-1.1272</v>
      </c>
      <c r="E21" s="70">
        <v>15.2911</v>
      </c>
      <c r="F21" s="69">
        <v>0.10333000000000001</v>
      </c>
      <c r="G21" s="70"/>
      <c r="H21" s="70"/>
      <c r="I21" s="67" t="s">
        <v>526</v>
      </c>
    </row>
    <row r="22" spans="1:9" ht="15" customHeight="1">
      <c r="A22" s="67" t="s">
        <v>86</v>
      </c>
      <c r="B22" s="67" t="s">
        <v>365</v>
      </c>
      <c r="C22" s="68">
        <v>76</v>
      </c>
      <c r="D22" s="70">
        <v>-1.1427</v>
      </c>
      <c r="E22" s="70">
        <v>15.299799999999999</v>
      </c>
      <c r="F22" s="69">
        <v>0.10378999999999999</v>
      </c>
      <c r="G22" s="70"/>
      <c r="H22" s="70"/>
      <c r="I22" s="67" t="s">
        <v>527</v>
      </c>
    </row>
    <row r="23" spans="1:9" ht="15" customHeight="1">
      <c r="A23" s="67" t="s">
        <v>86</v>
      </c>
      <c r="B23" s="67" t="s">
        <v>365</v>
      </c>
      <c r="C23" s="68">
        <v>77</v>
      </c>
      <c r="D23" s="70">
        <v>-1.1578999999999999</v>
      </c>
      <c r="E23" s="70">
        <v>15.3095</v>
      </c>
      <c r="F23" s="69">
        <v>0.10425</v>
      </c>
      <c r="G23" s="70"/>
      <c r="H23" s="70"/>
      <c r="I23" s="67" t="s">
        <v>528</v>
      </c>
    </row>
    <row r="24" spans="1:9" ht="15" customHeight="1">
      <c r="A24" s="67" t="s">
        <v>86</v>
      </c>
      <c r="B24" s="67" t="s">
        <v>365</v>
      </c>
      <c r="C24" s="68">
        <v>78</v>
      </c>
      <c r="D24" s="70">
        <v>-1.1728000000000001</v>
      </c>
      <c r="E24" s="70">
        <v>15.32</v>
      </c>
      <c r="F24" s="69">
        <v>0.10471</v>
      </c>
      <c r="G24" s="70"/>
      <c r="H24" s="70"/>
      <c r="I24" s="67" t="s">
        <v>529</v>
      </c>
    </row>
    <row r="25" spans="1:9" ht="15" customHeight="1">
      <c r="A25" s="67" t="s">
        <v>86</v>
      </c>
      <c r="B25" s="67" t="s">
        <v>365</v>
      </c>
      <c r="C25" s="68">
        <v>79</v>
      </c>
      <c r="D25" s="70">
        <v>-1.1875</v>
      </c>
      <c r="E25" s="70">
        <v>15.3314</v>
      </c>
      <c r="F25" s="69">
        <v>0.10517</v>
      </c>
      <c r="G25" s="70"/>
      <c r="H25" s="70"/>
      <c r="I25" s="67" t="s">
        <v>530</v>
      </c>
    </row>
    <row r="26" spans="1:9" ht="15" customHeight="1">
      <c r="A26" s="67" t="s">
        <v>86</v>
      </c>
      <c r="B26" s="67" t="s">
        <v>365</v>
      </c>
      <c r="C26" s="68">
        <v>80</v>
      </c>
      <c r="D26" s="70">
        <v>-1.2019</v>
      </c>
      <c r="E26" s="70">
        <v>15.3439</v>
      </c>
      <c r="F26" s="69">
        <v>0.10562000000000001</v>
      </c>
      <c r="G26" s="70"/>
      <c r="H26" s="70"/>
      <c r="I26" s="67" t="s">
        <v>531</v>
      </c>
    </row>
    <row r="27" spans="1:9" ht="15" customHeight="1">
      <c r="A27" s="67" t="s">
        <v>86</v>
      </c>
      <c r="B27" s="67" t="s">
        <v>365</v>
      </c>
      <c r="C27" s="68">
        <v>81</v>
      </c>
      <c r="D27" s="70">
        <v>-1.216</v>
      </c>
      <c r="E27" s="70">
        <v>15.357200000000001</v>
      </c>
      <c r="F27" s="69">
        <v>0.10607999999999999</v>
      </c>
      <c r="G27" s="70"/>
      <c r="H27" s="70"/>
      <c r="I27" s="67" t="s">
        <v>532</v>
      </c>
    </row>
    <row r="28" spans="1:9" ht="15" customHeight="1">
      <c r="A28" s="67" t="s">
        <v>86</v>
      </c>
      <c r="B28" s="67" t="s">
        <v>365</v>
      </c>
      <c r="C28" s="68">
        <v>82</v>
      </c>
      <c r="D28" s="70">
        <v>-1.2298</v>
      </c>
      <c r="E28" s="70">
        <v>15.371700000000001</v>
      </c>
      <c r="F28" s="69">
        <v>0.10654</v>
      </c>
      <c r="G28" s="70"/>
      <c r="H28" s="70"/>
      <c r="I28" s="67" t="s">
        <v>533</v>
      </c>
    </row>
    <row r="29" spans="1:9" ht="15" customHeight="1">
      <c r="A29" s="67" t="s">
        <v>86</v>
      </c>
      <c r="B29" s="67" t="s">
        <v>365</v>
      </c>
      <c r="C29" s="68">
        <v>83</v>
      </c>
      <c r="D29" s="70">
        <v>-1.2433000000000001</v>
      </c>
      <c r="E29" s="70">
        <v>15.3871</v>
      </c>
      <c r="F29" s="69">
        <v>0.107</v>
      </c>
      <c r="G29" s="70"/>
      <c r="H29" s="70"/>
      <c r="I29" s="67" t="s">
        <v>534</v>
      </c>
    </row>
    <row r="30" spans="1:9" ht="15" customHeight="1">
      <c r="A30" s="67" t="s">
        <v>86</v>
      </c>
      <c r="B30" s="67" t="s">
        <v>365</v>
      </c>
      <c r="C30" s="68">
        <v>84</v>
      </c>
      <c r="D30" s="70">
        <v>-1.2565</v>
      </c>
      <c r="E30" s="70">
        <v>15.403600000000001</v>
      </c>
      <c r="F30" s="69">
        <v>0.10746</v>
      </c>
      <c r="G30" s="70"/>
      <c r="H30" s="70"/>
      <c r="I30" s="67" t="s">
        <v>535</v>
      </c>
    </row>
    <row r="31" spans="1:9" ht="15" customHeight="1">
      <c r="A31" s="67" t="s">
        <v>86</v>
      </c>
      <c r="B31" s="67" t="s">
        <v>365</v>
      </c>
      <c r="C31" s="68">
        <v>85</v>
      </c>
      <c r="D31" s="70">
        <v>-1.2693000000000001</v>
      </c>
      <c r="E31" s="70">
        <v>15.421099999999999</v>
      </c>
      <c r="F31" s="69">
        <v>0.10792</v>
      </c>
      <c r="G31" s="70"/>
      <c r="H31" s="70"/>
      <c r="I31" s="67" t="s">
        <v>536</v>
      </c>
    </row>
    <row r="32" spans="1:9" ht="15" customHeight="1">
      <c r="A32" s="67" t="s">
        <v>86</v>
      </c>
      <c r="B32" s="67" t="s">
        <v>365</v>
      </c>
      <c r="C32" s="68">
        <v>86</v>
      </c>
      <c r="D32" s="70">
        <v>-1.2819</v>
      </c>
      <c r="E32" s="70">
        <v>15.4397</v>
      </c>
      <c r="F32" s="69">
        <v>0.10836999999999999</v>
      </c>
      <c r="G32" s="70"/>
      <c r="H32" s="70"/>
      <c r="I32" s="67" t="s">
        <v>537</v>
      </c>
    </row>
    <row r="33" spans="1:9" ht="15" customHeight="1">
      <c r="A33" s="67" t="s">
        <v>86</v>
      </c>
      <c r="B33" s="67" t="s">
        <v>365</v>
      </c>
      <c r="C33" s="68">
        <v>87</v>
      </c>
      <c r="D33" s="70">
        <v>-1.2941</v>
      </c>
      <c r="E33" s="70">
        <v>15.459300000000001</v>
      </c>
      <c r="F33" s="69">
        <v>0.10883</v>
      </c>
      <c r="G33" s="70"/>
      <c r="H33" s="70"/>
      <c r="I33" s="67" t="s">
        <v>538</v>
      </c>
    </row>
    <row r="34" spans="1:9" ht="15" customHeight="1">
      <c r="A34" s="67" t="s">
        <v>86</v>
      </c>
      <c r="B34" s="67" t="s">
        <v>365</v>
      </c>
      <c r="C34" s="68">
        <v>88</v>
      </c>
      <c r="D34" s="70">
        <v>-1.306</v>
      </c>
      <c r="E34" s="70">
        <v>15.479799999999999</v>
      </c>
      <c r="F34" s="69">
        <v>0.10929</v>
      </c>
      <c r="G34" s="70"/>
      <c r="H34" s="70"/>
      <c r="I34" s="67" t="s">
        <v>539</v>
      </c>
    </row>
    <row r="35" spans="1:9" ht="15" customHeight="1">
      <c r="A35" s="67" t="s">
        <v>86</v>
      </c>
      <c r="B35" s="67" t="s">
        <v>365</v>
      </c>
      <c r="C35" s="68">
        <v>89</v>
      </c>
      <c r="D35" s="70">
        <v>-1.3174999999999999</v>
      </c>
      <c r="E35" s="70">
        <v>15.5014</v>
      </c>
      <c r="F35" s="69">
        <v>0.10974</v>
      </c>
      <c r="G35" s="70"/>
      <c r="H35" s="70"/>
      <c r="I35" s="67" t="s">
        <v>540</v>
      </c>
    </row>
    <row r="36" spans="1:9" ht="15" customHeight="1">
      <c r="A36" s="67" t="s">
        <v>86</v>
      </c>
      <c r="B36" s="67" t="s">
        <v>365</v>
      </c>
      <c r="C36" s="68">
        <v>90</v>
      </c>
      <c r="D36" s="70">
        <v>-1.3287</v>
      </c>
      <c r="E36" s="70">
        <v>15.523999999999999</v>
      </c>
      <c r="F36" s="69">
        <v>0.11020000000000001</v>
      </c>
      <c r="G36" s="70"/>
      <c r="H36" s="70"/>
      <c r="I36" s="67" t="s">
        <v>541</v>
      </c>
    </row>
    <row r="37" spans="1:9" ht="15" customHeight="1">
      <c r="A37" s="67" t="s">
        <v>86</v>
      </c>
      <c r="B37" s="67" t="s">
        <v>365</v>
      </c>
      <c r="C37" s="68">
        <v>91</v>
      </c>
      <c r="D37" s="70">
        <v>-1.3394999999999999</v>
      </c>
      <c r="E37" s="70">
        <v>15.547599999999999</v>
      </c>
      <c r="F37" s="69">
        <v>0.11065</v>
      </c>
      <c r="G37" s="70"/>
      <c r="H37" s="70"/>
      <c r="I37" s="67" t="s">
        <v>542</v>
      </c>
    </row>
    <row r="38" spans="1:9" ht="15" customHeight="1">
      <c r="A38" s="67" t="s">
        <v>86</v>
      </c>
      <c r="B38" s="67" t="s">
        <v>365</v>
      </c>
      <c r="C38" s="68">
        <v>92</v>
      </c>
      <c r="D38" s="70">
        <v>-1.3499000000000001</v>
      </c>
      <c r="E38" s="70">
        <v>15.5723</v>
      </c>
      <c r="F38" s="69">
        <v>0.1111</v>
      </c>
      <c r="G38" s="70"/>
      <c r="H38" s="70"/>
      <c r="I38" s="67" t="s">
        <v>543</v>
      </c>
    </row>
    <row r="39" spans="1:9" ht="15" customHeight="1">
      <c r="A39" s="67" t="s">
        <v>86</v>
      </c>
      <c r="B39" s="67" t="s">
        <v>365</v>
      </c>
      <c r="C39" s="68">
        <v>93</v>
      </c>
      <c r="D39" s="70">
        <v>-1.36</v>
      </c>
      <c r="E39" s="70">
        <v>15.597899999999999</v>
      </c>
      <c r="F39" s="69">
        <v>0.11156000000000001</v>
      </c>
      <c r="G39" s="70"/>
      <c r="H39" s="70"/>
      <c r="I39" s="67" t="s">
        <v>544</v>
      </c>
    </row>
    <row r="40" spans="1:9" ht="15" customHeight="1">
      <c r="A40" s="67" t="s">
        <v>86</v>
      </c>
      <c r="B40" s="67" t="s">
        <v>365</v>
      </c>
      <c r="C40" s="68">
        <v>94</v>
      </c>
      <c r="D40" s="70">
        <v>-1.3696999999999999</v>
      </c>
      <c r="E40" s="70">
        <v>15.624599999999999</v>
      </c>
      <c r="F40" s="69">
        <v>0.11201</v>
      </c>
      <c r="G40" s="70"/>
      <c r="H40" s="70"/>
      <c r="I40" s="67" t="s">
        <v>545</v>
      </c>
    </row>
    <row r="41" spans="1:9" ht="15" customHeight="1">
      <c r="A41" s="67" t="s">
        <v>86</v>
      </c>
      <c r="B41" s="67" t="s">
        <v>365</v>
      </c>
      <c r="C41" s="68">
        <v>95</v>
      </c>
      <c r="D41" s="70">
        <v>-1.379</v>
      </c>
      <c r="E41" s="70">
        <v>15.6523</v>
      </c>
      <c r="F41" s="69">
        <v>0.11246</v>
      </c>
      <c r="G41" s="70"/>
      <c r="H41" s="70"/>
      <c r="I41" s="67" t="s">
        <v>546</v>
      </c>
    </row>
    <row r="42" spans="1:9" ht="15" customHeight="1">
      <c r="A42" s="67" t="s">
        <v>86</v>
      </c>
      <c r="B42" s="67" t="s">
        <v>365</v>
      </c>
      <c r="C42" s="68">
        <v>96</v>
      </c>
      <c r="D42" s="70">
        <v>-1.3879999999999999</v>
      </c>
      <c r="E42" s="70">
        <v>15.680999999999999</v>
      </c>
      <c r="F42" s="69">
        <v>0.11291</v>
      </c>
      <c r="G42" s="70"/>
      <c r="H42" s="70"/>
      <c r="I42" s="67" t="s">
        <v>547</v>
      </c>
    </row>
    <row r="43" spans="1:9" ht="15" customHeight="1">
      <c r="A43" s="67" t="s">
        <v>86</v>
      </c>
      <c r="B43" s="67" t="s">
        <v>365</v>
      </c>
      <c r="C43" s="68">
        <v>97</v>
      </c>
      <c r="D43" s="70">
        <v>-1.3966000000000001</v>
      </c>
      <c r="E43" s="70">
        <v>15.710699999999999</v>
      </c>
      <c r="F43" s="69">
        <v>0.11335000000000001</v>
      </c>
      <c r="G43" s="70"/>
      <c r="H43" s="70"/>
      <c r="I43" s="67" t="s">
        <v>548</v>
      </c>
    </row>
    <row r="44" spans="1:9" ht="15" customHeight="1">
      <c r="A44" s="67" t="s">
        <v>86</v>
      </c>
      <c r="B44" s="67" t="s">
        <v>365</v>
      </c>
      <c r="C44" s="68">
        <v>98</v>
      </c>
      <c r="D44" s="70">
        <v>-1.4047000000000001</v>
      </c>
      <c r="E44" s="70">
        <v>15.7415</v>
      </c>
      <c r="F44" s="69">
        <v>0.1138</v>
      </c>
      <c r="G44" s="70"/>
      <c r="H44" s="70"/>
      <c r="I44" s="67" t="s">
        <v>549</v>
      </c>
    </row>
    <row r="45" spans="1:9" ht="15" customHeight="1">
      <c r="A45" s="67" t="s">
        <v>86</v>
      </c>
      <c r="B45" s="67" t="s">
        <v>365</v>
      </c>
      <c r="C45" s="68">
        <v>99</v>
      </c>
      <c r="D45" s="70">
        <v>-1.4125000000000001</v>
      </c>
      <c r="E45" s="70">
        <v>15.773199999999999</v>
      </c>
      <c r="F45" s="69">
        <v>0.11423999999999999</v>
      </c>
      <c r="G45" s="70"/>
      <c r="H45" s="70"/>
      <c r="I45" s="67" t="s">
        <v>550</v>
      </c>
    </row>
    <row r="46" spans="1:9" ht="15" customHeight="1">
      <c r="A46" s="67" t="s">
        <v>86</v>
      </c>
      <c r="B46" s="67" t="s">
        <v>365</v>
      </c>
      <c r="C46" s="68">
        <v>100</v>
      </c>
      <c r="D46" s="70">
        <v>-1.4198999999999999</v>
      </c>
      <c r="E46" s="70">
        <v>15.8058</v>
      </c>
      <c r="F46" s="69">
        <v>0.11469</v>
      </c>
      <c r="G46" s="70"/>
      <c r="H46" s="70"/>
      <c r="I46" s="67" t="s">
        <v>551</v>
      </c>
    </row>
    <row r="47" spans="1:9" ht="15" customHeight="1">
      <c r="A47" s="67" t="s">
        <v>86</v>
      </c>
      <c r="B47" s="67" t="s">
        <v>365</v>
      </c>
      <c r="C47" s="68">
        <v>101</v>
      </c>
      <c r="D47" s="70">
        <v>-1.427</v>
      </c>
      <c r="E47" s="70">
        <v>15.839399999999999</v>
      </c>
      <c r="F47" s="69">
        <v>0.11513</v>
      </c>
      <c r="G47" s="70"/>
      <c r="H47" s="70"/>
      <c r="I47" s="67" t="s">
        <v>552</v>
      </c>
    </row>
    <row r="48" spans="1:9" ht="15" customHeight="1">
      <c r="A48" s="67" t="s">
        <v>86</v>
      </c>
      <c r="B48" s="67" t="s">
        <v>365</v>
      </c>
      <c r="C48" s="68">
        <v>102</v>
      </c>
      <c r="D48" s="70">
        <v>-1.4336</v>
      </c>
      <c r="E48" s="70">
        <v>15.873799999999999</v>
      </c>
      <c r="F48" s="69">
        <v>0.11557000000000001</v>
      </c>
      <c r="G48" s="70"/>
      <c r="H48" s="70"/>
      <c r="I48" s="67" t="s">
        <v>553</v>
      </c>
    </row>
    <row r="49" spans="1:9" ht="15" customHeight="1">
      <c r="A49" s="67" t="s">
        <v>86</v>
      </c>
      <c r="B49" s="67" t="s">
        <v>365</v>
      </c>
      <c r="C49" s="68">
        <v>103</v>
      </c>
      <c r="D49" s="70">
        <v>-1.4398</v>
      </c>
      <c r="E49" s="70">
        <v>15.909000000000001</v>
      </c>
      <c r="F49" s="69">
        <v>0.11601</v>
      </c>
      <c r="G49" s="70"/>
      <c r="H49" s="70"/>
      <c r="I49" s="67" t="s">
        <v>554</v>
      </c>
    </row>
    <row r="50" spans="1:9" ht="15" customHeight="1">
      <c r="A50" s="67" t="s">
        <v>86</v>
      </c>
      <c r="B50" s="67" t="s">
        <v>365</v>
      </c>
      <c r="C50" s="68">
        <v>104</v>
      </c>
      <c r="D50" s="70">
        <v>-1.4456</v>
      </c>
      <c r="E50" s="70">
        <v>15.9451</v>
      </c>
      <c r="F50" s="69">
        <v>0.11644</v>
      </c>
      <c r="G50" s="70"/>
      <c r="H50" s="70"/>
      <c r="I50" s="67" t="s">
        <v>555</v>
      </c>
    </row>
    <row r="51" spans="1:9" ht="15" customHeight="1">
      <c r="A51" s="67" t="s">
        <v>86</v>
      </c>
      <c r="B51" s="67" t="s">
        <v>365</v>
      </c>
      <c r="C51" s="68">
        <v>105</v>
      </c>
      <c r="D51" s="70">
        <v>-1.4511000000000001</v>
      </c>
      <c r="E51" s="70">
        <v>15.9818</v>
      </c>
      <c r="F51" s="69">
        <v>0.11688</v>
      </c>
      <c r="G51" s="70"/>
      <c r="H51" s="70"/>
      <c r="I51" s="67" t="s">
        <v>556</v>
      </c>
    </row>
    <row r="52" spans="1:9" ht="15" customHeight="1">
      <c r="A52" s="67" t="s">
        <v>86</v>
      </c>
      <c r="B52" s="67" t="s">
        <v>365</v>
      </c>
      <c r="C52" s="68">
        <v>106</v>
      </c>
      <c r="D52" s="70">
        <v>-1.4560999999999999</v>
      </c>
      <c r="E52" s="70">
        <v>16.019400000000001</v>
      </c>
      <c r="F52" s="69">
        <v>0.11731</v>
      </c>
      <c r="G52" s="70"/>
      <c r="H52" s="70"/>
      <c r="I52" s="67" t="s">
        <v>557</v>
      </c>
    </row>
    <row r="53" spans="1:9" ht="15" customHeight="1">
      <c r="A53" s="67" t="s">
        <v>86</v>
      </c>
      <c r="B53" s="67" t="s">
        <v>365</v>
      </c>
      <c r="C53" s="68">
        <v>107</v>
      </c>
      <c r="D53" s="70">
        <v>-1.4607000000000001</v>
      </c>
      <c r="E53" s="70">
        <v>16.057500000000001</v>
      </c>
      <c r="F53" s="69">
        <v>0.11774</v>
      </c>
      <c r="G53" s="70"/>
      <c r="H53" s="70"/>
      <c r="I53" s="67" t="s">
        <v>558</v>
      </c>
    </row>
    <row r="54" spans="1:9" ht="15" customHeight="1">
      <c r="A54" s="67" t="s">
        <v>86</v>
      </c>
      <c r="B54" s="67" t="s">
        <v>365</v>
      </c>
      <c r="C54" s="68">
        <v>108</v>
      </c>
      <c r="D54" s="70">
        <v>-1.4650000000000001</v>
      </c>
      <c r="E54" s="70">
        <v>16.096399999999999</v>
      </c>
      <c r="F54" s="69">
        <v>0.11816</v>
      </c>
      <c r="G54" s="70"/>
      <c r="H54" s="70"/>
      <c r="I54" s="67" t="s">
        <v>559</v>
      </c>
    </row>
    <row r="55" spans="1:9" ht="15" customHeight="1">
      <c r="A55" s="67" t="s">
        <v>86</v>
      </c>
      <c r="B55" s="67" t="s">
        <v>365</v>
      </c>
      <c r="C55" s="68">
        <v>109</v>
      </c>
      <c r="D55" s="70">
        <v>-1.4688000000000001</v>
      </c>
      <c r="E55" s="70">
        <v>16.1358</v>
      </c>
      <c r="F55" s="69">
        <v>0.11859</v>
      </c>
      <c r="G55" s="70"/>
      <c r="H55" s="70"/>
      <c r="I55" s="67" t="s">
        <v>560</v>
      </c>
    </row>
    <row r="56" spans="1:9" ht="15" customHeight="1">
      <c r="A56" s="67" t="s">
        <v>86</v>
      </c>
      <c r="B56" s="67" t="s">
        <v>365</v>
      </c>
      <c r="C56" s="68">
        <v>110</v>
      </c>
      <c r="D56" s="70">
        <v>-1.4722999999999999</v>
      </c>
      <c r="E56" s="70">
        <v>16.175899999999999</v>
      </c>
      <c r="F56" s="69">
        <v>0.11901</v>
      </c>
      <c r="G56" s="70"/>
      <c r="H56" s="70"/>
      <c r="I56" s="67" t="s">
        <v>561</v>
      </c>
    </row>
    <row r="57" spans="1:9" ht="15" customHeight="1">
      <c r="A57" s="67" t="s">
        <v>86</v>
      </c>
      <c r="B57" s="67" t="s">
        <v>365</v>
      </c>
      <c r="C57" s="68">
        <v>111</v>
      </c>
      <c r="D57" s="70">
        <v>-1.4753000000000001</v>
      </c>
      <c r="E57" s="70">
        <v>16.2166</v>
      </c>
      <c r="F57" s="69">
        <v>0.11942999999999999</v>
      </c>
      <c r="G57" s="70"/>
      <c r="H57" s="70"/>
      <c r="I57" s="67" t="s">
        <v>562</v>
      </c>
    </row>
    <row r="58" spans="1:9" ht="15" customHeight="1">
      <c r="A58" s="67" t="s">
        <v>86</v>
      </c>
      <c r="B58" s="67" t="s">
        <v>365</v>
      </c>
      <c r="C58" s="68">
        <v>112</v>
      </c>
      <c r="D58" s="70">
        <v>-1.478</v>
      </c>
      <c r="E58" s="70">
        <v>16.257999999999999</v>
      </c>
      <c r="F58" s="69">
        <v>0.11985</v>
      </c>
      <c r="G58" s="70"/>
      <c r="H58" s="70"/>
      <c r="I58" s="67" t="s">
        <v>563</v>
      </c>
    </row>
    <row r="59" spans="1:9" ht="15" customHeight="1">
      <c r="A59" s="67" t="s">
        <v>86</v>
      </c>
      <c r="B59" s="67" t="s">
        <v>365</v>
      </c>
      <c r="C59" s="68">
        <v>113</v>
      </c>
      <c r="D59" s="70">
        <v>-1.4802999999999999</v>
      </c>
      <c r="E59" s="70">
        <v>16.299900000000001</v>
      </c>
      <c r="F59" s="69">
        <v>0.12026000000000001</v>
      </c>
      <c r="G59" s="70"/>
      <c r="H59" s="70"/>
      <c r="I59" s="67" t="s">
        <v>564</v>
      </c>
    </row>
    <row r="60" spans="1:9" ht="15" customHeight="1">
      <c r="A60" s="67" t="s">
        <v>86</v>
      </c>
      <c r="B60" s="67" t="s">
        <v>365</v>
      </c>
      <c r="C60" s="68">
        <v>114</v>
      </c>
      <c r="D60" s="70">
        <v>-1.4823</v>
      </c>
      <c r="E60" s="70">
        <v>16.342500000000001</v>
      </c>
      <c r="F60" s="69">
        <v>0.12067</v>
      </c>
      <c r="G60" s="70"/>
      <c r="H60" s="70"/>
      <c r="I60" s="67" t="s">
        <v>565</v>
      </c>
    </row>
    <row r="61" spans="1:9" ht="15" customHeight="1">
      <c r="A61" s="67" t="s">
        <v>86</v>
      </c>
      <c r="B61" s="67" t="s">
        <v>365</v>
      </c>
      <c r="C61" s="68">
        <v>115</v>
      </c>
      <c r="D61" s="70">
        <v>-1.4838</v>
      </c>
      <c r="E61" s="70">
        <v>16.3858</v>
      </c>
      <c r="F61" s="69">
        <v>0.12107999999999999</v>
      </c>
      <c r="G61" s="70"/>
      <c r="H61" s="70"/>
      <c r="I61" s="67" t="s">
        <v>566</v>
      </c>
    </row>
    <row r="62" spans="1:9" ht="15" customHeight="1">
      <c r="A62" s="67" t="s">
        <v>86</v>
      </c>
      <c r="B62" s="67" t="s">
        <v>365</v>
      </c>
      <c r="C62" s="68">
        <v>116</v>
      </c>
      <c r="D62" s="70">
        <v>-1.4850000000000001</v>
      </c>
      <c r="E62" s="70">
        <v>16.4298</v>
      </c>
      <c r="F62" s="69">
        <v>0.12148</v>
      </c>
      <c r="G62" s="70"/>
      <c r="H62" s="70"/>
      <c r="I62" s="67" t="s">
        <v>567</v>
      </c>
    </row>
    <row r="63" spans="1:9" ht="15" customHeight="1">
      <c r="A63" s="67" t="s">
        <v>86</v>
      </c>
      <c r="B63" s="67" t="s">
        <v>365</v>
      </c>
      <c r="C63" s="68">
        <v>117</v>
      </c>
      <c r="D63" s="70">
        <v>-1.4859</v>
      </c>
      <c r="E63" s="70">
        <v>16.474599999999999</v>
      </c>
      <c r="F63" s="69">
        <v>0.12188</v>
      </c>
      <c r="G63" s="70"/>
      <c r="H63" s="70"/>
      <c r="I63" s="67" t="s">
        <v>568</v>
      </c>
    </row>
    <row r="64" spans="1:9" ht="15" customHeight="1">
      <c r="A64" s="67" t="s">
        <v>86</v>
      </c>
      <c r="B64" s="67" t="s">
        <v>365</v>
      </c>
      <c r="C64" s="68">
        <v>118</v>
      </c>
      <c r="D64" s="70">
        <v>-1.4863999999999999</v>
      </c>
      <c r="E64" s="70">
        <v>16.52</v>
      </c>
      <c r="F64" s="69">
        <v>0.12228</v>
      </c>
      <c r="G64" s="70"/>
      <c r="H64" s="70"/>
      <c r="I64" s="67" t="s">
        <v>569</v>
      </c>
    </row>
    <row r="65" spans="1:9" ht="15" customHeight="1">
      <c r="A65" s="67" t="s">
        <v>86</v>
      </c>
      <c r="B65" s="67" t="s">
        <v>365</v>
      </c>
      <c r="C65" s="68">
        <v>119</v>
      </c>
      <c r="D65" s="70">
        <v>-1.4865999999999999</v>
      </c>
      <c r="E65" s="70">
        <v>16.566299999999998</v>
      </c>
      <c r="F65" s="69">
        <v>0.12268</v>
      </c>
      <c r="G65" s="70"/>
      <c r="H65" s="70"/>
      <c r="I65" s="67" t="s">
        <v>570</v>
      </c>
    </row>
    <row r="66" spans="1:9" ht="15" customHeight="1">
      <c r="A66" s="67" t="s">
        <v>86</v>
      </c>
      <c r="B66" s="67" t="s">
        <v>365</v>
      </c>
      <c r="C66" s="68">
        <v>120</v>
      </c>
      <c r="D66" s="70">
        <v>-1.4863999999999999</v>
      </c>
      <c r="E66" s="70">
        <v>16.613299999999999</v>
      </c>
      <c r="F66" s="69">
        <v>0.12307</v>
      </c>
      <c r="G66" s="70"/>
      <c r="H66" s="70"/>
      <c r="I66" s="67" t="s">
        <v>571</v>
      </c>
    </row>
    <row r="67" spans="1:9" ht="15" customHeight="1">
      <c r="A67" s="67" t="s">
        <v>86</v>
      </c>
      <c r="B67" s="67" t="s">
        <v>365</v>
      </c>
      <c r="C67" s="68">
        <v>121</v>
      </c>
      <c r="D67" s="70">
        <v>-1.4859</v>
      </c>
      <c r="E67" s="70">
        <v>16.661200000000001</v>
      </c>
      <c r="F67" s="69">
        <v>0.12346</v>
      </c>
      <c r="G67" s="70"/>
      <c r="H67" s="70"/>
      <c r="I67" s="67" t="s">
        <v>572</v>
      </c>
    </row>
    <row r="68" spans="1:9" ht="15" customHeight="1">
      <c r="A68" s="67" t="s">
        <v>86</v>
      </c>
      <c r="B68" s="67" t="s">
        <v>365</v>
      </c>
      <c r="C68" s="68">
        <v>122</v>
      </c>
      <c r="D68" s="70">
        <v>-1.4851000000000001</v>
      </c>
      <c r="E68" s="70">
        <v>16.71</v>
      </c>
      <c r="F68" s="69">
        <v>0.12384000000000001</v>
      </c>
      <c r="G68" s="70"/>
      <c r="H68" s="70"/>
      <c r="I68" s="67" t="s">
        <v>573</v>
      </c>
    </row>
    <row r="69" spans="1:9" ht="15" customHeight="1">
      <c r="A69" s="67" t="s">
        <v>86</v>
      </c>
      <c r="B69" s="67" t="s">
        <v>365</v>
      </c>
      <c r="C69" s="68">
        <v>123</v>
      </c>
      <c r="D69" s="70">
        <v>-1.4839</v>
      </c>
      <c r="E69" s="70">
        <v>16.759499999999999</v>
      </c>
      <c r="F69" s="69">
        <v>0.12422</v>
      </c>
      <c r="G69" s="70"/>
      <c r="H69" s="70"/>
      <c r="I69" s="67" t="s">
        <v>574</v>
      </c>
    </row>
    <row r="70" spans="1:9" ht="15" customHeight="1">
      <c r="A70" s="67" t="s">
        <v>86</v>
      </c>
      <c r="B70" s="67" t="s">
        <v>365</v>
      </c>
      <c r="C70" s="68">
        <v>124</v>
      </c>
      <c r="D70" s="70">
        <v>-1.4824999999999999</v>
      </c>
      <c r="E70" s="70">
        <v>16.809999999999999</v>
      </c>
      <c r="F70" s="69">
        <v>0.1246</v>
      </c>
      <c r="G70" s="70"/>
      <c r="H70" s="70"/>
      <c r="I70" s="67" t="s">
        <v>575</v>
      </c>
    </row>
    <row r="71" spans="1:9" ht="15" customHeight="1">
      <c r="A71" s="67" t="s">
        <v>86</v>
      </c>
      <c r="B71" s="67" t="s">
        <v>365</v>
      </c>
      <c r="C71" s="68">
        <v>125</v>
      </c>
      <c r="D71" s="70">
        <v>-1.4806999999999999</v>
      </c>
      <c r="E71" s="70">
        <v>16.8614</v>
      </c>
      <c r="F71" s="69">
        <v>0.12497</v>
      </c>
      <c r="G71" s="70"/>
      <c r="H71" s="70"/>
      <c r="I71" s="67" t="s">
        <v>576</v>
      </c>
    </row>
    <row r="72" spans="1:9" ht="15" customHeight="1">
      <c r="A72" s="67" t="s">
        <v>86</v>
      </c>
      <c r="B72" s="67" t="s">
        <v>365</v>
      </c>
      <c r="C72" s="68">
        <v>126</v>
      </c>
      <c r="D72" s="70">
        <v>-1.4786999999999999</v>
      </c>
      <c r="E72" s="70">
        <v>16.913599999999999</v>
      </c>
      <c r="F72" s="69">
        <v>0.12534000000000001</v>
      </c>
      <c r="G72" s="70"/>
      <c r="H72" s="70"/>
      <c r="I72" s="67" t="s">
        <v>577</v>
      </c>
    </row>
    <row r="73" spans="1:9" ht="15" customHeight="1">
      <c r="A73" s="67" t="s">
        <v>86</v>
      </c>
      <c r="B73" s="67" t="s">
        <v>365</v>
      </c>
      <c r="C73" s="68">
        <v>127</v>
      </c>
      <c r="D73" s="70">
        <v>-1.4762999999999999</v>
      </c>
      <c r="E73" s="70">
        <v>16.966699999999999</v>
      </c>
      <c r="F73" s="69">
        <v>0.12570999999999999</v>
      </c>
      <c r="G73" s="70"/>
      <c r="H73" s="70"/>
      <c r="I73" s="67" t="s">
        <v>578</v>
      </c>
    </row>
    <row r="74" spans="1:9" ht="15" customHeight="1">
      <c r="A74" s="67" t="s">
        <v>86</v>
      </c>
      <c r="B74" s="67" t="s">
        <v>365</v>
      </c>
      <c r="C74" s="68">
        <v>128</v>
      </c>
      <c r="D74" s="70">
        <v>-1.4737</v>
      </c>
      <c r="E74" s="70">
        <v>17.020800000000001</v>
      </c>
      <c r="F74" s="69">
        <v>0.12606999999999999</v>
      </c>
      <c r="G74" s="70"/>
      <c r="H74" s="70"/>
      <c r="I74" s="67" t="s">
        <v>579</v>
      </c>
    </row>
    <row r="75" spans="1:9" ht="15" customHeight="1">
      <c r="A75" s="67" t="s">
        <v>86</v>
      </c>
      <c r="B75" s="67" t="s">
        <v>365</v>
      </c>
      <c r="C75" s="68">
        <v>129</v>
      </c>
      <c r="D75" s="70">
        <v>-1.4708000000000001</v>
      </c>
      <c r="E75" s="70">
        <v>17.075700000000001</v>
      </c>
      <c r="F75" s="69">
        <v>0.12642999999999999</v>
      </c>
      <c r="G75" s="70"/>
      <c r="H75" s="70"/>
      <c r="I75" s="67" t="s">
        <v>580</v>
      </c>
    </row>
    <row r="76" spans="1:9" ht="15" customHeight="1">
      <c r="A76" s="67" t="s">
        <v>86</v>
      </c>
      <c r="B76" s="67" t="s">
        <v>365</v>
      </c>
      <c r="C76" s="68">
        <v>130</v>
      </c>
      <c r="D76" s="70">
        <v>-1.4677</v>
      </c>
      <c r="E76" s="70">
        <v>17.131599999999999</v>
      </c>
      <c r="F76" s="69">
        <v>0.12678</v>
      </c>
      <c r="G76" s="70"/>
      <c r="H76" s="70"/>
      <c r="I76" s="67" t="s">
        <v>581</v>
      </c>
    </row>
    <row r="77" spans="1:9" ht="15" customHeight="1">
      <c r="A77" s="67" t="s">
        <v>86</v>
      </c>
      <c r="B77" s="67" t="s">
        <v>365</v>
      </c>
      <c r="C77" s="68">
        <v>131</v>
      </c>
      <c r="D77" s="70">
        <v>-1.4641999999999999</v>
      </c>
      <c r="E77" s="70">
        <v>17.188300000000002</v>
      </c>
      <c r="F77" s="69">
        <v>0.12712999999999999</v>
      </c>
      <c r="G77" s="70"/>
      <c r="H77" s="70"/>
      <c r="I77" s="67" t="s">
        <v>582</v>
      </c>
    </row>
    <row r="78" spans="1:9" ht="15" customHeight="1">
      <c r="A78" s="67" t="s">
        <v>86</v>
      </c>
      <c r="B78" s="67" t="s">
        <v>365</v>
      </c>
      <c r="C78" s="68">
        <v>132</v>
      </c>
      <c r="D78" s="70">
        <v>-1.4605999999999999</v>
      </c>
      <c r="E78" s="70">
        <v>17.245899999999999</v>
      </c>
      <c r="F78" s="69">
        <v>0.12748000000000001</v>
      </c>
      <c r="G78" s="70"/>
      <c r="H78" s="70"/>
      <c r="I78" s="67" t="s">
        <v>583</v>
      </c>
    </row>
    <row r="79" spans="1:9" ht="15" customHeight="1">
      <c r="A79" s="67" t="s">
        <v>86</v>
      </c>
      <c r="B79" s="67" t="s">
        <v>365</v>
      </c>
      <c r="C79" s="68">
        <v>133</v>
      </c>
      <c r="D79" s="70">
        <v>-1.4567000000000001</v>
      </c>
      <c r="E79" s="70">
        <v>17.304400000000001</v>
      </c>
      <c r="F79" s="69">
        <v>0.12781999999999999</v>
      </c>
      <c r="G79" s="70"/>
      <c r="H79" s="70"/>
      <c r="I79" s="67" t="s">
        <v>584</v>
      </c>
    </row>
    <row r="80" spans="1:9" ht="15" customHeight="1">
      <c r="A80" s="67" t="s">
        <v>86</v>
      </c>
      <c r="B80" s="67" t="s">
        <v>365</v>
      </c>
      <c r="C80" s="68">
        <v>134</v>
      </c>
      <c r="D80" s="70">
        <v>-1.4525999999999999</v>
      </c>
      <c r="E80" s="70">
        <v>17.363700000000001</v>
      </c>
      <c r="F80" s="69">
        <v>0.12816</v>
      </c>
      <c r="G80" s="70"/>
      <c r="H80" s="70"/>
      <c r="I80" s="67" t="s">
        <v>585</v>
      </c>
    </row>
    <row r="81" spans="1:9" ht="15" customHeight="1">
      <c r="A81" s="67" t="s">
        <v>86</v>
      </c>
      <c r="B81" s="67" t="s">
        <v>365</v>
      </c>
      <c r="C81" s="68">
        <v>135</v>
      </c>
      <c r="D81" s="70">
        <v>-1.4481999999999999</v>
      </c>
      <c r="E81" s="70">
        <v>17.4238</v>
      </c>
      <c r="F81" s="69">
        <v>0.12848999999999999</v>
      </c>
      <c r="G81" s="70"/>
      <c r="H81" s="70"/>
      <c r="I81" s="67" t="s">
        <v>586</v>
      </c>
    </row>
    <row r="82" spans="1:9" ht="15" customHeight="1">
      <c r="A82" s="67" t="s">
        <v>86</v>
      </c>
      <c r="B82" s="67" t="s">
        <v>365</v>
      </c>
      <c r="C82" s="68">
        <v>136</v>
      </c>
      <c r="D82" s="70">
        <v>-1.4436</v>
      </c>
      <c r="E82" s="70">
        <v>17.4847</v>
      </c>
      <c r="F82" s="69">
        <v>0.12881999999999999</v>
      </c>
      <c r="G82" s="70"/>
      <c r="H82" s="70"/>
      <c r="I82" s="67" t="s">
        <v>587</v>
      </c>
    </row>
    <row r="83" spans="1:9" ht="15" customHeight="1">
      <c r="A83" s="67" t="s">
        <v>86</v>
      </c>
      <c r="B83" s="67" t="s">
        <v>365</v>
      </c>
      <c r="C83" s="68">
        <v>137</v>
      </c>
      <c r="D83" s="70">
        <v>-1.4389000000000001</v>
      </c>
      <c r="E83" s="70">
        <v>17.546399999999998</v>
      </c>
      <c r="F83" s="69">
        <v>0.12914</v>
      </c>
      <c r="G83" s="70"/>
      <c r="H83" s="70"/>
      <c r="I83" s="67" t="s">
        <v>588</v>
      </c>
    </row>
    <row r="84" spans="1:9" ht="15" customHeight="1">
      <c r="A84" s="67" t="s">
        <v>86</v>
      </c>
      <c r="B84" s="67" t="s">
        <v>365</v>
      </c>
      <c r="C84" s="68">
        <v>138</v>
      </c>
      <c r="D84" s="70">
        <v>-1.4339</v>
      </c>
      <c r="E84" s="70">
        <v>17.608799999999999</v>
      </c>
      <c r="F84" s="69">
        <v>0.12945999999999999</v>
      </c>
      <c r="G84" s="70"/>
      <c r="H84" s="70"/>
      <c r="I84" s="67" t="s">
        <v>589</v>
      </c>
    </row>
    <row r="85" spans="1:9" ht="15" customHeight="1">
      <c r="A85" s="67" t="s">
        <v>86</v>
      </c>
      <c r="B85" s="67" t="s">
        <v>365</v>
      </c>
      <c r="C85" s="68">
        <v>139</v>
      </c>
      <c r="D85" s="70">
        <v>-1.4288000000000001</v>
      </c>
      <c r="E85" s="70">
        <v>17.671900000000001</v>
      </c>
      <c r="F85" s="69">
        <v>0.12978000000000001</v>
      </c>
      <c r="G85" s="70"/>
      <c r="H85" s="70"/>
      <c r="I85" s="67" t="s">
        <v>590</v>
      </c>
    </row>
    <row r="86" spans="1:9" ht="15" customHeight="1">
      <c r="A86" s="67" t="s">
        <v>86</v>
      </c>
      <c r="B86" s="67" t="s">
        <v>365</v>
      </c>
      <c r="C86" s="68">
        <v>140</v>
      </c>
      <c r="D86" s="70">
        <v>-1.4235</v>
      </c>
      <c r="E86" s="70">
        <v>17.735700000000001</v>
      </c>
      <c r="F86" s="69">
        <v>0.13009000000000001</v>
      </c>
      <c r="G86" s="70"/>
      <c r="H86" s="70"/>
      <c r="I86" s="67" t="s">
        <v>591</v>
      </c>
    </row>
    <row r="87" spans="1:9" ht="15" customHeight="1">
      <c r="A87" s="67" t="s">
        <v>86</v>
      </c>
      <c r="B87" s="67" t="s">
        <v>365</v>
      </c>
      <c r="C87" s="68">
        <v>141</v>
      </c>
      <c r="D87" s="70">
        <v>-1.4179999999999999</v>
      </c>
      <c r="E87" s="70">
        <v>17.8001</v>
      </c>
      <c r="F87" s="69">
        <v>0.13039999999999999</v>
      </c>
      <c r="G87" s="70"/>
      <c r="H87" s="70"/>
      <c r="I87" s="67" t="s">
        <v>592</v>
      </c>
    </row>
    <row r="88" spans="1:9" ht="15" customHeight="1">
      <c r="A88" s="67" t="s">
        <v>86</v>
      </c>
      <c r="B88" s="67" t="s">
        <v>365</v>
      </c>
      <c r="C88" s="68">
        <v>142</v>
      </c>
      <c r="D88" s="70">
        <v>-1.4123000000000001</v>
      </c>
      <c r="E88" s="70">
        <v>17.865100000000002</v>
      </c>
      <c r="F88" s="69">
        <v>0.13070000000000001</v>
      </c>
      <c r="G88" s="70"/>
      <c r="H88" s="70"/>
      <c r="I88" s="67" t="s">
        <v>593</v>
      </c>
    </row>
    <row r="89" spans="1:9" ht="15" customHeight="1">
      <c r="A89" s="67" t="s">
        <v>86</v>
      </c>
      <c r="B89" s="67" t="s">
        <v>365</v>
      </c>
      <c r="C89" s="68">
        <v>143</v>
      </c>
      <c r="D89" s="70">
        <v>-1.4065000000000001</v>
      </c>
      <c r="E89" s="70">
        <v>17.930599999999998</v>
      </c>
      <c r="F89" s="69">
        <v>0.13099</v>
      </c>
      <c r="G89" s="70"/>
      <c r="H89" s="70"/>
      <c r="I89" s="67" t="s">
        <v>594</v>
      </c>
    </row>
    <row r="90" spans="1:9" ht="15" customHeight="1">
      <c r="A90" s="67" t="s">
        <v>86</v>
      </c>
      <c r="B90" s="67" t="s">
        <v>365</v>
      </c>
      <c r="C90" s="68">
        <v>144</v>
      </c>
      <c r="D90" s="70">
        <v>-1.4006000000000001</v>
      </c>
      <c r="E90" s="70">
        <v>17.996600000000001</v>
      </c>
      <c r="F90" s="69">
        <v>0.13128999999999999</v>
      </c>
      <c r="G90" s="70"/>
      <c r="H90" s="70"/>
      <c r="I90" s="67" t="s">
        <v>595</v>
      </c>
    </row>
    <row r="91" spans="1:9" ht="15" customHeight="1">
      <c r="A91" s="67" t="s">
        <v>86</v>
      </c>
      <c r="B91" s="67" t="s">
        <v>365</v>
      </c>
      <c r="C91" s="68">
        <v>145</v>
      </c>
      <c r="D91" s="70">
        <v>-1.3945000000000001</v>
      </c>
      <c r="E91" s="70">
        <v>18.062999999999999</v>
      </c>
      <c r="F91" s="69">
        <v>0.13158</v>
      </c>
      <c r="G91" s="70"/>
      <c r="H91" s="70"/>
      <c r="I91" s="67" t="s">
        <v>596</v>
      </c>
    </row>
    <row r="92" spans="1:9" ht="15" customHeight="1">
      <c r="A92" s="67" t="s">
        <v>86</v>
      </c>
      <c r="B92" s="67" t="s">
        <v>365</v>
      </c>
      <c r="C92" s="68">
        <v>146</v>
      </c>
      <c r="D92" s="70">
        <v>-1.3883000000000001</v>
      </c>
      <c r="E92" s="70">
        <v>18.1297</v>
      </c>
      <c r="F92" s="69">
        <v>0.13186</v>
      </c>
      <c r="G92" s="70"/>
      <c r="H92" s="70"/>
      <c r="I92" s="67" t="s">
        <v>597</v>
      </c>
    </row>
    <row r="93" spans="1:9" ht="15" customHeight="1">
      <c r="A93" s="67" t="s">
        <v>86</v>
      </c>
      <c r="B93" s="67" t="s">
        <v>365</v>
      </c>
      <c r="C93" s="68">
        <v>147</v>
      </c>
      <c r="D93" s="70">
        <v>-1.3818999999999999</v>
      </c>
      <c r="E93" s="70">
        <v>18.1967</v>
      </c>
      <c r="F93" s="69">
        <v>0.13214000000000001</v>
      </c>
      <c r="G93" s="70"/>
      <c r="H93" s="70"/>
      <c r="I93" s="67" t="s">
        <v>598</v>
      </c>
    </row>
    <row r="94" spans="1:9" ht="15" customHeight="1">
      <c r="A94" s="67" t="s">
        <v>86</v>
      </c>
      <c r="B94" s="67" t="s">
        <v>365</v>
      </c>
      <c r="C94" s="68">
        <v>148</v>
      </c>
      <c r="D94" s="70">
        <v>-1.3754999999999999</v>
      </c>
      <c r="E94" s="70">
        <v>18.2639</v>
      </c>
      <c r="F94" s="69">
        <v>0.13241</v>
      </c>
      <c r="G94" s="70"/>
      <c r="H94" s="70"/>
      <c r="I94" s="67" t="s">
        <v>599</v>
      </c>
    </row>
    <row r="95" spans="1:9" ht="15" customHeight="1">
      <c r="A95" s="67" t="s">
        <v>86</v>
      </c>
      <c r="B95" s="67" t="s">
        <v>365</v>
      </c>
      <c r="C95" s="68">
        <v>149</v>
      </c>
      <c r="D95" s="70">
        <v>-1.3689</v>
      </c>
      <c r="E95" s="70">
        <v>18.331199999999999</v>
      </c>
      <c r="F95" s="69">
        <v>0.13267999999999999</v>
      </c>
      <c r="G95" s="70"/>
      <c r="H95" s="70"/>
      <c r="I95" s="67" t="s">
        <v>600</v>
      </c>
    </row>
    <row r="96" spans="1:9" ht="15" customHeight="1">
      <c r="A96" s="67" t="s">
        <v>86</v>
      </c>
      <c r="B96" s="67" t="s">
        <v>365</v>
      </c>
      <c r="C96" s="68">
        <v>150</v>
      </c>
      <c r="D96" s="70">
        <v>-1.3621000000000001</v>
      </c>
      <c r="E96" s="70">
        <v>18.398599999999998</v>
      </c>
      <c r="F96" s="69">
        <v>0.13321</v>
      </c>
      <c r="G96" s="70"/>
      <c r="H96" s="70"/>
      <c r="I96" s="67" t="s">
        <v>601</v>
      </c>
    </row>
    <row r="97" spans="1:9" ht="15" customHeight="1">
      <c r="A97" s="67" t="s">
        <v>86</v>
      </c>
      <c r="B97" s="67" t="s">
        <v>365</v>
      </c>
      <c r="C97" s="68">
        <v>151</v>
      </c>
      <c r="D97" s="70">
        <v>-1.3552999999999999</v>
      </c>
      <c r="E97" s="70">
        <v>18.466000000000001</v>
      </c>
      <c r="F97" s="69">
        <v>0.13321</v>
      </c>
      <c r="G97" s="70"/>
      <c r="H97" s="70"/>
      <c r="I97" s="67" t="s">
        <v>602</v>
      </c>
    </row>
    <row r="98" spans="1:9" ht="15" customHeight="1">
      <c r="A98" s="67" t="s">
        <v>86</v>
      </c>
      <c r="B98" s="67" t="s">
        <v>365</v>
      </c>
      <c r="C98" s="68">
        <v>152</v>
      </c>
      <c r="D98" s="70">
        <v>-1.3483000000000001</v>
      </c>
      <c r="E98" s="70">
        <v>18.533300000000001</v>
      </c>
      <c r="F98" s="69">
        <v>0.13347000000000001</v>
      </c>
      <c r="G98" s="70"/>
      <c r="H98" s="70"/>
      <c r="I98" s="67" t="s">
        <v>603</v>
      </c>
    </row>
    <row r="99" spans="1:9" ht="15" customHeight="1">
      <c r="A99" s="67" t="s">
        <v>86</v>
      </c>
      <c r="B99" s="67" t="s">
        <v>365</v>
      </c>
      <c r="C99" s="68">
        <v>153</v>
      </c>
      <c r="D99" s="70">
        <v>-1.3412999999999999</v>
      </c>
      <c r="E99" s="70">
        <v>18.6006</v>
      </c>
      <c r="F99" s="69">
        <v>0.13372000000000001</v>
      </c>
      <c r="G99" s="70"/>
      <c r="H99" s="70"/>
      <c r="I99" s="67" t="s">
        <v>604</v>
      </c>
    </row>
    <row r="100" spans="1:9" ht="15" customHeight="1">
      <c r="A100" s="67" t="s">
        <v>86</v>
      </c>
      <c r="B100" s="67" t="s">
        <v>365</v>
      </c>
      <c r="C100" s="68">
        <v>154</v>
      </c>
      <c r="D100" s="70">
        <v>-1.3341000000000001</v>
      </c>
      <c r="E100" s="70">
        <v>18.6677</v>
      </c>
      <c r="F100" s="69">
        <v>0.13397000000000001</v>
      </c>
      <c r="G100" s="70"/>
      <c r="H100" s="70"/>
      <c r="I100" s="67" t="s">
        <v>605</v>
      </c>
    </row>
    <row r="101" spans="1:9" ht="15" customHeight="1">
      <c r="A101" s="67" t="s">
        <v>86</v>
      </c>
      <c r="B101" s="67" t="s">
        <v>365</v>
      </c>
      <c r="C101" s="68">
        <v>155</v>
      </c>
      <c r="D101" s="70">
        <v>-1.3269</v>
      </c>
      <c r="E101" s="70">
        <v>18.7346</v>
      </c>
      <c r="F101" s="69">
        <v>0.13421</v>
      </c>
      <c r="G101" s="70"/>
      <c r="H101" s="70"/>
      <c r="I101" s="67" t="s">
        <v>606</v>
      </c>
    </row>
    <row r="102" spans="1:9" ht="15" customHeight="1">
      <c r="A102" s="67" t="s">
        <v>86</v>
      </c>
      <c r="B102" s="67" t="s">
        <v>365</v>
      </c>
      <c r="C102" s="68">
        <v>156</v>
      </c>
      <c r="D102" s="70">
        <v>-1.3194999999999999</v>
      </c>
      <c r="E102" s="70">
        <v>18.801200000000001</v>
      </c>
      <c r="F102" s="69">
        <v>0.13444999999999999</v>
      </c>
      <c r="G102" s="70"/>
      <c r="H102" s="70"/>
      <c r="I102" s="67" t="s">
        <v>607</v>
      </c>
    </row>
    <row r="103" spans="1:9" ht="15" customHeight="1">
      <c r="A103" s="67" t="s">
        <v>86</v>
      </c>
      <c r="B103" s="67" t="s">
        <v>365</v>
      </c>
      <c r="C103" s="68">
        <v>157</v>
      </c>
      <c r="D103" s="70">
        <v>-1.3121</v>
      </c>
      <c r="E103" s="70">
        <v>18.8675</v>
      </c>
      <c r="F103" s="69">
        <v>0.13469</v>
      </c>
      <c r="G103" s="70"/>
      <c r="H103" s="70"/>
      <c r="I103" s="67" t="s">
        <v>608</v>
      </c>
    </row>
    <row r="104" spans="1:9" ht="15" customHeight="1">
      <c r="A104" s="67" t="s">
        <v>86</v>
      </c>
      <c r="B104" s="67" t="s">
        <v>365</v>
      </c>
      <c r="C104" s="68">
        <v>158</v>
      </c>
      <c r="D104" s="70">
        <v>-1.3046</v>
      </c>
      <c r="E104" s="70">
        <v>18.933499999999999</v>
      </c>
      <c r="F104" s="69">
        <v>0.13492000000000001</v>
      </c>
      <c r="G104" s="70"/>
      <c r="H104" s="70"/>
      <c r="I104" s="67" t="s">
        <v>609</v>
      </c>
    </row>
    <row r="105" spans="1:9" ht="15" customHeight="1">
      <c r="A105" s="67" t="s">
        <v>86</v>
      </c>
      <c r="B105" s="67" t="s">
        <v>365</v>
      </c>
      <c r="C105" s="68">
        <v>159</v>
      </c>
      <c r="D105" s="70">
        <v>-1.2969999999999999</v>
      </c>
      <c r="E105" s="70">
        <v>18.999099999999999</v>
      </c>
      <c r="F105" s="69">
        <v>0.13514000000000001</v>
      </c>
      <c r="G105" s="70"/>
      <c r="H105" s="70"/>
      <c r="I105" s="67" t="s">
        <v>610</v>
      </c>
    </row>
    <row r="106" spans="1:9" ht="15" customHeight="1">
      <c r="A106" s="67" t="s">
        <v>86</v>
      </c>
      <c r="B106" s="67" t="s">
        <v>365</v>
      </c>
      <c r="C106" s="68">
        <v>160</v>
      </c>
      <c r="D106" s="70">
        <v>-1.2894000000000001</v>
      </c>
      <c r="E106" s="70">
        <v>19.0642</v>
      </c>
      <c r="F106" s="69">
        <v>0.13536999999999999</v>
      </c>
      <c r="G106" s="70"/>
      <c r="H106" s="70"/>
      <c r="I106" s="67" t="s">
        <v>611</v>
      </c>
    </row>
    <row r="107" spans="1:9" ht="15" customHeight="1">
      <c r="A107" s="67" t="s">
        <v>86</v>
      </c>
      <c r="B107" s="67" t="s">
        <v>365</v>
      </c>
      <c r="C107" s="68">
        <v>161</v>
      </c>
      <c r="D107" s="70">
        <v>-1.2816000000000001</v>
      </c>
      <c r="E107" s="70">
        <v>19.128900000000002</v>
      </c>
      <c r="F107" s="69">
        <v>0.13558999999999999</v>
      </c>
      <c r="G107" s="70"/>
      <c r="H107" s="70"/>
      <c r="I107" s="67" t="s">
        <v>612</v>
      </c>
    </row>
    <row r="108" spans="1:9" ht="15" customHeight="1">
      <c r="A108" s="67" t="s">
        <v>86</v>
      </c>
      <c r="B108" s="67" t="s">
        <v>365</v>
      </c>
      <c r="C108" s="68">
        <v>162</v>
      </c>
      <c r="D108" s="70">
        <v>-1.2739</v>
      </c>
      <c r="E108" s="70">
        <v>19.193100000000001</v>
      </c>
      <c r="F108" s="69">
        <v>0.1358</v>
      </c>
      <c r="G108" s="70"/>
      <c r="H108" s="70"/>
      <c r="I108" s="67" t="s">
        <v>613</v>
      </c>
    </row>
    <row r="109" spans="1:9" ht="15" customHeight="1">
      <c r="A109" s="67" t="s">
        <v>86</v>
      </c>
      <c r="B109" s="67" t="s">
        <v>365</v>
      </c>
      <c r="C109" s="68">
        <v>163</v>
      </c>
      <c r="D109" s="70">
        <v>-1.2661</v>
      </c>
      <c r="E109" s="70">
        <v>19.256699999999999</v>
      </c>
      <c r="F109" s="69">
        <v>0.13600999999999999</v>
      </c>
      <c r="G109" s="70"/>
      <c r="H109" s="70"/>
      <c r="I109" s="67" t="s">
        <v>614</v>
      </c>
    </row>
    <row r="110" spans="1:9" ht="15" customHeight="1">
      <c r="A110" s="67" t="s">
        <v>86</v>
      </c>
      <c r="B110" s="67" t="s">
        <v>365</v>
      </c>
      <c r="C110" s="68">
        <v>164</v>
      </c>
      <c r="D110" s="70">
        <v>-1.2583</v>
      </c>
      <c r="E110" s="70">
        <v>19.319700000000001</v>
      </c>
      <c r="F110" s="69">
        <v>0.13622000000000001</v>
      </c>
      <c r="G110" s="70"/>
      <c r="H110" s="70"/>
      <c r="I110" s="67" t="s">
        <v>615</v>
      </c>
    </row>
    <row r="111" spans="1:9" ht="15" customHeight="1">
      <c r="A111" s="67" t="s">
        <v>86</v>
      </c>
      <c r="B111" s="67" t="s">
        <v>365</v>
      </c>
      <c r="C111" s="68">
        <v>165</v>
      </c>
      <c r="D111" s="70">
        <v>-1.2504</v>
      </c>
      <c r="E111" s="70">
        <v>19.382000000000001</v>
      </c>
      <c r="F111" s="69">
        <v>0.13642000000000001</v>
      </c>
      <c r="G111" s="70"/>
      <c r="H111" s="70"/>
      <c r="I111" s="67" t="s">
        <v>616</v>
      </c>
    </row>
    <row r="112" spans="1:9" ht="15" customHeight="1">
      <c r="A112" s="67" t="s">
        <v>86</v>
      </c>
      <c r="B112" s="67" t="s">
        <v>365</v>
      </c>
      <c r="C112" s="68">
        <v>166</v>
      </c>
      <c r="D112" s="70">
        <v>-1.2424999999999999</v>
      </c>
      <c r="E112" s="70">
        <v>19.4437</v>
      </c>
      <c r="F112" s="69">
        <v>0.13661999999999999</v>
      </c>
      <c r="G112" s="70"/>
      <c r="H112" s="70"/>
      <c r="I112" s="67" t="s">
        <v>617</v>
      </c>
    </row>
    <row r="113" spans="1:9" ht="15" customHeight="1">
      <c r="A113" s="67" t="s">
        <v>86</v>
      </c>
      <c r="B113" s="67" t="s">
        <v>365</v>
      </c>
      <c r="C113" s="68">
        <v>167</v>
      </c>
      <c r="D113" s="70">
        <v>-1.2344999999999999</v>
      </c>
      <c r="E113" s="70">
        <v>19.5045</v>
      </c>
      <c r="F113" s="69">
        <v>0.13680999999999999</v>
      </c>
      <c r="G113" s="70"/>
      <c r="H113" s="70"/>
      <c r="I113" s="67" t="s">
        <v>618</v>
      </c>
    </row>
    <row r="114" spans="1:9" ht="15" customHeight="1">
      <c r="A114" s="67" t="s">
        <v>86</v>
      </c>
      <c r="B114" s="67" t="s">
        <v>365</v>
      </c>
      <c r="C114" s="68">
        <v>168</v>
      </c>
      <c r="D114" s="70">
        <v>-1.2265999999999999</v>
      </c>
      <c r="E114" s="70">
        <v>19.564699999999998</v>
      </c>
      <c r="F114" s="69">
        <v>0.13700000000000001</v>
      </c>
      <c r="G114" s="70"/>
      <c r="H114" s="70"/>
      <c r="I114" s="67" t="s">
        <v>619</v>
      </c>
    </row>
    <row r="115" spans="1:9" ht="15" customHeight="1">
      <c r="A115" s="67" t="s">
        <v>86</v>
      </c>
      <c r="B115" s="67" t="s">
        <v>365</v>
      </c>
      <c r="C115" s="68">
        <v>169</v>
      </c>
      <c r="D115" s="70">
        <v>-1.2185999999999999</v>
      </c>
      <c r="E115" s="70">
        <v>19.623999999999999</v>
      </c>
      <c r="F115" s="69">
        <v>0.13719000000000001</v>
      </c>
      <c r="G115" s="70"/>
      <c r="H115" s="70"/>
      <c r="I115" s="67" t="s">
        <v>620</v>
      </c>
    </row>
    <row r="116" spans="1:9" ht="15" customHeight="1">
      <c r="A116" s="67" t="s">
        <v>86</v>
      </c>
      <c r="B116" s="67" t="s">
        <v>365</v>
      </c>
      <c r="C116" s="68">
        <v>170</v>
      </c>
      <c r="D116" s="70">
        <v>-1.2107000000000001</v>
      </c>
      <c r="E116" s="70">
        <v>19.682400000000001</v>
      </c>
      <c r="F116" s="69">
        <v>0.13738</v>
      </c>
      <c r="G116" s="70"/>
      <c r="H116" s="70"/>
      <c r="I116" s="67" t="s">
        <v>621</v>
      </c>
    </row>
    <row r="117" spans="1:9" ht="15" customHeight="1">
      <c r="A117" s="67" t="s">
        <v>86</v>
      </c>
      <c r="B117" s="67" t="s">
        <v>365</v>
      </c>
      <c r="C117" s="68">
        <v>171</v>
      </c>
      <c r="D117" s="70">
        <v>-1.2027000000000001</v>
      </c>
      <c r="E117" s="70">
        <v>19.739999999999998</v>
      </c>
      <c r="F117" s="69">
        <v>0.13755999999999999</v>
      </c>
      <c r="G117" s="70"/>
      <c r="H117" s="70"/>
      <c r="I117" s="67" t="s">
        <v>622</v>
      </c>
    </row>
    <row r="118" spans="1:9" ht="15" customHeight="1">
      <c r="A118" s="67" t="s">
        <v>86</v>
      </c>
      <c r="B118" s="67" t="s">
        <v>365</v>
      </c>
      <c r="C118" s="68">
        <v>172</v>
      </c>
      <c r="D118" s="70">
        <v>-1.1947000000000001</v>
      </c>
      <c r="E118" s="70">
        <v>19.796600000000002</v>
      </c>
      <c r="F118" s="69">
        <v>0.13774</v>
      </c>
      <c r="G118" s="70"/>
      <c r="H118" s="70"/>
      <c r="I118" s="67" t="s">
        <v>623</v>
      </c>
    </row>
    <row r="119" spans="1:9" ht="15" customHeight="1">
      <c r="A119" s="67" t="s">
        <v>86</v>
      </c>
      <c r="B119" s="67" t="s">
        <v>365</v>
      </c>
      <c r="C119" s="68">
        <v>173</v>
      </c>
      <c r="D119" s="70">
        <v>-1.1867000000000001</v>
      </c>
      <c r="E119" s="70">
        <v>19.8523</v>
      </c>
      <c r="F119" s="69">
        <v>0.13791</v>
      </c>
      <c r="G119" s="70"/>
      <c r="H119" s="70"/>
      <c r="I119" s="67" t="s">
        <v>624</v>
      </c>
    </row>
    <row r="120" spans="1:9" ht="15" customHeight="1">
      <c r="A120" s="67" t="s">
        <v>86</v>
      </c>
      <c r="B120" s="67" t="s">
        <v>365</v>
      </c>
      <c r="C120" s="68">
        <v>174</v>
      </c>
      <c r="D120" s="70">
        <v>-1.1788000000000001</v>
      </c>
      <c r="E120" s="70">
        <v>19.907</v>
      </c>
      <c r="F120" s="69">
        <v>0.13808000000000001</v>
      </c>
      <c r="G120" s="70"/>
      <c r="H120" s="70"/>
      <c r="I120" s="67" t="s">
        <v>625</v>
      </c>
    </row>
    <row r="121" spans="1:9" ht="15" customHeight="1">
      <c r="A121" s="67" t="s">
        <v>86</v>
      </c>
      <c r="B121" s="67" t="s">
        <v>365</v>
      </c>
      <c r="C121" s="68">
        <v>175</v>
      </c>
      <c r="D121" s="70">
        <v>-1.1708000000000001</v>
      </c>
      <c r="E121" s="70">
        <v>19.960699999999999</v>
      </c>
      <c r="F121" s="69">
        <v>0.13825000000000001</v>
      </c>
      <c r="G121" s="70"/>
      <c r="H121" s="70"/>
      <c r="I121" s="67" t="s">
        <v>626</v>
      </c>
    </row>
    <row r="122" spans="1:9" ht="15" customHeight="1">
      <c r="A122" s="67" t="s">
        <v>86</v>
      </c>
      <c r="B122" s="67" t="s">
        <v>365</v>
      </c>
      <c r="C122" s="68">
        <v>176</v>
      </c>
      <c r="D122" s="70">
        <v>-1.1629</v>
      </c>
      <c r="E122" s="70">
        <v>20.013300000000001</v>
      </c>
      <c r="F122" s="69">
        <v>0.13841000000000001</v>
      </c>
      <c r="G122" s="70"/>
      <c r="H122" s="70"/>
      <c r="I122" s="67" t="s">
        <v>627</v>
      </c>
    </row>
    <row r="123" spans="1:9" ht="15" customHeight="1">
      <c r="A123" s="67" t="s">
        <v>86</v>
      </c>
      <c r="B123" s="67" t="s">
        <v>365</v>
      </c>
      <c r="C123" s="68">
        <v>177</v>
      </c>
      <c r="D123" s="70">
        <v>-1.1549</v>
      </c>
      <c r="E123" s="70">
        <v>20.064800000000002</v>
      </c>
      <c r="F123" s="69">
        <v>0.13858000000000001</v>
      </c>
      <c r="G123" s="70"/>
      <c r="H123" s="70"/>
      <c r="I123" s="67" t="s">
        <v>628</v>
      </c>
    </row>
    <row r="124" spans="1:9" ht="15" customHeight="1">
      <c r="A124" s="67" t="s">
        <v>86</v>
      </c>
      <c r="B124" s="67" t="s">
        <v>365</v>
      </c>
      <c r="C124" s="68">
        <v>178</v>
      </c>
      <c r="D124" s="70">
        <v>-1.147</v>
      </c>
      <c r="E124" s="70">
        <v>20.115200000000002</v>
      </c>
      <c r="F124" s="69">
        <v>0.13872999999999999</v>
      </c>
      <c r="G124" s="70"/>
      <c r="H124" s="70"/>
      <c r="I124" s="67" t="s">
        <v>629</v>
      </c>
    </row>
    <row r="125" spans="1:9" ht="15" customHeight="1">
      <c r="A125" s="67" t="s">
        <v>86</v>
      </c>
      <c r="B125" s="67" t="s">
        <v>365</v>
      </c>
      <c r="C125" s="68">
        <v>179</v>
      </c>
      <c r="D125" s="70">
        <v>-1.139</v>
      </c>
      <c r="E125" s="70">
        <v>20.164400000000001</v>
      </c>
      <c r="F125" s="69">
        <v>0.13889000000000001</v>
      </c>
      <c r="G125" s="70"/>
      <c r="H125" s="70"/>
      <c r="I125" s="67" t="s">
        <v>630</v>
      </c>
    </row>
    <row r="126" spans="1:9" ht="15" customHeight="1">
      <c r="A126" s="67" t="s">
        <v>86</v>
      </c>
      <c r="B126" s="67" t="s">
        <v>365</v>
      </c>
      <c r="C126" s="68">
        <v>180</v>
      </c>
      <c r="D126" s="70">
        <v>-1.1311</v>
      </c>
      <c r="E126" s="70">
        <v>20.212499999999999</v>
      </c>
      <c r="F126" s="69">
        <v>0.13904</v>
      </c>
      <c r="G126" s="70"/>
      <c r="H126" s="70"/>
      <c r="I126" s="67" t="s">
        <v>631</v>
      </c>
    </row>
    <row r="127" spans="1:9" ht="15" customHeight="1">
      <c r="A127" s="67" t="s">
        <v>86</v>
      </c>
      <c r="B127" s="67" t="s">
        <v>365</v>
      </c>
      <c r="C127" s="68">
        <v>181</v>
      </c>
      <c r="D127" s="70">
        <v>-1.1232</v>
      </c>
      <c r="E127" s="70">
        <v>20.259499999999999</v>
      </c>
      <c r="F127" s="69">
        <v>0.13919999999999999</v>
      </c>
      <c r="G127" s="70"/>
      <c r="H127" s="70"/>
      <c r="I127" s="67" t="s">
        <v>632</v>
      </c>
    </row>
    <row r="128" spans="1:9" ht="15" customHeight="1">
      <c r="A128" s="67" t="s">
        <v>86</v>
      </c>
      <c r="B128" s="67" t="s">
        <v>365</v>
      </c>
      <c r="C128" s="68">
        <v>182</v>
      </c>
      <c r="D128" s="70">
        <v>-1.1153</v>
      </c>
      <c r="E128" s="70">
        <v>20.305299999999999</v>
      </c>
      <c r="F128" s="69">
        <v>0.13933999999999999</v>
      </c>
      <c r="G128" s="70"/>
      <c r="H128" s="70"/>
      <c r="I128" s="67" t="s">
        <v>633</v>
      </c>
    </row>
    <row r="129" spans="1:9" ht="15" customHeight="1">
      <c r="A129" s="67" t="s">
        <v>86</v>
      </c>
      <c r="B129" s="67" t="s">
        <v>365</v>
      </c>
      <c r="C129" s="68">
        <v>183</v>
      </c>
      <c r="D129" s="70">
        <v>-1.1073999999999999</v>
      </c>
      <c r="E129" s="70">
        <v>20.349900000000002</v>
      </c>
      <c r="F129" s="69">
        <v>0.13949</v>
      </c>
      <c r="G129" s="70"/>
      <c r="H129" s="70"/>
      <c r="I129" s="67" t="s">
        <v>634</v>
      </c>
    </row>
    <row r="130" spans="1:9" ht="15" customHeight="1">
      <c r="A130" s="67" t="s">
        <v>86</v>
      </c>
      <c r="B130" s="67" t="s">
        <v>365</v>
      </c>
      <c r="C130" s="68">
        <v>184</v>
      </c>
      <c r="D130" s="70">
        <v>-1.0995999999999999</v>
      </c>
      <c r="E130" s="70">
        <v>20.3934</v>
      </c>
      <c r="F130" s="69">
        <v>0.13963</v>
      </c>
      <c r="G130" s="70"/>
      <c r="H130" s="70"/>
      <c r="I130" s="67" t="s">
        <v>635</v>
      </c>
    </row>
    <row r="131" spans="1:9" ht="15" customHeight="1">
      <c r="A131" s="67" t="s">
        <v>86</v>
      </c>
      <c r="B131" s="67" t="s">
        <v>365</v>
      </c>
      <c r="C131" s="68">
        <v>185</v>
      </c>
      <c r="D131" s="70">
        <v>-1.0916999999999999</v>
      </c>
      <c r="E131" s="70">
        <v>20.435700000000001</v>
      </c>
      <c r="F131" s="69">
        <v>0.13977000000000001</v>
      </c>
      <c r="G131" s="70"/>
      <c r="H131" s="70"/>
      <c r="I131" s="67" t="s">
        <v>636</v>
      </c>
    </row>
    <row r="132" spans="1:9" ht="15" customHeight="1">
      <c r="A132" s="67" t="s">
        <v>86</v>
      </c>
      <c r="B132" s="67" t="s">
        <v>365</v>
      </c>
      <c r="C132" s="68">
        <v>186</v>
      </c>
      <c r="D132" s="70">
        <v>-1.0838000000000001</v>
      </c>
      <c r="E132" s="70">
        <v>20.476900000000001</v>
      </c>
      <c r="F132" s="69">
        <v>0.13991000000000001</v>
      </c>
      <c r="G132" s="70"/>
      <c r="H132" s="70"/>
      <c r="I132" s="67" t="s">
        <v>637</v>
      </c>
    </row>
    <row r="133" spans="1:9" ht="15" customHeight="1">
      <c r="A133" s="67" t="s">
        <v>86</v>
      </c>
      <c r="B133" s="67" t="s">
        <v>365</v>
      </c>
      <c r="C133" s="68">
        <v>187</v>
      </c>
      <c r="D133" s="70">
        <v>-1.0760000000000001</v>
      </c>
      <c r="E133" s="70">
        <v>20.516999999999999</v>
      </c>
      <c r="F133" s="69">
        <v>0.14005000000000001</v>
      </c>
      <c r="G133" s="70"/>
      <c r="H133" s="70"/>
      <c r="I133" s="67" t="s">
        <v>638</v>
      </c>
    </row>
    <row r="134" spans="1:9" ht="15" customHeight="1">
      <c r="A134" s="67" t="s">
        <v>86</v>
      </c>
      <c r="B134" s="67" t="s">
        <v>365</v>
      </c>
      <c r="C134" s="68">
        <v>188</v>
      </c>
      <c r="D134" s="70">
        <v>-1.0681</v>
      </c>
      <c r="E134" s="70">
        <v>20.556000000000001</v>
      </c>
      <c r="F134" s="69">
        <v>0.14018</v>
      </c>
      <c r="G134" s="70"/>
      <c r="H134" s="70"/>
      <c r="I134" s="67" t="s">
        <v>639</v>
      </c>
    </row>
    <row r="135" spans="1:9" ht="15" customHeight="1">
      <c r="A135" s="67" t="s">
        <v>86</v>
      </c>
      <c r="B135" s="67" t="s">
        <v>365</v>
      </c>
      <c r="C135" s="68">
        <v>189</v>
      </c>
      <c r="D135" s="70">
        <v>-1.0603</v>
      </c>
      <c r="E135" s="70">
        <v>20.593800000000002</v>
      </c>
      <c r="F135" s="69">
        <v>0.14030999999999999</v>
      </c>
      <c r="G135" s="70"/>
      <c r="H135" s="70"/>
      <c r="I135" s="67" t="s">
        <v>640</v>
      </c>
    </row>
    <row r="136" spans="1:9" ht="15" customHeight="1">
      <c r="A136" s="67" t="s">
        <v>86</v>
      </c>
      <c r="B136" s="67" t="s">
        <v>365</v>
      </c>
      <c r="C136" s="68">
        <v>190</v>
      </c>
      <c r="D136" s="70">
        <v>-1.0525</v>
      </c>
      <c r="E136" s="70">
        <v>20.630600000000001</v>
      </c>
      <c r="F136" s="69">
        <v>0.14044000000000001</v>
      </c>
      <c r="G136" s="70"/>
      <c r="H136" s="70"/>
      <c r="I136" s="67" t="s">
        <v>641</v>
      </c>
    </row>
    <row r="137" spans="1:9" ht="15" customHeight="1">
      <c r="A137" s="67" t="s">
        <v>86</v>
      </c>
      <c r="B137" s="67" t="s">
        <v>365</v>
      </c>
      <c r="C137" s="68">
        <v>191</v>
      </c>
      <c r="D137" s="70">
        <v>-1.0447</v>
      </c>
      <c r="E137" s="70">
        <v>20.6663</v>
      </c>
      <c r="F137" s="69">
        <v>0.14057</v>
      </c>
      <c r="G137" s="70"/>
      <c r="H137" s="70"/>
      <c r="I137" s="67" t="s">
        <v>642</v>
      </c>
    </row>
    <row r="138" spans="1:9" ht="15" customHeight="1">
      <c r="A138" s="67" t="s">
        <v>86</v>
      </c>
      <c r="B138" s="67" t="s">
        <v>365</v>
      </c>
      <c r="C138" s="68">
        <v>192</v>
      </c>
      <c r="D138" s="70">
        <v>-1.0367999999999999</v>
      </c>
      <c r="E138" s="70">
        <v>20.700800000000001</v>
      </c>
      <c r="F138" s="69">
        <v>0.14069999999999999</v>
      </c>
      <c r="G138" s="70"/>
      <c r="H138" s="70"/>
      <c r="I138" s="67" t="s">
        <v>643</v>
      </c>
    </row>
    <row r="139" spans="1:9" ht="15" customHeight="1">
      <c r="A139" s="67" t="s">
        <v>86</v>
      </c>
      <c r="B139" s="67" t="s">
        <v>365</v>
      </c>
      <c r="C139" s="68">
        <v>193</v>
      </c>
      <c r="D139" s="70">
        <v>-1.0289999999999999</v>
      </c>
      <c r="E139" s="70">
        <v>20.734400000000001</v>
      </c>
      <c r="F139" s="69">
        <v>0.14082</v>
      </c>
      <c r="G139" s="70"/>
      <c r="H139" s="70"/>
      <c r="I139" s="67" t="s">
        <v>644</v>
      </c>
    </row>
    <row r="140" spans="1:9" ht="15" customHeight="1">
      <c r="A140" s="67" t="s">
        <v>86</v>
      </c>
      <c r="B140" s="67" t="s">
        <v>365</v>
      </c>
      <c r="C140" s="68">
        <v>194</v>
      </c>
      <c r="D140" s="70">
        <v>-1.0212000000000001</v>
      </c>
      <c r="E140" s="70">
        <v>20.7668</v>
      </c>
      <c r="F140" s="69">
        <v>0.14094000000000001</v>
      </c>
      <c r="G140" s="70"/>
      <c r="H140" s="70"/>
      <c r="I140" s="67" t="s">
        <v>645</v>
      </c>
    </row>
    <row r="141" spans="1:9" ht="15" customHeight="1">
      <c r="A141" s="67" t="s">
        <v>86</v>
      </c>
      <c r="B141" s="67" t="s">
        <v>365</v>
      </c>
      <c r="C141" s="68">
        <v>195</v>
      </c>
      <c r="D141" s="70">
        <v>-1.0134000000000001</v>
      </c>
      <c r="E141" s="70">
        <v>20.798200000000001</v>
      </c>
      <c r="F141" s="69">
        <v>0.14105999999999999</v>
      </c>
      <c r="G141" s="70"/>
      <c r="H141" s="70"/>
      <c r="I141" s="67" t="s">
        <v>646</v>
      </c>
    </row>
    <row r="142" spans="1:9" ht="15" customHeight="1">
      <c r="A142" s="67" t="s">
        <v>86</v>
      </c>
      <c r="B142" s="67" t="s">
        <v>365</v>
      </c>
      <c r="C142" s="68">
        <v>196</v>
      </c>
      <c r="D142" s="70">
        <v>-1.0055000000000001</v>
      </c>
      <c r="E142" s="70">
        <v>20.828600000000002</v>
      </c>
      <c r="F142" s="69">
        <v>0.14118</v>
      </c>
      <c r="G142" s="70"/>
      <c r="H142" s="70"/>
      <c r="I142" s="67" t="s">
        <v>647</v>
      </c>
    </row>
    <row r="143" spans="1:9" ht="15" customHeight="1">
      <c r="A143" s="67" t="s">
        <v>86</v>
      </c>
      <c r="B143" s="67" t="s">
        <v>365</v>
      </c>
      <c r="C143" s="68">
        <v>197</v>
      </c>
      <c r="D143" s="69">
        <v>-0.99770000000000003</v>
      </c>
      <c r="E143" s="70">
        <v>20.858000000000001</v>
      </c>
      <c r="F143" s="69">
        <v>0.14130000000000001</v>
      </c>
      <c r="G143" s="70"/>
      <c r="H143" s="70"/>
      <c r="I143" s="67" t="s">
        <v>648</v>
      </c>
    </row>
    <row r="144" spans="1:9" ht="15" customHeight="1">
      <c r="A144" s="67" t="s">
        <v>86</v>
      </c>
      <c r="B144" s="67" t="s">
        <v>365</v>
      </c>
      <c r="C144" s="68">
        <v>198</v>
      </c>
      <c r="D144" s="69">
        <v>-0.98980000000000001</v>
      </c>
      <c r="E144" s="70">
        <v>20.886299999999999</v>
      </c>
      <c r="F144" s="69">
        <v>0.14141999999999999</v>
      </c>
      <c r="G144" s="70"/>
      <c r="H144" s="70"/>
      <c r="I144" s="67" t="s">
        <v>649</v>
      </c>
    </row>
    <row r="145" spans="1:9" ht="15" customHeight="1">
      <c r="A145" s="67" t="s">
        <v>86</v>
      </c>
      <c r="B145" s="67" t="s">
        <v>365</v>
      </c>
      <c r="C145" s="68">
        <v>199</v>
      </c>
      <c r="D145" s="69">
        <v>-0.9819</v>
      </c>
      <c r="E145" s="70">
        <v>20.913699999999999</v>
      </c>
      <c r="F145" s="69">
        <v>0.14152999999999999</v>
      </c>
      <c r="G145" s="70"/>
      <c r="H145" s="70"/>
      <c r="I145" s="67" t="s">
        <v>650</v>
      </c>
    </row>
    <row r="146" spans="1:9" ht="15" customHeight="1">
      <c r="A146" s="67" t="s">
        <v>86</v>
      </c>
      <c r="B146" s="67" t="s">
        <v>365</v>
      </c>
      <c r="C146" s="68">
        <v>200</v>
      </c>
      <c r="D146" s="69">
        <v>-0.97399999999999998</v>
      </c>
      <c r="E146" s="70">
        <v>20.940100000000001</v>
      </c>
      <c r="F146" s="69">
        <v>0.14163999999999999</v>
      </c>
      <c r="G146" s="70"/>
      <c r="H146" s="70"/>
      <c r="I146" s="67" t="s">
        <v>651</v>
      </c>
    </row>
    <row r="147" spans="1:9" ht="15" customHeight="1">
      <c r="A147" s="67" t="s">
        <v>86</v>
      </c>
      <c r="B147" s="67" t="s">
        <v>365</v>
      </c>
      <c r="C147" s="68">
        <v>201</v>
      </c>
      <c r="D147" s="69">
        <v>-0.96609999999999996</v>
      </c>
      <c r="E147" s="70">
        <v>20.965599999999998</v>
      </c>
      <c r="F147" s="69">
        <v>0.14176</v>
      </c>
      <c r="G147" s="70"/>
      <c r="H147" s="70"/>
      <c r="I147" s="67" t="s">
        <v>652</v>
      </c>
    </row>
    <row r="148" spans="1:9" ht="15" customHeight="1">
      <c r="A148" s="67" t="s">
        <v>86</v>
      </c>
      <c r="B148" s="67" t="s">
        <v>365</v>
      </c>
      <c r="C148" s="68">
        <v>202</v>
      </c>
      <c r="D148" s="69">
        <v>-0.95820000000000005</v>
      </c>
      <c r="E148" s="70">
        <v>20.990100000000002</v>
      </c>
      <c r="F148" s="69">
        <v>0.14187</v>
      </c>
      <c r="G148" s="70"/>
      <c r="H148" s="70"/>
      <c r="I148" s="67" t="s">
        <v>653</v>
      </c>
    </row>
    <row r="149" spans="1:9" ht="15" customHeight="1">
      <c r="A149" s="67" t="s">
        <v>86</v>
      </c>
      <c r="B149" s="67" t="s">
        <v>365</v>
      </c>
      <c r="C149" s="68">
        <v>203</v>
      </c>
      <c r="D149" s="69">
        <v>-0.95030000000000003</v>
      </c>
      <c r="E149" s="70">
        <v>21.0138</v>
      </c>
      <c r="F149" s="69">
        <v>0.14198</v>
      </c>
      <c r="G149" s="70"/>
      <c r="H149" s="70"/>
      <c r="I149" s="67" t="s">
        <v>654</v>
      </c>
    </row>
    <row r="150" spans="1:9" ht="15" customHeight="1">
      <c r="A150" s="67" t="s">
        <v>86</v>
      </c>
      <c r="B150" s="67" t="s">
        <v>365</v>
      </c>
      <c r="C150" s="68">
        <v>204</v>
      </c>
      <c r="D150" s="69">
        <v>-0.94230000000000003</v>
      </c>
      <c r="E150" s="70">
        <v>21.0367</v>
      </c>
      <c r="F150" s="69">
        <v>0.14208000000000001</v>
      </c>
      <c r="G150" s="70"/>
      <c r="H150" s="70"/>
      <c r="I150" s="67" t="s">
        <v>655</v>
      </c>
    </row>
    <row r="151" spans="1:9" ht="15" customHeight="1">
      <c r="A151" s="67" t="s">
        <v>86</v>
      </c>
      <c r="B151" s="67" t="s">
        <v>365</v>
      </c>
      <c r="C151" s="68">
        <v>205</v>
      </c>
      <c r="D151" s="69">
        <v>-0.93440000000000001</v>
      </c>
      <c r="E151" s="70">
        <v>21.058700000000002</v>
      </c>
      <c r="F151" s="69">
        <v>0.14219000000000001</v>
      </c>
      <c r="G151" s="70"/>
      <c r="H151" s="70"/>
      <c r="I151" s="67" t="s">
        <v>656</v>
      </c>
    </row>
    <row r="152" spans="1:9" ht="15" customHeight="1">
      <c r="A152" s="67" t="s">
        <v>86</v>
      </c>
      <c r="B152" s="67" t="s">
        <v>365</v>
      </c>
      <c r="C152" s="68">
        <v>206</v>
      </c>
      <c r="D152" s="69">
        <v>-0.9264</v>
      </c>
      <c r="E152" s="70">
        <v>21.080100000000002</v>
      </c>
      <c r="F152" s="69">
        <v>0.14230000000000001</v>
      </c>
      <c r="G152" s="70"/>
      <c r="H152" s="70"/>
      <c r="I152" s="67" t="s">
        <v>657</v>
      </c>
    </row>
    <row r="153" spans="1:9" ht="15" customHeight="1">
      <c r="A153" s="67" t="s">
        <v>86</v>
      </c>
      <c r="B153" s="67" t="s">
        <v>365</v>
      </c>
      <c r="C153" s="68">
        <v>207</v>
      </c>
      <c r="D153" s="69">
        <v>-0.91839999999999999</v>
      </c>
      <c r="E153" s="70">
        <v>21.1007</v>
      </c>
      <c r="F153" s="69">
        <v>0.1424</v>
      </c>
      <c r="G153" s="70"/>
      <c r="H153" s="70"/>
      <c r="I153" s="67" t="s">
        <v>658</v>
      </c>
    </row>
    <row r="154" spans="1:9" ht="15" customHeight="1">
      <c r="A154" s="67" t="s">
        <v>86</v>
      </c>
      <c r="B154" s="67" t="s">
        <v>365</v>
      </c>
      <c r="C154" s="68">
        <v>208</v>
      </c>
      <c r="D154" s="69">
        <v>-0.91039999999999999</v>
      </c>
      <c r="E154" s="70">
        <v>21.1206</v>
      </c>
      <c r="F154" s="69">
        <v>0.14249999999999999</v>
      </c>
      <c r="G154" s="70"/>
      <c r="H154" s="70"/>
      <c r="I154" s="67" t="s">
        <v>659</v>
      </c>
    </row>
    <row r="155" spans="1:9" ht="15" customHeight="1">
      <c r="A155" s="67" t="s">
        <v>86</v>
      </c>
      <c r="B155" s="67" t="s">
        <v>365</v>
      </c>
      <c r="C155" s="68">
        <v>209</v>
      </c>
      <c r="D155" s="69">
        <v>-0.90239999999999998</v>
      </c>
      <c r="E155" s="70">
        <v>21.139900000000001</v>
      </c>
      <c r="F155" s="69">
        <v>0.14260999999999999</v>
      </c>
      <c r="G155" s="70"/>
      <c r="H155" s="70"/>
      <c r="I155" s="67" t="s">
        <v>660</v>
      </c>
    </row>
    <row r="156" spans="1:9" ht="15" customHeight="1">
      <c r="A156" s="67" t="s">
        <v>86</v>
      </c>
      <c r="B156" s="67" t="s">
        <v>365</v>
      </c>
      <c r="C156" s="68">
        <v>210</v>
      </c>
      <c r="D156" s="69">
        <v>-0.89439999999999997</v>
      </c>
      <c r="E156" s="70">
        <v>21.1586</v>
      </c>
      <c r="F156" s="69">
        <v>0.14271</v>
      </c>
      <c r="G156" s="70"/>
      <c r="H156" s="70"/>
      <c r="I156" s="67" t="s">
        <v>661</v>
      </c>
    </row>
    <row r="157" spans="1:9" ht="15" customHeight="1">
      <c r="A157" s="67" t="s">
        <v>86</v>
      </c>
      <c r="B157" s="67" t="s">
        <v>365</v>
      </c>
      <c r="C157" s="68">
        <v>211</v>
      </c>
      <c r="D157" s="69">
        <v>-0.88629999999999998</v>
      </c>
      <c r="E157" s="70">
        <v>21.1768</v>
      </c>
      <c r="F157" s="69">
        <v>0.14280999999999999</v>
      </c>
      <c r="G157" s="70"/>
      <c r="H157" s="70"/>
      <c r="I157" s="67" t="s">
        <v>662</v>
      </c>
    </row>
    <row r="158" spans="1:9" ht="15" customHeight="1">
      <c r="A158" s="67" t="s">
        <v>86</v>
      </c>
      <c r="B158" s="67" t="s">
        <v>365</v>
      </c>
      <c r="C158" s="68">
        <v>212</v>
      </c>
      <c r="D158" s="69">
        <v>-0.87829999999999997</v>
      </c>
      <c r="E158" s="70">
        <v>21.194400000000002</v>
      </c>
      <c r="F158" s="69">
        <v>0.14291000000000001</v>
      </c>
      <c r="G158" s="70"/>
      <c r="H158" s="70"/>
      <c r="I158" s="67" t="s">
        <v>663</v>
      </c>
    </row>
    <row r="159" spans="1:9" ht="15" customHeight="1">
      <c r="A159" s="67" t="s">
        <v>86</v>
      </c>
      <c r="B159" s="67" t="s">
        <v>365</v>
      </c>
      <c r="C159" s="68">
        <v>213</v>
      </c>
      <c r="D159" s="69">
        <v>-0.87029999999999996</v>
      </c>
      <c r="E159" s="70">
        <v>21.211600000000001</v>
      </c>
      <c r="F159" s="69">
        <v>0.14301</v>
      </c>
      <c r="G159" s="70"/>
      <c r="H159" s="70"/>
      <c r="I159" s="67" t="s">
        <v>664</v>
      </c>
    </row>
    <row r="160" spans="1:9" ht="15" customHeight="1">
      <c r="A160" s="67" t="s">
        <v>86</v>
      </c>
      <c r="B160" s="67" t="s">
        <v>365</v>
      </c>
      <c r="C160" s="68">
        <v>214</v>
      </c>
      <c r="D160" s="69">
        <v>-0.86229999999999996</v>
      </c>
      <c r="E160" s="70">
        <v>21.228200000000001</v>
      </c>
      <c r="F160" s="69">
        <v>0.14310999999999999</v>
      </c>
      <c r="G160" s="70"/>
      <c r="H160" s="70"/>
      <c r="I160" s="67" t="s">
        <v>665</v>
      </c>
    </row>
    <row r="161" spans="1:9" ht="15" customHeight="1">
      <c r="A161" s="67" t="s">
        <v>86</v>
      </c>
      <c r="B161" s="67" t="s">
        <v>365</v>
      </c>
      <c r="C161" s="68">
        <v>215</v>
      </c>
      <c r="D161" s="69">
        <v>-0.85419999999999996</v>
      </c>
      <c r="E161" s="70">
        <v>21.244399999999999</v>
      </c>
      <c r="F161" s="69">
        <v>0.14319999999999999</v>
      </c>
      <c r="G161" s="70"/>
      <c r="H161" s="70"/>
      <c r="I161" s="67" t="s">
        <v>666</v>
      </c>
    </row>
    <row r="162" spans="1:9" ht="15" customHeight="1">
      <c r="A162" s="67" t="s">
        <v>86</v>
      </c>
      <c r="B162" s="67" t="s">
        <v>365</v>
      </c>
      <c r="C162" s="68">
        <v>216</v>
      </c>
      <c r="D162" s="69">
        <v>-0.84619999999999995</v>
      </c>
      <c r="E162" s="70">
        <v>21.260300000000001</v>
      </c>
      <c r="F162" s="69">
        <v>0.14330000000000001</v>
      </c>
      <c r="G162" s="70"/>
      <c r="H162" s="70"/>
      <c r="I162" s="67" t="s">
        <v>667</v>
      </c>
    </row>
    <row r="163" spans="1:9" ht="15" customHeight="1">
      <c r="A163" s="67" t="s">
        <v>86</v>
      </c>
      <c r="B163" s="67" t="s">
        <v>365</v>
      </c>
      <c r="C163" s="68">
        <v>217</v>
      </c>
      <c r="D163" s="69">
        <v>-0.83819999999999995</v>
      </c>
      <c r="E163" s="70">
        <v>21.275700000000001</v>
      </c>
      <c r="F163" s="69">
        <v>0.1434</v>
      </c>
      <c r="G163" s="70"/>
      <c r="H163" s="70"/>
      <c r="I163" s="67" t="s">
        <v>668</v>
      </c>
    </row>
    <row r="164" spans="1:9" ht="15" customHeight="1">
      <c r="A164" s="67" t="s">
        <v>86</v>
      </c>
      <c r="B164" s="67" t="s">
        <v>365</v>
      </c>
      <c r="C164" s="68">
        <v>218</v>
      </c>
      <c r="D164" s="69">
        <v>-0.83009999999999995</v>
      </c>
      <c r="E164" s="70">
        <v>21.290800000000001</v>
      </c>
      <c r="F164" s="69">
        <v>0.14349000000000001</v>
      </c>
      <c r="G164" s="70"/>
      <c r="H164" s="70"/>
      <c r="I164" s="67" t="s">
        <v>669</v>
      </c>
    </row>
    <row r="165" spans="1:9" ht="15" customHeight="1">
      <c r="A165" s="67" t="s">
        <v>86</v>
      </c>
      <c r="B165" s="67" t="s">
        <v>365</v>
      </c>
      <c r="C165" s="68">
        <v>219</v>
      </c>
      <c r="D165" s="69">
        <v>-0.82210000000000005</v>
      </c>
      <c r="E165" s="70">
        <v>21.305499999999999</v>
      </c>
      <c r="F165" s="69">
        <v>0.14359</v>
      </c>
      <c r="G165" s="70"/>
      <c r="H165" s="70"/>
      <c r="I165" s="67" t="s">
        <v>670</v>
      </c>
    </row>
    <row r="166" spans="1:9" ht="15" customHeight="1">
      <c r="A166" s="67" t="s">
        <v>86</v>
      </c>
      <c r="B166" s="67" t="s">
        <v>365</v>
      </c>
      <c r="C166" s="68">
        <v>220</v>
      </c>
      <c r="D166" s="69">
        <v>-0.81399999999999995</v>
      </c>
      <c r="E166" s="70">
        <v>21.32</v>
      </c>
      <c r="F166" s="69">
        <v>0.14368</v>
      </c>
      <c r="G166" s="70"/>
      <c r="H166" s="70"/>
      <c r="I166" s="67" t="s">
        <v>671</v>
      </c>
    </row>
    <row r="167" spans="1:9" ht="15" customHeight="1">
      <c r="A167" s="67" t="s">
        <v>86</v>
      </c>
      <c r="B167" s="67" t="s">
        <v>365</v>
      </c>
      <c r="C167" s="68">
        <v>221</v>
      </c>
      <c r="D167" s="69">
        <v>-0.80600000000000005</v>
      </c>
      <c r="E167" s="70">
        <v>21.334099999999999</v>
      </c>
      <c r="F167" s="69">
        <v>0.14377000000000001</v>
      </c>
      <c r="G167" s="70"/>
      <c r="H167" s="70"/>
      <c r="I167" s="67" t="s">
        <v>672</v>
      </c>
    </row>
    <row r="168" spans="1:9" ht="15" customHeight="1">
      <c r="A168" s="67" t="s">
        <v>86</v>
      </c>
      <c r="B168" s="67" t="s">
        <v>365</v>
      </c>
      <c r="C168" s="68">
        <v>222</v>
      </c>
      <c r="D168" s="69">
        <v>-0.79800000000000004</v>
      </c>
      <c r="E168" s="70">
        <v>21.347999999999999</v>
      </c>
      <c r="F168" s="69">
        <v>0.14385999999999999</v>
      </c>
      <c r="G168" s="70"/>
      <c r="H168" s="70"/>
      <c r="I168" s="67" t="s">
        <v>673</v>
      </c>
    </row>
    <row r="169" spans="1:9" ht="15" customHeight="1">
      <c r="A169" s="67" t="s">
        <v>86</v>
      </c>
      <c r="B169" s="67" t="s">
        <v>365</v>
      </c>
      <c r="C169" s="68">
        <v>223</v>
      </c>
      <c r="D169" s="69">
        <v>-0.78990000000000005</v>
      </c>
      <c r="E169" s="70">
        <v>21.361699999999999</v>
      </c>
      <c r="F169" s="69">
        <v>0.14396</v>
      </c>
      <c r="G169" s="70"/>
      <c r="H169" s="70"/>
      <c r="I169" s="67" t="s">
        <v>674</v>
      </c>
    </row>
    <row r="170" spans="1:9" ht="15" customHeight="1">
      <c r="A170" s="67" t="s">
        <v>86</v>
      </c>
      <c r="B170" s="67" t="s">
        <v>365</v>
      </c>
      <c r="C170" s="68">
        <v>224</v>
      </c>
      <c r="D170" s="69">
        <v>-0.78190000000000004</v>
      </c>
      <c r="E170" s="70">
        <v>21.3752</v>
      </c>
      <c r="F170" s="69">
        <v>0.14405000000000001</v>
      </c>
      <c r="G170" s="70"/>
      <c r="H170" s="70"/>
      <c r="I170" s="67" t="s">
        <v>675</v>
      </c>
    </row>
    <row r="171" spans="1:9" ht="15" customHeight="1">
      <c r="A171" s="67" t="s">
        <v>86</v>
      </c>
      <c r="B171" s="67" t="s">
        <v>365</v>
      </c>
      <c r="C171" s="68">
        <v>225</v>
      </c>
      <c r="D171" s="69">
        <v>-0.77380000000000004</v>
      </c>
      <c r="E171" s="70">
        <v>21.388400000000001</v>
      </c>
      <c r="F171" s="69">
        <v>0.14413999999999999</v>
      </c>
      <c r="G171" s="70"/>
      <c r="H171" s="70"/>
      <c r="I171" s="67" t="s">
        <v>676</v>
      </c>
    </row>
    <row r="172" spans="1:9" ht="15" customHeight="1">
      <c r="A172" s="67" t="s">
        <v>86</v>
      </c>
      <c r="B172" s="67" t="s">
        <v>365</v>
      </c>
      <c r="C172" s="68">
        <v>226</v>
      </c>
      <c r="D172" s="69">
        <v>-0.76580000000000004</v>
      </c>
      <c r="E172" s="70">
        <v>21.401399999999999</v>
      </c>
      <c r="F172" s="69">
        <v>0.14423</v>
      </c>
      <c r="G172" s="70"/>
      <c r="H172" s="70"/>
      <c r="I172" s="67" t="s">
        <v>677</v>
      </c>
    </row>
    <row r="173" spans="1:9" ht="15" customHeight="1">
      <c r="A173" s="67" t="s">
        <v>86</v>
      </c>
      <c r="B173" s="67" t="s">
        <v>365</v>
      </c>
      <c r="C173" s="68">
        <v>227</v>
      </c>
      <c r="D173" s="69">
        <v>-0.75770000000000004</v>
      </c>
      <c r="E173" s="70">
        <v>21.414300000000001</v>
      </c>
      <c r="F173" s="69">
        <v>0.14432</v>
      </c>
      <c r="G173" s="70"/>
      <c r="H173" s="70"/>
      <c r="I173" s="67" t="s">
        <v>678</v>
      </c>
    </row>
    <row r="174" spans="1:9" ht="15" customHeight="1">
      <c r="A174" s="67" t="s">
        <v>86</v>
      </c>
      <c r="B174" s="67" t="s">
        <v>365</v>
      </c>
      <c r="C174" s="68">
        <v>228</v>
      </c>
      <c r="D174" s="69">
        <v>-0.74960000000000004</v>
      </c>
      <c r="E174" s="70">
        <v>21.4269</v>
      </c>
      <c r="F174" s="69">
        <v>0.14441000000000001</v>
      </c>
      <c r="G174" s="70"/>
      <c r="H174" s="70"/>
      <c r="I174" s="67" t="s">
        <v>679</v>
      </c>
    </row>
    <row r="175" spans="1:9" ht="15" customHeight="1">
      <c r="A175" s="67" t="s">
        <v>86</v>
      </c>
      <c r="B175" s="67" t="s">
        <v>318</v>
      </c>
      <c r="C175" s="68">
        <v>61</v>
      </c>
      <c r="D175" s="69">
        <v>-0.73870000000000002</v>
      </c>
      <c r="E175" s="70">
        <v>15.264099999999999</v>
      </c>
      <c r="F175" s="69">
        <v>8.3900000000000002E-2</v>
      </c>
      <c r="G175" s="70"/>
      <c r="H175" s="70"/>
      <c r="I175" s="67" t="s">
        <v>680</v>
      </c>
    </row>
    <row r="176" spans="1:9" ht="15" customHeight="1">
      <c r="A176" s="67" t="s">
        <v>86</v>
      </c>
      <c r="B176" s="67" t="s">
        <v>318</v>
      </c>
      <c r="C176" s="68">
        <v>62</v>
      </c>
      <c r="D176" s="69">
        <v>-0.7621</v>
      </c>
      <c r="E176" s="70">
        <v>15.2616</v>
      </c>
      <c r="F176" s="69">
        <v>8.4140000000000006E-2</v>
      </c>
      <c r="G176" s="70"/>
      <c r="H176" s="70"/>
      <c r="I176" s="67" t="s">
        <v>681</v>
      </c>
    </row>
    <row r="177" spans="1:9" ht="15" customHeight="1">
      <c r="A177" s="67" t="s">
        <v>86</v>
      </c>
      <c r="B177" s="67" t="s">
        <v>318</v>
      </c>
      <c r="C177" s="68">
        <v>63</v>
      </c>
      <c r="D177" s="69">
        <v>-0.78559999999999997</v>
      </c>
      <c r="E177" s="70">
        <v>15.260400000000001</v>
      </c>
      <c r="F177" s="69">
        <v>8.4390000000000007E-2</v>
      </c>
      <c r="G177" s="70"/>
      <c r="H177" s="70"/>
      <c r="I177" s="67" t="s">
        <v>682</v>
      </c>
    </row>
    <row r="178" spans="1:9" ht="15" customHeight="1">
      <c r="A178" s="67" t="s">
        <v>86</v>
      </c>
      <c r="B178" s="67" t="s">
        <v>318</v>
      </c>
      <c r="C178" s="68">
        <v>64</v>
      </c>
      <c r="D178" s="69">
        <v>-0.80889999999999995</v>
      </c>
      <c r="E178" s="70">
        <v>15.2605</v>
      </c>
      <c r="F178" s="69">
        <v>8.4640000000000007E-2</v>
      </c>
      <c r="G178" s="70"/>
      <c r="H178" s="70"/>
      <c r="I178" s="67" t="s">
        <v>683</v>
      </c>
    </row>
    <row r="179" spans="1:9" ht="15" customHeight="1">
      <c r="A179" s="67" t="s">
        <v>86</v>
      </c>
      <c r="B179" s="67" t="s">
        <v>318</v>
      </c>
      <c r="C179" s="68">
        <v>65</v>
      </c>
      <c r="D179" s="69">
        <v>-0.83220000000000005</v>
      </c>
      <c r="E179" s="70">
        <v>15.261900000000001</v>
      </c>
      <c r="F179" s="69">
        <v>8.4900000000000003E-2</v>
      </c>
      <c r="G179" s="70"/>
      <c r="H179" s="70"/>
      <c r="I179" s="67" t="s">
        <v>684</v>
      </c>
    </row>
    <row r="180" spans="1:9" ht="15" customHeight="1">
      <c r="A180" s="67" t="s">
        <v>86</v>
      </c>
      <c r="B180" s="67" t="s">
        <v>318</v>
      </c>
      <c r="C180" s="68">
        <v>66</v>
      </c>
      <c r="D180" s="69">
        <v>-0.85540000000000005</v>
      </c>
      <c r="E180" s="70">
        <v>15.2645</v>
      </c>
      <c r="F180" s="69">
        <v>8.516E-2</v>
      </c>
      <c r="G180" s="70"/>
      <c r="H180" s="70"/>
      <c r="I180" s="67" t="s">
        <v>685</v>
      </c>
    </row>
    <row r="181" spans="1:9" ht="15" customHeight="1">
      <c r="A181" s="67" t="s">
        <v>86</v>
      </c>
      <c r="B181" s="67" t="s">
        <v>318</v>
      </c>
      <c r="C181" s="68">
        <v>67</v>
      </c>
      <c r="D181" s="69">
        <v>-0.87849999999999995</v>
      </c>
      <c r="E181" s="70">
        <v>15.2684</v>
      </c>
      <c r="F181" s="69">
        <v>8.5430000000000006E-2</v>
      </c>
      <c r="G181" s="70"/>
      <c r="H181" s="70"/>
      <c r="I181" s="67" t="s">
        <v>686</v>
      </c>
    </row>
    <row r="182" spans="1:9" ht="15" customHeight="1">
      <c r="A182" s="67" t="s">
        <v>86</v>
      </c>
      <c r="B182" s="67" t="s">
        <v>318</v>
      </c>
      <c r="C182" s="68">
        <v>68</v>
      </c>
      <c r="D182" s="69">
        <v>-0.90149999999999997</v>
      </c>
      <c r="E182" s="70">
        <v>15.2737</v>
      </c>
      <c r="F182" s="69">
        <v>8.5699999999999998E-2</v>
      </c>
      <c r="G182" s="70"/>
      <c r="H182" s="70"/>
      <c r="I182" s="67" t="s">
        <v>687</v>
      </c>
    </row>
    <row r="183" spans="1:9" ht="15" customHeight="1">
      <c r="A183" s="67" t="s">
        <v>86</v>
      </c>
      <c r="B183" s="67" t="s">
        <v>318</v>
      </c>
      <c r="C183" s="68">
        <v>69</v>
      </c>
      <c r="D183" s="69">
        <v>-0.92430000000000001</v>
      </c>
      <c r="E183" s="70">
        <v>15.280099999999999</v>
      </c>
      <c r="F183" s="69">
        <v>8.5970000000000005E-2</v>
      </c>
      <c r="G183" s="70"/>
      <c r="H183" s="70"/>
      <c r="I183" s="67" t="s">
        <v>688</v>
      </c>
    </row>
    <row r="184" spans="1:9" ht="15" customHeight="1">
      <c r="A184" s="67" t="s">
        <v>86</v>
      </c>
      <c r="B184" s="67" t="s">
        <v>318</v>
      </c>
      <c r="C184" s="68">
        <v>70</v>
      </c>
      <c r="D184" s="69">
        <v>-0.94710000000000005</v>
      </c>
      <c r="E184" s="70">
        <v>15.287699999999999</v>
      </c>
      <c r="F184" s="69">
        <v>8.6249999999999993E-2</v>
      </c>
      <c r="G184" s="70"/>
      <c r="H184" s="70"/>
      <c r="I184" s="67" t="s">
        <v>689</v>
      </c>
    </row>
    <row r="185" spans="1:9" ht="15" customHeight="1">
      <c r="A185" s="67" t="s">
        <v>86</v>
      </c>
      <c r="B185" s="67" t="s">
        <v>318</v>
      </c>
      <c r="C185" s="68">
        <v>71</v>
      </c>
      <c r="D185" s="69">
        <v>-0.96970000000000001</v>
      </c>
      <c r="E185" s="70">
        <v>15.2965</v>
      </c>
      <c r="F185" s="69">
        <v>8.6529999999999996E-2</v>
      </c>
      <c r="G185" s="70"/>
      <c r="H185" s="70"/>
      <c r="I185" s="67" t="s">
        <v>690</v>
      </c>
    </row>
    <row r="186" spans="1:9" ht="15" customHeight="1">
      <c r="A186" s="67" t="s">
        <v>86</v>
      </c>
      <c r="B186" s="67" t="s">
        <v>318</v>
      </c>
      <c r="C186" s="68">
        <v>72</v>
      </c>
      <c r="D186" s="69">
        <v>-0.99209999999999998</v>
      </c>
      <c r="E186" s="70">
        <v>15.3062</v>
      </c>
      <c r="F186" s="69">
        <v>8.6819999999999994E-2</v>
      </c>
      <c r="G186" s="70"/>
      <c r="H186" s="70"/>
      <c r="I186" s="67" t="s">
        <v>691</v>
      </c>
    </row>
    <row r="187" spans="1:9" ht="15" customHeight="1">
      <c r="A187" s="67" t="s">
        <v>86</v>
      </c>
      <c r="B187" s="67" t="s">
        <v>318</v>
      </c>
      <c r="C187" s="68">
        <v>73</v>
      </c>
      <c r="D187" s="70">
        <v>-1.0144</v>
      </c>
      <c r="E187" s="70">
        <v>15.3169</v>
      </c>
      <c r="F187" s="69">
        <v>8.7110000000000007E-2</v>
      </c>
      <c r="G187" s="70"/>
      <c r="H187" s="70"/>
      <c r="I187" s="67" t="s">
        <v>692</v>
      </c>
    </row>
    <row r="188" spans="1:9" ht="15" customHeight="1">
      <c r="A188" s="67" t="s">
        <v>86</v>
      </c>
      <c r="B188" s="67" t="s">
        <v>318</v>
      </c>
      <c r="C188" s="68">
        <v>74</v>
      </c>
      <c r="D188" s="70">
        <v>-1.0365</v>
      </c>
      <c r="E188" s="70">
        <v>15.3285</v>
      </c>
      <c r="F188" s="69">
        <v>8.7410000000000002E-2</v>
      </c>
      <c r="G188" s="70"/>
      <c r="H188" s="70"/>
      <c r="I188" s="67" t="s">
        <v>693</v>
      </c>
    </row>
    <row r="189" spans="1:9" ht="15" customHeight="1">
      <c r="A189" s="67" t="s">
        <v>86</v>
      </c>
      <c r="B189" s="67" t="s">
        <v>318</v>
      </c>
      <c r="C189" s="68">
        <v>75</v>
      </c>
      <c r="D189" s="70">
        <v>-1.0584</v>
      </c>
      <c r="E189" s="70">
        <v>15.3408</v>
      </c>
      <c r="F189" s="69">
        <v>8.7709999999999996E-2</v>
      </c>
      <c r="G189" s="70"/>
      <c r="H189" s="70"/>
      <c r="I189" s="67" t="s">
        <v>694</v>
      </c>
    </row>
    <row r="190" spans="1:9" ht="15" customHeight="1">
      <c r="A190" s="67" t="s">
        <v>86</v>
      </c>
      <c r="B190" s="67" t="s">
        <v>318</v>
      </c>
      <c r="C190" s="68">
        <v>76</v>
      </c>
      <c r="D190" s="70">
        <v>-1.0801000000000001</v>
      </c>
      <c r="E190" s="70">
        <v>15.353999999999999</v>
      </c>
      <c r="F190" s="69">
        <v>8.8020000000000001E-2</v>
      </c>
      <c r="G190" s="70"/>
      <c r="H190" s="70"/>
      <c r="I190" s="67" t="s">
        <v>695</v>
      </c>
    </row>
    <row r="191" spans="1:9" ht="15" customHeight="1">
      <c r="A191" s="67" t="s">
        <v>86</v>
      </c>
      <c r="B191" s="67" t="s">
        <v>318</v>
      </c>
      <c r="C191" s="68">
        <v>77</v>
      </c>
      <c r="D191" s="70">
        <v>-1.1016999999999999</v>
      </c>
      <c r="E191" s="70">
        <v>15.367900000000001</v>
      </c>
      <c r="F191" s="69">
        <v>8.8330000000000006E-2</v>
      </c>
      <c r="G191" s="70"/>
      <c r="H191" s="70"/>
      <c r="I191" s="67" t="s">
        <v>696</v>
      </c>
    </row>
    <row r="192" spans="1:9" ht="15" customHeight="1">
      <c r="A192" s="67" t="s">
        <v>86</v>
      </c>
      <c r="B192" s="67" t="s">
        <v>318</v>
      </c>
      <c r="C192" s="68">
        <v>78</v>
      </c>
      <c r="D192" s="70">
        <v>-1.123</v>
      </c>
      <c r="E192" s="70">
        <v>15.3825</v>
      </c>
      <c r="F192" s="69">
        <v>8.8650000000000007E-2</v>
      </c>
      <c r="G192" s="70"/>
      <c r="H192" s="70"/>
      <c r="I192" s="67" t="s">
        <v>697</v>
      </c>
    </row>
    <row r="193" spans="1:9" ht="15" customHeight="1">
      <c r="A193" s="67" t="s">
        <v>86</v>
      </c>
      <c r="B193" s="67" t="s">
        <v>318</v>
      </c>
      <c r="C193" s="68">
        <v>79</v>
      </c>
      <c r="D193" s="70">
        <v>-1.1440999999999999</v>
      </c>
      <c r="E193" s="70">
        <v>15.3978</v>
      </c>
      <c r="F193" s="69">
        <v>8.8980000000000004E-2</v>
      </c>
      <c r="G193" s="70"/>
      <c r="H193" s="70"/>
      <c r="I193" s="67" t="s">
        <v>698</v>
      </c>
    </row>
    <row r="194" spans="1:9" ht="15" customHeight="1">
      <c r="A194" s="67" t="s">
        <v>86</v>
      </c>
      <c r="B194" s="67" t="s">
        <v>318</v>
      </c>
      <c r="C194" s="68">
        <v>80</v>
      </c>
      <c r="D194" s="70">
        <v>-1.1649</v>
      </c>
      <c r="E194" s="70">
        <v>15.4137</v>
      </c>
      <c r="F194" s="69">
        <v>8.931E-2</v>
      </c>
      <c r="G194" s="70"/>
      <c r="H194" s="70"/>
      <c r="I194" s="67" t="s">
        <v>699</v>
      </c>
    </row>
    <row r="195" spans="1:9" ht="15" customHeight="1">
      <c r="A195" s="67" t="s">
        <v>86</v>
      </c>
      <c r="B195" s="67" t="s">
        <v>318</v>
      </c>
      <c r="C195" s="68">
        <v>81</v>
      </c>
      <c r="D195" s="70">
        <v>-1.1856</v>
      </c>
      <c r="E195" s="70">
        <v>15.430199999999999</v>
      </c>
      <c r="F195" s="69">
        <v>8.9639999999999997E-2</v>
      </c>
      <c r="G195" s="70"/>
      <c r="H195" s="70"/>
      <c r="I195" s="67" t="s">
        <v>700</v>
      </c>
    </row>
    <row r="196" spans="1:9" ht="15" customHeight="1">
      <c r="A196" s="67" t="s">
        <v>86</v>
      </c>
      <c r="B196" s="67" t="s">
        <v>318</v>
      </c>
      <c r="C196" s="68">
        <v>82</v>
      </c>
      <c r="D196" s="70">
        <v>-1.206</v>
      </c>
      <c r="E196" s="70">
        <v>15.4473</v>
      </c>
      <c r="F196" s="69">
        <v>8.9980000000000004E-2</v>
      </c>
      <c r="G196" s="70"/>
      <c r="H196" s="70"/>
      <c r="I196" s="67" t="s">
        <v>701</v>
      </c>
    </row>
    <row r="197" spans="1:9" ht="15" customHeight="1">
      <c r="A197" s="67" t="s">
        <v>86</v>
      </c>
      <c r="B197" s="67" t="s">
        <v>318</v>
      </c>
      <c r="C197" s="68">
        <v>83</v>
      </c>
      <c r="D197" s="70">
        <v>-1.2261</v>
      </c>
      <c r="E197" s="70">
        <v>15.465</v>
      </c>
      <c r="F197" s="69">
        <v>9.0329999999999994E-2</v>
      </c>
      <c r="G197" s="70"/>
      <c r="H197" s="70"/>
      <c r="I197" s="67" t="s">
        <v>702</v>
      </c>
    </row>
    <row r="198" spans="1:9" ht="15" customHeight="1">
      <c r="A198" s="67" t="s">
        <v>86</v>
      </c>
      <c r="B198" s="67" t="s">
        <v>318</v>
      </c>
      <c r="C198" s="68">
        <v>84</v>
      </c>
      <c r="D198" s="70">
        <v>-1.246</v>
      </c>
      <c r="E198" s="70">
        <v>15.4832</v>
      </c>
      <c r="F198" s="69">
        <v>9.0679999999999997E-2</v>
      </c>
      <c r="G198" s="70"/>
      <c r="H198" s="70"/>
      <c r="I198" s="67" t="s">
        <v>703</v>
      </c>
    </row>
    <row r="199" spans="1:9" ht="15" customHeight="1">
      <c r="A199" s="67" t="s">
        <v>86</v>
      </c>
      <c r="B199" s="67" t="s">
        <v>318</v>
      </c>
      <c r="C199" s="68">
        <v>85</v>
      </c>
      <c r="D199" s="70">
        <v>-1.2656000000000001</v>
      </c>
      <c r="E199" s="70">
        <v>15.501899999999999</v>
      </c>
      <c r="F199" s="69">
        <v>9.103E-2</v>
      </c>
      <c r="G199" s="70"/>
      <c r="H199" s="70"/>
      <c r="I199" s="67" t="s">
        <v>704</v>
      </c>
    </row>
    <row r="200" spans="1:9" ht="15" customHeight="1">
      <c r="A200" s="67" t="s">
        <v>86</v>
      </c>
      <c r="B200" s="67" t="s">
        <v>318</v>
      </c>
      <c r="C200" s="68">
        <v>86</v>
      </c>
      <c r="D200" s="70">
        <v>-1.2848999999999999</v>
      </c>
      <c r="E200" s="70">
        <v>15.521000000000001</v>
      </c>
      <c r="F200" s="69">
        <v>9.1389999999999999E-2</v>
      </c>
      <c r="G200" s="70"/>
      <c r="H200" s="70"/>
      <c r="I200" s="67" t="s">
        <v>705</v>
      </c>
    </row>
    <row r="201" spans="1:9" ht="15" customHeight="1">
      <c r="A201" s="67" t="s">
        <v>86</v>
      </c>
      <c r="B201" s="67" t="s">
        <v>318</v>
      </c>
      <c r="C201" s="68">
        <v>87</v>
      </c>
      <c r="D201" s="70">
        <v>-1.304</v>
      </c>
      <c r="E201" s="70">
        <v>15.540699999999999</v>
      </c>
      <c r="F201" s="69">
        <v>9.1759999999999994E-2</v>
      </c>
      <c r="G201" s="70"/>
      <c r="H201" s="70"/>
      <c r="I201" s="67" t="s">
        <v>706</v>
      </c>
    </row>
    <row r="202" spans="1:9" ht="15" customHeight="1">
      <c r="A202" s="67" t="s">
        <v>86</v>
      </c>
      <c r="B202" s="67" t="s">
        <v>318</v>
      </c>
      <c r="C202" s="68">
        <v>88</v>
      </c>
      <c r="D202" s="70">
        <v>-1.3228</v>
      </c>
      <c r="E202" s="70">
        <v>15.5608</v>
      </c>
      <c r="F202" s="69">
        <v>9.2130000000000004E-2</v>
      </c>
      <c r="G202" s="70"/>
      <c r="H202" s="70"/>
      <c r="I202" s="67" t="s">
        <v>707</v>
      </c>
    </row>
    <row r="203" spans="1:9" ht="15" customHeight="1">
      <c r="A203" s="67" t="s">
        <v>86</v>
      </c>
      <c r="B203" s="67" t="s">
        <v>318</v>
      </c>
      <c r="C203" s="68">
        <v>89</v>
      </c>
      <c r="D203" s="70">
        <v>-1.3413999999999999</v>
      </c>
      <c r="E203" s="70">
        <v>15.5814</v>
      </c>
      <c r="F203" s="69">
        <v>9.2509999999999995E-2</v>
      </c>
      <c r="G203" s="70"/>
      <c r="H203" s="70"/>
      <c r="I203" s="67" t="s">
        <v>708</v>
      </c>
    </row>
    <row r="204" spans="1:9" ht="15" customHeight="1">
      <c r="A204" s="67" t="s">
        <v>86</v>
      </c>
      <c r="B204" s="67" t="s">
        <v>318</v>
      </c>
      <c r="C204" s="68">
        <v>90</v>
      </c>
      <c r="D204" s="70">
        <v>-1.3595999999999999</v>
      </c>
      <c r="E204" s="70">
        <v>15.6023</v>
      </c>
      <c r="F204" s="69">
        <v>9.289E-2</v>
      </c>
      <c r="G204" s="70"/>
      <c r="H204" s="70"/>
      <c r="I204" s="67" t="s">
        <v>709</v>
      </c>
    </row>
    <row r="205" spans="1:9" ht="15" customHeight="1">
      <c r="A205" s="67" t="s">
        <v>86</v>
      </c>
      <c r="B205" s="67" t="s">
        <v>318</v>
      </c>
      <c r="C205" s="68">
        <v>91</v>
      </c>
      <c r="D205" s="70">
        <v>-1.3775999999999999</v>
      </c>
      <c r="E205" s="70">
        <v>15.623699999999999</v>
      </c>
      <c r="F205" s="69">
        <v>9.3270000000000006E-2</v>
      </c>
      <c r="G205" s="70"/>
      <c r="H205" s="70"/>
      <c r="I205" s="67" t="s">
        <v>710</v>
      </c>
    </row>
    <row r="206" spans="1:9" ht="15" customHeight="1">
      <c r="A206" s="67" t="s">
        <v>86</v>
      </c>
      <c r="B206" s="67" t="s">
        <v>318</v>
      </c>
      <c r="C206" s="68">
        <v>92</v>
      </c>
      <c r="D206" s="70">
        <v>-1.3953</v>
      </c>
      <c r="E206" s="70">
        <v>15.6455</v>
      </c>
      <c r="F206" s="69">
        <v>9.3659999999999993E-2</v>
      </c>
      <c r="G206" s="70"/>
      <c r="H206" s="70"/>
      <c r="I206" s="67" t="s">
        <v>711</v>
      </c>
    </row>
    <row r="207" spans="1:9" ht="15" customHeight="1">
      <c r="A207" s="67" t="s">
        <v>86</v>
      </c>
      <c r="B207" s="67" t="s">
        <v>318</v>
      </c>
      <c r="C207" s="68">
        <v>93</v>
      </c>
      <c r="D207" s="70">
        <v>-1.4126000000000001</v>
      </c>
      <c r="E207" s="70">
        <v>15.6677</v>
      </c>
      <c r="F207" s="69">
        <v>9.4060000000000005E-2</v>
      </c>
      <c r="G207" s="70"/>
      <c r="H207" s="70"/>
      <c r="I207" s="67" t="s">
        <v>712</v>
      </c>
    </row>
    <row r="208" spans="1:9" ht="15" customHeight="1">
      <c r="A208" s="67" t="s">
        <v>86</v>
      </c>
      <c r="B208" s="67" t="s">
        <v>318</v>
      </c>
      <c r="C208" s="68">
        <v>94</v>
      </c>
      <c r="D208" s="70">
        <v>-1.4297</v>
      </c>
      <c r="E208" s="70">
        <v>15.690300000000001</v>
      </c>
      <c r="F208" s="69">
        <v>9.4450000000000006E-2</v>
      </c>
      <c r="G208" s="70"/>
      <c r="H208" s="70"/>
      <c r="I208" s="67" t="s">
        <v>713</v>
      </c>
    </row>
    <row r="209" spans="1:9" ht="15" customHeight="1">
      <c r="A209" s="67" t="s">
        <v>86</v>
      </c>
      <c r="B209" s="67" t="s">
        <v>318</v>
      </c>
      <c r="C209" s="68">
        <v>95</v>
      </c>
      <c r="D209" s="70">
        <v>-1.4463999999999999</v>
      </c>
      <c r="E209" s="70">
        <v>15.7133</v>
      </c>
      <c r="F209" s="69">
        <v>9.486E-2</v>
      </c>
      <c r="G209" s="70"/>
      <c r="H209" s="70"/>
      <c r="I209" s="67" t="s">
        <v>714</v>
      </c>
    </row>
    <row r="210" spans="1:9" ht="15" customHeight="1">
      <c r="A210" s="67" t="s">
        <v>86</v>
      </c>
      <c r="B210" s="67" t="s">
        <v>318</v>
      </c>
      <c r="C210" s="68">
        <v>96</v>
      </c>
      <c r="D210" s="70">
        <v>-1.4629000000000001</v>
      </c>
      <c r="E210" s="70">
        <v>15.736800000000001</v>
      </c>
      <c r="F210" s="69">
        <v>9.5259999999999997E-2</v>
      </c>
      <c r="G210" s="70"/>
      <c r="H210" s="70"/>
      <c r="I210" s="67" t="s">
        <v>715</v>
      </c>
    </row>
    <row r="211" spans="1:9" ht="15" customHeight="1">
      <c r="A211" s="67" t="s">
        <v>86</v>
      </c>
      <c r="B211" s="67" t="s">
        <v>318</v>
      </c>
      <c r="C211" s="68">
        <v>97</v>
      </c>
      <c r="D211" s="70">
        <v>-1.4790000000000001</v>
      </c>
      <c r="E211" s="70">
        <v>15.7606</v>
      </c>
      <c r="F211" s="69">
        <v>9.5670000000000005E-2</v>
      </c>
      <c r="G211" s="70"/>
      <c r="H211" s="70"/>
      <c r="I211" s="67" t="s">
        <v>716</v>
      </c>
    </row>
    <row r="212" spans="1:9" ht="15" customHeight="1">
      <c r="A212" s="67" t="s">
        <v>86</v>
      </c>
      <c r="B212" s="67" t="s">
        <v>318</v>
      </c>
      <c r="C212" s="68">
        <v>98</v>
      </c>
      <c r="D212" s="70">
        <v>-1.4946999999999999</v>
      </c>
      <c r="E212" s="70">
        <v>15.784800000000001</v>
      </c>
      <c r="F212" s="69">
        <v>9.6089999999999995E-2</v>
      </c>
      <c r="G212" s="70"/>
      <c r="H212" s="70"/>
      <c r="I212" s="67" t="s">
        <v>717</v>
      </c>
    </row>
    <row r="213" spans="1:9" ht="15" customHeight="1">
      <c r="A213" s="67" t="s">
        <v>86</v>
      </c>
      <c r="B213" s="67" t="s">
        <v>318</v>
      </c>
      <c r="C213" s="68">
        <v>99</v>
      </c>
      <c r="D213" s="70">
        <v>-1.5101</v>
      </c>
      <c r="E213" s="70">
        <v>15.8094</v>
      </c>
      <c r="F213" s="69">
        <v>9.6509999999999999E-2</v>
      </c>
      <c r="G213" s="70"/>
      <c r="H213" s="70"/>
      <c r="I213" s="67" t="s">
        <v>718</v>
      </c>
    </row>
    <row r="214" spans="1:9" ht="15" customHeight="1">
      <c r="A214" s="67" t="s">
        <v>86</v>
      </c>
      <c r="B214" s="67" t="s">
        <v>318</v>
      </c>
      <c r="C214" s="68">
        <v>100</v>
      </c>
      <c r="D214" s="70">
        <v>-1.5251999999999999</v>
      </c>
      <c r="E214" s="70">
        <v>15.8344</v>
      </c>
      <c r="F214" s="69">
        <v>9.6930000000000002E-2</v>
      </c>
      <c r="G214" s="70"/>
      <c r="H214" s="70"/>
      <c r="I214" s="67" t="s">
        <v>719</v>
      </c>
    </row>
    <row r="215" spans="1:9" ht="15" customHeight="1">
      <c r="A215" s="67" t="s">
        <v>86</v>
      </c>
      <c r="B215" s="67" t="s">
        <v>318</v>
      </c>
      <c r="C215" s="68">
        <v>101</v>
      </c>
      <c r="D215" s="70">
        <v>-1.5399</v>
      </c>
      <c r="E215" s="70">
        <v>15.8597</v>
      </c>
      <c r="F215" s="69">
        <v>9.7350000000000006E-2</v>
      </c>
      <c r="G215" s="70"/>
      <c r="H215" s="70"/>
      <c r="I215" s="67" t="s">
        <v>720</v>
      </c>
    </row>
    <row r="216" spans="1:9" ht="15" customHeight="1">
      <c r="A216" s="67" t="s">
        <v>86</v>
      </c>
      <c r="B216" s="67" t="s">
        <v>318</v>
      </c>
      <c r="C216" s="68">
        <v>102</v>
      </c>
      <c r="D216" s="70">
        <v>-1.5542</v>
      </c>
      <c r="E216" s="70">
        <v>15.8855</v>
      </c>
      <c r="F216" s="69">
        <v>9.7780000000000006E-2</v>
      </c>
      <c r="G216" s="70"/>
      <c r="H216" s="70"/>
      <c r="I216" s="67" t="s">
        <v>721</v>
      </c>
    </row>
    <row r="217" spans="1:9" ht="15" customHeight="1">
      <c r="A217" s="67" t="s">
        <v>86</v>
      </c>
      <c r="B217" s="67" t="s">
        <v>318</v>
      </c>
      <c r="C217" s="68">
        <v>103</v>
      </c>
      <c r="D217" s="70">
        <v>-1.5681</v>
      </c>
      <c r="E217" s="70">
        <v>15.9116</v>
      </c>
      <c r="F217" s="69">
        <v>9.8210000000000006E-2</v>
      </c>
      <c r="G217" s="70"/>
      <c r="H217" s="70"/>
      <c r="I217" s="67" t="s">
        <v>722</v>
      </c>
    </row>
    <row r="218" spans="1:9" ht="15" customHeight="1">
      <c r="A218" s="67" t="s">
        <v>86</v>
      </c>
      <c r="B218" s="67" t="s">
        <v>318</v>
      </c>
      <c r="C218" s="68">
        <v>104</v>
      </c>
      <c r="D218" s="70">
        <v>-1.5817000000000001</v>
      </c>
      <c r="E218" s="70">
        <v>15.9381</v>
      </c>
      <c r="F218" s="69">
        <v>9.8640000000000005E-2</v>
      </c>
      <c r="G218" s="70"/>
      <c r="H218" s="70"/>
      <c r="I218" s="67" t="s">
        <v>723</v>
      </c>
    </row>
    <row r="219" spans="1:9" ht="15" customHeight="1">
      <c r="A219" s="67" t="s">
        <v>86</v>
      </c>
      <c r="B219" s="67" t="s">
        <v>318</v>
      </c>
      <c r="C219" s="68">
        <v>105</v>
      </c>
      <c r="D219" s="70">
        <v>-1.5948</v>
      </c>
      <c r="E219" s="70">
        <v>15.9651</v>
      </c>
      <c r="F219" s="69">
        <v>9.9070000000000005E-2</v>
      </c>
      <c r="G219" s="70"/>
      <c r="H219" s="70"/>
      <c r="I219" s="67" t="s">
        <v>724</v>
      </c>
    </row>
    <row r="220" spans="1:9" ht="15" customHeight="1">
      <c r="A220" s="67" t="s">
        <v>86</v>
      </c>
      <c r="B220" s="67" t="s">
        <v>318</v>
      </c>
      <c r="C220" s="68">
        <v>106</v>
      </c>
      <c r="D220" s="70">
        <v>-1.6075999999999999</v>
      </c>
      <c r="E220" s="70">
        <v>15.9925</v>
      </c>
      <c r="F220" s="69">
        <v>9.9510000000000001E-2</v>
      </c>
      <c r="G220" s="70"/>
      <c r="H220" s="70"/>
      <c r="I220" s="67" t="s">
        <v>725</v>
      </c>
    </row>
    <row r="221" spans="1:9" ht="15" customHeight="1">
      <c r="A221" s="67" t="s">
        <v>86</v>
      </c>
      <c r="B221" s="67" t="s">
        <v>318</v>
      </c>
      <c r="C221" s="68">
        <v>107</v>
      </c>
      <c r="D221" s="70">
        <v>-1.6198999999999999</v>
      </c>
      <c r="E221" s="70">
        <v>16.020499999999998</v>
      </c>
      <c r="F221" s="69">
        <v>9.9940000000000001E-2</v>
      </c>
      <c r="G221" s="70"/>
      <c r="H221" s="70"/>
      <c r="I221" s="67" t="s">
        <v>726</v>
      </c>
    </row>
    <row r="222" spans="1:9" ht="15" customHeight="1">
      <c r="A222" s="67" t="s">
        <v>86</v>
      </c>
      <c r="B222" s="67" t="s">
        <v>318</v>
      </c>
      <c r="C222" s="68">
        <v>108</v>
      </c>
      <c r="D222" s="70">
        <v>-1.6317999999999999</v>
      </c>
      <c r="E222" s="70">
        <v>16.048999999999999</v>
      </c>
      <c r="F222" s="69">
        <v>0.10038</v>
      </c>
      <c r="G222" s="70"/>
      <c r="H222" s="70"/>
      <c r="I222" s="67" t="s">
        <v>727</v>
      </c>
    </row>
    <row r="223" spans="1:9" ht="15" customHeight="1">
      <c r="A223" s="67" t="s">
        <v>86</v>
      </c>
      <c r="B223" s="67" t="s">
        <v>318</v>
      </c>
      <c r="C223" s="68">
        <v>109</v>
      </c>
      <c r="D223" s="70">
        <v>-1.6433</v>
      </c>
      <c r="E223" s="70">
        <v>16.078099999999999</v>
      </c>
      <c r="F223" s="69">
        <v>0.10082000000000001</v>
      </c>
      <c r="G223" s="70"/>
      <c r="H223" s="70"/>
      <c r="I223" s="67" t="s">
        <v>728</v>
      </c>
    </row>
    <row r="224" spans="1:9" ht="15" customHeight="1">
      <c r="A224" s="67" t="s">
        <v>86</v>
      </c>
      <c r="B224" s="67" t="s">
        <v>318</v>
      </c>
      <c r="C224" s="68">
        <v>110</v>
      </c>
      <c r="D224" s="70">
        <v>-1.6544000000000001</v>
      </c>
      <c r="E224" s="70">
        <v>16.107800000000001</v>
      </c>
      <c r="F224" s="69">
        <v>0.10126</v>
      </c>
      <c r="G224" s="70"/>
      <c r="H224" s="70"/>
      <c r="I224" s="67" t="s">
        <v>729</v>
      </c>
    </row>
    <row r="225" spans="1:9" ht="15" customHeight="1">
      <c r="A225" s="67" t="s">
        <v>86</v>
      </c>
      <c r="B225" s="67" t="s">
        <v>318</v>
      </c>
      <c r="C225" s="68">
        <v>111</v>
      </c>
      <c r="D225" s="70">
        <v>-1.6651</v>
      </c>
      <c r="E225" s="70">
        <v>16.138100000000001</v>
      </c>
      <c r="F225" s="69">
        <v>0.1017</v>
      </c>
      <c r="G225" s="70"/>
      <c r="H225" s="70"/>
      <c r="I225" s="67" t="s">
        <v>730</v>
      </c>
    </row>
    <row r="226" spans="1:9" ht="15" customHeight="1">
      <c r="A226" s="67" t="s">
        <v>86</v>
      </c>
      <c r="B226" s="67" t="s">
        <v>318</v>
      </c>
      <c r="C226" s="68">
        <v>112</v>
      </c>
      <c r="D226" s="70">
        <v>-1.6753</v>
      </c>
      <c r="E226" s="70">
        <v>16.1692</v>
      </c>
      <c r="F226" s="69">
        <v>0.10213999999999999</v>
      </c>
      <c r="G226" s="70"/>
      <c r="H226" s="70"/>
      <c r="I226" s="67" t="s">
        <v>731</v>
      </c>
    </row>
    <row r="227" spans="1:9" ht="15" customHeight="1">
      <c r="A227" s="67" t="s">
        <v>86</v>
      </c>
      <c r="B227" s="67" t="s">
        <v>318</v>
      </c>
      <c r="C227" s="68">
        <v>113</v>
      </c>
      <c r="D227" s="70">
        <v>-1.6851</v>
      </c>
      <c r="E227" s="70">
        <v>16.200900000000001</v>
      </c>
      <c r="F227" s="69">
        <v>0.10259</v>
      </c>
      <c r="G227" s="70"/>
      <c r="H227" s="70"/>
      <c r="I227" s="67" t="s">
        <v>732</v>
      </c>
    </row>
    <row r="228" spans="1:9" ht="15" customHeight="1">
      <c r="A228" s="67" t="s">
        <v>86</v>
      </c>
      <c r="B228" s="67" t="s">
        <v>318</v>
      </c>
      <c r="C228" s="68">
        <v>114</v>
      </c>
      <c r="D228" s="70">
        <v>-1.6943999999999999</v>
      </c>
      <c r="E228" s="70">
        <v>16.2333</v>
      </c>
      <c r="F228" s="69">
        <v>0.10303</v>
      </c>
      <c r="G228" s="70"/>
      <c r="H228" s="70"/>
      <c r="I228" s="67" t="s">
        <v>733</v>
      </c>
    </row>
    <row r="229" spans="1:9" ht="15" customHeight="1">
      <c r="A229" s="67" t="s">
        <v>86</v>
      </c>
      <c r="B229" s="67" t="s">
        <v>318</v>
      </c>
      <c r="C229" s="68">
        <v>115</v>
      </c>
      <c r="D229" s="70">
        <v>-1.7032</v>
      </c>
      <c r="E229" s="70">
        <v>16.266500000000001</v>
      </c>
      <c r="F229" s="69">
        <v>0.10347000000000001</v>
      </c>
      <c r="G229" s="70"/>
      <c r="H229" s="70"/>
      <c r="I229" s="67" t="s">
        <v>734</v>
      </c>
    </row>
    <row r="230" spans="1:9" ht="15" customHeight="1">
      <c r="A230" s="67" t="s">
        <v>86</v>
      </c>
      <c r="B230" s="67" t="s">
        <v>318</v>
      </c>
      <c r="C230" s="68">
        <v>116</v>
      </c>
      <c r="D230" s="70">
        <v>-1.7116</v>
      </c>
      <c r="E230" s="70">
        <v>16.3004</v>
      </c>
      <c r="F230" s="69">
        <v>0.10391</v>
      </c>
      <c r="G230" s="70"/>
      <c r="H230" s="70"/>
      <c r="I230" s="67" t="s">
        <v>735</v>
      </c>
    </row>
    <row r="231" spans="1:9" ht="15" customHeight="1">
      <c r="A231" s="67" t="s">
        <v>86</v>
      </c>
      <c r="B231" s="67" t="s">
        <v>318</v>
      </c>
      <c r="C231" s="68">
        <v>117</v>
      </c>
      <c r="D231" s="70">
        <v>-1.7196</v>
      </c>
      <c r="E231" s="70">
        <v>16.335100000000001</v>
      </c>
      <c r="F231" s="69">
        <v>0.10435</v>
      </c>
      <c r="G231" s="70"/>
      <c r="H231" s="70"/>
      <c r="I231" s="67" t="s">
        <v>736</v>
      </c>
    </row>
    <row r="232" spans="1:9" ht="15" customHeight="1">
      <c r="A232" s="67" t="s">
        <v>86</v>
      </c>
      <c r="B232" s="67" t="s">
        <v>318</v>
      </c>
      <c r="C232" s="68">
        <v>118</v>
      </c>
      <c r="D232" s="69">
        <v>1.18E-2</v>
      </c>
      <c r="E232" s="70">
        <v>16.3704</v>
      </c>
      <c r="F232" s="69">
        <v>0.10478</v>
      </c>
      <c r="G232" s="70"/>
      <c r="H232" s="70"/>
      <c r="I232" s="67" t="s">
        <v>737</v>
      </c>
    </row>
    <row r="233" spans="1:9" ht="15" customHeight="1">
      <c r="A233" s="67" t="s">
        <v>86</v>
      </c>
      <c r="B233" s="67" t="s">
        <v>318</v>
      </c>
      <c r="C233" s="68">
        <v>119</v>
      </c>
      <c r="D233" s="69">
        <v>1.1900000000000001E-2</v>
      </c>
      <c r="E233" s="70">
        <v>16.406500000000001</v>
      </c>
      <c r="F233" s="69">
        <v>0.10521999999999999</v>
      </c>
      <c r="G233" s="70"/>
      <c r="H233" s="70"/>
      <c r="I233" s="67" t="s">
        <v>738</v>
      </c>
    </row>
    <row r="234" spans="1:9" ht="15" customHeight="1">
      <c r="A234" s="67" t="s">
        <v>86</v>
      </c>
      <c r="B234" s="67" t="s">
        <v>318</v>
      </c>
      <c r="C234" s="68">
        <v>120</v>
      </c>
      <c r="D234" s="70">
        <v>-1.7406999999999999</v>
      </c>
      <c r="E234" s="70">
        <v>16.443300000000001</v>
      </c>
      <c r="F234" s="69">
        <v>0.10566</v>
      </c>
      <c r="G234" s="70"/>
      <c r="H234" s="70"/>
      <c r="I234" s="67" t="s">
        <v>739</v>
      </c>
    </row>
    <row r="235" spans="1:9" ht="15" customHeight="1">
      <c r="A235" s="67" t="s">
        <v>86</v>
      </c>
      <c r="B235" s="67" t="s">
        <v>318</v>
      </c>
      <c r="C235" s="68">
        <v>121</v>
      </c>
      <c r="D235" s="70">
        <v>-1.7467999999999999</v>
      </c>
      <c r="E235" s="70">
        <v>16.480699999999999</v>
      </c>
      <c r="F235" s="69">
        <v>0.10609</v>
      </c>
      <c r="G235" s="70"/>
      <c r="H235" s="70"/>
      <c r="I235" s="67" t="s">
        <v>740</v>
      </c>
    </row>
    <row r="236" spans="1:9" ht="15" customHeight="1">
      <c r="A236" s="67" t="s">
        <v>86</v>
      </c>
      <c r="B236" s="67" t="s">
        <v>318</v>
      </c>
      <c r="C236" s="68">
        <v>122</v>
      </c>
      <c r="D236" s="70">
        <v>-1.7524999999999999</v>
      </c>
      <c r="E236" s="70">
        <v>16.518899999999999</v>
      </c>
      <c r="F236" s="69">
        <v>0.10652</v>
      </c>
      <c r="G236" s="70"/>
      <c r="H236" s="70"/>
      <c r="I236" s="67" t="s">
        <v>741</v>
      </c>
    </row>
    <row r="237" spans="1:9" ht="15" customHeight="1">
      <c r="A237" s="67" t="s">
        <v>86</v>
      </c>
      <c r="B237" s="67" t="s">
        <v>318</v>
      </c>
      <c r="C237" s="68">
        <v>123</v>
      </c>
      <c r="D237" s="70">
        <v>-1.7578</v>
      </c>
      <c r="E237" s="70">
        <v>16.5578</v>
      </c>
      <c r="F237" s="69">
        <v>0.10695</v>
      </c>
      <c r="G237" s="70"/>
      <c r="H237" s="70"/>
      <c r="I237" s="67" t="s">
        <v>742</v>
      </c>
    </row>
    <row r="238" spans="1:9" ht="15" customHeight="1">
      <c r="A238" s="67" t="s">
        <v>86</v>
      </c>
      <c r="B238" s="67" t="s">
        <v>318</v>
      </c>
      <c r="C238" s="68">
        <v>124</v>
      </c>
      <c r="D238" s="70">
        <v>-1.7625999999999999</v>
      </c>
      <c r="E238" s="70">
        <v>16.5974</v>
      </c>
      <c r="F238" s="69">
        <v>0.10738</v>
      </c>
      <c r="G238" s="70"/>
      <c r="H238" s="70"/>
      <c r="I238" s="67" t="s">
        <v>743</v>
      </c>
    </row>
    <row r="239" spans="1:9" ht="15" customHeight="1">
      <c r="A239" s="67" t="s">
        <v>86</v>
      </c>
      <c r="B239" s="67" t="s">
        <v>318</v>
      </c>
      <c r="C239" s="68">
        <v>125</v>
      </c>
      <c r="D239" s="70">
        <v>-1.7669999999999999</v>
      </c>
      <c r="E239" s="70">
        <v>16.637599999999999</v>
      </c>
      <c r="F239" s="69">
        <v>0.10780000000000001</v>
      </c>
      <c r="G239" s="70"/>
      <c r="H239" s="70"/>
      <c r="I239" s="67" t="s">
        <v>744</v>
      </c>
    </row>
    <row r="240" spans="1:9" ht="15" customHeight="1">
      <c r="A240" s="67" t="s">
        <v>86</v>
      </c>
      <c r="B240" s="67" t="s">
        <v>318</v>
      </c>
      <c r="C240" s="68">
        <v>126</v>
      </c>
      <c r="D240" s="70">
        <v>-1.7709999999999999</v>
      </c>
      <c r="E240" s="70">
        <v>16.678599999999999</v>
      </c>
      <c r="F240" s="69">
        <v>0.10823000000000001</v>
      </c>
      <c r="G240" s="70"/>
      <c r="H240" s="70"/>
      <c r="I240" s="67" t="s">
        <v>745</v>
      </c>
    </row>
    <row r="241" spans="1:9" ht="15" customHeight="1">
      <c r="A241" s="67" t="s">
        <v>86</v>
      </c>
      <c r="B241" s="67" t="s">
        <v>318</v>
      </c>
      <c r="C241" s="68">
        <v>127</v>
      </c>
      <c r="D241" s="70">
        <v>-1.7745</v>
      </c>
      <c r="E241" s="70">
        <v>16.720300000000002</v>
      </c>
      <c r="F241" s="69">
        <v>0.10865</v>
      </c>
      <c r="G241" s="70"/>
      <c r="H241" s="70"/>
      <c r="I241" s="67" t="s">
        <v>746</v>
      </c>
    </row>
    <row r="242" spans="1:9" ht="15" customHeight="1">
      <c r="A242" s="67" t="s">
        <v>86</v>
      </c>
      <c r="B242" s="67" t="s">
        <v>318</v>
      </c>
      <c r="C242" s="68">
        <v>128</v>
      </c>
      <c r="D242" s="70">
        <v>-1.7777000000000001</v>
      </c>
      <c r="E242" s="70">
        <v>16.762799999999999</v>
      </c>
      <c r="F242" s="69">
        <v>0.10906</v>
      </c>
      <c r="G242" s="70"/>
      <c r="H242" s="70"/>
      <c r="I242" s="67" t="s">
        <v>747</v>
      </c>
    </row>
    <row r="243" spans="1:9" ht="15" customHeight="1">
      <c r="A243" s="67" t="s">
        <v>86</v>
      </c>
      <c r="B243" s="67" t="s">
        <v>318</v>
      </c>
      <c r="C243" s="68">
        <v>129</v>
      </c>
      <c r="D243" s="70">
        <v>-1.7804</v>
      </c>
      <c r="E243" s="70">
        <v>16.805900000000001</v>
      </c>
      <c r="F243" s="69">
        <v>0.10947999999999999</v>
      </c>
      <c r="G243" s="70"/>
      <c r="H243" s="70"/>
      <c r="I243" s="67" t="s">
        <v>748</v>
      </c>
    </row>
    <row r="244" spans="1:9" ht="15" customHeight="1">
      <c r="A244" s="67" t="s">
        <v>86</v>
      </c>
      <c r="B244" s="67" t="s">
        <v>318</v>
      </c>
      <c r="C244" s="68">
        <v>130</v>
      </c>
      <c r="D244" s="70">
        <v>-1.7827999999999999</v>
      </c>
      <c r="E244" s="70">
        <v>16.849699999999999</v>
      </c>
      <c r="F244" s="69">
        <v>0.10989</v>
      </c>
      <c r="G244" s="70"/>
      <c r="H244" s="70"/>
      <c r="I244" s="67" t="s">
        <v>749</v>
      </c>
    </row>
    <row r="245" spans="1:9" ht="15" customHeight="1">
      <c r="A245" s="67" t="s">
        <v>86</v>
      </c>
      <c r="B245" s="67" t="s">
        <v>318</v>
      </c>
      <c r="C245" s="68">
        <v>131</v>
      </c>
      <c r="D245" s="70">
        <v>-1.7847</v>
      </c>
      <c r="E245" s="70">
        <v>16.894100000000002</v>
      </c>
      <c r="F245" s="69">
        <v>0.1103</v>
      </c>
      <c r="G245" s="70"/>
      <c r="H245" s="70"/>
      <c r="I245" s="67" t="s">
        <v>750</v>
      </c>
    </row>
    <row r="246" spans="1:9" ht="15" customHeight="1">
      <c r="A246" s="67" t="s">
        <v>86</v>
      </c>
      <c r="B246" s="67" t="s">
        <v>318</v>
      </c>
      <c r="C246" s="68">
        <v>132</v>
      </c>
      <c r="D246" s="70">
        <v>-1.7862</v>
      </c>
      <c r="E246" s="70">
        <v>16.9392</v>
      </c>
      <c r="F246" s="69">
        <v>0.11070000000000001</v>
      </c>
      <c r="G246" s="70"/>
      <c r="H246" s="70"/>
      <c r="I246" s="67" t="s">
        <v>751</v>
      </c>
    </row>
    <row r="247" spans="1:9" ht="15" customHeight="1">
      <c r="A247" s="67" t="s">
        <v>86</v>
      </c>
      <c r="B247" s="67" t="s">
        <v>318</v>
      </c>
      <c r="C247" s="68">
        <v>133</v>
      </c>
      <c r="D247" s="70">
        <v>-1.7873000000000001</v>
      </c>
      <c r="E247" s="70">
        <v>16.984999999999999</v>
      </c>
      <c r="F247" s="69">
        <v>0.1111</v>
      </c>
      <c r="G247" s="70"/>
      <c r="H247" s="70"/>
      <c r="I247" s="67" t="s">
        <v>752</v>
      </c>
    </row>
    <row r="248" spans="1:9" ht="15" customHeight="1">
      <c r="A248" s="67" t="s">
        <v>86</v>
      </c>
      <c r="B248" s="67" t="s">
        <v>318</v>
      </c>
      <c r="C248" s="68">
        <v>134</v>
      </c>
      <c r="D248" s="70">
        <v>-1.7881</v>
      </c>
      <c r="E248" s="70">
        <v>17.031400000000001</v>
      </c>
      <c r="F248" s="69">
        <v>0.1115</v>
      </c>
      <c r="G248" s="70"/>
      <c r="H248" s="70"/>
      <c r="I248" s="67" t="s">
        <v>753</v>
      </c>
    </row>
    <row r="249" spans="1:9" ht="15" customHeight="1">
      <c r="A249" s="67" t="s">
        <v>86</v>
      </c>
      <c r="B249" s="67" t="s">
        <v>318</v>
      </c>
      <c r="C249" s="68">
        <v>135</v>
      </c>
      <c r="D249" s="70">
        <v>-1.7884</v>
      </c>
      <c r="E249" s="70">
        <v>17.078399999999998</v>
      </c>
      <c r="F249" s="69">
        <v>0.11189</v>
      </c>
      <c r="G249" s="70"/>
      <c r="H249" s="70"/>
      <c r="I249" s="67" t="s">
        <v>754</v>
      </c>
    </row>
    <row r="250" spans="1:9" ht="15" customHeight="1">
      <c r="A250" s="67" t="s">
        <v>86</v>
      </c>
      <c r="B250" s="67" t="s">
        <v>318</v>
      </c>
      <c r="C250" s="68">
        <v>136</v>
      </c>
      <c r="D250" s="70">
        <v>-1.7884</v>
      </c>
      <c r="E250" s="70">
        <v>17.126200000000001</v>
      </c>
      <c r="F250" s="69">
        <v>0.11228</v>
      </c>
      <c r="G250" s="70"/>
      <c r="H250" s="70"/>
      <c r="I250" s="67" t="s">
        <v>755</v>
      </c>
    </row>
    <row r="251" spans="1:9" ht="15" customHeight="1">
      <c r="A251" s="67" t="s">
        <v>86</v>
      </c>
      <c r="B251" s="67" t="s">
        <v>318</v>
      </c>
      <c r="C251" s="68">
        <v>137</v>
      </c>
      <c r="D251" s="70">
        <v>-1.788</v>
      </c>
      <c r="E251" s="70">
        <v>17.174600000000002</v>
      </c>
      <c r="F251" s="69">
        <v>0.11266</v>
      </c>
      <c r="G251" s="70"/>
      <c r="H251" s="70"/>
      <c r="I251" s="67" t="s">
        <v>756</v>
      </c>
    </row>
    <row r="252" spans="1:9" ht="15" customHeight="1">
      <c r="A252" s="67" t="s">
        <v>86</v>
      </c>
      <c r="B252" s="67" t="s">
        <v>318</v>
      </c>
      <c r="C252" s="68">
        <v>138</v>
      </c>
      <c r="D252" s="70">
        <v>-1.7873000000000001</v>
      </c>
      <c r="E252" s="70">
        <v>17.223600000000001</v>
      </c>
      <c r="F252" s="69">
        <v>0.11304</v>
      </c>
      <c r="G252" s="70"/>
      <c r="H252" s="70"/>
      <c r="I252" s="67" t="s">
        <v>757</v>
      </c>
    </row>
    <row r="253" spans="1:9" ht="15" customHeight="1">
      <c r="A253" s="67" t="s">
        <v>86</v>
      </c>
      <c r="B253" s="67" t="s">
        <v>318</v>
      </c>
      <c r="C253" s="68">
        <v>139</v>
      </c>
      <c r="D253" s="70">
        <v>-1.7861</v>
      </c>
      <c r="E253" s="70">
        <v>17.273399999999999</v>
      </c>
      <c r="F253" s="69">
        <v>0.11342000000000001</v>
      </c>
      <c r="G253" s="70"/>
      <c r="H253" s="70"/>
      <c r="I253" s="67" t="s">
        <v>758</v>
      </c>
    </row>
    <row r="254" spans="1:9" ht="15" customHeight="1">
      <c r="A254" s="67" t="s">
        <v>86</v>
      </c>
      <c r="B254" s="67" t="s">
        <v>318</v>
      </c>
      <c r="C254" s="68">
        <v>140</v>
      </c>
      <c r="D254" s="70">
        <v>-1.7846</v>
      </c>
      <c r="E254" s="70">
        <v>17.324000000000002</v>
      </c>
      <c r="F254" s="69">
        <v>0.11379</v>
      </c>
      <c r="G254" s="70"/>
      <c r="H254" s="70"/>
      <c r="I254" s="67" t="s">
        <v>759</v>
      </c>
    </row>
    <row r="255" spans="1:9" ht="15" customHeight="1">
      <c r="A255" s="67" t="s">
        <v>86</v>
      </c>
      <c r="B255" s="67" t="s">
        <v>318</v>
      </c>
      <c r="C255" s="68">
        <v>141</v>
      </c>
      <c r="D255" s="70">
        <v>-1.7827999999999999</v>
      </c>
      <c r="E255" s="70">
        <v>17.3752</v>
      </c>
      <c r="F255" s="69">
        <v>0.11415</v>
      </c>
      <c r="G255" s="70"/>
      <c r="H255" s="70"/>
      <c r="I255" s="67" t="s">
        <v>760</v>
      </c>
    </row>
    <row r="256" spans="1:9" ht="15" customHeight="1">
      <c r="A256" s="67" t="s">
        <v>86</v>
      </c>
      <c r="B256" s="67" t="s">
        <v>318</v>
      </c>
      <c r="C256" s="68">
        <v>142</v>
      </c>
      <c r="D256" s="70">
        <v>-1.7806</v>
      </c>
      <c r="E256" s="70">
        <v>17.427199999999999</v>
      </c>
      <c r="F256" s="69">
        <v>0.11451</v>
      </c>
      <c r="G256" s="70"/>
      <c r="H256" s="70"/>
      <c r="I256" s="67" t="s">
        <v>761</v>
      </c>
    </row>
    <row r="257" spans="1:9" ht="15" customHeight="1">
      <c r="A257" s="67" t="s">
        <v>86</v>
      </c>
      <c r="B257" s="67" t="s">
        <v>318</v>
      </c>
      <c r="C257" s="68">
        <v>143</v>
      </c>
      <c r="D257" s="70">
        <v>-1.778</v>
      </c>
      <c r="E257" s="70">
        <v>17.479900000000001</v>
      </c>
      <c r="F257" s="69">
        <v>0.11487</v>
      </c>
      <c r="G257" s="70"/>
      <c r="H257" s="70"/>
      <c r="I257" s="67" t="s">
        <v>762</v>
      </c>
    </row>
    <row r="258" spans="1:9" ht="15" customHeight="1">
      <c r="A258" s="67" t="s">
        <v>86</v>
      </c>
      <c r="B258" s="67" t="s">
        <v>318</v>
      </c>
      <c r="C258" s="68">
        <v>144</v>
      </c>
      <c r="D258" s="70">
        <v>-1.7750999999999999</v>
      </c>
      <c r="E258" s="70">
        <v>17.5334</v>
      </c>
      <c r="F258" s="69">
        <v>0.11522</v>
      </c>
      <c r="G258" s="70"/>
      <c r="H258" s="70"/>
      <c r="I258" s="67" t="s">
        <v>763</v>
      </c>
    </row>
    <row r="259" spans="1:9" ht="15" customHeight="1">
      <c r="A259" s="67" t="s">
        <v>86</v>
      </c>
      <c r="B259" s="67" t="s">
        <v>318</v>
      </c>
      <c r="C259" s="68">
        <v>145</v>
      </c>
      <c r="D259" s="70">
        <v>-1.7719</v>
      </c>
      <c r="E259" s="70">
        <v>17.587700000000002</v>
      </c>
      <c r="F259" s="69">
        <v>0.11556</v>
      </c>
      <c r="G259" s="70"/>
      <c r="H259" s="70"/>
      <c r="I259" s="67" t="s">
        <v>764</v>
      </c>
    </row>
    <row r="260" spans="1:9" ht="15" customHeight="1">
      <c r="A260" s="67" t="s">
        <v>86</v>
      </c>
      <c r="B260" s="67" t="s">
        <v>318</v>
      </c>
      <c r="C260" s="68">
        <v>146</v>
      </c>
      <c r="D260" s="70">
        <v>-1.7684</v>
      </c>
      <c r="E260" s="70">
        <v>17.642700000000001</v>
      </c>
      <c r="F260" s="69">
        <v>0.1159</v>
      </c>
      <c r="G260" s="70"/>
      <c r="H260" s="70"/>
      <c r="I260" s="67" t="s">
        <v>765</v>
      </c>
    </row>
    <row r="261" spans="1:9" ht="15" customHeight="1">
      <c r="A261" s="67" t="s">
        <v>86</v>
      </c>
      <c r="B261" s="67" t="s">
        <v>318</v>
      </c>
      <c r="C261" s="68">
        <v>147</v>
      </c>
      <c r="D261" s="70">
        <v>-1.7645</v>
      </c>
      <c r="E261" s="70">
        <v>17.698499999999999</v>
      </c>
      <c r="F261" s="69">
        <v>0.11623</v>
      </c>
      <c r="G261" s="70"/>
      <c r="H261" s="70"/>
      <c r="I261" s="67" t="s">
        <v>766</v>
      </c>
    </row>
    <row r="262" spans="1:9" ht="15" customHeight="1">
      <c r="A262" s="67" t="s">
        <v>86</v>
      </c>
      <c r="B262" s="67" t="s">
        <v>318</v>
      </c>
      <c r="C262" s="68">
        <v>148</v>
      </c>
      <c r="D262" s="70">
        <v>-1.7604</v>
      </c>
      <c r="E262" s="70">
        <v>17.755099999999999</v>
      </c>
      <c r="F262" s="69">
        <v>0.11656</v>
      </c>
      <c r="G262" s="70"/>
      <c r="H262" s="70"/>
      <c r="I262" s="67" t="s">
        <v>767</v>
      </c>
    </row>
    <row r="263" spans="1:9" ht="15" customHeight="1">
      <c r="A263" s="67" t="s">
        <v>86</v>
      </c>
      <c r="B263" s="67" t="s">
        <v>318</v>
      </c>
      <c r="C263" s="68">
        <v>149</v>
      </c>
      <c r="D263" s="70">
        <v>-1.7559</v>
      </c>
      <c r="E263" s="70">
        <v>17.8124</v>
      </c>
      <c r="F263" s="69">
        <v>0.11688</v>
      </c>
      <c r="G263" s="70"/>
      <c r="H263" s="70"/>
      <c r="I263" s="67" t="s">
        <v>768</v>
      </c>
    </row>
    <row r="264" spans="1:9" ht="15" customHeight="1">
      <c r="A264" s="67" t="s">
        <v>86</v>
      </c>
      <c r="B264" s="67" t="s">
        <v>318</v>
      </c>
      <c r="C264" s="68">
        <v>150</v>
      </c>
      <c r="D264" s="70">
        <v>-1.7511000000000001</v>
      </c>
      <c r="E264" s="70">
        <v>17.8704</v>
      </c>
      <c r="F264" s="69">
        <v>0.1172</v>
      </c>
      <c r="G264" s="70"/>
      <c r="H264" s="70"/>
      <c r="I264" s="67" t="s">
        <v>769</v>
      </c>
    </row>
    <row r="265" spans="1:9" ht="15" customHeight="1">
      <c r="A265" s="67" t="s">
        <v>86</v>
      </c>
      <c r="B265" s="67" t="s">
        <v>318</v>
      </c>
      <c r="C265" s="68">
        <v>151</v>
      </c>
      <c r="D265" s="70">
        <v>-1.7461</v>
      </c>
      <c r="E265" s="70">
        <v>17.929200000000002</v>
      </c>
      <c r="F265" s="69">
        <v>0.11751</v>
      </c>
      <c r="G265" s="70"/>
      <c r="H265" s="70"/>
      <c r="I265" s="67" t="s">
        <v>770</v>
      </c>
    </row>
    <row r="266" spans="1:9" ht="15" customHeight="1">
      <c r="A266" s="67" t="s">
        <v>86</v>
      </c>
      <c r="B266" s="67" t="s">
        <v>318</v>
      </c>
      <c r="C266" s="68">
        <v>152</v>
      </c>
      <c r="D266" s="70">
        <v>-1.7407999999999999</v>
      </c>
      <c r="E266" s="70">
        <v>17.988700000000001</v>
      </c>
      <c r="F266" s="69">
        <v>0.11781</v>
      </c>
      <c r="G266" s="70"/>
      <c r="H266" s="70"/>
      <c r="I266" s="67" t="s">
        <v>771</v>
      </c>
    </row>
    <row r="267" spans="1:9" ht="15" customHeight="1">
      <c r="A267" s="67" t="s">
        <v>86</v>
      </c>
      <c r="B267" s="67" t="s">
        <v>318</v>
      </c>
      <c r="C267" s="68">
        <v>153</v>
      </c>
      <c r="D267" s="70">
        <v>-1.7352000000000001</v>
      </c>
      <c r="E267" s="70">
        <v>18.0488</v>
      </c>
      <c r="F267" s="69">
        <v>0.11811000000000001</v>
      </c>
      <c r="G267" s="70"/>
      <c r="H267" s="70"/>
      <c r="I267" s="67" t="s">
        <v>772</v>
      </c>
    </row>
    <row r="268" spans="1:9" ht="15" customHeight="1">
      <c r="A268" s="67" t="s">
        <v>86</v>
      </c>
      <c r="B268" s="67" t="s">
        <v>318</v>
      </c>
      <c r="C268" s="68">
        <v>154</v>
      </c>
      <c r="D268" s="70">
        <v>-1.7293000000000001</v>
      </c>
      <c r="E268" s="70">
        <v>18.1096</v>
      </c>
      <c r="F268" s="69">
        <v>0.11841</v>
      </c>
      <c r="G268" s="70"/>
      <c r="H268" s="70"/>
      <c r="I268" s="67" t="s">
        <v>773</v>
      </c>
    </row>
    <row r="269" spans="1:9" ht="15" customHeight="1">
      <c r="A269" s="67" t="s">
        <v>86</v>
      </c>
      <c r="B269" s="67" t="s">
        <v>318</v>
      </c>
      <c r="C269" s="68">
        <v>155</v>
      </c>
      <c r="D269" s="70">
        <v>-1.7232000000000001</v>
      </c>
      <c r="E269" s="70">
        <v>18.170999999999999</v>
      </c>
      <c r="F269" s="69">
        <v>0.11869</v>
      </c>
      <c r="G269" s="70"/>
      <c r="H269" s="70"/>
      <c r="I269" s="67" t="s">
        <v>774</v>
      </c>
    </row>
    <row r="270" spans="1:9" ht="15" customHeight="1">
      <c r="A270" s="67" t="s">
        <v>86</v>
      </c>
      <c r="B270" s="67" t="s">
        <v>318</v>
      </c>
      <c r="C270" s="68">
        <v>156</v>
      </c>
      <c r="D270" s="70">
        <v>-1.7168000000000001</v>
      </c>
      <c r="E270" s="70">
        <v>18.233000000000001</v>
      </c>
      <c r="F270" s="69">
        <v>0.11898</v>
      </c>
      <c r="G270" s="70"/>
      <c r="H270" s="70"/>
      <c r="I270" s="67" t="s">
        <v>775</v>
      </c>
    </row>
    <row r="271" spans="1:9" ht="15" customHeight="1">
      <c r="A271" s="67" t="s">
        <v>86</v>
      </c>
      <c r="B271" s="67" t="s">
        <v>318</v>
      </c>
      <c r="C271" s="68">
        <v>157</v>
      </c>
      <c r="D271" s="70">
        <v>-1.7101999999999999</v>
      </c>
      <c r="E271" s="70">
        <v>18.295500000000001</v>
      </c>
      <c r="F271" s="69">
        <v>0.11924999999999999</v>
      </c>
      <c r="G271" s="70"/>
      <c r="H271" s="70"/>
      <c r="I271" s="67" t="s">
        <v>776</v>
      </c>
    </row>
    <row r="272" spans="1:9" ht="15" customHeight="1">
      <c r="A272" s="67" t="s">
        <v>86</v>
      </c>
      <c r="B272" s="67" t="s">
        <v>318</v>
      </c>
      <c r="C272" s="68">
        <v>158</v>
      </c>
      <c r="D272" s="70">
        <v>-1.7033</v>
      </c>
      <c r="E272" s="70">
        <v>18.358599999999999</v>
      </c>
      <c r="F272" s="69">
        <v>0.11952</v>
      </c>
      <c r="G272" s="70"/>
      <c r="H272" s="70"/>
      <c r="I272" s="67" t="s">
        <v>777</v>
      </c>
    </row>
    <row r="273" spans="1:9" ht="15" customHeight="1">
      <c r="A273" s="67" t="s">
        <v>86</v>
      </c>
      <c r="B273" s="67" t="s">
        <v>318</v>
      </c>
      <c r="C273" s="68">
        <v>159</v>
      </c>
      <c r="D273" s="70">
        <v>-1.6961999999999999</v>
      </c>
      <c r="E273" s="70">
        <v>18.4221</v>
      </c>
      <c r="F273" s="69">
        <v>0.11978999999999999</v>
      </c>
      <c r="G273" s="70"/>
      <c r="H273" s="70"/>
      <c r="I273" s="67" t="s">
        <v>778</v>
      </c>
    </row>
    <row r="274" spans="1:9" ht="15" customHeight="1">
      <c r="A274" s="67" t="s">
        <v>86</v>
      </c>
      <c r="B274" s="67" t="s">
        <v>318</v>
      </c>
      <c r="C274" s="68">
        <v>160</v>
      </c>
      <c r="D274" s="70">
        <v>-1.6888000000000001</v>
      </c>
      <c r="E274" s="70">
        <v>18.486000000000001</v>
      </c>
      <c r="F274" s="69">
        <v>0.12005</v>
      </c>
      <c r="G274" s="70"/>
      <c r="H274" s="70"/>
      <c r="I274" s="67" t="s">
        <v>779</v>
      </c>
    </row>
    <row r="275" spans="1:9" ht="15" customHeight="1">
      <c r="A275" s="67" t="s">
        <v>86</v>
      </c>
      <c r="B275" s="67" t="s">
        <v>318</v>
      </c>
      <c r="C275" s="68">
        <v>161</v>
      </c>
      <c r="D275" s="70">
        <v>-1.6811</v>
      </c>
      <c r="E275" s="70">
        <v>18.5502</v>
      </c>
      <c r="F275" s="69">
        <v>0.1203</v>
      </c>
      <c r="G275" s="70"/>
      <c r="H275" s="70"/>
      <c r="I275" s="67" t="s">
        <v>780</v>
      </c>
    </row>
    <row r="276" spans="1:9" ht="15" customHeight="1">
      <c r="A276" s="67" t="s">
        <v>86</v>
      </c>
      <c r="B276" s="67" t="s">
        <v>318</v>
      </c>
      <c r="C276" s="68">
        <v>162</v>
      </c>
      <c r="D276" s="70">
        <v>-1.6732</v>
      </c>
      <c r="E276" s="70">
        <v>18.614799999999999</v>
      </c>
      <c r="F276" s="69">
        <v>0.12055</v>
      </c>
      <c r="G276" s="70"/>
      <c r="H276" s="70"/>
      <c r="I276" s="67" t="s">
        <v>781</v>
      </c>
    </row>
    <row r="277" spans="1:9" ht="15" customHeight="1">
      <c r="A277" s="67" t="s">
        <v>86</v>
      </c>
      <c r="B277" s="67" t="s">
        <v>318</v>
      </c>
      <c r="C277" s="68">
        <v>163</v>
      </c>
      <c r="D277" s="70">
        <v>-1.6651</v>
      </c>
      <c r="E277" s="70">
        <v>18.679500000000001</v>
      </c>
      <c r="F277" s="69">
        <v>0.12078999999999999</v>
      </c>
      <c r="G277" s="70"/>
      <c r="H277" s="70"/>
      <c r="I277" s="67" t="s">
        <v>782</v>
      </c>
    </row>
    <row r="278" spans="1:9" ht="15" customHeight="1">
      <c r="A278" s="67" t="s">
        <v>86</v>
      </c>
      <c r="B278" s="67" t="s">
        <v>318</v>
      </c>
      <c r="C278" s="68">
        <v>164</v>
      </c>
      <c r="D278" s="70">
        <v>-1.6568000000000001</v>
      </c>
      <c r="E278" s="70">
        <v>18.744499999999999</v>
      </c>
      <c r="F278" s="69">
        <v>0.12102</v>
      </c>
      <c r="G278" s="70"/>
      <c r="H278" s="70"/>
      <c r="I278" s="67" t="s">
        <v>783</v>
      </c>
    </row>
    <row r="279" spans="1:9" ht="15" customHeight="1">
      <c r="A279" s="67" t="s">
        <v>86</v>
      </c>
      <c r="B279" s="67" t="s">
        <v>318</v>
      </c>
      <c r="C279" s="68">
        <v>165</v>
      </c>
      <c r="D279" s="70">
        <v>-1.6482000000000001</v>
      </c>
      <c r="E279" s="70">
        <v>18.8095</v>
      </c>
      <c r="F279" s="69">
        <v>0.12125</v>
      </c>
      <c r="G279" s="70"/>
      <c r="H279" s="70"/>
      <c r="I279" s="67" t="s">
        <v>784</v>
      </c>
    </row>
    <row r="280" spans="1:9" ht="15" customHeight="1">
      <c r="A280" s="67" t="s">
        <v>86</v>
      </c>
      <c r="B280" s="67" t="s">
        <v>318</v>
      </c>
      <c r="C280" s="68">
        <v>166</v>
      </c>
      <c r="D280" s="70">
        <v>-1.6394</v>
      </c>
      <c r="E280" s="70">
        <v>18.874600000000001</v>
      </c>
      <c r="F280" s="69">
        <v>0.12148</v>
      </c>
      <c r="G280" s="70"/>
      <c r="H280" s="70"/>
      <c r="I280" s="67" t="s">
        <v>785</v>
      </c>
    </row>
    <row r="281" spans="1:9" ht="15" customHeight="1">
      <c r="A281" s="67" t="s">
        <v>86</v>
      </c>
      <c r="B281" s="67" t="s">
        <v>318</v>
      </c>
      <c r="C281" s="68">
        <v>167</v>
      </c>
      <c r="D281" s="70">
        <v>-1.6304000000000001</v>
      </c>
      <c r="E281" s="70">
        <v>18.939800000000002</v>
      </c>
      <c r="F281" s="69">
        <v>0.1217</v>
      </c>
      <c r="G281" s="70"/>
      <c r="H281" s="70"/>
      <c r="I281" s="67" t="s">
        <v>786</v>
      </c>
    </row>
    <row r="282" spans="1:9" ht="15" customHeight="1">
      <c r="A282" s="67" t="s">
        <v>86</v>
      </c>
      <c r="B282" s="67" t="s">
        <v>318</v>
      </c>
      <c r="C282" s="68">
        <v>168</v>
      </c>
      <c r="D282" s="70">
        <v>-1.6211</v>
      </c>
      <c r="E282" s="70">
        <v>19.004999999999999</v>
      </c>
      <c r="F282" s="69">
        <v>0.12191</v>
      </c>
      <c r="G282" s="70"/>
      <c r="H282" s="70"/>
      <c r="I282" s="67" t="s">
        <v>787</v>
      </c>
    </row>
    <row r="283" spans="1:9" ht="15" customHeight="1">
      <c r="A283" s="67" t="s">
        <v>86</v>
      </c>
      <c r="B283" s="67" t="s">
        <v>318</v>
      </c>
      <c r="C283" s="68">
        <v>169</v>
      </c>
      <c r="D283" s="70">
        <v>-1.6115999999999999</v>
      </c>
      <c r="E283" s="70">
        <v>19.0701</v>
      </c>
      <c r="F283" s="69">
        <v>0.12212000000000001</v>
      </c>
      <c r="G283" s="70"/>
      <c r="H283" s="70"/>
      <c r="I283" s="67" t="s">
        <v>788</v>
      </c>
    </row>
    <row r="284" spans="1:9" ht="15" customHeight="1">
      <c r="A284" s="67" t="s">
        <v>86</v>
      </c>
      <c r="B284" s="67" t="s">
        <v>318</v>
      </c>
      <c r="C284" s="68">
        <v>170</v>
      </c>
      <c r="D284" s="70">
        <v>-1.6020000000000001</v>
      </c>
      <c r="E284" s="70">
        <v>19.135100000000001</v>
      </c>
      <c r="F284" s="69">
        <v>0.12232999999999999</v>
      </c>
      <c r="G284" s="70"/>
      <c r="H284" s="70"/>
      <c r="I284" s="67" t="s">
        <v>789</v>
      </c>
    </row>
    <row r="285" spans="1:9" ht="15" customHeight="1">
      <c r="A285" s="67" t="s">
        <v>86</v>
      </c>
      <c r="B285" s="67" t="s">
        <v>318</v>
      </c>
      <c r="C285" s="68">
        <v>171</v>
      </c>
      <c r="D285" s="70">
        <v>-1.5921000000000001</v>
      </c>
      <c r="E285" s="70">
        <v>19.2</v>
      </c>
      <c r="F285" s="69">
        <v>0.12253</v>
      </c>
      <c r="G285" s="70"/>
      <c r="H285" s="70"/>
      <c r="I285" s="67" t="s">
        <v>790</v>
      </c>
    </row>
    <row r="286" spans="1:9" ht="15" customHeight="1">
      <c r="A286" s="67" t="s">
        <v>86</v>
      </c>
      <c r="B286" s="67" t="s">
        <v>318</v>
      </c>
      <c r="C286" s="68">
        <v>172</v>
      </c>
      <c r="D286" s="70">
        <v>-1.5821000000000001</v>
      </c>
      <c r="E286" s="70">
        <v>19.264800000000001</v>
      </c>
      <c r="F286" s="69">
        <v>0.12272</v>
      </c>
      <c r="G286" s="70"/>
      <c r="H286" s="70"/>
      <c r="I286" s="67" t="s">
        <v>791</v>
      </c>
    </row>
    <row r="287" spans="1:9" ht="15" customHeight="1">
      <c r="A287" s="67" t="s">
        <v>86</v>
      </c>
      <c r="B287" s="67" t="s">
        <v>318</v>
      </c>
      <c r="C287" s="68">
        <v>173</v>
      </c>
      <c r="D287" s="70">
        <v>-1.5719000000000001</v>
      </c>
      <c r="E287" s="70">
        <v>19.3294</v>
      </c>
      <c r="F287" s="69">
        <v>0.12291000000000001</v>
      </c>
      <c r="G287" s="70"/>
      <c r="H287" s="70"/>
      <c r="I287" s="67" t="s">
        <v>792</v>
      </c>
    </row>
    <row r="288" spans="1:9" ht="15" customHeight="1">
      <c r="A288" s="67" t="s">
        <v>86</v>
      </c>
      <c r="B288" s="67" t="s">
        <v>318</v>
      </c>
      <c r="C288" s="68">
        <v>174</v>
      </c>
      <c r="D288" s="70">
        <v>-1.5615000000000001</v>
      </c>
      <c r="E288" s="70">
        <v>19.393699999999999</v>
      </c>
      <c r="F288" s="69">
        <v>0.1231</v>
      </c>
      <c r="G288" s="70"/>
      <c r="H288" s="70"/>
      <c r="I288" s="67" t="s">
        <v>793</v>
      </c>
    </row>
    <row r="289" spans="1:9" ht="15" customHeight="1">
      <c r="A289" s="67" t="s">
        <v>86</v>
      </c>
      <c r="B289" s="67" t="s">
        <v>318</v>
      </c>
      <c r="C289" s="68">
        <v>175</v>
      </c>
      <c r="D289" s="70">
        <v>-1.5509999999999999</v>
      </c>
      <c r="E289" s="70">
        <v>19.457799999999999</v>
      </c>
      <c r="F289" s="69">
        <v>0.12328</v>
      </c>
      <c r="G289" s="70"/>
      <c r="H289" s="70"/>
      <c r="I289" s="67" t="s">
        <v>794</v>
      </c>
    </row>
    <row r="290" spans="1:9" ht="15" customHeight="1">
      <c r="A290" s="67" t="s">
        <v>86</v>
      </c>
      <c r="B290" s="67" t="s">
        <v>318</v>
      </c>
      <c r="C290" s="68">
        <v>176</v>
      </c>
      <c r="D290" s="70">
        <v>-1.5403</v>
      </c>
      <c r="E290" s="70">
        <v>19.521699999999999</v>
      </c>
      <c r="F290" s="69">
        <v>0.12346</v>
      </c>
      <c r="G290" s="70"/>
      <c r="H290" s="70"/>
      <c r="I290" s="67" t="s">
        <v>795</v>
      </c>
    </row>
    <row r="291" spans="1:9" ht="15" customHeight="1">
      <c r="A291" s="67" t="s">
        <v>86</v>
      </c>
      <c r="B291" s="67" t="s">
        <v>318</v>
      </c>
      <c r="C291" s="68">
        <v>177</v>
      </c>
      <c r="D291" s="70">
        <v>-1.5294000000000001</v>
      </c>
      <c r="E291" s="70">
        <v>19.5853</v>
      </c>
      <c r="F291" s="69">
        <v>0.12363</v>
      </c>
      <c r="G291" s="70"/>
      <c r="H291" s="70"/>
      <c r="I291" s="67" t="s">
        <v>796</v>
      </c>
    </row>
    <row r="292" spans="1:9" ht="15" customHeight="1">
      <c r="A292" s="67" t="s">
        <v>86</v>
      </c>
      <c r="B292" s="67" t="s">
        <v>318</v>
      </c>
      <c r="C292" s="68">
        <v>178</v>
      </c>
      <c r="D292" s="70">
        <v>-1.5185</v>
      </c>
      <c r="E292" s="70">
        <v>19.648599999999998</v>
      </c>
      <c r="F292" s="69">
        <v>0.12379999999999999</v>
      </c>
      <c r="G292" s="70"/>
      <c r="H292" s="70"/>
      <c r="I292" s="67" t="s">
        <v>797</v>
      </c>
    </row>
    <row r="293" spans="1:9" ht="15" customHeight="1">
      <c r="A293" s="67" t="s">
        <v>86</v>
      </c>
      <c r="B293" s="67" t="s">
        <v>318</v>
      </c>
      <c r="C293" s="68">
        <v>179</v>
      </c>
      <c r="D293" s="70">
        <v>-1.5074000000000001</v>
      </c>
      <c r="E293" s="70">
        <v>19.7117</v>
      </c>
      <c r="F293" s="69">
        <v>0.12396</v>
      </c>
      <c r="G293" s="70"/>
      <c r="H293" s="70"/>
      <c r="I293" s="67" t="s">
        <v>798</v>
      </c>
    </row>
    <row r="294" spans="1:9" ht="15" customHeight="1">
      <c r="A294" s="67" t="s">
        <v>86</v>
      </c>
      <c r="B294" s="67" t="s">
        <v>318</v>
      </c>
      <c r="C294" s="68">
        <v>180</v>
      </c>
      <c r="D294" s="70">
        <v>-1.4961</v>
      </c>
      <c r="E294" s="70">
        <v>19.7744</v>
      </c>
      <c r="F294" s="69">
        <v>0.12411999999999999</v>
      </c>
      <c r="G294" s="70"/>
      <c r="H294" s="70"/>
      <c r="I294" s="67" t="s">
        <v>799</v>
      </c>
    </row>
    <row r="295" spans="1:9" ht="15" customHeight="1">
      <c r="A295" s="67" t="s">
        <v>86</v>
      </c>
      <c r="B295" s="67" t="s">
        <v>318</v>
      </c>
      <c r="C295" s="68">
        <v>181</v>
      </c>
      <c r="D295" s="70">
        <v>-1.4847999999999999</v>
      </c>
      <c r="E295" s="70">
        <v>19.8367</v>
      </c>
      <c r="F295" s="69">
        <v>0.12428</v>
      </c>
      <c r="G295" s="70"/>
      <c r="H295" s="70"/>
      <c r="I295" s="67" t="s">
        <v>800</v>
      </c>
    </row>
    <row r="296" spans="1:9" ht="15" customHeight="1">
      <c r="A296" s="67" t="s">
        <v>86</v>
      </c>
      <c r="B296" s="67" t="s">
        <v>318</v>
      </c>
      <c r="C296" s="68">
        <v>182</v>
      </c>
      <c r="D296" s="70">
        <v>-1.4733000000000001</v>
      </c>
      <c r="E296" s="70">
        <v>19.898700000000002</v>
      </c>
      <c r="F296" s="69">
        <v>0.12443</v>
      </c>
      <c r="G296" s="70"/>
      <c r="H296" s="70"/>
      <c r="I296" s="67" t="s">
        <v>801</v>
      </c>
    </row>
    <row r="297" spans="1:9" ht="15" customHeight="1">
      <c r="A297" s="67" t="s">
        <v>86</v>
      </c>
      <c r="B297" s="67" t="s">
        <v>318</v>
      </c>
      <c r="C297" s="68">
        <v>183</v>
      </c>
      <c r="D297" s="70">
        <v>-1.4617</v>
      </c>
      <c r="E297" s="70">
        <v>19.9603</v>
      </c>
      <c r="F297" s="69">
        <v>0.12458</v>
      </c>
      <c r="G297" s="70"/>
      <c r="H297" s="70"/>
      <c r="I297" s="67" t="s">
        <v>802</v>
      </c>
    </row>
    <row r="298" spans="1:9" ht="15" customHeight="1">
      <c r="A298" s="67" t="s">
        <v>86</v>
      </c>
      <c r="B298" s="67" t="s">
        <v>318</v>
      </c>
      <c r="C298" s="68">
        <v>184</v>
      </c>
      <c r="D298" s="70">
        <v>-1.45</v>
      </c>
      <c r="E298" s="70">
        <v>20.0215</v>
      </c>
      <c r="F298" s="69">
        <v>0.12472999999999999</v>
      </c>
      <c r="G298" s="70"/>
      <c r="H298" s="70"/>
      <c r="I298" s="67" t="s">
        <v>803</v>
      </c>
    </row>
    <row r="299" spans="1:9" ht="15" customHeight="1">
      <c r="A299" s="67" t="s">
        <v>86</v>
      </c>
      <c r="B299" s="67" t="s">
        <v>318</v>
      </c>
      <c r="C299" s="68">
        <v>185</v>
      </c>
      <c r="D299" s="70">
        <v>-1.4381999999999999</v>
      </c>
      <c r="E299" s="70">
        <v>20.0823</v>
      </c>
      <c r="F299" s="69">
        <v>0.12486999999999999</v>
      </c>
      <c r="G299" s="70"/>
      <c r="H299" s="70"/>
      <c r="I299" s="67" t="s">
        <v>804</v>
      </c>
    </row>
    <row r="300" spans="1:9" ht="15" customHeight="1">
      <c r="A300" s="67" t="s">
        <v>86</v>
      </c>
      <c r="B300" s="67" t="s">
        <v>318</v>
      </c>
      <c r="C300" s="68">
        <v>186</v>
      </c>
      <c r="D300" s="70">
        <v>-1.4262999999999999</v>
      </c>
      <c r="E300" s="70">
        <v>20.142700000000001</v>
      </c>
      <c r="F300" s="69">
        <v>0.12501000000000001</v>
      </c>
      <c r="G300" s="70"/>
      <c r="H300" s="70"/>
      <c r="I300" s="67" t="s">
        <v>805</v>
      </c>
    </row>
    <row r="301" spans="1:9" ht="15" customHeight="1">
      <c r="A301" s="67" t="s">
        <v>86</v>
      </c>
      <c r="B301" s="67" t="s">
        <v>318</v>
      </c>
      <c r="C301" s="68">
        <v>187</v>
      </c>
      <c r="D301" s="70">
        <v>-1.4142999999999999</v>
      </c>
      <c r="E301" s="70">
        <v>20.2026</v>
      </c>
      <c r="F301" s="69">
        <v>0.12514</v>
      </c>
      <c r="G301" s="70"/>
      <c r="H301" s="70"/>
      <c r="I301" s="67" t="s">
        <v>806</v>
      </c>
    </row>
    <row r="302" spans="1:9" ht="15" customHeight="1">
      <c r="A302" s="67" t="s">
        <v>86</v>
      </c>
      <c r="B302" s="67" t="s">
        <v>318</v>
      </c>
      <c r="C302" s="68">
        <v>188</v>
      </c>
      <c r="D302" s="70">
        <v>-1.4021999999999999</v>
      </c>
      <c r="E302" s="70">
        <v>20.2621</v>
      </c>
      <c r="F302" s="69">
        <v>0.12528</v>
      </c>
      <c r="G302" s="70"/>
      <c r="H302" s="70"/>
      <c r="I302" s="67" t="s">
        <v>807</v>
      </c>
    </row>
    <row r="303" spans="1:9" ht="15" customHeight="1">
      <c r="A303" s="67" t="s">
        <v>86</v>
      </c>
      <c r="B303" s="67" t="s">
        <v>318</v>
      </c>
      <c r="C303" s="68">
        <v>189</v>
      </c>
      <c r="D303" s="70">
        <v>-1.39</v>
      </c>
      <c r="E303" s="70">
        <v>20.321100000000001</v>
      </c>
      <c r="F303" s="69">
        <v>0.12540999999999999</v>
      </c>
      <c r="G303" s="70"/>
      <c r="H303" s="70"/>
      <c r="I303" s="67" t="s">
        <v>808</v>
      </c>
    </row>
    <row r="304" spans="1:9" ht="15" customHeight="1">
      <c r="A304" s="67" t="s">
        <v>86</v>
      </c>
      <c r="B304" s="67" t="s">
        <v>318</v>
      </c>
      <c r="C304" s="68">
        <v>190</v>
      </c>
      <c r="D304" s="70">
        <v>-1.3776999999999999</v>
      </c>
      <c r="E304" s="70">
        <v>20.3796</v>
      </c>
      <c r="F304" s="69">
        <v>0.12554000000000001</v>
      </c>
      <c r="G304" s="70"/>
      <c r="H304" s="70"/>
      <c r="I304" s="67" t="s">
        <v>809</v>
      </c>
    </row>
    <row r="305" spans="1:9" ht="15" customHeight="1">
      <c r="A305" s="67" t="s">
        <v>86</v>
      </c>
      <c r="B305" s="67" t="s">
        <v>318</v>
      </c>
      <c r="C305" s="68">
        <v>191</v>
      </c>
      <c r="D305" s="70">
        <v>-1.3653</v>
      </c>
      <c r="E305" s="70">
        <v>20.4376</v>
      </c>
      <c r="F305" s="69">
        <v>0.12567</v>
      </c>
      <c r="G305" s="70"/>
      <c r="H305" s="70"/>
      <c r="I305" s="67" t="s">
        <v>810</v>
      </c>
    </row>
    <row r="306" spans="1:9" ht="15" customHeight="1">
      <c r="A306" s="67" t="s">
        <v>86</v>
      </c>
      <c r="B306" s="67" t="s">
        <v>318</v>
      </c>
      <c r="C306" s="68">
        <v>192</v>
      </c>
      <c r="D306" s="70">
        <v>-1.3529</v>
      </c>
      <c r="E306" s="70">
        <v>20.495100000000001</v>
      </c>
      <c r="F306" s="69">
        <v>0.12579000000000001</v>
      </c>
      <c r="G306" s="70"/>
      <c r="H306" s="70"/>
      <c r="I306" s="67" t="s">
        <v>811</v>
      </c>
    </row>
    <row r="307" spans="1:9" ht="15" customHeight="1">
      <c r="A307" s="67" t="s">
        <v>86</v>
      </c>
      <c r="B307" s="67" t="s">
        <v>318</v>
      </c>
      <c r="C307" s="68">
        <v>193</v>
      </c>
      <c r="D307" s="70">
        <v>-1.3403</v>
      </c>
      <c r="E307" s="70">
        <v>20.552099999999999</v>
      </c>
      <c r="F307" s="69">
        <v>0.12590999999999999</v>
      </c>
      <c r="G307" s="70"/>
      <c r="H307" s="70"/>
      <c r="I307" s="67" t="s">
        <v>812</v>
      </c>
    </row>
    <row r="308" spans="1:9" ht="15" customHeight="1">
      <c r="A308" s="67" t="s">
        <v>86</v>
      </c>
      <c r="B308" s="67" t="s">
        <v>318</v>
      </c>
      <c r="C308" s="68">
        <v>194</v>
      </c>
      <c r="D308" s="70">
        <v>-1.3277000000000001</v>
      </c>
      <c r="E308" s="70">
        <v>20.608499999999999</v>
      </c>
      <c r="F308" s="69">
        <v>0.12603</v>
      </c>
      <c r="G308" s="70"/>
      <c r="H308" s="70"/>
      <c r="I308" s="67" t="s">
        <v>813</v>
      </c>
    </row>
    <row r="309" spans="1:9" ht="15" customHeight="1">
      <c r="A309" s="67" t="s">
        <v>86</v>
      </c>
      <c r="B309" s="67" t="s">
        <v>318</v>
      </c>
      <c r="C309" s="68">
        <v>195</v>
      </c>
      <c r="D309" s="70">
        <v>-1.3149</v>
      </c>
      <c r="E309" s="70">
        <v>20.664400000000001</v>
      </c>
      <c r="F309" s="69">
        <v>0.12615000000000001</v>
      </c>
      <c r="G309" s="70"/>
      <c r="H309" s="70"/>
      <c r="I309" s="67" t="s">
        <v>814</v>
      </c>
    </row>
    <row r="310" spans="1:9" ht="15" customHeight="1">
      <c r="A310" s="67" t="s">
        <v>86</v>
      </c>
      <c r="B310" s="67" t="s">
        <v>318</v>
      </c>
      <c r="C310" s="68">
        <v>196</v>
      </c>
      <c r="D310" s="70">
        <v>-1.3021</v>
      </c>
      <c r="E310" s="70">
        <v>20.7197</v>
      </c>
      <c r="F310" s="69">
        <v>0.12626999999999999</v>
      </c>
      <c r="G310" s="70"/>
      <c r="H310" s="70"/>
      <c r="I310" s="67" t="s">
        <v>815</v>
      </c>
    </row>
    <row r="311" spans="1:9" ht="15" customHeight="1">
      <c r="A311" s="67" t="s">
        <v>86</v>
      </c>
      <c r="B311" s="67" t="s">
        <v>318</v>
      </c>
      <c r="C311" s="68">
        <v>197</v>
      </c>
      <c r="D311" s="70">
        <v>-1.2891999999999999</v>
      </c>
      <c r="E311" s="70">
        <v>20.7745</v>
      </c>
      <c r="F311" s="69">
        <v>0.12637999999999999</v>
      </c>
      <c r="G311" s="70"/>
      <c r="H311" s="70"/>
      <c r="I311" s="67" t="s">
        <v>816</v>
      </c>
    </row>
    <row r="312" spans="1:9" ht="15" customHeight="1">
      <c r="A312" s="67" t="s">
        <v>86</v>
      </c>
      <c r="B312" s="67" t="s">
        <v>318</v>
      </c>
      <c r="C312" s="68">
        <v>198</v>
      </c>
      <c r="D312" s="70">
        <v>-1.2762</v>
      </c>
      <c r="E312" s="70">
        <v>20.828700000000001</v>
      </c>
      <c r="F312" s="69">
        <v>0.1265</v>
      </c>
      <c r="G312" s="70"/>
      <c r="H312" s="70"/>
      <c r="I312" s="67" t="s">
        <v>817</v>
      </c>
    </row>
    <row r="313" spans="1:9" ht="15" customHeight="1">
      <c r="A313" s="67" t="s">
        <v>86</v>
      </c>
      <c r="B313" s="67" t="s">
        <v>318</v>
      </c>
      <c r="C313" s="68">
        <v>199</v>
      </c>
      <c r="D313" s="70">
        <v>-1.2630999999999999</v>
      </c>
      <c r="E313" s="70">
        <v>20.882400000000001</v>
      </c>
      <c r="F313" s="69">
        <v>0.12661</v>
      </c>
      <c r="G313" s="70"/>
      <c r="H313" s="70"/>
      <c r="I313" s="67" t="s">
        <v>818</v>
      </c>
    </row>
    <row r="314" spans="1:9" ht="15" customHeight="1">
      <c r="A314" s="67" t="s">
        <v>86</v>
      </c>
      <c r="B314" s="67" t="s">
        <v>318</v>
      </c>
      <c r="C314" s="68">
        <v>200</v>
      </c>
      <c r="D314" s="70">
        <v>-1.2499</v>
      </c>
      <c r="E314" s="70">
        <v>20.935500000000001</v>
      </c>
      <c r="F314" s="69">
        <v>0.12672</v>
      </c>
      <c r="G314" s="70"/>
      <c r="H314" s="70"/>
      <c r="I314" s="67" t="s">
        <v>819</v>
      </c>
    </row>
    <row r="315" spans="1:9" ht="15" customHeight="1">
      <c r="A315" s="67" t="s">
        <v>86</v>
      </c>
      <c r="B315" s="67" t="s">
        <v>318</v>
      </c>
      <c r="C315" s="68">
        <v>201</v>
      </c>
      <c r="D315" s="70">
        <v>-1.2365999999999999</v>
      </c>
      <c r="E315" s="70">
        <v>20.988099999999999</v>
      </c>
      <c r="F315" s="69">
        <v>0.12683</v>
      </c>
      <c r="G315" s="70"/>
      <c r="H315" s="70"/>
      <c r="I315" s="67" t="s">
        <v>820</v>
      </c>
    </row>
    <row r="316" spans="1:9" ht="15" customHeight="1">
      <c r="A316" s="67" t="s">
        <v>86</v>
      </c>
      <c r="B316" s="67" t="s">
        <v>318</v>
      </c>
      <c r="C316" s="68">
        <v>202</v>
      </c>
      <c r="D316" s="70">
        <v>-1.2233000000000001</v>
      </c>
      <c r="E316" s="70">
        <v>21.04</v>
      </c>
      <c r="F316" s="69">
        <v>0.12694</v>
      </c>
      <c r="G316" s="70"/>
      <c r="H316" s="70"/>
      <c r="I316" s="67" t="s">
        <v>821</v>
      </c>
    </row>
    <row r="317" spans="1:9" ht="15" customHeight="1">
      <c r="A317" s="67" t="s">
        <v>86</v>
      </c>
      <c r="B317" s="67" t="s">
        <v>318</v>
      </c>
      <c r="C317" s="68">
        <v>203</v>
      </c>
      <c r="D317" s="70">
        <v>-1.2098</v>
      </c>
      <c r="E317" s="70">
        <v>21.0914</v>
      </c>
      <c r="F317" s="69">
        <v>0.12703999999999999</v>
      </c>
      <c r="G317" s="70"/>
      <c r="H317" s="70"/>
      <c r="I317" s="67" t="s">
        <v>822</v>
      </c>
    </row>
    <row r="318" spans="1:9" ht="15" customHeight="1">
      <c r="A318" s="67" t="s">
        <v>86</v>
      </c>
      <c r="B318" s="67" t="s">
        <v>318</v>
      </c>
      <c r="C318" s="68">
        <v>204</v>
      </c>
      <c r="D318" s="70">
        <v>-1.1961999999999999</v>
      </c>
      <c r="E318" s="70">
        <v>21.142299999999999</v>
      </c>
      <c r="F318" s="69">
        <v>0.12715000000000001</v>
      </c>
      <c r="G318" s="70"/>
      <c r="H318" s="70"/>
      <c r="I318" s="67" t="s">
        <v>823</v>
      </c>
    </row>
    <row r="319" spans="1:9" ht="15" customHeight="1">
      <c r="A319" s="67" t="s">
        <v>86</v>
      </c>
      <c r="B319" s="67" t="s">
        <v>318</v>
      </c>
      <c r="C319" s="68">
        <v>205</v>
      </c>
      <c r="D319" s="70">
        <v>-1.1826000000000001</v>
      </c>
      <c r="E319" s="70">
        <v>21.192499999999999</v>
      </c>
      <c r="F319" s="69">
        <v>0.12726000000000001</v>
      </c>
      <c r="G319" s="70"/>
      <c r="H319" s="70"/>
      <c r="I319" s="67" t="s">
        <v>824</v>
      </c>
    </row>
    <row r="320" spans="1:9" ht="15" customHeight="1">
      <c r="A320" s="67" t="s">
        <v>86</v>
      </c>
      <c r="B320" s="67" t="s">
        <v>318</v>
      </c>
      <c r="C320" s="68">
        <v>206</v>
      </c>
      <c r="D320" s="70">
        <v>-1.1688000000000001</v>
      </c>
      <c r="E320" s="70">
        <v>21.2423</v>
      </c>
      <c r="F320" s="69">
        <v>0.12736</v>
      </c>
      <c r="G320" s="70"/>
      <c r="H320" s="70"/>
      <c r="I320" s="67" t="s">
        <v>825</v>
      </c>
    </row>
    <row r="321" spans="1:9" ht="15" customHeight="1">
      <c r="A321" s="67" t="s">
        <v>86</v>
      </c>
      <c r="B321" s="67" t="s">
        <v>318</v>
      </c>
      <c r="C321" s="68">
        <v>207</v>
      </c>
      <c r="D321" s="70">
        <v>-1.155</v>
      </c>
      <c r="E321" s="70">
        <v>21.291399999999999</v>
      </c>
      <c r="F321" s="69">
        <v>0.12745999999999999</v>
      </c>
      <c r="G321" s="70"/>
      <c r="H321" s="70"/>
      <c r="I321" s="67" t="s">
        <v>826</v>
      </c>
    </row>
    <row r="322" spans="1:9" ht="15" customHeight="1">
      <c r="A322" s="67" t="s">
        <v>86</v>
      </c>
      <c r="B322" s="67" t="s">
        <v>318</v>
      </c>
      <c r="C322" s="68">
        <v>208</v>
      </c>
      <c r="D322" s="70">
        <v>-1.141</v>
      </c>
      <c r="E322" s="70">
        <v>21.34</v>
      </c>
      <c r="F322" s="69">
        <v>0.12756000000000001</v>
      </c>
      <c r="G322" s="70"/>
      <c r="H322" s="70"/>
      <c r="I322" s="67" t="s">
        <v>827</v>
      </c>
    </row>
    <row r="323" spans="1:9" ht="15" customHeight="1">
      <c r="A323" s="67" t="s">
        <v>86</v>
      </c>
      <c r="B323" s="67" t="s">
        <v>318</v>
      </c>
      <c r="C323" s="68">
        <v>209</v>
      </c>
      <c r="D323" s="70">
        <v>-1.127</v>
      </c>
      <c r="E323" s="70">
        <v>21.388000000000002</v>
      </c>
      <c r="F323" s="69">
        <v>0.12767000000000001</v>
      </c>
      <c r="G323" s="70"/>
      <c r="H323" s="70"/>
      <c r="I323" s="67" t="s">
        <v>828</v>
      </c>
    </row>
    <row r="324" spans="1:9" ht="15" customHeight="1">
      <c r="A324" s="67" t="s">
        <v>86</v>
      </c>
      <c r="B324" s="67" t="s">
        <v>318</v>
      </c>
      <c r="C324" s="68">
        <v>210</v>
      </c>
      <c r="D324" s="70">
        <v>-1.1129</v>
      </c>
      <c r="E324" s="70">
        <v>21.435400000000001</v>
      </c>
      <c r="F324" s="69">
        <v>0.12776999999999999</v>
      </c>
      <c r="G324" s="70"/>
      <c r="H324" s="70"/>
      <c r="I324" s="67" t="s">
        <v>829</v>
      </c>
    </row>
    <row r="325" spans="1:9" ht="15" customHeight="1">
      <c r="A325" s="67" t="s">
        <v>86</v>
      </c>
      <c r="B325" s="67" t="s">
        <v>318</v>
      </c>
      <c r="C325" s="68">
        <v>211</v>
      </c>
      <c r="D325" s="70">
        <v>-1.0986</v>
      </c>
      <c r="E325" s="70">
        <v>21.482199999999999</v>
      </c>
      <c r="F325" s="69">
        <v>0.12787000000000001</v>
      </c>
      <c r="G325" s="70"/>
      <c r="H325" s="70"/>
      <c r="I325" s="67" t="s">
        <v>830</v>
      </c>
    </row>
    <row r="326" spans="1:9" ht="15" customHeight="1">
      <c r="A326" s="67" t="s">
        <v>86</v>
      </c>
      <c r="B326" s="67" t="s">
        <v>318</v>
      </c>
      <c r="C326" s="68">
        <v>212</v>
      </c>
      <c r="D326" s="70">
        <v>-1.0843</v>
      </c>
      <c r="E326" s="70">
        <v>21.528500000000001</v>
      </c>
      <c r="F326" s="69">
        <v>0.12797</v>
      </c>
      <c r="G326" s="70"/>
      <c r="H326" s="70"/>
      <c r="I326" s="67" t="s">
        <v>831</v>
      </c>
    </row>
    <row r="327" spans="1:9" ht="15" customHeight="1">
      <c r="A327" s="67" t="s">
        <v>86</v>
      </c>
      <c r="B327" s="67" t="s">
        <v>318</v>
      </c>
      <c r="C327" s="68">
        <v>213</v>
      </c>
      <c r="D327" s="70">
        <v>-1.0699000000000001</v>
      </c>
      <c r="E327" s="70">
        <v>21.574200000000001</v>
      </c>
      <c r="F327" s="69">
        <v>0.12806999999999999</v>
      </c>
      <c r="G327" s="70"/>
      <c r="H327" s="70"/>
      <c r="I327" s="67" t="s">
        <v>832</v>
      </c>
    </row>
    <row r="328" spans="1:9" ht="15" customHeight="1">
      <c r="A328" s="67" t="s">
        <v>86</v>
      </c>
      <c r="B328" s="67" t="s">
        <v>318</v>
      </c>
      <c r="C328" s="68">
        <v>214</v>
      </c>
      <c r="D328" s="70">
        <v>-1.0552999999999999</v>
      </c>
      <c r="E328" s="70">
        <v>21.619299999999999</v>
      </c>
      <c r="F328" s="69">
        <v>0.12816</v>
      </c>
      <c r="G328" s="70"/>
      <c r="H328" s="70"/>
      <c r="I328" s="67" t="s">
        <v>833</v>
      </c>
    </row>
    <row r="329" spans="1:9" ht="15" customHeight="1">
      <c r="A329" s="67" t="s">
        <v>86</v>
      </c>
      <c r="B329" s="67" t="s">
        <v>318</v>
      </c>
      <c r="C329" s="68">
        <v>215</v>
      </c>
      <c r="D329" s="70">
        <v>-1.0407</v>
      </c>
      <c r="E329" s="70">
        <v>21.663799999999998</v>
      </c>
      <c r="F329" s="69">
        <v>0.12826000000000001</v>
      </c>
      <c r="G329" s="70"/>
      <c r="H329" s="70"/>
      <c r="I329" s="67" t="s">
        <v>834</v>
      </c>
    </row>
    <row r="330" spans="1:9" ht="15" customHeight="1">
      <c r="A330" s="67" t="s">
        <v>86</v>
      </c>
      <c r="B330" s="67" t="s">
        <v>318</v>
      </c>
      <c r="C330" s="68">
        <v>216</v>
      </c>
      <c r="D330" s="70">
        <v>-1.026</v>
      </c>
      <c r="E330" s="70">
        <v>21.707699999999999</v>
      </c>
      <c r="F330" s="69">
        <v>0.12836</v>
      </c>
      <c r="G330" s="70"/>
      <c r="H330" s="70"/>
      <c r="I330" s="67" t="s">
        <v>835</v>
      </c>
    </row>
    <row r="331" spans="1:9" ht="15" customHeight="1">
      <c r="A331" s="67" t="s">
        <v>86</v>
      </c>
      <c r="B331" s="67" t="s">
        <v>318</v>
      </c>
      <c r="C331" s="68">
        <v>217</v>
      </c>
      <c r="D331" s="70">
        <v>-1.0112000000000001</v>
      </c>
      <c r="E331" s="70">
        <v>21.751000000000001</v>
      </c>
      <c r="F331" s="69">
        <v>0.12845000000000001</v>
      </c>
      <c r="G331" s="70"/>
      <c r="H331" s="70"/>
      <c r="I331" s="67" t="s">
        <v>836</v>
      </c>
    </row>
    <row r="332" spans="1:9" ht="15" customHeight="1">
      <c r="A332" s="67" t="s">
        <v>86</v>
      </c>
      <c r="B332" s="67" t="s">
        <v>318</v>
      </c>
      <c r="C332" s="68">
        <v>218</v>
      </c>
      <c r="D332" s="69">
        <v>-0.99619999999999997</v>
      </c>
      <c r="E332" s="70">
        <v>21.793700000000001</v>
      </c>
      <c r="F332" s="69">
        <v>0.12855</v>
      </c>
      <c r="G332" s="70"/>
      <c r="H332" s="70"/>
      <c r="I332" s="67" t="s">
        <v>837</v>
      </c>
    </row>
    <row r="333" spans="1:9" ht="15" customHeight="1">
      <c r="A333" s="67" t="s">
        <v>86</v>
      </c>
      <c r="B333" s="67" t="s">
        <v>318</v>
      </c>
      <c r="C333" s="68">
        <v>219</v>
      </c>
      <c r="D333" s="69">
        <v>-0.98119999999999996</v>
      </c>
      <c r="E333" s="70">
        <v>21.835799999999999</v>
      </c>
      <c r="F333" s="69">
        <v>0.12864</v>
      </c>
      <c r="G333" s="70"/>
      <c r="H333" s="70"/>
      <c r="I333" s="67" t="s">
        <v>838</v>
      </c>
    </row>
    <row r="334" spans="1:9" ht="15" customHeight="1">
      <c r="A334" s="67" t="s">
        <v>86</v>
      </c>
      <c r="B334" s="67" t="s">
        <v>318</v>
      </c>
      <c r="C334" s="68">
        <v>220</v>
      </c>
      <c r="D334" s="69">
        <v>-0.96609999999999996</v>
      </c>
      <c r="E334" s="70">
        <v>21.877300000000002</v>
      </c>
      <c r="F334" s="69">
        <v>0.12873999999999999</v>
      </c>
      <c r="G334" s="70"/>
      <c r="H334" s="70"/>
      <c r="I334" s="67" t="s">
        <v>839</v>
      </c>
    </row>
    <row r="335" spans="1:9" ht="15" customHeight="1">
      <c r="A335" s="67" t="s">
        <v>86</v>
      </c>
      <c r="B335" s="67" t="s">
        <v>318</v>
      </c>
      <c r="C335" s="68">
        <v>221</v>
      </c>
      <c r="D335" s="69">
        <v>-0.95089999999999997</v>
      </c>
      <c r="E335" s="70">
        <v>21.918199999999999</v>
      </c>
      <c r="F335" s="69">
        <v>0.12883</v>
      </c>
      <c r="G335" s="70"/>
      <c r="H335" s="70"/>
      <c r="I335" s="67" t="s">
        <v>840</v>
      </c>
    </row>
    <row r="336" spans="1:9" ht="15" customHeight="1">
      <c r="A336" s="67" t="s">
        <v>86</v>
      </c>
      <c r="B336" s="67" t="s">
        <v>318</v>
      </c>
      <c r="C336" s="68">
        <v>222</v>
      </c>
      <c r="D336" s="69">
        <v>-0.93559999999999999</v>
      </c>
      <c r="E336" s="70">
        <v>21.958500000000001</v>
      </c>
      <c r="F336" s="69">
        <v>0.12892999999999999</v>
      </c>
      <c r="G336" s="70"/>
      <c r="H336" s="70"/>
      <c r="I336" s="67" t="s">
        <v>841</v>
      </c>
    </row>
    <row r="337" spans="1:9" ht="15" customHeight="1">
      <c r="A337" s="67" t="s">
        <v>86</v>
      </c>
      <c r="B337" s="67" t="s">
        <v>318</v>
      </c>
      <c r="C337" s="68">
        <v>223</v>
      </c>
      <c r="D337" s="69">
        <v>-0.92020000000000002</v>
      </c>
      <c r="E337" s="70">
        <v>21.998200000000001</v>
      </c>
      <c r="F337" s="69">
        <v>0.12902</v>
      </c>
      <c r="G337" s="70"/>
      <c r="H337" s="70"/>
      <c r="I337" s="67" t="s">
        <v>842</v>
      </c>
    </row>
    <row r="338" spans="1:9" ht="15" customHeight="1">
      <c r="A338" s="67" t="s">
        <v>86</v>
      </c>
      <c r="B338" s="67" t="s">
        <v>318</v>
      </c>
      <c r="C338" s="68">
        <v>224</v>
      </c>
      <c r="D338" s="69">
        <v>-0.90480000000000005</v>
      </c>
      <c r="E338" s="70">
        <v>22.037400000000002</v>
      </c>
      <c r="F338" s="69">
        <v>0.12911</v>
      </c>
      <c r="G338" s="70"/>
      <c r="H338" s="70"/>
      <c r="I338" s="67" t="s">
        <v>843</v>
      </c>
    </row>
    <row r="339" spans="1:9" ht="15" customHeight="1">
      <c r="A339" s="67" t="s">
        <v>86</v>
      </c>
      <c r="B339" s="67" t="s">
        <v>318</v>
      </c>
      <c r="C339" s="68">
        <v>225</v>
      </c>
      <c r="D339" s="69">
        <v>-0.88919999999999999</v>
      </c>
      <c r="E339" s="70">
        <v>22.076000000000001</v>
      </c>
      <c r="F339" s="69">
        <v>0.12920000000000001</v>
      </c>
      <c r="G339" s="70"/>
      <c r="H339" s="70"/>
      <c r="I339" s="67" t="s">
        <v>844</v>
      </c>
    </row>
    <row r="340" spans="1:9" ht="15" customHeight="1">
      <c r="A340" s="67" t="s">
        <v>86</v>
      </c>
      <c r="B340" s="67" t="s">
        <v>318</v>
      </c>
      <c r="C340" s="68">
        <v>226</v>
      </c>
      <c r="D340" s="69">
        <v>-0.87350000000000005</v>
      </c>
      <c r="E340" s="70">
        <v>22.114000000000001</v>
      </c>
      <c r="F340" s="69">
        <v>0.1293</v>
      </c>
      <c r="G340" s="70"/>
      <c r="H340" s="70"/>
      <c r="I340" s="67" t="s">
        <v>845</v>
      </c>
    </row>
    <row r="341" spans="1:9" ht="15" customHeight="1">
      <c r="A341" s="67" t="s">
        <v>86</v>
      </c>
      <c r="B341" s="67" t="s">
        <v>318</v>
      </c>
      <c r="C341" s="68">
        <v>227</v>
      </c>
      <c r="D341" s="69">
        <v>-0.85780000000000001</v>
      </c>
      <c r="E341" s="70">
        <v>22.151399999999999</v>
      </c>
      <c r="F341" s="69">
        <v>0.12939000000000001</v>
      </c>
      <c r="G341" s="70"/>
      <c r="H341" s="70"/>
      <c r="I341" s="67" t="s">
        <v>846</v>
      </c>
    </row>
    <row r="342" spans="1:9" ht="15" customHeight="1">
      <c r="A342" s="67" t="s">
        <v>86</v>
      </c>
      <c r="B342" s="67" t="s">
        <v>318</v>
      </c>
      <c r="C342" s="68">
        <v>228</v>
      </c>
      <c r="D342" s="69">
        <v>-0.84189999999999998</v>
      </c>
      <c r="E342" s="70">
        <v>22.188300000000002</v>
      </c>
      <c r="F342" s="69">
        <v>0.12948000000000001</v>
      </c>
      <c r="G342" s="70"/>
      <c r="H342" s="70"/>
      <c r="I342" s="67" t="s">
        <v>847</v>
      </c>
    </row>
    <row r="343" spans="1:9" ht="15" customHeight="1">
      <c r="A343" s="67" t="s">
        <v>848</v>
      </c>
      <c r="B343" s="67" t="s">
        <v>365</v>
      </c>
      <c r="C343" s="68">
        <v>0</v>
      </c>
      <c r="D343" s="69">
        <v>0.38090000000000002</v>
      </c>
      <c r="E343" s="70">
        <v>3.2322000000000002</v>
      </c>
      <c r="F343" s="69">
        <v>0.14171</v>
      </c>
      <c r="G343" s="70"/>
      <c r="H343" s="70"/>
      <c r="I343" s="67" t="s">
        <v>849</v>
      </c>
    </row>
    <row r="344" spans="1:9" ht="15" customHeight="1">
      <c r="A344" s="67" t="s">
        <v>848</v>
      </c>
      <c r="B344" s="67" t="s">
        <v>365</v>
      </c>
      <c r="C344" s="68">
        <v>1</v>
      </c>
      <c r="D344" s="69">
        <v>0.1714</v>
      </c>
      <c r="E344" s="70">
        <v>4.1872999999999996</v>
      </c>
      <c r="F344" s="69">
        <v>0.13724</v>
      </c>
      <c r="G344" s="70"/>
      <c r="H344" s="70"/>
      <c r="I344" s="67" t="s">
        <v>850</v>
      </c>
    </row>
    <row r="345" spans="1:9" ht="15" customHeight="1">
      <c r="A345" s="67" t="s">
        <v>848</v>
      </c>
      <c r="B345" s="67" t="s">
        <v>365</v>
      </c>
      <c r="C345" s="68">
        <v>2</v>
      </c>
      <c r="D345" s="69">
        <v>9.6199999999999994E-2</v>
      </c>
      <c r="E345" s="70">
        <v>5.1281999999999996</v>
      </c>
      <c r="F345" s="69">
        <v>0.13</v>
      </c>
      <c r="G345" s="70"/>
      <c r="H345" s="70"/>
      <c r="I345" s="67" t="s">
        <v>851</v>
      </c>
    </row>
    <row r="346" spans="1:9" ht="15" customHeight="1">
      <c r="A346" s="67" t="s">
        <v>848</v>
      </c>
      <c r="B346" s="67" t="s">
        <v>365</v>
      </c>
      <c r="C346" s="68">
        <v>3</v>
      </c>
      <c r="D346" s="69">
        <v>4.02E-2</v>
      </c>
      <c r="E346" s="70">
        <v>5.8457999999999997</v>
      </c>
      <c r="F346" s="69">
        <v>0.12619</v>
      </c>
      <c r="G346" s="70"/>
      <c r="H346" s="70"/>
      <c r="I346" s="67" t="s">
        <v>852</v>
      </c>
    </row>
    <row r="347" spans="1:9" ht="15" customHeight="1">
      <c r="A347" s="67" t="s">
        <v>848</v>
      </c>
      <c r="B347" s="67" t="s">
        <v>365</v>
      </c>
      <c r="C347" s="68">
        <v>4</v>
      </c>
      <c r="D347" s="69">
        <v>-5.0000000000000001E-3</v>
      </c>
      <c r="E347" s="70">
        <v>6.4237000000000002</v>
      </c>
      <c r="F347" s="69">
        <v>0.12402000000000001</v>
      </c>
      <c r="G347" s="70"/>
      <c r="H347" s="70"/>
      <c r="I347" s="67" t="s">
        <v>853</v>
      </c>
    </row>
    <row r="348" spans="1:9" ht="15" customHeight="1">
      <c r="A348" s="67" t="s">
        <v>848</v>
      </c>
      <c r="B348" s="67" t="s">
        <v>365</v>
      </c>
      <c r="C348" s="68">
        <v>5</v>
      </c>
      <c r="D348" s="69">
        <v>-4.2999999999999997E-2</v>
      </c>
      <c r="E348" s="70">
        <v>6.8985000000000003</v>
      </c>
      <c r="F348" s="69">
        <v>0.12274</v>
      </c>
      <c r="G348" s="70"/>
      <c r="H348" s="70"/>
      <c r="I348" s="67" t="s">
        <v>854</v>
      </c>
    </row>
    <row r="349" spans="1:9" ht="15" customHeight="1">
      <c r="A349" s="67" t="s">
        <v>848</v>
      </c>
      <c r="B349" s="67" t="s">
        <v>365</v>
      </c>
      <c r="C349" s="68">
        <v>6</v>
      </c>
      <c r="D349" s="69">
        <v>-7.5600000000000001E-2</v>
      </c>
      <c r="E349" s="70">
        <v>7.2969999999999997</v>
      </c>
      <c r="F349" s="69">
        <v>0.12204</v>
      </c>
      <c r="G349" s="70"/>
      <c r="H349" s="70"/>
      <c r="I349" s="67" t="s">
        <v>855</v>
      </c>
    </row>
    <row r="350" spans="1:9" ht="15" customHeight="1">
      <c r="A350" s="67" t="s">
        <v>848</v>
      </c>
      <c r="B350" s="67" t="s">
        <v>365</v>
      </c>
      <c r="C350" s="68">
        <v>7</v>
      </c>
      <c r="D350" s="69">
        <v>-0.10390000000000001</v>
      </c>
      <c r="E350" s="70">
        <v>7.6421999999999999</v>
      </c>
      <c r="F350" s="69">
        <v>0.12178</v>
      </c>
      <c r="G350" s="70"/>
      <c r="H350" s="70"/>
      <c r="I350" s="67" t="s">
        <v>856</v>
      </c>
    </row>
    <row r="351" spans="1:9" ht="15" customHeight="1">
      <c r="A351" s="67" t="s">
        <v>848</v>
      </c>
      <c r="B351" s="67" t="s">
        <v>365</v>
      </c>
      <c r="C351" s="68">
        <v>8</v>
      </c>
      <c r="D351" s="69">
        <v>-0.1288</v>
      </c>
      <c r="E351" s="70">
        <v>7.9486999999999997</v>
      </c>
      <c r="F351" s="69">
        <v>0.12181</v>
      </c>
      <c r="G351" s="70"/>
      <c r="H351" s="70"/>
      <c r="I351" s="67" t="s">
        <v>857</v>
      </c>
    </row>
    <row r="352" spans="1:9" ht="15" customHeight="1">
      <c r="A352" s="67" t="s">
        <v>848</v>
      </c>
      <c r="B352" s="67" t="s">
        <v>365</v>
      </c>
      <c r="C352" s="68">
        <v>9</v>
      </c>
      <c r="D352" s="69">
        <v>-0.1507</v>
      </c>
      <c r="E352" s="70">
        <v>8.2254000000000005</v>
      </c>
      <c r="F352" s="69">
        <v>0.12199</v>
      </c>
      <c r="G352" s="70"/>
      <c r="H352" s="70"/>
      <c r="I352" s="67" t="s">
        <v>858</v>
      </c>
    </row>
    <row r="353" spans="1:9" ht="15" customHeight="1">
      <c r="A353" s="67" t="s">
        <v>848</v>
      </c>
      <c r="B353" s="67" t="s">
        <v>365</v>
      </c>
      <c r="C353" s="68">
        <v>10</v>
      </c>
      <c r="D353" s="69">
        <v>-0.17</v>
      </c>
      <c r="E353" s="70">
        <v>8.48</v>
      </c>
      <c r="F353" s="69">
        <v>0.12223000000000001</v>
      </c>
      <c r="G353" s="70"/>
      <c r="H353" s="70"/>
      <c r="I353" s="67" t="s">
        <v>859</v>
      </c>
    </row>
    <row r="354" spans="1:9" ht="15" customHeight="1">
      <c r="A354" s="67" t="s">
        <v>848</v>
      </c>
      <c r="B354" s="67" t="s">
        <v>365</v>
      </c>
      <c r="C354" s="68">
        <v>11</v>
      </c>
      <c r="D354" s="69">
        <v>-0.18720000000000001</v>
      </c>
      <c r="E354" s="70">
        <v>8.7192000000000007</v>
      </c>
      <c r="F354" s="69">
        <v>0.12247</v>
      </c>
      <c r="G354" s="70"/>
      <c r="H354" s="70"/>
      <c r="I354" s="67" t="s">
        <v>860</v>
      </c>
    </row>
    <row r="355" spans="1:9" ht="15" customHeight="1">
      <c r="A355" s="67" t="s">
        <v>848</v>
      </c>
      <c r="B355" s="67" t="s">
        <v>365</v>
      </c>
      <c r="C355" s="68">
        <v>12</v>
      </c>
      <c r="D355" s="69">
        <v>-0.2024</v>
      </c>
      <c r="E355" s="70">
        <v>8.9481000000000002</v>
      </c>
      <c r="F355" s="69">
        <v>0.12268</v>
      </c>
      <c r="G355" s="70"/>
      <c r="H355" s="70"/>
      <c r="I355" s="67" t="s">
        <v>861</v>
      </c>
    </row>
    <row r="356" spans="1:9" ht="15" customHeight="1">
      <c r="A356" s="67" t="s">
        <v>848</v>
      </c>
      <c r="B356" s="67" t="s">
        <v>318</v>
      </c>
      <c r="C356" s="68">
        <v>0</v>
      </c>
      <c r="D356" s="69">
        <v>0.34870000000000001</v>
      </c>
      <c r="E356" s="70">
        <v>3.3464</v>
      </c>
      <c r="F356" s="69">
        <v>0.14602000000000001</v>
      </c>
      <c r="G356" s="70"/>
      <c r="H356" s="70"/>
      <c r="I356" s="67" t="s">
        <v>862</v>
      </c>
    </row>
    <row r="357" spans="1:9" ht="15" customHeight="1">
      <c r="A357" s="67" t="s">
        <v>848</v>
      </c>
      <c r="B357" s="67" t="s">
        <v>318</v>
      </c>
      <c r="C357" s="68">
        <v>1</v>
      </c>
      <c r="D357" s="69">
        <v>0.22969999999999999</v>
      </c>
      <c r="E357" s="70">
        <v>4.4709000000000003</v>
      </c>
      <c r="F357" s="69">
        <v>0.13395000000000001</v>
      </c>
      <c r="G357" s="70"/>
      <c r="H357" s="70"/>
      <c r="I357" s="67" t="s">
        <v>863</v>
      </c>
    </row>
    <row r="358" spans="1:9" ht="15" customHeight="1">
      <c r="A358" s="67" t="s">
        <v>848</v>
      </c>
      <c r="B358" s="67" t="s">
        <v>318</v>
      </c>
      <c r="C358" s="68">
        <v>2</v>
      </c>
      <c r="D358" s="69">
        <v>0.19700000000000001</v>
      </c>
      <c r="E358" s="70">
        <v>5.5674999999999999</v>
      </c>
      <c r="F358" s="69">
        <v>0.12385</v>
      </c>
      <c r="G358" s="70"/>
      <c r="H358" s="70"/>
      <c r="I358" s="67" t="s">
        <v>864</v>
      </c>
    </row>
    <row r="359" spans="1:9" ht="15" customHeight="1">
      <c r="A359" s="67" t="s">
        <v>848</v>
      </c>
      <c r="B359" s="67" t="s">
        <v>318</v>
      </c>
      <c r="C359" s="68">
        <v>3</v>
      </c>
      <c r="D359" s="69">
        <v>0.17380000000000001</v>
      </c>
      <c r="E359" s="70">
        <v>6.3761999999999999</v>
      </c>
      <c r="F359" s="69">
        <v>0.11727</v>
      </c>
      <c r="G359" s="70"/>
      <c r="H359" s="70"/>
      <c r="I359" s="67" t="s">
        <v>865</v>
      </c>
    </row>
    <row r="360" spans="1:9" ht="15" customHeight="1">
      <c r="A360" s="67" t="s">
        <v>848</v>
      </c>
      <c r="B360" s="67" t="s">
        <v>318</v>
      </c>
      <c r="C360" s="68">
        <v>4</v>
      </c>
      <c r="D360" s="69">
        <v>0.15529999999999999</v>
      </c>
      <c r="E360" s="70">
        <v>7.0023</v>
      </c>
      <c r="F360" s="69">
        <v>0.11316</v>
      </c>
      <c r="G360" s="70"/>
      <c r="H360" s="70"/>
      <c r="I360" s="67" t="s">
        <v>866</v>
      </c>
    </row>
    <row r="361" spans="1:9" ht="15" customHeight="1">
      <c r="A361" s="67" t="s">
        <v>848</v>
      </c>
      <c r="B361" s="67" t="s">
        <v>318</v>
      </c>
      <c r="C361" s="68">
        <v>5</v>
      </c>
      <c r="D361" s="69">
        <v>0.13950000000000001</v>
      </c>
      <c r="E361" s="70">
        <v>7.5105000000000004</v>
      </c>
      <c r="F361" s="69">
        <v>0.1108</v>
      </c>
      <c r="G361" s="70"/>
      <c r="H361" s="70"/>
      <c r="I361" s="67" t="s">
        <v>867</v>
      </c>
    </row>
    <row r="362" spans="1:9" ht="15" customHeight="1">
      <c r="A362" s="67" t="s">
        <v>848</v>
      </c>
      <c r="B362" s="67" t="s">
        <v>318</v>
      </c>
      <c r="C362" s="68">
        <v>6</v>
      </c>
      <c r="D362" s="69">
        <v>0.12570000000000001</v>
      </c>
      <c r="E362" s="70">
        <v>7.9340000000000002</v>
      </c>
      <c r="F362" s="69">
        <v>0.10958</v>
      </c>
      <c r="G362" s="70"/>
      <c r="H362" s="70"/>
      <c r="I362" s="67" t="s">
        <v>868</v>
      </c>
    </row>
    <row r="363" spans="1:9" ht="15" customHeight="1">
      <c r="A363" s="67" t="s">
        <v>848</v>
      </c>
      <c r="B363" s="67" t="s">
        <v>318</v>
      </c>
      <c r="C363" s="68">
        <v>7</v>
      </c>
      <c r="D363" s="69">
        <v>0.1134</v>
      </c>
      <c r="E363" s="70">
        <v>8.2970000000000006</v>
      </c>
      <c r="F363" s="69">
        <v>0.10902000000000001</v>
      </c>
      <c r="G363" s="70"/>
      <c r="H363" s="70"/>
      <c r="I363" s="67" t="s">
        <v>869</v>
      </c>
    </row>
    <row r="364" spans="1:9" ht="15" customHeight="1">
      <c r="A364" s="67" t="s">
        <v>848</v>
      </c>
      <c r="B364" s="67" t="s">
        <v>318</v>
      </c>
      <c r="C364" s="68">
        <v>8</v>
      </c>
      <c r="D364" s="69">
        <v>0.1021</v>
      </c>
      <c r="E364" s="70">
        <v>8.6151</v>
      </c>
      <c r="F364" s="69">
        <v>0.10882</v>
      </c>
      <c r="G364" s="70"/>
      <c r="H364" s="70"/>
      <c r="I364" s="67" t="s">
        <v>870</v>
      </c>
    </row>
    <row r="365" spans="1:9" ht="15" customHeight="1">
      <c r="A365" s="67" t="s">
        <v>848</v>
      </c>
      <c r="B365" s="67" t="s">
        <v>318</v>
      </c>
      <c r="C365" s="68">
        <v>9</v>
      </c>
      <c r="D365" s="69">
        <v>9.1700000000000004E-2</v>
      </c>
      <c r="E365" s="70">
        <v>8.9014000000000006</v>
      </c>
      <c r="F365" s="69">
        <v>0.10881</v>
      </c>
      <c r="G365" s="70"/>
      <c r="H365" s="70"/>
      <c r="I365" s="67" t="s">
        <v>871</v>
      </c>
    </row>
    <row r="366" spans="1:9" ht="15" customHeight="1">
      <c r="A366" s="67" t="s">
        <v>848</v>
      </c>
      <c r="B366" s="67" t="s">
        <v>318</v>
      </c>
      <c r="C366" s="68">
        <v>10</v>
      </c>
      <c r="D366" s="69">
        <v>8.2000000000000003E-2</v>
      </c>
      <c r="E366" s="70">
        <v>9.1648999999999994</v>
      </c>
      <c r="F366" s="69">
        <v>0.10891000000000001</v>
      </c>
      <c r="G366" s="70"/>
      <c r="H366" s="70"/>
      <c r="I366" s="67" t="s">
        <v>872</v>
      </c>
    </row>
    <row r="367" spans="1:9" ht="15" customHeight="1">
      <c r="A367" s="67" t="s">
        <v>848</v>
      </c>
      <c r="B367" s="67" t="s">
        <v>318</v>
      </c>
      <c r="C367" s="68">
        <v>11</v>
      </c>
      <c r="D367" s="69">
        <v>7.2999999999999995E-2</v>
      </c>
      <c r="E367" s="70">
        <v>9.4122000000000003</v>
      </c>
      <c r="F367" s="69">
        <v>0.10906</v>
      </c>
      <c r="G367" s="70"/>
      <c r="H367" s="70"/>
      <c r="I367" s="67" t="s">
        <v>873</v>
      </c>
    </row>
    <row r="368" spans="1:9" ht="15" customHeight="1">
      <c r="A368" s="67" t="s">
        <v>848</v>
      </c>
      <c r="B368" s="67" t="s">
        <v>318</v>
      </c>
      <c r="C368" s="68">
        <v>12</v>
      </c>
      <c r="D368" s="69">
        <v>6.4399999999999999E-2</v>
      </c>
      <c r="E368" s="70">
        <v>9.6478999999999999</v>
      </c>
      <c r="F368" s="69">
        <v>0.10925</v>
      </c>
      <c r="G368" s="70"/>
      <c r="H368" s="70"/>
      <c r="I368" s="67" t="s">
        <v>874</v>
      </c>
    </row>
    <row r="369" spans="1:9" ht="15" customHeight="1">
      <c r="A369" s="67" t="s">
        <v>875</v>
      </c>
      <c r="B369" s="67" t="s">
        <v>365</v>
      </c>
      <c r="C369" s="68">
        <v>45</v>
      </c>
      <c r="D369" s="69">
        <v>-0.38329999999999997</v>
      </c>
      <c r="E369" s="70">
        <v>2.4607000000000001</v>
      </c>
      <c r="F369" s="69">
        <v>9.0289999999999995E-2</v>
      </c>
      <c r="G369" s="70"/>
      <c r="H369" s="70"/>
      <c r="I369" s="67" t="s">
        <v>876</v>
      </c>
    </row>
    <row r="370" spans="1:9" ht="15" customHeight="1">
      <c r="A370" s="67" t="s">
        <v>875</v>
      </c>
      <c r="B370" s="67" t="s">
        <v>365</v>
      </c>
      <c r="C370" s="68">
        <v>45.5</v>
      </c>
      <c r="D370" s="69">
        <v>-0.38329999999999997</v>
      </c>
      <c r="E370" s="70">
        <v>2.5457000000000001</v>
      </c>
      <c r="F370" s="69">
        <v>9.0329999999999994E-2</v>
      </c>
      <c r="G370" s="70"/>
      <c r="H370" s="70"/>
      <c r="I370" s="67" t="s">
        <v>877</v>
      </c>
    </row>
    <row r="371" spans="1:9" ht="15" customHeight="1">
      <c r="A371" s="67" t="s">
        <v>875</v>
      </c>
      <c r="B371" s="67" t="s">
        <v>365</v>
      </c>
      <c r="C371" s="68">
        <v>46</v>
      </c>
      <c r="D371" s="69">
        <v>-0.38329999999999997</v>
      </c>
      <c r="E371" s="70">
        <v>2.6305999999999998</v>
      </c>
      <c r="F371" s="69">
        <v>9.0370000000000006E-2</v>
      </c>
      <c r="G371" s="70"/>
      <c r="H371" s="70"/>
      <c r="I371" s="67" t="s">
        <v>878</v>
      </c>
    </row>
    <row r="372" spans="1:9" ht="15" customHeight="1">
      <c r="A372" s="67" t="s">
        <v>875</v>
      </c>
      <c r="B372" s="67" t="s">
        <v>365</v>
      </c>
      <c r="C372" s="68">
        <v>46.5</v>
      </c>
      <c r="D372" s="69">
        <v>-0.38329999999999997</v>
      </c>
      <c r="E372" s="70">
        <v>2.7155</v>
      </c>
      <c r="F372" s="69">
        <v>9.0399999999999994E-2</v>
      </c>
      <c r="G372" s="70"/>
      <c r="H372" s="70"/>
      <c r="I372" s="67" t="s">
        <v>879</v>
      </c>
    </row>
    <row r="373" spans="1:9" ht="15" customHeight="1">
      <c r="A373" s="67" t="s">
        <v>875</v>
      </c>
      <c r="B373" s="67" t="s">
        <v>365</v>
      </c>
      <c r="C373" s="68">
        <v>47</v>
      </c>
      <c r="D373" s="69">
        <v>-0.38329999999999997</v>
      </c>
      <c r="E373" s="70">
        <v>2.8007</v>
      </c>
      <c r="F373" s="69">
        <v>9.0440000000000006E-2</v>
      </c>
      <c r="G373" s="70"/>
      <c r="H373" s="70"/>
      <c r="I373" s="67" t="s">
        <v>880</v>
      </c>
    </row>
    <row r="374" spans="1:9" ht="15" customHeight="1">
      <c r="A374" s="67" t="s">
        <v>875</v>
      </c>
      <c r="B374" s="67" t="s">
        <v>365</v>
      </c>
      <c r="C374" s="68">
        <v>47.5</v>
      </c>
      <c r="D374" s="69">
        <v>-0.38329999999999997</v>
      </c>
      <c r="E374" s="70">
        <v>2.8866999999999998</v>
      </c>
      <c r="F374" s="69">
        <v>9.0480000000000005E-2</v>
      </c>
      <c r="G374" s="70"/>
      <c r="H374" s="70"/>
      <c r="I374" s="67" t="s">
        <v>881</v>
      </c>
    </row>
    <row r="375" spans="1:9" ht="15" customHeight="1">
      <c r="A375" s="67" t="s">
        <v>875</v>
      </c>
      <c r="B375" s="67" t="s">
        <v>365</v>
      </c>
      <c r="C375" s="68">
        <v>48</v>
      </c>
      <c r="D375" s="69">
        <v>-0.38329999999999997</v>
      </c>
      <c r="E375" s="70">
        <v>2.9741</v>
      </c>
      <c r="F375" s="69">
        <v>9.0520000000000003E-2</v>
      </c>
      <c r="G375" s="70"/>
      <c r="H375" s="70"/>
      <c r="I375" s="67" t="s">
        <v>882</v>
      </c>
    </row>
    <row r="376" spans="1:9" ht="15" customHeight="1">
      <c r="A376" s="67" t="s">
        <v>875</v>
      </c>
      <c r="B376" s="67" t="s">
        <v>365</v>
      </c>
      <c r="C376" s="68">
        <v>48.5</v>
      </c>
      <c r="D376" s="69">
        <v>-0.38329999999999997</v>
      </c>
      <c r="E376" s="70">
        <v>3.0636000000000001</v>
      </c>
      <c r="F376" s="69">
        <v>9.0560000000000002E-2</v>
      </c>
      <c r="G376" s="70"/>
      <c r="H376" s="70"/>
      <c r="I376" s="67" t="s">
        <v>883</v>
      </c>
    </row>
    <row r="377" spans="1:9" ht="15" customHeight="1">
      <c r="A377" s="67" t="s">
        <v>875</v>
      </c>
      <c r="B377" s="67" t="s">
        <v>365</v>
      </c>
      <c r="C377" s="68">
        <v>49</v>
      </c>
      <c r="D377" s="69">
        <v>-0.38329999999999997</v>
      </c>
      <c r="E377" s="70">
        <v>3.1560000000000001</v>
      </c>
      <c r="F377" s="69">
        <v>9.06E-2</v>
      </c>
      <c r="G377" s="70"/>
      <c r="H377" s="70"/>
      <c r="I377" s="67" t="s">
        <v>884</v>
      </c>
    </row>
    <row r="378" spans="1:9" ht="15" customHeight="1">
      <c r="A378" s="67" t="s">
        <v>875</v>
      </c>
      <c r="B378" s="67" t="s">
        <v>365</v>
      </c>
      <c r="C378" s="68">
        <v>49.5</v>
      </c>
      <c r="D378" s="69">
        <v>-0.38329999999999997</v>
      </c>
      <c r="E378" s="70">
        <v>3.2519999999999998</v>
      </c>
      <c r="F378" s="69">
        <v>9.0639999999999998E-2</v>
      </c>
      <c r="G378" s="70"/>
      <c r="H378" s="70"/>
      <c r="I378" s="67" t="s">
        <v>885</v>
      </c>
    </row>
    <row r="379" spans="1:9" ht="15" customHeight="1">
      <c r="A379" s="67" t="s">
        <v>875</v>
      </c>
      <c r="B379" s="67" t="s">
        <v>365</v>
      </c>
      <c r="C379" s="68">
        <v>50</v>
      </c>
      <c r="D379" s="69">
        <v>-0.38329999999999997</v>
      </c>
      <c r="E379" s="70">
        <v>3.3517999999999999</v>
      </c>
      <c r="F379" s="69">
        <v>9.0679999999999997E-2</v>
      </c>
      <c r="G379" s="70"/>
      <c r="H379" s="70"/>
      <c r="I379" s="67" t="s">
        <v>886</v>
      </c>
    </row>
    <row r="380" spans="1:9" ht="15" customHeight="1">
      <c r="A380" s="67" t="s">
        <v>875</v>
      </c>
      <c r="B380" s="67" t="s">
        <v>365</v>
      </c>
      <c r="C380" s="68">
        <v>50.5</v>
      </c>
      <c r="D380" s="69">
        <v>-0.38329999999999997</v>
      </c>
      <c r="E380" s="70">
        <v>3.4557000000000002</v>
      </c>
      <c r="F380" s="69">
        <v>9.0719999999999995E-2</v>
      </c>
      <c r="G380" s="70"/>
      <c r="H380" s="70"/>
      <c r="I380" s="67" t="s">
        <v>887</v>
      </c>
    </row>
    <row r="381" spans="1:9" ht="15" customHeight="1">
      <c r="A381" s="67" t="s">
        <v>875</v>
      </c>
      <c r="B381" s="67" t="s">
        <v>365</v>
      </c>
      <c r="C381" s="68">
        <v>51</v>
      </c>
      <c r="D381" s="69">
        <v>-0.38329999999999997</v>
      </c>
      <c r="E381" s="70">
        <v>3.5636000000000001</v>
      </c>
      <c r="F381" s="69">
        <v>9.0759999999999993E-2</v>
      </c>
      <c r="G381" s="70"/>
      <c r="H381" s="70"/>
      <c r="I381" s="67" t="s">
        <v>888</v>
      </c>
    </row>
    <row r="382" spans="1:9" ht="15" customHeight="1">
      <c r="A382" s="67" t="s">
        <v>875</v>
      </c>
      <c r="B382" s="67" t="s">
        <v>365</v>
      </c>
      <c r="C382" s="68">
        <v>51.5</v>
      </c>
      <c r="D382" s="69">
        <v>-0.38329999999999997</v>
      </c>
      <c r="E382" s="70">
        <v>3.6753999999999998</v>
      </c>
      <c r="F382" s="69">
        <v>9.0800000000000006E-2</v>
      </c>
      <c r="G382" s="70"/>
      <c r="H382" s="70"/>
      <c r="I382" s="67" t="s">
        <v>889</v>
      </c>
    </row>
    <row r="383" spans="1:9" ht="15" customHeight="1">
      <c r="A383" s="67" t="s">
        <v>875</v>
      </c>
      <c r="B383" s="67" t="s">
        <v>365</v>
      </c>
      <c r="C383" s="68">
        <v>52</v>
      </c>
      <c r="D383" s="69">
        <v>-0.38329999999999997</v>
      </c>
      <c r="E383" s="70">
        <v>3.7911000000000001</v>
      </c>
      <c r="F383" s="69">
        <v>9.085E-2</v>
      </c>
      <c r="G383" s="70"/>
      <c r="H383" s="70"/>
      <c r="I383" s="67" t="s">
        <v>890</v>
      </c>
    </row>
    <row r="384" spans="1:9" ht="15" customHeight="1">
      <c r="A384" s="67" t="s">
        <v>875</v>
      </c>
      <c r="B384" s="67" t="s">
        <v>365</v>
      </c>
      <c r="C384" s="68">
        <v>52.5</v>
      </c>
      <c r="D384" s="69">
        <v>-0.38329999999999997</v>
      </c>
      <c r="E384" s="70">
        <v>3.9104999999999999</v>
      </c>
      <c r="F384" s="69">
        <v>9.0889999999999999E-2</v>
      </c>
      <c r="G384" s="70"/>
      <c r="H384" s="70"/>
      <c r="I384" s="67" t="s">
        <v>891</v>
      </c>
    </row>
    <row r="385" spans="1:9" ht="15" customHeight="1">
      <c r="A385" s="67" t="s">
        <v>875</v>
      </c>
      <c r="B385" s="67" t="s">
        <v>365</v>
      </c>
      <c r="C385" s="68">
        <v>53</v>
      </c>
      <c r="D385" s="69">
        <v>-0.38329999999999997</v>
      </c>
      <c r="E385" s="70">
        <v>4.0331999999999999</v>
      </c>
      <c r="F385" s="69">
        <v>9.0929999999999997E-2</v>
      </c>
      <c r="G385" s="70"/>
      <c r="H385" s="70"/>
      <c r="I385" s="67" t="s">
        <v>892</v>
      </c>
    </row>
    <row r="386" spans="1:9" ht="15" customHeight="1">
      <c r="A386" s="67" t="s">
        <v>875</v>
      </c>
      <c r="B386" s="67" t="s">
        <v>365</v>
      </c>
      <c r="C386" s="68">
        <v>53.5</v>
      </c>
      <c r="D386" s="69">
        <v>-0.38329999999999997</v>
      </c>
      <c r="E386" s="70">
        <v>4.1590999999999996</v>
      </c>
      <c r="F386" s="69">
        <v>9.0980000000000005E-2</v>
      </c>
      <c r="G386" s="70"/>
      <c r="H386" s="70"/>
      <c r="I386" s="67" t="s">
        <v>893</v>
      </c>
    </row>
    <row r="387" spans="1:9" ht="15" customHeight="1">
      <c r="A387" s="67" t="s">
        <v>875</v>
      </c>
      <c r="B387" s="67" t="s">
        <v>365</v>
      </c>
      <c r="C387" s="68">
        <v>54</v>
      </c>
      <c r="D387" s="69">
        <v>-0.38329999999999997</v>
      </c>
      <c r="E387" s="70">
        <v>4.2874999999999996</v>
      </c>
      <c r="F387" s="69">
        <v>9.1020000000000004E-2</v>
      </c>
      <c r="G387" s="70"/>
      <c r="H387" s="70"/>
      <c r="I387" s="67" t="s">
        <v>894</v>
      </c>
    </row>
    <row r="388" spans="1:9" ht="15" customHeight="1">
      <c r="A388" s="67" t="s">
        <v>875</v>
      </c>
      <c r="B388" s="67" t="s">
        <v>365</v>
      </c>
      <c r="C388" s="68">
        <v>54.5</v>
      </c>
      <c r="D388" s="69">
        <v>-0.38329999999999997</v>
      </c>
      <c r="E388" s="70">
        <v>4.4179000000000004</v>
      </c>
      <c r="F388" s="69">
        <v>9.1060000000000002E-2</v>
      </c>
      <c r="G388" s="70"/>
      <c r="H388" s="70"/>
      <c r="I388" s="67" t="s">
        <v>895</v>
      </c>
    </row>
    <row r="389" spans="1:9" ht="15" customHeight="1">
      <c r="A389" s="67" t="s">
        <v>875</v>
      </c>
      <c r="B389" s="67" t="s">
        <v>365</v>
      </c>
      <c r="C389" s="68">
        <v>55</v>
      </c>
      <c r="D389" s="69">
        <v>-0.38329999999999997</v>
      </c>
      <c r="E389" s="70">
        <v>4.5498000000000003</v>
      </c>
      <c r="F389" s="69">
        <v>9.11E-2</v>
      </c>
      <c r="G389" s="70"/>
      <c r="H389" s="70"/>
      <c r="I389" s="67" t="s">
        <v>896</v>
      </c>
    </row>
    <row r="390" spans="1:9" ht="15" customHeight="1">
      <c r="A390" s="67" t="s">
        <v>875</v>
      </c>
      <c r="B390" s="67" t="s">
        <v>365</v>
      </c>
      <c r="C390" s="68">
        <v>55.5</v>
      </c>
      <c r="D390" s="69">
        <v>-0.38329999999999997</v>
      </c>
      <c r="E390" s="70">
        <v>4.6826999999999996</v>
      </c>
      <c r="F390" s="69">
        <v>9.1139999999999999E-2</v>
      </c>
      <c r="G390" s="70"/>
      <c r="H390" s="70"/>
      <c r="I390" s="67" t="s">
        <v>897</v>
      </c>
    </row>
    <row r="391" spans="1:9" ht="15" customHeight="1">
      <c r="A391" s="67" t="s">
        <v>875</v>
      </c>
      <c r="B391" s="67" t="s">
        <v>365</v>
      </c>
      <c r="C391" s="68">
        <v>56</v>
      </c>
      <c r="D391" s="69">
        <v>-0.38329999999999997</v>
      </c>
      <c r="E391" s="70">
        <v>4.8162000000000003</v>
      </c>
      <c r="F391" s="69">
        <v>9.1179999999999997E-2</v>
      </c>
      <c r="G391" s="70"/>
      <c r="H391" s="70"/>
      <c r="I391" s="67" t="s">
        <v>898</v>
      </c>
    </row>
    <row r="392" spans="1:9" ht="15" customHeight="1">
      <c r="A392" s="67" t="s">
        <v>875</v>
      </c>
      <c r="B392" s="67" t="s">
        <v>365</v>
      </c>
      <c r="C392" s="68">
        <v>56.5</v>
      </c>
      <c r="D392" s="69">
        <v>-0.38329999999999997</v>
      </c>
      <c r="E392" s="70">
        <v>4.95</v>
      </c>
      <c r="F392" s="69">
        <v>9.1209999999999999E-2</v>
      </c>
      <c r="G392" s="70"/>
      <c r="H392" s="70"/>
      <c r="I392" s="67" t="s">
        <v>899</v>
      </c>
    </row>
    <row r="393" spans="1:9" ht="15" customHeight="1">
      <c r="A393" s="67" t="s">
        <v>875</v>
      </c>
      <c r="B393" s="67" t="s">
        <v>365</v>
      </c>
      <c r="C393" s="68">
        <v>57</v>
      </c>
      <c r="D393" s="69">
        <v>-0.38329999999999997</v>
      </c>
      <c r="E393" s="70">
        <v>5.0837000000000003</v>
      </c>
      <c r="F393" s="69">
        <v>9.1249999999999998E-2</v>
      </c>
      <c r="G393" s="70"/>
      <c r="H393" s="70"/>
      <c r="I393" s="67" t="s">
        <v>900</v>
      </c>
    </row>
    <row r="394" spans="1:9" ht="15" customHeight="1">
      <c r="A394" s="67" t="s">
        <v>875</v>
      </c>
      <c r="B394" s="67" t="s">
        <v>365</v>
      </c>
      <c r="C394" s="68">
        <v>57.5</v>
      </c>
      <c r="D394" s="69">
        <v>-0.38329999999999997</v>
      </c>
      <c r="E394" s="70">
        <v>5.2172999999999998</v>
      </c>
      <c r="F394" s="69">
        <v>9.128E-2</v>
      </c>
      <c r="G394" s="70"/>
      <c r="H394" s="70"/>
      <c r="I394" s="67" t="s">
        <v>901</v>
      </c>
    </row>
    <row r="395" spans="1:9" ht="15" customHeight="1">
      <c r="A395" s="67" t="s">
        <v>875</v>
      </c>
      <c r="B395" s="67" t="s">
        <v>365</v>
      </c>
      <c r="C395" s="68">
        <v>58</v>
      </c>
      <c r="D395" s="69">
        <v>-0.38329999999999997</v>
      </c>
      <c r="E395" s="70">
        <v>5.3506999999999998</v>
      </c>
      <c r="F395" s="69">
        <v>9.1300000000000006E-2</v>
      </c>
      <c r="G395" s="70"/>
      <c r="H395" s="70"/>
      <c r="I395" s="67" t="s">
        <v>902</v>
      </c>
    </row>
    <row r="396" spans="1:9" ht="15" customHeight="1">
      <c r="A396" s="67" t="s">
        <v>875</v>
      </c>
      <c r="B396" s="67" t="s">
        <v>365</v>
      </c>
      <c r="C396" s="68">
        <v>58.5</v>
      </c>
      <c r="D396" s="69">
        <v>-0.38329999999999997</v>
      </c>
      <c r="E396" s="70">
        <v>5.4833999999999996</v>
      </c>
      <c r="F396" s="69">
        <v>9.1319999999999998E-2</v>
      </c>
      <c r="G396" s="70"/>
      <c r="H396" s="70"/>
      <c r="I396" s="67" t="s">
        <v>903</v>
      </c>
    </row>
    <row r="397" spans="1:9" ht="15" customHeight="1">
      <c r="A397" s="67" t="s">
        <v>875</v>
      </c>
      <c r="B397" s="67" t="s">
        <v>365</v>
      </c>
      <c r="C397" s="68">
        <v>59</v>
      </c>
      <c r="D397" s="69">
        <v>-0.38329999999999997</v>
      </c>
      <c r="E397" s="70">
        <v>5.6151</v>
      </c>
      <c r="F397" s="69">
        <v>9.1340000000000005E-2</v>
      </c>
      <c r="G397" s="70"/>
      <c r="H397" s="70"/>
      <c r="I397" s="67" t="s">
        <v>904</v>
      </c>
    </row>
    <row r="398" spans="1:9" ht="15" customHeight="1">
      <c r="A398" s="67" t="s">
        <v>875</v>
      </c>
      <c r="B398" s="67" t="s">
        <v>365</v>
      </c>
      <c r="C398" s="68">
        <v>59.5</v>
      </c>
      <c r="D398" s="69">
        <v>-0.38329999999999997</v>
      </c>
      <c r="E398" s="70">
        <v>5.7454000000000001</v>
      </c>
      <c r="F398" s="69">
        <v>9.1350000000000001E-2</v>
      </c>
      <c r="G398" s="70"/>
      <c r="H398" s="70"/>
      <c r="I398" s="67" t="s">
        <v>905</v>
      </c>
    </row>
    <row r="399" spans="1:9" ht="15" customHeight="1">
      <c r="A399" s="67" t="s">
        <v>875</v>
      </c>
      <c r="B399" s="67" t="s">
        <v>365</v>
      </c>
      <c r="C399" s="68">
        <v>60</v>
      </c>
      <c r="D399" s="69">
        <v>-0.38329999999999997</v>
      </c>
      <c r="E399" s="70">
        <v>5.8742000000000001</v>
      </c>
      <c r="F399" s="69">
        <v>9.1359999999999997E-2</v>
      </c>
      <c r="G399" s="70"/>
      <c r="H399" s="70"/>
      <c r="I399" s="67" t="s">
        <v>906</v>
      </c>
    </row>
    <row r="400" spans="1:9" ht="15" customHeight="1">
      <c r="A400" s="67" t="s">
        <v>875</v>
      </c>
      <c r="B400" s="67" t="s">
        <v>365</v>
      </c>
      <c r="C400" s="68">
        <v>60.5</v>
      </c>
      <c r="D400" s="69">
        <v>-0.38329999999999997</v>
      </c>
      <c r="E400" s="70">
        <v>6.0014000000000003</v>
      </c>
      <c r="F400" s="69">
        <v>9.1370000000000007E-2</v>
      </c>
      <c r="G400" s="70"/>
      <c r="H400" s="70"/>
      <c r="I400" s="67" t="s">
        <v>907</v>
      </c>
    </row>
    <row r="401" spans="1:9" ht="15" customHeight="1">
      <c r="A401" s="67" t="s">
        <v>875</v>
      </c>
      <c r="B401" s="67" t="s">
        <v>365</v>
      </c>
      <c r="C401" s="68">
        <v>61</v>
      </c>
      <c r="D401" s="69">
        <v>-0.38329999999999997</v>
      </c>
      <c r="E401" s="70">
        <v>6.1269999999999998</v>
      </c>
      <c r="F401" s="69">
        <v>9.1370000000000007E-2</v>
      </c>
      <c r="G401" s="70"/>
      <c r="H401" s="70"/>
      <c r="I401" s="67" t="s">
        <v>908</v>
      </c>
    </row>
    <row r="402" spans="1:9" ht="15" customHeight="1">
      <c r="A402" s="67" t="s">
        <v>875</v>
      </c>
      <c r="B402" s="67" t="s">
        <v>365</v>
      </c>
      <c r="C402" s="68">
        <v>61.5</v>
      </c>
      <c r="D402" s="69">
        <v>-0.38329999999999997</v>
      </c>
      <c r="E402" s="70">
        <v>6.2511000000000001</v>
      </c>
      <c r="F402" s="69">
        <v>9.1359999999999997E-2</v>
      </c>
      <c r="G402" s="70"/>
      <c r="H402" s="70"/>
      <c r="I402" s="67" t="s">
        <v>909</v>
      </c>
    </row>
    <row r="403" spans="1:9" ht="15" customHeight="1">
      <c r="A403" s="67" t="s">
        <v>875</v>
      </c>
      <c r="B403" s="67" t="s">
        <v>365</v>
      </c>
      <c r="C403" s="68">
        <v>62</v>
      </c>
      <c r="D403" s="69">
        <v>-0.38329999999999997</v>
      </c>
      <c r="E403" s="70">
        <v>6.3738000000000001</v>
      </c>
      <c r="F403" s="69">
        <v>9.1350000000000001E-2</v>
      </c>
      <c r="G403" s="70"/>
      <c r="H403" s="70"/>
      <c r="I403" s="67" t="s">
        <v>910</v>
      </c>
    </row>
    <row r="404" spans="1:9" ht="15" customHeight="1">
      <c r="A404" s="67" t="s">
        <v>875</v>
      </c>
      <c r="B404" s="67" t="s">
        <v>365</v>
      </c>
      <c r="C404" s="68">
        <v>62.5</v>
      </c>
      <c r="D404" s="69">
        <v>-0.38329999999999997</v>
      </c>
      <c r="E404" s="70">
        <v>6.4947999999999997</v>
      </c>
      <c r="F404" s="69">
        <v>9.1329999999999995E-2</v>
      </c>
      <c r="G404" s="70"/>
      <c r="H404" s="70"/>
      <c r="I404" s="67" t="s">
        <v>911</v>
      </c>
    </row>
    <row r="405" spans="1:9" ht="15" customHeight="1">
      <c r="A405" s="67" t="s">
        <v>875</v>
      </c>
      <c r="B405" s="67" t="s">
        <v>365</v>
      </c>
      <c r="C405" s="68">
        <v>63</v>
      </c>
      <c r="D405" s="69">
        <v>-0.38329999999999997</v>
      </c>
      <c r="E405" s="70">
        <v>6.6143999999999998</v>
      </c>
      <c r="F405" s="69">
        <v>9.1310000000000002E-2</v>
      </c>
      <c r="G405" s="70"/>
      <c r="H405" s="70"/>
      <c r="I405" s="67" t="s">
        <v>912</v>
      </c>
    </row>
    <row r="406" spans="1:9" ht="15" customHeight="1">
      <c r="A406" s="67" t="s">
        <v>875</v>
      </c>
      <c r="B406" s="67" t="s">
        <v>365</v>
      </c>
      <c r="C406" s="68">
        <v>63.5</v>
      </c>
      <c r="D406" s="69">
        <v>-0.38329999999999997</v>
      </c>
      <c r="E406" s="70">
        <v>6.7328000000000001</v>
      </c>
      <c r="F406" s="69">
        <v>9.1289999999999996E-2</v>
      </c>
      <c r="G406" s="70"/>
      <c r="H406" s="70"/>
      <c r="I406" s="67" t="s">
        <v>913</v>
      </c>
    </row>
    <row r="407" spans="1:9" ht="15" customHeight="1">
      <c r="A407" s="67" t="s">
        <v>875</v>
      </c>
      <c r="B407" s="67" t="s">
        <v>365</v>
      </c>
      <c r="C407" s="68">
        <v>64</v>
      </c>
      <c r="D407" s="69">
        <v>-0.38329999999999997</v>
      </c>
      <c r="E407" s="70">
        <v>6.8501000000000003</v>
      </c>
      <c r="F407" s="69">
        <v>9.1259999999999994E-2</v>
      </c>
      <c r="G407" s="70"/>
      <c r="H407" s="70"/>
      <c r="I407" s="67" t="s">
        <v>914</v>
      </c>
    </row>
    <row r="408" spans="1:9" ht="15" customHeight="1">
      <c r="A408" s="67" t="s">
        <v>875</v>
      </c>
      <c r="B408" s="67" t="s">
        <v>365</v>
      </c>
      <c r="C408" s="68">
        <v>64.5</v>
      </c>
      <c r="D408" s="69">
        <v>-0.38329999999999997</v>
      </c>
      <c r="E408" s="70">
        <v>6.9661999999999997</v>
      </c>
      <c r="F408" s="69">
        <v>9.1230000000000006E-2</v>
      </c>
      <c r="G408" s="70"/>
      <c r="H408" s="70"/>
      <c r="I408" s="67" t="s">
        <v>915</v>
      </c>
    </row>
    <row r="409" spans="1:9" ht="15" customHeight="1">
      <c r="A409" s="67" t="s">
        <v>875</v>
      </c>
      <c r="B409" s="67" t="s">
        <v>365</v>
      </c>
      <c r="C409" s="68">
        <v>65</v>
      </c>
      <c r="D409" s="69">
        <v>-0.38329999999999997</v>
      </c>
      <c r="E409" s="70">
        <v>7.2401999999999997</v>
      </c>
      <c r="F409" s="69">
        <v>9.1130000000000003E-2</v>
      </c>
      <c r="G409" s="70"/>
      <c r="H409" s="70"/>
      <c r="I409" s="67" t="s">
        <v>916</v>
      </c>
    </row>
    <row r="410" spans="1:9" ht="15" customHeight="1">
      <c r="A410" s="67" t="s">
        <v>875</v>
      </c>
      <c r="B410" s="67" t="s">
        <v>365</v>
      </c>
      <c r="C410" s="68">
        <v>65.5</v>
      </c>
      <c r="D410" s="69">
        <v>-0.38329999999999997</v>
      </c>
      <c r="E410" s="70">
        <v>7.3522999999999996</v>
      </c>
      <c r="F410" s="69">
        <v>9.1090000000000004E-2</v>
      </c>
      <c r="G410" s="70"/>
      <c r="H410" s="70"/>
      <c r="I410" s="67" t="s">
        <v>917</v>
      </c>
    </row>
    <row r="411" spans="1:9" ht="15" customHeight="1">
      <c r="A411" s="67" t="s">
        <v>875</v>
      </c>
      <c r="B411" s="67" t="s">
        <v>365</v>
      </c>
      <c r="C411" s="68">
        <v>66</v>
      </c>
      <c r="D411" s="69">
        <v>-0.38329999999999997</v>
      </c>
      <c r="E411" s="70">
        <v>7.4630000000000001</v>
      </c>
      <c r="F411" s="69">
        <v>9.1039999999999996E-2</v>
      </c>
      <c r="G411" s="70"/>
      <c r="H411" s="70"/>
      <c r="I411" s="67" t="s">
        <v>918</v>
      </c>
    </row>
    <row r="412" spans="1:9" ht="15" customHeight="1">
      <c r="A412" s="67" t="s">
        <v>875</v>
      </c>
      <c r="B412" s="67" t="s">
        <v>365</v>
      </c>
      <c r="C412" s="68">
        <v>66.5</v>
      </c>
      <c r="D412" s="69">
        <v>-0.38329999999999997</v>
      </c>
      <c r="E412" s="70">
        <v>7.5724</v>
      </c>
      <c r="F412" s="69">
        <v>9.0990000000000001E-2</v>
      </c>
      <c r="G412" s="70"/>
      <c r="H412" s="70"/>
      <c r="I412" s="67" t="s">
        <v>919</v>
      </c>
    </row>
    <row r="413" spans="1:9" ht="15" customHeight="1">
      <c r="A413" s="67" t="s">
        <v>875</v>
      </c>
      <c r="B413" s="67" t="s">
        <v>365</v>
      </c>
      <c r="C413" s="68">
        <v>67</v>
      </c>
      <c r="D413" s="69">
        <v>-0.38329999999999997</v>
      </c>
      <c r="E413" s="70">
        <v>7.6806000000000001</v>
      </c>
      <c r="F413" s="69">
        <v>9.0939999999999993E-2</v>
      </c>
      <c r="G413" s="70"/>
      <c r="H413" s="70"/>
      <c r="I413" s="67" t="s">
        <v>920</v>
      </c>
    </row>
    <row r="414" spans="1:9" ht="15" customHeight="1">
      <c r="A414" s="67" t="s">
        <v>875</v>
      </c>
      <c r="B414" s="67" t="s">
        <v>365</v>
      </c>
      <c r="C414" s="68">
        <v>67.5</v>
      </c>
      <c r="D414" s="69">
        <v>-0.38329999999999997</v>
      </c>
      <c r="E414" s="70">
        <v>7.7873999999999999</v>
      </c>
      <c r="F414" s="69">
        <v>9.0880000000000002E-2</v>
      </c>
      <c r="G414" s="70"/>
      <c r="H414" s="70"/>
      <c r="I414" s="67" t="s">
        <v>921</v>
      </c>
    </row>
    <row r="415" spans="1:9" ht="15" customHeight="1">
      <c r="A415" s="67" t="s">
        <v>875</v>
      </c>
      <c r="B415" s="67" t="s">
        <v>365</v>
      </c>
      <c r="C415" s="68">
        <v>68</v>
      </c>
      <c r="D415" s="69">
        <v>-0.38329999999999997</v>
      </c>
      <c r="E415" s="70">
        <v>7.8929999999999998</v>
      </c>
      <c r="F415" s="69">
        <v>9.0829999999999994E-2</v>
      </c>
      <c r="G415" s="70"/>
      <c r="H415" s="70"/>
      <c r="I415" s="67" t="s">
        <v>922</v>
      </c>
    </row>
    <row r="416" spans="1:9" ht="15" customHeight="1">
      <c r="A416" s="67" t="s">
        <v>875</v>
      </c>
      <c r="B416" s="67" t="s">
        <v>365</v>
      </c>
      <c r="C416" s="68">
        <v>68.5</v>
      </c>
      <c r="D416" s="69">
        <v>-0.38329999999999997</v>
      </c>
      <c r="E416" s="70">
        <v>7.9976000000000003</v>
      </c>
      <c r="F416" s="69">
        <v>9.0770000000000003E-2</v>
      </c>
      <c r="G416" s="70"/>
      <c r="H416" s="70"/>
      <c r="I416" s="67" t="s">
        <v>923</v>
      </c>
    </row>
    <row r="417" spans="1:9" ht="15" customHeight="1">
      <c r="A417" s="67" t="s">
        <v>875</v>
      </c>
      <c r="B417" s="67" t="s">
        <v>365</v>
      </c>
      <c r="C417" s="68">
        <v>69</v>
      </c>
      <c r="D417" s="69">
        <v>-0.38329999999999997</v>
      </c>
      <c r="E417" s="70">
        <v>8.1012000000000004</v>
      </c>
      <c r="F417" s="69">
        <v>9.0709999999999999E-2</v>
      </c>
      <c r="G417" s="70"/>
      <c r="H417" s="70"/>
      <c r="I417" s="67" t="s">
        <v>924</v>
      </c>
    </row>
    <row r="418" spans="1:9" ht="15" customHeight="1">
      <c r="A418" s="67" t="s">
        <v>875</v>
      </c>
      <c r="B418" s="67" t="s">
        <v>365</v>
      </c>
      <c r="C418" s="68">
        <v>69.5</v>
      </c>
      <c r="D418" s="69">
        <v>-0.38329999999999997</v>
      </c>
      <c r="E418" s="70">
        <v>8.2039000000000009</v>
      </c>
      <c r="F418" s="69">
        <v>9.0649999999999994E-2</v>
      </c>
      <c r="G418" s="70"/>
      <c r="H418" s="70"/>
      <c r="I418" s="67" t="s">
        <v>925</v>
      </c>
    </row>
    <row r="419" spans="1:9" ht="15" customHeight="1">
      <c r="A419" s="67" t="s">
        <v>875</v>
      </c>
      <c r="B419" s="67" t="s">
        <v>365</v>
      </c>
      <c r="C419" s="68">
        <v>70</v>
      </c>
      <c r="D419" s="69">
        <v>-0.38329999999999997</v>
      </c>
      <c r="E419" s="70">
        <v>8.3057999999999996</v>
      </c>
      <c r="F419" s="69">
        <v>9.0590000000000004E-2</v>
      </c>
      <c r="G419" s="70"/>
      <c r="H419" s="70"/>
      <c r="I419" s="67" t="s">
        <v>926</v>
      </c>
    </row>
    <row r="420" spans="1:9" ht="15" customHeight="1">
      <c r="A420" s="67" t="s">
        <v>875</v>
      </c>
      <c r="B420" s="67" t="s">
        <v>365</v>
      </c>
      <c r="C420" s="68">
        <v>70.5</v>
      </c>
      <c r="D420" s="69">
        <v>-0.38329999999999997</v>
      </c>
      <c r="E420" s="70">
        <v>8.4070999999999998</v>
      </c>
      <c r="F420" s="69">
        <v>9.0529999999999999E-2</v>
      </c>
      <c r="G420" s="70"/>
      <c r="H420" s="70"/>
      <c r="I420" s="67" t="s">
        <v>927</v>
      </c>
    </row>
    <row r="421" spans="1:9" ht="15" customHeight="1">
      <c r="A421" s="67" t="s">
        <v>875</v>
      </c>
      <c r="B421" s="67" t="s">
        <v>365</v>
      </c>
      <c r="C421" s="68">
        <v>71</v>
      </c>
      <c r="D421" s="69">
        <v>-0.38329999999999997</v>
      </c>
      <c r="E421" s="70">
        <v>8.5077999999999996</v>
      </c>
      <c r="F421" s="69">
        <v>9.0469999999999995E-2</v>
      </c>
      <c r="G421" s="70"/>
      <c r="H421" s="70"/>
      <c r="I421" s="67" t="s">
        <v>928</v>
      </c>
    </row>
    <row r="422" spans="1:9" ht="15" customHeight="1">
      <c r="A422" s="67" t="s">
        <v>875</v>
      </c>
      <c r="B422" s="67" t="s">
        <v>365</v>
      </c>
      <c r="C422" s="68">
        <v>71.5</v>
      </c>
      <c r="D422" s="69">
        <v>-0.38329999999999997</v>
      </c>
      <c r="E422" s="70">
        <v>8.6077999999999992</v>
      </c>
      <c r="F422" s="69">
        <v>9.0410000000000004E-2</v>
      </c>
      <c r="G422" s="70"/>
      <c r="H422" s="70"/>
      <c r="I422" s="67" t="s">
        <v>929</v>
      </c>
    </row>
    <row r="423" spans="1:9" ht="15" customHeight="1">
      <c r="A423" s="67" t="s">
        <v>875</v>
      </c>
      <c r="B423" s="67" t="s">
        <v>365</v>
      </c>
      <c r="C423" s="68">
        <v>72</v>
      </c>
      <c r="D423" s="69">
        <v>-0.38329999999999997</v>
      </c>
      <c r="E423" s="70">
        <v>8.7070000000000007</v>
      </c>
      <c r="F423" s="69">
        <v>9.035E-2</v>
      </c>
      <c r="G423" s="70"/>
      <c r="H423" s="70"/>
      <c r="I423" s="67" t="s">
        <v>930</v>
      </c>
    </row>
    <row r="424" spans="1:9" ht="15" customHeight="1">
      <c r="A424" s="67" t="s">
        <v>875</v>
      </c>
      <c r="B424" s="67" t="s">
        <v>365</v>
      </c>
      <c r="C424" s="68">
        <v>72.5</v>
      </c>
      <c r="D424" s="69">
        <v>-0.38329999999999997</v>
      </c>
      <c r="E424" s="70">
        <v>8.8053000000000008</v>
      </c>
      <c r="F424" s="69">
        <v>9.0279999999999999E-2</v>
      </c>
      <c r="G424" s="70"/>
      <c r="H424" s="70"/>
      <c r="I424" s="67" t="s">
        <v>931</v>
      </c>
    </row>
    <row r="425" spans="1:9" ht="15" customHeight="1">
      <c r="A425" s="67" t="s">
        <v>875</v>
      </c>
      <c r="B425" s="67" t="s">
        <v>365</v>
      </c>
      <c r="C425" s="68">
        <v>73</v>
      </c>
      <c r="D425" s="69">
        <v>-0.38329999999999997</v>
      </c>
      <c r="E425" s="70">
        <v>8.9024999999999999</v>
      </c>
      <c r="F425" s="69">
        <v>9.0219999999999995E-2</v>
      </c>
      <c r="G425" s="70"/>
      <c r="H425" s="70"/>
      <c r="I425" s="67" t="s">
        <v>932</v>
      </c>
    </row>
    <row r="426" spans="1:9" ht="15" customHeight="1">
      <c r="A426" s="67" t="s">
        <v>875</v>
      </c>
      <c r="B426" s="67" t="s">
        <v>365</v>
      </c>
      <c r="C426" s="68">
        <v>73.5</v>
      </c>
      <c r="D426" s="69">
        <v>-0.38329999999999997</v>
      </c>
      <c r="E426" s="70">
        <v>8.9983000000000004</v>
      </c>
      <c r="F426" s="69">
        <v>9.0160000000000004E-2</v>
      </c>
      <c r="G426" s="70"/>
      <c r="H426" s="70"/>
      <c r="I426" s="67" t="s">
        <v>933</v>
      </c>
    </row>
    <row r="427" spans="1:9" ht="15" customHeight="1">
      <c r="A427" s="67" t="s">
        <v>875</v>
      </c>
      <c r="B427" s="67" t="s">
        <v>365</v>
      </c>
      <c r="C427" s="68">
        <v>74</v>
      </c>
      <c r="D427" s="69">
        <v>-0.38329999999999997</v>
      </c>
      <c r="E427" s="70">
        <v>9.0928000000000004</v>
      </c>
      <c r="F427" s="69">
        <v>9.0090000000000003E-2</v>
      </c>
      <c r="G427" s="70"/>
      <c r="H427" s="70"/>
      <c r="I427" s="67" t="s">
        <v>934</v>
      </c>
    </row>
    <row r="428" spans="1:9" ht="15" customHeight="1">
      <c r="A428" s="67" t="s">
        <v>875</v>
      </c>
      <c r="B428" s="67" t="s">
        <v>365</v>
      </c>
      <c r="C428" s="68">
        <v>74.5</v>
      </c>
      <c r="D428" s="69">
        <v>-0.38329999999999997</v>
      </c>
      <c r="E428" s="70">
        <v>9.1861999999999995</v>
      </c>
      <c r="F428" s="69">
        <v>9.0029999999999999E-2</v>
      </c>
      <c r="G428" s="70"/>
      <c r="H428" s="70"/>
      <c r="I428" s="67" t="s">
        <v>935</v>
      </c>
    </row>
    <row r="429" spans="1:9" ht="15" customHeight="1">
      <c r="A429" s="67" t="s">
        <v>875</v>
      </c>
      <c r="B429" s="67" t="s">
        <v>365</v>
      </c>
      <c r="C429" s="68">
        <v>75</v>
      </c>
      <c r="D429" s="69">
        <v>-0.38329999999999997</v>
      </c>
      <c r="E429" s="70">
        <v>9.2786000000000008</v>
      </c>
      <c r="F429" s="69">
        <v>8.9959999999999998E-2</v>
      </c>
      <c r="G429" s="70"/>
      <c r="H429" s="70"/>
      <c r="I429" s="67" t="s">
        <v>936</v>
      </c>
    </row>
    <row r="430" spans="1:9" ht="15" customHeight="1">
      <c r="A430" s="67" t="s">
        <v>875</v>
      </c>
      <c r="B430" s="67" t="s">
        <v>365</v>
      </c>
      <c r="C430" s="68">
        <v>75.5</v>
      </c>
      <c r="D430" s="69">
        <v>-0.38329999999999997</v>
      </c>
      <c r="E430" s="70">
        <v>9.3703000000000003</v>
      </c>
      <c r="F430" s="69">
        <v>8.9889999999999998E-2</v>
      </c>
      <c r="G430" s="70"/>
      <c r="H430" s="70"/>
      <c r="I430" s="67" t="s">
        <v>937</v>
      </c>
    </row>
    <row r="431" spans="1:9" ht="15" customHeight="1">
      <c r="A431" s="67" t="s">
        <v>875</v>
      </c>
      <c r="B431" s="67" t="s">
        <v>365</v>
      </c>
      <c r="C431" s="68">
        <v>76</v>
      </c>
      <c r="D431" s="69">
        <v>-0.38329999999999997</v>
      </c>
      <c r="E431" s="70">
        <v>9.4617000000000004</v>
      </c>
      <c r="F431" s="69">
        <v>8.9829999999999993E-2</v>
      </c>
      <c r="G431" s="70"/>
      <c r="H431" s="70"/>
      <c r="I431" s="67" t="s">
        <v>938</v>
      </c>
    </row>
    <row r="432" spans="1:9" ht="15" customHeight="1">
      <c r="A432" s="67" t="s">
        <v>875</v>
      </c>
      <c r="B432" s="67" t="s">
        <v>365</v>
      </c>
      <c r="C432" s="68">
        <v>76.5</v>
      </c>
      <c r="D432" s="69">
        <v>-0.38329999999999997</v>
      </c>
      <c r="E432" s="70">
        <v>9.5533000000000001</v>
      </c>
      <c r="F432" s="69">
        <v>8.9760000000000006E-2</v>
      </c>
      <c r="G432" s="70"/>
      <c r="H432" s="70"/>
      <c r="I432" s="67" t="s">
        <v>939</v>
      </c>
    </row>
    <row r="433" spans="1:9" ht="15" customHeight="1">
      <c r="A433" s="67" t="s">
        <v>875</v>
      </c>
      <c r="B433" s="67" t="s">
        <v>365</v>
      </c>
      <c r="C433" s="68">
        <v>77</v>
      </c>
      <c r="D433" s="69">
        <v>-0.38329999999999997</v>
      </c>
      <c r="E433" s="70">
        <v>9.6456</v>
      </c>
      <c r="F433" s="69">
        <v>8.9690000000000006E-2</v>
      </c>
      <c r="G433" s="70"/>
      <c r="H433" s="70"/>
      <c r="I433" s="67" t="s">
        <v>940</v>
      </c>
    </row>
    <row r="434" spans="1:9" ht="15" customHeight="1">
      <c r="A434" s="67" t="s">
        <v>875</v>
      </c>
      <c r="B434" s="67" t="s">
        <v>365</v>
      </c>
      <c r="C434" s="68">
        <v>77.5</v>
      </c>
      <c r="D434" s="69">
        <v>-0.38329999999999997</v>
      </c>
      <c r="E434" s="70">
        <v>9.7390000000000008</v>
      </c>
      <c r="F434" s="69">
        <v>8.9630000000000001E-2</v>
      </c>
      <c r="G434" s="70"/>
      <c r="H434" s="70"/>
      <c r="I434" s="67" t="s">
        <v>941</v>
      </c>
    </row>
    <row r="435" spans="1:9" ht="15" customHeight="1">
      <c r="A435" s="67" t="s">
        <v>875</v>
      </c>
      <c r="B435" s="67" t="s">
        <v>365</v>
      </c>
      <c r="C435" s="68">
        <v>78</v>
      </c>
      <c r="D435" s="69">
        <v>-0.38329999999999997</v>
      </c>
      <c r="E435" s="70">
        <v>9.8338000000000001</v>
      </c>
      <c r="F435" s="69">
        <v>8.9560000000000001E-2</v>
      </c>
      <c r="G435" s="70"/>
      <c r="H435" s="70"/>
      <c r="I435" s="67" t="s">
        <v>942</v>
      </c>
    </row>
    <row r="436" spans="1:9" ht="15" customHeight="1">
      <c r="A436" s="67" t="s">
        <v>875</v>
      </c>
      <c r="B436" s="67" t="s">
        <v>365</v>
      </c>
      <c r="C436" s="68">
        <v>78.5</v>
      </c>
      <c r="D436" s="69">
        <v>-0.38329999999999997</v>
      </c>
      <c r="E436" s="70">
        <v>9.9303000000000008</v>
      </c>
      <c r="F436" s="69">
        <v>8.9499999999999996E-2</v>
      </c>
      <c r="G436" s="70"/>
      <c r="H436" s="70"/>
      <c r="I436" s="67" t="s">
        <v>943</v>
      </c>
    </row>
    <row r="437" spans="1:9" ht="15" customHeight="1">
      <c r="A437" s="67" t="s">
        <v>875</v>
      </c>
      <c r="B437" s="67" t="s">
        <v>365</v>
      </c>
      <c r="C437" s="68">
        <v>79</v>
      </c>
      <c r="D437" s="69">
        <v>-0.38329999999999997</v>
      </c>
      <c r="E437" s="70">
        <v>10.0289</v>
      </c>
      <c r="F437" s="69">
        <v>8.9429999999999996E-2</v>
      </c>
      <c r="G437" s="70"/>
      <c r="H437" s="70"/>
      <c r="I437" s="67" t="s">
        <v>944</v>
      </c>
    </row>
    <row r="438" spans="1:9" ht="15" customHeight="1">
      <c r="A438" s="67" t="s">
        <v>875</v>
      </c>
      <c r="B438" s="67" t="s">
        <v>365</v>
      </c>
      <c r="C438" s="68">
        <v>79.5</v>
      </c>
      <c r="D438" s="69">
        <v>-0.38329999999999997</v>
      </c>
      <c r="E438" s="70">
        <v>10.129799999999999</v>
      </c>
      <c r="F438" s="69">
        <v>8.9370000000000005E-2</v>
      </c>
      <c r="G438" s="70"/>
      <c r="H438" s="70"/>
      <c r="I438" s="67" t="s">
        <v>945</v>
      </c>
    </row>
    <row r="439" spans="1:9" ht="15" customHeight="1">
      <c r="A439" s="67" t="s">
        <v>875</v>
      </c>
      <c r="B439" s="67" t="s">
        <v>365</v>
      </c>
      <c r="C439" s="68">
        <v>80</v>
      </c>
      <c r="D439" s="69">
        <v>-0.38329999999999997</v>
      </c>
      <c r="E439" s="70">
        <v>10.2332</v>
      </c>
      <c r="F439" s="69">
        <v>8.9319999999999997E-2</v>
      </c>
      <c r="G439" s="70"/>
      <c r="H439" s="70"/>
      <c r="I439" s="67" t="s">
        <v>946</v>
      </c>
    </row>
    <row r="440" spans="1:9" ht="15" customHeight="1">
      <c r="A440" s="67" t="s">
        <v>875</v>
      </c>
      <c r="B440" s="67" t="s">
        <v>365</v>
      </c>
      <c r="C440" s="68">
        <v>80.5</v>
      </c>
      <c r="D440" s="69">
        <v>-0.38329999999999997</v>
      </c>
      <c r="E440" s="70">
        <v>10.3393</v>
      </c>
      <c r="F440" s="69">
        <v>8.9260000000000006E-2</v>
      </c>
      <c r="G440" s="70"/>
      <c r="H440" s="70"/>
      <c r="I440" s="67" t="s">
        <v>947</v>
      </c>
    </row>
    <row r="441" spans="1:9" ht="15" customHeight="1">
      <c r="A441" s="67" t="s">
        <v>875</v>
      </c>
      <c r="B441" s="67" t="s">
        <v>365</v>
      </c>
      <c r="C441" s="68">
        <v>81</v>
      </c>
      <c r="D441" s="69">
        <v>-0.38329999999999997</v>
      </c>
      <c r="E441" s="70">
        <v>10.447699999999999</v>
      </c>
      <c r="F441" s="69">
        <v>8.9209999999999998E-2</v>
      </c>
      <c r="G441" s="70"/>
      <c r="H441" s="70"/>
      <c r="I441" s="67" t="s">
        <v>948</v>
      </c>
    </row>
    <row r="442" spans="1:9" ht="15" customHeight="1">
      <c r="A442" s="67" t="s">
        <v>875</v>
      </c>
      <c r="B442" s="67" t="s">
        <v>365</v>
      </c>
      <c r="C442" s="68">
        <v>81.5</v>
      </c>
      <c r="D442" s="69">
        <v>-0.38329999999999997</v>
      </c>
      <c r="E442" s="70">
        <v>10.5586</v>
      </c>
      <c r="F442" s="69">
        <v>8.9160000000000003E-2</v>
      </c>
      <c r="G442" s="70"/>
      <c r="H442" s="70"/>
      <c r="I442" s="67" t="s">
        <v>949</v>
      </c>
    </row>
    <row r="443" spans="1:9" ht="15" customHeight="1">
      <c r="A443" s="67" t="s">
        <v>875</v>
      </c>
      <c r="B443" s="67" t="s">
        <v>365</v>
      </c>
      <c r="C443" s="68">
        <v>82</v>
      </c>
      <c r="D443" s="69">
        <v>-0.38329999999999997</v>
      </c>
      <c r="E443" s="70">
        <v>10.671900000000001</v>
      </c>
      <c r="F443" s="69">
        <v>8.9120000000000005E-2</v>
      </c>
      <c r="G443" s="70"/>
      <c r="H443" s="70"/>
      <c r="I443" s="67" t="s">
        <v>950</v>
      </c>
    </row>
    <row r="444" spans="1:9" ht="15" customHeight="1">
      <c r="A444" s="67" t="s">
        <v>875</v>
      </c>
      <c r="B444" s="67" t="s">
        <v>365</v>
      </c>
      <c r="C444" s="68">
        <v>82.5</v>
      </c>
      <c r="D444" s="69">
        <v>-0.38329999999999997</v>
      </c>
      <c r="E444" s="70">
        <v>10.7874</v>
      </c>
      <c r="F444" s="69">
        <v>8.9080000000000006E-2</v>
      </c>
      <c r="G444" s="70"/>
      <c r="H444" s="70"/>
      <c r="I444" s="67" t="s">
        <v>951</v>
      </c>
    </row>
    <row r="445" spans="1:9" ht="15" customHeight="1">
      <c r="A445" s="67" t="s">
        <v>875</v>
      </c>
      <c r="B445" s="67" t="s">
        <v>365</v>
      </c>
      <c r="C445" s="68">
        <v>83</v>
      </c>
      <c r="D445" s="69">
        <v>-0.38329999999999997</v>
      </c>
      <c r="E445" s="70">
        <v>10.905099999999999</v>
      </c>
      <c r="F445" s="69">
        <v>8.9050000000000004E-2</v>
      </c>
      <c r="G445" s="70"/>
      <c r="H445" s="70"/>
      <c r="I445" s="67" t="s">
        <v>952</v>
      </c>
    </row>
    <row r="446" spans="1:9" ht="15" customHeight="1">
      <c r="A446" s="67" t="s">
        <v>875</v>
      </c>
      <c r="B446" s="67" t="s">
        <v>365</v>
      </c>
      <c r="C446" s="68">
        <v>83.5</v>
      </c>
      <c r="D446" s="69">
        <v>-0.38329999999999997</v>
      </c>
      <c r="E446" s="70">
        <v>11.024800000000001</v>
      </c>
      <c r="F446" s="69">
        <v>8.9020000000000002E-2</v>
      </c>
      <c r="G446" s="70"/>
      <c r="H446" s="70"/>
      <c r="I446" s="67" t="s">
        <v>953</v>
      </c>
    </row>
    <row r="447" spans="1:9" ht="15" customHeight="1">
      <c r="A447" s="67" t="s">
        <v>875</v>
      </c>
      <c r="B447" s="67" t="s">
        <v>365</v>
      </c>
      <c r="C447" s="68">
        <v>84</v>
      </c>
      <c r="D447" s="69">
        <v>-0.38329999999999997</v>
      </c>
      <c r="E447" s="70">
        <v>11.1462</v>
      </c>
      <c r="F447" s="69">
        <v>8.899E-2</v>
      </c>
      <c r="G447" s="70"/>
      <c r="H447" s="70"/>
      <c r="I447" s="67" t="s">
        <v>954</v>
      </c>
    </row>
    <row r="448" spans="1:9" ht="15" customHeight="1">
      <c r="A448" s="67" t="s">
        <v>875</v>
      </c>
      <c r="B448" s="67" t="s">
        <v>365</v>
      </c>
      <c r="C448" s="68">
        <v>84.5</v>
      </c>
      <c r="D448" s="69">
        <v>-0.38329999999999997</v>
      </c>
      <c r="E448" s="70">
        <v>11.2691</v>
      </c>
      <c r="F448" s="69">
        <v>8.8969999999999994E-2</v>
      </c>
      <c r="G448" s="70"/>
      <c r="H448" s="70"/>
      <c r="I448" s="67" t="s">
        <v>955</v>
      </c>
    </row>
    <row r="449" spans="1:9" ht="15" customHeight="1">
      <c r="A449" s="67" t="s">
        <v>875</v>
      </c>
      <c r="B449" s="67" t="s">
        <v>365</v>
      </c>
      <c r="C449" s="68">
        <v>85</v>
      </c>
      <c r="D449" s="69">
        <v>-0.38329999999999997</v>
      </c>
      <c r="E449" s="70">
        <v>11.3934</v>
      </c>
      <c r="F449" s="69">
        <v>8.8959999999999997E-2</v>
      </c>
      <c r="G449" s="70"/>
      <c r="H449" s="70"/>
      <c r="I449" s="67" t="s">
        <v>956</v>
      </c>
    </row>
    <row r="450" spans="1:9" ht="15" customHeight="1">
      <c r="A450" s="67" t="s">
        <v>875</v>
      </c>
      <c r="B450" s="67" t="s">
        <v>365</v>
      </c>
      <c r="C450" s="68">
        <v>85.5</v>
      </c>
      <c r="D450" s="69">
        <v>-0.38329999999999997</v>
      </c>
      <c r="E450" s="70">
        <v>11.518599999999999</v>
      </c>
      <c r="F450" s="69">
        <v>8.8950000000000001E-2</v>
      </c>
      <c r="G450" s="70"/>
      <c r="H450" s="70"/>
      <c r="I450" s="67" t="s">
        <v>957</v>
      </c>
    </row>
    <row r="451" spans="1:9" ht="15" customHeight="1">
      <c r="A451" s="67" t="s">
        <v>875</v>
      </c>
      <c r="B451" s="67" t="s">
        <v>365</v>
      </c>
      <c r="C451" s="68">
        <v>86</v>
      </c>
      <c r="D451" s="69">
        <v>-0.38329999999999997</v>
      </c>
      <c r="E451" s="70">
        <v>11.644399999999999</v>
      </c>
      <c r="F451" s="69">
        <v>8.8950000000000001E-2</v>
      </c>
      <c r="G451" s="70"/>
      <c r="H451" s="70"/>
      <c r="I451" s="67" t="s">
        <v>958</v>
      </c>
    </row>
    <row r="452" spans="1:9" ht="15" customHeight="1">
      <c r="A452" s="67" t="s">
        <v>875</v>
      </c>
      <c r="B452" s="67" t="s">
        <v>365</v>
      </c>
      <c r="C452" s="68">
        <v>86.5</v>
      </c>
      <c r="D452" s="69">
        <v>-0.38329999999999997</v>
      </c>
      <c r="E452" s="70">
        <v>11.7705</v>
      </c>
      <c r="F452" s="69">
        <v>8.8950000000000001E-2</v>
      </c>
      <c r="G452" s="70"/>
      <c r="H452" s="70"/>
      <c r="I452" s="67" t="s">
        <v>959</v>
      </c>
    </row>
    <row r="453" spans="1:9" ht="15" customHeight="1">
      <c r="A453" s="67" t="s">
        <v>875</v>
      </c>
      <c r="B453" s="67" t="s">
        <v>365</v>
      </c>
      <c r="C453" s="68">
        <v>87</v>
      </c>
      <c r="D453" s="69">
        <v>-0.38329999999999997</v>
      </c>
      <c r="E453" s="70">
        <v>11.8965</v>
      </c>
      <c r="F453" s="69">
        <v>8.8959999999999997E-2</v>
      </c>
      <c r="G453" s="70"/>
      <c r="H453" s="70"/>
      <c r="I453" s="67" t="s">
        <v>960</v>
      </c>
    </row>
    <row r="454" spans="1:9" ht="15" customHeight="1">
      <c r="A454" s="67" t="s">
        <v>875</v>
      </c>
      <c r="B454" s="67" t="s">
        <v>365</v>
      </c>
      <c r="C454" s="68">
        <v>87.5</v>
      </c>
      <c r="D454" s="69">
        <v>-0.38329999999999997</v>
      </c>
      <c r="E454" s="70">
        <v>12.0223</v>
      </c>
      <c r="F454" s="69">
        <v>8.8969999999999994E-2</v>
      </c>
      <c r="G454" s="70"/>
      <c r="H454" s="70"/>
      <c r="I454" s="67" t="s">
        <v>961</v>
      </c>
    </row>
    <row r="455" spans="1:9" ht="15" customHeight="1">
      <c r="A455" s="67" t="s">
        <v>875</v>
      </c>
      <c r="B455" s="67" t="s">
        <v>365</v>
      </c>
      <c r="C455" s="68">
        <v>88</v>
      </c>
      <c r="D455" s="69">
        <v>-0.38329999999999997</v>
      </c>
      <c r="E455" s="70">
        <v>12.1478</v>
      </c>
      <c r="F455" s="69">
        <v>8.899E-2</v>
      </c>
      <c r="G455" s="70"/>
      <c r="H455" s="70"/>
      <c r="I455" s="67" t="s">
        <v>962</v>
      </c>
    </row>
    <row r="456" spans="1:9" ht="15" customHeight="1">
      <c r="A456" s="67" t="s">
        <v>875</v>
      </c>
      <c r="B456" s="67" t="s">
        <v>365</v>
      </c>
      <c r="C456" s="68">
        <v>88.5</v>
      </c>
      <c r="D456" s="69">
        <v>-0.38329999999999997</v>
      </c>
      <c r="E456" s="70">
        <v>12.2729</v>
      </c>
      <c r="F456" s="69">
        <v>8.9010000000000006E-2</v>
      </c>
      <c r="G456" s="70"/>
      <c r="H456" s="70"/>
      <c r="I456" s="67" t="s">
        <v>963</v>
      </c>
    </row>
    <row r="457" spans="1:9" ht="15" customHeight="1">
      <c r="A457" s="67" t="s">
        <v>875</v>
      </c>
      <c r="B457" s="67" t="s">
        <v>365</v>
      </c>
      <c r="C457" s="68">
        <v>89</v>
      </c>
      <c r="D457" s="69">
        <v>-0.38329999999999997</v>
      </c>
      <c r="E457" s="70">
        <v>12.397600000000001</v>
      </c>
      <c r="F457" s="69">
        <v>8.9039999999999994E-2</v>
      </c>
      <c r="G457" s="70"/>
      <c r="H457" s="70"/>
      <c r="I457" s="67" t="s">
        <v>964</v>
      </c>
    </row>
    <row r="458" spans="1:9" ht="15" customHeight="1">
      <c r="A458" s="67" t="s">
        <v>875</v>
      </c>
      <c r="B458" s="67" t="s">
        <v>365</v>
      </c>
      <c r="C458" s="68">
        <v>89.5</v>
      </c>
      <c r="D458" s="69">
        <v>-0.38329999999999997</v>
      </c>
      <c r="E458" s="70">
        <v>12.522</v>
      </c>
      <c r="F458" s="69">
        <v>8.9069999999999996E-2</v>
      </c>
      <c r="G458" s="70"/>
      <c r="H458" s="70"/>
      <c r="I458" s="67" t="s">
        <v>965</v>
      </c>
    </row>
    <row r="459" spans="1:9" ht="15" customHeight="1">
      <c r="A459" s="67" t="s">
        <v>875</v>
      </c>
      <c r="B459" s="67" t="s">
        <v>365</v>
      </c>
      <c r="C459" s="68">
        <v>90</v>
      </c>
      <c r="D459" s="69">
        <v>-0.38329999999999997</v>
      </c>
      <c r="E459" s="70">
        <v>12.646100000000001</v>
      </c>
      <c r="F459" s="69">
        <v>8.9109999999999995E-2</v>
      </c>
      <c r="G459" s="70"/>
      <c r="H459" s="70"/>
      <c r="I459" s="67" t="s">
        <v>966</v>
      </c>
    </row>
    <row r="460" spans="1:9" ht="15" customHeight="1">
      <c r="A460" s="67" t="s">
        <v>875</v>
      </c>
      <c r="B460" s="67" t="s">
        <v>365</v>
      </c>
      <c r="C460" s="68">
        <v>90.5</v>
      </c>
      <c r="D460" s="69">
        <v>-0.38329999999999997</v>
      </c>
      <c r="E460" s="70">
        <v>12.77</v>
      </c>
      <c r="F460" s="69">
        <v>8.9149999999999993E-2</v>
      </c>
      <c r="G460" s="70"/>
      <c r="H460" s="70"/>
      <c r="I460" s="67" t="s">
        <v>967</v>
      </c>
    </row>
    <row r="461" spans="1:9" ht="15" customHeight="1">
      <c r="A461" s="67" t="s">
        <v>875</v>
      </c>
      <c r="B461" s="67" t="s">
        <v>365</v>
      </c>
      <c r="C461" s="68">
        <v>91</v>
      </c>
      <c r="D461" s="69">
        <v>-0.38329999999999997</v>
      </c>
      <c r="E461" s="70">
        <v>12.8939</v>
      </c>
      <c r="F461" s="69">
        <v>8.9200000000000002E-2</v>
      </c>
      <c r="G461" s="70"/>
      <c r="H461" s="70"/>
      <c r="I461" s="67" t="s">
        <v>968</v>
      </c>
    </row>
    <row r="462" spans="1:9" ht="15" customHeight="1">
      <c r="A462" s="67" t="s">
        <v>875</v>
      </c>
      <c r="B462" s="67" t="s">
        <v>365</v>
      </c>
      <c r="C462" s="68">
        <v>91.5</v>
      </c>
      <c r="D462" s="69">
        <v>-0.38329999999999997</v>
      </c>
      <c r="E462" s="70">
        <v>13.0177</v>
      </c>
      <c r="F462" s="69">
        <v>8.9249999999999996E-2</v>
      </c>
      <c r="G462" s="70"/>
      <c r="H462" s="70"/>
      <c r="I462" s="67" t="s">
        <v>969</v>
      </c>
    </row>
    <row r="463" spans="1:9" ht="15" customHeight="1">
      <c r="A463" s="67" t="s">
        <v>875</v>
      </c>
      <c r="B463" s="67" t="s">
        <v>365</v>
      </c>
      <c r="C463" s="68">
        <v>92</v>
      </c>
      <c r="D463" s="69">
        <v>-0.38329999999999997</v>
      </c>
      <c r="E463" s="70">
        <v>13.141500000000001</v>
      </c>
      <c r="F463" s="69">
        <v>8.931E-2</v>
      </c>
      <c r="G463" s="70"/>
      <c r="H463" s="70"/>
      <c r="I463" s="67" t="s">
        <v>970</v>
      </c>
    </row>
    <row r="464" spans="1:9" ht="15" customHeight="1">
      <c r="A464" s="67" t="s">
        <v>875</v>
      </c>
      <c r="B464" s="67" t="s">
        <v>365</v>
      </c>
      <c r="C464" s="68">
        <v>92.5</v>
      </c>
      <c r="D464" s="69">
        <v>-0.38329999999999997</v>
      </c>
      <c r="E464" s="70">
        <v>13.2654</v>
      </c>
      <c r="F464" s="69">
        <v>8.9370000000000005E-2</v>
      </c>
      <c r="G464" s="70"/>
      <c r="H464" s="70"/>
      <c r="I464" s="67" t="s">
        <v>971</v>
      </c>
    </row>
    <row r="465" spans="1:9" ht="15" customHeight="1">
      <c r="A465" s="67" t="s">
        <v>875</v>
      </c>
      <c r="B465" s="67" t="s">
        <v>365</v>
      </c>
      <c r="C465" s="68">
        <v>93</v>
      </c>
      <c r="D465" s="69">
        <v>-0.38329999999999997</v>
      </c>
      <c r="E465" s="70">
        <v>13.3896</v>
      </c>
      <c r="F465" s="69">
        <v>8.9440000000000006E-2</v>
      </c>
      <c r="G465" s="70"/>
      <c r="H465" s="70"/>
      <c r="I465" s="67" t="s">
        <v>972</v>
      </c>
    </row>
    <row r="466" spans="1:9" ht="15" customHeight="1">
      <c r="A466" s="67" t="s">
        <v>875</v>
      </c>
      <c r="B466" s="67" t="s">
        <v>365</v>
      </c>
      <c r="C466" s="68">
        <v>93.5</v>
      </c>
      <c r="D466" s="69">
        <v>-0.38329999999999997</v>
      </c>
      <c r="E466" s="70">
        <v>13.514200000000001</v>
      </c>
      <c r="F466" s="69">
        <v>8.9510000000000006E-2</v>
      </c>
      <c r="G466" s="70"/>
      <c r="H466" s="70"/>
      <c r="I466" s="67" t="s">
        <v>973</v>
      </c>
    </row>
    <row r="467" spans="1:9" ht="15" customHeight="1">
      <c r="A467" s="67" t="s">
        <v>875</v>
      </c>
      <c r="B467" s="67" t="s">
        <v>365</v>
      </c>
      <c r="C467" s="68">
        <v>94</v>
      </c>
      <c r="D467" s="69">
        <v>-0.38329999999999997</v>
      </c>
      <c r="E467" s="70">
        <v>13.6393</v>
      </c>
      <c r="F467" s="69">
        <v>8.9590000000000003E-2</v>
      </c>
      <c r="G467" s="70"/>
      <c r="H467" s="70"/>
      <c r="I467" s="67" t="s">
        <v>974</v>
      </c>
    </row>
    <row r="468" spans="1:9" ht="15" customHeight="1">
      <c r="A468" s="67" t="s">
        <v>875</v>
      </c>
      <c r="B468" s="67" t="s">
        <v>365</v>
      </c>
      <c r="C468" s="68">
        <v>94.5</v>
      </c>
      <c r="D468" s="69">
        <v>-0.38329999999999997</v>
      </c>
      <c r="E468" s="70">
        <v>13.765000000000001</v>
      </c>
      <c r="F468" s="69">
        <v>8.967E-2</v>
      </c>
      <c r="G468" s="70"/>
      <c r="H468" s="70"/>
      <c r="I468" s="67" t="s">
        <v>975</v>
      </c>
    </row>
    <row r="469" spans="1:9" ht="15" customHeight="1">
      <c r="A469" s="67" t="s">
        <v>875</v>
      </c>
      <c r="B469" s="67" t="s">
        <v>365</v>
      </c>
      <c r="C469" s="68">
        <v>95</v>
      </c>
      <c r="D469" s="69">
        <v>-0.38329999999999997</v>
      </c>
      <c r="E469" s="70">
        <v>13.891400000000001</v>
      </c>
      <c r="F469" s="69">
        <v>8.9749999999999996E-2</v>
      </c>
      <c r="G469" s="70"/>
      <c r="H469" s="70"/>
      <c r="I469" s="67" t="s">
        <v>976</v>
      </c>
    </row>
    <row r="470" spans="1:9" ht="15" customHeight="1">
      <c r="A470" s="67" t="s">
        <v>875</v>
      </c>
      <c r="B470" s="67" t="s">
        <v>365</v>
      </c>
      <c r="C470" s="68">
        <v>95.5</v>
      </c>
      <c r="D470" s="69">
        <v>-0.38329999999999997</v>
      </c>
      <c r="E470" s="70">
        <v>14.018599999999999</v>
      </c>
      <c r="F470" s="69">
        <v>8.9840000000000003E-2</v>
      </c>
      <c r="G470" s="70"/>
      <c r="H470" s="70"/>
      <c r="I470" s="67" t="s">
        <v>977</v>
      </c>
    </row>
    <row r="471" spans="1:9" ht="15" customHeight="1">
      <c r="A471" s="67" t="s">
        <v>875</v>
      </c>
      <c r="B471" s="67" t="s">
        <v>365</v>
      </c>
      <c r="C471" s="68">
        <v>96</v>
      </c>
      <c r="D471" s="69">
        <v>-0.38329999999999997</v>
      </c>
      <c r="E471" s="70">
        <v>14.146599999999999</v>
      </c>
      <c r="F471" s="69">
        <v>8.9940000000000006E-2</v>
      </c>
      <c r="G471" s="70"/>
      <c r="H471" s="70"/>
      <c r="I471" s="67" t="s">
        <v>978</v>
      </c>
    </row>
    <row r="472" spans="1:9" ht="15" customHeight="1">
      <c r="A472" s="67" t="s">
        <v>875</v>
      </c>
      <c r="B472" s="67" t="s">
        <v>365</v>
      </c>
      <c r="C472" s="68">
        <v>96.5</v>
      </c>
      <c r="D472" s="69">
        <v>-0.38329999999999997</v>
      </c>
      <c r="E472" s="70">
        <v>14.275700000000001</v>
      </c>
      <c r="F472" s="69">
        <v>9.0039999999999995E-2</v>
      </c>
      <c r="G472" s="70"/>
      <c r="H472" s="70"/>
      <c r="I472" s="67" t="s">
        <v>979</v>
      </c>
    </row>
    <row r="473" spans="1:9" ht="15" customHeight="1">
      <c r="A473" s="67" t="s">
        <v>875</v>
      </c>
      <c r="B473" s="67" t="s">
        <v>365</v>
      </c>
      <c r="C473" s="68">
        <v>97</v>
      </c>
      <c r="D473" s="69">
        <v>-0.38329999999999997</v>
      </c>
      <c r="E473" s="70">
        <v>14.405900000000001</v>
      </c>
      <c r="F473" s="69">
        <v>9.0149999999999994E-2</v>
      </c>
      <c r="G473" s="70"/>
      <c r="H473" s="70"/>
      <c r="I473" s="67" t="s">
        <v>980</v>
      </c>
    </row>
    <row r="474" spans="1:9" ht="15" customHeight="1">
      <c r="A474" s="67" t="s">
        <v>875</v>
      </c>
      <c r="B474" s="67" t="s">
        <v>365</v>
      </c>
      <c r="C474" s="68">
        <v>97.5</v>
      </c>
      <c r="D474" s="69">
        <v>-0.38329999999999997</v>
      </c>
      <c r="E474" s="70">
        <v>14.537599999999999</v>
      </c>
      <c r="F474" s="69">
        <v>9.0260000000000007E-2</v>
      </c>
      <c r="G474" s="70"/>
      <c r="H474" s="70"/>
      <c r="I474" s="67" t="s">
        <v>981</v>
      </c>
    </row>
    <row r="475" spans="1:9" ht="15" customHeight="1">
      <c r="A475" s="67" t="s">
        <v>875</v>
      </c>
      <c r="B475" s="67" t="s">
        <v>365</v>
      </c>
      <c r="C475" s="68">
        <v>98</v>
      </c>
      <c r="D475" s="69">
        <v>-0.38329999999999997</v>
      </c>
      <c r="E475" s="70">
        <v>14.670999999999999</v>
      </c>
      <c r="F475" s="69">
        <v>9.0370000000000006E-2</v>
      </c>
      <c r="G475" s="70"/>
      <c r="H475" s="70"/>
      <c r="I475" s="67" t="s">
        <v>982</v>
      </c>
    </row>
    <row r="476" spans="1:9" ht="15" customHeight="1">
      <c r="A476" s="67" t="s">
        <v>875</v>
      </c>
      <c r="B476" s="67" t="s">
        <v>365</v>
      </c>
      <c r="C476" s="68">
        <v>98.5</v>
      </c>
      <c r="D476" s="69">
        <v>-0.38329999999999997</v>
      </c>
      <c r="E476" s="70">
        <v>14.8062</v>
      </c>
      <c r="F476" s="69">
        <v>9.0490000000000001E-2</v>
      </c>
      <c r="G476" s="70"/>
      <c r="H476" s="70"/>
      <c r="I476" s="67" t="s">
        <v>983</v>
      </c>
    </row>
    <row r="477" spans="1:9" ht="15" customHeight="1">
      <c r="A477" s="67" t="s">
        <v>875</v>
      </c>
      <c r="B477" s="67" t="s">
        <v>365</v>
      </c>
      <c r="C477" s="68">
        <v>99</v>
      </c>
      <c r="D477" s="69">
        <v>-0.38329999999999997</v>
      </c>
      <c r="E477" s="70">
        <v>14.9434</v>
      </c>
      <c r="F477" s="69">
        <v>9.0620000000000006E-2</v>
      </c>
      <c r="G477" s="70"/>
      <c r="H477" s="70"/>
      <c r="I477" s="67" t="s">
        <v>984</v>
      </c>
    </row>
    <row r="478" spans="1:9" ht="15" customHeight="1">
      <c r="A478" s="67" t="s">
        <v>875</v>
      </c>
      <c r="B478" s="67" t="s">
        <v>365</v>
      </c>
      <c r="C478" s="68">
        <v>99.5</v>
      </c>
      <c r="D478" s="69">
        <v>-0.38329999999999997</v>
      </c>
      <c r="E478" s="70">
        <v>15.082800000000001</v>
      </c>
      <c r="F478" s="69">
        <v>9.0749999999999997E-2</v>
      </c>
      <c r="G478" s="70"/>
      <c r="H478" s="70"/>
      <c r="I478" s="67" t="s">
        <v>985</v>
      </c>
    </row>
    <row r="479" spans="1:9" ht="15" customHeight="1">
      <c r="A479" s="67" t="s">
        <v>875</v>
      </c>
      <c r="B479" s="67" t="s">
        <v>365</v>
      </c>
      <c r="C479" s="68">
        <v>100</v>
      </c>
      <c r="D479" s="69">
        <v>-0.38329999999999997</v>
      </c>
      <c r="E479" s="70">
        <v>15.224600000000001</v>
      </c>
      <c r="F479" s="69">
        <v>9.0880000000000002E-2</v>
      </c>
      <c r="G479" s="70"/>
      <c r="H479" s="70"/>
      <c r="I479" s="67" t="s">
        <v>986</v>
      </c>
    </row>
    <row r="480" spans="1:9" ht="15" customHeight="1">
      <c r="A480" s="67" t="s">
        <v>875</v>
      </c>
      <c r="B480" s="67" t="s">
        <v>365</v>
      </c>
      <c r="C480" s="68">
        <v>100.5</v>
      </c>
      <c r="D480" s="69">
        <v>-0.38329999999999997</v>
      </c>
      <c r="E480" s="70">
        <v>15.3687</v>
      </c>
      <c r="F480" s="69">
        <v>9.1020000000000004E-2</v>
      </c>
      <c r="G480" s="70"/>
      <c r="H480" s="70"/>
      <c r="I480" s="67" t="s">
        <v>987</v>
      </c>
    </row>
    <row r="481" spans="1:9" ht="15" customHeight="1">
      <c r="A481" s="67" t="s">
        <v>875</v>
      </c>
      <c r="B481" s="67" t="s">
        <v>365</v>
      </c>
      <c r="C481" s="68">
        <v>101</v>
      </c>
      <c r="D481" s="69">
        <v>-0.38329999999999997</v>
      </c>
      <c r="E481" s="70">
        <v>15.5154</v>
      </c>
      <c r="F481" s="69">
        <v>9.1160000000000005E-2</v>
      </c>
      <c r="G481" s="70"/>
      <c r="H481" s="70"/>
      <c r="I481" s="67" t="s">
        <v>988</v>
      </c>
    </row>
    <row r="482" spans="1:9" ht="15" customHeight="1">
      <c r="A482" s="67" t="s">
        <v>875</v>
      </c>
      <c r="B482" s="67" t="s">
        <v>365</v>
      </c>
      <c r="C482" s="68">
        <v>101.5</v>
      </c>
      <c r="D482" s="69">
        <v>-0.38329999999999997</v>
      </c>
      <c r="E482" s="70">
        <v>15.6646</v>
      </c>
      <c r="F482" s="69">
        <v>9.1310000000000002E-2</v>
      </c>
      <c r="G482" s="70"/>
      <c r="H482" s="70"/>
      <c r="I482" s="67" t="s">
        <v>989</v>
      </c>
    </row>
    <row r="483" spans="1:9" ht="15" customHeight="1">
      <c r="A483" s="67" t="s">
        <v>875</v>
      </c>
      <c r="B483" s="67" t="s">
        <v>365</v>
      </c>
      <c r="C483" s="68">
        <v>102</v>
      </c>
      <c r="D483" s="69">
        <v>-0.38329999999999997</v>
      </c>
      <c r="E483" s="70">
        <v>15.8164</v>
      </c>
      <c r="F483" s="69">
        <v>9.146E-2</v>
      </c>
      <c r="G483" s="70"/>
      <c r="H483" s="70"/>
      <c r="I483" s="67" t="s">
        <v>990</v>
      </c>
    </row>
    <row r="484" spans="1:9" ht="15" customHeight="1">
      <c r="A484" s="67" t="s">
        <v>875</v>
      </c>
      <c r="B484" s="67" t="s">
        <v>365</v>
      </c>
      <c r="C484" s="68">
        <v>102.5</v>
      </c>
      <c r="D484" s="69">
        <v>-0.38329999999999997</v>
      </c>
      <c r="E484" s="70">
        <v>15.970700000000001</v>
      </c>
      <c r="F484" s="69">
        <v>9.1609999999999997E-2</v>
      </c>
      <c r="G484" s="70"/>
      <c r="H484" s="70"/>
      <c r="I484" s="67" t="s">
        <v>991</v>
      </c>
    </row>
    <row r="485" spans="1:9" ht="15" customHeight="1">
      <c r="A485" s="67" t="s">
        <v>875</v>
      </c>
      <c r="B485" s="67" t="s">
        <v>365</v>
      </c>
      <c r="C485" s="68">
        <v>103</v>
      </c>
      <c r="D485" s="69">
        <v>-0.38329999999999997</v>
      </c>
      <c r="E485" s="70">
        <v>16.127600000000001</v>
      </c>
      <c r="F485" s="69">
        <v>9.1770000000000004E-2</v>
      </c>
      <c r="G485" s="70"/>
      <c r="H485" s="70"/>
      <c r="I485" s="67" t="s">
        <v>992</v>
      </c>
    </row>
    <row r="486" spans="1:9" ht="15" customHeight="1">
      <c r="A486" s="67" t="s">
        <v>875</v>
      </c>
      <c r="B486" s="67" t="s">
        <v>365</v>
      </c>
      <c r="C486" s="68">
        <v>103.5</v>
      </c>
      <c r="D486" s="69">
        <v>-0.38329999999999997</v>
      </c>
      <c r="E486" s="70">
        <v>16.286999999999999</v>
      </c>
      <c r="F486" s="69">
        <v>9.1929999999999998E-2</v>
      </c>
      <c r="G486" s="70"/>
      <c r="H486" s="70"/>
      <c r="I486" s="67" t="s">
        <v>993</v>
      </c>
    </row>
    <row r="487" spans="1:9" ht="15" customHeight="1">
      <c r="A487" s="67" t="s">
        <v>875</v>
      </c>
      <c r="B487" s="67" t="s">
        <v>365</v>
      </c>
      <c r="C487" s="68">
        <v>104</v>
      </c>
      <c r="D487" s="69">
        <v>-0.38329999999999997</v>
      </c>
      <c r="E487" s="70">
        <v>16.448799999999999</v>
      </c>
      <c r="F487" s="69">
        <v>9.2090000000000005E-2</v>
      </c>
      <c r="G487" s="70"/>
      <c r="H487" s="70"/>
      <c r="I487" s="67" t="s">
        <v>994</v>
      </c>
    </row>
    <row r="488" spans="1:9" ht="15" customHeight="1">
      <c r="A488" s="67" t="s">
        <v>875</v>
      </c>
      <c r="B488" s="67" t="s">
        <v>365</v>
      </c>
      <c r="C488" s="68">
        <v>104.5</v>
      </c>
      <c r="D488" s="69">
        <v>-0.38329999999999997</v>
      </c>
      <c r="E488" s="70">
        <v>16.613099999999999</v>
      </c>
      <c r="F488" s="69">
        <v>9.2259999999999995E-2</v>
      </c>
      <c r="G488" s="70"/>
      <c r="H488" s="70"/>
      <c r="I488" s="67" t="s">
        <v>995</v>
      </c>
    </row>
    <row r="489" spans="1:9" ht="15" customHeight="1">
      <c r="A489" s="67" t="s">
        <v>875</v>
      </c>
      <c r="B489" s="67" t="s">
        <v>365</v>
      </c>
      <c r="C489" s="68">
        <v>105</v>
      </c>
      <c r="D489" s="69">
        <v>-0.38329999999999997</v>
      </c>
      <c r="E489" s="70">
        <v>16.78</v>
      </c>
      <c r="F489" s="69">
        <v>9.2429999999999998E-2</v>
      </c>
      <c r="G489" s="70"/>
      <c r="H489" s="70"/>
      <c r="I489" s="67" t="s">
        <v>996</v>
      </c>
    </row>
    <row r="490" spans="1:9" ht="15" customHeight="1">
      <c r="A490" s="67" t="s">
        <v>875</v>
      </c>
      <c r="B490" s="67" t="s">
        <v>365</v>
      </c>
      <c r="C490" s="68">
        <v>105.5</v>
      </c>
      <c r="D490" s="69">
        <v>-0.38329999999999997</v>
      </c>
      <c r="E490" s="70">
        <v>16.9496</v>
      </c>
      <c r="F490" s="69">
        <v>9.2609999999999998E-2</v>
      </c>
      <c r="G490" s="70"/>
      <c r="H490" s="70"/>
      <c r="I490" s="67" t="s">
        <v>997</v>
      </c>
    </row>
    <row r="491" spans="1:9" ht="15" customHeight="1">
      <c r="A491" s="67" t="s">
        <v>875</v>
      </c>
      <c r="B491" s="67" t="s">
        <v>365</v>
      </c>
      <c r="C491" s="68">
        <v>106</v>
      </c>
      <c r="D491" s="69">
        <v>-0.38329999999999997</v>
      </c>
      <c r="E491" s="70">
        <v>17.122</v>
      </c>
      <c r="F491" s="69">
        <v>9.2780000000000001E-2</v>
      </c>
      <c r="G491" s="70"/>
      <c r="H491" s="70"/>
      <c r="I491" s="67" t="s">
        <v>998</v>
      </c>
    </row>
    <row r="492" spans="1:9" ht="15" customHeight="1">
      <c r="A492" s="67" t="s">
        <v>875</v>
      </c>
      <c r="B492" s="67" t="s">
        <v>365</v>
      </c>
      <c r="C492" s="68">
        <v>106.5</v>
      </c>
      <c r="D492" s="69">
        <v>-0.38329999999999997</v>
      </c>
      <c r="E492" s="70">
        <v>17.2973</v>
      </c>
      <c r="F492" s="69">
        <v>9.2960000000000001E-2</v>
      </c>
      <c r="G492" s="70"/>
      <c r="H492" s="70"/>
      <c r="I492" s="67" t="s">
        <v>999</v>
      </c>
    </row>
    <row r="493" spans="1:9" ht="15" customHeight="1">
      <c r="A493" s="67" t="s">
        <v>875</v>
      </c>
      <c r="B493" s="67" t="s">
        <v>365</v>
      </c>
      <c r="C493" s="68">
        <v>107</v>
      </c>
      <c r="D493" s="69">
        <v>-0.38329999999999997</v>
      </c>
      <c r="E493" s="70">
        <v>17.4755</v>
      </c>
      <c r="F493" s="69">
        <v>9.3149999999999997E-2</v>
      </c>
      <c r="G493" s="70"/>
      <c r="H493" s="70"/>
      <c r="I493" s="67" t="s">
        <v>1000</v>
      </c>
    </row>
    <row r="494" spans="1:9" ht="15" customHeight="1">
      <c r="A494" s="67" t="s">
        <v>875</v>
      </c>
      <c r="B494" s="67" t="s">
        <v>365</v>
      </c>
      <c r="C494" s="68">
        <v>107.5</v>
      </c>
      <c r="D494" s="69">
        <v>-0.38329999999999997</v>
      </c>
      <c r="E494" s="70">
        <v>17.656700000000001</v>
      </c>
      <c r="F494" s="69">
        <v>9.3329999999999996E-2</v>
      </c>
      <c r="G494" s="70"/>
      <c r="H494" s="70"/>
      <c r="I494" s="67" t="s">
        <v>1001</v>
      </c>
    </row>
    <row r="495" spans="1:9" ht="15" customHeight="1">
      <c r="A495" s="67" t="s">
        <v>875</v>
      </c>
      <c r="B495" s="67" t="s">
        <v>365</v>
      </c>
      <c r="C495" s="68">
        <v>108</v>
      </c>
      <c r="D495" s="69">
        <v>-0.38329999999999997</v>
      </c>
      <c r="E495" s="70">
        <v>17.840699999999998</v>
      </c>
      <c r="F495" s="69">
        <v>9.3520000000000006E-2</v>
      </c>
      <c r="G495" s="70"/>
      <c r="H495" s="70"/>
      <c r="I495" s="67" t="s">
        <v>1002</v>
      </c>
    </row>
    <row r="496" spans="1:9" ht="15" customHeight="1">
      <c r="A496" s="67" t="s">
        <v>875</v>
      </c>
      <c r="B496" s="67" t="s">
        <v>365</v>
      </c>
      <c r="C496" s="68">
        <v>108.5</v>
      </c>
      <c r="D496" s="69">
        <v>-0.38329999999999997</v>
      </c>
      <c r="E496" s="70">
        <v>18.027699999999999</v>
      </c>
      <c r="F496" s="69">
        <v>9.3710000000000002E-2</v>
      </c>
      <c r="G496" s="70"/>
      <c r="H496" s="70"/>
      <c r="I496" s="67" t="s">
        <v>1003</v>
      </c>
    </row>
    <row r="497" spans="1:9" ht="15" customHeight="1">
      <c r="A497" s="67" t="s">
        <v>875</v>
      </c>
      <c r="B497" s="67" t="s">
        <v>365</v>
      </c>
      <c r="C497" s="68">
        <v>109</v>
      </c>
      <c r="D497" s="69">
        <v>-0.38329999999999997</v>
      </c>
      <c r="E497" s="70">
        <v>18.217400000000001</v>
      </c>
      <c r="F497" s="69">
        <v>9.3899999999999997E-2</v>
      </c>
      <c r="G497" s="70"/>
      <c r="H497" s="70"/>
      <c r="I497" s="67" t="s">
        <v>1004</v>
      </c>
    </row>
    <row r="498" spans="1:9" ht="15" customHeight="1">
      <c r="A498" s="67" t="s">
        <v>875</v>
      </c>
      <c r="B498" s="67" t="s">
        <v>365</v>
      </c>
      <c r="C498" s="68">
        <v>109.5</v>
      </c>
      <c r="D498" s="69">
        <v>-0.38329999999999997</v>
      </c>
      <c r="E498" s="70">
        <v>18.409600000000001</v>
      </c>
      <c r="F498" s="69">
        <v>9.4089999999999993E-2</v>
      </c>
      <c r="G498" s="70"/>
      <c r="H498" s="70"/>
      <c r="I498" s="67" t="s">
        <v>1005</v>
      </c>
    </row>
    <row r="499" spans="1:9" ht="15" customHeight="1">
      <c r="A499" s="67" t="s">
        <v>875</v>
      </c>
      <c r="B499" s="67" t="s">
        <v>365</v>
      </c>
      <c r="C499" s="68">
        <v>110</v>
      </c>
      <c r="D499" s="69">
        <v>-0.38329999999999997</v>
      </c>
      <c r="E499" s="70">
        <v>18.604299999999999</v>
      </c>
      <c r="F499" s="69">
        <v>9.4280000000000003E-2</v>
      </c>
      <c r="G499" s="70"/>
      <c r="H499" s="70"/>
      <c r="I499" s="67" t="s">
        <v>1006</v>
      </c>
    </row>
    <row r="500" spans="1:9" ht="15" customHeight="1">
      <c r="A500" s="67" t="s">
        <v>875</v>
      </c>
      <c r="B500" s="67" t="s">
        <v>365</v>
      </c>
      <c r="C500" s="68">
        <v>110.5</v>
      </c>
      <c r="D500" s="69">
        <v>-0.38329999999999997</v>
      </c>
      <c r="E500" s="70">
        <v>18.801500000000001</v>
      </c>
      <c r="F500" s="69">
        <v>9.4479999999999995E-2</v>
      </c>
      <c r="G500" s="70"/>
      <c r="H500" s="70"/>
      <c r="I500" s="67" t="s">
        <v>1007</v>
      </c>
    </row>
    <row r="501" spans="1:9" ht="15" customHeight="1">
      <c r="A501" s="67" t="s">
        <v>875</v>
      </c>
      <c r="B501" s="67" t="s">
        <v>365</v>
      </c>
      <c r="C501" s="68">
        <v>111</v>
      </c>
      <c r="D501" s="69">
        <v>-0.38329999999999997</v>
      </c>
      <c r="E501" s="70">
        <v>19.000900000000001</v>
      </c>
      <c r="F501" s="69">
        <v>9.4670000000000004E-2</v>
      </c>
      <c r="G501" s="70"/>
      <c r="H501" s="70"/>
      <c r="I501" s="67" t="s">
        <v>1008</v>
      </c>
    </row>
    <row r="502" spans="1:9" ht="15" customHeight="1">
      <c r="A502" s="67" t="s">
        <v>875</v>
      </c>
      <c r="B502" s="67" t="s">
        <v>365</v>
      </c>
      <c r="C502" s="68">
        <v>111.5</v>
      </c>
      <c r="D502" s="69">
        <v>-0.38329999999999997</v>
      </c>
      <c r="E502" s="70">
        <v>19.202400000000001</v>
      </c>
      <c r="F502" s="69">
        <v>9.4869999999999996E-2</v>
      </c>
      <c r="G502" s="70"/>
      <c r="H502" s="70"/>
      <c r="I502" s="67" t="s">
        <v>1009</v>
      </c>
    </row>
    <row r="503" spans="1:9" ht="15" customHeight="1">
      <c r="A503" s="67" t="s">
        <v>875</v>
      </c>
      <c r="B503" s="67" t="s">
        <v>365</v>
      </c>
      <c r="C503" s="68">
        <v>112</v>
      </c>
      <c r="D503" s="69">
        <v>-0.38329999999999997</v>
      </c>
      <c r="E503" s="70">
        <v>19.405999999999999</v>
      </c>
      <c r="F503" s="69">
        <v>9.5070000000000002E-2</v>
      </c>
      <c r="G503" s="70"/>
      <c r="H503" s="70"/>
      <c r="I503" s="67" t="s">
        <v>1010</v>
      </c>
    </row>
    <row r="504" spans="1:9" ht="15" customHeight="1">
      <c r="A504" s="67" t="s">
        <v>875</v>
      </c>
      <c r="B504" s="67" t="s">
        <v>365</v>
      </c>
      <c r="C504" s="68">
        <v>112.5</v>
      </c>
      <c r="D504" s="69">
        <v>-0.38329999999999997</v>
      </c>
      <c r="E504" s="70">
        <v>19.611599999999999</v>
      </c>
      <c r="F504" s="69">
        <v>9.5269999999999994E-2</v>
      </c>
      <c r="G504" s="70"/>
      <c r="H504" s="70"/>
      <c r="I504" s="67" t="s">
        <v>1011</v>
      </c>
    </row>
    <row r="505" spans="1:9" ht="15" customHeight="1">
      <c r="A505" s="67" t="s">
        <v>875</v>
      </c>
      <c r="B505" s="67" t="s">
        <v>365</v>
      </c>
      <c r="C505" s="68">
        <v>113</v>
      </c>
      <c r="D505" s="69">
        <v>-0.38329999999999997</v>
      </c>
      <c r="E505" s="70">
        <v>19.818999999999999</v>
      </c>
      <c r="F505" s="69">
        <v>9.5460000000000003E-2</v>
      </c>
      <c r="G505" s="70"/>
      <c r="H505" s="70"/>
      <c r="I505" s="67" t="s">
        <v>1012</v>
      </c>
    </row>
    <row r="506" spans="1:9" ht="15" customHeight="1">
      <c r="A506" s="67" t="s">
        <v>875</v>
      </c>
      <c r="B506" s="67" t="s">
        <v>365</v>
      </c>
      <c r="C506" s="68">
        <v>113.5</v>
      </c>
      <c r="D506" s="69">
        <v>-0.38329999999999997</v>
      </c>
      <c r="E506" s="70">
        <v>20.027999999999999</v>
      </c>
      <c r="F506" s="69">
        <v>9.5659999999999995E-2</v>
      </c>
      <c r="G506" s="70"/>
      <c r="H506" s="70"/>
      <c r="I506" s="67" t="s">
        <v>1013</v>
      </c>
    </row>
    <row r="507" spans="1:9" ht="15" customHeight="1">
      <c r="A507" s="67" t="s">
        <v>875</v>
      </c>
      <c r="B507" s="67" t="s">
        <v>365</v>
      </c>
      <c r="C507" s="68">
        <v>114</v>
      </c>
      <c r="D507" s="69">
        <v>-0.38329999999999997</v>
      </c>
      <c r="E507" s="70">
        <v>20.238499999999998</v>
      </c>
      <c r="F507" s="69">
        <v>9.5860000000000001E-2</v>
      </c>
      <c r="G507" s="70"/>
      <c r="H507" s="70"/>
      <c r="I507" s="67" t="s">
        <v>1014</v>
      </c>
    </row>
    <row r="508" spans="1:9" ht="15" customHeight="1">
      <c r="A508" s="67" t="s">
        <v>875</v>
      </c>
      <c r="B508" s="67" t="s">
        <v>365</v>
      </c>
      <c r="C508" s="68">
        <v>114.5</v>
      </c>
      <c r="D508" s="69">
        <v>-0.38329999999999997</v>
      </c>
      <c r="E508" s="70">
        <v>20.450199999999999</v>
      </c>
      <c r="F508" s="69">
        <v>9.6060000000000006E-2</v>
      </c>
      <c r="G508" s="70"/>
      <c r="H508" s="70"/>
      <c r="I508" s="67" t="s">
        <v>1015</v>
      </c>
    </row>
    <row r="509" spans="1:9" ht="15" customHeight="1">
      <c r="A509" s="67" t="s">
        <v>875</v>
      </c>
      <c r="B509" s="67" t="s">
        <v>365</v>
      </c>
      <c r="C509" s="68">
        <v>115</v>
      </c>
      <c r="D509" s="69">
        <v>-0.38329999999999997</v>
      </c>
      <c r="E509" s="70">
        <v>20.6629</v>
      </c>
      <c r="F509" s="69">
        <v>9.6259999999999998E-2</v>
      </c>
      <c r="G509" s="70"/>
      <c r="H509" s="70"/>
      <c r="I509" s="67" t="s">
        <v>1016</v>
      </c>
    </row>
    <row r="510" spans="1:9" ht="15" customHeight="1">
      <c r="A510" s="67" t="s">
        <v>875</v>
      </c>
      <c r="B510" s="67" t="s">
        <v>365</v>
      </c>
      <c r="C510" s="68">
        <v>115.5</v>
      </c>
      <c r="D510" s="69">
        <v>-0.38329999999999997</v>
      </c>
      <c r="E510" s="70">
        <v>20.8766</v>
      </c>
      <c r="F510" s="69">
        <v>9.6460000000000004E-2</v>
      </c>
      <c r="G510" s="70"/>
      <c r="H510" s="70"/>
      <c r="I510" s="67" t="s">
        <v>1017</v>
      </c>
    </row>
    <row r="511" spans="1:9" ht="15" customHeight="1">
      <c r="A511" s="67" t="s">
        <v>875</v>
      </c>
      <c r="B511" s="67" t="s">
        <v>365</v>
      </c>
      <c r="C511" s="68">
        <v>116</v>
      </c>
      <c r="D511" s="69">
        <v>-0.38329999999999997</v>
      </c>
      <c r="E511" s="70">
        <v>21.090900000000001</v>
      </c>
      <c r="F511" s="69">
        <v>9.6659999999999996E-2</v>
      </c>
      <c r="G511" s="70"/>
      <c r="H511" s="70"/>
      <c r="I511" s="67" t="s">
        <v>1018</v>
      </c>
    </row>
    <row r="512" spans="1:9" ht="15" customHeight="1">
      <c r="A512" s="67" t="s">
        <v>875</v>
      </c>
      <c r="B512" s="67" t="s">
        <v>365</v>
      </c>
      <c r="C512" s="68">
        <v>116.5</v>
      </c>
      <c r="D512" s="69">
        <v>-0.38329999999999997</v>
      </c>
      <c r="E512" s="70">
        <v>21.305900000000001</v>
      </c>
      <c r="F512" s="69">
        <v>9.6860000000000002E-2</v>
      </c>
      <c r="G512" s="70"/>
      <c r="H512" s="70"/>
      <c r="I512" s="67" t="s">
        <v>1019</v>
      </c>
    </row>
    <row r="513" spans="1:9" ht="15" customHeight="1">
      <c r="A513" s="67" t="s">
        <v>875</v>
      </c>
      <c r="B513" s="67" t="s">
        <v>365</v>
      </c>
      <c r="C513" s="68">
        <v>117</v>
      </c>
      <c r="D513" s="69">
        <v>-0.38329999999999997</v>
      </c>
      <c r="E513" s="70">
        <v>21.5213</v>
      </c>
      <c r="F513" s="69">
        <v>9.7070000000000004E-2</v>
      </c>
      <c r="G513" s="70"/>
      <c r="H513" s="70"/>
      <c r="I513" s="67" t="s">
        <v>1020</v>
      </c>
    </row>
    <row r="514" spans="1:9" ht="15" customHeight="1">
      <c r="A514" s="67" t="s">
        <v>875</v>
      </c>
      <c r="B514" s="67" t="s">
        <v>365</v>
      </c>
      <c r="C514" s="68">
        <v>117.5</v>
      </c>
      <c r="D514" s="69">
        <v>-0.38329999999999997</v>
      </c>
      <c r="E514" s="70">
        <v>21.736999999999998</v>
      </c>
      <c r="F514" s="69">
        <v>9.7269999999999995E-2</v>
      </c>
      <c r="G514" s="70"/>
      <c r="H514" s="70"/>
      <c r="I514" s="67" t="s">
        <v>1021</v>
      </c>
    </row>
    <row r="515" spans="1:9" ht="15" customHeight="1">
      <c r="A515" s="67" t="s">
        <v>875</v>
      </c>
      <c r="B515" s="67" t="s">
        <v>365</v>
      </c>
      <c r="C515" s="68">
        <v>118</v>
      </c>
      <c r="D515" s="69">
        <v>-0.38329999999999997</v>
      </c>
      <c r="E515" s="70">
        <v>21.9529</v>
      </c>
      <c r="F515" s="69">
        <v>9.7470000000000001E-2</v>
      </c>
      <c r="G515" s="70"/>
      <c r="H515" s="70"/>
      <c r="I515" s="67" t="s">
        <v>1022</v>
      </c>
    </row>
    <row r="516" spans="1:9" ht="15" customHeight="1">
      <c r="A516" s="67" t="s">
        <v>875</v>
      </c>
      <c r="B516" s="67" t="s">
        <v>365</v>
      </c>
      <c r="C516" s="68">
        <v>118.5</v>
      </c>
      <c r="D516" s="69">
        <v>-0.38329999999999997</v>
      </c>
      <c r="E516" s="70">
        <v>22.169</v>
      </c>
      <c r="F516" s="69">
        <v>9.7670000000000007E-2</v>
      </c>
      <c r="G516" s="70"/>
      <c r="H516" s="70"/>
      <c r="I516" s="67" t="s">
        <v>1023</v>
      </c>
    </row>
    <row r="517" spans="1:9" ht="15" customHeight="1">
      <c r="A517" s="67" t="s">
        <v>875</v>
      </c>
      <c r="B517" s="67" t="s">
        <v>365</v>
      </c>
      <c r="C517" s="68">
        <v>119</v>
      </c>
      <c r="D517" s="69">
        <v>-0.38329999999999997</v>
      </c>
      <c r="E517" s="70">
        <v>22.385100000000001</v>
      </c>
      <c r="F517" s="69">
        <v>9.7879999999999995E-2</v>
      </c>
      <c r="G517" s="70"/>
      <c r="H517" s="70"/>
      <c r="I517" s="67" t="s">
        <v>1024</v>
      </c>
    </row>
    <row r="518" spans="1:9" ht="15" customHeight="1">
      <c r="A518" s="67" t="s">
        <v>875</v>
      </c>
      <c r="B518" s="67" t="s">
        <v>365</v>
      </c>
      <c r="C518" s="68">
        <v>119.5</v>
      </c>
      <c r="D518" s="69">
        <v>-0.38329999999999997</v>
      </c>
      <c r="E518" s="70">
        <v>22.601199999999999</v>
      </c>
      <c r="F518" s="69">
        <v>9.8080000000000001E-2</v>
      </c>
      <c r="G518" s="70"/>
      <c r="H518" s="70"/>
      <c r="I518" s="67" t="s">
        <v>1025</v>
      </c>
    </row>
    <row r="519" spans="1:9" ht="15" customHeight="1">
      <c r="A519" s="67" t="s">
        <v>875</v>
      </c>
      <c r="B519" s="67" t="s">
        <v>365</v>
      </c>
      <c r="C519" s="68">
        <v>120</v>
      </c>
      <c r="D519" s="69">
        <v>-0.38329999999999997</v>
      </c>
      <c r="E519" s="70">
        <v>22.817299999999999</v>
      </c>
      <c r="F519" s="69">
        <v>9.8280000000000006E-2</v>
      </c>
      <c r="G519" s="70"/>
      <c r="H519" s="70"/>
      <c r="I519" s="67" t="s">
        <v>1026</v>
      </c>
    </row>
    <row r="520" spans="1:9" ht="15" customHeight="1">
      <c r="A520" s="67" t="s">
        <v>875</v>
      </c>
      <c r="B520" s="67" t="s">
        <v>318</v>
      </c>
      <c r="C520" s="68">
        <v>45</v>
      </c>
      <c r="D520" s="69">
        <v>-0.35210000000000002</v>
      </c>
      <c r="E520" s="70">
        <v>2.4409999999999998</v>
      </c>
      <c r="F520" s="69">
        <v>9.1819999999999999E-2</v>
      </c>
      <c r="G520" s="70"/>
      <c r="H520" s="70"/>
      <c r="I520" s="67" t="s">
        <v>1027</v>
      </c>
    </row>
    <row r="521" spans="1:9" ht="15" customHeight="1">
      <c r="A521" s="67" t="s">
        <v>875</v>
      </c>
      <c r="B521" s="67" t="s">
        <v>318</v>
      </c>
      <c r="C521" s="68">
        <v>45.5</v>
      </c>
      <c r="D521" s="69">
        <v>-0.35210000000000002</v>
      </c>
      <c r="E521" s="70">
        <v>2.5244</v>
      </c>
      <c r="F521" s="69">
        <v>9.153E-2</v>
      </c>
      <c r="G521" s="70"/>
      <c r="H521" s="70"/>
      <c r="I521" s="67" t="s">
        <v>1028</v>
      </c>
    </row>
    <row r="522" spans="1:9" ht="15" customHeight="1">
      <c r="A522" s="67" t="s">
        <v>875</v>
      </c>
      <c r="B522" s="67" t="s">
        <v>318</v>
      </c>
      <c r="C522" s="68">
        <v>46</v>
      </c>
      <c r="D522" s="69">
        <v>-0.35210000000000002</v>
      </c>
      <c r="E522" s="70">
        <v>2.6076999999999999</v>
      </c>
      <c r="F522" s="69">
        <v>9.1240000000000002E-2</v>
      </c>
      <c r="G522" s="70"/>
      <c r="H522" s="70"/>
      <c r="I522" s="67" t="s">
        <v>1029</v>
      </c>
    </row>
    <row r="523" spans="1:9" ht="15" customHeight="1">
      <c r="A523" s="67" t="s">
        <v>875</v>
      </c>
      <c r="B523" s="67" t="s">
        <v>318</v>
      </c>
      <c r="C523" s="68">
        <v>46.5</v>
      </c>
      <c r="D523" s="69">
        <v>-0.35210000000000002</v>
      </c>
      <c r="E523" s="70">
        <v>2.6913</v>
      </c>
      <c r="F523" s="69">
        <v>9.0939999999999993E-2</v>
      </c>
      <c r="G523" s="70"/>
      <c r="H523" s="70"/>
      <c r="I523" s="67" t="s">
        <v>1030</v>
      </c>
    </row>
    <row r="524" spans="1:9" ht="15" customHeight="1">
      <c r="A524" s="67" t="s">
        <v>875</v>
      </c>
      <c r="B524" s="67" t="s">
        <v>318</v>
      </c>
      <c r="C524" s="68">
        <v>47</v>
      </c>
      <c r="D524" s="69">
        <v>-0.35210000000000002</v>
      </c>
      <c r="E524" s="70">
        <v>2.7755000000000001</v>
      </c>
      <c r="F524" s="69">
        <v>9.0649999999999994E-2</v>
      </c>
      <c r="G524" s="70"/>
      <c r="H524" s="70"/>
      <c r="I524" s="67" t="s">
        <v>1031</v>
      </c>
    </row>
    <row r="525" spans="1:9" ht="15" customHeight="1">
      <c r="A525" s="67" t="s">
        <v>875</v>
      </c>
      <c r="B525" s="67" t="s">
        <v>318</v>
      </c>
      <c r="C525" s="68">
        <v>47.5</v>
      </c>
      <c r="D525" s="69">
        <v>-0.35210000000000002</v>
      </c>
      <c r="E525" s="70">
        <v>2.8609</v>
      </c>
      <c r="F525" s="69">
        <v>9.0359999999999996E-2</v>
      </c>
      <c r="G525" s="70"/>
      <c r="H525" s="70"/>
      <c r="I525" s="67" t="s">
        <v>1032</v>
      </c>
    </row>
    <row r="526" spans="1:9" ht="15" customHeight="1">
      <c r="A526" s="67" t="s">
        <v>875</v>
      </c>
      <c r="B526" s="67" t="s">
        <v>318</v>
      </c>
      <c r="C526" s="68">
        <v>48</v>
      </c>
      <c r="D526" s="69">
        <v>-0.35210000000000002</v>
      </c>
      <c r="E526" s="70">
        <v>2.948</v>
      </c>
      <c r="F526" s="69">
        <v>9.0069999999999997E-2</v>
      </c>
      <c r="G526" s="70"/>
      <c r="H526" s="70"/>
      <c r="I526" s="67" t="s">
        <v>1033</v>
      </c>
    </row>
    <row r="527" spans="1:9" ht="15" customHeight="1">
      <c r="A527" s="67" t="s">
        <v>875</v>
      </c>
      <c r="B527" s="67" t="s">
        <v>318</v>
      </c>
      <c r="C527" s="68">
        <v>48.5</v>
      </c>
      <c r="D527" s="69">
        <v>-0.35210000000000002</v>
      </c>
      <c r="E527" s="70">
        <v>3.0377000000000001</v>
      </c>
      <c r="F527" s="69">
        <v>8.9770000000000003E-2</v>
      </c>
      <c r="G527" s="70"/>
      <c r="H527" s="70"/>
      <c r="I527" s="67" t="s">
        <v>1034</v>
      </c>
    </row>
    <row r="528" spans="1:9" ht="15" customHeight="1">
      <c r="A528" s="67" t="s">
        <v>875</v>
      </c>
      <c r="B528" s="67" t="s">
        <v>318</v>
      </c>
      <c r="C528" s="68">
        <v>49</v>
      </c>
      <c r="D528" s="69">
        <v>-0.35210000000000002</v>
      </c>
      <c r="E528" s="70">
        <v>3.1307999999999998</v>
      </c>
      <c r="F528" s="69">
        <v>8.9480000000000004E-2</v>
      </c>
      <c r="G528" s="70"/>
      <c r="H528" s="70"/>
      <c r="I528" s="67" t="s">
        <v>1035</v>
      </c>
    </row>
    <row r="529" spans="1:9" ht="15" customHeight="1">
      <c r="A529" s="67" t="s">
        <v>875</v>
      </c>
      <c r="B529" s="67" t="s">
        <v>318</v>
      </c>
      <c r="C529" s="68">
        <v>49.5</v>
      </c>
      <c r="D529" s="69">
        <v>-0.35210000000000002</v>
      </c>
      <c r="E529" s="70">
        <v>3.2275999999999998</v>
      </c>
      <c r="F529" s="69">
        <v>8.9190000000000005E-2</v>
      </c>
      <c r="G529" s="70"/>
      <c r="H529" s="70"/>
      <c r="I529" s="67" t="s">
        <v>1036</v>
      </c>
    </row>
    <row r="530" spans="1:9" ht="15" customHeight="1">
      <c r="A530" s="67" t="s">
        <v>875</v>
      </c>
      <c r="B530" s="67" t="s">
        <v>318</v>
      </c>
      <c r="C530" s="68">
        <v>50</v>
      </c>
      <c r="D530" s="69">
        <v>-0.35210000000000002</v>
      </c>
      <c r="E530" s="70">
        <v>3.3277999999999999</v>
      </c>
      <c r="F530" s="69">
        <v>8.8900000000000007E-2</v>
      </c>
      <c r="G530" s="70"/>
      <c r="H530" s="70"/>
      <c r="I530" s="67" t="s">
        <v>1037</v>
      </c>
    </row>
    <row r="531" spans="1:9" ht="15" customHeight="1">
      <c r="A531" s="67" t="s">
        <v>875</v>
      </c>
      <c r="B531" s="67" t="s">
        <v>318</v>
      </c>
      <c r="C531" s="68">
        <v>50.5</v>
      </c>
      <c r="D531" s="69">
        <v>-0.35210000000000002</v>
      </c>
      <c r="E531" s="70">
        <v>3.4310999999999998</v>
      </c>
      <c r="F531" s="69">
        <v>8.8609999999999994E-2</v>
      </c>
      <c r="G531" s="70"/>
      <c r="H531" s="70"/>
      <c r="I531" s="67" t="s">
        <v>1038</v>
      </c>
    </row>
    <row r="532" spans="1:9" ht="15" customHeight="1">
      <c r="A532" s="67" t="s">
        <v>875</v>
      </c>
      <c r="B532" s="67" t="s">
        <v>318</v>
      </c>
      <c r="C532" s="68">
        <v>51</v>
      </c>
      <c r="D532" s="69">
        <v>-0.35210000000000002</v>
      </c>
      <c r="E532" s="70">
        <v>3.5375999999999999</v>
      </c>
      <c r="F532" s="69">
        <v>8.831E-2</v>
      </c>
      <c r="G532" s="70"/>
      <c r="H532" s="70"/>
      <c r="I532" s="67" t="s">
        <v>1039</v>
      </c>
    </row>
    <row r="533" spans="1:9" ht="15" customHeight="1">
      <c r="A533" s="67" t="s">
        <v>875</v>
      </c>
      <c r="B533" s="67" t="s">
        <v>318</v>
      </c>
      <c r="C533" s="68">
        <v>51.5</v>
      </c>
      <c r="D533" s="69">
        <v>-0.35210000000000002</v>
      </c>
      <c r="E533" s="70">
        <v>3.6476999999999999</v>
      </c>
      <c r="F533" s="69">
        <v>8.8010000000000005E-2</v>
      </c>
      <c r="G533" s="70"/>
      <c r="H533" s="70"/>
      <c r="I533" s="67" t="s">
        <v>1040</v>
      </c>
    </row>
    <row r="534" spans="1:9" ht="15" customHeight="1">
      <c r="A534" s="67" t="s">
        <v>875</v>
      </c>
      <c r="B534" s="67" t="s">
        <v>318</v>
      </c>
      <c r="C534" s="68">
        <v>52</v>
      </c>
      <c r="D534" s="69">
        <v>-0.35210000000000002</v>
      </c>
      <c r="E534" s="70">
        <v>3.762</v>
      </c>
      <c r="F534" s="69">
        <v>8.7709999999999996E-2</v>
      </c>
      <c r="G534" s="70"/>
      <c r="H534" s="70"/>
      <c r="I534" s="67" t="s">
        <v>1041</v>
      </c>
    </row>
    <row r="535" spans="1:9" ht="15" customHeight="1">
      <c r="A535" s="67" t="s">
        <v>875</v>
      </c>
      <c r="B535" s="67" t="s">
        <v>318</v>
      </c>
      <c r="C535" s="68">
        <v>52.5</v>
      </c>
      <c r="D535" s="69">
        <v>-0.35210000000000002</v>
      </c>
      <c r="E535" s="70">
        <v>3.8814000000000002</v>
      </c>
      <c r="F535" s="69">
        <v>8.7410000000000002E-2</v>
      </c>
      <c r="G535" s="70"/>
      <c r="H535" s="70"/>
      <c r="I535" s="67" t="s">
        <v>1042</v>
      </c>
    </row>
    <row r="536" spans="1:9" ht="15" customHeight="1">
      <c r="A536" s="67" t="s">
        <v>875</v>
      </c>
      <c r="B536" s="67" t="s">
        <v>318</v>
      </c>
      <c r="C536" s="68">
        <v>53</v>
      </c>
      <c r="D536" s="69">
        <v>-0.35210000000000002</v>
      </c>
      <c r="E536" s="70">
        <v>4.0060000000000002</v>
      </c>
      <c r="F536" s="69">
        <v>8.7110000000000007E-2</v>
      </c>
      <c r="G536" s="70"/>
      <c r="H536" s="70"/>
      <c r="I536" s="67" t="s">
        <v>1043</v>
      </c>
    </row>
    <row r="537" spans="1:9" ht="15" customHeight="1">
      <c r="A537" s="67" t="s">
        <v>875</v>
      </c>
      <c r="B537" s="67" t="s">
        <v>318</v>
      </c>
      <c r="C537" s="68">
        <v>53.5</v>
      </c>
      <c r="D537" s="69">
        <v>-0.35210000000000002</v>
      </c>
      <c r="E537" s="70">
        <v>4.1353999999999997</v>
      </c>
      <c r="F537" s="69">
        <v>8.6809999999999998E-2</v>
      </c>
      <c r="G537" s="70"/>
      <c r="H537" s="70"/>
      <c r="I537" s="67" t="s">
        <v>1044</v>
      </c>
    </row>
    <row r="538" spans="1:9" ht="15" customHeight="1">
      <c r="A538" s="67" t="s">
        <v>875</v>
      </c>
      <c r="B538" s="67" t="s">
        <v>318</v>
      </c>
      <c r="C538" s="68">
        <v>54</v>
      </c>
      <c r="D538" s="69">
        <v>-0.35210000000000002</v>
      </c>
      <c r="E538" s="70">
        <v>4.2693000000000003</v>
      </c>
      <c r="F538" s="69">
        <v>8.6510000000000004E-2</v>
      </c>
      <c r="G538" s="70"/>
      <c r="H538" s="70"/>
      <c r="I538" s="67" t="s">
        <v>1045</v>
      </c>
    </row>
    <row r="539" spans="1:9" ht="15" customHeight="1">
      <c r="A539" s="67" t="s">
        <v>875</v>
      </c>
      <c r="B539" s="67" t="s">
        <v>318</v>
      </c>
      <c r="C539" s="68">
        <v>54.5</v>
      </c>
      <c r="D539" s="69">
        <v>-0.35210000000000002</v>
      </c>
      <c r="E539" s="70">
        <v>4.4066000000000001</v>
      </c>
      <c r="F539" s="69">
        <v>8.6209999999999995E-2</v>
      </c>
      <c r="G539" s="70"/>
      <c r="H539" s="70"/>
      <c r="I539" s="67" t="s">
        <v>1046</v>
      </c>
    </row>
    <row r="540" spans="1:9" ht="15" customHeight="1">
      <c r="A540" s="67" t="s">
        <v>875</v>
      </c>
      <c r="B540" s="67" t="s">
        <v>318</v>
      </c>
      <c r="C540" s="68">
        <v>55</v>
      </c>
      <c r="D540" s="69">
        <v>-0.35210000000000002</v>
      </c>
      <c r="E540" s="70">
        <v>4.5467000000000004</v>
      </c>
      <c r="F540" s="69">
        <v>8.5919999999999996E-2</v>
      </c>
      <c r="G540" s="70"/>
      <c r="H540" s="70"/>
      <c r="I540" s="67" t="s">
        <v>1047</v>
      </c>
    </row>
    <row r="541" spans="1:9" ht="15" customHeight="1">
      <c r="A541" s="67" t="s">
        <v>875</v>
      </c>
      <c r="B541" s="67" t="s">
        <v>318</v>
      </c>
      <c r="C541" s="68">
        <v>55.5</v>
      </c>
      <c r="D541" s="69">
        <v>-0.35210000000000002</v>
      </c>
      <c r="E541" s="70">
        <v>4.6891999999999996</v>
      </c>
      <c r="F541" s="69">
        <v>8.5629999999999998E-2</v>
      </c>
      <c r="G541" s="70"/>
      <c r="H541" s="70"/>
      <c r="I541" s="67" t="s">
        <v>1048</v>
      </c>
    </row>
    <row r="542" spans="1:9" ht="15" customHeight="1">
      <c r="A542" s="67" t="s">
        <v>875</v>
      </c>
      <c r="B542" s="67" t="s">
        <v>318</v>
      </c>
      <c r="C542" s="68">
        <v>56</v>
      </c>
      <c r="D542" s="69">
        <v>-0.35210000000000002</v>
      </c>
      <c r="E542" s="70">
        <v>4.8338000000000001</v>
      </c>
      <c r="F542" s="69">
        <v>8.5349999999999995E-2</v>
      </c>
      <c r="G542" s="70"/>
      <c r="H542" s="70"/>
      <c r="I542" s="67" t="s">
        <v>1049</v>
      </c>
    </row>
    <row r="543" spans="1:9" ht="15" customHeight="1">
      <c r="A543" s="67" t="s">
        <v>875</v>
      </c>
      <c r="B543" s="67" t="s">
        <v>318</v>
      </c>
      <c r="C543" s="68">
        <v>56.5</v>
      </c>
      <c r="D543" s="69">
        <v>-0.35210000000000002</v>
      </c>
      <c r="E543" s="70">
        <v>4.9795999999999996</v>
      </c>
      <c r="F543" s="69">
        <v>8.5070000000000007E-2</v>
      </c>
      <c r="G543" s="70"/>
      <c r="H543" s="70"/>
      <c r="I543" s="67" t="s">
        <v>1050</v>
      </c>
    </row>
    <row r="544" spans="1:9" ht="15" customHeight="1">
      <c r="A544" s="67" t="s">
        <v>875</v>
      </c>
      <c r="B544" s="67" t="s">
        <v>318</v>
      </c>
      <c r="C544" s="68">
        <v>57</v>
      </c>
      <c r="D544" s="69">
        <v>-0.35210000000000002</v>
      </c>
      <c r="E544" s="70">
        <v>5.1258999999999997</v>
      </c>
      <c r="F544" s="69">
        <v>8.4809999999999997E-2</v>
      </c>
      <c r="G544" s="70"/>
      <c r="H544" s="70"/>
      <c r="I544" s="67" t="s">
        <v>1051</v>
      </c>
    </row>
    <row r="545" spans="1:9" ht="15" customHeight="1">
      <c r="A545" s="67" t="s">
        <v>875</v>
      </c>
      <c r="B545" s="67" t="s">
        <v>318</v>
      </c>
      <c r="C545" s="68">
        <v>57.5</v>
      </c>
      <c r="D545" s="69">
        <v>-0.35210000000000002</v>
      </c>
      <c r="E545" s="70">
        <v>5.2721</v>
      </c>
      <c r="F545" s="69">
        <v>8.455E-2</v>
      </c>
      <c r="G545" s="70"/>
      <c r="H545" s="70"/>
      <c r="I545" s="67" t="s">
        <v>1052</v>
      </c>
    </row>
    <row r="546" spans="1:9" ht="15" customHeight="1">
      <c r="A546" s="67" t="s">
        <v>875</v>
      </c>
      <c r="B546" s="67" t="s">
        <v>318</v>
      </c>
      <c r="C546" s="68">
        <v>58</v>
      </c>
      <c r="D546" s="69">
        <v>-0.35210000000000002</v>
      </c>
      <c r="E546" s="70">
        <v>5.4180000000000001</v>
      </c>
      <c r="F546" s="69">
        <v>8.43E-2</v>
      </c>
      <c r="G546" s="70"/>
      <c r="H546" s="70"/>
      <c r="I546" s="67" t="s">
        <v>1053</v>
      </c>
    </row>
    <row r="547" spans="1:9" ht="15" customHeight="1">
      <c r="A547" s="67" t="s">
        <v>875</v>
      </c>
      <c r="B547" s="67" t="s">
        <v>318</v>
      </c>
      <c r="C547" s="68">
        <v>58.5</v>
      </c>
      <c r="D547" s="69">
        <v>-0.35210000000000002</v>
      </c>
      <c r="E547" s="70">
        <v>5.5632000000000001</v>
      </c>
      <c r="F547" s="69">
        <v>8.4059999999999996E-2</v>
      </c>
      <c r="G547" s="70"/>
      <c r="H547" s="70"/>
      <c r="I547" s="67" t="s">
        <v>1054</v>
      </c>
    </row>
    <row r="548" spans="1:9" ht="15" customHeight="1">
      <c r="A548" s="67" t="s">
        <v>875</v>
      </c>
      <c r="B548" s="67" t="s">
        <v>318</v>
      </c>
      <c r="C548" s="68">
        <v>59</v>
      </c>
      <c r="D548" s="69">
        <v>-0.35210000000000002</v>
      </c>
      <c r="E548" s="70">
        <v>5.7073999999999998</v>
      </c>
      <c r="F548" s="69">
        <v>8.3830000000000002E-2</v>
      </c>
      <c r="G548" s="70"/>
      <c r="H548" s="70"/>
      <c r="I548" s="67" t="s">
        <v>1055</v>
      </c>
    </row>
    <row r="549" spans="1:9" ht="15" customHeight="1">
      <c r="A549" s="67" t="s">
        <v>875</v>
      </c>
      <c r="B549" s="67" t="s">
        <v>318</v>
      </c>
      <c r="C549" s="68">
        <v>59.5</v>
      </c>
      <c r="D549" s="69">
        <v>-0.35210000000000002</v>
      </c>
      <c r="E549" s="70">
        <v>5.8501000000000003</v>
      </c>
      <c r="F549" s="69">
        <v>8.362E-2</v>
      </c>
      <c r="G549" s="70"/>
      <c r="H549" s="70"/>
      <c r="I549" s="67" t="s">
        <v>1056</v>
      </c>
    </row>
    <row r="550" spans="1:9" ht="15" customHeight="1">
      <c r="A550" s="67" t="s">
        <v>875</v>
      </c>
      <c r="B550" s="67" t="s">
        <v>318</v>
      </c>
      <c r="C550" s="68">
        <v>60</v>
      </c>
      <c r="D550" s="69">
        <v>-0.35210000000000002</v>
      </c>
      <c r="E550" s="70">
        <v>5.9907000000000004</v>
      </c>
      <c r="F550" s="69">
        <v>8.3419999999999994E-2</v>
      </c>
      <c r="G550" s="70"/>
      <c r="H550" s="70"/>
      <c r="I550" s="67" t="s">
        <v>1057</v>
      </c>
    </row>
    <row r="551" spans="1:9" ht="15" customHeight="1">
      <c r="A551" s="67" t="s">
        <v>875</v>
      </c>
      <c r="B551" s="67" t="s">
        <v>318</v>
      </c>
      <c r="C551" s="68">
        <v>60.5</v>
      </c>
      <c r="D551" s="69">
        <v>-0.35210000000000002</v>
      </c>
      <c r="E551" s="70">
        <v>6.1284000000000001</v>
      </c>
      <c r="F551" s="69">
        <v>8.3239999999999995E-2</v>
      </c>
      <c r="G551" s="70"/>
      <c r="H551" s="70"/>
      <c r="I551" s="67" t="s">
        <v>1058</v>
      </c>
    </row>
    <row r="552" spans="1:9" ht="15" customHeight="1">
      <c r="A552" s="67" t="s">
        <v>875</v>
      </c>
      <c r="B552" s="67" t="s">
        <v>318</v>
      </c>
      <c r="C552" s="68">
        <v>61</v>
      </c>
      <c r="D552" s="69">
        <v>-0.35210000000000002</v>
      </c>
      <c r="E552" s="70">
        <v>6.2632000000000003</v>
      </c>
      <c r="F552" s="69">
        <v>8.3080000000000001E-2</v>
      </c>
      <c r="G552" s="70"/>
      <c r="H552" s="70"/>
      <c r="I552" s="67" t="s">
        <v>1059</v>
      </c>
    </row>
    <row r="553" spans="1:9" ht="15" customHeight="1">
      <c r="A553" s="67" t="s">
        <v>875</v>
      </c>
      <c r="B553" s="67" t="s">
        <v>318</v>
      </c>
      <c r="C553" s="68">
        <v>61.5</v>
      </c>
      <c r="D553" s="69">
        <v>-0.35210000000000002</v>
      </c>
      <c r="E553" s="70">
        <v>6.3954000000000004</v>
      </c>
      <c r="F553" s="69">
        <v>8.2919999999999994E-2</v>
      </c>
      <c r="G553" s="70"/>
      <c r="H553" s="70"/>
      <c r="I553" s="67" t="s">
        <v>1060</v>
      </c>
    </row>
    <row r="554" spans="1:9" ht="15" customHeight="1">
      <c r="A554" s="67" t="s">
        <v>875</v>
      </c>
      <c r="B554" s="67" t="s">
        <v>318</v>
      </c>
      <c r="C554" s="68">
        <v>62</v>
      </c>
      <c r="D554" s="69">
        <v>-0.35210000000000002</v>
      </c>
      <c r="E554" s="70">
        <v>6.5251000000000001</v>
      </c>
      <c r="F554" s="69">
        <v>8.2790000000000002E-2</v>
      </c>
      <c r="G554" s="70"/>
      <c r="H554" s="70"/>
      <c r="I554" s="67" t="s">
        <v>1061</v>
      </c>
    </row>
    <row r="555" spans="1:9" ht="15" customHeight="1">
      <c r="A555" s="67" t="s">
        <v>875</v>
      </c>
      <c r="B555" s="67" t="s">
        <v>318</v>
      </c>
      <c r="C555" s="68">
        <v>62.5</v>
      </c>
      <c r="D555" s="69">
        <v>-0.35210000000000002</v>
      </c>
      <c r="E555" s="70">
        <v>6.6527000000000003</v>
      </c>
      <c r="F555" s="69">
        <v>8.2659999999999997E-2</v>
      </c>
      <c r="G555" s="70"/>
      <c r="H555" s="70"/>
      <c r="I555" s="67" t="s">
        <v>1062</v>
      </c>
    </row>
    <row r="556" spans="1:9" ht="15" customHeight="1">
      <c r="A556" s="67" t="s">
        <v>875</v>
      </c>
      <c r="B556" s="67" t="s">
        <v>318</v>
      </c>
      <c r="C556" s="68">
        <v>63</v>
      </c>
      <c r="D556" s="69">
        <v>-0.35210000000000002</v>
      </c>
      <c r="E556" s="70">
        <v>6.7786</v>
      </c>
      <c r="F556" s="69">
        <v>8.2549999999999998E-2</v>
      </c>
      <c r="G556" s="70"/>
      <c r="H556" s="70"/>
      <c r="I556" s="67" t="s">
        <v>1063</v>
      </c>
    </row>
    <row r="557" spans="1:9" ht="15" customHeight="1">
      <c r="A557" s="67" t="s">
        <v>875</v>
      </c>
      <c r="B557" s="67" t="s">
        <v>318</v>
      </c>
      <c r="C557" s="68">
        <v>63.5</v>
      </c>
      <c r="D557" s="69">
        <v>-0.35210000000000002</v>
      </c>
      <c r="E557" s="70">
        <v>6.9028</v>
      </c>
      <c r="F557" s="69">
        <v>8.2449999999999996E-2</v>
      </c>
      <c r="G557" s="70"/>
      <c r="H557" s="70"/>
      <c r="I557" s="67" t="s">
        <v>1064</v>
      </c>
    </row>
    <row r="558" spans="1:9" ht="15" customHeight="1">
      <c r="A558" s="67" t="s">
        <v>875</v>
      </c>
      <c r="B558" s="67" t="s">
        <v>318</v>
      </c>
      <c r="C558" s="68">
        <v>64</v>
      </c>
      <c r="D558" s="69">
        <v>-0.35210000000000002</v>
      </c>
      <c r="E558" s="70">
        <v>7.0255000000000001</v>
      </c>
      <c r="F558" s="69">
        <v>8.2360000000000003E-2</v>
      </c>
      <c r="G558" s="70"/>
      <c r="H558" s="70"/>
      <c r="I558" s="67" t="s">
        <v>1065</v>
      </c>
    </row>
    <row r="559" spans="1:9" ht="15" customHeight="1">
      <c r="A559" s="67" t="s">
        <v>875</v>
      </c>
      <c r="B559" s="67" t="s">
        <v>318</v>
      </c>
      <c r="C559" s="68">
        <v>64.5</v>
      </c>
      <c r="D559" s="69">
        <v>-0.35210000000000002</v>
      </c>
      <c r="E559" s="70">
        <v>7.1467000000000001</v>
      </c>
      <c r="F559" s="69">
        <v>8.2290000000000002E-2</v>
      </c>
      <c r="G559" s="70"/>
      <c r="H559" s="70"/>
      <c r="I559" s="67" t="s">
        <v>1066</v>
      </c>
    </row>
    <row r="560" spans="1:9" ht="15" customHeight="1">
      <c r="A560" s="67" t="s">
        <v>875</v>
      </c>
      <c r="B560" s="67" t="s">
        <v>318</v>
      </c>
      <c r="C560" s="68">
        <v>65</v>
      </c>
      <c r="D560" s="69">
        <v>-0.35210000000000002</v>
      </c>
      <c r="E560" s="70">
        <v>7.2666000000000004</v>
      </c>
      <c r="F560" s="69">
        <v>8.2229999999999998E-2</v>
      </c>
      <c r="G560" s="70"/>
      <c r="H560" s="70"/>
      <c r="I560" s="67" t="s">
        <v>1067</v>
      </c>
    </row>
    <row r="561" spans="1:9" ht="15" customHeight="1">
      <c r="A561" s="67" t="s">
        <v>875</v>
      </c>
      <c r="B561" s="67" t="s">
        <v>318</v>
      </c>
      <c r="C561" s="68">
        <v>65.5</v>
      </c>
      <c r="D561" s="69">
        <v>-0.35210000000000002</v>
      </c>
      <c r="E561" s="70">
        <v>7.3853999999999997</v>
      </c>
      <c r="F561" s="69">
        <v>8.2180000000000003E-2</v>
      </c>
      <c r="G561" s="70"/>
      <c r="H561" s="70"/>
      <c r="I561" s="67" t="s">
        <v>1068</v>
      </c>
    </row>
    <row r="562" spans="1:9" ht="15" customHeight="1">
      <c r="A562" s="67" t="s">
        <v>875</v>
      </c>
      <c r="B562" s="67" t="s">
        <v>318</v>
      </c>
      <c r="C562" s="68">
        <v>66</v>
      </c>
      <c r="D562" s="69">
        <v>-0.35210000000000002</v>
      </c>
      <c r="E562" s="70">
        <v>7.5034000000000001</v>
      </c>
      <c r="F562" s="69">
        <v>8.2150000000000001E-2</v>
      </c>
      <c r="G562" s="70"/>
      <c r="H562" s="70"/>
      <c r="I562" s="67" t="s">
        <v>1069</v>
      </c>
    </row>
    <row r="563" spans="1:9" ht="15" customHeight="1">
      <c r="A563" s="67" t="s">
        <v>875</v>
      </c>
      <c r="B563" s="67" t="s">
        <v>318</v>
      </c>
      <c r="C563" s="68">
        <v>66.5</v>
      </c>
      <c r="D563" s="69">
        <v>-0.35210000000000002</v>
      </c>
      <c r="E563" s="70">
        <v>7.6205999999999996</v>
      </c>
      <c r="F563" s="69">
        <v>8.2129999999999995E-2</v>
      </c>
      <c r="G563" s="70"/>
      <c r="H563" s="70"/>
      <c r="I563" s="67" t="s">
        <v>1070</v>
      </c>
    </row>
    <row r="564" spans="1:9" ht="15" customHeight="1">
      <c r="A564" s="67" t="s">
        <v>875</v>
      </c>
      <c r="B564" s="67" t="s">
        <v>318</v>
      </c>
      <c r="C564" s="68">
        <v>67</v>
      </c>
      <c r="D564" s="69">
        <v>-0.35210000000000002</v>
      </c>
      <c r="E564" s="70">
        <v>7.7370000000000001</v>
      </c>
      <c r="F564" s="69">
        <v>8.2119999999999999E-2</v>
      </c>
      <c r="G564" s="70"/>
      <c r="H564" s="70"/>
      <c r="I564" s="67" t="s">
        <v>1071</v>
      </c>
    </row>
    <row r="565" spans="1:9" ht="15" customHeight="1">
      <c r="A565" s="67" t="s">
        <v>875</v>
      </c>
      <c r="B565" s="67" t="s">
        <v>318</v>
      </c>
      <c r="C565" s="68">
        <v>67.5</v>
      </c>
      <c r="D565" s="69">
        <v>-0.35210000000000002</v>
      </c>
      <c r="E565" s="70">
        <v>7.8525999999999998</v>
      </c>
      <c r="F565" s="69">
        <v>8.2119999999999999E-2</v>
      </c>
      <c r="G565" s="70"/>
      <c r="H565" s="70"/>
      <c r="I565" s="67" t="s">
        <v>1072</v>
      </c>
    </row>
    <row r="566" spans="1:9" ht="15" customHeight="1">
      <c r="A566" s="67" t="s">
        <v>875</v>
      </c>
      <c r="B566" s="67" t="s">
        <v>318</v>
      </c>
      <c r="C566" s="68">
        <v>68</v>
      </c>
      <c r="D566" s="69">
        <v>-0.35210000000000002</v>
      </c>
      <c r="E566" s="70">
        <v>7.9673999999999996</v>
      </c>
      <c r="F566" s="69">
        <v>8.2140000000000005E-2</v>
      </c>
      <c r="G566" s="70"/>
      <c r="H566" s="70"/>
      <c r="I566" s="67" t="s">
        <v>1073</v>
      </c>
    </row>
    <row r="567" spans="1:9" ht="15" customHeight="1">
      <c r="A567" s="67" t="s">
        <v>875</v>
      </c>
      <c r="B567" s="67" t="s">
        <v>318</v>
      </c>
      <c r="C567" s="68">
        <v>68.5</v>
      </c>
      <c r="D567" s="69">
        <v>-0.35210000000000002</v>
      </c>
      <c r="E567" s="70">
        <v>8.0815999999999999</v>
      </c>
      <c r="F567" s="69">
        <v>8.2159999999999997E-2</v>
      </c>
      <c r="G567" s="70"/>
      <c r="H567" s="70"/>
      <c r="I567" s="67" t="s">
        <v>1074</v>
      </c>
    </row>
    <row r="568" spans="1:9" ht="15" customHeight="1">
      <c r="A568" s="67" t="s">
        <v>875</v>
      </c>
      <c r="B568" s="67" t="s">
        <v>318</v>
      </c>
      <c r="C568" s="68">
        <v>69</v>
      </c>
      <c r="D568" s="69">
        <v>-0.35210000000000002</v>
      </c>
      <c r="E568" s="70">
        <v>8.1954999999999991</v>
      </c>
      <c r="F568" s="69">
        <v>8.2189999999999999E-2</v>
      </c>
      <c r="G568" s="70"/>
      <c r="H568" s="70"/>
      <c r="I568" s="67" t="s">
        <v>1075</v>
      </c>
    </row>
    <row r="569" spans="1:9" ht="15" customHeight="1">
      <c r="A569" s="67" t="s">
        <v>875</v>
      </c>
      <c r="B569" s="67" t="s">
        <v>318</v>
      </c>
      <c r="C569" s="68">
        <v>69.5</v>
      </c>
      <c r="D569" s="69">
        <v>-0.35210000000000002</v>
      </c>
      <c r="E569" s="70">
        <v>8.3092000000000006</v>
      </c>
      <c r="F569" s="69">
        <v>8.2239999999999994E-2</v>
      </c>
      <c r="G569" s="70"/>
      <c r="H569" s="70"/>
      <c r="I569" s="67" t="s">
        <v>1076</v>
      </c>
    </row>
    <row r="570" spans="1:9" ht="15" customHeight="1">
      <c r="A570" s="67" t="s">
        <v>875</v>
      </c>
      <c r="B570" s="67" t="s">
        <v>318</v>
      </c>
      <c r="C570" s="68">
        <v>70</v>
      </c>
      <c r="D570" s="69">
        <v>-0.35210000000000002</v>
      </c>
      <c r="E570" s="70">
        <v>8.4227000000000007</v>
      </c>
      <c r="F570" s="69">
        <v>8.2290000000000002E-2</v>
      </c>
      <c r="G570" s="70"/>
      <c r="H570" s="70"/>
      <c r="I570" s="67" t="s">
        <v>1077</v>
      </c>
    </row>
    <row r="571" spans="1:9" ht="15" customHeight="1">
      <c r="A571" s="67" t="s">
        <v>875</v>
      </c>
      <c r="B571" s="67" t="s">
        <v>318</v>
      </c>
      <c r="C571" s="68">
        <v>70.5</v>
      </c>
      <c r="D571" s="69">
        <v>-0.35210000000000002</v>
      </c>
      <c r="E571" s="70">
        <v>8.5358000000000001</v>
      </c>
      <c r="F571" s="69">
        <v>8.2350000000000007E-2</v>
      </c>
      <c r="G571" s="70"/>
      <c r="H571" s="70"/>
      <c r="I571" s="67" t="s">
        <v>1078</v>
      </c>
    </row>
    <row r="572" spans="1:9" ht="15" customHeight="1">
      <c r="A572" s="67" t="s">
        <v>875</v>
      </c>
      <c r="B572" s="67" t="s">
        <v>318</v>
      </c>
      <c r="C572" s="68">
        <v>71</v>
      </c>
      <c r="D572" s="69">
        <v>-0.35210000000000002</v>
      </c>
      <c r="E572" s="70">
        <v>8.6479999999999997</v>
      </c>
      <c r="F572" s="69">
        <v>8.2409999999999997E-2</v>
      </c>
      <c r="G572" s="70"/>
      <c r="H572" s="70"/>
      <c r="I572" s="67" t="s">
        <v>1079</v>
      </c>
    </row>
    <row r="573" spans="1:9" ht="15" customHeight="1">
      <c r="A573" s="67" t="s">
        <v>875</v>
      </c>
      <c r="B573" s="67" t="s">
        <v>318</v>
      </c>
      <c r="C573" s="68">
        <v>71.5</v>
      </c>
      <c r="D573" s="69">
        <v>-0.35210000000000002</v>
      </c>
      <c r="E573" s="70">
        <v>8.7593999999999994</v>
      </c>
      <c r="F573" s="69">
        <v>8.2479999999999998E-2</v>
      </c>
      <c r="G573" s="70"/>
      <c r="H573" s="70"/>
      <c r="I573" s="67" t="s">
        <v>1080</v>
      </c>
    </row>
    <row r="574" spans="1:9" ht="15" customHeight="1">
      <c r="A574" s="67" t="s">
        <v>875</v>
      </c>
      <c r="B574" s="67" t="s">
        <v>318</v>
      </c>
      <c r="C574" s="68">
        <v>72</v>
      </c>
      <c r="D574" s="69">
        <v>-0.35210000000000002</v>
      </c>
      <c r="E574" s="70">
        <v>8.8696999999999999</v>
      </c>
      <c r="F574" s="69">
        <v>8.2540000000000002E-2</v>
      </c>
      <c r="G574" s="70"/>
      <c r="H574" s="70"/>
      <c r="I574" s="67" t="s">
        <v>1081</v>
      </c>
    </row>
    <row r="575" spans="1:9" ht="15" customHeight="1">
      <c r="A575" s="67" t="s">
        <v>875</v>
      </c>
      <c r="B575" s="67" t="s">
        <v>318</v>
      </c>
      <c r="C575" s="68">
        <v>72.5</v>
      </c>
      <c r="D575" s="69">
        <v>-0.35210000000000002</v>
      </c>
      <c r="E575" s="70">
        <v>8.9787999999999997</v>
      </c>
      <c r="F575" s="69">
        <v>8.2619999999999999E-2</v>
      </c>
      <c r="G575" s="70"/>
      <c r="H575" s="70"/>
      <c r="I575" s="67" t="s">
        <v>1082</v>
      </c>
    </row>
    <row r="576" spans="1:9" ht="15" customHeight="1">
      <c r="A576" s="67" t="s">
        <v>875</v>
      </c>
      <c r="B576" s="67" t="s">
        <v>318</v>
      </c>
      <c r="C576" s="68">
        <v>73</v>
      </c>
      <c r="D576" s="69">
        <v>-0.35210000000000002</v>
      </c>
      <c r="E576" s="70">
        <v>9.0864999999999991</v>
      </c>
      <c r="F576" s="69">
        <v>8.269E-2</v>
      </c>
      <c r="G576" s="70"/>
      <c r="H576" s="70"/>
      <c r="I576" s="67" t="s">
        <v>1083</v>
      </c>
    </row>
    <row r="577" spans="1:9" ht="15" customHeight="1">
      <c r="A577" s="67" t="s">
        <v>875</v>
      </c>
      <c r="B577" s="67" t="s">
        <v>318</v>
      </c>
      <c r="C577" s="68">
        <v>73.5</v>
      </c>
      <c r="D577" s="69">
        <v>-0.35210000000000002</v>
      </c>
      <c r="E577" s="70">
        <v>9.1927000000000003</v>
      </c>
      <c r="F577" s="69">
        <v>8.276E-2</v>
      </c>
      <c r="G577" s="70"/>
      <c r="H577" s="70"/>
      <c r="I577" s="67" t="s">
        <v>1084</v>
      </c>
    </row>
    <row r="578" spans="1:9" ht="15" customHeight="1">
      <c r="A578" s="67" t="s">
        <v>875</v>
      </c>
      <c r="B578" s="67" t="s">
        <v>318</v>
      </c>
      <c r="C578" s="68">
        <v>74</v>
      </c>
      <c r="D578" s="69">
        <v>-0.35210000000000002</v>
      </c>
      <c r="E578" s="70">
        <v>9.2973999999999997</v>
      </c>
      <c r="F578" s="69">
        <v>8.2830000000000001E-2</v>
      </c>
      <c r="G578" s="70"/>
      <c r="H578" s="70"/>
      <c r="I578" s="67" t="s">
        <v>1085</v>
      </c>
    </row>
    <row r="579" spans="1:9" ht="15" customHeight="1">
      <c r="A579" s="67" t="s">
        <v>875</v>
      </c>
      <c r="B579" s="67" t="s">
        <v>318</v>
      </c>
      <c r="C579" s="68">
        <v>74.5</v>
      </c>
      <c r="D579" s="69">
        <v>-0.35210000000000002</v>
      </c>
      <c r="E579" s="70">
        <v>9.4009999999999998</v>
      </c>
      <c r="F579" s="69">
        <v>8.2890000000000005E-2</v>
      </c>
      <c r="G579" s="70"/>
      <c r="H579" s="70"/>
      <c r="I579" s="67" t="s">
        <v>1086</v>
      </c>
    </row>
    <row r="580" spans="1:9" ht="15" customHeight="1">
      <c r="A580" s="67" t="s">
        <v>875</v>
      </c>
      <c r="B580" s="67" t="s">
        <v>318</v>
      </c>
      <c r="C580" s="68">
        <v>75</v>
      </c>
      <c r="D580" s="69">
        <v>-0.35210000000000002</v>
      </c>
      <c r="E580" s="70">
        <v>9.5031999999999996</v>
      </c>
      <c r="F580" s="69">
        <v>8.2949999999999996E-2</v>
      </c>
      <c r="G580" s="70"/>
      <c r="H580" s="70"/>
      <c r="I580" s="67" t="s">
        <v>1087</v>
      </c>
    </row>
    <row r="581" spans="1:9" ht="15" customHeight="1">
      <c r="A581" s="67" t="s">
        <v>875</v>
      </c>
      <c r="B581" s="67" t="s">
        <v>318</v>
      </c>
      <c r="C581" s="68">
        <v>75.5</v>
      </c>
      <c r="D581" s="69">
        <v>-0.35210000000000002</v>
      </c>
      <c r="E581" s="70">
        <v>9.6041000000000007</v>
      </c>
      <c r="F581" s="69">
        <v>8.301E-2</v>
      </c>
      <c r="G581" s="70"/>
      <c r="H581" s="70"/>
      <c r="I581" s="67" t="s">
        <v>1088</v>
      </c>
    </row>
    <row r="582" spans="1:9" ht="15" customHeight="1">
      <c r="A582" s="67" t="s">
        <v>875</v>
      </c>
      <c r="B582" s="67" t="s">
        <v>318</v>
      </c>
      <c r="C582" s="68">
        <v>76</v>
      </c>
      <c r="D582" s="69">
        <v>-0.35210000000000002</v>
      </c>
      <c r="E582" s="70">
        <v>9.7033000000000005</v>
      </c>
      <c r="F582" s="69">
        <v>8.3070000000000005E-2</v>
      </c>
      <c r="G582" s="70"/>
      <c r="H582" s="70"/>
      <c r="I582" s="67" t="s">
        <v>1089</v>
      </c>
    </row>
    <row r="583" spans="1:9" ht="15" customHeight="1">
      <c r="A583" s="67" t="s">
        <v>875</v>
      </c>
      <c r="B583" s="67" t="s">
        <v>318</v>
      </c>
      <c r="C583" s="68">
        <v>76.5</v>
      </c>
      <c r="D583" s="69">
        <v>-0.35210000000000002</v>
      </c>
      <c r="E583" s="70">
        <v>9.8007000000000009</v>
      </c>
      <c r="F583" s="69">
        <v>8.3110000000000003E-2</v>
      </c>
      <c r="G583" s="70"/>
      <c r="H583" s="70"/>
      <c r="I583" s="67" t="s">
        <v>1090</v>
      </c>
    </row>
    <row r="584" spans="1:9" ht="15" customHeight="1">
      <c r="A584" s="67" t="s">
        <v>875</v>
      </c>
      <c r="B584" s="67" t="s">
        <v>318</v>
      </c>
      <c r="C584" s="68">
        <v>77</v>
      </c>
      <c r="D584" s="69">
        <v>-0.35210000000000002</v>
      </c>
      <c r="E584" s="70">
        <v>9.8963000000000001</v>
      </c>
      <c r="F584" s="69">
        <v>8.3140000000000006E-2</v>
      </c>
      <c r="G584" s="70"/>
      <c r="H584" s="70"/>
      <c r="I584" s="67" t="s">
        <v>1091</v>
      </c>
    </row>
    <row r="585" spans="1:9" ht="15" customHeight="1">
      <c r="A585" s="67" t="s">
        <v>875</v>
      </c>
      <c r="B585" s="67" t="s">
        <v>318</v>
      </c>
      <c r="C585" s="68">
        <v>77.5</v>
      </c>
      <c r="D585" s="69">
        <v>-0.35210000000000002</v>
      </c>
      <c r="E585" s="70">
        <v>9.9901999999999997</v>
      </c>
      <c r="F585" s="69">
        <v>8.3169999999999994E-2</v>
      </c>
      <c r="G585" s="70"/>
      <c r="H585" s="70"/>
      <c r="I585" s="67" t="s">
        <v>1092</v>
      </c>
    </row>
    <row r="586" spans="1:9" ht="15" customHeight="1">
      <c r="A586" s="67" t="s">
        <v>875</v>
      </c>
      <c r="B586" s="67" t="s">
        <v>318</v>
      </c>
      <c r="C586" s="68">
        <v>78</v>
      </c>
      <c r="D586" s="69">
        <v>-0.35210000000000002</v>
      </c>
      <c r="E586" s="70">
        <v>10.082700000000001</v>
      </c>
      <c r="F586" s="69">
        <v>8.3180000000000004E-2</v>
      </c>
      <c r="G586" s="70"/>
      <c r="H586" s="70"/>
      <c r="I586" s="67" t="s">
        <v>1093</v>
      </c>
    </row>
    <row r="587" spans="1:9" ht="15" customHeight="1">
      <c r="A587" s="67" t="s">
        <v>875</v>
      </c>
      <c r="B587" s="67" t="s">
        <v>318</v>
      </c>
      <c r="C587" s="68">
        <v>78.5</v>
      </c>
      <c r="D587" s="69">
        <v>-0.35210000000000002</v>
      </c>
      <c r="E587" s="70">
        <v>10.174099999999999</v>
      </c>
      <c r="F587" s="69">
        <v>8.3180000000000004E-2</v>
      </c>
      <c r="G587" s="70"/>
      <c r="H587" s="70"/>
      <c r="I587" s="67" t="s">
        <v>1094</v>
      </c>
    </row>
    <row r="588" spans="1:9" ht="15" customHeight="1">
      <c r="A588" s="67" t="s">
        <v>875</v>
      </c>
      <c r="B588" s="67" t="s">
        <v>318</v>
      </c>
      <c r="C588" s="68">
        <v>79</v>
      </c>
      <c r="D588" s="69">
        <v>-0.35210000000000002</v>
      </c>
      <c r="E588" s="70">
        <v>10.264900000000001</v>
      </c>
      <c r="F588" s="69">
        <v>8.3159999999999998E-2</v>
      </c>
      <c r="G588" s="70"/>
      <c r="H588" s="70"/>
      <c r="I588" s="67" t="s">
        <v>1095</v>
      </c>
    </row>
    <row r="589" spans="1:9" ht="15" customHeight="1">
      <c r="A589" s="67" t="s">
        <v>875</v>
      </c>
      <c r="B589" s="67" t="s">
        <v>318</v>
      </c>
      <c r="C589" s="68">
        <v>79.5</v>
      </c>
      <c r="D589" s="69">
        <v>-0.35210000000000002</v>
      </c>
      <c r="E589" s="70">
        <v>10.3558</v>
      </c>
      <c r="F589" s="69">
        <v>8.3129999999999996E-2</v>
      </c>
      <c r="G589" s="70"/>
      <c r="H589" s="70"/>
      <c r="I589" s="67" t="s">
        <v>1096</v>
      </c>
    </row>
    <row r="590" spans="1:9" ht="15" customHeight="1">
      <c r="A590" s="67" t="s">
        <v>875</v>
      </c>
      <c r="B590" s="67" t="s">
        <v>318</v>
      </c>
      <c r="C590" s="68">
        <v>80</v>
      </c>
      <c r="D590" s="69">
        <v>-0.35210000000000002</v>
      </c>
      <c r="E590" s="70">
        <v>10.4475</v>
      </c>
      <c r="F590" s="69">
        <v>8.3080000000000001E-2</v>
      </c>
      <c r="G590" s="70"/>
      <c r="H590" s="70"/>
      <c r="I590" s="67" t="s">
        <v>1097</v>
      </c>
    </row>
    <row r="591" spans="1:9" ht="15" customHeight="1">
      <c r="A591" s="67" t="s">
        <v>875</v>
      </c>
      <c r="B591" s="67" t="s">
        <v>318</v>
      </c>
      <c r="C591" s="68">
        <v>80.5</v>
      </c>
      <c r="D591" s="69">
        <v>-0.35210000000000002</v>
      </c>
      <c r="E591" s="70">
        <v>10.5405</v>
      </c>
      <c r="F591" s="69">
        <v>8.301E-2</v>
      </c>
      <c r="G591" s="70"/>
      <c r="H591" s="70"/>
      <c r="I591" s="67" t="s">
        <v>1098</v>
      </c>
    </row>
    <row r="592" spans="1:9" ht="15" customHeight="1">
      <c r="A592" s="67" t="s">
        <v>875</v>
      </c>
      <c r="B592" s="67" t="s">
        <v>318</v>
      </c>
      <c r="C592" s="68">
        <v>81</v>
      </c>
      <c r="D592" s="69">
        <v>-0.35210000000000002</v>
      </c>
      <c r="E592" s="70">
        <v>10.635199999999999</v>
      </c>
      <c r="F592" s="69">
        <v>8.2930000000000004E-2</v>
      </c>
      <c r="G592" s="70"/>
      <c r="H592" s="70"/>
      <c r="I592" s="67" t="s">
        <v>1099</v>
      </c>
    </row>
    <row r="593" spans="1:9" ht="15" customHeight="1">
      <c r="A593" s="67" t="s">
        <v>875</v>
      </c>
      <c r="B593" s="67" t="s">
        <v>318</v>
      </c>
      <c r="C593" s="68">
        <v>81.5</v>
      </c>
      <c r="D593" s="69">
        <v>-0.35210000000000002</v>
      </c>
      <c r="E593" s="70">
        <v>10.732200000000001</v>
      </c>
      <c r="F593" s="69">
        <v>8.2839999999999997E-2</v>
      </c>
      <c r="G593" s="70"/>
      <c r="H593" s="70"/>
      <c r="I593" s="67" t="s">
        <v>1100</v>
      </c>
    </row>
    <row r="594" spans="1:9" ht="15" customHeight="1">
      <c r="A594" s="67" t="s">
        <v>875</v>
      </c>
      <c r="B594" s="67" t="s">
        <v>318</v>
      </c>
      <c r="C594" s="68">
        <v>82</v>
      </c>
      <c r="D594" s="69">
        <v>-0.35210000000000002</v>
      </c>
      <c r="E594" s="70">
        <v>10.832100000000001</v>
      </c>
      <c r="F594" s="69">
        <v>8.2729999999999998E-2</v>
      </c>
      <c r="G594" s="70"/>
      <c r="H594" s="70"/>
      <c r="I594" s="67" t="s">
        <v>1101</v>
      </c>
    </row>
    <row r="595" spans="1:9" ht="15" customHeight="1">
      <c r="A595" s="67" t="s">
        <v>875</v>
      </c>
      <c r="B595" s="67" t="s">
        <v>318</v>
      </c>
      <c r="C595" s="68">
        <v>82.5</v>
      </c>
      <c r="D595" s="69">
        <v>-0.35210000000000002</v>
      </c>
      <c r="E595" s="70">
        <v>10.935</v>
      </c>
      <c r="F595" s="69">
        <v>8.2600000000000007E-2</v>
      </c>
      <c r="G595" s="70"/>
      <c r="H595" s="70"/>
      <c r="I595" s="67" t="s">
        <v>1102</v>
      </c>
    </row>
    <row r="596" spans="1:9" ht="15" customHeight="1">
      <c r="A596" s="67" t="s">
        <v>875</v>
      </c>
      <c r="B596" s="67" t="s">
        <v>318</v>
      </c>
      <c r="C596" s="68">
        <v>83</v>
      </c>
      <c r="D596" s="69">
        <v>-0.35210000000000002</v>
      </c>
      <c r="E596" s="70">
        <v>11.1966</v>
      </c>
      <c r="F596" s="69">
        <v>8.2250000000000004E-2</v>
      </c>
      <c r="G596" s="70"/>
      <c r="H596" s="70"/>
      <c r="I596" s="67" t="s">
        <v>1103</v>
      </c>
    </row>
    <row r="597" spans="1:9" ht="15" customHeight="1">
      <c r="A597" s="67" t="s">
        <v>875</v>
      </c>
      <c r="B597" s="67" t="s">
        <v>318</v>
      </c>
      <c r="C597" s="68">
        <v>83.5</v>
      </c>
      <c r="D597" s="69">
        <v>-0.35210000000000002</v>
      </c>
      <c r="E597" s="70">
        <v>11.311400000000001</v>
      </c>
      <c r="F597" s="69">
        <v>8.2089999999999996E-2</v>
      </c>
      <c r="G597" s="70"/>
      <c r="H597" s="70"/>
      <c r="I597" s="67" t="s">
        <v>1104</v>
      </c>
    </row>
    <row r="598" spans="1:9" ht="15" customHeight="1">
      <c r="A598" s="67" t="s">
        <v>875</v>
      </c>
      <c r="B598" s="67" t="s">
        <v>318</v>
      </c>
      <c r="C598" s="68">
        <v>84</v>
      </c>
      <c r="D598" s="69">
        <v>-0.35210000000000002</v>
      </c>
      <c r="E598" s="70">
        <v>11.429</v>
      </c>
      <c r="F598" s="69">
        <v>8.1909999999999997E-2</v>
      </c>
      <c r="G598" s="70"/>
      <c r="H598" s="70"/>
      <c r="I598" s="67" t="s">
        <v>1105</v>
      </c>
    </row>
    <row r="599" spans="1:9" ht="15" customHeight="1">
      <c r="A599" s="67" t="s">
        <v>875</v>
      </c>
      <c r="B599" s="67" t="s">
        <v>318</v>
      </c>
      <c r="C599" s="68">
        <v>84.5</v>
      </c>
      <c r="D599" s="69">
        <v>-0.35210000000000002</v>
      </c>
      <c r="E599" s="70">
        <v>11.548999999999999</v>
      </c>
      <c r="F599" s="69">
        <v>8.1739999999999993E-2</v>
      </c>
      <c r="G599" s="70"/>
      <c r="H599" s="70"/>
      <c r="I599" s="67" t="s">
        <v>1106</v>
      </c>
    </row>
    <row r="600" spans="1:9" ht="15" customHeight="1">
      <c r="A600" s="67" t="s">
        <v>875</v>
      </c>
      <c r="B600" s="67" t="s">
        <v>318</v>
      </c>
      <c r="C600" s="68">
        <v>85</v>
      </c>
      <c r="D600" s="69">
        <v>-0.35210000000000002</v>
      </c>
      <c r="E600" s="70">
        <v>11.6707</v>
      </c>
      <c r="F600" s="69">
        <v>8.1559999999999994E-2</v>
      </c>
      <c r="G600" s="70"/>
      <c r="H600" s="70"/>
      <c r="I600" s="67" t="s">
        <v>1107</v>
      </c>
    </row>
    <row r="601" spans="1:9" ht="15" customHeight="1">
      <c r="A601" s="67" t="s">
        <v>875</v>
      </c>
      <c r="B601" s="67" t="s">
        <v>318</v>
      </c>
      <c r="C601" s="68">
        <v>85.5</v>
      </c>
      <c r="D601" s="69">
        <v>-0.35210000000000002</v>
      </c>
      <c r="E601" s="70">
        <v>11.793699999999999</v>
      </c>
      <c r="F601" s="69">
        <v>8.1379999999999994E-2</v>
      </c>
      <c r="G601" s="70"/>
      <c r="H601" s="70"/>
      <c r="I601" s="67" t="s">
        <v>1108</v>
      </c>
    </row>
    <row r="602" spans="1:9" ht="15" customHeight="1">
      <c r="A602" s="67" t="s">
        <v>875</v>
      </c>
      <c r="B602" s="67" t="s">
        <v>318</v>
      </c>
      <c r="C602" s="68">
        <v>86</v>
      </c>
      <c r="D602" s="69">
        <v>-0.35210000000000002</v>
      </c>
      <c r="E602" s="70">
        <v>11.917299999999999</v>
      </c>
      <c r="F602" s="69">
        <v>8.1210000000000004E-2</v>
      </c>
      <c r="G602" s="70"/>
      <c r="H602" s="70"/>
      <c r="I602" s="67" t="s">
        <v>1109</v>
      </c>
    </row>
    <row r="603" spans="1:9" ht="15" customHeight="1">
      <c r="A603" s="67" t="s">
        <v>875</v>
      </c>
      <c r="B603" s="67" t="s">
        <v>318</v>
      </c>
      <c r="C603" s="68">
        <v>86.5</v>
      </c>
      <c r="D603" s="69">
        <v>-0.35210000000000002</v>
      </c>
      <c r="E603" s="70">
        <v>12.0411</v>
      </c>
      <c r="F603" s="69">
        <v>8.1049999999999997E-2</v>
      </c>
      <c r="G603" s="70"/>
      <c r="H603" s="70"/>
      <c r="I603" s="67" t="s">
        <v>1110</v>
      </c>
    </row>
    <row r="604" spans="1:9" ht="15" customHeight="1">
      <c r="A604" s="67" t="s">
        <v>875</v>
      </c>
      <c r="B604" s="67" t="s">
        <v>318</v>
      </c>
      <c r="C604" s="68">
        <v>87</v>
      </c>
      <c r="D604" s="69">
        <v>-0.35210000000000002</v>
      </c>
      <c r="E604" s="70">
        <v>12.1645</v>
      </c>
      <c r="F604" s="69">
        <v>8.09E-2</v>
      </c>
      <c r="G604" s="70"/>
      <c r="H604" s="70"/>
      <c r="I604" s="67" t="s">
        <v>1111</v>
      </c>
    </row>
    <row r="605" spans="1:9" ht="15" customHeight="1">
      <c r="A605" s="67" t="s">
        <v>875</v>
      </c>
      <c r="B605" s="67" t="s">
        <v>318</v>
      </c>
      <c r="C605" s="68">
        <v>87.5</v>
      </c>
      <c r="D605" s="69">
        <v>-0.35210000000000002</v>
      </c>
      <c r="E605" s="70">
        <v>12.287100000000001</v>
      </c>
      <c r="F605" s="69">
        <v>8.0759999999999998E-2</v>
      </c>
      <c r="G605" s="70"/>
      <c r="H605" s="70"/>
      <c r="I605" s="67" t="s">
        <v>1112</v>
      </c>
    </row>
    <row r="606" spans="1:9" ht="15" customHeight="1">
      <c r="A606" s="67" t="s">
        <v>875</v>
      </c>
      <c r="B606" s="67" t="s">
        <v>318</v>
      </c>
      <c r="C606" s="68">
        <v>88</v>
      </c>
      <c r="D606" s="69">
        <v>-0.35210000000000002</v>
      </c>
      <c r="E606" s="70">
        <v>12.408899999999999</v>
      </c>
      <c r="F606" s="69">
        <v>8.0640000000000003E-2</v>
      </c>
      <c r="G606" s="70"/>
      <c r="H606" s="70"/>
      <c r="I606" s="67" t="s">
        <v>1113</v>
      </c>
    </row>
    <row r="607" spans="1:9" ht="15" customHeight="1">
      <c r="A607" s="67" t="s">
        <v>875</v>
      </c>
      <c r="B607" s="67" t="s">
        <v>318</v>
      </c>
      <c r="C607" s="68">
        <v>88.5</v>
      </c>
      <c r="D607" s="69">
        <v>-0.35210000000000002</v>
      </c>
      <c r="E607" s="70">
        <v>12.5298</v>
      </c>
      <c r="F607" s="69">
        <v>8.054E-2</v>
      </c>
      <c r="G607" s="70"/>
      <c r="H607" s="70"/>
      <c r="I607" s="67" t="s">
        <v>1114</v>
      </c>
    </row>
    <row r="608" spans="1:9" ht="15" customHeight="1">
      <c r="A608" s="67" t="s">
        <v>875</v>
      </c>
      <c r="B608" s="67" t="s">
        <v>318</v>
      </c>
      <c r="C608" s="68">
        <v>89</v>
      </c>
      <c r="D608" s="69">
        <v>-0.35210000000000002</v>
      </c>
      <c r="E608" s="70">
        <v>12.6495</v>
      </c>
      <c r="F608" s="69">
        <v>8.0449999999999994E-2</v>
      </c>
      <c r="G608" s="70"/>
      <c r="H608" s="70"/>
      <c r="I608" s="67" t="s">
        <v>1115</v>
      </c>
    </row>
    <row r="609" spans="1:9" ht="15" customHeight="1">
      <c r="A609" s="67" t="s">
        <v>875</v>
      </c>
      <c r="B609" s="67" t="s">
        <v>318</v>
      </c>
      <c r="C609" s="68">
        <v>89.5</v>
      </c>
      <c r="D609" s="69">
        <v>-0.35210000000000002</v>
      </c>
      <c r="E609" s="70">
        <v>12.7683</v>
      </c>
      <c r="F609" s="69">
        <v>8.0379999999999993E-2</v>
      </c>
      <c r="G609" s="70"/>
      <c r="H609" s="70"/>
      <c r="I609" s="67" t="s">
        <v>1116</v>
      </c>
    </row>
    <row r="610" spans="1:9" ht="15" customHeight="1">
      <c r="A610" s="67" t="s">
        <v>875</v>
      </c>
      <c r="B610" s="67" t="s">
        <v>318</v>
      </c>
      <c r="C610" s="68">
        <v>90</v>
      </c>
      <c r="D610" s="69">
        <v>-0.35210000000000002</v>
      </c>
      <c r="E610" s="70">
        <v>12.8864</v>
      </c>
      <c r="F610" s="69">
        <v>8.0320000000000003E-2</v>
      </c>
      <c r="G610" s="70"/>
      <c r="H610" s="70"/>
      <c r="I610" s="67" t="s">
        <v>1117</v>
      </c>
    </row>
    <row r="611" spans="1:9" ht="15" customHeight="1">
      <c r="A611" s="67" t="s">
        <v>875</v>
      </c>
      <c r="B611" s="67" t="s">
        <v>318</v>
      </c>
      <c r="C611" s="68">
        <v>90.5</v>
      </c>
      <c r="D611" s="69">
        <v>-0.35210000000000002</v>
      </c>
      <c r="E611" s="70">
        <v>13.0038</v>
      </c>
      <c r="F611" s="69">
        <v>8.0280000000000004E-2</v>
      </c>
      <c r="G611" s="70"/>
      <c r="H611" s="70"/>
      <c r="I611" s="67" t="s">
        <v>1118</v>
      </c>
    </row>
    <row r="612" spans="1:9" ht="15" customHeight="1">
      <c r="A612" s="67" t="s">
        <v>875</v>
      </c>
      <c r="B612" s="67" t="s">
        <v>318</v>
      </c>
      <c r="C612" s="68">
        <v>91</v>
      </c>
      <c r="D612" s="69">
        <v>-0.35210000000000002</v>
      </c>
      <c r="E612" s="70">
        <v>13.120900000000001</v>
      </c>
      <c r="F612" s="69">
        <v>8.0250000000000002E-2</v>
      </c>
      <c r="G612" s="70"/>
      <c r="H612" s="70"/>
      <c r="I612" s="67" t="s">
        <v>1119</v>
      </c>
    </row>
    <row r="613" spans="1:9" ht="15" customHeight="1">
      <c r="A613" s="67" t="s">
        <v>875</v>
      </c>
      <c r="B613" s="67" t="s">
        <v>318</v>
      </c>
      <c r="C613" s="68">
        <v>91.5</v>
      </c>
      <c r="D613" s="69">
        <v>-0.35210000000000002</v>
      </c>
      <c r="E613" s="70">
        <v>13.2376</v>
      </c>
      <c r="F613" s="69">
        <v>8.0240000000000006E-2</v>
      </c>
      <c r="G613" s="70"/>
      <c r="H613" s="70"/>
      <c r="I613" s="67" t="s">
        <v>1120</v>
      </c>
    </row>
    <row r="614" spans="1:9" ht="15" customHeight="1">
      <c r="A614" s="67" t="s">
        <v>875</v>
      </c>
      <c r="B614" s="67" t="s">
        <v>318</v>
      </c>
      <c r="C614" s="68">
        <v>92</v>
      </c>
      <c r="D614" s="69">
        <v>-0.35210000000000002</v>
      </c>
      <c r="E614" s="70">
        <v>13.354100000000001</v>
      </c>
      <c r="F614" s="69">
        <v>8.0250000000000002E-2</v>
      </c>
      <c r="G614" s="70"/>
      <c r="H614" s="70"/>
      <c r="I614" s="67" t="s">
        <v>1121</v>
      </c>
    </row>
    <row r="615" spans="1:9" ht="15" customHeight="1">
      <c r="A615" s="67" t="s">
        <v>875</v>
      </c>
      <c r="B615" s="67" t="s">
        <v>318</v>
      </c>
      <c r="C615" s="68">
        <v>92.5</v>
      </c>
      <c r="D615" s="69">
        <v>-0.35210000000000002</v>
      </c>
      <c r="E615" s="70">
        <v>13.470499999999999</v>
      </c>
      <c r="F615" s="69">
        <v>8.0269999999999994E-2</v>
      </c>
      <c r="G615" s="70"/>
      <c r="H615" s="70"/>
      <c r="I615" s="67" t="s">
        <v>1122</v>
      </c>
    </row>
    <row r="616" spans="1:9" ht="15" customHeight="1">
      <c r="A616" s="67" t="s">
        <v>875</v>
      </c>
      <c r="B616" s="67" t="s">
        <v>318</v>
      </c>
      <c r="C616" s="68">
        <v>93</v>
      </c>
      <c r="D616" s="69">
        <v>-0.35210000000000002</v>
      </c>
      <c r="E616" s="70">
        <v>13.587</v>
      </c>
      <c r="F616" s="69">
        <v>8.0310000000000006E-2</v>
      </c>
      <c r="G616" s="70"/>
      <c r="H616" s="70"/>
      <c r="I616" s="67" t="s">
        <v>1123</v>
      </c>
    </row>
    <row r="617" spans="1:9" ht="15" customHeight="1">
      <c r="A617" s="67" t="s">
        <v>875</v>
      </c>
      <c r="B617" s="67" t="s">
        <v>318</v>
      </c>
      <c r="C617" s="68">
        <v>93.5</v>
      </c>
      <c r="D617" s="69">
        <v>-0.35210000000000002</v>
      </c>
      <c r="E617" s="70">
        <v>13.7041</v>
      </c>
      <c r="F617" s="69">
        <v>8.0360000000000001E-2</v>
      </c>
      <c r="G617" s="70"/>
      <c r="H617" s="70"/>
      <c r="I617" s="67" t="s">
        <v>1124</v>
      </c>
    </row>
    <row r="618" spans="1:9" ht="15" customHeight="1">
      <c r="A618" s="67" t="s">
        <v>875</v>
      </c>
      <c r="B618" s="67" t="s">
        <v>318</v>
      </c>
      <c r="C618" s="68">
        <v>94</v>
      </c>
      <c r="D618" s="69">
        <v>-0.35210000000000002</v>
      </c>
      <c r="E618" s="70">
        <v>13.8217</v>
      </c>
      <c r="F618" s="69">
        <v>8.0430000000000001E-2</v>
      </c>
      <c r="G618" s="70"/>
      <c r="H618" s="70"/>
      <c r="I618" s="67" t="s">
        <v>1125</v>
      </c>
    </row>
    <row r="619" spans="1:9" ht="15" customHeight="1">
      <c r="A619" s="67" t="s">
        <v>875</v>
      </c>
      <c r="B619" s="67" t="s">
        <v>318</v>
      </c>
      <c r="C619" s="68">
        <v>94.5</v>
      </c>
      <c r="D619" s="69">
        <v>-0.35210000000000002</v>
      </c>
      <c r="E619" s="70">
        <v>13.940300000000001</v>
      </c>
      <c r="F619" s="69">
        <v>8.0509999999999998E-2</v>
      </c>
      <c r="G619" s="70"/>
      <c r="H619" s="70"/>
      <c r="I619" s="67" t="s">
        <v>1126</v>
      </c>
    </row>
    <row r="620" spans="1:9" ht="15" customHeight="1">
      <c r="A620" s="67" t="s">
        <v>875</v>
      </c>
      <c r="B620" s="67" t="s">
        <v>318</v>
      </c>
      <c r="C620" s="68">
        <v>95</v>
      </c>
      <c r="D620" s="69">
        <v>-0.35210000000000002</v>
      </c>
      <c r="E620" s="70">
        <v>14.06</v>
      </c>
      <c r="F620" s="69">
        <v>8.0600000000000005E-2</v>
      </c>
      <c r="G620" s="70"/>
      <c r="H620" s="70"/>
      <c r="I620" s="67" t="s">
        <v>1127</v>
      </c>
    </row>
    <row r="621" spans="1:9" ht="15" customHeight="1">
      <c r="A621" s="67" t="s">
        <v>875</v>
      </c>
      <c r="B621" s="67" t="s">
        <v>318</v>
      </c>
      <c r="C621" s="68">
        <v>95.5</v>
      </c>
      <c r="D621" s="69">
        <v>-0.35210000000000002</v>
      </c>
      <c r="E621" s="70">
        <v>14.181100000000001</v>
      </c>
      <c r="F621" s="69">
        <v>8.0710000000000004E-2</v>
      </c>
      <c r="G621" s="70"/>
      <c r="H621" s="70"/>
      <c r="I621" s="67" t="s">
        <v>1128</v>
      </c>
    </row>
    <row r="622" spans="1:9" ht="15" customHeight="1">
      <c r="A622" s="67" t="s">
        <v>875</v>
      </c>
      <c r="B622" s="67" t="s">
        <v>318</v>
      </c>
      <c r="C622" s="68">
        <v>96</v>
      </c>
      <c r="D622" s="69">
        <v>-0.35210000000000002</v>
      </c>
      <c r="E622" s="70">
        <v>14.303699999999999</v>
      </c>
      <c r="F622" s="69">
        <v>8.0829999999999999E-2</v>
      </c>
      <c r="G622" s="70"/>
      <c r="H622" s="70"/>
      <c r="I622" s="67" t="s">
        <v>1129</v>
      </c>
    </row>
    <row r="623" spans="1:9" ht="15" customHeight="1">
      <c r="A623" s="67" t="s">
        <v>875</v>
      </c>
      <c r="B623" s="67" t="s">
        <v>318</v>
      </c>
      <c r="C623" s="68">
        <v>96.5</v>
      </c>
      <c r="D623" s="69">
        <v>-0.35210000000000002</v>
      </c>
      <c r="E623" s="70">
        <v>14.4282</v>
      </c>
      <c r="F623" s="69">
        <v>8.097E-2</v>
      </c>
      <c r="G623" s="70"/>
      <c r="H623" s="70"/>
      <c r="I623" s="67" t="s">
        <v>1130</v>
      </c>
    </row>
    <row r="624" spans="1:9" ht="15" customHeight="1">
      <c r="A624" s="67" t="s">
        <v>875</v>
      </c>
      <c r="B624" s="67" t="s">
        <v>318</v>
      </c>
      <c r="C624" s="68">
        <v>97</v>
      </c>
      <c r="D624" s="69">
        <v>-0.35210000000000002</v>
      </c>
      <c r="E624" s="70">
        <v>14.5547</v>
      </c>
      <c r="F624" s="69">
        <v>8.1119999999999998E-2</v>
      </c>
      <c r="G624" s="70"/>
      <c r="H624" s="70"/>
      <c r="I624" s="67" t="s">
        <v>1131</v>
      </c>
    </row>
    <row r="625" spans="1:9" ht="15" customHeight="1">
      <c r="A625" s="67" t="s">
        <v>875</v>
      </c>
      <c r="B625" s="67" t="s">
        <v>318</v>
      </c>
      <c r="C625" s="68">
        <v>97.5</v>
      </c>
      <c r="D625" s="69">
        <v>-0.35210000000000002</v>
      </c>
      <c r="E625" s="70">
        <v>14.683199999999999</v>
      </c>
      <c r="F625" s="69">
        <v>8.1290000000000001E-2</v>
      </c>
      <c r="G625" s="70"/>
      <c r="H625" s="70"/>
      <c r="I625" s="67" t="s">
        <v>1132</v>
      </c>
    </row>
    <row r="626" spans="1:9" ht="15" customHeight="1">
      <c r="A626" s="67" t="s">
        <v>875</v>
      </c>
      <c r="B626" s="67" t="s">
        <v>318</v>
      </c>
      <c r="C626" s="68">
        <v>98</v>
      </c>
      <c r="D626" s="69">
        <v>-0.35210000000000002</v>
      </c>
      <c r="E626" s="70">
        <v>14.814</v>
      </c>
      <c r="F626" s="69">
        <v>8.1460000000000005E-2</v>
      </c>
      <c r="G626" s="70"/>
      <c r="H626" s="70"/>
      <c r="I626" s="67" t="s">
        <v>1133</v>
      </c>
    </row>
    <row r="627" spans="1:9" ht="15" customHeight="1">
      <c r="A627" s="67" t="s">
        <v>875</v>
      </c>
      <c r="B627" s="67" t="s">
        <v>318</v>
      </c>
      <c r="C627" s="68">
        <v>98.5</v>
      </c>
      <c r="D627" s="69">
        <v>-0.35210000000000002</v>
      </c>
      <c r="E627" s="70">
        <v>14.9468</v>
      </c>
      <c r="F627" s="69">
        <v>8.165E-2</v>
      </c>
      <c r="G627" s="70"/>
      <c r="H627" s="70"/>
      <c r="I627" s="67" t="s">
        <v>1134</v>
      </c>
    </row>
    <row r="628" spans="1:9" ht="15" customHeight="1">
      <c r="A628" s="67" t="s">
        <v>875</v>
      </c>
      <c r="B628" s="67" t="s">
        <v>318</v>
      </c>
      <c r="C628" s="68">
        <v>99</v>
      </c>
      <c r="D628" s="69">
        <v>-0.35210000000000002</v>
      </c>
      <c r="E628" s="70">
        <v>15.081799999999999</v>
      </c>
      <c r="F628" s="69">
        <v>8.1850000000000006E-2</v>
      </c>
      <c r="G628" s="70"/>
      <c r="H628" s="70"/>
      <c r="I628" s="67" t="s">
        <v>1135</v>
      </c>
    </row>
    <row r="629" spans="1:9" ht="15" customHeight="1">
      <c r="A629" s="67" t="s">
        <v>875</v>
      </c>
      <c r="B629" s="67" t="s">
        <v>318</v>
      </c>
      <c r="C629" s="68">
        <v>99.5</v>
      </c>
      <c r="D629" s="69">
        <v>-0.35210000000000002</v>
      </c>
      <c r="E629" s="70">
        <v>15.2187</v>
      </c>
      <c r="F629" s="69">
        <v>8.2059999999999994E-2</v>
      </c>
      <c r="G629" s="70"/>
      <c r="H629" s="70"/>
      <c r="I629" s="67" t="s">
        <v>1136</v>
      </c>
    </row>
    <row r="630" spans="1:9" ht="15" customHeight="1">
      <c r="A630" s="67" t="s">
        <v>875</v>
      </c>
      <c r="B630" s="67" t="s">
        <v>318</v>
      </c>
      <c r="C630" s="68">
        <v>100</v>
      </c>
      <c r="D630" s="69">
        <v>-0.35210000000000002</v>
      </c>
      <c r="E630" s="70">
        <v>15.3576</v>
      </c>
      <c r="F630" s="69">
        <v>8.2290000000000002E-2</v>
      </c>
      <c r="G630" s="70"/>
      <c r="H630" s="70"/>
      <c r="I630" s="67" t="s">
        <v>1137</v>
      </c>
    </row>
    <row r="631" spans="1:9" ht="15" customHeight="1">
      <c r="A631" s="67" t="s">
        <v>875</v>
      </c>
      <c r="B631" s="67" t="s">
        <v>318</v>
      </c>
      <c r="C631" s="68">
        <v>100.5</v>
      </c>
      <c r="D631" s="69">
        <v>-0.35210000000000002</v>
      </c>
      <c r="E631" s="70">
        <v>15.4985</v>
      </c>
      <c r="F631" s="69">
        <v>8.2519999999999996E-2</v>
      </c>
      <c r="G631" s="70"/>
      <c r="H631" s="70"/>
      <c r="I631" s="67" t="s">
        <v>1138</v>
      </c>
    </row>
    <row r="632" spans="1:9" ht="15" customHeight="1">
      <c r="A632" s="67" t="s">
        <v>875</v>
      </c>
      <c r="B632" s="67" t="s">
        <v>318</v>
      </c>
      <c r="C632" s="68">
        <v>101</v>
      </c>
      <c r="D632" s="69">
        <v>-0.35210000000000002</v>
      </c>
      <c r="E632" s="70">
        <v>15.6412</v>
      </c>
      <c r="F632" s="69">
        <v>8.2769999999999996E-2</v>
      </c>
      <c r="G632" s="70"/>
      <c r="H632" s="70"/>
      <c r="I632" s="67" t="s">
        <v>1139</v>
      </c>
    </row>
    <row r="633" spans="1:9" ht="15" customHeight="1">
      <c r="A633" s="67" t="s">
        <v>875</v>
      </c>
      <c r="B633" s="67" t="s">
        <v>318</v>
      </c>
      <c r="C633" s="68">
        <v>101.5</v>
      </c>
      <c r="D633" s="69">
        <v>-0.35210000000000002</v>
      </c>
      <c r="E633" s="70">
        <v>15.7857</v>
      </c>
      <c r="F633" s="69">
        <v>8.3019999999999997E-2</v>
      </c>
      <c r="G633" s="70"/>
      <c r="H633" s="70"/>
      <c r="I633" s="67" t="s">
        <v>1140</v>
      </c>
    </row>
    <row r="634" spans="1:9" ht="15" customHeight="1">
      <c r="A634" s="67" t="s">
        <v>875</v>
      </c>
      <c r="B634" s="67" t="s">
        <v>318</v>
      </c>
      <c r="C634" s="68">
        <v>102</v>
      </c>
      <c r="D634" s="69">
        <v>-0.35210000000000002</v>
      </c>
      <c r="E634" s="70">
        <v>15.932</v>
      </c>
      <c r="F634" s="69">
        <v>8.3280000000000007E-2</v>
      </c>
      <c r="G634" s="70"/>
      <c r="H634" s="70"/>
      <c r="I634" s="67" t="s">
        <v>1141</v>
      </c>
    </row>
    <row r="635" spans="1:9" ht="15" customHeight="1">
      <c r="A635" s="67" t="s">
        <v>875</v>
      </c>
      <c r="B635" s="67" t="s">
        <v>318</v>
      </c>
      <c r="C635" s="68">
        <v>102.5</v>
      </c>
      <c r="D635" s="69">
        <v>-0.35210000000000002</v>
      </c>
      <c r="E635" s="70">
        <v>16.080100000000002</v>
      </c>
      <c r="F635" s="69">
        <v>8.3540000000000003E-2</v>
      </c>
      <c r="G635" s="70"/>
      <c r="H635" s="70"/>
      <c r="I635" s="67" t="s">
        <v>1142</v>
      </c>
    </row>
    <row r="636" spans="1:9" ht="15" customHeight="1">
      <c r="A636" s="67" t="s">
        <v>875</v>
      </c>
      <c r="B636" s="67" t="s">
        <v>318</v>
      </c>
      <c r="C636" s="68">
        <v>103</v>
      </c>
      <c r="D636" s="69">
        <v>-0.35210000000000002</v>
      </c>
      <c r="E636" s="70">
        <v>16.229800000000001</v>
      </c>
      <c r="F636" s="69">
        <v>8.3809999999999996E-2</v>
      </c>
      <c r="G636" s="70"/>
      <c r="H636" s="70"/>
      <c r="I636" s="67" t="s">
        <v>1143</v>
      </c>
    </row>
    <row r="637" spans="1:9" ht="15" customHeight="1">
      <c r="A637" s="67" t="s">
        <v>875</v>
      </c>
      <c r="B637" s="67" t="s">
        <v>318</v>
      </c>
      <c r="C637" s="68">
        <v>103.5</v>
      </c>
      <c r="D637" s="69">
        <v>-0.35210000000000002</v>
      </c>
      <c r="E637" s="70">
        <v>16.3812</v>
      </c>
      <c r="F637" s="69">
        <v>8.4080000000000002E-2</v>
      </c>
      <c r="G637" s="70"/>
      <c r="H637" s="70"/>
      <c r="I637" s="67" t="s">
        <v>1144</v>
      </c>
    </row>
    <row r="638" spans="1:9" ht="15" customHeight="1">
      <c r="A638" s="67" t="s">
        <v>875</v>
      </c>
      <c r="B638" s="67" t="s">
        <v>318</v>
      </c>
      <c r="C638" s="68">
        <v>104</v>
      </c>
      <c r="D638" s="69">
        <v>-0.35210000000000002</v>
      </c>
      <c r="E638" s="70">
        <v>16.534199999999998</v>
      </c>
      <c r="F638" s="69">
        <v>8.4360000000000004E-2</v>
      </c>
      <c r="G638" s="70"/>
      <c r="H638" s="70"/>
      <c r="I638" s="67" t="s">
        <v>1145</v>
      </c>
    </row>
    <row r="639" spans="1:9" ht="15" customHeight="1">
      <c r="A639" s="67" t="s">
        <v>875</v>
      </c>
      <c r="B639" s="67" t="s">
        <v>318</v>
      </c>
      <c r="C639" s="68">
        <v>104.5</v>
      </c>
      <c r="D639" s="69">
        <v>-0.35210000000000002</v>
      </c>
      <c r="E639" s="70">
        <v>16.6889</v>
      </c>
      <c r="F639" s="69">
        <v>8.4640000000000007E-2</v>
      </c>
      <c r="G639" s="70"/>
      <c r="H639" s="70"/>
      <c r="I639" s="67" t="s">
        <v>1146</v>
      </c>
    </row>
    <row r="640" spans="1:9" ht="15" customHeight="1">
      <c r="A640" s="67" t="s">
        <v>875</v>
      </c>
      <c r="B640" s="67" t="s">
        <v>318</v>
      </c>
      <c r="C640" s="68">
        <v>105</v>
      </c>
      <c r="D640" s="69">
        <v>-0.35210000000000002</v>
      </c>
      <c r="E640" s="70">
        <v>16.845400000000001</v>
      </c>
      <c r="F640" s="69">
        <v>8.4930000000000005E-2</v>
      </c>
      <c r="G640" s="70"/>
      <c r="H640" s="70"/>
      <c r="I640" s="67" t="s">
        <v>1147</v>
      </c>
    </row>
    <row r="641" spans="1:9" ht="15" customHeight="1">
      <c r="A641" s="67" t="s">
        <v>875</v>
      </c>
      <c r="B641" s="67" t="s">
        <v>318</v>
      </c>
      <c r="C641" s="68">
        <v>105.5</v>
      </c>
      <c r="D641" s="69">
        <v>-0.35210000000000002</v>
      </c>
      <c r="E641" s="70">
        <v>17.003599999999999</v>
      </c>
      <c r="F641" s="69">
        <v>8.5209999999999994E-2</v>
      </c>
      <c r="G641" s="70"/>
      <c r="H641" s="70"/>
      <c r="I641" s="67" t="s">
        <v>1148</v>
      </c>
    </row>
    <row r="642" spans="1:9" ht="15" customHeight="1">
      <c r="A642" s="67" t="s">
        <v>875</v>
      </c>
      <c r="B642" s="67" t="s">
        <v>318</v>
      </c>
      <c r="C642" s="68">
        <v>106</v>
      </c>
      <c r="D642" s="69">
        <v>-0.35210000000000002</v>
      </c>
      <c r="E642" s="70">
        <v>17.163699999999999</v>
      </c>
      <c r="F642" s="69">
        <v>8.5510000000000003E-2</v>
      </c>
      <c r="G642" s="70"/>
      <c r="H642" s="70"/>
      <c r="I642" s="67" t="s">
        <v>1149</v>
      </c>
    </row>
    <row r="643" spans="1:9" ht="15" customHeight="1">
      <c r="A643" s="67" t="s">
        <v>875</v>
      </c>
      <c r="B643" s="67" t="s">
        <v>318</v>
      </c>
      <c r="C643" s="68">
        <v>106.5</v>
      </c>
      <c r="D643" s="69">
        <v>-0.35210000000000002</v>
      </c>
      <c r="E643" s="70">
        <v>17.325600000000001</v>
      </c>
      <c r="F643" s="69">
        <v>8.5800000000000001E-2</v>
      </c>
      <c r="G643" s="70"/>
      <c r="H643" s="70"/>
      <c r="I643" s="67" t="s">
        <v>1150</v>
      </c>
    </row>
    <row r="644" spans="1:9" ht="15" customHeight="1">
      <c r="A644" s="67" t="s">
        <v>875</v>
      </c>
      <c r="B644" s="67" t="s">
        <v>318</v>
      </c>
      <c r="C644" s="68">
        <v>107</v>
      </c>
      <c r="D644" s="69">
        <v>-0.35210000000000002</v>
      </c>
      <c r="E644" s="70">
        <v>17.4894</v>
      </c>
      <c r="F644" s="69">
        <v>8.6110000000000006E-2</v>
      </c>
      <c r="G644" s="70"/>
      <c r="H644" s="70"/>
      <c r="I644" s="67" t="s">
        <v>1151</v>
      </c>
    </row>
    <row r="645" spans="1:9" ht="15" customHeight="1">
      <c r="A645" s="67" t="s">
        <v>875</v>
      </c>
      <c r="B645" s="67" t="s">
        <v>318</v>
      </c>
      <c r="C645" s="68">
        <v>107.5</v>
      </c>
      <c r="D645" s="69">
        <v>-0.35210000000000002</v>
      </c>
      <c r="E645" s="70">
        <v>17.655000000000001</v>
      </c>
      <c r="F645" s="69">
        <v>8.6410000000000001E-2</v>
      </c>
      <c r="G645" s="70"/>
      <c r="H645" s="70"/>
      <c r="I645" s="67" t="s">
        <v>1152</v>
      </c>
    </row>
    <row r="646" spans="1:9" ht="15" customHeight="1">
      <c r="A646" s="67" t="s">
        <v>875</v>
      </c>
      <c r="B646" s="67" t="s">
        <v>318</v>
      </c>
      <c r="C646" s="68">
        <v>108</v>
      </c>
      <c r="D646" s="69">
        <v>-0.35210000000000002</v>
      </c>
      <c r="E646" s="70">
        <v>17.822600000000001</v>
      </c>
      <c r="F646" s="69">
        <v>8.6730000000000002E-2</v>
      </c>
      <c r="G646" s="70"/>
      <c r="H646" s="70"/>
      <c r="I646" s="67" t="s">
        <v>1153</v>
      </c>
    </row>
    <row r="647" spans="1:9" ht="15" customHeight="1">
      <c r="A647" s="67" t="s">
        <v>875</v>
      </c>
      <c r="B647" s="67" t="s">
        <v>318</v>
      </c>
      <c r="C647" s="68">
        <v>108.5</v>
      </c>
      <c r="D647" s="69">
        <v>-0.35210000000000002</v>
      </c>
      <c r="E647" s="70">
        <v>17.9924</v>
      </c>
      <c r="F647" s="69">
        <v>8.7040000000000006E-2</v>
      </c>
      <c r="G647" s="70"/>
      <c r="H647" s="70"/>
      <c r="I647" s="67" t="s">
        <v>1154</v>
      </c>
    </row>
    <row r="648" spans="1:9" ht="15" customHeight="1">
      <c r="A648" s="67" t="s">
        <v>875</v>
      </c>
      <c r="B648" s="67" t="s">
        <v>318</v>
      </c>
      <c r="C648" s="68">
        <v>109</v>
      </c>
      <c r="D648" s="69">
        <v>-0.35210000000000002</v>
      </c>
      <c r="E648" s="70">
        <v>18.1645</v>
      </c>
      <c r="F648" s="69">
        <v>8.7359999999999993E-2</v>
      </c>
      <c r="G648" s="70"/>
      <c r="H648" s="70"/>
      <c r="I648" s="67" t="s">
        <v>1155</v>
      </c>
    </row>
    <row r="649" spans="1:9" ht="15" customHeight="1">
      <c r="A649" s="67" t="s">
        <v>875</v>
      </c>
      <c r="B649" s="67" t="s">
        <v>318</v>
      </c>
      <c r="C649" s="68">
        <v>109.5</v>
      </c>
      <c r="D649" s="69">
        <v>-0.38329999999999997</v>
      </c>
      <c r="E649" s="70">
        <v>18.338999999999999</v>
      </c>
      <c r="F649" s="69">
        <v>8.7679999999999994E-2</v>
      </c>
      <c r="G649" s="70"/>
      <c r="H649" s="70"/>
      <c r="I649" s="67" t="s">
        <v>1156</v>
      </c>
    </row>
    <row r="650" spans="1:9" ht="15" customHeight="1">
      <c r="A650" s="67" t="s">
        <v>875</v>
      </c>
      <c r="B650" s="67" t="s">
        <v>318</v>
      </c>
      <c r="C650" s="68">
        <v>110</v>
      </c>
      <c r="D650" s="69">
        <v>-0.35210000000000002</v>
      </c>
      <c r="E650" s="70">
        <v>18.515799999999999</v>
      </c>
      <c r="F650" s="69">
        <v>8.7999999999999995E-2</v>
      </c>
      <c r="G650" s="70"/>
      <c r="H650" s="70"/>
      <c r="I650" s="67" t="s">
        <v>1157</v>
      </c>
    </row>
    <row r="651" spans="1:9" ht="15" customHeight="1">
      <c r="A651" s="67" t="s">
        <v>875</v>
      </c>
      <c r="B651" s="67" t="s">
        <v>318</v>
      </c>
      <c r="C651" s="68">
        <v>110.5</v>
      </c>
      <c r="D651" s="69">
        <v>-0.35210000000000002</v>
      </c>
      <c r="E651" s="70">
        <v>18.694800000000001</v>
      </c>
      <c r="F651" s="69">
        <v>8.8319999999999996E-2</v>
      </c>
      <c r="G651" s="70"/>
      <c r="H651" s="70"/>
      <c r="I651" s="67" t="s">
        <v>1158</v>
      </c>
    </row>
    <row r="652" spans="1:9" ht="15" customHeight="1">
      <c r="A652" s="67" t="s">
        <v>875</v>
      </c>
      <c r="B652" s="67" t="s">
        <v>318</v>
      </c>
      <c r="C652" s="68">
        <v>111</v>
      </c>
      <c r="D652" s="69">
        <v>-0.35210000000000002</v>
      </c>
      <c r="E652" s="70">
        <v>18.875900000000001</v>
      </c>
      <c r="F652" s="69">
        <v>8.8639999999999997E-2</v>
      </c>
      <c r="G652" s="70"/>
      <c r="H652" s="70"/>
      <c r="I652" s="67" t="s">
        <v>1159</v>
      </c>
    </row>
    <row r="653" spans="1:9" ht="15" customHeight="1">
      <c r="A653" s="67" t="s">
        <v>875</v>
      </c>
      <c r="B653" s="67" t="s">
        <v>318</v>
      </c>
      <c r="C653" s="68">
        <v>111.5</v>
      </c>
      <c r="D653" s="69">
        <v>-0.35210000000000002</v>
      </c>
      <c r="E653" s="70">
        <v>19.059000000000001</v>
      </c>
      <c r="F653" s="69">
        <v>8.8959999999999997E-2</v>
      </c>
      <c r="G653" s="70"/>
      <c r="H653" s="70"/>
      <c r="I653" s="67" t="s">
        <v>1160</v>
      </c>
    </row>
    <row r="654" spans="1:9" ht="15" customHeight="1">
      <c r="A654" s="67" t="s">
        <v>875</v>
      </c>
      <c r="B654" s="67" t="s">
        <v>318</v>
      </c>
      <c r="C654" s="68">
        <v>112</v>
      </c>
      <c r="D654" s="69">
        <v>-0.35210000000000002</v>
      </c>
      <c r="E654" s="70">
        <v>19.2439</v>
      </c>
      <c r="F654" s="69">
        <v>8.9279999999999998E-2</v>
      </c>
      <c r="G654" s="70"/>
      <c r="H654" s="70"/>
      <c r="I654" s="67" t="s">
        <v>1161</v>
      </c>
    </row>
    <row r="655" spans="1:9" ht="15" customHeight="1">
      <c r="A655" s="67" t="s">
        <v>875</v>
      </c>
      <c r="B655" s="67" t="s">
        <v>318</v>
      </c>
      <c r="C655" s="68">
        <v>112.5</v>
      </c>
      <c r="D655" s="69">
        <v>-0.35210000000000002</v>
      </c>
      <c r="E655" s="70">
        <v>19.430399999999999</v>
      </c>
      <c r="F655" s="69">
        <v>8.9599999999999999E-2</v>
      </c>
      <c r="G655" s="70"/>
      <c r="H655" s="70"/>
      <c r="I655" s="67" t="s">
        <v>1162</v>
      </c>
    </row>
    <row r="656" spans="1:9" ht="15" customHeight="1">
      <c r="A656" s="67" t="s">
        <v>875</v>
      </c>
      <c r="B656" s="67" t="s">
        <v>318</v>
      </c>
      <c r="C656" s="68">
        <v>113</v>
      </c>
      <c r="D656" s="69">
        <v>-0.35210000000000002</v>
      </c>
      <c r="E656" s="70">
        <v>19.618500000000001</v>
      </c>
      <c r="F656" s="69">
        <v>8.9910000000000004E-2</v>
      </c>
      <c r="G656" s="70"/>
      <c r="H656" s="70"/>
      <c r="I656" s="67" t="s">
        <v>1163</v>
      </c>
    </row>
    <row r="657" spans="1:9" ht="15" customHeight="1">
      <c r="A657" s="67" t="s">
        <v>875</v>
      </c>
      <c r="B657" s="67" t="s">
        <v>318</v>
      </c>
      <c r="C657" s="68">
        <v>113.5</v>
      </c>
      <c r="D657" s="69">
        <v>-0.35210000000000002</v>
      </c>
      <c r="E657" s="70">
        <v>19.8081</v>
      </c>
      <c r="F657" s="69">
        <v>9.0219999999999995E-2</v>
      </c>
      <c r="G657" s="70"/>
      <c r="H657" s="70"/>
      <c r="I657" s="67" t="s">
        <v>1164</v>
      </c>
    </row>
    <row r="658" spans="1:9" ht="15" customHeight="1">
      <c r="A658" s="67" t="s">
        <v>875</v>
      </c>
      <c r="B658" s="67" t="s">
        <v>318</v>
      </c>
      <c r="C658" s="68">
        <v>114</v>
      </c>
      <c r="D658" s="69">
        <v>-0.35210000000000002</v>
      </c>
      <c r="E658" s="70">
        <v>19.998999999999999</v>
      </c>
      <c r="F658" s="69">
        <v>9.0539999999999995E-2</v>
      </c>
      <c r="G658" s="70"/>
      <c r="H658" s="70"/>
      <c r="I658" s="67" t="s">
        <v>1165</v>
      </c>
    </row>
    <row r="659" spans="1:9" ht="15" customHeight="1">
      <c r="A659" s="67" t="s">
        <v>875</v>
      </c>
      <c r="B659" s="67" t="s">
        <v>318</v>
      </c>
      <c r="C659" s="68">
        <v>114.5</v>
      </c>
      <c r="D659" s="69">
        <v>-0.35210000000000002</v>
      </c>
      <c r="E659" s="70">
        <v>20.191199999999998</v>
      </c>
      <c r="F659" s="69">
        <v>9.085E-2</v>
      </c>
      <c r="G659" s="70"/>
      <c r="H659" s="70"/>
      <c r="I659" s="67" t="s">
        <v>1166</v>
      </c>
    </row>
    <row r="660" spans="1:9" ht="15" customHeight="1">
      <c r="A660" s="67" t="s">
        <v>875</v>
      </c>
      <c r="B660" s="67" t="s">
        <v>318</v>
      </c>
      <c r="C660" s="68">
        <v>115</v>
      </c>
      <c r="D660" s="69">
        <v>-0.35210000000000002</v>
      </c>
      <c r="E660" s="70">
        <v>20.384599999999999</v>
      </c>
      <c r="F660" s="69">
        <v>9.1160000000000005E-2</v>
      </c>
      <c r="G660" s="70"/>
      <c r="H660" s="70"/>
      <c r="I660" s="67" t="s">
        <v>1167</v>
      </c>
    </row>
    <row r="661" spans="1:9" ht="15" customHeight="1">
      <c r="A661" s="67" t="s">
        <v>875</v>
      </c>
      <c r="B661" s="67" t="s">
        <v>318</v>
      </c>
      <c r="C661" s="68">
        <v>115.5</v>
      </c>
      <c r="D661" s="69">
        <v>-0.35210000000000002</v>
      </c>
      <c r="E661" s="70">
        <v>20.578900000000001</v>
      </c>
      <c r="F661" s="69">
        <v>9.1469999999999996E-2</v>
      </c>
      <c r="G661" s="70"/>
      <c r="H661" s="70"/>
      <c r="I661" s="67" t="s">
        <v>1168</v>
      </c>
    </row>
    <row r="662" spans="1:9" ht="15" customHeight="1">
      <c r="A662" s="67" t="s">
        <v>875</v>
      </c>
      <c r="B662" s="67" t="s">
        <v>318</v>
      </c>
      <c r="C662" s="68">
        <v>116</v>
      </c>
      <c r="D662" s="69">
        <v>-0.35210000000000002</v>
      </c>
      <c r="E662" s="70">
        <v>20.774100000000001</v>
      </c>
      <c r="F662" s="69">
        <v>9.1770000000000004E-2</v>
      </c>
      <c r="G662" s="70"/>
      <c r="H662" s="70"/>
      <c r="I662" s="67" t="s">
        <v>1169</v>
      </c>
    </row>
    <row r="663" spans="1:9" ht="15" customHeight="1">
      <c r="A663" s="67" t="s">
        <v>875</v>
      </c>
      <c r="B663" s="67" t="s">
        <v>318</v>
      </c>
      <c r="C663" s="68">
        <v>116.5</v>
      </c>
      <c r="D663" s="69">
        <v>-0.35210000000000002</v>
      </c>
      <c r="E663" s="70">
        <v>20.97</v>
      </c>
      <c r="F663" s="69">
        <v>9.2079999999999995E-2</v>
      </c>
      <c r="G663" s="70"/>
      <c r="H663" s="70"/>
      <c r="I663" s="67" t="s">
        <v>1170</v>
      </c>
    </row>
    <row r="664" spans="1:9" ht="15" customHeight="1">
      <c r="A664" s="67" t="s">
        <v>875</v>
      </c>
      <c r="B664" s="67" t="s">
        <v>318</v>
      </c>
      <c r="C664" s="68">
        <v>117</v>
      </c>
      <c r="D664" s="69">
        <v>-0.35210000000000002</v>
      </c>
      <c r="E664" s="70">
        <v>21.166599999999999</v>
      </c>
      <c r="F664" s="69">
        <v>9.239E-2</v>
      </c>
      <c r="G664" s="70"/>
      <c r="H664" s="70"/>
      <c r="I664" s="67" t="s">
        <v>1171</v>
      </c>
    </row>
    <row r="665" spans="1:9" ht="15" customHeight="1">
      <c r="A665" s="67" t="s">
        <v>875</v>
      </c>
      <c r="B665" s="67" t="s">
        <v>318</v>
      </c>
      <c r="C665" s="68">
        <v>117.5</v>
      </c>
      <c r="D665" s="69">
        <v>-0.35210000000000002</v>
      </c>
      <c r="E665" s="70">
        <v>21.363600000000002</v>
      </c>
      <c r="F665" s="69">
        <v>9.2700000000000005E-2</v>
      </c>
      <c r="G665" s="70"/>
      <c r="H665" s="70"/>
      <c r="I665" s="67" t="s">
        <v>1172</v>
      </c>
    </row>
    <row r="666" spans="1:9" ht="15" customHeight="1">
      <c r="A666" s="67" t="s">
        <v>875</v>
      </c>
      <c r="B666" s="67" t="s">
        <v>318</v>
      </c>
      <c r="C666" s="68">
        <v>118</v>
      </c>
      <c r="D666" s="69">
        <v>-0.35210000000000002</v>
      </c>
      <c r="E666" s="70">
        <v>21.5611</v>
      </c>
      <c r="F666" s="69">
        <v>9.2999999999999999E-2</v>
      </c>
      <c r="G666" s="70"/>
      <c r="H666" s="70"/>
      <c r="I666" s="67" t="s">
        <v>1173</v>
      </c>
    </row>
    <row r="667" spans="1:9" ht="15" customHeight="1">
      <c r="A667" s="67" t="s">
        <v>875</v>
      </c>
      <c r="B667" s="67" t="s">
        <v>318</v>
      </c>
      <c r="C667" s="68">
        <v>118.5</v>
      </c>
      <c r="D667" s="69">
        <v>-0.35210000000000002</v>
      </c>
      <c r="E667" s="70">
        <v>21.758800000000001</v>
      </c>
      <c r="F667" s="69">
        <v>9.3310000000000004E-2</v>
      </c>
      <c r="G667" s="70"/>
      <c r="H667" s="70"/>
      <c r="I667" s="67" t="s">
        <v>1174</v>
      </c>
    </row>
    <row r="668" spans="1:9" ht="15" customHeight="1">
      <c r="A668" s="67" t="s">
        <v>875</v>
      </c>
      <c r="B668" s="67" t="s">
        <v>318</v>
      </c>
      <c r="C668" s="68">
        <v>119</v>
      </c>
      <c r="D668" s="69">
        <v>-0.35210000000000002</v>
      </c>
      <c r="E668" s="70">
        <v>21.956800000000001</v>
      </c>
      <c r="F668" s="69">
        <v>9.3619999999999995E-2</v>
      </c>
      <c r="G668" s="70"/>
      <c r="H668" s="70"/>
      <c r="I668" s="67" t="s">
        <v>1175</v>
      </c>
    </row>
    <row r="669" spans="1:9" ht="15" customHeight="1">
      <c r="A669" s="67" t="s">
        <v>875</v>
      </c>
      <c r="B669" s="67" t="s">
        <v>318</v>
      </c>
      <c r="C669" s="68">
        <v>119.5</v>
      </c>
      <c r="D669" s="69">
        <v>-0.35210000000000002</v>
      </c>
      <c r="E669" s="70">
        <v>22.154900000000001</v>
      </c>
      <c r="F669" s="69">
        <v>9.393E-2</v>
      </c>
      <c r="G669" s="70"/>
      <c r="H669" s="70"/>
      <c r="I669" s="67" t="s">
        <v>1176</v>
      </c>
    </row>
    <row r="670" spans="1:9" ht="15" customHeight="1">
      <c r="A670" s="67" t="s">
        <v>875</v>
      </c>
      <c r="B670" s="67" t="s">
        <v>318</v>
      </c>
      <c r="C670" s="68">
        <v>120</v>
      </c>
      <c r="D670" s="69">
        <v>-0.35210000000000002</v>
      </c>
      <c r="E670" s="70">
        <v>22.353000000000002</v>
      </c>
      <c r="F670" s="69">
        <v>9.4240000000000004E-2</v>
      </c>
      <c r="G670" s="70"/>
      <c r="H670" s="70"/>
      <c r="I670" s="67" t="s">
        <v>1177</v>
      </c>
    </row>
    <row r="671" spans="1:9" ht="15" customHeight="1">
      <c r="A671" s="67" t="s">
        <v>1178</v>
      </c>
      <c r="B671" s="67" t="s">
        <v>365</v>
      </c>
      <c r="C671" s="68">
        <v>0</v>
      </c>
      <c r="D671" s="70">
        <v>45.4</v>
      </c>
      <c r="E671" s="70">
        <v>47.3</v>
      </c>
      <c r="F671" s="70">
        <v>49.1</v>
      </c>
      <c r="G671" s="70">
        <v>51</v>
      </c>
      <c r="H671" s="70">
        <v>52.9</v>
      </c>
      <c r="I671" s="67" t="s">
        <v>1179</v>
      </c>
    </row>
    <row r="672" spans="1:9" ht="15" customHeight="1">
      <c r="A672" s="67" t="s">
        <v>1178</v>
      </c>
      <c r="B672" s="67" t="s">
        <v>365</v>
      </c>
      <c r="C672" s="68">
        <v>1</v>
      </c>
      <c r="D672" s="70">
        <v>49.8</v>
      </c>
      <c r="E672" s="70">
        <v>51.7</v>
      </c>
      <c r="F672" s="70">
        <v>53.7</v>
      </c>
      <c r="G672" s="70">
        <v>55.6</v>
      </c>
      <c r="H672" s="70">
        <v>57.6</v>
      </c>
      <c r="I672" s="67" t="s">
        <v>1180</v>
      </c>
    </row>
    <row r="673" spans="1:9" ht="15" customHeight="1">
      <c r="A673" s="67" t="s">
        <v>1178</v>
      </c>
      <c r="B673" s="67" t="s">
        <v>365</v>
      </c>
      <c r="C673" s="68">
        <v>2</v>
      </c>
      <c r="D673" s="70">
        <v>53</v>
      </c>
      <c r="E673" s="70">
        <v>55</v>
      </c>
      <c r="F673" s="70">
        <v>57.1</v>
      </c>
      <c r="G673" s="70">
        <v>59.1</v>
      </c>
      <c r="H673" s="70">
        <v>61.1</v>
      </c>
      <c r="I673" s="67" t="s">
        <v>1181</v>
      </c>
    </row>
    <row r="674" spans="1:9" ht="15" customHeight="1">
      <c r="A674" s="67" t="s">
        <v>1178</v>
      </c>
      <c r="B674" s="67" t="s">
        <v>365</v>
      </c>
      <c r="C674" s="68">
        <v>3</v>
      </c>
      <c r="D674" s="70">
        <v>55.6</v>
      </c>
      <c r="E674" s="70">
        <v>57.7</v>
      </c>
      <c r="F674" s="70">
        <v>59.8</v>
      </c>
      <c r="G674" s="70">
        <v>61.9</v>
      </c>
      <c r="H674" s="70">
        <v>64</v>
      </c>
      <c r="I674" s="67" t="s">
        <v>1182</v>
      </c>
    </row>
    <row r="675" spans="1:9" ht="15" customHeight="1">
      <c r="A675" s="67" t="s">
        <v>1178</v>
      </c>
      <c r="B675" s="67" t="s">
        <v>365</v>
      </c>
      <c r="C675" s="68">
        <v>4</v>
      </c>
      <c r="D675" s="70">
        <v>57.8</v>
      </c>
      <c r="E675" s="70">
        <v>59.9</v>
      </c>
      <c r="F675" s="70">
        <v>62.1</v>
      </c>
      <c r="G675" s="70">
        <v>64.3</v>
      </c>
      <c r="H675" s="70">
        <v>66.400000000000006</v>
      </c>
      <c r="I675" s="67" t="s">
        <v>1183</v>
      </c>
    </row>
    <row r="676" spans="1:9" ht="15" customHeight="1">
      <c r="A676" s="67" t="s">
        <v>1178</v>
      </c>
      <c r="B676" s="67" t="s">
        <v>365</v>
      </c>
      <c r="C676" s="68">
        <v>5</v>
      </c>
      <c r="D676" s="70">
        <v>59.6</v>
      </c>
      <c r="E676" s="70">
        <v>61.8</v>
      </c>
      <c r="F676" s="70">
        <v>64</v>
      </c>
      <c r="G676" s="70">
        <v>66.2</v>
      </c>
      <c r="H676" s="70">
        <v>68.5</v>
      </c>
      <c r="I676" s="67" t="s">
        <v>1184</v>
      </c>
    </row>
    <row r="677" spans="1:9" ht="15" customHeight="1">
      <c r="A677" s="67" t="s">
        <v>1178</v>
      </c>
      <c r="B677" s="67" t="s">
        <v>365</v>
      </c>
      <c r="C677" s="68">
        <v>6</v>
      </c>
      <c r="D677" s="70">
        <v>61.2</v>
      </c>
      <c r="E677" s="70">
        <v>63.5</v>
      </c>
      <c r="F677" s="70">
        <v>65.7</v>
      </c>
      <c r="G677" s="70">
        <v>68</v>
      </c>
      <c r="H677" s="70">
        <v>70.3</v>
      </c>
      <c r="I677" s="67" t="s">
        <v>1185</v>
      </c>
    </row>
    <row r="678" spans="1:9" ht="15" customHeight="1">
      <c r="A678" s="67" t="s">
        <v>1178</v>
      </c>
      <c r="B678" s="67" t="s">
        <v>365</v>
      </c>
      <c r="C678" s="68">
        <v>7</v>
      </c>
      <c r="D678" s="70">
        <v>62.7</v>
      </c>
      <c r="E678" s="70">
        <v>65</v>
      </c>
      <c r="F678" s="70">
        <v>67.3</v>
      </c>
      <c r="G678" s="70">
        <v>69.599999999999994</v>
      </c>
      <c r="H678" s="70">
        <v>71.900000000000006</v>
      </c>
      <c r="I678" s="67" t="s">
        <v>1186</v>
      </c>
    </row>
    <row r="679" spans="1:9" ht="15" customHeight="1">
      <c r="A679" s="67" t="s">
        <v>1178</v>
      </c>
      <c r="B679" s="67" t="s">
        <v>365</v>
      </c>
      <c r="C679" s="68">
        <v>8</v>
      </c>
      <c r="D679" s="70">
        <v>64</v>
      </c>
      <c r="E679" s="70">
        <v>66.400000000000006</v>
      </c>
      <c r="F679" s="70">
        <v>68.7</v>
      </c>
      <c r="G679" s="70">
        <v>71.099999999999994</v>
      </c>
      <c r="H679" s="70">
        <v>73.5</v>
      </c>
      <c r="I679" s="67" t="s">
        <v>1187</v>
      </c>
    </row>
    <row r="680" spans="1:9" ht="15" customHeight="1">
      <c r="A680" s="67" t="s">
        <v>1178</v>
      </c>
      <c r="B680" s="67" t="s">
        <v>365</v>
      </c>
      <c r="C680" s="68">
        <v>9</v>
      </c>
      <c r="D680" s="70">
        <v>65.3</v>
      </c>
      <c r="E680" s="70">
        <v>67.7</v>
      </c>
      <c r="F680" s="70">
        <v>70.099999999999994</v>
      </c>
      <c r="G680" s="70">
        <v>72.599999999999994</v>
      </c>
      <c r="H680" s="70">
        <v>75</v>
      </c>
      <c r="I680" s="67" t="s">
        <v>1188</v>
      </c>
    </row>
    <row r="681" spans="1:9" ht="15" customHeight="1">
      <c r="A681" s="67" t="s">
        <v>1178</v>
      </c>
      <c r="B681" s="67" t="s">
        <v>365</v>
      </c>
      <c r="C681" s="68">
        <v>10</v>
      </c>
      <c r="D681" s="70">
        <v>66.5</v>
      </c>
      <c r="E681" s="70">
        <v>69</v>
      </c>
      <c r="F681" s="70">
        <v>71.5</v>
      </c>
      <c r="G681" s="70">
        <v>73.900000000000006</v>
      </c>
      <c r="H681" s="70">
        <v>76.400000000000006</v>
      </c>
      <c r="I681" s="67" t="s">
        <v>1189</v>
      </c>
    </row>
    <row r="682" spans="1:9" ht="15" customHeight="1">
      <c r="A682" s="67" t="s">
        <v>1178</v>
      </c>
      <c r="B682" s="67" t="s">
        <v>365</v>
      </c>
      <c r="C682" s="68">
        <v>11</v>
      </c>
      <c r="D682" s="70">
        <v>67.7</v>
      </c>
      <c r="E682" s="70">
        <v>70.3</v>
      </c>
      <c r="F682" s="70">
        <v>72.8</v>
      </c>
      <c r="G682" s="70">
        <v>75.3</v>
      </c>
      <c r="H682" s="70">
        <v>77.8</v>
      </c>
      <c r="I682" s="67" t="s">
        <v>1190</v>
      </c>
    </row>
    <row r="683" spans="1:9" ht="15" customHeight="1">
      <c r="A683" s="67" t="s">
        <v>1178</v>
      </c>
      <c r="B683" s="67" t="s">
        <v>365</v>
      </c>
      <c r="C683" s="68">
        <v>12</v>
      </c>
      <c r="D683" s="70">
        <v>68.900000000000006</v>
      </c>
      <c r="E683" s="70">
        <v>71.400000000000006</v>
      </c>
      <c r="F683" s="70">
        <v>74</v>
      </c>
      <c r="G683" s="70">
        <v>76.599999999999994</v>
      </c>
      <c r="H683" s="70">
        <v>79.2</v>
      </c>
      <c r="I683" s="67" t="s">
        <v>1191</v>
      </c>
    </row>
    <row r="684" spans="1:9" ht="15" customHeight="1">
      <c r="A684" s="67" t="s">
        <v>1178</v>
      </c>
      <c r="B684" s="67" t="s">
        <v>365</v>
      </c>
      <c r="C684" s="68">
        <v>13</v>
      </c>
      <c r="D684" s="70">
        <v>70</v>
      </c>
      <c r="E684" s="70">
        <v>72.599999999999994</v>
      </c>
      <c r="F684" s="70">
        <v>75.2</v>
      </c>
      <c r="G684" s="70">
        <v>77.8</v>
      </c>
      <c r="H684" s="70">
        <v>80.5</v>
      </c>
      <c r="I684" s="67" t="s">
        <v>1192</v>
      </c>
    </row>
    <row r="685" spans="1:9" ht="15" customHeight="1">
      <c r="A685" s="67" t="s">
        <v>1178</v>
      </c>
      <c r="B685" s="67" t="s">
        <v>365</v>
      </c>
      <c r="C685" s="68">
        <v>14</v>
      </c>
      <c r="D685" s="70">
        <v>71</v>
      </c>
      <c r="E685" s="70">
        <v>73.7</v>
      </c>
      <c r="F685" s="70">
        <v>76.400000000000006</v>
      </c>
      <c r="G685" s="70">
        <v>79.099999999999994</v>
      </c>
      <c r="H685" s="70">
        <v>81.7</v>
      </c>
      <c r="I685" s="67" t="s">
        <v>1193</v>
      </c>
    </row>
    <row r="686" spans="1:9" ht="15" customHeight="1">
      <c r="A686" s="67" t="s">
        <v>1178</v>
      </c>
      <c r="B686" s="67" t="s">
        <v>365</v>
      </c>
      <c r="C686" s="68">
        <v>15</v>
      </c>
      <c r="D686" s="70">
        <v>72</v>
      </c>
      <c r="E686" s="70">
        <v>74.8</v>
      </c>
      <c r="F686" s="70">
        <v>77.5</v>
      </c>
      <c r="G686" s="70">
        <v>80.2</v>
      </c>
      <c r="H686" s="70">
        <v>83</v>
      </c>
      <c r="I686" s="67" t="s">
        <v>1194</v>
      </c>
    </row>
    <row r="687" spans="1:9" ht="15" customHeight="1">
      <c r="A687" s="67" t="s">
        <v>1178</v>
      </c>
      <c r="B687" s="67" t="s">
        <v>365</v>
      </c>
      <c r="C687" s="68">
        <v>16</v>
      </c>
      <c r="D687" s="70">
        <v>73</v>
      </c>
      <c r="E687" s="70">
        <v>75.8</v>
      </c>
      <c r="F687" s="70">
        <v>78.599999999999994</v>
      </c>
      <c r="G687" s="70">
        <v>81.400000000000006</v>
      </c>
      <c r="H687" s="70">
        <v>84.2</v>
      </c>
      <c r="I687" s="67" t="s">
        <v>1195</v>
      </c>
    </row>
    <row r="688" spans="1:9" ht="15" customHeight="1">
      <c r="A688" s="67" t="s">
        <v>1178</v>
      </c>
      <c r="B688" s="67" t="s">
        <v>365</v>
      </c>
      <c r="C688" s="68">
        <v>17</v>
      </c>
      <c r="D688" s="70">
        <v>74</v>
      </c>
      <c r="E688" s="70">
        <v>76.8</v>
      </c>
      <c r="F688" s="70">
        <v>79.7</v>
      </c>
      <c r="G688" s="70">
        <v>82.5</v>
      </c>
      <c r="H688" s="70">
        <v>85.4</v>
      </c>
      <c r="I688" s="67" t="s">
        <v>1196</v>
      </c>
    </row>
    <row r="689" spans="1:9" ht="15" customHeight="1">
      <c r="A689" s="67" t="s">
        <v>1178</v>
      </c>
      <c r="B689" s="67" t="s">
        <v>365</v>
      </c>
      <c r="C689" s="68">
        <v>18</v>
      </c>
      <c r="D689" s="70">
        <v>74.900000000000006</v>
      </c>
      <c r="E689" s="70">
        <v>77.8</v>
      </c>
      <c r="F689" s="70">
        <v>80.7</v>
      </c>
      <c r="G689" s="70">
        <v>83.6</v>
      </c>
      <c r="H689" s="70">
        <v>86.5</v>
      </c>
      <c r="I689" s="67" t="s">
        <v>1197</v>
      </c>
    </row>
    <row r="690" spans="1:9" ht="15" customHeight="1">
      <c r="A690" s="67" t="s">
        <v>1178</v>
      </c>
      <c r="B690" s="67" t="s">
        <v>365</v>
      </c>
      <c r="C690" s="68">
        <v>19</v>
      </c>
      <c r="D690" s="70">
        <v>75.8</v>
      </c>
      <c r="E690" s="70">
        <v>78.8</v>
      </c>
      <c r="F690" s="70">
        <v>81.7</v>
      </c>
      <c r="G690" s="70">
        <v>84.7</v>
      </c>
      <c r="H690" s="70">
        <v>87.6</v>
      </c>
      <c r="I690" s="67" t="s">
        <v>1198</v>
      </c>
    </row>
    <row r="691" spans="1:9" ht="15" customHeight="1">
      <c r="A691" s="67" t="s">
        <v>1178</v>
      </c>
      <c r="B691" s="67" t="s">
        <v>365</v>
      </c>
      <c r="C691" s="68">
        <v>20</v>
      </c>
      <c r="D691" s="70">
        <v>76.7</v>
      </c>
      <c r="E691" s="70">
        <v>79.7</v>
      </c>
      <c r="F691" s="70">
        <v>82.7</v>
      </c>
      <c r="G691" s="70">
        <v>85.7</v>
      </c>
      <c r="H691" s="70">
        <v>88.7</v>
      </c>
      <c r="I691" s="67" t="s">
        <v>1199</v>
      </c>
    </row>
    <row r="692" spans="1:9" ht="15" customHeight="1">
      <c r="A692" s="67" t="s">
        <v>1178</v>
      </c>
      <c r="B692" s="67" t="s">
        <v>365</v>
      </c>
      <c r="C692" s="68">
        <v>21</v>
      </c>
      <c r="D692" s="70">
        <v>77.5</v>
      </c>
      <c r="E692" s="70">
        <v>80.599999999999994</v>
      </c>
      <c r="F692" s="70">
        <v>83.7</v>
      </c>
      <c r="G692" s="70">
        <v>86.7</v>
      </c>
      <c r="H692" s="70">
        <v>89.8</v>
      </c>
      <c r="I692" s="67" t="s">
        <v>1200</v>
      </c>
    </row>
    <row r="693" spans="1:9" ht="15" customHeight="1">
      <c r="A693" s="67" t="s">
        <v>1178</v>
      </c>
      <c r="B693" s="67" t="s">
        <v>365</v>
      </c>
      <c r="C693" s="68">
        <v>22</v>
      </c>
      <c r="D693" s="70">
        <v>78.400000000000006</v>
      </c>
      <c r="E693" s="70">
        <v>81.5</v>
      </c>
      <c r="F693" s="70">
        <v>84.6</v>
      </c>
      <c r="G693" s="70">
        <v>87.7</v>
      </c>
      <c r="H693" s="70">
        <v>90.8</v>
      </c>
      <c r="I693" s="67" t="s">
        <v>1201</v>
      </c>
    </row>
    <row r="694" spans="1:9" ht="15" customHeight="1">
      <c r="A694" s="67" t="s">
        <v>1178</v>
      </c>
      <c r="B694" s="67" t="s">
        <v>365</v>
      </c>
      <c r="C694" s="68">
        <v>23</v>
      </c>
      <c r="D694" s="70">
        <v>79.2</v>
      </c>
      <c r="E694" s="70">
        <v>82.3</v>
      </c>
      <c r="F694" s="70">
        <v>85.5</v>
      </c>
      <c r="G694" s="70">
        <v>88.7</v>
      </c>
      <c r="H694" s="70">
        <v>91.9</v>
      </c>
      <c r="I694" s="67" t="s">
        <v>1202</v>
      </c>
    </row>
    <row r="695" spans="1:9" ht="15" customHeight="1">
      <c r="A695" s="67" t="s">
        <v>1178</v>
      </c>
      <c r="B695" s="67" t="s">
        <v>365</v>
      </c>
      <c r="C695" s="68">
        <v>24</v>
      </c>
      <c r="D695" s="70">
        <v>80</v>
      </c>
      <c r="E695" s="70">
        <v>83.2</v>
      </c>
      <c r="F695" s="70">
        <v>86.4</v>
      </c>
      <c r="G695" s="70">
        <v>89.6</v>
      </c>
      <c r="H695" s="70">
        <v>92.9</v>
      </c>
      <c r="I695" s="67" t="s">
        <v>1203</v>
      </c>
    </row>
    <row r="696" spans="1:9" ht="15" customHeight="1">
      <c r="A696" s="67" t="s">
        <v>1178</v>
      </c>
      <c r="B696" s="67" t="s">
        <v>365</v>
      </c>
      <c r="C696" s="68">
        <v>25</v>
      </c>
      <c r="D696" s="70">
        <v>80</v>
      </c>
      <c r="E696" s="70">
        <v>83.3</v>
      </c>
      <c r="F696" s="70">
        <v>86.6</v>
      </c>
      <c r="G696" s="70">
        <v>89.9</v>
      </c>
      <c r="H696" s="70">
        <v>93.1</v>
      </c>
      <c r="I696" s="67" t="s">
        <v>1204</v>
      </c>
    </row>
    <row r="697" spans="1:9" ht="15" customHeight="1">
      <c r="A697" s="67" t="s">
        <v>1178</v>
      </c>
      <c r="B697" s="67" t="s">
        <v>365</v>
      </c>
      <c r="C697" s="68">
        <v>26</v>
      </c>
      <c r="D697" s="70">
        <v>80.8</v>
      </c>
      <c r="E697" s="70">
        <v>84.1</v>
      </c>
      <c r="F697" s="70">
        <v>87.4</v>
      </c>
      <c r="G697" s="70">
        <v>90.8</v>
      </c>
      <c r="H697" s="70">
        <v>94.1</v>
      </c>
      <c r="I697" s="67" t="s">
        <v>1205</v>
      </c>
    </row>
    <row r="698" spans="1:9" ht="15" customHeight="1">
      <c r="A698" s="67" t="s">
        <v>1178</v>
      </c>
      <c r="B698" s="67" t="s">
        <v>365</v>
      </c>
      <c r="C698" s="68">
        <v>27</v>
      </c>
      <c r="D698" s="70">
        <v>81.5</v>
      </c>
      <c r="E698" s="70">
        <v>84.9</v>
      </c>
      <c r="F698" s="70">
        <v>88.3</v>
      </c>
      <c r="G698" s="70">
        <v>91.7</v>
      </c>
      <c r="H698" s="70">
        <v>95</v>
      </c>
      <c r="I698" s="67" t="s">
        <v>1206</v>
      </c>
    </row>
    <row r="699" spans="1:9" ht="15" customHeight="1">
      <c r="A699" s="67" t="s">
        <v>1178</v>
      </c>
      <c r="B699" s="67" t="s">
        <v>365</v>
      </c>
      <c r="C699" s="68">
        <v>28</v>
      </c>
      <c r="D699" s="70">
        <v>82.2</v>
      </c>
      <c r="E699" s="70">
        <v>85.7</v>
      </c>
      <c r="F699" s="70">
        <v>89.1</v>
      </c>
      <c r="G699" s="70">
        <v>92.5</v>
      </c>
      <c r="H699" s="70">
        <v>96</v>
      </c>
      <c r="I699" s="67" t="s">
        <v>1207</v>
      </c>
    </row>
    <row r="700" spans="1:9" ht="15" customHeight="1">
      <c r="A700" s="67" t="s">
        <v>1178</v>
      </c>
      <c r="B700" s="67" t="s">
        <v>365</v>
      </c>
      <c r="C700" s="68">
        <v>29</v>
      </c>
      <c r="D700" s="70">
        <v>82.9</v>
      </c>
      <c r="E700" s="70">
        <v>86.4</v>
      </c>
      <c r="F700" s="70">
        <v>89.9</v>
      </c>
      <c r="G700" s="70">
        <v>93.4</v>
      </c>
      <c r="H700" s="70">
        <v>96.9</v>
      </c>
      <c r="I700" s="67" t="s">
        <v>1208</v>
      </c>
    </row>
    <row r="701" spans="1:9" ht="15" customHeight="1">
      <c r="A701" s="67" t="s">
        <v>1178</v>
      </c>
      <c r="B701" s="67" t="s">
        <v>365</v>
      </c>
      <c r="C701" s="68">
        <v>30</v>
      </c>
      <c r="D701" s="70">
        <v>83.6</v>
      </c>
      <c r="E701" s="70">
        <v>87.1</v>
      </c>
      <c r="F701" s="70">
        <v>90.7</v>
      </c>
      <c r="G701" s="70">
        <v>94.2</v>
      </c>
      <c r="H701" s="70">
        <v>97.7</v>
      </c>
      <c r="I701" s="67" t="s">
        <v>1209</v>
      </c>
    </row>
    <row r="702" spans="1:9" ht="15" customHeight="1">
      <c r="A702" s="67" t="s">
        <v>1178</v>
      </c>
      <c r="B702" s="67" t="s">
        <v>365</v>
      </c>
      <c r="C702" s="68">
        <v>31</v>
      </c>
      <c r="D702" s="70">
        <v>84.3</v>
      </c>
      <c r="E702" s="70">
        <v>87.9</v>
      </c>
      <c r="F702" s="70">
        <v>91.4</v>
      </c>
      <c r="G702" s="70">
        <v>95</v>
      </c>
      <c r="H702" s="70">
        <v>98.6</v>
      </c>
      <c r="I702" s="67" t="s">
        <v>1210</v>
      </c>
    </row>
    <row r="703" spans="1:9" ht="15" customHeight="1">
      <c r="A703" s="67" t="s">
        <v>1178</v>
      </c>
      <c r="B703" s="67" t="s">
        <v>365</v>
      </c>
      <c r="C703" s="68">
        <v>32</v>
      </c>
      <c r="D703" s="70">
        <v>84.9</v>
      </c>
      <c r="E703" s="70">
        <v>88.6</v>
      </c>
      <c r="F703" s="70">
        <v>92.2</v>
      </c>
      <c r="G703" s="70">
        <v>95.8</v>
      </c>
      <c r="H703" s="70">
        <v>99.4</v>
      </c>
      <c r="I703" s="67" t="s">
        <v>1211</v>
      </c>
    </row>
    <row r="704" spans="1:9" ht="15" customHeight="1">
      <c r="A704" s="67" t="s">
        <v>1178</v>
      </c>
      <c r="B704" s="67" t="s">
        <v>365</v>
      </c>
      <c r="C704" s="68">
        <v>33</v>
      </c>
      <c r="D704" s="70">
        <v>85.6</v>
      </c>
      <c r="E704" s="70">
        <v>89.3</v>
      </c>
      <c r="F704" s="70">
        <v>92.9</v>
      </c>
      <c r="G704" s="70">
        <v>96.6</v>
      </c>
      <c r="H704" s="70">
        <v>100.3</v>
      </c>
      <c r="I704" s="67" t="s">
        <v>1212</v>
      </c>
    </row>
    <row r="705" spans="1:9" ht="15" customHeight="1">
      <c r="A705" s="67" t="s">
        <v>1178</v>
      </c>
      <c r="B705" s="67" t="s">
        <v>365</v>
      </c>
      <c r="C705" s="68">
        <v>34</v>
      </c>
      <c r="D705" s="70">
        <v>86.2</v>
      </c>
      <c r="E705" s="70">
        <v>89.9</v>
      </c>
      <c r="F705" s="70">
        <v>93.6</v>
      </c>
      <c r="G705" s="70">
        <v>97.4</v>
      </c>
      <c r="H705" s="70">
        <v>101.1</v>
      </c>
      <c r="I705" s="67" t="s">
        <v>1213</v>
      </c>
    </row>
    <row r="706" spans="1:9" ht="15" customHeight="1">
      <c r="A706" s="67" t="s">
        <v>1178</v>
      </c>
      <c r="B706" s="67" t="s">
        <v>365</v>
      </c>
      <c r="C706" s="68">
        <v>35</v>
      </c>
      <c r="D706" s="70">
        <v>86.8</v>
      </c>
      <c r="E706" s="70">
        <v>90.6</v>
      </c>
      <c r="F706" s="70">
        <v>94.4</v>
      </c>
      <c r="G706" s="70">
        <v>98.1</v>
      </c>
      <c r="H706" s="70">
        <v>101.9</v>
      </c>
      <c r="I706" s="67" t="s">
        <v>1214</v>
      </c>
    </row>
    <row r="707" spans="1:9" ht="15" customHeight="1">
      <c r="A707" s="67" t="s">
        <v>1178</v>
      </c>
      <c r="B707" s="67" t="s">
        <v>365</v>
      </c>
      <c r="C707" s="68">
        <v>36</v>
      </c>
      <c r="D707" s="70">
        <v>87.4</v>
      </c>
      <c r="E707" s="70">
        <v>91.2</v>
      </c>
      <c r="F707" s="70">
        <v>95.1</v>
      </c>
      <c r="G707" s="70">
        <v>98.9</v>
      </c>
      <c r="H707" s="70">
        <v>102.7</v>
      </c>
      <c r="I707" s="67" t="s">
        <v>1215</v>
      </c>
    </row>
    <row r="708" spans="1:9" ht="15" customHeight="1">
      <c r="A708" s="67" t="s">
        <v>1178</v>
      </c>
      <c r="B708" s="67" t="s">
        <v>365</v>
      </c>
      <c r="C708" s="68">
        <v>37</v>
      </c>
      <c r="D708" s="70">
        <v>88</v>
      </c>
      <c r="E708" s="70">
        <v>91.9</v>
      </c>
      <c r="F708" s="70">
        <v>95.7</v>
      </c>
      <c r="G708" s="70">
        <v>99.6</v>
      </c>
      <c r="H708" s="70">
        <v>103.4</v>
      </c>
      <c r="I708" s="67" t="s">
        <v>1216</v>
      </c>
    </row>
    <row r="709" spans="1:9" ht="15" customHeight="1">
      <c r="A709" s="67" t="s">
        <v>1178</v>
      </c>
      <c r="B709" s="67" t="s">
        <v>365</v>
      </c>
      <c r="C709" s="68">
        <v>38</v>
      </c>
      <c r="D709" s="70">
        <v>88.6</v>
      </c>
      <c r="E709" s="70">
        <v>92.5</v>
      </c>
      <c r="F709" s="70">
        <v>96.4</v>
      </c>
      <c r="G709" s="70">
        <v>100.3</v>
      </c>
      <c r="H709" s="70">
        <v>104.2</v>
      </c>
      <c r="I709" s="67" t="s">
        <v>1217</v>
      </c>
    </row>
    <row r="710" spans="1:9" ht="15" customHeight="1">
      <c r="A710" s="67" t="s">
        <v>1178</v>
      </c>
      <c r="B710" s="67" t="s">
        <v>365</v>
      </c>
      <c r="C710" s="68">
        <v>39</v>
      </c>
      <c r="D710" s="70">
        <v>89.2</v>
      </c>
      <c r="E710" s="70">
        <v>93.1</v>
      </c>
      <c r="F710" s="70">
        <v>97.1</v>
      </c>
      <c r="G710" s="70">
        <v>101</v>
      </c>
      <c r="H710" s="70">
        <v>105</v>
      </c>
      <c r="I710" s="67" t="s">
        <v>1218</v>
      </c>
    </row>
    <row r="711" spans="1:9" ht="15" customHeight="1">
      <c r="A711" s="67" t="s">
        <v>1178</v>
      </c>
      <c r="B711" s="67" t="s">
        <v>365</v>
      </c>
      <c r="C711" s="68">
        <v>40</v>
      </c>
      <c r="D711" s="70">
        <v>89.8</v>
      </c>
      <c r="E711" s="70">
        <v>93.8</v>
      </c>
      <c r="F711" s="70">
        <v>97.7</v>
      </c>
      <c r="G711" s="70">
        <v>101.7</v>
      </c>
      <c r="H711" s="70">
        <v>105.7</v>
      </c>
      <c r="I711" s="67" t="s">
        <v>1219</v>
      </c>
    </row>
    <row r="712" spans="1:9" ht="15" customHeight="1">
      <c r="A712" s="67" t="s">
        <v>1178</v>
      </c>
      <c r="B712" s="67" t="s">
        <v>365</v>
      </c>
      <c r="C712" s="68">
        <v>41</v>
      </c>
      <c r="D712" s="70">
        <v>90.4</v>
      </c>
      <c r="E712" s="70">
        <v>94.4</v>
      </c>
      <c r="F712" s="70">
        <v>98.4</v>
      </c>
      <c r="G712" s="70">
        <v>102.4</v>
      </c>
      <c r="H712" s="70">
        <v>106.4</v>
      </c>
      <c r="I712" s="67" t="s">
        <v>1220</v>
      </c>
    </row>
    <row r="713" spans="1:9" ht="15" customHeight="1">
      <c r="A713" s="67" t="s">
        <v>1178</v>
      </c>
      <c r="B713" s="67" t="s">
        <v>365</v>
      </c>
      <c r="C713" s="68">
        <v>42</v>
      </c>
      <c r="D713" s="70">
        <v>90.9</v>
      </c>
      <c r="E713" s="70">
        <v>95</v>
      </c>
      <c r="F713" s="70">
        <v>99</v>
      </c>
      <c r="G713" s="70">
        <v>103.1</v>
      </c>
      <c r="H713" s="70">
        <v>107.2</v>
      </c>
      <c r="I713" s="67" t="s">
        <v>1221</v>
      </c>
    </row>
    <row r="714" spans="1:9" ht="15" customHeight="1">
      <c r="A714" s="67" t="s">
        <v>1178</v>
      </c>
      <c r="B714" s="67" t="s">
        <v>365</v>
      </c>
      <c r="C714" s="68">
        <v>43</v>
      </c>
      <c r="D714" s="70">
        <v>91.5</v>
      </c>
      <c r="E714" s="70">
        <v>95.6</v>
      </c>
      <c r="F714" s="70">
        <v>99.7</v>
      </c>
      <c r="G714" s="70">
        <v>103.8</v>
      </c>
      <c r="H714" s="70">
        <v>107.9</v>
      </c>
      <c r="I714" s="67" t="s">
        <v>1222</v>
      </c>
    </row>
    <row r="715" spans="1:9" ht="15" customHeight="1">
      <c r="A715" s="67" t="s">
        <v>1178</v>
      </c>
      <c r="B715" s="67" t="s">
        <v>365</v>
      </c>
      <c r="C715" s="68">
        <v>44</v>
      </c>
      <c r="D715" s="70">
        <v>92</v>
      </c>
      <c r="E715" s="70">
        <v>96.2</v>
      </c>
      <c r="F715" s="70">
        <v>100.3</v>
      </c>
      <c r="G715" s="70">
        <v>104.5</v>
      </c>
      <c r="H715" s="70">
        <v>108.6</v>
      </c>
      <c r="I715" s="67" t="s">
        <v>1223</v>
      </c>
    </row>
    <row r="716" spans="1:9" ht="15" customHeight="1">
      <c r="A716" s="67" t="s">
        <v>1178</v>
      </c>
      <c r="B716" s="67" t="s">
        <v>365</v>
      </c>
      <c r="C716" s="68">
        <v>45</v>
      </c>
      <c r="D716" s="70">
        <v>92.5</v>
      </c>
      <c r="E716" s="70">
        <v>96.7</v>
      </c>
      <c r="F716" s="70">
        <v>100.9</v>
      </c>
      <c r="G716" s="70">
        <v>105.1</v>
      </c>
      <c r="H716" s="70">
        <v>109.3</v>
      </c>
      <c r="I716" s="67" t="s">
        <v>1224</v>
      </c>
    </row>
    <row r="717" spans="1:9" ht="15" customHeight="1">
      <c r="A717" s="67" t="s">
        <v>1178</v>
      </c>
      <c r="B717" s="67" t="s">
        <v>365</v>
      </c>
      <c r="C717" s="68">
        <v>46</v>
      </c>
      <c r="D717" s="70">
        <v>93.1</v>
      </c>
      <c r="E717" s="70">
        <v>97.3</v>
      </c>
      <c r="F717" s="70">
        <v>101.5</v>
      </c>
      <c r="G717" s="70">
        <v>105.8</v>
      </c>
      <c r="H717" s="70">
        <v>110</v>
      </c>
      <c r="I717" s="67" t="s">
        <v>1225</v>
      </c>
    </row>
    <row r="718" spans="1:9" ht="15" customHeight="1">
      <c r="A718" s="67" t="s">
        <v>1178</v>
      </c>
      <c r="B718" s="67" t="s">
        <v>365</v>
      </c>
      <c r="C718" s="68">
        <v>47</v>
      </c>
      <c r="D718" s="70">
        <v>93.6</v>
      </c>
      <c r="E718" s="70">
        <v>97.9</v>
      </c>
      <c r="F718" s="70">
        <v>102.1</v>
      </c>
      <c r="G718" s="70">
        <v>106.4</v>
      </c>
      <c r="H718" s="70">
        <v>110.7</v>
      </c>
      <c r="I718" s="67" t="s">
        <v>1226</v>
      </c>
    </row>
    <row r="719" spans="1:9" ht="15" customHeight="1">
      <c r="A719" s="67" t="s">
        <v>1178</v>
      </c>
      <c r="B719" s="67" t="s">
        <v>365</v>
      </c>
      <c r="C719" s="68">
        <v>48</v>
      </c>
      <c r="D719" s="70">
        <v>94.1</v>
      </c>
      <c r="E719" s="70">
        <v>98.4</v>
      </c>
      <c r="F719" s="70">
        <v>102.7</v>
      </c>
      <c r="G719" s="70">
        <v>107</v>
      </c>
      <c r="H719" s="70">
        <v>111.3</v>
      </c>
      <c r="I719" s="67" t="s">
        <v>1227</v>
      </c>
    </row>
    <row r="720" spans="1:9" ht="15" customHeight="1">
      <c r="A720" s="67" t="s">
        <v>1178</v>
      </c>
      <c r="B720" s="67" t="s">
        <v>365</v>
      </c>
      <c r="C720" s="68">
        <v>49</v>
      </c>
      <c r="D720" s="70">
        <v>94.6</v>
      </c>
      <c r="E720" s="70">
        <v>99</v>
      </c>
      <c r="F720" s="70">
        <v>103.3</v>
      </c>
      <c r="G720" s="70">
        <v>107.7</v>
      </c>
      <c r="H720" s="70">
        <v>112</v>
      </c>
      <c r="I720" s="67" t="s">
        <v>1228</v>
      </c>
    </row>
    <row r="721" spans="1:9" ht="15" customHeight="1">
      <c r="A721" s="67" t="s">
        <v>1178</v>
      </c>
      <c r="B721" s="67" t="s">
        <v>365</v>
      </c>
      <c r="C721" s="68">
        <v>50</v>
      </c>
      <c r="D721" s="70">
        <v>95.1</v>
      </c>
      <c r="E721" s="70">
        <v>99.5</v>
      </c>
      <c r="F721" s="70">
        <v>103.9</v>
      </c>
      <c r="G721" s="70">
        <v>108.3</v>
      </c>
      <c r="H721" s="70">
        <v>112.7</v>
      </c>
      <c r="I721" s="67" t="s">
        <v>1229</v>
      </c>
    </row>
    <row r="722" spans="1:9" ht="15" customHeight="1">
      <c r="A722" s="67" t="s">
        <v>1178</v>
      </c>
      <c r="B722" s="67" t="s">
        <v>365</v>
      </c>
      <c r="C722" s="68">
        <v>51</v>
      </c>
      <c r="D722" s="70">
        <v>95.6</v>
      </c>
      <c r="E722" s="70">
        <v>100.1</v>
      </c>
      <c r="F722" s="70">
        <v>104.5</v>
      </c>
      <c r="G722" s="70">
        <v>108.9</v>
      </c>
      <c r="H722" s="70">
        <v>113.3</v>
      </c>
      <c r="I722" s="67" t="s">
        <v>1230</v>
      </c>
    </row>
    <row r="723" spans="1:9" ht="15" customHeight="1">
      <c r="A723" s="67" t="s">
        <v>1178</v>
      </c>
      <c r="B723" s="67" t="s">
        <v>365</v>
      </c>
      <c r="C723" s="68">
        <v>52</v>
      </c>
      <c r="D723" s="70">
        <v>96.1</v>
      </c>
      <c r="E723" s="70">
        <v>100.6</v>
      </c>
      <c r="F723" s="70">
        <v>105</v>
      </c>
      <c r="G723" s="70">
        <v>109.5</v>
      </c>
      <c r="H723" s="70">
        <v>114</v>
      </c>
      <c r="I723" s="67" t="s">
        <v>1231</v>
      </c>
    </row>
    <row r="724" spans="1:9" ht="15" customHeight="1">
      <c r="A724" s="67" t="s">
        <v>1178</v>
      </c>
      <c r="B724" s="67" t="s">
        <v>365</v>
      </c>
      <c r="C724" s="68">
        <v>53</v>
      </c>
      <c r="D724" s="70">
        <v>96.6</v>
      </c>
      <c r="E724" s="70">
        <v>101.1</v>
      </c>
      <c r="F724" s="70">
        <v>105.6</v>
      </c>
      <c r="G724" s="70">
        <v>110.1</v>
      </c>
      <c r="H724" s="70">
        <v>114.6</v>
      </c>
      <c r="I724" s="67" t="s">
        <v>1232</v>
      </c>
    </row>
    <row r="725" spans="1:9" ht="15" customHeight="1">
      <c r="A725" s="67" t="s">
        <v>1178</v>
      </c>
      <c r="B725" s="67" t="s">
        <v>365</v>
      </c>
      <c r="C725" s="68">
        <v>54</v>
      </c>
      <c r="D725" s="70">
        <v>97.1</v>
      </c>
      <c r="E725" s="70">
        <v>101.6</v>
      </c>
      <c r="F725" s="70">
        <v>106.2</v>
      </c>
      <c r="G725" s="70">
        <v>110.7</v>
      </c>
      <c r="H725" s="70">
        <v>115.2</v>
      </c>
      <c r="I725" s="67" t="s">
        <v>1233</v>
      </c>
    </row>
    <row r="726" spans="1:9" ht="15" customHeight="1">
      <c r="A726" s="67" t="s">
        <v>1178</v>
      </c>
      <c r="B726" s="67" t="s">
        <v>365</v>
      </c>
      <c r="C726" s="68">
        <v>55</v>
      </c>
      <c r="D726" s="70">
        <v>97.6</v>
      </c>
      <c r="E726" s="70">
        <v>102.2</v>
      </c>
      <c r="F726" s="70">
        <v>106.7</v>
      </c>
      <c r="G726" s="70">
        <v>111.3</v>
      </c>
      <c r="H726" s="70">
        <v>115.9</v>
      </c>
      <c r="I726" s="67" t="s">
        <v>1234</v>
      </c>
    </row>
    <row r="727" spans="1:9" ht="15" customHeight="1">
      <c r="A727" s="67" t="s">
        <v>1178</v>
      </c>
      <c r="B727" s="67" t="s">
        <v>365</v>
      </c>
      <c r="C727" s="68">
        <v>56</v>
      </c>
      <c r="D727" s="70">
        <v>98.1</v>
      </c>
      <c r="E727" s="70">
        <v>102.7</v>
      </c>
      <c r="F727" s="70">
        <v>107.3</v>
      </c>
      <c r="G727" s="70">
        <v>111.9</v>
      </c>
      <c r="H727" s="70">
        <v>116.5</v>
      </c>
      <c r="I727" s="67" t="s">
        <v>1235</v>
      </c>
    </row>
    <row r="728" spans="1:9" ht="15" customHeight="1">
      <c r="A728" s="67" t="s">
        <v>1178</v>
      </c>
      <c r="B728" s="67" t="s">
        <v>365</v>
      </c>
      <c r="C728" s="68">
        <v>57</v>
      </c>
      <c r="D728" s="70">
        <v>98.5</v>
      </c>
      <c r="E728" s="70">
        <v>103.2</v>
      </c>
      <c r="F728" s="70">
        <v>107.8</v>
      </c>
      <c r="G728" s="70">
        <v>112.5</v>
      </c>
      <c r="H728" s="70">
        <v>117.1</v>
      </c>
      <c r="I728" s="67" t="s">
        <v>1236</v>
      </c>
    </row>
    <row r="729" spans="1:9" ht="15" customHeight="1">
      <c r="A729" s="67" t="s">
        <v>1178</v>
      </c>
      <c r="B729" s="67" t="s">
        <v>365</v>
      </c>
      <c r="C729" s="68">
        <v>58</v>
      </c>
      <c r="D729" s="70">
        <v>99</v>
      </c>
      <c r="E729" s="70">
        <v>103.7</v>
      </c>
      <c r="F729" s="70">
        <v>108.4</v>
      </c>
      <c r="G729" s="70">
        <v>113</v>
      </c>
      <c r="H729" s="70">
        <v>117.7</v>
      </c>
      <c r="I729" s="67" t="s">
        <v>1237</v>
      </c>
    </row>
    <row r="730" spans="1:9" ht="15" customHeight="1">
      <c r="A730" s="67" t="s">
        <v>1178</v>
      </c>
      <c r="B730" s="67" t="s">
        <v>365</v>
      </c>
      <c r="C730" s="68">
        <v>59</v>
      </c>
      <c r="D730" s="70">
        <v>99.5</v>
      </c>
      <c r="E730" s="70">
        <v>104.2</v>
      </c>
      <c r="F730" s="70">
        <v>108.9</v>
      </c>
      <c r="G730" s="70">
        <v>113.6</v>
      </c>
      <c r="H730" s="70">
        <v>118.3</v>
      </c>
      <c r="I730" s="67" t="s">
        <v>1238</v>
      </c>
    </row>
    <row r="731" spans="1:9" ht="15" customHeight="1">
      <c r="A731" s="67" t="s">
        <v>1178</v>
      </c>
      <c r="B731" s="67" t="s">
        <v>365</v>
      </c>
      <c r="C731" s="68">
        <v>60</v>
      </c>
      <c r="D731" s="70">
        <v>99.9</v>
      </c>
      <c r="E731" s="70">
        <v>104.7</v>
      </c>
      <c r="F731" s="70">
        <v>109.4</v>
      </c>
      <c r="G731" s="70">
        <v>114.2</v>
      </c>
      <c r="H731" s="70">
        <v>118.9</v>
      </c>
      <c r="I731" s="67" t="s">
        <v>1239</v>
      </c>
    </row>
    <row r="732" spans="1:9" ht="15" customHeight="1">
      <c r="A732" s="67" t="s">
        <v>1178</v>
      </c>
      <c r="B732" s="67" t="s">
        <v>365</v>
      </c>
      <c r="C732" s="68">
        <v>61</v>
      </c>
      <c r="D732" s="70">
        <v>100.1</v>
      </c>
      <c r="E732" s="70">
        <v>104.8</v>
      </c>
      <c r="F732" s="70">
        <v>109.6</v>
      </c>
      <c r="G732" s="70">
        <v>114.4</v>
      </c>
      <c r="H732" s="70">
        <v>119.1</v>
      </c>
      <c r="I732" s="67" t="s">
        <v>1240</v>
      </c>
    </row>
    <row r="733" spans="1:9" ht="15" customHeight="1">
      <c r="A733" s="67" t="s">
        <v>1178</v>
      </c>
      <c r="B733" s="67" t="s">
        <v>365</v>
      </c>
      <c r="C733" s="68">
        <v>62</v>
      </c>
      <c r="D733" s="70">
        <v>100.5</v>
      </c>
      <c r="E733" s="70">
        <v>105.3</v>
      </c>
      <c r="F733" s="70">
        <v>110.1</v>
      </c>
      <c r="G733" s="70">
        <v>114.9</v>
      </c>
      <c r="H733" s="70">
        <v>119.7</v>
      </c>
      <c r="I733" s="67" t="s">
        <v>1241</v>
      </c>
    </row>
    <row r="734" spans="1:9" ht="15" customHeight="1">
      <c r="A734" s="67" t="s">
        <v>1178</v>
      </c>
      <c r="B734" s="67" t="s">
        <v>365</v>
      </c>
      <c r="C734" s="68">
        <v>63</v>
      </c>
      <c r="D734" s="70">
        <v>101</v>
      </c>
      <c r="E734" s="70">
        <v>105.8</v>
      </c>
      <c r="F734" s="70">
        <v>110.6</v>
      </c>
      <c r="G734" s="70">
        <v>115.5</v>
      </c>
      <c r="H734" s="70">
        <v>120.3</v>
      </c>
      <c r="I734" s="67" t="s">
        <v>1242</v>
      </c>
    </row>
    <row r="735" spans="1:9" ht="15" customHeight="1">
      <c r="A735" s="67" t="s">
        <v>1178</v>
      </c>
      <c r="B735" s="67" t="s">
        <v>365</v>
      </c>
      <c r="C735" s="68">
        <v>64</v>
      </c>
      <c r="D735" s="70">
        <v>101.4</v>
      </c>
      <c r="E735" s="70">
        <v>106.3</v>
      </c>
      <c r="F735" s="70">
        <v>111.2</v>
      </c>
      <c r="G735" s="70">
        <v>116</v>
      </c>
      <c r="H735" s="70">
        <v>120.9</v>
      </c>
      <c r="I735" s="67" t="s">
        <v>1243</v>
      </c>
    </row>
    <row r="736" spans="1:9" ht="15" customHeight="1">
      <c r="A736" s="67" t="s">
        <v>1178</v>
      </c>
      <c r="B736" s="67" t="s">
        <v>365</v>
      </c>
      <c r="C736" s="68">
        <v>65</v>
      </c>
      <c r="D736" s="70">
        <v>101.9</v>
      </c>
      <c r="E736" s="70">
        <v>106.8</v>
      </c>
      <c r="F736" s="70">
        <v>111.7</v>
      </c>
      <c r="G736" s="70">
        <v>116</v>
      </c>
      <c r="H736" s="70">
        <v>121.5</v>
      </c>
      <c r="I736" s="67" t="s">
        <v>1244</v>
      </c>
    </row>
    <row r="737" spans="1:9" ht="15" customHeight="1">
      <c r="A737" s="67" t="s">
        <v>1178</v>
      </c>
      <c r="B737" s="67" t="s">
        <v>365</v>
      </c>
      <c r="C737" s="68">
        <v>66</v>
      </c>
      <c r="D737" s="70">
        <v>102.3</v>
      </c>
      <c r="E737" s="70">
        <v>107.2</v>
      </c>
      <c r="F737" s="70">
        <v>112.2</v>
      </c>
      <c r="G737" s="70">
        <v>117.1</v>
      </c>
      <c r="H737" s="70">
        <v>122</v>
      </c>
      <c r="I737" s="67" t="s">
        <v>1245</v>
      </c>
    </row>
    <row r="738" spans="1:9" ht="15" customHeight="1">
      <c r="A738" s="67" t="s">
        <v>1178</v>
      </c>
      <c r="B738" s="67" t="s">
        <v>365</v>
      </c>
      <c r="C738" s="68">
        <v>67</v>
      </c>
      <c r="D738" s="70">
        <v>102.7</v>
      </c>
      <c r="E738" s="70">
        <v>107.7</v>
      </c>
      <c r="F738" s="70">
        <v>112.7</v>
      </c>
      <c r="G738" s="70">
        <v>117.6</v>
      </c>
      <c r="H738" s="70">
        <v>122.6</v>
      </c>
      <c r="I738" s="67" t="s">
        <v>1246</v>
      </c>
    </row>
    <row r="739" spans="1:9" ht="15" customHeight="1">
      <c r="A739" s="67" t="s">
        <v>1178</v>
      </c>
      <c r="B739" s="67" t="s">
        <v>365</v>
      </c>
      <c r="C739" s="68">
        <v>68</v>
      </c>
      <c r="D739" s="70">
        <v>103.2</v>
      </c>
      <c r="E739" s="70">
        <v>108.2</v>
      </c>
      <c r="F739" s="70">
        <v>113.2</v>
      </c>
      <c r="G739" s="70">
        <v>118.2</v>
      </c>
      <c r="H739" s="70">
        <v>123.2</v>
      </c>
      <c r="I739" s="67" t="s">
        <v>1247</v>
      </c>
    </row>
    <row r="740" spans="1:9" ht="15" customHeight="1">
      <c r="A740" s="67" t="s">
        <v>1178</v>
      </c>
      <c r="B740" s="67" t="s">
        <v>365</v>
      </c>
      <c r="C740" s="68">
        <v>69</v>
      </c>
      <c r="D740" s="70">
        <v>103.6</v>
      </c>
      <c r="E740" s="70">
        <v>108.6</v>
      </c>
      <c r="F740" s="70">
        <v>113.7</v>
      </c>
      <c r="G740" s="70">
        <v>118.7</v>
      </c>
      <c r="H740" s="70">
        <v>123.7</v>
      </c>
      <c r="I740" s="67" t="s">
        <v>1248</v>
      </c>
    </row>
    <row r="741" spans="1:9" ht="15" customHeight="1">
      <c r="A741" s="67" t="s">
        <v>1178</v>
      </c>
      <c r="B741" s="67" t="s">
        <v>365</v>
      </c>
      <c r="C741" s="68">
        <v>70</v>
      </c>
      <c r="D741" s="70">
        <v>104</v>
      </c>
      <c r="E741" s="70">
        <v>109.1</v>
      </c>
      <c r="F741" s="70">
        <v>114.2</v>
      </c>
      <c r="G741" s="70">
        <v>119.2</v>
      </c>
      <c r="H741" s="70">
        <v>124.3</v>
      </c>
      <c r="I741" s="67" t="s">
        <v>1249</v>
      </c>
    </row>
    <row r="742" spans="1:9" ht="15" customHeight="1">
      <c r="A742" s="67" t="s">
        <v>1178</v>
      </c>
      <c r="B742" s="67" t="s">
        <v>365</v>
      </c>
      <c r="C742" s="68">
        <v>71</v>
      </c>
      <c r="D742" s="70">
        <v>104.5</v>
      </c>
      <c r="E742" s="70">
        <v>109.6</v>
      </c>
      <c r="F742" s="70">
        <v>114.6</v>
      </c>
      <c r="G742" s="70">
        <v>119.7</v>
      </c>
      <c r="H742" s="70">
        <v>124.8</v>
      </c>
      <c r="I742" s="67" t="s">
        <v>1250</v>
      </c>
    </row>
    <row r="743" spans="1:9" ht="15" customHeight="1">
      <c r="A743" s="67" t="s">
        <v>1178</v>
      </c>
      <c r="B743" s="67" t="s">
        <v>365</v>
      </c>
      <c r="C743" s="68">
        <v>72</v>
      </c>
      <c r="D743" s="70">
        <v>104.9</v>
      </c>
      <c r="E743" s="70">
        <v>110</v>
      </c>
      <c r="F743" s="70">
        <v>115.1</v>
      </c>
      <c r="G743" s="70">
        <v>120.2</v>
      </c>
      <c r="H743" s="70">
        <v>125.4</v>
      </c>
      <c r="I743" s="67" t="s">
        <v>1251</v>
      </c>
    </row>
    <row r="744" spans="1:9" ht="15" customHeight="1">
      <c r="A744" s="67" t="s">
        <v>1178</v>
      </c>
      <c r="B744" s="67" t="s">
        <v>365</v>
      </c>
      <c r="C744" s="68">
        <v>73</v>
      </c>
      <c r="D744" s="70">
        <v>105.3</v>
      </c>
      <c r="E744" s="70">
        <v>110.5</v>
      </c>
      <c r="F744" s="70">
        <v>115.6</v>
      </c>
      <c r="G744" s="70">
        <v>120.8</v>
      </c>
      <c r="H744" s="70">
        <v>125.9</v>
      </c>
      <c r="I744" s="67" t="s">
        <v>1252</v>
      </c>
    </row>
    <row r="745" spans="1:9" ht="15" customHeight="1">
      <c r="A745" s="67" t="s">
        <v>1178</v>
      </c>
      <c r="B745" s="67" t="s">
        <v>365</v>
      </c>
      <c r="C745" s="68">
        <v>74</v>
      </c>
      <c r="D745" s="70">
        <v>105.7</v>
      </c>
      <c r="E745" s="70">
        <v>110.9</v>
      </c>
      <c r="F745" s="70">
        <v>116.1</v>
      </c>
      <c r="G745" s="70">
        <v>121.3</v>
      </c>
      <c r="H745" s="70">
        <v>126.4</v>
      </c>
      <c r="I745" s="67" t="s">
        <v>1253</v>
      </c>
    </row>
    <row r="746" spans="1:9" ht="15" customHeight="1">
      <c r="A746" s="67" t="s">
        <v>1178</v>
      </c>
      <c r="B746" s="67" t="s">
        <v>365</v>
      </c>
      <c r="C746" s="68">
        <v>75</v>
      </c>
      <c r="D746" s="70">
        <v>106.1</v>
      </c>
      <c r="E746" s="70">
        <v>111.3</v>
      </c>
      <c r="F746" s="70">
        <v>116.6</v>
      </c>
      <c r="G746" s="70">
        <v>121.8</v>
      </c>
      <c r="H746" s="70">
        <v>127</v>
      </c>
      <c r="I746" s="67" t="s">
        <v>1254</v>
      </c>
    </row>
    <row r="747" spans="1:9" ht="15" customHeight="1">
      <c r="A747" s="67" t="s">
        <v>1178</v>
      </c>
      <c r="B747" s="67" t="s">
        <v>365</v>
      </c>
      <c r="C747" s="68">
        <v>76</v>
      </c>
      <c r="D747" s="70">
        <v>106.6</v>
      </c>
      <c r="E747" s="70">
        <v>111.8</v>
      </c>
      <c r="F747" s="70">
        <v>117</v>
      </c>
      <c r="G747" s="70">
        <v>122.3</v>
      </c>
      <c r="H747" s="70">
        <v>127.5</v>
      </c>
      <c r="I747" s="67" t="s">
        <v>1255</v>
      </c>
    </row>
    <row r="748" spans="1:9" ht="15" customHeight="1">
      <c r="A748" s="67" t="s">
        <v>1178</v>
      </c>
      <c r="B748" s="67" t="s">
        <v>365</v>
      </c>
      <c r="C748" s="68">
        <v>77</v>
      </c>
      <c r="D748" s="70">
        <v>107</v>
      </c>
      <c r="E748" s="70">
        <v>112.2</v>
      </c>
      <c r="F748" s="70">
        <v>117.5</v>
      </c>
      <c r="G748" s="70">
        <v>122.8</v>
      </c>
      <c r="H748" s="70">
        <v>128</v>
      </c>
      <c r="I748" s="67" t="s">
        <v>1256</v>
      </c>
    </row>
    <row r="749" spans="1:9" ht="15" customHeight="1">
      <c r="A749" s="67" t="s">
        <v>1178</v>
      </c>
      <c r="B749" s="67" t="s">
        <v>365</v>
      </c>
      <c r="C749" s="68">
        <v>78</v>
      </c>
      <c r="D749" s="70">
        <v>107.4</v>
      </c>
      <c r="E749" s="70">
        <v>112.7</v>
      </c>
      <c r="F749" s="70">
        <v>118</v>
      </c>
      <c r="G749" s="70">
        <v>123.3</v>
      </c>
      <c r="H749" s="70">
        <v>128.6</v>
      </c>
      <c r="I749" s="67" t="s">
        <v>1257</v>
      </c>
    </row>
    <row r="750" spans="1:9" ht="15" customHeight="1">
      <c r="A750" s="67" t="s">
        <v>1178</v>
      </c>
      <c r="B750" s="67" t="s">
        <v>365</v>
      </c>
      <c r="C750" s="68">
        <v>79</v>
      </c>
      <c r="D750" s="70">
        <v>107.8</v>
      </c>
      <c r="E750" s="70">
        <v>113.1</v>
      </c>
      <c r="F750" s="70">
        <v>118.4</v>
      </c>
      <c r="G750" s="70">
        <v>123.8</v>
      </c>
      <c r="H750" s="70">
        <v>129.1</v>
      </c>
      <c r="I750" s="67" t="s">
        <v>1258</v>
      </c>
    </row>
    <row r="751" spans="1:9" ht="15" customHeight="1">
      <c r="A751" s="67" t="s">
        <v>1178</v>
      </c>
      <c r="B751" s="67" t="s">
        <v>365</v>
      </c>
      <c r="C751" s="68">
        <v>80</v>
      </c>
      <c r="D751" s="70">
        <v>108.2</v>
      </c>
      <c r="E751" s="70">
        <v>113.6</v>
      </c>
      <c r="F751" s="70">
        <v>118.9</v>
      </c>
      <c r="G751" s="70">
        <v>124.3</v>
      </c>
      <c r="H751" s="70">
        <v>129.6</v>
      </c>
      <c r="I751" s="67" t="s">
        <v>1259</v>
      </c>
    </row>
    <row r="752" spans="1:9" ht="15" customHeight="1">
      <c r="A752" s="67" t="s">
        <v>1178</v>
      </c>
      <c r="B752" s="67" t="s">
        <v>365</v>
      </c>
      <c r="C752" s="68">
        <v>81</v>
      </c>
      <c r="D752" s="70">
        <v>108.6</v>
      </c>
      <c r="E752" s="70">
        <v>114</v>
      </c>
      <c r="F752" s="70">
        <v>119.4</v>
      </c>
      <c r="G752" s="70">
        <v>124.8</v>
      </c>
      <c r="H752" s="70">
        <v>130.19999999999999</v>
      </c>
      <c r="I752" s="67" t="s">
        <v>1260</v>
      </c>
    </row>
    <row r="753" spans="1:9" ht="15" customHeight="1">
      <c r="A753" s="67" t="s">
        <v>1178</v>
      </c>
      <c r="B753" s="67" t="s">
        <v>365</v>
      </c>
      <c r="C753" s="68">
        <v>82</v>
      </c>
      <c r="D753" s="70">
        <v>109</v>
      </c>
      <c r="E753" s="70">
        <v>114.5</v>
      </c>
      <c r="F753" s="70">
        <v>119.9</v>
      </c>
      <c r="G753" s="70">
        <v>125.3</v>
      </c>
      <c r="H753" s="70">
        <v>130.69999999999999</v>
      </c>
      <c r="I753" s="67" t="s">
        <v>1261</v>
      </c>
    </row>
    <row r="754" spans="1:9" ht="15" customHeight="1">
      <c r="A754" s="67" t="s">
        <v>1178</v>
      </c>
      <c r="B754" s="67" t="s">
        <v>365</v>
      </c>
      <c r="C754" s="68">
        <v>83</v>
      </c>
      <c r="D754" s="70">
        <v>109.5</v>
      </c>
      <c r="E754" s="70">
        <v>114.9</v>
      </c>
      <c r="F754" s="70">
        <v>120.3</v>
      </c>
      <c r="G754" s="70">
        <v>125.8</v>
      </c>
      <c r="H754" s="70">
        <v>131.19999999999999</v>
      </c>
      <c r="I754" s="67" t="s">
        <v>1262</v>
      </c>
    </row>
    <row r="755" spans="1:9" ht="15" customHeight="1">
      <c r="A755" s="67" t="s">
        <v>1178</v>
      </c>
      <c r="B755" s="67" t="s">
        <v>365</v>
      </c>
      <c r="C755" s="68">
        <v>84</v>
      </c>
      <c r="D755" s="70">
        <v>109.9</v>
      </c>
      <c r="E755" s="70">
        <v>115.3</v>
      </c>
      <c r="F755" s="70">
        <v>120.8</v>
      </c>
      <c r="G755" s="70">
        <v>126.3</v>
      </c>
      <c r="H755" s="70">
        <v>131.69999999999999</v>
      </c>
      <c r="I755" s="67" t="s">
        <v>1263</v>
      </c>
    </row>
    <row r="756" spans="1:9" ht="15" customHeight="1">
      <c r="A756" s="67" t="s">
        <v>1178</v>
      </c>
      <c r="B756" s="67" t="s">
        <v>365</v>
      </c>
      <c r="C756" s="68">
        <v>85</v>
      </c>
      <c r="D756" s="70">
        <v>110.3</v>
      </c>
      <c r="E756" s="70">
        <v>115.8</v>
      </c>
      <c r="F756" s="70">
        <v>121.3</v>
      </c>
      <c r="G756" s="70">
        <v>126.8</v>
      </c>
      <c r="H756" s="70">
        <v>132.30000000000001</v>
      </c>
      <c r="I756" s="67" t="s">
        <v>1264</v>
      </c>
    </row>
    <row r="757" spans="1:9" ht="15" customHeight="1">
      <c r="A757" s="67" t="s">
        <v>1178</v>
      </c>
      <c r="B757" s="67" t="s">
        <v>365</v>
      </c>
      <c r="C757" s="68">
        <v>86</v>
      </c>
      <c r="D757" s="70">
        <v>110.7</v>
      </c>
      <c r="E757" s="70">
        <v>116.2</v>
      </c>
      <c r="F757" s="70">
        <v>121.8</v>
      </c>
      <c r="G757" s="70">
        <v>127.3</v>
      </c>
      <c r="H757" s="70">
        <v>132.80000000000001</v>
      </c>
      <c r="I757" s="67" t="s">
        <v>1265</v>
      </c>
    </row>
    <row r="758" spans="1:9" ht="15" customHeight="1">
      <c r="A758" s="67" t="s">
        <v>1178</v>
      </c>
      <c r="B758" s="67" t="s">
        <v>365</v>
      </c>
      <c r="C758" s="68">
        <v>87</v>
      </c>
      <c r="D758" s="70">
        <v>111.1</v>
      </c>
      <c r="E758" s="70">
        <v>116.7</v>
      </c>
      <c r="F758" s="70">
        <v>122.2</v>
      </c>
      <c r="G758" s="70">
        <v>127.8</v>
      </c>
      <c r="H758" s="70">
        <v>133.30000000000001</v>
      </c>
      <c r="I758" s="67" t="s">
        <v>1266</v>
      </c>
    </row>
    <row r="759" spans="1:9" ht="15" customHeight="1">
      <c r="A759" s="67" t="s">
        <v>1178</v>
      </c>
      <c r="B759" s="67" t="s">
        <v>365</v>
      </c>
      <c r="C759" s="68">
        <v>88</v>
      </c>
      <c r="D759" s="70">
        <v>111.6</v>
      </c>
      <c r="E759" s="70">
        <v>117.1</v>
      </c>
      <c r="F759" s="70">
        <v>122.7</v>
      </c>
      <c r="G759" s="70">
        <v>128.30000000000001</v>
      </c>
      <c r="H759" s="70">
        <v>133.9</v>
      </c>
      <c r="I759" s="67" t="s">
        <v>1267</v>
      </c>
    </row>
    <row r="760" spans="1:9" ht="15" customHeight="1">
      <c r="A760" s="67" t="s">
        <v>1178</v>
      </c>
      <c r="B760" s="67" t="s">
        <v>365</v>
      </c>
      <c r="C760" s="68">
        <v>89</v>
      </c>
      <c r="D760" s="70">
        <v>112</v>
      </c>
      <c r="E760" s="70">
        <v>117.6</v>
      </c>
      <c r="F760" s="70">
        <v>123.2</v>
      </c>
      <c r="G760" s="70">
        <v>128.80000000000001</v>
      </c>
      <c r="H760" s="70">
        <v>134.4</v>
      </c>
      <c r="I760" s="67" t="s">
        <v>1268</v>
      </c>
    </row>
    <row r="761" spans="1:9" ht="15" customHeight="1">
      <c r="A761" s="67" t="s">
        <v>1178</v>
      </c>
      <c r="B761" s="67" t="s">
        <v>365</v>
      </c>
      <c r="C761" s="68">
        <v>90</v>
      </c>
      <c r="D761" s="70">
        <v>112.4</v>
      </c>
      <c r="E761" s="70">
        <v>118</v>
      </c>
      <c r="F761" s="70">
        <v>123.7</v>
      </c>
      <c r="G761" s="70">
        <v>129.30000000000001</v>
      </c>
      <c r="H761" s="70">
        <v>134.9</v>
      </c>
      <c r="I761" s="67" t="s">
        <v>1269</v>
      </c>
    </row>
    <row r="762" spans="1:9" ht="15" customHeight="1">
      <c r="A762" s="67" t="s">
        <v>1178</v>
      </c>
      <c r="B762" s="67" t="s">
        <v>365</v>
      </c>
      <c r="C762" s="68">
        <v>91</v>
      </c>
      <c r="D762" s="70">
        <v>112.8</v>
      </c>
      <c r="E762" s="70">
        <v>118.5</v>
      </c>
      <c r="F762" s="70">
        <v>124.1</v>
      </c>
      <c r="G762" s="70">
        <v>129.80000000000001</v>
      </c>
      <c r="H762" s="70">
        <v>135.5</v>
      </c>
      <c r="I762" s="67" t="s">
        <v>1270</v>
      </c>
    </row>
    <row r="763" spans="1:9" ht="15" customHeight="1">
      <c r="A763" s="67" t="s">
        <v>1178</v>
      </c>
      <c r="B763" s="67" t="s">
        <v>365</v>
      </c>
      <c r="C763" s="68">
        <v>92</v>
      </c>
      <c r="D763" s="70">
        <v>113.2</v>
      </c>
      <c r="E763" s="70">
        <v>118.9</v>
      </c>
      <c r="F763" s="70">
        <v>124.6</v>
      </c>
      <c r="G763" s="70">
        <v>130.30000000000001</v>
      </c>
      <c r="H763" s="70">
        <v>136</v>
      </c>
      <c r="I763" s="67" t="s">
        <v>1271</v>
      </c>
    </row>
    <row r="764" spans="1:9" ht="15" customHeight="1">
      <c r="A764" s="67" t="s">
        <v>1178</v>
      </c>
      <c r="B764" s="67" t="s">
        <v>365</v>
      </c>
      <c r="C764" s="68">
        <v>93</v>
      </c>
      <c r="D764" s="70">
        <v>113.7</v>
      </c>
      <c r="E764" s="70">
        <v>119.4</v>
      </c>
      <c r="F764" s="70">
        <v>125.1</v>
      </c>
      <c r="G764" s="70">
        <v>130.80000000000001</v>
      </c>
      <c r="H764" s="70">
        <v>136.5</v>
      </c>
      <c r="I764" s="67" t="s">
        <v>1272</v>
      </c>
    </row>
    <row r="765" spans="1:9" ht="15" customHeight="1">
      <c r="A765" s="67" t="s">
        <v>1178</v>
      </c>
      <c r="B765" s="67" t="s">
        <v>365</v>
      </c>
      <c r="C765" s="68">
        <v>94</v>
      </c>
      <c r="D765" s="70">
        <v>114.1</v>
      </c>
      <c r="E765" s="70">
        <v>119.8</v>
      </c>
      <c r="F765" s="70">
        <v>125.6</v>
      </c>
      <c r="G765" s="70">
        <v>131.30000000000001</v>
      </c>
      <c r="H765" s="70">
        <v>137.1</v>
      </c>
      <c r="I765" s="67" t="s">
        <v>1273</v>
      </c>
    </row>
    <row r="766" spans="1:9" ht="15" customHeight="1">
      <c r="A766" s="67" t="s">
        <v>1178</v>
      </c>
      <c r="B766" s="67" t="s">
        <v>365</v>
      </c>
      <c r="C766" s="68">
        <v>95</v>
      </c>
      <c r="D766" s="70">
        <v>114.5</v>
      </c>
      <c r="E766" s="70">
        <v>120.3</v>
      </c>
      <c r="F766" s="70">
        <v>126.1</v>
      </c>
      <c r="G766" s="70">
        <v>131.80000000000001</v>
      </c>
      <c r="H766" s="70">
        <v>137.6</v>
      </c>
      <c r="I766" s="67" t="s">
        <v>1274</v>
      </c>
    </row>
    <row r="767" spans="1:9" ht="15" customHeight="1">
      <c r="A767" s="67" t="s">
        <v>1178</v>
      </c>
      <c r="B767" s="67" t="s">
        <v>365</v>
      </c>
      <c r="C767" s="68">
        <v>96</v>
      </c>
      <c r="D767" s="70">
        <v>115</v>
      </c>
      <c r="E767" s="70">
        <v>120.8</v>
      </c>
      <c r="F767" s="70">
        <v>126.6</v>
      </c>
      <c r="G767" s="70">
        <v>132.4</v>
      </c>
      <c r="H767" s="70">
        <v>138.19999999999999</v>
      </c>
      <c r="I767" s="67" t="s">
        <v>1275</v>
      </c>
    </row>
    <row r="768" spans="1:9" ht="15" customHeight="1">
      <c r="A768" s="67" t="s">
        <v>1178</v>
      </c>
      <c r="B768" s="67" t="s">
        <v>365</v>
      </c>
      <c r="C768" s="68">
        <v>97</v>
      </c>
      <c r="D768" s="70">
        <v>115.4</v>
      </c>
      <c r="E768" s="70">
        <v>121.2</v>
      </c>
      <c r="F768" s="70">
        <v>127</v>
      </c>
      <c r="G768" s="70">
        <v>132.9</v>
      </c>
      <c r="H768" s="70">
        <v>138.69999999999999</v>
      </c>
      <c r="I768" s="67" t="s">
        <v>1276</v>
      </c>
    </row>
    <row r="769" spans="1:9" ht="15" customHeight="1">
      <c r="A769" s="67" t="s">
        <v>1178</v>
      </c>
      <c r="B769" s="67" t="s">
        <v>365</v>
      </c>
      <c r="C769" s="68">
        <v>98</v>
      </c>
      <c r="D769" s="70">
        <v>115.8</v>
      </c>
      <c r="E769" s="70">
        <v>121.7</v>
      </c>
      <c r="F769" s="70">
        <v>127.5</v>
      </c>
      <c r="G769" s="70">
        <v>133.4</v>
      </c>
      <c r="H769" s="70">
        <v>139.19999999999999</v>
      </c>
      <c r="I769" s="67" t="s">
        <v>1277</v>
      </c>
    </row>
    <row r="770" spans="1:9" ht="15" customHeight="1">
      <c r="A770" s="67" t="s">
        <v>1178</v>
      </c>
      <c r="B770" s="67" t="s">
        <v>365</v>
      </c>
      <c r="C770" s="68">
        <v>99</v>
      </c>
      <c r="D770" s="70">
        <v>116.3</v>
      </c>
      <c r="E770" s="70">
        <v>122.1</v>
      </c>
      <c r="F770" s="70">
        <v>128</v>
      </c>
      <c r="G770" s="70">
        <v>133.9</v>
      </c>
      <c r="H770" s="70">
        <v>139.80000000000001</v>
      </c>
      <c r="I770" s="67" t="s">
        <v>1278</v>
      </c>
    </row>
    <row r="771" spans="1:9" ht="15" customHeight="1">
      <c r="A771" s="67" t="s">
        <v>1178</v>
      </c>
      <c r="B771" s="67" t="s">
        <v>365</v>
      </c>
      <c r="C771" s="68">
        <v>100</v>
      </c>
      <c r="D771" s="70">
        <v>116.7</v>
      </c>
      <c r="E771" s="70">
        <v>122.6</v>
      </c>
      <c r="F771" s="70">
        <v>128.5</v>
      </c>
      <c r="G771" s="70">
        <v>134.4</v>
      </c>
      <c r="H771" s="70">
        <v>140.30000000000001</v>
      </c>
      <c r="I771" s="67" t="s">
        <v>1279</v>
      </c>
    </row>
    <row r="772" spans="1:9" ht="15" customHeight="1">
      <c r="A772" s="67" t="s">
        <v>1178</v>
      </c>
      <c r="B772" s="67" t="s">
        <v>365</v>
      </c>
      <c r="C772" s="68">
        <v>101</v>
      </c>
      <c r="D772" s="70">
        <v>117.1</v>
      </c>
      <c r="E772" s="70">
        <v>123.1</v>
      </c>
      <c r="F772" s="70">
        <v>129</v>
      </c>
      <c r="G772" s="70">
        <v>134.9</v>
      </c>
      <c r="H772" s="70">
        <v>140.9</v>
      </c>
      <c r="I772" s="67" t="s">
        <v>1280</v>
      </c>
    </row>
    <row r="773" spans="1:9" ht="15" customHeight="1">
      <c r="A773" s="67" t="s">
        <v>1178</v>
      </c>
      <c r="B773" s="67" t="s">
        <v>365</v>
      </c>
      <c r="C773" s="68">
        <v>102</v>
      </c>
      <c r="D773" s="70">
        <v>117.6</v>
      </c>
      <c r="E773" s="70">
        <v>123.5</v>
      </c>
      <c r="F773" s="70">
        <v>129.5</v>
      </c>
      <c r="G773" s="70">
        <v>135.5</v>
      </c>
      <c r="H773" s="70">
        <v>141.4</v>
      </c>
      <c r="I773" s="67" t="s">
        <v>1281</v>
      </c>
    </row>
    <row r="774" spans="1:9" ht="15" customHeight="1">
      <c r="A774" s="67" t="s">
        <v>1178</v>
      </c>
      <c r="B774" s="67" t="s">
        <v>365</v>
      </c>
      <c r="C774" s="68">
        <v>103</v>
      </c>
      <c r="D774" s="70">
        <v>118</v>
      </c>
      <c r="E774" s="70">
        <v>124</v>
      </c>
      <c r="F774" s="70">
        <v>130</v>
      </c>
      <c r="G774" s="70">
        <v>136</v>
      </c>
      <c r="H774" s="70">
        <v>142</v>
      </c>
      <c r="I774" s="67" t="s">
        <v>1282</v>
      </c>
    </row>
    <row r="775" spans="1:9" ht="15" customHeight="1">
      <c r="A775" s="67" t="s">
        <v>1178</v>
      </c>
      <c r="B775" s="67" t="s">
        <v>365</v>
      </c>
      <c r="C775" s="68">
        <v>104</v>
      </c>
      <c r="D775" s="70">
        <v>118.5</v>
      </c>
      <c r="E775" s="70">
        <v>124.5</v>
      </c>
      <c r="F775" s="70">
        <v>130.5</v>
      </c>
      <c r="G775" s="70">
        <v>136.5</v>
      </c>
      <c r="H775" s="70">
        <v>142.5</v>
      </c>
      <c r="I775" s="67" t="s">
        <v>1283</v>
      </c>
    </row>
    <row r="776" spans="1:9" ht="15" customHeight="1">
      <c r="A776" s="67" t="s">
        <v>1178</v>
      </c>
      <c r="B776" s="67" t="s">
        <v>365</v>
      </c>
      <c r="C776" s="68">
        <v>105</v>
      </c>
      <c r="D776" s="70">
        <v>118.9</v>
      </c>
      <c r="E776" s="70">
        <v>125</v>
      </c>
      <c r="F776" s="70">
        <v>131</v>
      </c>
      <c r="G776" s="70">
        <v>137</v>
      </c>
      <c r="H776" s="70">
        <v>143.1</v>
      </c>
      <c r="I776" s="67" t="s">
        <v>1284</v>
      </c>
    </row>
    <row r="777" spans="1:9" ht="15" customHeight="1">
      <c r="A777" s="67" t="s">
        <v>1178</v>
      </c>
      <c r="B777" s="67" t="s">
        <v>365</v>
      </c>
      <c r="C777" s="68">
        <v>106</v>
      </c>
      <c r="D777" s="70">
        <v>119.4</v>
      </c>
      <c r="E777" s="70">
        <v>125.4</v>
      </c>
      <c r="F777" s="70">
        <v>131.5</v>
      </c>
      <c r="G777" s="70">
        <v>137.5</v>
      </c>
      <c r="H777" s="70">
        <v>143.6</v>
      </c>
      <c r="I777" s="67" t="s">
        <v>1285</v>
      </c>
    </row>
    <row r="778" spans="1:9" ht="15" customHeight="1">
      <c r="A778" s="67" t="s">
        <v>1178</v>
      </c>
      <c r="B778" s="67" t="s">
        <v>365</v>
      </c>
      <c r="C778" s="68">
        <v>107</v>
      </c>
      <c r="D778" s="70">
        <v>119.8</v>
      </c>
      <c r="E778" s="70">
        <v>125.9</v>
      </c>
      <c r="F778" s="70">
        <v>132</v>
      </c>
      <c r="G778" s="70">
        <v>138.1</v>
      </c>
      <c r="H778" s="70">
        <v>144.19999999999999</v>
      </c>
      <c r="I778" s="67" t="s">
        <v>1286</v>
      </c>
    </row>
    <row r="779" spans="1:9" ht="15" customHeight="1">
      <c r="A779" s="67" t="s">
        <v>1178</v>
      </c>
      <c r="B779" s="67" t="s">
        <v>365</v>
      </c>
      <c r="C779" s="68">
        <v>108</v>
      </c>
      <c r="D779" s="70">
        <v>120.3</v>
      </c>
      <c r="E779" s="70">
        <v>126.4</v>
      </c>
      <c r="F779" s="70">
        <v>132.5</v>
      </c>
      <c r="G779" s="70">
        <v>138.6</v>
      </c>
      <c r="H779" s="70">
        <v>144.69999999999999</v>
      </c>
      <c r="I779" s="67" t="s">
        <v>1287</v>
      </c>
    </row>
    <row r="780" spans="1:9" ht="15" customHeight="1">
      <c r="A780" s="67" t="s">
        <v>1178</v>
      </c>
      <c r="B780" s="67" t="s">
        <v>365</v>
      </c>
      <c r="C780" s="68">
        <v>109</v>
      </c>
      <c r="D780" s="70">
        <v>120.7</v>
      </c>
      <c r="E780" s="70">
        <v>126.9</v>
      </c>
      <c r="F780" s="70">
        <v>133</v>
      </c>
      <c r="G780" s="70">
        <v>139.1</v>
      </c>
      <c r="H780" s="70">
        <v>145.30000000000001</v>
      </c>
      <c r="I780" s="67" t="s">
        <v>1288</v>
      </c>
    </row>
    <row r="781" spans="1:9" ht="15" customHeight="1">
      <c r="A781" s="67" t="s">
        <v>1178</v>
      </c>
      <c r="B781" s="67" t="s">
        <v>365</v>
      </c>
      <c r="C781" s="68">
        <v>110</v>
      </c>
      <c r="D781" s="70">
        <v>121.2</v>
      </c>
      <c r="E781" s="70">
        <v>127.3</v>
      </c>
      <c r="F781" s="70">
        <v>133.5</v>
      </c>
      <c r="G781" s="70">
        <v>139.69999999999999</v>
      </c>
      <c r="H781" s="70">
        <v>145.80000000000001</v>
      </c>
      <c r="I781" s="67" t="s">
        <v>1289</v>
      </c>
    </row>
    <row r="782" spans="1:9" ht="15" customHeight="1">
      <c r="A782" s="67" t="s">
        <v>1178</v>
      </c>
      <c r="B782" s="67" t="s">
        <v>365</v>
      </c>
      <c r="C782" s="68">
        <v>111</v>
      </c>
      <c r="D782" s="70">
        <v>121.6</v>
      </c>
      <c r="E782" s="70">
        <v>127.8</v>
      </c>
      <c r="F782" s="70">
        <v>134</v>
      </c>
      <c r="G782" s="70">
        <v>140.19999999999999</v>
      </c>
      <c r="H782" s="70">
        <v>146.4</v>
      </c>
      <c r="I782" s="67" t="s">
        <v>1290</v>
      </c>
    </row>
    <row r="783" spans="1:9" ht="15" customHeight="1">
      <c r="A783" s="67" t="s">
        <v>1178</v>
      </c>
      <c r="B783" s="67" t="s">
        <v>365</v>
      </c>
      <c r="C783" s="68">
        <v>112</v>
      </c>
      <c r="D783" s="70">
        <v>122.1</v>
      </c>
      <c r="E783" s="70">
        <v>128.30000000000001</v>
      </c>
      <c r="F783" s="70">
        <v>134.5</v>
      </c>
      <c r="G783" s="70">
        <v>140.69999999999999</v>
      </c>
      <c r="H783" s="70">
        <v>146.9</v>
      </c>
      <c r="I783" s="67" t="s">
        <v>1291</v>
      </c>
    </row>
    <row r="784" spans="1:9" ht="15" customHeight="1">
      <c r="A784" s="67" t="s">
        <v>1178</v>
      </c>
      <c r="B784" s="67" t="s">
        <v>365</v>
      </c>
      <c r="C784" s="68">
        <v>113</v>
      </c>
      <c r="D784" s="70">
        <v>122.6</v>
      </c>
      <c r="E784" s="70">
        <v>128.80000000000001</v>
      </c>
      <c r="F784" s="70">
        <v>135</v>
      </c>
      <c r="G784" s="70">
        <v>141.30000000000001</v>
      </c>
      <c r="H784" s="70">
        <v>147.5</v>
      </c>
      <c r="I784" s="67" t="s">
        <v>1292</v>
      </c>
    </row>
    <row r="785" spans="1:9" ht="15" customHeight="1">
      <c r="A785" s="67" t="s">
        <v>1178</v>
      </c>
      <c r="B785" s="67" t="s">
        <v>365</v>
      </c>
      <c r="C785" s="68">
        <v>114</v>
      </c>
      <c r="D785" s="70">
        <v>123</v>
      </c>
      <c r="E785" s="70">
        <v>129.30000000000001</v>
      </c>
      <c r="F785" s="70">
        <v>135.5</v>
      </c>
      <c r="G785" s="70">
        <v>141.80000000000001</v>
      </c>
      <c r="H785" s="70">
        <v>148.1</v>
      </c>
      <c r="I785" s="67" t="s">
        <v>1293</v>
      </c>
    </row>
    <row r="786" spans="1:9" ht="15" customHeight="1">
      <c r="A786" s="67" t="s">
        <v>1178</v>
      </c>
      <c r="B786" s="67" t="s">
        <v>365</v>
      </c>
      <c r="C786" s="68">
        <v>115</v>
      </c>
      <c r="D786" s="70">
        <v>123.5</v>
      </c>
      <c r="E786" s="70">
        <v>129.69999999999999</v>
      </c>
      <c r="F786" s="70">
        <v>136.1</v>
      </c>
      <c r="G786" s="70">
        <v>142.30000000000001</v>
      </c>
      <c r="H786" s="70">
        <v>148.6</v>
      </c>
      <c r="I786" s="67" t="s">
        <v>1294</v>
      </c>
    </row>
    <row r="787" spans="1:9" ht="15" customHeight="1">
      <c r="A787" s="67" t="s">
        <v>1178</v>
      </c>
      <c r="B787" s="67" t="s">
        <v>365</v>
      </c>
      <c r="C787" s="68">
        <v>116</v>
      </c>
      <c r="D787" s="70">
        <v>124</v>
      </c>
      <c r="E787" s="70">
        <v>130.30000000000001</v>
      </c>
      <c r="F787" s="70">
        <v>136.6</v>
      </c>
      <c r="G787" s="70">
        <v>142.9</v>
      </c>
      <c r="H787" s="70">
        <v>149.19999999999999</v>
      </c>
      <c r="I787" s="67" t="s">
        <v>1295</v>
      </c>
    </row>
    <row r="788" spans="1:9" ht="15" customHeight="1">
      <c r="A788" s="67" t="s">
        <v>1178</v>
      </c>
      <c r="B788" s="67" t="s">
        <v>365</v>
      </c>
      <c r="C788" s="68">
        <v>117</v>
      </c>
      <c r="D788" s="70">
        <v>124.4</v>
      </c>
      <c r="E788" s="70">
        <v>130.80000000000001</v>
      </c>
      <c r="F788" s="70">
        <v>137.1</v>
      </c>
      <c r="G788" s="70">
        <v>143.4</v>
      </c>
      <c r="H788" s="70">
        <v>149.69999999999999</v>
      </c>
      <c r="I788" s="67" t="s">
        <v>1296</v>
      </c>
    </row>
    <row r="789" spans="1:9" ht="15" customHeight="1">
      <c r="A789" s="67" t="s">
        <v>1178</v>
      </c>
      <c r="B789" s="67" t="s">
        <v>365</v>
      </c>
      <c r="C789" s="68">
        <v>118</v>
      </c>
      <c r="D789" s="70">
        <v>124.9</v>
      </c>
      <c r="E789" s="70">
        <v>131.19999999999999</v>
      </c>
      <c r="F789" s="70">
        <v>137.6</v>
      </c>
      <c r="G789" s="70">
        <v>144</v>
      </c>
      <c r="H789" s="70">
        <v>150.30000000000001</v>
      </c>
      <c r="I789" s="67" t="s">
        <v>1297</v>
      </c>
    </row>
    <row r="790" spans="1:9" ht="15" customHeight="1">
      <c r="A790" s="67" t="s">
        <v>1178</v>
      </c>
      <c r="B790" s="67" t="s">
        <v>365</v>
      </c>
      <c r="C790" s="68">
        <v>119</v>
      </c>
      <c r="D790" s="70">
        <v>125.4</v>
      </c>
      <c r="E790" s="70">
        <v>131.69999999999999</v>
      </c>
      <c r="F790" s="70">
        <v>138.1</v>
      </c>
      <c r="G790" s="70">
        <v>144.5</v>
      </c>
      <c r="H790" s="70">
        <v>150.9</v>
      </c>
      <c r="I790" s="67" t="s">
        <v>1298</v>
      </c>
    </row>
    <row r="791" spans="1:9" ht="15" customHeight="1">
      <c r="A791" s="67" t="s">
        <v>1178</v>
      </c>
      <c r="B791" s="67" t="s">
        <v>365</v>
      </c>
      <c r="C791" s="68">
        <v>120</v>
      </c>
      <c r="D791" s="70">
        <v>125.8</v>
      </c>
      <c r="E791" s="70">
        <v>132.19999999999999</v>
      </c>
      <c r="F791" s="70">
        <v>138.6</v>
      </c>
      <c r="G791" s="70">
        <v>145</v>
      </c>
      <c r="H791" s="70">
        <v>151.4</v>
      </c>
      <c r="I791" s="67" t="s">
        <v>1299</v>
      </c>
    </row>
    <row r="792" spans="1:9" ht="15" customHeight="1">
      <c r="A792" s="67" t="s">
        <v>1178</v>
      </c>
      <c r="B792" s="67" t="s">
        <v>365</v>
      </c>
      <c r="C792" s="68">
        <v>121</v>
      </c>
      <c r="D792" s="70">
        <v>126.3</v>
      </c>
      <c r="E792" s="70">
        <v>132.69999999999999</v>
      </c>
      <c r="F792" s="70">
        <v>139.19999999999999</v>
      </c>
      <c r="G792" s="70">
        <v>145.6</v>
      </c>
      <c r="H792" s="70">
        <v>152</v>
      </c>
      <c r="I792" s="67" t="s">
        <v>1300</v>
      </c>
    </row>
    <row r="793" spans="1:9" ht="15" customHeight="1">
      <c r="A793" s="67" t="s">
        <v>1178</v>
      </c>
      <c r="B793" s="67" t="s">
        <v>365</v>
      </c>
      <c r="C793" s="68">
        <v>122</v>
      </c>
      <c r="D793" s="70">
        <v>126.8</v>
      </c>
      <c r="E793" s="70">
        <v>133.19999999999999</v>
      </c>
      <c r="F793" s="70">
        <v>139.69999999999999</v>
      </c>
      <c r="G793" s="70">
        <v>146.1</v>
      </c>
      <c r="H793" s="70">
        <v>152.6</v>
      </c>
      <c r="I793" s="67" t="s">
        <v>1301</v>
      </c>
    </row>
    <row r="794" spans="1:9" ht="15" customHeight="1">
      <c r="A794" s="67" t="s">
        <v>1178</v>
      </c>
      <c r="B794" s="67" t="s">
        <v>365</v>
      </c>
      <c r="C794" s="68">
        <v>123</v>
      </c>
      <c r="D794" s="70">
        <v>127.3</v>
      </c>
      <c r="E794" s="70">
        <v>133.69999999999999</v>
      </c>
      <c r="F794" s="70">
        <v>140.19999999999999</v>
      </c>
      <c r="G794" s="70">
        <v>146.69999999999999</v>
      </c>
      <c r="H794" s="70">
        <v>153.1</v>
      </c>
      <c r="I794" s="67" t="s">
        <v>1302</v>
      </c>
    </row>
    <row r="795" spans="1:9" ht="15" customHeight="1">
      <c r="A795" s="67" t="s">
        <v>1178</v>
      </c>
      <c r="B795" s="67" t="s">
        <v>365</v>
      </c>
      <c r="C795" s="68">
        <v>124</v>
      </c>
      <c r="D795" s="70">
        <v>127.8</v>
      </c>
      <c r="E795" s="70">
        <v>134.30000000000001</v>
      </c>
      <c r="F795" s="70">
        <v>140.69999999999999</v>
      </c>
      <c r="G795" s="70">
        <v>147.19999999999999</v>
      </c>
      <c r="H795" s="70">
        <v>153.69999999999999</v>
      </c>
      <c r="I795" s="67" t="s">
        <v>1303</v>
      </c>
    </row>
    <row r="796" spans="1:9" ht="15" customHeight="1">
      <c r="A796" s="67" t="s">
        <v>1178</v>
      </c>
      <c r="B796" s="67" t="s">
        <v>365</v>
      </c>
      <c r="C796" s="68">
        <v>125</v>
      </c>
      <c r="D796" s="70">
        <v>128.30000000000001</v>
      </c>
      <c r="E796" s="70">
        <v>134.80000000000001</v>
      </c>
      <c r="F796" s="70">
        <v>141.30000000000001</v>
      </c>
      <c r="G796" s="70">
        <v>147.80000000000001</v>
      </c>
      <c r="H796" s="70">
        <v>154.30000000000001</v>
      </c>
      <c r="I796" s="67" t="s">
        <v>1304</v>
      </c>
    </row>
    <row r="797" spans="1:9" ht="15" customHeight="1">
      <c r="A797" s="67" t="s">
        <v>1178</v>
      </c>
      <c r="B797" s="67" t="s">
        <v>365</v>
      </c>
      <c r="C797" s="68">
        <v>126</v>
      </c>
      <c r="D797" s="70">
        <v>128.69999999999999</v>
      </c>
      <c r="E797" s="70">
        <v>135.30000000000001</v>
      </c>
      <c r="F797" s="70">
        <v>141.80000000000001</v>
      </c>
      <c r="G797" s="70">
        <v>148.30000000000001</v>
      </c>
      <c r="H797" s="70">
        <v>154.80000000000001</v>
      </c>
      <c r="I797" s="67" t="s">
        <v>1305</v>
      </c>
    </row>
    <row r="798" spans="1:9" ht="15" customHeight="1">
      <c r="A798" s="67" t="s">
        <v>1178</v>
      </c>
      <c r="B798" s="67" t="s">
        <v>365</v>
      </c>
      <c r="C798" s="68">
        <v>127</v>
      </c>
      <c r="D798" s="70">
        <v>129.19999999999999</v>
      </c>
      <c r="E798" s="70">
        <v>135.69999999999999</v>
      </c>
      <c r="F798" s="70">
        <v>142.30000000000001</v>
      </c>
      <c r="G798" s="70">
        <v>148.9</v>
      </c>
      <c r="H798" s="70">
        <v>155.4</v>
      </c>
      <c r="I798" s="67" t="s">
        <v>1306</v>
      </c>
    </row>
    <row r="799" spans="1:9" ht="15" customHeight="1">
      <c r="A799" s="67" t="s">
        <v>1178</v>
      </c>
      <c r="B799" s="67" t="s">
        <v>365</v>
      </c>
      <c r="C799" s="68">
        <v>128</v>
      </c>
      <c r="D799" s="70">
        <v>129.69999999999999</v>
      </c>
      <c r="E799" s="70">
        <v>136.30000000000001</v>
      </c>
      <c r="F799" s="70">
        <v>142.9</v>
      </c>
      <c r="G799" s="70">
        <v>149.4</v>
      </c>
      <c r="H799" s="70">
        <v>156</v>
      </c>
      <c r="I799" s="67" t="s">
        <v>1307</v>
      </c>
    </row>
    <row r="800" spans="1:9" ht="15" customHeight="1">
      <c r="A800" s="67" t="s">
        <v>1178</v>
      </c>
      <c r="B800" s="67" t="s">
        <v>365</v>
      </c>
      <c r="C800" s="68">
        <v>129</v>
      </c>
      <c r="D800" s="70">
        <v>130.19999999999999</v>
      </c>
      <c r="E800" s="70">
        <v>136.80000000000001</v>
      </c>
      <c r="F800" s="70">
        <v>143.4</v>
      </c>
      <c r="G800" s="70">
        <v>150</v>
      </c>
      <c r="H800" s="70">
        <v>156.6</v>
      </c>
      <c r="I800" s="67" t="s">
        <v>1308</v>
      </c>
    </row>
    <row r="801" spans="1:9" ht="15" customHeight="1">
      <c r="A801" s="67" t="s">
        <v>1178</v>
      </c>
      <c r="B801" s="67" t="s">
        <v>365</v>
      </c>
      <c r="C801" s="68">
        <v>130</v>
      </c>
      <c r="D801" s="70">
        <v>130.69999999999999</v>
      </c>
      <c r="E801" s="70">
        <v>137.30000000000001</v>
      </c>
      <c r="F801" s="70">
        <v>143.9</v>
      </c>
      <c r="G801" s="70">
        <v>150.5</v>
      </c>
      <c r="H801" s="70">
        <v>157.1</v>
      </c>
      <c r="I801" s="67" t="s">
        <v>1309</v>
      </c>
    </row>
    <row r="802" spans="1:9" ht="15" customHeight="1">
      <c r="A802" s="67" t="s">
        <v>1178</v>
      </c>
      <c r="B802" s="67" t="s">
        <v>365</v>
      </c>
      <c r="C802" s="68">
        <v>131</v>
      </c>
      <c r="D802" s="70">
        <v>131.19999999999999</v>
      </c>
      <c r="E802" s="70">
        <v>137.80000000000001</v>
      </c>
      <c r="F802" s="70">
        <v>144.5</v>
      </c>
      <c r="G802" s="70">
        <v>151.1</v>
      </c>
      <c r="H802" s="70">
        <v>157.69999999999999</v>
      </c>
      <c r="I802" s="67" t="s">
        <v>1310</v>
      </c>
    </row>
    <row r="803" spans="1:9" ht="15" customHeight="1">
      <c r="A803" s="67" t="s">
        <v>1178</v>
      </c>
      <c r="B803" s="67" t="s">
        <v>365</v>
      </c>
      <c r="C803" s="68">
        <v>132</v>
      </c>
      <c r="D803" s="70">
        <v>131.69999999999999</v>
      </c>
      <c r="E803" s="70">
        <v>138.4</v>
      </c>
      <c r="F803" s="70">
        <v>145</v>
      </c>
      <c r="G803" s="70">
        <v>151.6</v>
      </c>
      <c r="H803" s="70">
        <v>158.30000000000001</v>
      </c>
      <c r="I803" s="67" t="s">
        <v>1311</v>
      </c>
    </row>
    <row r="804" spans="1:9" ht="15" customHeight="1">
      <c r="A804" s="67" t="s">
        <v>1178</v>
      </c>
      <c r="B804" s="67" t="s">
        <v>365</v>
      </c>
      <c r="C804" s="68">
        <v>133</v>
      </c>
      <c r="D804" s="70">
        <v>132.19999999999999</v>
      </c>
      <c r="E804" s="70">
        <v>138.9</v>
      </c>
      <c r="F804" s="70">
        <v>145.5</v>
      </c>
      <c r="G804" s="70">
        <v>152.19999999999999</v>
      </c>
      <c r="H804" s="70">
        <v>158.9</v>
      </c>
      <c r="I804" s="67" t="s">
        <v>1312</v>
      </c>
    </row>
    <row r="805" spans="1:9" ht="15" customHeight="1">
      <c r="A805" s="67" t="s">
        <v>1178</v>
      </c>
      <c r="B805" s="67" t="s">
        <v>365</v>
      </c>
      <c r="C805" s="68">
        <v>134</v>
      </c>
      <c r="D805" s="70">
        <v>132.69999999999999</v>
      </c>
      <c r="E805" s="70">
        <v>139.4</v>
      </c>
      <c r="F805" s="70">
        <v>146.1</v>
      </c>
      <c r="G805" s="70">
        <v>152.69999999999999</v>
      </c>
      <c r="H805" s="70">
        <v>159.4</v>
      </c>
      <c r="I805" s="67" t="s">
        <v>1313</v>
      </c>
    </row>
    <row r="806" spans="1:9" ht="15" customHeight="1">
      <c r="A806" s="67" t="s">
        <v>1178</v>
      </c>
      <c r="B806" s="67" t="s">
        <v>365</v>
      </c>
      <c r="C806" s="68">
        <v>135</v>
      </c>
      <c r="D806" s="70">
        <v>133.19999999999999</v>
      </c>
      <c r="E806" s="70">
        <v>139.9</v>
      </c>
      <c r="F806" s="70">
        <v>146.6</v>
      </c>
      <c r="G806" s="70">
        <v>153.30000000000001</v>
      </c>
      <c r="H806" s="70">
        <v>160</v>
      </c>
      <c r="I806" s="67" t="s">
        <v>1314</v>
      </c>
    </row>
    <row r="807" spans="1:9" ht="15" customHeight="1">
      <c r="A807" s="67" t="s">
        <v>1178</v>
      </c>
      <c r="B807" s="67" t="s">
        <v>365</v>
      </c>
      <c r="C807" s="68">
        <v>136</v>
      </c>
      <c r="D807" s="70">
        <v>133.69999999999999</v>
      </c>
      <c r="E807" s="70">
        <v>140.4</v>
      </c>
      <c r="F807" s="70">
        <v>147.1</v>
      </c>
      <c r="G807" s="70">
        <v>153.80000000000001</v>
      </c>
      <c r="H807" s="70">
        <v>160.6</v>
      </c>
      <c r="I807" s="67" t="s">
        <v>1315</v>
      </c>
    </row>
    <row r="808" spans="1:9" ht="15" customHeight="1">
      <c r="A808" s="67" t="s">
        <v>1178</v>
      </c>
      <c r="B808" s="67" t="s">
        <v>365</v>
      </c>
      <c r="C808" s="68">
        <v>137</v>
      </c>
      <c r="D808" s="70">
        <v>134.19999999999999</v>
      </c>
      <c r="E808" s="70">
        <v>140.9</v>
      </c>
      <c r="F808" s="70">
        <v>147.69999999999999</v>
      </c>
      <c r="G808" s="70">
        <v>154.4</v>
      </c>
      <c r="H808" s="70">
        <v>161.1</v>
      </c>
      <c r="I808" s="67" t="s">
        <v>1316</v>
      </c>
    </row>
    <row r="809" spans="1:9" ht="15" customHeight="1">
      <c r="A809" s="67" t="s">
        <v>1178</v>
      </c>
      <c r="B809" s="67" t="s">
        <v>365</v>
      </c>
      <c r="C809" s="68">
        <v>138</v>
      </c>
      <c r="D809" s="70">
        <v>134.69999999999999</v>
      </c>
      <c r="E809" s="70">
        <v>141.4</v>
      </c>
      <c r="F809" s="70">
        <v>148.19999999999999</v>
      </c>
      <c r="G809" s="70">
        <v>154.9</v>
      </c>
      <c r="H809" s="70">
        <v>161.69999999999999</v>
      </c>
      <c r="I809" s="67" t="s">
        <v>1317</v>
      </c>
    </row>
    <row r="810" spans="1:9" ht="15" customHeight="1">
      <c r="A810" s="67" t="s">
        <v>1178</v>
      </c>
      <c r="B810" s="67" t="s">
        <v>365</v>
      </c>
      <c r="C810" s="68">
        <v>139</v>
      </c>
      <c r="D810" s="70">
        <v>135.19999999999999</v>
      </c>
      <c r="E810" s="70">
        <v>141.9</v>
      </c>
      <c r="F810" s="70">
        <v>148.69999999999999</v>
      </c>
      <c r="G810" s="70">
        <v>155.5</v>
      </c>
      <c r="H810" s="70">
        <v>162.19999999999999</v>
      </c>
      <c r="I810" s="67" t="s">
        <v>1318</v>
      </c>
    </row>
    <row r="811" spans="1:9" ht="15" customHeight="1">
      <c r="A811" s="67" t="s">
        <v>1178</v>
      </c>
      <c r="B811" s="67" t="s">
        <v>365</v>
      </c>
      <c r="C811" s="68">
        <v>140</v>
      </c>
      <c r="D811" s="70">
        <v>135.69999999999999</v>
      </c>
      <c r="E811" s="70">
        <v>142.4</v>
      </c>
      <c r="F811" s="70">
        <v>149.19999999999999</v>
      </c>
      <c r="G811" s="70">
        <v>156</v>
      </c>
      <c r="H811" s="70">
        <v>162.80000000000001</v>
      </c>
      <c r="I811" s="67" t="s">
        <v>1319</v>
      </c>
    </row>
    <row r="812" spans="1:9" ht="15" customHeight="1">
      <c r="A812" s="67" t="s">
        <v>1178</v>
      </c>
      <c r="B812" s="67" t="s">
        <v>365</v>
      </c>
      <c r="C812" s="68">
        <v>141</v>
      </c>
      <c r="D812" s="70">
        <v>136.1</v>
      </c>
      <c r="E812" s="70">
        <v>142.9</v>
      </c>
      <c r="F812" s="70">
        <v>149.69999999999999</v>
      </c>
      <c r="G812" s="70">
        <v>156.5</v>
      </c>
      <c r="H812" s="70">
        <v>163.30000000000001</v>
      </c>
      <c r="I812" s="67" t="s">
        <v>1320</v>
      </c>
    </row>
    <row r="813" spans="1:9" ht="15" customHeight="1">
      <c r="A813" s="67" t="s">
        <v>1178</v>
      </c>
      <c r="B813" s="67" t="s">
        <v>365</v>
      </c>
      <c r="C813" s="68">
        <v>142</v>
      </c>
      <c r="D813" s="70">
        <v>136.6</v>
      </c>
      <c r="E813" s="70">
        <v>143.4</v>
      </c>
      <c r="F813" s="70">
        <v>150.19999999999999</v>
      </c>
      <c r="G813" s="70">
        <v>157.1</v>
      </c>
      <c r="H813" s="70">
        <v>163.9</v>
      </c>
      <c r="I813" s="67" t="s">
        <v>1321</v>
      </c>
    </row>
    <row r="814" spans="1:9" ht="15" customHeight="1">
      <c r="A814" s="67" t="s">
        <v>1178</v>
      </c>
      <c r="B814" s="67" t="s">
        <v>365</v>
      </c>
      <c r="C814" s="68">
        <v>143</v>
      </c>
      <c r="D814" s="70">
        <v>137.1</v>
      </c>
      <c r="E814" s="70">
        <v>143.9</v>
      </c>
      <c r="F814" s="70">
        <v>150.69999999999999</v>
      </c>
      <c r="G814" s="70">
        <v>157.6</v>
      </c>
      <c r="H814" s="70">
        <v>164.4</v>
      </c>
      <c r="I814" s="67" t="s">
        <v>1322</v>
      </c>
    </row>
    <row r="815" spans="1:9" ht="15" customHeight="1">
      <c r="A815" s="67" t="s">
        <v>1178</v>
      </c>
      <c r="B815" s="67" t="s">
        <v>365</v>
      </c>
      <c r="C815" s="68">
        <v>144</v>
      </c>
      <c r="D815" s="70">
        <v>137.6</v>
      </c>
      <c r="E815" s="70">
        <v>144.4</v>
      </c>
      <c r="F815" s="70">
        <v>151.19999999999999</v>
      </c>
      <c r="G815" s="70">
        <v>158.1</v>
      </c>
      <c r="H815" s="70">
        <v>164.9</v>
      </c>
      <c r="I815" s="67" t="s">
        <v>1323</v>
      </c>
    </row>
    <row r="816" spans="1:9" ht="15" customHeight="1">
      <c r="A816" s="67" t="s">
        <v>1178</v>
      </c>
      <c r="B816" s="67" t="s">
        <v>365</v>
      </c>
      <c r="C816" s="68">
        <v>145</v>
      </c>
      <c r="D816" s="70">
        <v>138</v>
      </c>
      <c r="E816" s="70">
        <v>144.9</v>
      </c>
      <c r="F816" s="70">
        <v>151.69999999999999</v>
      </c>
      <c r="G816" s="70">
        <v>158.6</v>
      </c>
      <c r="H816" s="70">
        <v>165.4</v>
      </c>
      <c r="I816" s="67" t="s">
        <v>1324</v>
      </c>
    </row>
    <row r="817" spans="1:9" ht="15" customHeight="1">
      <c r="A817" s="67" t="s">
        <v>1178</v>
      </c>
      <c r="B817" s="67" t="s">
        <v>365</v>
      </c>
      <c r="C817" s="68">
        <v>146</v>
      </c>
      <c r="D817" s="70">
        <v>138.5</v>
      </c>
      <c r="E817" s="70">
        <v>145.30000000000001</v>
      </c>
      <c r="F817" s="70">
        <v>152.19999999999999</v>
      </c>
      <c r="G817" s="70">
        <v>159.1</v>
      </c>
      <c r="H817" s="70">
        <v>165.9</v>
      </c>
      <c r="I817" s="67" t="s">
        <v>1325</v>
      </c>
    </row>
    <row r="818" spans="1:9" ht="15" customHeight="1">
      <c r="A818" s="67" t="s">
        <v>1178</v>
      </c>
      <c r="B818" s="67" t="s">
        <v>365</v>
      </c>
      <c r="C818" s="68">
        <v>147</v>
      </c>
      <c r="D818" s="70">
        <v>138.9</v>
      </c>
      <c r="E818" s="70">
        <v>145.80000000000001</v>
      </c>
      <c r="F818" s="70">
        <v>152.69999999999999</v>
      </c>
      <c r="G818" s="70">
        <v>159.5</v>
      </c>
      <c r="H818" s="70">
        <v>166.4</v>
      </c>
      <c r="I818" s="67" t="s">
        <v>1326</v>
      </c>
    </row>
    <row r="819" spans="1:9" ht="15" customHeight="1">
      <c r="A819" s="67" t="s">
        <v>1178</v>
      </c>
      <c r="B819" s="67" t="s">
        <v>365</v>
      </c>
      <c r="C819" s="68">
        <v>148</v>
      </c>
      <c r="D819" s="70">
        <v>139.30000000000001</v>
      </c>
      <c r="E819" s="70">
        <v>146.19999999999999</v>
      </c>
      <c r="F819" s="70">
        <v>153.1</v>
      </c>
      <c r="G819" s="70">
        <v>160</v>
      </c>
      <c r="H819" s="70">
        <v>166.9</v>
      </c>
      <c r="I819" s="67" t="s">
        <v>1327</v>
      </c>
    </row>
    <row r="820" spans="1:9" ht="15" customHeight="1">
      <c r="A820" s="67" t="s">
        <v>1178</v>
      </c>
      <c r="B820" s="67" t="s">
        <v>365</v>
      </c>
      <c r="C820" s="68">
        <v>149</v>
      </c>
      <c r="D820" s="70">
        <v>139.80000000000001</v>
      </c>
      <c r="E820" s="70">
        <v>146.69999999999999</v>
      </c>
      <c r="F820" s="70">
        <v>153.6</v>
      </c>
      <c r="G820" s="70">
        <v>160.5</v>
      </c>
      <c r="H820" s="70">
        <v>167.4</v>
      </c>
      <c r="I820" s="67" t="s">
        <v>1328</v>
      </c>
    </row>
    <row r="821" spans="1:9" ht="15" customHeight="1">
      <c r="A821" s="67" t="s">
        <v>1178</v>
      </c>
      <c r="B821" s="67" t="s">
        <v>365</v>
      </c>
      <c r="C821" s="68">
        <v>150</v>
      </c>
      <c r="D821" s="70">
        <v>140.19999999999999</v>
      </c>
      <c r="E821" s="70">
        <v>147.1</v>
      </c>
      <c r="F821" s="70">
        <v>154</v>
      </c>
      <c r="G821" s="70">
        <v>160.9</v>
      </c>
      <c r="H821" s="70">
        <v>167.8</v>
      </c>
      <c r="I821" s="67" t="s">
        <v>1329</v>
      </c>
    </row>
    <row r="822" spans="1:9" ht="15" customHeight="1">
      <c r="A822" s="67" t="s">
        <v>1178</v>
      </c>
      <c r="B822" s="67" t="s">
        <v>365</v>
      </c>
      <c r="C822" s="68">
        <v>151</v>
      </c>
      <c r="D822" s="70">
        <v>140.6</v>
      </c>
      <c r="E822" s="70">
        <v>147.5</v>
      </c>
      <c r="F822" s="70">
        <v>154.4</v>
      </c>
      <c r="G822" s="70">
        <v>161.30000000000001</v>
      </c>
      <c r="H822" s="70">
        <v>168.3</v>
      </c>
      <c r="I822" s="67" t="s">
        <v>1330</v>
      </c>
    </row>
    <row r="823" spans="1:9" ht="15" customHeight="1">
      <c r="A823" s="67" t="s">
        <v>1178</v>
      </c>
      <c r="B823" s="67" t="s">
        <v>365</v>
      </c>
      <c r="C823" s="68">
        <v>152</v>
      </c>
      <c r="D823" s="70">
        <v>141</v>
      </c>
      <c r="E823" s="70">
        <v>147.9</v>
      </c>
      <c r="F823" s="70">
        <v>154.80000000000001</v>
      </c>
      <c r="G823" s="70">
        <v>161.80000000000001</v>
      </c>
      <c r="H823" s="70">
        <v>168.7</v>
      </c>
      <c r="I823" s="67" t="s">
        <v>1331</v>
      </c>
    </row>
    <row r="824" spans="1:9" ht="15" customHeight="1">
      <c r="A824" s="67" t="s">
        <v>1178</v>
      </c>
      <c r="B824" s="67" t="s">
        <v>365</v>
      </c>
      <c r="C824" s="68">
        <v>153</v>
      </c>
      <c r="D824" s="70">
        <v>141.4</v>
      </c>
      <c r="E824" s="70">
        <v>148.30000000000001</v>
      </c>
      <c r="F824" s="70">
        <v>155.19999999999999</v>
      </c>
      <c r="G824" s="70">
        <v>162.19999999999999</v>
      </c>
      <c r="H824" s="70">
        <v>169.1</v>
      </c>
      <c r="I824" s="67" t="s">
        <v>1332</v>
      </c>
    </row>
    <row r="825" spans="1:9" ht="15" customHeight="1">
      <c r="A825" s="67" t="s">
        <v>1178</v>
      </c>
      <c r="B825" s="67" t="s">
        <v>365</v>
      </c>
      <c r="C825" s="68">
        <v>154</v>
      </c>
      <c r="D825" s="70">
        <v>141.80000000000001</v>
      </c>
      <c r="E825" s="70">
        <v>148.69999999999999</v>
      </c>
      <c r="F825" s="70">
        <v>155.6</v>
      </c>
      <c r="G825" s="70">
        <v>162.6</v>
      </c>
      <c r="H825" s="70">
        <v>169.5</v>
      </c>
      <c r="I825" s="67" t="s">
        <v>1333</v>
      </c>
    </row>
    <row r="826" spans="1:9" ht="15" customHeight="1">
      <c r="A826" s="67" t="s">
        <v>1178</v>
      </c>
      <c r="B826" s="67" t="s">
        <v>365</v>
      </c>
      <c r="C826" s="68">
        <v>155</v>
      </c>
      <c r="D826" s="70">
        <v>142.1</v>
      </c>
      <c r="E826" s="70">
        <v>149.1</v>
      </c>
      <c r="F826" s="70">
        <v>156</v>
      </c>
      <c r="G826" s="70">
        <v>162.9</v>
      </c>
      <c r="H826" s="70">
        <v>169.9</v>
      </c>
      <c r="I826" s="67" t="s">
        <v>1334</v>
      </c>
    </row>
    <row r="827" spans="1:9" ht="15" customHeight="1">
      <c r="A827" s="67" t="s">
        <v>1178</v>
      </c>
      <c r="B827" s="67" t="s">
        <v>365</v>
      </c>
      <c r="C827" s="68">
        <v>156</v>
      </c>
      <c r="D827" s="70">
        <v>142.5</v>
      </c>
      <c r="E827" s="70">
        <v>149.4</v>
      </c>
      <c r="F827" s="70">
        <v>156.4</v>
      </c>
      <c r="G827" s="70">
        <v>163.30000000000001</v>
      </c>
      <c r="H827" s="70">
        <v>170.3</v>
      </c>
      <c r="I827" s="67" t="s">
        <v>1335</v>
      </c>
    </row>
    <row r="828" spans="1:9" ht="15" customHeight="1">
      <c r="A828" s="67" t="s">
        <v>1178</v>
      </c>
      <c r="B828" s="67" t="s">
        <v>365</v>
      </c>
      <c r="C828" s="68">
        <v>157</v>
      </c>
      <c r="D828" s="70">
        <v>142.80000000000001</v>
      </c>
      <c r="E828" s="70">
        <v>149.80000000000001</v>
      </c>
      <c r="F828" s="70">
        <v>156.69999999999999</v>
      </c>
      <c r="G828" s="70">
        <v>163.69999999999999</v>
      </c>
      <c r="H828" s="70">
        <v>170.6</v>
      </c>
      <c r="I828" s="67" t="s">
        <v>1336</v>
      </c>
    </row>
    <row r="829" spans="1:9" ht="15" customHeight="1">
      <c r="A829" s="67" t="s">
        <v>1178</v>
      </c>
      <c r="B829" s="67" t="s">
        <v>365</v>
      </c>
      <c r="C829" s="68">
        <v>158</v>
      </c>
      <c r="D829" s="70">
        <v>143.19999999999999</v>
      </c>
      <c r="E829" s="70">
        <v>150.1</v>
      </c>
      <c r="F829" s="70">
        <v>157.1</v>
      </c>
      <c r="G829" s="70">
        <v>164</v>
      </c>
      <c r="H829" s="70">
        <v>171</v>
      </c>
      <c r="I829" s="67" t="s">
        <v>1337</v>
      </c>
    </row>
    <row r="830" spans="1:9" ht="15" customHeight="1">
      <c r="A830" s="67" t="s">
        <v>1178</v>
      </c>
      <c r="B830" s="67" t="s">
        <v>365</v>
      </c>
      <c r="C830" s="68">
        <v>159</v>
      </c>
      <c r="D830" s="70">
        <v>143.5</v>
      </c>
      <c r="E830" s="70">
        <v>150.4</v>
      </c>
      <c r="F830" s="70">
        <v>157.4</v>
      </c>
      <c r="G830" s="70">
        <v>164.3</v>
      </c>
      <c r="H830" s="70">
        <v>171.3</v>
      </c>
      <c r="I830" s="67" t="s">
        <v>1338</v>
      </c>
    </row>
    <row r="831" spans="1:9" ht="15" customHeight="1">
      <c r="A831" s="67" t="s">
        <v>1178</v>
      </c>
      <c r="B831" s="67" t="s">
        <v>365</v>
      </c>
      <c r="C831" s="68">
        <v>160</v>
      </c>
      <c r="D831" s="70">
        <v>143.80000000000001</v>
      </c>
      <c r="E831" s="70">
        <v>150.80000000000001</v>
      </c>
      <c r="F831" s="70">
        <v>157.69999999999999</v>
      </c>
      <c r="G831" s="70">
        <v>164.7</v>
      </c>
      <c r="H831" s="70">
        <v>171.6</v>
      </c>
      <c r="I831" s="67" t="s">
        <v>1339</v>
      </c>
    </row>
    <row r="832" spans="1:9" ht="15" customHeight="1">
      <c r="A832" s="67" t="s">
        <v>1178</v>
      </c>
      <c r="B832" s="67" t="s">
        <v>365</v>
      </c>
      <c r="C832" s="68">
        <v>161</v>
      </c>
      <c r="D832" s="70">
        <v>144.1</v>
      </c>
      <c r="E832" s="70">
        <v>151.1</v>
      </c>
      <c r="F832" s="70">
        <v>158</v>
      </c>
      <c r="G832" s="70">
        <v>165</v>
      </c>
      <c r="H832" s="70">
        <v>171.9</v>
      </c>
      <c r="I832" s="67" t="s">
        <v>1340</v>
      </c>
    </row>
    <row r="833" spans="1:9" ht="15" customHeight="1">
      <c r="A833" s="67" t="s">
        <v>1178</v>
      </c>
      <c r="B833" s="67" t="s">
        <v>365</v>
      </c>
      <c r="C833" s="68">
        <v>162</v>
      </c>
      <c r="D833" s="70">
        <v>144.4</v>
      </c>
      <c r="E833" s="70">
        <v>151.30000000000001</v>
      </c>
      <c r="F833" s="70">
        <v>158.30000000000001</v>
      </c>
      <c r="G833" s="70">
        <v>165.3</v>
      </c>
      <c r="H833" s="70">
        <v>172.2</v>
      </c>
      <c r="I833" s="67" t="s">
        <v>1341</v>
      </c>
    </row>
    <row r="834" spans="1:9" ht="15" customHeight="1">
      <c r="A834" s="67" t="s">
        <v>1178</v>
      </c>
      <c r="B834" s="67" t="s">
        <v>365</v>
      </c>
      <c r="C834" s="68">
        <v>163</v>
      </c>
      <c r="D834" s="70">
        <v>144.69999999999999</v>
      </c>
      <c r="E834" s="70">
        <v>151.6</v>
      </c>
      <c r="F834" s="70">
        <v>158.6</v>
      </c>
      <c r="G834" s="70">
        <v>165.5</v>
      </c>
      <c r="H834" s="70">
        <v>172.5</v>
      </c>
      <c r="I834" s="67" t="s">
        <v>1342</v>
      </c>
    </row>
    <row r="835" spans="1:9" ht="15" customHeight="1">
      <c r="A835" s="67" t="s">
        <v>1178</v>
      </c>
      <c r="B835" s="67" t="s">
        <v>365</v>
      </c>
      <c r="C835" s="68">
        <v>164</v>
      </c>
      <c r="D835" s="70">
        <v>144.9</v>
      </c>
      <c r="E835" s="70">
        <v>151.9</v>
      </c>
      <c r="F835" s="70">
        <v>158.80000000000001</v>
      </c>
      <c r="G835" s="70">
        <v>165.8</v>
      </c>
      <c r="H835" s="70">
        <v>172.7</v>
      </c>
      <c r="I835" s="67" t="s">
        <v>1343</v>
      </c>
    </row>
    <row r="836" spans="1:9" ht="15" customHeight="1">
      <c r="A836" s="67" t="s">
        <v>1178</v>
      </c>
      <c r="B836" s="67" t="s">
        <v>365</v>
      </c>
      <c r="C836" s="68">
        <v>165</v>
      </c>
      <c r="D836" s="70">
        <v>145.19999999999999</v>
      </c>
      <c r="E836" s="70">
        <v>152.1</v>
      </c>
      <c r="F836" s="70">
        <v>159.1</v>
      </c>
      <c r="G836" s="70">
        <v>166</v>
      </c>
      <c r="H836" s="70">
        <v>173</v>
      </c>
      <c r="I836" s="67" t="s">
        <v>1344</v>
      </c>
    </row>
    <row r="837" spans="1:9" ht="15" customHeight="1">
      <c r="A837" s="67" t="s">
        <v>1178</v>
      </c>
      <c r="B837" s="67" t="s">
        <v>365</v>
      </c>
      <c r="C837" s="68">
        <v>166</v>
      </c>
      <c r="D837" s="70">
        <v>145.4</v>
      </c>
      <c r="E837" s="70">
        <v>152.4</v>
      </c>
      <c r="F837" s="70">
        <v>159.30000000000001</v>
      </c>
      <c r="G837" s="70">
        <v>166.3</v>
      </c>
      <c r="H837" s="70">
        <v>173.2</v>
      </c>
      <c r="I837" s="67" t="s">
        <v>1345</v>
      </c>
    </row>
    <row r="838" spans="1:9" ht="15" customHeight="1">
      <c r="A838" s="67" t="s">
        <v>1178</v>
      </c>
      <c r="B838" s="67" t="s">
        <v>365</v>
      </c>
      <c r="C838" s="68">
        <v>167</v>
      </c>
      <c r="D838" s="70">
        <v>145.69999999999999</v>
      </c>
      <c r="E838" s="70">
        <v>152.6</v>
      </c>
      <c r="F838" s="70">
        <v>159.6</v>
      </c>
      <c r="G838" s="70">
        <v>166.5</v>
      </c>
      <c r="H838" s="70">
        <v>173.5</v>
      </c>
      <c r="I838" s="67" t="s">
        <v>1346</v>
      </c>
    </row>
    <row r="839" spans="1:9" ht="15" customHeight="1">
      <c r="A839" s="67" t="s">
        <v>1178</v>
      </c>
      <c r="B839" s="67" t="s">
        <v>365</v>
      </c>
      <c r="C839" s="68">
        <v>168</v>
      </c>
      <c r="D839" s="70">
        <v>145.9</v>
      </c>
      <c r="E839" s="70">
        <v>152.80000000000001</v>
      </c>
      <c r="F839" s="70">
        <v>159.80000000000001</v>
      </c>
      <c r="G839" s="70">
        <v>166.7</v>
      </c>
      <c r="H839" s="70">
        <v>173.7</v>
      </c>
      <c r="I839" s="67" t="s">
        <v>1347</v>
      </c>
    </row>
    <row r="840" spans="1:9" ht="15" customHeight="1">
      <c r="A840" s="67" t="s">
        <v>1178</v>
      </c>
      <c r="B840" s="67" t="s">
        <v>365</v>
      </c>
      <c r="C840" s="68">
        <v>169</v>
      </c>
      <c r="D840" s="70">
        <v>146.1</v>
      </c>
      <c r="E840" s="70">
        <v>153.1</v>
      </c>
      <c r="F840" s="70">
        <v>160</v>
      </c>
      <c r="G840" s="70">
        <v>166.9</v>
      </c>
      <c r="H840" s="70">
        <v>173.9</v>
      </c>
      <c r="I840" s="67" t="s">
        <v>1348</v>
      </c>
    </row>
    <row r="841" spans="1:9" ht="15" customHeight="1">
      <c r="A841" s="67" t="s">
        <v>1178</v>
      </c>
      <c r="B841" s="67" t="s">
        <v>365</v>
      </c>
      <c r="C841" s="68">
        <v>170</v>
      </c>
      <c r="D841" s="70">
        <v>146.30000000000001</v>
      </c>
      <c r="E841" s="70">
        <v>153.30000000000001</v>
      </c>
      <c r="F841" s="70">
        <v>160.19999999999999</v>
      </c>
      <c r="G841" s="70">
        <v>167.1</v>
      </c>
      <c r="H841" s="70">
        <v>174.1</v>
      </c>
      <c r="I841" s="67" t="s">
        <v>1349</v>
      </c>
    </row>
    <row r="842" spans="1:9" ht="15" customHeight="1">
      <c r="A842" s="67" t="s">
        <v>1178</v>
      </c>
      <c r="B842" s="67" t="s">
        <v>365</v>
      </c>
      <c r="C842" s="68">
        <v>171</v>
      </c>
      <c r="D842" s="70">
        <v>146.5</v>
      </c>
      <c r="E842" s="70">
        <v>153.5</v>
      </c>
      <c r="F842" s="70">
        <v>160.4</v>
      </c>
      <c r="G842" s="70">
        <v>167.3</v>
      </c>
      <c r="H842" s="70">
        <v>174.2</v>
      </c>
      <c r="I842" s="67" t="s">
        <v>1350</v>
      </c>
    </row>
    <row r="843" spans="1:9" ht="15" customHeight="1">
      <c r="A843" s="67" t="s">
        <v>1178</v>
      </c>
      <c r="B843" s="67" t="s">
        <v>365</v>
      </c>
      <c r="C843" s="68">
        <v>172</v>
      </c>
      <c r="D843" s="70">
        <v>146.69999999999999</v>
      </c>
      <c r="E843" s="70">
        <v>153.6</v>
      </c>
      <c r="F843" s="70">
        <v>160.6</v>
      </c>
      <c r="G843" s="70">
        <v>167.5</v>
      </c>
      <c r="H843" s="70">
        <v>174.4</v>
      </c>
      <c r="I843" s="67" t="s">
        <v>1351</v>
      </c>
    </row>
    <row r="844" spans="1:9" ht="15" customHeight="1">
      <c r="A844" s="67" t="s">
        <v>1178</v>
      </c>
      <c r="B844" s="67" t="s">
        <v>365</v>
      </c>
      <c r="C844" s="68">
        <v>173</v>
      </c>
      <c r="D844" s="70">
        <v>146.9</v>
      </c>
      <c r="E844" s="70">
        <v>153.80000000000001</v>
      </c>
      <c r="F844" s="70">
        <v>160.69999999999999</v>
      </c>
      <c r="G844" s="70">
        <v>167.7</v>
      </c>
      <c r="H844" s="70">
        <v>174.6</v>
      </c>
      <c r="I844" s="67" t="s">
        <v>1352</v>
      </c>
    </row>
    <row r="845" spans="1:9" ht="15" customHeight="1">
      <c r="A845" s="67" t="s">
        <v>1178</v>
      </c>
      <c r="B845" s="67" t="s">
        <v>365</v>
      </c>
      <c r="C845" s="68">
        <v>174</v>
      </c>
      <c r="D845" s="70">
        <v>147.1</v>
      </c>
      <c r="E845" s="70">
        <v>154</v>
      </c>
      <c r="F845" s="70">
        <v>160.9</v>
      </c>
      <c r="G845" s="70">
        <v>167.8</v>
      </c>
      <c r="H845" s="70">
        <v>174.7</v>
      </c>
      <c r="I845" s="67" t="s">
        <v>1353</v>
      </c>
    </row>
    <row r="846" spans="1:9" ht="15" customHeight="1">
      <c r="A846" s="67" t="s">
        <v>1178</v>
      </c>
      <c r="B846" s="67" t="s">
        <v>365</v>
      </c>
      <c r="C846" s="68">
        <v>175</v>
      </c>
      <c r="D846" s="70">
        <v>147.19999999999999</v>
      </c>
      <c r="E846" s="70">
        <v>154.1</v>
      </c>
      <c r="F846" s="70">
        <v>161</v>
      </c>
      <c r="G846" s="70">
        <v>168</v>
      </c>
      <c r="H846" s="70">
        <v>174.9</v>
      </c>
      <c r="I846" s="67" t="s">
        <v>1354</v>
      </c>
    </row>
    <row r="847" spans="1:9" ht="15" customHeight="1">
      <c r="A847" s="67" t="s">
        <v>1178</v>
      </c>
      <c r="B847" s="67" t="s">
        <v>365</v>
      </c>
      <c r="C847" s="68">
        <v>176</v>
      </c>
      <c r="D847" s="70">
        <v>147.4</v>
      </c>
      <c r="E847" s="70">
        <v>154.30000000000001</v>
      </c>
      <c r="F847" s="70">
        <v>161.19999999999999</v>
      </c>
      <c r="G847" s="70">
        <v>168.1</v>
      </c>
      <c r="H847" s="70">
        <v>175</v>
      </c>
      <c r="I847" s="67" t="s">
        <v>1355</v>
      </c>
    </row>
    <row r="848" spans="1:9" ht="15" customHeight="1">
      <c r="A848" s="67" t="s">
        <v>1178</v>
      </c>
      <c r="B848" s="67" t="s">
        <v>365</v>
      </c>
      <c r="C848" s="68">
        <v>177</v>
      </c>
      <c r="D848" s="70">
        <v>147.5</v>
      </c>
      <c r="E848" s="70">
        <v>154.4</v>
      </c>
      <c r="F848" s="70">
        <v>161.30000000000001</v>
      </c>
      <c r="G848" s="70">
        <v>168.2</v>
      </c>
      <c r="H848" s="70">
        <v>175.1</v>
      </c>
      <c r="I848" s="67" t="s">
        <v>1356</v>
      </c>
    </row>
    <row r="849" spans="1:9" ht="15" customHeight="1">
      <c r="A849" s="67" t="s">
        <v>1178</v>
      </c>
      <c r="B849" s="67" t="s">
        <v>365</v>
      </c>
      <c r="C849" s="68">
        <v>178</v>
      </c>
      <c r="D849" s="70">
        <v>147.69999999999999</v>
      </c>
      <c r="E849" s="70">
        <v>154.5</v>
      </c>
      <c r="F849" s="70">
        <v>161.4</v>
      </c>
      <c r="G849" s="70">
        <v>168.3</v>
      </c>
      <c r="H849" s="70">
        <v>175.2</v>
      </c>
      <c r="I849" s="67" t="s">
        <v>1357</v>
      </c>
    </row>
    <row r="850" spans="1:9" ht="15" customHeight="1">
      <c r="A850" s="67" t="s">
        <v>1178</v>
      </c>
      <c r="B850" s="67" t="s">
        <v>365</v>
      </c>
      <c r="C850" s="68">
        <v>179</v>
      </c>
      <c r="D850" s="70">
        <v>147.80000000000001</v>
      </c>
      <c r="E850" s="70">
        <v>154.69999999999999</v>
      </c>
      <c r="F850" s="70">
        <v>161.6</v>
      </c>
      <c r="G850" s="70">
        <v>168.4</v>
      </c>
      <c r="H850" s="70">
        <v>175.3</v>
      </c>
      <c r="I850" s="67" t="s">
        <v>1358</v>
      </c>
    </row>
    <row r="851" spans="1:9" ht="15" customHeight="1">
      <c r="A851" s="67" t="s">
        <v>1178</v>
      </c>
      <c r="B851" s="67" t="s">
        <v>365</v>
      </c>
      <c r="C851" s="68">
        <v>180</v>
      </c>
      <c r="D851" s="70">
        <v>147.9</v>
      </c>
      <c r="E851" s="70">
        <v>154.80000000000001</v>
      </c>
      <c r="F851" s="70">
        <v>161.69999999999999</v>
      </c>
      <c r="G851" s="70">
        <v>168.5</v>
      </c>
      <c r="H851" s="70">
        <v>175.4</v>
      </c>
      <c r="I851" s="67" t="s">
        <v>1359</v>
      </c>
    </row>
    <row r="852" spans="1:9" ht="15" customHeight="1">
      <c r="A852" s="67" t="s">
        <v>1178</v>
      </c>
      <c r="B852" s="67" t="s">
        <v>365</v>
      </c>
      <c r="C852" s="68">
        <v>181</v>
      </c>
      <c r="D852" s="70">
        <v>148</v>
      </c>
      <c r="E852" s="70">
        <v>154.9</v>
      </c>
      <c r="F852" s="70">
        <v>161.80000000000001</v>
      </c>
      <c r="G852" s="70">
        <v>168.6</v>
      </c>
      <c r="H852" s="70">
        <v>175.5</v>
      </c>
      <c r="I852" s="67" t="s">
        <v>1360</v>
      </c>
    </row>
    <row r="853" spans="1:9" ht="15" customHeight="1">
      <c r="A853" s="67" t="s">
        <v>1178</v>
      </c>
      <c r="B853" s="67" t="s">
        <v>365</v>
      </c>
      <c r="C853" s="68">
        <v>182</v>
      </c>
      <c r="D853" s="70">
        <v>148.1</v>
      </c>
      <c r="E853" s="70">
        <v>155</v>
      </c>
      <c r="F853" s="70">
        <v>161.9</v>
      </c>
      <c r="G853" s="70">
        <v>168.7</v>
      </c>
      <c r="H853" s="70">
        <v>175.6</v>
      </c>
      <c r="I853" s="67" t="s">
        <v>1361</v>
      </c>
    </row>
    <row r="854" spans="1:9" ht="15" customHeight="1">
      <c r="A854" s="67" t="s">
        <v>1178</v>
      </c>
      <c r="B854" s="67" t="s">
        <v>365</v>
      </c>
      <c r="C854" s="68">
        <v>183</v>
      </c>
      <c r="D854" s="70">
        <v>148.19999999999999</v>
      </c>
      <c r="E854" s="70">
        <v>155.1</v>
      </c>
      <c r="F854" s="70">
        <v>162</v>
      </c>
      <c r="G854" s="70">
        <v>168.8</v>
      </c>
      <c r="H854" s="70">
        <v>175.7</v>
      </c>
      <c r="I854" s="67" t="s">
        <v>1362</v>
      </c>
    </row>
    <row r="855" spans="1:9" ht="15" customHeight="1">
      <c r="A855" s="67" t="s">
        <v>1178</v>
      </c>
      <c r="B855" s="67" t="s">
        <v>365</v>
      </c>
      <c r="C855" s="68">
        <v>184</v>
      </c>
      <c r="D855" s="70">
        <v>148.30000000000001</v>
      </c>
      <c r="E855" s="70">
        <v>155.19999999999999</v>
      </c>
      <c r="F855" s="70">
        <v>162</v>
      </c>
      <c r="G855" s="70">
        <v>168.9</v>
      </c>
      <c r="H855" s="70">
        <v>175.7</v>
      </c>
      <c r="I855" s="67" t="s">
        <v>1363</v>
      </c>
    </row>
    <row r="856" spans="1:9" ht="15" customHeight="1">
      <c r="A856" s="67" t="s">
        <v>1178</v>
      </c>
      <c r="B856" s="67" t="s">
        <v>365</v>
      </c>
      <c r="C856" s="68">
        <v>185</v>
      </c>
      <c r="D856" s="70">
        <v>148.4</v>
      </c>
      <c r="E856" s="70">
        <v>155.30000000000001</v>
      </c>
      <c r="F856" s="70">
        <v>162.1</v>
      </c>
      <c r="G856" s="70">
        <v>169</v>
      </c>
      <c r="H856" s="70">
        <v>175.8</v>
      </c>
      <c r="I856" s="67" t="s">
        <v>1364</v>
      </c>
    </row>
    <row r="857" spans="1:9" ht="15" customHeight="1">
      <c r="A857" s="67" t="s">
        <v>1178</v>
      </c>
      <c r="B857" s="67" t="s">
        <v>365</v>
      </c>
      <c r="C857" s="68">
        <v>186</v>
      </c>
      <c r="D857" s="70">
        <v>148.5</v>
      </c>
      <c r="E857" s="70">
        <v>155.4</v>
      </c>
      <c r="F857" s="70">
        <v>162.19999999999999</v>
      </c>
      <c r="G857" s="70">
        <v>169</v>
      </c>
      <c r="H857" s="70">
        <v>175.9</v>
      </c>
      <c r="I857" s="67" t="s">
        <v>1365</v>
      </c>
    </row>
    <row r="858" spans="1:9" ht="15" customHeight="1">
      <c r="A858" s="67" t="s">
        <v>1178</v>
      </c>
      <c r="B858" s="67" t="s">
        <v>365</v>
      </c>
      <c r="C858" s="68">
        <v>187</v>
      </c>
      <c r="D858" s="70">
        <v>148.6</v>
      </c>
      <c r="E858" s="70">
        <v>155.4</v>
      </c>
      <c r="F858" s="70">
        <v>162.30000000000001</v>
      </c>
      <c r="G858" s="70">
        <v>169.1</v>
      </c>
      <c r="H858" s="70">
        <v>175.9</v>
      </c>
      <c r="I858" s="67" t="s">
        <v>1366</v>
      </c>
    </row>
    <row r="859" spans="1:9" ht="15" customHeight="1">
      <c r="A859" s="67" t="s">
        <v>1178</v>
      </c>
      <c r="B859" s="67" t="s">
        <v>365</v>
      </c>
      <c r="C859" s="68">
        <v>188</v>
      </c>
      <c r="D859" s="70">
        <v>148.69999999999999</v>
      </c>
      <c r="E859" s="70">
        <v>155.5</v>
      </c>
      <c r="F859" s="70">
        <v>162.30000000000001</v>
      </c>
      <c r="G859" s="70">
        <v>169.1</v>
      </c>
      <c r="H859" s="70">
        <v>176</v>
      </c>
      <c r="I859" s="67" t="s">
        <v>1367</v>
      </c>
    </row>
    <row r="860" spans="1:9" ht="15" customHeight="1">
      <c r="A860" s="67" t="s">
        <v>1178</v>
      </c>
      <c r="B860" s="67" t="s">
        <v>365</v>
      </c>
      <c r="C860" s="68">
        <v>189</v>
      </c>
      <c r="D860" s="70">
        <v>148.69999999999999</v>
      </c>
      <c r="E860" s="70">
        <v>155.6</v>
      </c>
      <c r="F860" s="70">
        <v>162.4</v>
      </c>
      <c r="G860" s="70">
        <v>169.2</v>
      </c>
      <c r="H860" s="70">
        <v>176</v>
      </c>
      <c r="I860" s="67" t="s">
        <v>1368</v>
      </c>
    </row>
    <row r="861" spans="1:9" ht="15" customHeight="1">
      <c r="A861" s="67" t="s">
        <v>1178</v>
      </c>
      <c r="B861" s="67" t="s">
        <v>365</v>
      </c>
      <c r="C861" s="68">
        <v>190</v>
      </c>
      <c r="D861" s="70">
        <v>148.80000000000001</v>
      </c>
      <c r="E861" s="70">
        <v>155.6</v>
      </c>
      <c r="F861" s="70">
        <v>162.4</v>
      </c>
      <c r="G861" s="70">
        <v>169.2</v>
      </c>
      <c r="H861" s="70">
        <v>176</v>
      </c>
      <c r="I861" s="67" t="s">
        <v>1369</v>
      </c>
    </row>
    <row r="862" spans="1:9" ht="15" customHeight="1">
      <c r="A862" s="67" t="s">
        <v>1178</v>
      </c>
      <c r="B862" s="67" t="s">
        <v>365</v>
      </c>
      <c r="C862" s="68">
        <v>191</v>
      </c>
      <c r="D862" s="70">
        <v>148.9</v>
      </c>
      <c r="E862" s="70">
        <v>155.69999999999999</v>
      </c>
      <c r="F862" s="70">
        <v>162.5</v>
      </c>
      <c r="G862" s="70">
        <v>169.3</v>
      </c>
      <c r="H862" s="70">
        <v>176.1</v>
      </c>
      <c r="I862" s="67" t="s">
        <v>1370</v>
      </c>
    </row>
    <row r="863" spans="1:9" ht="15" customHeight="1">
      <c r="A863" s="67" t="s">
        <v>1178</v>
      </c>
      <c r="B863" s="67" t="s">
        <v>365</v>
      </c>
      <c r="C863" s="68">
        <v>192</v>
      </c>
      <c r="D863" s="70">
        <v>148.9</v>
      </c>
      <c r="E863" s="70">
        <v>155.69999999999999</v>
      </c>
      <c r="F863" s="70">
        <v>162.5</v>
      </c>
      <c r="G863" s="70">
        <v>169.3</v>
      </c>
      <c r="H863" s="70">
        <v>176.1</v>
      </c>
      <c r="I863" s="67" t="s">
        <v>1371</v>
      </c>
    </row>
    <row r="864" spans="1:9" ht="15" customHeight="1">
      <c r="A864" s="67" t="s">
        <v>1178</v>
      </c>
      <c r="B864" s="67" t="s">
        <v>365</v>
      </c>
      <c r="C864" s="68">
        <v>193</v>
      </c>
      <c r="D864" s="70">
        <v>149</v>
      </c>
      <c r="E864" s="70">
        <v>155.80000000000001</v>
      </c>
      <c r="F864" s="70">
        <v>162.6</v>
      </c>
      <c r="G864" s="70">
        <v>169.3</v>
      </c>
      <c r="H864" s="70">
        <v>176.1</v>
      </c>
      <c r="I864" s="67" t="s">
        <v>1372</v>
      </c>
    </row>
    <row r="865" spans="1:9" ht="15" customHeight="1">
      <c r="A865" s="67" t="s">
        <v>1178</v>
      </c>
      <c r="B865" s="67" t="s">
        <v>365</v>
      </c>
      <c r="C865" s="68">
        <v>194</v>
      </c>
      <c r="D865" s="70">
        <v>149.1</v>
      </c>
      <c r="E865" s="70">
        <v>155.80000000000001</v>
      </c>
      <c r="F865" s="70">
        <v>162.6</v>
      </c>
      <c r="G865" s="70">
        <v>169.4</v>
      </c>
      <c r="H865" s="70">
        <v>176.1</v>
      </c>
      <c r="I865" s="67" t="s">
        <v>1373</v>
      </c>
    </row>
    <row r="866" spans="1:9" ht="15" customHeight="1">
      <c r="A866" s="67" t="s">
        <v>1178</v>
      </c>
      <c r="B866" s="67" t="s">
        <v>365</v>
      </c>
      <c r="C866" s="68">
        <v>195</v>
      </c>
      <c r="D866" s="70">
        <v>149.1</v>
      </c>
      <c r="E866" s="70">
        <v>155.9</v>
      </c>
      <c r="F866" s="70">
        <v>162.6</v>
      </c>
      <c r="G866" s="70">
        <v>169.4</v>
      </c>
      <c r="H866" s="70">
        <v>176.2</v>
      </c>
      <c r="I866" s="67" t="s">
        <v>1374</v>
      </c>
    </row>
    <row r="867" spans="1:9" ht="15" customHeight="1">
      <c r="A867" s="67" t="s">
        <v>1178</v>
      </c>
      <c r="B867" s="67" t="s">
        <v>365</v>
      </c>
      <c r="C867" s="68">
        <v>196</v>
      </c>
      <c r="D867" s="70">
        <v>149.19999999999999</v>
      </c>
      <c r="E867" s="70">
        <v>155.9</v>
      </c>
      <c r="F867" s="70">
        <v>162.69999999999999</v>
      </c>
      <c r="G867" s="70">
        <v>169.4</v>
      </c>
      <c r="H867" s="70">
        <v>176.2</v>
      </c>
      <c r="I867" s="67" t="s">
        <v>1375</v>
      </c>
    </row>
    <row r="868" spans="1:9" ht="15" customHeight="1">
      <c r="A868" s="67" t="s">
        <v>1178</v>
      </c>
      <c r="B868" s="67" t="s">
        <v>365</v>
      </c>
      <c r="C868" s="68">
        <v>197</v>
      </c>
      <c r="D868" s="70">
        <v>149.19999999999999</v>
      </c>
      <c r="E868" s="70">
        <v>155.9</v>
      </c>
      <c r="F868" s="70">
        <v>162.69999999999999</v>
      </c>
      <c r="G868" s="70">
        <v>169.4</v>
      </c>
      <c r="H868" s="70">
        <v>176.2</v>
      </c>
      <c r="I868" s="67" t="s">
        <v>1376</v>
      </c>
    </row>
    <row r="869" spans="1:9" ht="15" customHeight="1">
      <c r="A869" s="67" t="s">
        <v>1178</v>
      </c>
      <c r="B869" s="67" t="s">
        <v>365</v>
      </c>
      <c r="C869" s="68">
        <v>198</v>
      </c>
      <c r="D869" s="70">
        <v>149.19999999999999</v>
      </c>
      <c r="E869" s="70">
        <v>156</v>
      </c>
      <c r="F869" s="70">
        <v>162.69999999999999</v>
      </c>
      <c r="G869" s="70">
        <v>169.5</v>
      </c>
      <c r="H869" s="70">
        <v>176.2</v>
      </c>
      <c r="I869" s="67" t="s">
        <v>1377</v>
      </c>
    </row>
    <row r="870" spans="1:9" ht="15" customHeight="1">
      <c r="A870" s="67" t="s">
        <v>1178</v>
      </c>
      <c r="B870" s="67" t="s">
        <v>365</v>
      </c>
      <c r="C870" s="68">
        <v>199</v>
      </c>
      <c r="D870" s="70">
        <v>149.30000000000001</v>
      </c>
      <c r="E870" s="70">
        <v>156</v>
      </c>
      <c r="F870" s="70">
        <v>162.69999999999999</v>
      </c>
      <c r="G870" s="70">
        <v>169.5</v>
      </c>
      <c r="H870" s="70">
        <v>176.2</v>
      </c>
      <c r="I870" s="67" t="s">
        <v>1378</v>
      </c>
    </row>
    <row r="871" spans="1:9" ht="15" customHeight="1">
      <c r="A871" s="67" t="s">
        <v>1178</v>
      </c>
      <c r="B871" s="67" t="s">
        <v>365</v>
      </c>
      <c r="C871" s="68">
        <v>200</v>
      </c>
      <c r="D871" s="70">
        <v>149.30000000000001</v>
      </c>
      <c r="E871" s="70">
        <v>156</v>
      </c>
      <c r="F871" s="70">
        <v>162.80000000000001</v>
      </c>
      <c r="G871" s="70">
        <v>169.5</v>
      </c>
      <c r="H871" s="70">
        <v>176.2</v>
      </c>
      <c r="I871" s="67" t="s">
        <v>1379</v>
      </c>
    </row>
    <row r="872" spans="1:9" ht="15" customHeight="1">
      <c r="A872" s="67" t="s">
        <v>1178</v>
      </c>
      <c r="B872" s="67" t="s">
        <v>365</v>
      </c>
      <c r="C872" s="68">
        <v>201</v>
      </c>
      <c r="D872" s="70">
        <v>149.4</v>
      </c>
      <c r="E872" s="70">
        <v>156.1</v>
      </c>
      <c r="F872" s="70">
        <v>162.80000000000001</v>
      </c>
      <c r="G872" s="70">
        <v>169.5</v>
      </c>
      <c r="H872" s="70">
        <v>176.2</v>
      </c>
      <c r="I872" s="67" t="s">
        <v>1380</v>
      </c>
    </row>
    <row r="873" spans="1:9" ht="15" customHeight="1">
      <c r="A873" s="67" t="s">
        <v>1178</v>
      </c>
      <c r="B873" s="67" t="s">
        <v>365</v>
      </c>
      <c r="C873" s="68">
        <v>202</v>
      </c>
      <c r="D873" s="70">
        <v>149.4</v>
      </c>
      <c r="E873" s="70">
        <v>156.1</v>
      </c>
      <c r="F873" s="70">
        <v>162.80000000000001</v>
      </c>
      <c r="G873" s="70">
        <v>169.5</v>
      </c>
      <c r="H873" s="70">
        <v>176.2</v>
      </c>
      <c r="I873" s="67" t="s">
        <v>1381</v>
      </c>
    </row>
    <row r="874" spans="1:9" ht="15" customHeight="1">
      <c r="A874" s="67" t="s">
        <v>1178</v>
      </c>
      <c r="B874" s="67" t="s">
        <v>365</v>
      </c>
      <c r="C874" s="68">
        <v>203</v>
      </c>
      <c r="D874" s="70">
        <v>149.4</v>
      </c>
      <c r="E874" s="70">
        <v>156.1</v>
      </c>
      <c r="F874" s="70">
        <v>162.80000000000001</v>
      </c>
      <c r="G874" s="70">
        <v>169.5</v>
      </c>
      <c r="H874" s="70">
        <v>176.2</v>
      </c>
      <c r="I874" s="67" t="s">
        <v>1382</v>
      </c>
    </row>
    <row r="875" spans="1:9" ht="15" customHeight="1">
      <c r="A875" s="67" t="s">
        <v>1178</v>
      </c>
      <c r="B875" s="67" t="s">
        <v>365</v>
      </c>
      <c r="C875" s="68">
        <v>204</v>
      </c>
      <c r="D875" s="70">
        <v>149.5</v>
      </c>
      <c r="E875" s="70">
        <v>156.19999999999999</v>
      </c>
      <c r="F875" s="70">
        <v>162.9</v>
      </c>
      <c r="G875" s="70">
        <v>169.5</v>
      </c>
      <c r="H875" s="70">
        <v>176.2</v>
      </c>
      <c r="I875" s="67" t="s">
        <v>1383</v>
      </c>
    </row>
    <row r="876" spans="1:9" ht="15" customHeight="1">
      <c r="A876" s="67" t="s">
        <v>1178</v>
      </c>
      <c r="B876" s="67" t="s">
        <v>365</v>
      </c>
      <c r="C876" s="68">
        <v>205</v>
      </c>
      <c r="D876" s="70">
        <v>149.5</v>
      </c>
      <c r="E876" s="70">
        <v>156.19999999999999</v>
      </c>
      <c r="F876" s="70">
        <v>162.9</v>
      </c>
      <c r="G876" s="70">
        <v>169.6</v>
      </c>
      <c r="H876" s="70">
        <v>176.2</v>
      </c>
      <c r="I876" s="67" t="s">
        <v>1384</v>
      </c>
    </row>
    <row r="877" spans="1:9" ht="15" customHeight="1">
      <c r="A877" s="67" t="s">
        <v>1178</v>
      </c>
      <c r="B877" s="67" t="s">
        <v>365</v>
      </c>
      <c r="C877" s="68">
        <v>206</v>
      </c>
      <c r="D877" s="70">
        <v>149.5</v>
      </c>
      <c r="E877" s="70">
        <v>156.19999999999999</v>
      </c>
      <c r="F877" s="70">
        <v>162.9</v>
      </c>
      <c r="G877" s="70">
        <v>169.6</v>
      </c>
      <c r="H877" s="70">
        <v>176.2</v>
      </c>
      <c r="I877" s="67" t="s">
        <v>1385</v>
      </c>
    </row>
    <row r="878" spans="1:9" ht="15" customHeight="1">
      <c r="A878" s="67" t="s">
        <v>1178</v>
      </c>
      <c r="B878" s="67" t="s">
        <v>365</v>
      </c>
      <c r="C878" s="68">
        <v>207</v>
      </c>
      <c r="D878" s="70">
        <v>149.6</v>
      </c>
      <c r="E878" s="70">
        <v>156.19999999999999</v>
      </c>
      <c r="F878" s="70">
        <v>162.9</v>
      </c>
      <c r="G878" s="70">
        <v>169.6</v>
      </c>
      <c r="H878" s="70">
        <v>176.3</v>
      </c>
      <c r="I878" s="67" t="s">
        <v>1386</v>
      </c>
    </row>
    <row r="879" spans="1:9" ht="15" customHeight="1">
      <c r="A879" s="67" t="s">
        <v>1178</v>
      </c>
      <c r="B879" s="67" t="s">
        <v>365</v>
      </c>
      <c r="C879" s="68">
        <v>208</v>
      </c>
      <c r="D879" s="70">
        <v>149.6</v>
      </c>
      <c r="E879" s="70">
        <v>156.30000000000001</v>
      </c>
      <c r="F879" s="70">
        <v>162.9</v>
      </c>
      <c r="G879" s="70">
        <v>169.6</v>
      </c>
      <c r="H879" s="70">
        <v>176.3</v>
      </c>
      <c r="I879" s="67" t="s">
        <v>1387</v>
      </c>
    </row>
    <row r="880" spans="1:9" ht="15" customHeight="1">
      <c r="A880" s="67" t="s">
        <v>1178</v>
      </c>
      <c r="B880" s="67" t="s">
        <v>365</v>
      </c>
      <c r="C880" s="68">
        <v>209</v>
      </c>
      <c r="D880" s="70">
        <v>149.6</v>
      </c>
      <c r="E880" s="70">
        <v>156.30000000000001</v>
      </c>
      <c r="F880" s="70">
        <v>162.9</v>
      </c>
      <c r="G880" s="70">
        <v>169.6</v>
      </c>
      <c r="H880" s="70">
        <v>176.3</v>
      </c>
      <c r="I880" s="67" t="s">
        <v>1388</v>
      </c>
    </row>
    <row r="881" spans="1:9" ht="15" customHeight="1">
      <c r="A881" s="67" t="s">
        <v>1178</v>
      </c>
      <c r="B881" s="67" t="s">
        <v>365</v>
      </c>
      <c r="C881" s="68">
        <v>210</v>
      </c>
      <c r="D881" s="70">
        <v>149.69999999999999</v>
      </c>
      <c r="E881" s="70">
        <v>156.30000000000001</v>
      </c>
      <c r="F881" s="70">
        <v>163</v>
      </c>
      <c r="G881" s="70">
        <v>169.6</v>
      </c>
      <c r="H881" s="70">
        <v>176.3</v>
      </c>
      <c r="I881" s="67" t="s">
        <v>1389</v>
      </c>
    </row>
    <row r="882" spans="1:9" ht="15" customHeight="1">
      <c r="A882" s="67" t="s">
        <v>1178</v>
      </c>
      <c r="B882" s="67" t="s">
        <v>365</v>
      </c>
      <c r="C882" s="68">
        <v>211</v>
      </c>
      <c r="D882" s="70">
        <v>149.69999999999999</v>
      </c>
      <c r="E882" s="70">
        <v>156.30000000000001</v>
      </c>
      <c r="F882" s="70">
        <v>163</v>
      </c>
      <c r="G882" s="70">
        <v>169.6</v>
      </c>
      <c r="H882" s="70">
        <v>176.3</v>
      </c>
      <c r="I882" s="67" t="s">
        <v>1390</v>
      </c>
    </row>
    <row r="883" spans="1:9" ht="15" customHeight="1">
      <c r="A883" s="67" t="s">
        <v>1178</v>
      </c>
      <c r="B883" s="67" t="s">
        <v>365</v>
      </c>
      <c r="C883" s="68">
        <v>212</v>
      </c>
      <c r="D883" s="70">
        <v>149.69999999999999</v>
      </c>
      <c r="E883" s="70">
        <v>156.4</v>
      </c>
      <c r="F883" s="70">
        <v>163</v>
      </c>
      <c r="G883" s="70">
        <v>169.6</v>
      </c>
      <c r="H883" s="70">
        <v>176.3</v>
      </c>
      <c r="I883" s="67" t="s">
        <v>1391</v>
      </c>
    </row>
    <row r="884" spans="1:9" ht="15" customHeight="1">
      <c r="A884" s="67" t="s">
        <v>1178</v>
      </c>
      <c r="B884" s="67" t="s">
        <v>365</v>
      </c>
      <c r="C884" s="68">
        <v>213</v>
      </c>
      <c r="D884" s="70">
        <v>149.80000000000001</v>
      </c>
      <c r="E884" s="70">
        <v>156.4</v>
      </c>
      <c r="F884" s="70">
        <v>163</v>
      </c>
      <c r="G884" s="70">
        <v>169.6</v>
      </c>
      <c r="H884" s="70">
        <v>176.3</v>
      </c>
      <c r="I884" s="67" t="s">
        <v>1392</v>
      </c>
    </row>
    <row r="885" spans="1:9" ht="15" customHeight="1">
      <c r="A885" s="67" t="s">
        <v>1178</v>
      </c>
      <c r="B885" s="67" t="s">
        <v>365</v>
      </c>
      <c r="C885" s="68">
        <v>214</v>
      </c>
      <c r="D885" s="70">
        <v>149.80000000000001</v>
      </c>
      <c r="E885" s="70">
        <v>156.4</v>
      </c>
      <c r="F885" s="70">
        <v>163</v>
      </c>
      <c r="G885" s="70">
        <v>169.7</v>
      </c>
      <c r="H885" s="70">
        <v>176.3</v>
      </c>
      <c r="I885" s="67" t="s">
        <v>1393</v>
      </c>
    </row>
    <row r="886" spans="1:9" ht="15" customHeight="1">
      <c r="A886" s="67" t="s">
        <v>1178</v>
      </c>
      <c r="B886" s="67" t="s">
        <v>365</v>
      </c>
      <c r="C886" s="68">
        <v>215</v>
      </c>
      <c r="D886" s="70">
        <v>149.80000000000001</v>
      </c>
      <c r="E886" s="70">
        <v>156.4</v>
      </c>
      <c r="F886" s="70">
        <v>163</v>
      </c>
      <c r="G886" s="70">
        <v>169.7</v>
      </c>
      <c r="H886" s="70">
        <v>176.3</v>
      </c>
      <c r="I886" s="67" t="s">
        <v>1394</v>
      </c>
    </row>
    <row r="887" spans="1:9" ht="15" customHeight="1">
      <c r="A887" s="67" t="s">
        <v>1178</v>
      </c>
      <c r="B887" s="67" t="s">
        <v>365</v>
      </c>
      <c r="C887" s="68">
        <v>216</v>
      </c>
      <c r="D887" s="70">
        <v>149.80000000000001</v>
      </c>
      <c r="E887" s="70">
        <v>156.5</v>
      </c>
      <c r="F887" s="70">
        <v>163.1</v>
      </c>
      <c r="G887" s="70">
        <v>169.7</v>
      </c>
      <c r="H887" s="70">
        <v>176.3</v>
      </c>
      <c r="I887" s="67" t="s">
        <v>1395</v>
      </c>
    </row>
    <row r="888" spans="1:9" ht="15" customHeight="1">
      <c r="A888" s="67" t="s">
        <v>1178</v>
      </c>
      <c r="B888" s="67" t="s">
        <v>365</v>
      </c>
      <c r="C888" s="68">
        <v>217</v>
      </c>
      <c r="D888" s="70">
        <v>149.9</v>
      </c>
      <c r="E888" s="70">
        <v>156.5</v>
      </c>
      <c r="F888" s="70">
        <v>163.1</v>
      </c>
      <c r="G888" s="70">
        <v>169.7</v>
      </c>
      <c r="H888" s="70">
        <v>176.3</v>
      </c>
      <c r="I888" s="67" t="s">
        <v>1396</v>
      </c>
    </row>
    <row r="889" spans="1:9" ht="15" customHeight="1">
      <c r="A889" s="67" t="s">
        <v>1178</v>
      </c>
      <c r="B889" s="67" t="s">
        <v>365</v>
      </c>
      <c r="C889" s="68">
        <v>218</v>
      </c>
      <c r="D889" s="70">
        <v>149.9</v>
      </c>
      <c r="E889" s="70">
        <v>156.5</v>
      </c>
      <c r="F889" s="70">
        <v>163.1</v>
      </c>
      <c r="G889" s="70">
        <v>169.7</v>
      </c>
      <c r="H889" s="70">
        <v>176.3</v>
      </c>
      <c r="I889" s="67" t="s">
        <v>1397</v>
      </c>
    </row>
    <row r="890" spans="1:9" ht="15" customHeight="1">
      <c r="A890" s="67" t="s">
        <v>1178</v>
      </c>
      <c r="B890" s="67" t="s">
        <v>365</v>
      </c>
      <c r="C890" s="68">
        <v>219</v>
      </c>
      <c r="D890" s="70">
        <v>149.9</v>
      </c>
      <c r="E890" s="70">
        <v>156.5</v>
      </c>
      <c r="F890" s="70">
        <v>163.1</v>
      </c>
      <c r="G890" s="70">
        <v>169.7</v>
      </c>
      <c r="H890" s="70">
        <v>176.3</v>
      </c>
      <c r="I890" s="67" t="s">
        <v>1398</v>
      </c>
    </row>
    <row r="891" spans="1:9" ht="15" customHeight="1">
      <c r="A891" s="67" t="s">
        <v>1178</v>
      </c>
      <c r="B891" s="67" t="s">
        <v>365</v>
      </c>
      <c r="C891" s="68">
        <v>220</v>
      </c>
      <c r="D891" s="70">
        <v>149.9</v>
      </c>
      <c r="E891" s="70">
        <v>156.5</v>
      </c>
      <c r="F891" s="70">
        <v>163.1</v>
      </c>
      <c r="G891" s="70">
        <v>169.7</v>
      </c>
      <c r="H891" s="70">
        <v>176.3</v>
      </c>
      <c r="I891" s="67" t="s">
        <v>1399</v>
      </c>
    </row>
    <row r="892" spans="1:9" ht="15" customHeight="1">
      <c r="A892" s="67" t="s">
        <v>1178</v>
      </c>
      <c r="B892" s="67" t="s">
        <v>365</v>
      </c>
      <c r="C892" s="68">
        <v>221</v>
      </c>
      <c r="D892" s="70">
        <v>150</v>
      </c>
      <c r="E892" s="70">
        <v>156.5</v>
      </c>
      <c r="F892" s="70">
        <v>163.1</v>
      </c>
      <c r="G892" s="70">
        <v>169.7</v>
      </c>
      <c r="H892" s="70">
        <v>176.3</v>
      </c>
      <c r="I892" s="67" t="s">
        <v>1400</v>
      </c>
    </row>
    <row r="893" spans="1:9" ht="15" customHeight="1">
      <c r="A893" s="67" t="s">
        <v>1178</v>
      </c>
      <c r="B893" s="67" t="s">
        <v>365</v>
      </c>
      <c r="C893" s="68">
        <v>222</v>
      </c>
      <c r="D893" s="70">
        <v>150</v>
      </c>
      <c r="E893" s="70">
        <v>156.6</v>
      </c>
      <c r="F893" s="70">
        <v>163.1</v>
      </c>
      <c r="G893" s="70">
        <v>169.7</v>
      </c>
      <c r="H893" s="70">
        <v>176.3</v>
      </c>
      <c r="I893" s="67" t="s">
        <v>1401</v>
      </c>
    </row>
    <row r="894" spans="1:9" ht="15" customHeight="1">
      <c r="A894" s="67" t="s">
        <v>1178</v>
      </c>
      <c r="B894" s="67" t="s">
        <v>365</v>
      </c>
      <c r="C894" s="68">
        <v>223</v>
      </c>
      <c r="D894" s="70">
        <v>150</v>
      </c>
      <c r="E894" s="70">
        <v>156.6</v>
      </c>
      <c r="F894" s="70">
        <v>163.1</v>
      </c>
      <c r="G894" s="70">
        <v>169.7</v>
      </c>
      <c r="H894" s="70">
        <v>176.3</v>
      </c>
      <c r="I894" s="67" t="s">
        <v>1402</v>
      </c>
    </row>
    <row r="895" spans="1:9" ht="15" customHeight="1">
      <c r="A895" s="67" t="s">
        <v>1178</v>
      </c>
      <c r="B895" s="67" t="s">
        <v>365</v>
      </c>
      <c r="C895" s="68">
        <v>224</v>
      </c>
      <c r="D895" s="70">
        <v>150</v>
      </c>
      <c r="E895" s="70">
        <v>156.6</v>
      </c>
      <c r="F895" s="70">
        <v>163.1</v>
      </c>
      <c r="G895" s="70">
        <v>169.7</v>
      </c>
      <c r="H895" s="70">
        <v>176.3</v>
      </c>
      <c r="I895" s="67" t="s">
        <v>1403</v>
      </c>
    </row>
    <row r="896" spans="1:9" ht="15" customHeight="1">
      <c r="A896" s="67" t="s">
        <v>1178</v>
      </c>
      <c r="B896" s="67" t="s">
        <v>365</v>
      </c>
      <c r="C896" s="68">
        <v>225</v>
      </c>
      <c r="D896" s="70">
        <v>150</v>
      </c>
      <c r="E896" s="70">
        <v>156.6</v>
      </c>
      <c r="F896" s="70">
        <v>163.1</v>
      </c>
      <c r="G896" s="70">
        <v>169.7</v>
      </c>
      <c r="H896" s="70">
        <v>176.3</v>
      </c>
      <c r="I896" s="67" t="s">
        <v>1404</v>
      </c>
    </row>
    <row r="897" spans="1:9" ht="15" customHeight="1">
      <c r="A897" s="67" t="s">
        <v>1178</v>
      </c>
      <c r="B897" s="67" t="s">
        <v>365</v>
      </c>
      <c r="C897" s="68">
        <v>226</v>
      </c>
      <c r="D897" s="70">
        <v>150</v>
      </c>
      <c r="E897" s="70">
        <v>156.6</v>
      </c>
      <c r="F897" s="70">
        <v>163.19999999999999</v>
      </c>
      <c r="G897" s="70">
        <v>169.7</v>
      </c>
      <c r="H897" s="70">
        <v>176.3</v>
      </c>
      <c r="I897" s="67" t="s">
        <v>1405</v>
      </c>
    </row>
    <row r="898" spans="1:9" ht="15" customHeight="1">
      <c r="A898" s="67" t="s">
        <v>1178</v>
      </c>
      <c r="B898" s="67" t="s">
        <v>365</v>
      </c>
      <c r="C898" s="68">
        <v>227</v>
      </c>
      <c r="D898" s="70">
        <v>150.1</v>
      </c>
      <c r="E898" s="70">
        <v>156.6</v>
      </c>
      <c r="F898" s="70">
        <v>163.19999999999999</v>
      </c>
      <c r="G898" s="70">
        <v>169.7</v>
      </c>
      <c r="H898" s="70">
        <v>176.2</v>
      </c>
      <c r="I898" s="67" t="s">
        <v>1406</v>
      </c>
    </row>
    <row r="899" spans="1:9" ht="15" customHeight="1">
      <c r="A899" s="67" t="s">
        <v>1178</v>
      </c>
      <c r="B899" s="67" t="s">
        <v>365</v>
      </c>
      <c r="C899" s="68">
        <v>228</v>
      </c>
      <c r="D899" s="70">
        <v>150.1</v>
      </c>
      <c r="E899" s="70">
        <v>156.6</v>
      </c>
      <c r="F899" s="70">
        <v>163.19999999999999</v>
      </c>
      <c r="G899" s="70">
        <v>169.7</v>
      </c>
      <c r="H899" s="70">
        <v>176.2</v>
      </c>
      <c r="I899" s="67" t="s">
        <v>1407</v>
      </c>
    </row>
    <row r="900" spans="1:9" ht="15" customHeight="1">
      <c r="A900" s="67" t="s">
        <v>1178</v>
      </c>
      <c r="B900" s="67" t="s">
        <v>318</v>
      </c>
      <c r="C900" s="68">
        <v>0</v>
      </c>
      <c r="D900" s="70">
        <v>46.1</v>
      </c>
      <c r="E900" s="70">
        <v>48</v>
      </c>
      <c r="F900" s="70">
        <v>49.9</v>
      </c>
      <c r="G900" s="70">
        <v>51.8</v>
      </c>
      <c r="H900" s="70">
        <v>53.7</v>
      </c>
      <c r="I900" s="67" t="s">
        <v>1408</v>
      </c>
    </row>
    <row r="901" spans="1:9" ht="15" customHeight="1">
      <c r="A901" s="67" t="s">
        <v>1178</v>
      </c>
      <c r="B901" s="67" t="s">
        <v>318</v>
      </c>
      <c r="C901" s="68">
        <v>1</v>
      </c>
      <c r="D901" s="70">
        <v>50.8</v>
      </c>
      <c r="E901" s="70">
        <v>52.8</v>
      </c>
      <c r="F901" s="70">
        <v>54.7</v>
      </c>
      <c r="G901" s="70">
        <v>56.7</v>
      </c>
      <c r="H901" s="70">
        <v>58.6</v>
      </c>
      <c r="I901" s="67" t="s">
        <v>1409</v>
      </c>
    </row>
    <row r="902" spans="1:9" ht="15" customHeight="1">
      <c r="A902" s="67" t="s">
        <v>1178</v>
      </c>
      <c r="B902" s="67" t="s">
        <v>318</v>
      </c>
      <c r="C902" s="68">
        <v>2</v>
      </c>
      <c r="D902" s="70">
        <v>54.4</v>
      </c>
      <c r="E902" s="70">
        <v>56.4</v>
      </c>
      <c r="F902" s="70">
        <v>58.4</v>
      </c>
      <c r="G902" s="70">
        <v>60.4</v>
      </c>
      <c r="H902" s="70">
        <v>62.4</v>
      </c>
      <c r="I902" s="67" t="s">
        <v>1410</v>
      </c>
    </row>
    <row r="903" spans="1:9" ht="15" customHeight="1">
      <c r="A903" s="67" t="s">
        <v>1178</v>
      </c>
      <c r="B903" s="67" t="s">
        <v>318</v>
      </c>
      <c r="C903" s="68">
        <v>3</v>
      </c>
      <c r="D903" s="70">
        <v>57.3</v>
      </c>
      <c r="E903" s="70">
        <v>59.4</v>
      </c>
      <c r="F903" s="70">
        <v>61.4</v>
      </c>
      <c r="G903" s="70">
        <v>63.5</v>
      </c>
      <c r="H903" s="70">
        <v>65.5</v>
      </c>
      <c r="I903" s="67" t="s">
        <v>1411</v>
      </c>
    </row>
    <row r="904" spans="1:9" ht="15" customHeight="1">
      <c r="A904" s="67" t="s">
        <v>1178</v>
      </c>
      <c r="B904" s="67" t="s">
        <v>318</v>
      </c>
      <c r="C904" s="68">
        <v>4</v>
      </c>
      <c r="D904" s="70">
        <v>59.7</v>
      </c>
      <c r="E904" s="70">
        <v>61.8</v>
      </c>
      <c r="F904" s="70">
        <v>63.9</v>
      </c>
      <c r="G904" s="70">
        <v>66</v>
      </c>
      <c r="H904" s="70">
        <v>68</v>
      </c>
      <c r="I904" s="67" t="s">
        <v>1412</v>
      </c>
    </row>
    <row r="905" spans="1:9" ht="15" customHeight="1">
      <c r="A905" s="67" t="s">
        <v>1178</v>
      </c>
      <c r="B905" s="67" t="s">
        <v>318</v>
      </c>
      <c r="C905" s="68">
        <v>5</v>
      </c>
      <c r="D905" s="70">
        <v>61.7</v>
      </c>
      <c r="E905" s="70">
        <v>63.8</v>
      </c>
      <c r="F905" s="70">
        <v>65.900000000000006</v>
      </c>
      <c r="G905" s="70">
        <v>68</v>
      </c>
      <c r="H905" s="70">
        <v>70.099999999999994</v>
      </c>
      <c r="I905" s="67" t="s">
        <v>1413</v>
      </c>
    </row>
    <row r="906" spans="1:9" ht="15" customHeight="1">
      <c r="A906" s="67" t="s">
        <v>1178</v>
      </c>
      <c r="B906" s="67" t="s">
        <v>318</v>
      </c>
      <c r="C906" s="68">
        <v>6</v>
      </c>
      <c r="D906" s="70">
        <v>63.3</v>
      </c>
      <c r="E906" s="70">
        <v>65.5</v>
      </c>
      <c r="F906" s="70">
        <v>67.599999999999994</v>
      </c>
      <c r="G906" s="70">
        <v>69.8</v>
      </c>
      <c r="H906" s="70">
        <v>71.900000000000006</v>
      </c>
      <c r="I906" s="67" t="s">
        <v>1414</v>
      </c>
    </row>
    <row r="907" spans="1:9" ht="15" customHeight="1">
      <c r="A907" s="67" t="s">
        <v>1178</v>
      </c>
      <c r="B907" s="67" t="s">
        <v>318</v>
      </c>
      <c r="C907" s="68">
        <v>7</v>
      </c>
      <c r="D907" s="70">
        <v>64.8</v>
      </c>
      <c r="E907" s="70">
        <v>67</v>
      </c>
      <c r="F907" s="70">
        <v>69.2</v>
      </c>
      <c r="G907" s="70">
        <v>71.3</v>
      </c>
      <c r="H907" s="70">
        <v>73.5</v>
      </c>
      <c r="I907" s="67" t="s">
        <v>1415</v>
      </c>
    </row>
    <row r="908" spans="1:9" ht="15" customHeight="1">
      <c r="A908" s="67" t="s">
        <v>1178</v>
      </c>
      <c r="B908" s="67" t="s">
        <v>318</v>
      </c>
      <c r="C908" s="68">
        <v>8</v>
      </c>
      <c r="D908" s="70">
        <v>66.2</v>
      </c>
      <c r="E908" s="70">
        <v>68.400000000000006</v>
      </c>
      <c r="F908" s="70">
        <v>70.599999999999994</v>
      </c>
      <c r="G908" s="70">
        <v>72.8</v>
      </c>
      <c r="H908" s="70">
        <v>75</v>
      </c>
      <c r="I908" s="67" t="s">
        <v>1416</v>
      </c>
    </row>
    <row r="909" spans="1:9" ht="15" customHeight="1">
      <c r="A909" s="67" t="s">
        <v>1178</v>
      </c>
      <c r="B909" s="67" t="s">
        <v>318</v>
      </c>
      <c r="C909" s="68">
        <v>9</v>
      </c>
      <c r="D909" s="70">
        <v>67.5</v>
      </c>
      <c r="E909" s="70">
        <v>69.7</v>
      </c>
      <c r="F909" s="70">
        <v>72</v>
      </c>
      <c r="G909" s="70">
        <v>74.2</v>
      </c>
      <c r="H909" s="70">
        <v>76.5</v>
      </c>
      <c r="I909" s="67" t="s">
        <v>1417</v>
      </c>
    </row>
    <row r="910" spans="1:9" ht="15" customHeight="1">
      <c r="A910" s="67" t="s">
        <v>1178</v>
      </c>
      <c r="B910" s="67" t="s">
        <v>318</v>
      </c>
      <c r="C910" s="68">
        <v>10</v>
      </c>
      <c r="D910" s="70">
        <v>68.7</v>
      </c>
      <c r="E910" s="70">
        <v>71</v>
      </c>
      <c r="F910" s="70">
        <v>73.3</v>
      </c>
      <c r="G910" s="70">
        <v>75.599999999999994</v>
      </c>
      <c r="H910" s="70">
        <v>77.900000000000006</v>
      </c>
      <c r="I910" s="67" t="s">
        <v>1418</v>
      </c>
    </row>
    <row r="911" spans="1:9" ht="15" customHeight="1">
      <c r="A911" s="67" t="s">
        <v>1178</v>
      </c>
      <c r="B911" s="67" t="s">
        <v>318</v>
      </c>
      <c r="C911" s="68">
        <v>11</v>
      </c>
      <c r="D911" s="70">
        <v>69.900000000000006</v>
      </c>
      <c r="E911" s="70">
        <v>72.2</v>
      </c>
      <c r="F911" s="70">
        <v>74.5</v>
      </c>
      <c r="G911" s="70">
        <v>76.900000000000006</v>
      </c>
      <c r="H911" s="70">
        <v>79.2</v>
      </c>
      <c r="I911" s="67" t="s">
        <v>1419</v>
      </c>
    </row>
    <row r="912" spans="1:9" ht="15" customHeight="1">
      <c r="A912" s="67" t="s">
        <v>1178</v>
      </c>
      <c r="B912" s="67" t="s">
        <v>318</v>
      </c>
      <c r="C912" s="68">
        <v>12</v>
      </c>
      <c r="D912" s="70">
        <v>71</v>
      </c>
      <c r="E912" s="70">
        <v>73.400000000000006</v>
      </c>
      <c r="F912" s="70">
        <v>75.7</v>
      </c>
      <c r="G912" s="70">
        <v>78.099999999999994</v>
      </c>
      <c r="H912" s="70">
        <v>80.5</v>
      </c>
      <c r="I912" s="67" t="s">
        <v>1420</v>
      </c>
    </row>
    <row r="913" spans="1:9" ht="15" customHeight="1">
      <c r="A913" s="67" t="s">
        <v>1178</v>
      </c>
      <c r="B913" s="67" t="s">
        <v>318</v>
      </c>
      <c r="C913" s="68">
        <v>13</v>
      </c>
      <c r="D913" s="70">
        <v>72.099999999999994</v>
      </c>
      <c r="E913" s="70">
        <v>74.5</v>
      </c>
      <c r="F913" s="70">
        <v>76.900000000000006</v>
      </c>
      <c r="G913" s="70">
        <v>79.3</v>
      </c>
      <c r="H913" s="70">
        <v>81.8</v>
      </c>
      <c r="I913" s="67" t="s">
        <v>1421</v>
      </c>
    </row>
    <row r="914" spans="1:9" ht="15" customHeight="1">
      <c r="A914" s="67" t="s">
        <v>1178</v>
      </c>
      <c r="B914" s="67" t="s">
        <v>318</v>
      </c>
      <c r="C914" s="68">
        <v>14</v>
      </c>
      <c r="D914" s="70">
        <v>73.099999999999994</v>
      </c>
      <c r="E914" s="70">
        <v>75.599999999999994</v>
      </c>
      <c r="F914" s="70">
        <v>78</v>
      </c>
      <c r="G914" s="70">
        <v>80.5</v>
      </c>
      <c r="H914" s="70">
        <v>83</v>
      </c>
      <c r="I914" s="67" t="s">
        <v>1422</v>
      </c>
    </row>
    <row r="915" spans="1:9" ht="15" customHeight="1">
      <c r="A915" s="67" t="s">
        <v>1178</v>
      </c>
      <c r="B915" s="67" t="s">
        <v>318</v>
      </c>
      <c r="C915" s="68">
        <v>15</v>
      </c>
      <c r="D915" s="70">
        <v>74.099999999999994</v>
      </c>
      <c r="E915" s="70">
        <v>76.599999999999994</v>
      </c>
      <c r="F915" s="70">
        <v>79.099999999999994</v>
      </c>
      <c r="G915" s="70">
        <v>81.7</v>
      </c>
      <c r="H915" s="70">
        <v>84.2</v>
      </c>
      <c r="I915" s="67" t="s">
        <v>1423</v>
      </c>
    </row>
    <row r="916" spans="1:9" ht="15" customHeight="1">
      <c r="A916" s="67" t="s">
        <v>1178</v>
      </c>
      <c r="B916" s="67" t="s">
        <v>318</v>
      </c>
      <c r="C916" s="68">
        <v>16</v>
      </c>
      <c r="D916" s="70">
        <v>75</v>
      </c>
      <c r="E916" s="70">
        <v>77.599999999999994</v>
      </c>
      <c r="F916" s="70">
        <v>80.2</v>
      </c>
      <c r="G916" s="70">
        <v>82.8</v>
      </c>
      <c r="H916" s="70">
        <v>85.4</v>
      </c>
      <c r="I916" s="67" t="s">
        <v>1424</v>
      </c>
    </row>
    <row r="917" spans="1:9" ht="15" customHeight="1">
      <c r="A917" s="67" t="s">
        <v>1178</v>
      </c>
      <c r="B917" s="67" t="s">
        <v>318</v>
      </c>
      <c r="C917" s="68">
        <v>17</v>
      </c>
      <c r="D917" s="70">
        <v>76</v>
      </c>
      <c r="E917" s="70">
        <v>78.599999999999994</v>
      </c>
      <c r="F917" s="70">
        <v>81.2</v>
      </c>
      <c r="G917" s="70">
        <v>83.9</v>
      </c>
      <c r="H917" s="70">
        <v>86.5</v>
      </c>
      <c r="I917" s="67" t="s">
        <v>1425</v>
      </c>
    </row>
    <row r="918" spans="1:9" ht="15" customHeight="1">
      <c r="A918" s="67" t="s">
        <v>1178</v>
      </c>
      <c r="B918" s="67" t="s">
        <v>318</v>
      </c>
      <c r="C918" s="68">
        <v>18</v>
      </c>
      <c r="D918" s="70">
        <v>76.900000000000006</v>
      </c>
      <c r="E918" s="70">
        <v>79.599999999999994</v>
      </c>
      <c r="F918" s="70">
        <v>82.3</v>
      </c>
      <c r="G918" s="70">
        <v>85</v>
      </c>
      <c r="H918" s="70">
        <v>87.7</v>
      </c>
      <c r="I918" s="67" t="s">
        <v>1426</v>
      </c>
    </row>
    <row r="919" spans="1:9" ht="15" customHeight="1">
      <c r="A919" s="67" t="s">
        <v>1178</v>
      </c>
      <c r="B919" s="67" t="s">
        <v>318</v>
      </c>
      <c r="C919" s="68">
        <v>19</v>
      </c>
      <c r="D919" s="70">
        <v>77.7</v>
      </c>
      <c r="E919" s="70">
        <v>80.5</v>
      </c>
      <c r="F919" s="70">
        <v>83.2</v>
      </c>
      <c r="G919" s="70">
        <v>86</v>
      </c>
      <c r="H919" s="70">
        <v>88.8</v>
      </c>
      <c r="I919" s="67" t="s">
        <v>1427</v>
      </c>
    </row>
    <row r="920" spans="1:9" ht="15" customHeight="1">
      <c r="A920" s="67" t="s">
        <v>1178</v>
      </c>
      <c r="B920" s="67" t="s">
        <v>318</v>
      </c>
      <c r="C920" s="68">
        <v>20</v>
      </c>
      <c r="D920" s="70">
        <v>78.599999999999994</v>
      </c>
      <c r="E920" s="70">
        <v>81.400000000000006</v>
      </c>
      <c r="F920" s="70">
        <v>84.2</v>
      </c>
      <c r="G920" s="70">
        <v>87</v>
      </c>
      <c r="H920" s="70">
        <v>89.8</v>
      </c>
      <c r="I920" s="67" t="s">
        <v>1428</v>
      </c>
    </row>
    <row r="921" spans="1:9" ht="15" customHeight="1">
      <c r="A921" s="67" t="s">
        <v>1178</v>
      </c>
      <c r="B921" s="67" t="s">
        <v>318</v>
      </c>
      <c r="C921" s="68">
        <v>21</v>
      </c>
      <c r="D921" s="70">
        <v>79.400000000000006</v>
      </c>
      <c r="E921" s="70">
        <v>82.3</v>
      </c>
      <c r="F921" s="70">
        <v>85.1</v>
      </c>
      <c r="G921" s="70">
        <v>88</v>
      </c>
      <c r="H921" s="70">
        <v>90.9</v>
      </c>
      <c r="I921" s="67" t="s">
        <v>1429</v>
      </c>
    </row>
    <row r="922" spans="1:9" ht="15" customHeight="1">
      <c r="A922" s="67" t="s">
        <v>1178</v>
      </c>
      <c r="B922" s="67" t="s">
        <v>318</v>
      </c>
      <c r="C922" s="68">
        <v>22</v>
      </c>
      <c r="D922" s="70">
        <v>80.2</v>
      </c>
      <c r="E922" s="70">
        <v>83.1</v>
      </c>
      <c r="F922" s="70">
        <v>86</v>
      </c>
      <c r="G922" s="70">
        <v>89</v>
      </c>
      <c r="H922" s="70">
        <v>91.9</v>
      </c>
      <c r="I922" s="67" t="s">
        <v>1430</v>
      </c>
    </row>
    <row r="923" spans="1:9" ht="15" customHeight="1">
      <c r="A923" s="67" t="s">
        <v>1178</v>
      </c>
      <c r="B923" s="67" t="s">
        <v>318</v>
      </c>
      <c r="C923" s="68">
        <v>23</v>
      </c>
      <c r="D923" s="70">
        <v>81</v>
      </c>
      <c r="E923" s="70">
        <v>83.9</v>
      </c>
      <c r="F923" s="70">
        <v>86.9</v>
      </c>
      <c r="G923" s="70">
        <v>89.9</v>
      </c>
      <c r="H923" s="70">
        <v>92.9</v>
      </c>
      <c r="I923" s="67" t="s">
        <v>1431</v>
      </c>
    </row>
    <row r="924" spans="1:9" ht="15" customHeight="1">
      <c r="A924" s="67" t="s">
        <v>1178</v>
      </c>
      <c r="B924" s="67" t="s">
        <v>318</v>
      </c>
      <c r="C924" s="68">
        <v>24</v>
      </c>
      <c r="D924" s="70">
        <v>81</v>
      </c>
      <c r="E924" s="70">
        <v>84.1</v>
      </c>
      <c r="F924" s="70">
        <v>87.1</v>
      </c>
      <c r="G924" s="70">
        <v>90.2</v>
      </c>
      <c r="H924" s="70">
        <v>93.2</v>
      </c>
      <c r="I924" s="67" t="s">
        <v>1432</v>
      </c>
    </row>
    <row r="925" spans="1:9" ht="15" customHeight="1">
      <c r="A925" s="67" t="s">
        <v>1178</v>
      </c>
      <c r="B925" s="67" t="s">
        <v>318</v>
      </c>
      <c r="C925" s="68">
        <v>25</v>
      </c>
      <c r="D925" s="70">
        <v>81.7</v>
      </c>
      <c r="E925" s="70">
        <v>84.9</v>
      </c>
      <c r="F925" s="70">
        <v>88</v>
      </c>
      <c r="G925" s="70">
        <v>91.1</v>
      </c>
      <c r="H925" s="70">
        <v>94.2</v>
      </c>
      <c r="I925" s="67" t="s">
        <v>1433</v>
      </c>
    </row>
    <row r="926" spans="1:9" ht="15" customHeight="1">
      <c r="A926" s="67" t="s">
        <v>1178</v>
      </c>
      <c r="B926" s="67" t="s">
        <v>318</v>
      </c>
      <c r="C926" s="68">
        <v>26</v>
      </c>
      <c r="D926" s="70">
        <v>82.5</v>
      </c>
      <c r="E926" s="70">
        <v>85.6</v>
      </c>
      <c r="F926" s="70">
        <v>88.8</v>
      </c>
      <c r="G926" s="70">
        <v>92</v>
      </c>
      <c r="H926" s="70">
        <v>95.2</v>
      </c>
      <c r="I926" s="67" t="s">
        <v>1434</v>
      </c>
    </row>
    <row r="927" spans="1:9" ht="15" customHeight="1">
      <c r="A927" s="67" t="s">
        <v>1178</v>
      </c>
      <c r="B927" s="67" t="s">
        <v>318</v>
      </c>
      <c r="C927" s="68">
        <v>27</v>
      </c>
      <c r="D927" s="70">
        <v>83.1</v>
      </c>
      <c r="E927" s="70">
        <v>86.4</v>
      </c>
      <c r="F927" s="70">
        <v>89.6</v>
      </c>
      <c r="G927" s="70">
        <v>92.9</v>
      </c>
      <c r="H927" s="70">
        <v>96.1</v>
      </c>
      <c r="I927" s="67" t="s">
        <v>1435</v>
      </c>
    </row>
    <row r="928" spans="1:9" ht="15" customHeight="1">
      <c r="A928" s="67" t="s">
        <v>1178</v>
      </c>
      <c r="B928" s="67" t="s">
        <v>318</v>
      </c>
      <c r="C928" s="68">
        <v>28</v>
      </c>
      <c r="D928" s="70">
        <v>83.8</v>
      </c>
      <c r="E928" s="70">
        <v>87.1</v>
      </c>
      <c r="F928" s="70">
        <v>90.4</v>
      </c>
      <c r="G928" s="70">
        <v>93.7</v>
      </c>
      <c r="H928" s="70">
        <v>97</v>
      </c>
      <c r="I928" s="67" t="s">
        <v>1436</v>
      </c>
    </row>
    <row r="929" spans="1:9" ht="15" customHeight="1">
      <c r="A929" s="67" t="s">
        <v>1178</v>
      </c>
      <c r="B929" s="67" t="s">
        <v>318</v>
      </c>
      <c r="C929" s="68">
        <v>29</v>
      </c>
      <c r="D929" s="70">
        <v>84.5</v>
      </c>
      <c r="E929" s="70">
        <v>87.8</v>
      </c>
      <c r="F929" s="70">
        <v>91.2</v>
      </c>
      <c r="G929" s="70">
        <v>94.5</v>
      </c>
      <c r="H929" s="70">
        <v>97.9</v>
      </c>
      <c r="I929" s="67" t="s">
        <v>1437</v>
      </c>
    </row>
    <row r="930" spans="1:9" ht="15" customHeight="1">
      <c r="A930" s="67" t="s">
        <v>1178</v>
      </c>
      <c r="B930" s="67" t="s">
        <v>318</v>
      </c>
      <c r="C930" s="68">
        <v>30</v>
      </c>
      <c r="D930" s="70">
        <v>85.1</v>
      </c>
      <c r="E930" s="70">
        <v>88.5</v>
      </c>
      <c r="F930" s="70">
        <v>91.9</v>
      </c>
      <c r="G930" s="70">
        <v>95.3</v>
      </c>
      <c r="H930" s="70">
        <v>98.7</v>
      </c>
      <c r="I930" s="67" t="s">
        <v>1438</v>
      </c>
    </row>
    <row r="931" spans="1:9" ht="15" customHeight="1">
      <c r="A931" s="67" t="s">
        <v>1178</v>
      </c>
      <c r="B931" s="67" t="s">
        <v>318</v>
      </c>
      <c r="C931" s="68">
        <v>31</v>
      </c>
      <c r="D931" s="70">
        <v>85.7</v>
      </c>
      <c r="E931" s="70">
        <v>89.2</v>
      </c>
      <c r="F931" s="70">
        <v>92.7</v>
      </c>
      <c r="G931" s="70">
        <v>96.1</v>
      </c>
      <c r="H931" s="70">
        <v>99.6</v>
      </c>
      <c r="I931" s="67" t="s">
        <v>1439</v>
      </c>
    </row>
    <row r="932" spans="1:9" ht="15" customHeight="1">
      <c r="A932" s="67" t="s">
        <v>1178</v>
      </c>
      <c r="B932" s="67" t="s">
        <v>318</v>
      </c>
      <c r="C932" s="68">
        <v>32</v>
      </c>
      <c r="D932" s="70">
        <v>86.4</v>
      </c>
      <c r="E932" s="70">
        <v>89.9</v>
      </c>
      <c r="F932" s="70">
        <v>93.4</v>
      </c>
      <c r="G932" s="70">
        <v>96.9</v>
      </c>
      <c r="H932" s="70">
        <v>100.4</v>
      </c>
      <c r="I932" s="67" t="s">
        <v>1440</v>
      </c>
    </row>
    <row r="933" spans="1:9" ht="15" customHeight="1">
      <c r="A933" s="67" t="s">
        <v>1178</v>
      </c>
      <c r="B933" s="67" t="s">
        <v>318</v>
      </c>
      <c r="C933" s="68">
        <v>33</v>
      </c>
      <c r="D933" s="70">
        <v>86.9</v>
      </c>
      <c r="E933" s="70">
        <v>90.5</v>
      </c>
      <c r="F933" s="70">
        <v>94.1</v>
      </c>
      <c r="G933" s="70">
        <v>97.6</v>
      </c>
      <c r="H933" s="70">
        <v>101.2</v>
      </c>
      <c r="I933" s="67" t="s">
        <v>1441</v>
      </c>
    </row>
    <row r="934" spans="1:9" ht="15" customHeight="1">
      <c r="A934" s="67" t="s">
        <v>1178</v>
      </c>
      <c r="B934" s="67" t="s">
        <v>318</v>
      </c>
      <c r="C934" s="68">
        <v>34</v>
      </c>
      <c r="D934" s="70">
        <v>87.5</v>
      </c>
      <c r="E934" s="70">
        <v>91.1</v>
      </c>
      <c r="F934" s="70">
        <v>94.8</v>
      </c>
      <c r="G934" s="70">
        <v>98.4</v>
      </c>
      <c r="H934" s="70">
        <v>102</v>
      </c>
      <c r="I934" s="67" t="s">
        <v>1442</v>
      </c>
    </row>
    <row r="935" spans="1:9" ht="15" customHeight="1">
      <c r="A935" s="67" t="s">
        <v>1178</v>
      </c>
      <c r="B935" s="67" t="s">
        <v>318</v>
      </c>
      <c r="C935" s="68">
        <v>35</v>
      </c>
      <c r="D935" s="70">
        <v>88.1</v>
      </c>
      <c r="E935" s="70">
        <v>91.8</v>
      </c>
      <c r="F935" s="70">
        <v>95.4</v>
      </c>
      <c r="G935" s="70">
        <v>99.1</v>
      </c>
      <c r="H935" s="70">
        <v>102.7</v>
      </c>
      <c r="I935" s="67" t="s">
        <v>1443</v>
      </c>
    </row>
    <row r="936" spans="1:9" ht="15" customHeight="1">
      <c r="A936" s="67" t="s">
        <v>1178</v>
      </c>
      <c r="B936" s="67" t="s">
        <v>318</v>
      </c>
      <c r="C936" s="68">
        <v>36</v>
      </c>
      <c r="D936" s="70">
        <v>88.7</v>
      </c>
      <c r="E936" s="70">
        <v>92.4</v>
      </c>
      <c r="F936" s="70">
        <v>96.1</v>
      </c>
      <c r="G936" s="70">
        <v>99.8</v>
      </c>
      <c r="H936" s="70">
        <v>103.5</v>
      </c>
      <c r="I936" s="67" t="s">
        <v>1444</v>
      </c>
    </row>
    <row r="937" spans="1:9" ht="15" customHeight="1">
      <c r="A937" s="67" t="s">
        <v>1178</v>
      </c>
      <c r="B937" s="67" t="s">
        <v>318</v>
      </c>
      <c r="C937" s="68">
        <v>37</v>
      </c>
      <c r="D937" s="70">
        <v>89.2</v>
      </c>
      <c r="E937" s="70">
        <v>93</v>
      </c>
      <c r="F937" s="70">
        <v>96.7</v>
      </c>
      <c r="G937" s="70">
        <v>100.5</v>
      </c>
      <c r="H937" s="70">
        <v>104.2</v>
      </c>
      <c r="I937" s="67" t="s">
        <v>1445</v>
      </c>
    </row>
    <row r="938" spans="1:9" ht="15" customHeight="1">
      <c r="A938" s="67" t="s">
        <v>1178</v>
      </c>
      <c r="B938" s="67" t="s">
        <v>318</v>
      </c>
      <c r="C938" s="68">
        <v>38</v>
      </c>
      <c r="D938" s="70">
        <v>89.8</v>
      </c>
      <c r="E938" s="70">
        <v>93.6</v>
      </c>
      <c r="F938" s="70">
        <v>97.4</v>
      </c>
      <c r="G938" s="70">
        <v>101.2</v>
      </c>
      <c r="H938" s="70">
        <v>105</v>
      </c>
      <c r="I938" s="67" t="s">
        <v>1446</v>
      </c>
    </row>
    <row r="939" spans="1:9" ht="15" customHeight="1">
      <c r="A939" s="67" t="s">
        <v>1178</v>
      </c>
      <c r="B939" s="67" t="s">
        <v>318</v>
      </c>
      <c r="C939" s="68">
        <v>39</v>
      </c>
      <c r="D939" s="70">
        <v>90.3</v>
      </c>
      <c r="E939" s="70">
        <v>94.2</v>
      </c>
      <c r="F939" s="70">
        <v>98</v>
      </c>
      <c r="G939" s="70">
        <v>101.8</v>
      </c>
      <c r="H939" s="70">
        <v>105.7</v>
      </c>
      <c r="I939" s="67" t="s">
        <v>1447</v>
      </c>
    </row>
    <row r="940" spans="1:9" ht="15" customHeight="1">
      <c r="A940" s="67" t="s">
        <v>1178</v>
      </c>
      <c r="B940" s="67" t="s">
        <v>318</v>
      </c>
      <c r="C940" s="68">
        <v>40</v>
      </c>
      <c r="D940" s="70">
        <v>90.9</v>
      </c>
      <c r="E940" s="70">
        <v>94.7</v>
      </c>
      <c r="F940" s="70">
        <v>98.6</v>
      </c>
      <c r="G940" s="70">
        <v>102.5</v>
      </c>
      <c r="H940" s="70">
        <v>106.4</v>
      </c>
      <c r="I940" s="67" t="s">
        <v>1448</v>
      </c>
    </row>
    <row r="941" spans="1:9" ht="15" customHeight="1">
      <c r="A941" s="67" t="s">
        <v>1178</v>
      </c>
      <c r="B941" s="67" t="s">
        <v>318</v>
      </c>
      <c r="C941" s="68">
        <v>41</v>
      </c>
      <c r="D941" s="70">
        <v>91.4</v>
      </c>
      <c r="E941" s="70">
        <v>95.3</v>
      </c>
      <c r="F941" s="70">
        <v>99.2</v>
      </c>
      <c r="G941" s="70">
        <v>103.2</v>
      </c>
      <c r="H941" s="70">
        <v>107.1</v>
      </c>
      <c r="I941" s="67" t="s">
        <v>1449</v>
      </c>
    </row>
    <row r="942" spans="1:9" ht="15" customHeight="1">
      <c r="A942" s="67" t="s">
        <v>1178</v>
      </c>
      <c r="B942" s="67" t="s">
        <v>318</v>
      </c>
      <c r="C942" s="68">
        <v>42</v>
      </c>
      <c r="D942" s="70">
        <v>91.9</v>
      </c>
      <c r="E942" s="70">
        <v>95.9</v>
      </c>
      <c r="F942" s="70">
        <v>99.9</v>
      </c>
      <c r="G942" s="70">
        <v>103.8</v>
      </c>
      <c r="H942" s="70">
        <v>107.8</v>
      </c>
      <c r="I942" s="67" t="s">
        <v>1450</v>
      </c>
    </row>
    <row r="943" spans="1:9" ht="15" customHeight="1">
      <c r="A943" s="67" t="s">
        <v>1178</v>
      </c>
      <c r="B943" s="67" t="s">
        <v>318</v>
      </c>
      <c r="C943" s="68">
        <v>43</v>
      </c>
      <c r="D943" s="70">
        <v>92.4</v>
      </c>
      <c r="E943" s="70">
        <v>96.4</v>
      </c>
      <c r="F943" s="70">
        <v>100.4</v>
      </c>
      <c r="G943" s="70">
        <v>104.5</v>
      </c>
      <c r="H943" s="70">
        <v>108.5</v>
      </c>
      <c r="I943" s="67" t="s">
        <v>1451</v>
      </c>
    </row>
    <row r="944" spans="1:9" ht="15" customHeight="1">
      <c r="A944" s="67" t="s">
        <v>1178</v>
      </c>
      <c r="B944" s="67" t="s">
        <v>318</v>
      </c>
      <c r="C944" s="68">
        <v>44</v>
      </c>
      <c r="D944" s="70">
        <v>93</v>
      </c>
      <c r="E944" s="70">
        <v>97</v>
      </c>
      <c r="F944" s="70">
        <v>101</v>
      </c>
      <c r="G944" s="70">
        <v>105.1</v>
      </c>
      <c r="H944" s="70">
        <v>109.1</v>
      </c>
      <c r="I944" s="67" t="s">
        <v>1452</v>
      </c>
    </row>
    <row r="945" spans="1:9" ht="15" customHeight="1">
      <c r="A945" s="67" t="s">
        <v>1178</v>
      </c>
      <c r="B945" s="67" t="s">
        <v>318</v>
      </c>
      <c r="C945" s="68">
        <v>45</v>
      </c>
      <c r="D945" s="70">
        <v>93.5</v>
      </c>
      <c r="E945" s="70">
        <v>97.5</v>
      </c>
      <c r="F945" s="70">
        <v>101.6</v>
      </c>
      <c r="G945" s="70">
        <v>105.7</v>
      </c>
      <c r="H945" s="70">
        <v>109.8</v>
      </c>
      <c r="I945" s="67" t="s">
        <v>1453</v>
      </c>
    </row>
    <row r="946" spans="1:9" ht="15" customHeight="1">
      <c r="A946" s="67" t="s">
        <v>1178</v>
      </c>
      <c r="B946" s="67" t="s">
        <v>318</v>
      </c>
      <c r="C946" s="68">
        <v>46</v>
      </c>
      <c r="D946" s="70">
        <v>94</v>
      </c>
      <c r="E946" s="70">
        <v>98.1</v>
      </c>
      <c r="F946" s="70">
        <v>102.2</v>
      </c>
      <c r="G946" s="70">
        <v>106.3</v>
      </c>
      <c r="H946" s="70">
        <v>110.4</v>
      </c>
      <c r="I946" s="67" t="s">
        <v>1454</v>
      </c>
    </row>
    <row r="947" spans="1:9" ht="15" customHeight="1">
      <c r="A947" s="67" t="s">
        <v>1178</v>
      </c>
      <c r="B947" s="67" t="s">
        <v>318</v>
      </c>
      <c r="C947" s="68">
        <v>47</v>
      </c>
      <c r="D947" s="70">
        <v>94.4</v>
      </c>
      <c r="E947" s="70">
        <v>98.6</v>
      </c>
      <c r="F947" s="70">
        <v>102.8</v>
      </c>
      <c r="G947" s="70">
        <v>106.9</v>
      </c>
      <c r="H947" s="70">
        <v>111.1</v>
      </c>
      <c r="I947" s="67" t="s">
        <v>1455</v>
      </c>
    </row>
    <row r="948" spans="1:9" ht="15" customHeight="1">
      <c r="A948" s="67" t="s">
        <v>1178</v>
      </c>
      <c r="B948" s="67" t="s">
        <v>318</v>
      </c>
      <c r="C948" s="68">
        <v>48</v>
      </c>
      <c r="D948" s="70">
        <v>94.9</v>
      </c>
      <c r="E948" s="70">
        <v>99.1</v>
      </c>
      <c r="F948" s="70">
        <v>103.3</v>
      </c>
      <c r="G948" s="70">
        <v>107.5</v>
      </c>
      <c r="H948" s="70">
        <v>111.7</v>
      </c>
      <c r="I948" s="67" t="s">
        <v>1456</v>
      </c>
    </row>
    <row r="949" spans="1:9" ht="15" customHeight="1">
      <c r="A949" s="67" t="s">
        <v>1178</v>
      </c>
      <c r="B949" s="67" t="s">
        <v>318</v>
      </c>
      <c r="C949" s="68">
        <v>49</v>
      </c>
      <c r="D949" s="70">
        <v>95.4</v>
      </c>
      <c r="E949" s="70">
        <v>99.7</v>
      </c>
      <c r="F949" s="70">
        <v>103.9</v>
      </c>
      <c r="G949" s="70">
        <v>108.1</v>
      </c>
      <c r="H949" s="70">
        <v>112.4</v>
      </c>
      <c r="I949" s="67" t="s">
        <v>1457</v>
      </c>
    </row>
    <row r="950" spans="1:9" ht="15" customHeight="1">
      <c r="A950" s="67" t="s">
        <v>1178</v>
      </c>
      <c r="B950" s="67" t="s">
        <v>318</v>
      </c>
      <c r="C950" s="68">
        <v>50</v>
      </c>
      <c r="D950" s="70">
        <v>95.9</v>
      </c>
      <c r="E950" s="70">
        <v>100.2</v>
      </c>
      <c r="F950" s="70">
        <v>104.4</v>
      </c>
      <c r="G950" s="70">
        <v>108.7</v>
      </c>
      <c r="H950" s="70">
        <v>113</v>
      </c>
      <c r="I950" s="67" t="s">
        <v>1458</v>
      </c>
    </row>
    <row r="951" spans="1:9" ht="15" customHeight="1">
      <c r="A951" s="67" t="s">
        <v>1178</v>
      </c>
      <c r="B951" s="67" t="s">
        <v>318</v>
      </c>
      <c r="C951" s="68">
        <v>51</v>
      </c>
      <c r="D951" s="70">
        <v>96.4</v>
      </c>
      <c r="E951" s="70">
        <v>100.7</v>
      </c>
      <c r="F951" s="70">
        <v>105</v>
      </c>
      <c r="G951" s="70">
        <v>109.3</v>
      </c>
      <c r="H951" s="70">
        <v>113.6</v>
      </c>
      <c r="I951" s="67" t="s">
        <v>1459</v>
      </c>
    </row>
    <row r="952" spans="1:9" ht="15" customHeight="1">
      <c r="A952" s="67" t="s">
        <v>1178</v>
      </c>
      <c r="B952" s="67" t="s">
        <v>318</v>
      </c>
      <c r="C952" s="68">
        <v>52</v>
      </c>
      <c r="D952" s="70">
        <v>96.9</v>
      </c>
      <c r="E952" s="70">
        <v>101.2</v>
      </c>
      <c r="F952" s="70">
        <v>105.6</v>
      </c>
      <c r="G952" s="70">
        <v>109.9</v>
      </c>
      <c r="H952" s="70">
        <v>114.2</v>
      </c>
      <c r="I952" s="67" t="s">
        <v>1460</v>
      </c>
    </row>
    <row r="953" spans="1:9" ht="15" customHeight="1">
      <c r="A953" s="67" t="s">
        <v>1178</v>
      </c>
      <c r="B953" s="67" t="s">
        <v>318</v>
      </c>
      <c r="C953" s="68">
        <v>53</v>
      </c>
      <c r="D953" s="70">
        <v>97.4</v>
      </c>
      <c r="E953" s="70">
        <v>101.7</v>
      </c>
      <c r="F953" s="70">
        <v>106.1</v>
      </c>
      <c r="G953" s="70">
        <v>110.5</v>
      </c>
      <c r="H953" s="70">
        <v>114.9</v>
      </c>
      <c r="I953" s="67" t="s">
        <v>1461</v>
      </c>
    </row>
    <row r="954" spans="1:9" ht="15" customHeight="1">
      <c r="A954" s="67" t="s">
        <v>1178</v>
      </c>
      <c r="B954" s="67" t="s">
        <v>318</v>
      </c>
      <c r="C954" s="68">
        <v>54</v>
      </c>
      <c r="D954" s="70">
        <v>97.8</v>
      </c>
      <c r="E954" s="70">
        <v>102.3</v>
      </c>
      <c r="F954" s="70">
        <v>106.7</v>
      </c>
      <c r="G954" s="70">
        <v>111.1</v>
      </c>
      <c r="H954" s="70">
        <v>115.5</v>
      </c>
      <c r="I954" s="67" t="s">
        <v>1462</v>
      </c>
    </row>
    <row r="955" spans="1:9" ht="15" customHeight="1">
      <c r="A955" s="67" t="s">
        <v>1178</v>
      </c>
      <c r="B955" s="67" t="s">
        <v>318</v>
      </c>
      <c r="C955" s="68">
        <v>55</v>
      </c>
      <c r="D955" s="70">
        <v>98.3</v>
      </c>
      <c r="E955" s="70">
        <v>102.8</v>
      </c>
      <c r="F955" s="70">
        <v>107.2</v>
      </c>
      <c r="G955" s="70">
        <v>111.7</v>
      </c>
      <c r="H955" s="70">
        <v>116.1</v>
      </c>
      <c r="I955" s="67" t="s">
        <v>1463</v>
      </c>
    </row>
    <row r="956" spans="1:9" ht="15" customHeight="1">
      <c r="A956" s="67" t="s">
        <v>1178</v>
      </c>
      <c r="B956" s="67" t="s">
        <v>318</v>
      </c>
      <c r="C956" s="68">
        <v>56</v>
      </c>
      <c r="D956" s="70">
        <v>98.8</v>
      </c>
      <c r="E956" s="70">
        <v>103.3</v>
      </c>
      <c r="F956" s="70">
        <v>107.8</v>
      </c>
      <c r="G956" s="70">
        <v>112.3</v>
      </c>
      <c r="H956" s="70">
        <v>116.7</v>
      </c>
      <c r="I956" s="67" t="s">
        <v>1464</v>
      </c>
    </row>
    <row r="957" spans="1:9" ht="15" customHeight="1">
      <c r="A957" s="67" t="s">
        <v>1178</v>
      </c>
      <c r="B957" s="67" t="s">
        <v>318</v>
      </c>
      <c r="C957" s="68">
        <v>57</v>
      </c>
      <c r="D957" s="70">
        <v>99.3</v>
      </c>
      <c r="E957" s="70">
        <v>103.8</v>
      </c>
      <c r="F957" s="70">
        <v>108.3</v>
      </c>
      <c r="G957" s="70">
        <v>112.8</v>
      </c>
      <c r="H957" s="70">
        <v>117.4</v>
      </c>
      <c r="I957" s="67" t="s">
        <v>1465</v>
      </c>
    </row>
    <row r="958" spans="1:9" ht="15" customHeight="1">
      <c r="A958" s="67" t="s">
        <v>1178</v>
      </c>
      <c r="B958" s="67" t="s">
        <v>318</v>
      </c>
      <c r="C958" s="68">
        <v>58</v>
      </c>
      <c r="D958" s="70">
        <v>99.7</v>
      </c>
      <c r="E958" s="70">
        <v>104.3</v>
      </c>
      <c r="F958" s="70">
        <v>108.9</v>
      </c>
      <c r="G958" s="70">
        <v>113.4</v>
      </c>
      <c r="H958" s="70">
        <v>118</v>
      </c>
      <c r="I958" s="67" t="s">
        <v>1466</v>
      </c>
    </row>
    <row r="959" spans="1:9" ht="15" customHeight="1">
      <c r="A959" s="67" t="s">
        <v>1178</v>
      </c>
      <c r="B959" s="67" t="s">
        <v>318</v>
      </c>
      <c r="C959" s="68">
        <v>59</v>
      </c>
      <c r="D959" s="70">
        <v>100.2</v>
      </c>
      <c r="E959" s="70">
        <v>104.8</v>
      </c>
      <c r="F959" s="70">
        <v>109.4</v>
      </c>
      <c r="G959" s="70">
        <v>114</v>
      </c>
      <c r="H959" s="70">
        <v>118.6</v>
      </c>
      <c r="I959" s="67" t="s">
        <v>1467</v>
      </c>
    </row>
    <row r="960" spans="1:9" ht="15" customHeight="1">
      <c r="A960" s="67" t="s">
        <v>1178</v>
      </c>
      <c r="B960" s="67" t="s">
        <v>318</v>
      </c>
      <c r="C960" s="68">
        <v>60</v>
      </c>
      <c r="D960" s="70">
        <v>100.7</v>
      </c>
      <c r="E960" s="70">
        <v>105.3</v>
      </c>
      <c r="F960" s="70">
        <v>110</v>
      </c>
      <c r="G960" s="70">
        <v>114.6</v>
      </c>
      <c r="H960" s="70">
        <v>119.2</v>
      </c>
      <c r="I960" s="67" t="s">
        <v>1468</v>
      </c>
    </row>
    <row r="961" spans="1:9" ht="15" customHeight="1">
      <c r="A961" s="67" t="s">
        <v>1178</v>
      </c>
      <c r="B961" s="67" t="s">
        <v>318</v>
      </c>
      <c r="C961" s="68">
        <v>61</v>
      </c>
      <c r="D961" s="70">
        <v>101.1</v>
      </c>
      <c r="E961" s="70">
        <v>105.7</v>
      </c>
      <c r="F961" s="70">
        <v>110.3</v>
      </c>
      <c r="G961" s="70">
        <v>114.9</v>
      </c>
      <c r="H961" s="70">
        <v>119.4</v>
      </c>
      <c r="I961" s="67" t="s">
        <v>1469</v>
      </c>
    </row>
    <row r="962" spans="1:9" ht="15" customHeight="1">
      <c r="A962" s="67" t="s">
        <v>1178</v>
      </c>
      <c r="B962" s="67" t="s">
        <v>318</v>
      </c>
      <c r="C962" s="68">
        <v>62</v>
      </c>
      <c r="D962" s="70">
        <v>101.6</v>
      </c>
      <c r="E962" s="70">
        <v>106.2</v>
      </c>
      <c r="F962" s="70">
        <v>110.8</v>
      </c>
      <c r="G962" s="70">
        <v>115.4</v>
      </c>
      <c r="H962" s="70">
        <v>120</v>
      </c>
      <c r="I962" s="67" t="s">
        <v>1470</v>
      </c>
    </row>
    <row r="963" spans="1:9" ht="15" customHeight="1">
      <c r="A963" s="67" t="s">
        <v>1178</v>
      </c>
      <c r="B963" s="67" t="s">
        <v>318</v>
      </c>
      <c r="C963" s="68">
        <v>63</v>
      </c>
      <c r="D963" s="70">
        <v>102</v>
      </c>
      <c r="E963" s="70">
        <v>106.7</v>
      </c>
      <c r="F963" s="70">
        <v>111.3</v>
      </c>
      <c r="G963" s="70">
        <v>116</v>
      </c>
      <c r="H963" s="70">
        <v>120.6</v>
      </c>
      <c r="I963" s="67" t="s">
        <v>1471</v>
      </c>
    </row>
    <row r="964" spans="1:9" ht="15" customHeight="1">
      <c r="A964" s="67" t="s">
        <v>1178</v>
      </c>
      <c r="B964" s="67" t="s">
        <v>318</v>
      </c>
      <c r="C964" s="68">
        <v>64</v>
      </c>
      <c r="D964" s="70">
        <v>102.5</v>
      </c>
      <c r="E964" s="70">
        <v>107.2</v>
      </c>
      <c r="F964" s="70">
        <v>111.9</v>
      </c>
      <c r="G964" s="70">
        <v>116.5</v>
      </c>
      <c r="H964" s="70">
        <v>121.2</v>
      </c>
      <c r="I964" s="67" t="s">
        <v>1472</v>
      </c>
    </row>
    <row r="965" spans="1:9" ht="15" customHeight="1">
      <c r="A965" s="67" t="s">
        <v>1178</v>
      </c>
      <c r="B965" s="67" t="s">
        <v>318</v>
      </c>
      <c r="C965" s="68">
        <v>65</v>
      </c>
      <c r="D965" s="70">
        <v>103</v>
      </c>
      <c r="E965" s="70">
        <v>107.7</v>
      </c>
      <c r="F965" s="70">
        <v>112.4</v>
      </c>
      <c r="G965" s="70">
        <v>117.1</v>
      </c>
      <c r="H965" s="70">
        <v>121.8</v>
      </c>
      <c r="I965" s="67" t="s">
        <v>1473</v>
      </c>
    </row>
    <row r="966" spans="1:9" ht="15" customHeight="1">
      <c r="A966" s="67" t="s">
        <v>1178</v>
      </c>
      <c r="B966" s="67" t="s">
        <v>318</v>
      </c>
      <c r="C966" s="68">
        <v>66</v>
      </c>
      <c r="D966" s="70">
        <v>103.4</v>
      </c>
      <c r="E966" s="70">
        <v>108.2</v>
      </c>
      <c r="F966" s="70">
        <v>112.9</v>
      </c>
      <c r="G966" s="70">
        <v>117.7</v>
      </c>
      <c r="H966" s="70">
        <v>122.4</v>
      </c>
      <c r="I966" s="67" t="s">
        <v>1474</v>
      </c>
    </row>
    <row r="967" spans="1:9" ht="15" customHeight="1">
      <c r="A967" s="67" t="s">
        <v>1178</v>
      </c>
      <c r="B967" s="67" t="s">
        <v>318</v>
      </c>
      <c r="C967" s="68">
        <v>67</v>
      </c>
      <c r="D967" s="70">
        <v>103.9</v>
      </c>
      <c r="E967" s="70">
        <v>108.7</v>
      </c>
      <c r="F967" s="70">
        <v>113.4</v>
      </c>
      <c r="G967" s="70">
        <v>118.2</v>
      </c>
      <c r="H967" s="70">
        <v>123</v>
      </c>
      <c r="I967" s="67" t="s">
        <v>1475</v>
      </c>
    </row>
    <row r="968" spans="1:9" ht="15" customHeight="1">
      <c r="A968" s="67" t="s">
        <v>1178</v>
      </c>
      <c r="B968" s="67" t="s">
        <v>318</v>
      </c>
      <c r="C968" s="68">
        <v>68</v>
      </c>
      <c r="D968" s="70">
        <v>104.3</v>
      </c>
      <c r="E968" s="70">
        <v>109.1</v>
      </c>
      <c r="F968" s="70">
        <v>113.9</v>
      </c>
      <c r="G968" s="70">
        <v>118.7</v>
      </c>
      <c r="H968" s="70">
        <v>123.6</v>
      </c>
      <c r="I968" s="67" t="s">
        <v>1476</v>
      </c>
    </row>
    <row r="969" spans="1:9" ht="15" customHeight="1">
      <c r="A969" s="67" t="s">
        <v>1178</v>
      </c>
      <c r="B969" s="67" t="s">
        <v>318</v>
      </c>
      <c r="C969" s="68">
        <v>69</v>
      </c>
      <c r="D969" s="70">
        <v>104.8</v>
      </c>
      <c r="E969" s="70">
        <v>109.6</v>
      </c>
      <c r="F969" s="70">
        <v>114.5</v>
      </c>
      <c r="G969" s="70">
        <v>119.3</v>
      </c>
      <c r="H969" s="70">
        <v>124.1</v>
      </c>
      <c r="I969" s="67" t="s">
        <v>1477</v>
      </c>
    </row>
    <row r="970" spans="1:9" ht="15" customHeight="1">
      <c r="A970" s="67" t="s">
        <v>1178</v>
      </c>
      <c r="B970" s="67" t="s">
        <v>318</v>
      </c>
      <c r="C970" s="68">
        <v>70</v>
      </c>
      <c r="D970" s="70">
        <v>105.2</v>
      </c>
      <c r="E970" s="70">
        <v>110.1</v>
      </c>
      <c r="F970" s="70">
        <v>115</v>
      </c>
      <c r="G970" s="70">
        <v>119.8</v>
      </c>
      <c r="H970" s="70">
        <v>124.7</v>
      </c>
      <c r="I970" s="67" t="s">
        <v>1478</v>
      </c>
    </row>
    <row r="971" spans="1:9" ht="15" customHeight="1">
      <c r="A971" s="67" t="s">
        <v>1178</v>
      </c>
      <c r="B971" s="67" t="s">
        <v>318</v>
      </c>
      <c r="C971" s="68">
        <v>71</v>
      </c>
      <c r="D971" s="70">
        <v>105.7</v>
      </c>
      <c r="E971" s="70">
        <v>110.6</v>
      </c>
      <c r="F971" s="70">
        <v>115.5</v>
      </c>
      <c r="G971" s="70">
        <v>120.4</v>
      </c>
      <c r="H971" s="70">
        <v>125.2</v>
      </c>
      <c r="I971" s="67" t="s">
        <v>1479</v>
      </c>
    </row>
    <row r="972" spans="1:9" ht="15" customHeight="1">
      <c r="A972" s="67" t="s">
        <v>1178</v>
      </c>
      <c r="B972" s="67" t="s">
        <v>318</v>
      </c>
      <c r="C972" s="68">
        <v>72</v>
      </c>
      <c r="D972" s="70">
        <v>106.1</v>
      </c>
      <c r="E972" s="70">
        <v>111</v>
      </c>
      <c r="F972" s="70">
        <v>116</v>
      </c>
      <c r="G972" s="70">
        <v>120.9</v>
      </c>
      <c r="H972" s="70">
        <v>125.8</v>
      </c>
      <c r="I972" s="67" t="s">
        <v>1480</v>
      </c>
    </row>
    <row r="973" spans="1:9" ht="15" customHeight="1">
      <c r="A973" s="67" t="s">
        <v>1178</v>
      </c>
      <c r="B973" s="67" t="s">
        <v>318</v>
      </c>
      <c r="C973" s="68">
        <v>73</v>
      </c>
      <c r="D973" s="70">
        <v>106.5</v>
      </c>
      <c r="E973" s="70">
        <v>111.5</v>
      </c>
      <c r="F973" s="70">
        <v>116.4</v>
      </c>
      <c r="G973" s="70">
        <v>121.4</v>
      </c>
      <c r="H973" s="70">
        <v>126.4</v>
      </c>
      <c r="I973" s="67" t="s">
        <v>1481</v>
      </c>
    </row>
    <row r="974" spans="1:9" ht="15" customHeight="1">
      <c r="A974" s="67" t="s">
        <v>1178</v>
      </c>
      <c r="B974" s="67" t="s">
        <v>318</v>
      </c>
      <c r="C974" s="68">
        <v>74</v>
      </c>
      <c r="D974" s="70">
        <v>107</v>
      </c>
      <c r="E974" s="70">
        <v>111.9</v>
      </c>
      <c r="F974" s="70">
        <v>116.9</v>
      </c>
      <c r="G974" s="70">
        <v>121.9</v>
      </c>
      <c r="H974" s="70">
        <v>126.9</v>
      </c>
      <c r="I974" s="67" t="s">
        <v>1482</v>
      </c>
    </row>
    <row r="975" spans="1:9" ht="15" customHeight="1">
      <c r="A975" s="67" t="s">
        <v>1178</v>
      </c>
      <c r="B975" s="67" t="s">
        <v>318</v>
      </c>
      <c r="C975" s="68">
        <v>75</v>
      </c>
      <c r="D975" s="70">
        <v>107.4</v>
      </c>
      <c r="E975" s="70">
        <v>112.4</v>
      </c>
      <c r="F975" s="70">
        <v>117.4</v>
      </c>
      <c r="G975" s="70">
        <v>122.4</v>
      </c>
      <c r="H975" s="70">
        <v>127.5</v>
      </c>
      <c r="I975" s="67" t="s">
        <v>1483</v>
      </c>
    </row>
    <row r="976" spans="1:9" ht="15" customHeight="1">
      <c r="A976" s="67" t="s">
        <v>1178</v>
      </c>
      <c r="B976" s="67" t="s">
        <v>318</v>
      </c>
      <c r="C976" s="68">
        <v>76</v>
      </c>
      <c r="D976" s="70">
        <v>107.8</v>
      </c>
      <c r="E976" s="70">
        <v>112.9</v>
      </c>
      <c r="F976" s="70">
        <v>117.9</v>
      </c>
      <c r="G976" s="70">
        <v>123</v>
      </c>
      <c r="H976" s="70">
        <v>128</v>
      </c>
      <c r="I976" s="67" t="s">
        <v>1484</v>
      </c>
    </row>
    <row r="977" spans="1:9" ht="15" customHeight="1">
      <c r="A977" s="67" t="s">
        <v>1178</v>
      </c>
      <c r="B977" s="67" t="s">
        <v>318</v>
      </c>
      <c r="C977" s="68">
        <v>77</v>
      </c>
      <c r="D977" s="70">
        <v>108.2</v>
      </c>
      <c r="E977" s="70">
        <v>113.3</v>
      </c>
      <c r="F977" s="70">
        <v>118.4</v>
      </c>
      <c r="G977" s="70">
        <v>123.5</v>
      </c>
      <c r="H977" s="70">
        <v>128.5</v>
      </c>
      <c r="I977" s="67" t="s">
        <v>1485</v>
      </c>
    </row>
    <row r="978" spans="1:9" ht="15" customHeight="1">
      <c r="A978" s="67" t="s">
        <v>1178</v>
      </c>
      <c r="B978" s="67" t="s">
        <v>318</v>
      </c>
      <c r="C978" s="68">
        <v>78</v>
      </c>
      <c r="D978" s="70">
        <v>108.7</v>
      </c>
      <c r="E978" s="70">
        <v>113.8</v>
      </c>
      <c r="F978" s="70">
        <v>118.9</v>
      </c>
      <c r="G978" s="70">
        <v>124</v>
      </c>
      <c r="H978" s="70">
        <v>129.1</v>
      </c>
      <c r="I978" s="67" t="s">
        <v>1486</v>
      </c>
    </row>
    <row r="979" spans="1:9" ht="15" customHeight="1">
      <c r="A979" s="67" t="s">
        <v>1178</v>
      </c>
      <c r="B979" s="67" t="s">
        <v>318</v>
      </c>
      <c r="C979" s="68">
        <v>79</v>
      </c>
      <c r="D979" s="70">
        <v>109.1</v>
      </c>
      <c r="E979" s="70">
        <v>114.2</v>
      </c>
      <c r="F979" s="70">
        <v>119.4</v>
      </c>
      <c r="G979" s="70">
        <v>124.5</v>
      </c>
      <c r="H979" s="70">
        <v>129.6</v>
      </c>
      <c r="I979" s="67" t="s">
        <v>1487</v>
      </c>
    </row>
    <row r="980" spans="1:9" ht="15" customHeight="1">
      <c r="A980" s="67" t="s">
        <v>1178</v>
      </c>
      <c r="B980" s="67" t="s">
        <v>318</v>
      </c>
      <c r="C980" s="68">
        <v>80</v>
      </c>
      <c r="D980" s="70">
        <v>109.5</v>
      </c>
      <c r="E980" s="70">
        <v>114.7</v>
      </c>
      <c r="F980" s="70">
        <v>119.8</v>
      </c>
      <c r="G980" s="70">
        <v>125</v>
      </c>
      <c r="H980" s="70">
        <v>130.19999999999999</v>
      </c>
      <c r="I980" s="67" t="s">
        <v>1488</v>
      </c>
    </row>
    <row r="981" spans="1:9" ht="15" customHeight="1">
      <c r="A981" s="67" t="s">
        <v>1178</v>
      </c>
      <c r="B981" s="67" t="s">
        <v>318</v>
      </c>
      <c r="C981" s="68">
        <v>81</v>
      </c>
      <c r="D981" s="70">
        <v>109.9</v>
      </c>
      <c r="E981" s="70">
        <v>115.1</v>
      </c>
      <c r="F981" s="70">
        <v>120.3</v>
      </c>
      <c r="G981" s="70">
        <v>125.5</v>
      </c>
      <c r="H981" s="70">
        <v>130.69999999999999</v>
      </c>
      <c r="I981" s="67" t="s">
        <v>1489</v>
      </c>
    </row>
    <row r="982" spans="1:9" ht="15" customHeight="1">
      <c r="A982" s="67" t="s">
        <v>1178</v>
      </c>
      <c r="B982" s="67" t="s">
        <v>318</v>
      </c>
      <c r="C982" s="68">
        <v>82</v>
      </c>
      <c r="D982" s="70">
        <v>110.3</v>
      </c>
      <c r="E982" s="70">
        <v>115.6</v>
      </c>
      <c r="F982" s="70">
        <v>120.8</v>
      </c>
      <c r="G982" s="70">
        <v>126</v>
      </c>
      <c r="H982" s="70">
        <v>131.19999999999999</v>
      </c>
      <c r="I982" s="67" t="s">
        <v>1490</v>
      </c>
    </row>
    <row r="983" spans="1:9" ht="15" customHeight="1">
      <c r="A983" s="67" t="s">
        <v>1178</v>
      </c>
      <c r="B983" s="67" t="s">
        <v>318</v>
      </c>
      <c r="C983" s="68">
        <v>83</v>
      </c>
      <c r="D983" s="70">
        <v>110.8</v>
      </c>
      <c r="E983" s="70">
        <v>116</v>
      </c>
      <c r="F983" s="70">
        <v>121.3</v>
      </c>
      <c r="G983" s="70">
        <v>126.5</v>
      </c>
      <c r="H983" s="70">
        <v>131.80000000000001</v>
      </c>
      <c r="I983" s="67" t="s">
        <v>1491</v>
      </c>
    </row>
    <row r="984" spans="1:9" ht="15" customHeight="1">
      <c r="A984" s="67" t="s">
        <v>1178</v>
      </c>
      <c r="B984" s="67" t="s">
        <v>318</v>
      </c>
      <c r="C984" s="68">
        <v>84</v>
      </c>
      <c r="D984" s="70">
        <v>111.2</v>
      </c>
      <c r="E984" s="70">
        <v>116.4</v>
      </c>
      <c r="F984" s="70">
        <v>121.7</v>
      </c>
      <c r="G984" s="70">
        <v>127</v>
      </c>
      <c r="H984" s="70">
        <v>132.30000000000001</v>
      </c>
      <c r="I984" s="67" t="s">
        <v>1492</v>
      </c>
    </row>
    <row r="985" spans="1:9" ht="15" customHeight="1">
      <c r="A985" s="67" t="s">
        <v>1178</v>
      </c>
      <c r="B985" s="67" t="s">
        <v>318</v>
      </c>
      <c r="C985" s="68">
        <v>85</v>
      </c>
      <c r="D985" s="70">
        <v>111.6</v>
      </c>
      <c r="E985" s="70">
        <v>116.9</v>
      </c>
      <c r="F985" s="70">
        <v>122.2</v>
      </c>
      <c r="G985" s="70">
        <v>127.5</v>
      </c>
      <c r="H985" s="70">
        <v>132.80000000000001</v>
      </c>
      <c r="I985" s="67" t="s">
        <v>1493</v>
      </c>
    </row>
    <row r="986" spans="1:9" ht="15" customHeight="1">
      <c r="A986" s="67" t="s">
        <v>1178</v>
      </c>
      <c r="B986" s="67" t="s">
        <v>318</v>
      </c>
      <c r="C986" s="68">
        <v>86</v>
      </c>
      <c r="D986" s="70">
        <v>112</v>
      </c>
      <c r="E986" s="70">
        <v>117.3</v>
      </c>
      <c r="F986" s="70">
        <v>122.7</v>
      </c>
      <c r="G986" s="70">
        <v>128</v>
      </c>
      <c r="H986" s="70">
        <v>133.4</v>
      </c>
      <c r="I986" s="67" t="s">
        <v>1494</v>
      </c>
    </row>
    <row r="987" spans="1:9" ht="15" customHeight="1">
      <c r="A987" s="67" t="s">
        <v>1178</v>
      </c>
      <c r="B987" s="67" t="s">
        <v>318</v>
      </c>
      <c r="C987" s="68">
        <v>87</v>
      </c>
      <c r="D987" s="70">
        <v>112.4</v>
      </c>
      <c r="E987" s="70">
        <v>117.8</v>
      </c>
      <c r="F987" s="70">
        <v>123.1</v>
      </c>
      <c r="G987" s="70">
        <v>128.5</v>
      </c>
      <c r="H987" s="70">
        <v>133.9</v>
      </c>
      <c r="I987" s="67" t="s">
        <v>1495</v>
      </c>
    </row>
    <row r="988" spans="1:9" ht="15" customHeight="1">
      <c r="A988" s="67" t="s">
        <v>1178</v>
      </c>
      <c r="B988" s="67" t="s">
        <v>318</v>
      </c>
      <c r="C988" s="68">
        <v>88</v>
      </c>
      <c r="D988" s="70">
        <v>112.8</v>
      </c>
      <c r="E988" s="70">
        <v>118.2</v>
      </c>
      <c r="F988" s="70">
        <v>123.6</v>
      </c>
      <c r="G988" s="70">
        <v>129</v>
      </c>
      <c r="H988" s="70">
        <v>134.4</v>
      </c>
      <c r="I988" s="67" t="s">
        <v>1496</v>
      </c>
    </row>
    <row r="989" spans="1:9" ht="15" customHeight="1">
      <c r="A989" s="67" t="s">
        <v>1178</v>
      </c>
      <c r="B989" s="67" t="s">
        <v>318</v>
      </c>
      <c r="C989" s="68">
        <v>89</v>
      </c>
      <c r="D989" s="70">
        <v>113.2</v>
      </c>
      <c r="E989" s="70">
        <v>118.6</v>
      </c>
      <c r="F989" s="70">
        <v>124.1</v>
      </c>
      <c r="G989" s="70">
        <v>129.5</v>
      </c>
      <c r="H989" s="70">
        <v>134.9</v>
      </c>
      <c r="I989" s="67" t="s">
        <v>1497</v>
      </c>
    </row>
    <row r="990" spans="1:9" ht="15" customHeight="1">
      <c r="A990" s="67" t="s">
        <v>1178</v>
      </c>
      <c r="B990" s="67" t="s">
        <v>318</v>
      </c>
      <c r="C990" s="68">
        <v>90</v>
      </c>
      <c r="D990" s="70">
        <v>113.6</v>
      </c>
      <c r="E990" s="70">
        <v>119.1</v>
      </c>
      <c r="F990" s="70">
        <v>124.5</v>
      </c>
      <c r="G990" s="70">
        <v>130</v>
      </c>
      <c r="H990" s="70">
        <v>135.5</v>
      </c>
      <c r="I990" s="67" t="s">
        <v>1498</v>
      </c>
    </row>
    <row r="991" spans="1:9" ht="15" customHeight="1">
      <c r="A991" s="67" t="s">
        <v>1178</v>
      </c>
      <c r="B991" s="67" t="s">
        <v>318</v>
      </c>
      <c r="C991" s="68">
        <v>91</v>
      </c>
      <c r="D991" s="70">
        <v>114</v>
      </c>
      <c r="E991" s="70">
        <v>119.5</v>
      </c>
      <c r="F991" s="70">
        <v>125</v>
      </c>
      <c r="G991" s="70">
        <v>130.5</v>
      </c>
      <c r="H991" s="70">
        <v>136</v>
      </c>
      <c r="I991" s="67" t="s">
        <v>1499</v>
      </c>
    </row>
    <row r="992" spans="1:9" ht="15" customHeight="1">
      <c r="A992" s="67" t="s">
        <v>1178</v>
      </c>
      <c r="B992" s="67" t="s">
        <v>318</v>
      </c>
      <c r="C992" s="68">
        <v>92</v>
      </c>
      <c r="D992" s="70">
        <v>114.4</v>
      </c>
      <c r="E992" s="70">
        <v>119.9</v>
      </c>
      <c r="F992" s="70">
        <v>125.5</v>
      </c>
      <c r="G992" s="70">
        <v>131</v>
      </c>
      <c r="H992" s="70">
        <v>136.5</v>
      </c>
      <c r="I992" s="67" t="s">
        <v>1500</v>
      </c>
    </row>
    <row r="993" spans="1:9" ht="15" customHeight="1">
      <c r="A993" s="67" t="s">
        <v>1178</v>
      </c>
      <c r="B993" s="67" t="s">
        <v>318</v>
      </c>
      <c r="C993" s="68">
        <v>93</v>
      </c>
      <c r="D993" s="70">
        <v>114.8</v>
      </c>
      <c r="E993" s="70">
        <v>120.4</v>
      </c>
      <c r="F993" s="70">
        <v>125.9</v>
      </c>
      <c r="G993" s="70">
        <v>131.5</v>
      </c>
      <c r="H993" s="70">
        <v>137</v>
      </c>
      <c r="I993" s="67" t="s">
        <v>1501</v>
      </c>
    </row>
    <row r="994" spans="1:9" ht="15" customHeight="1">
      <c r="A994" s="67" t="s">
        <v>1178</v>
      </c>
      <c r="B994" s="67" t="s">
        <v>318</v>
      </c>
      <c r="C994" s="68">
        <v>94</v>
      </c>
      <c r="D994" s="70">
        <v>115.2</v>
      </c>
      <c r="E994" s="70">
        <v>120.8</v>
      </c>
      <c r="F994" s="70">
        <v>126.4</v>
      </c>
      <c r="G994" s="70">
        <v>132</v>
      </c>
      <c r="H994" s="70">
        <v>137.5</v>
      </c>
      <c r="I994" s="67" t="s">
        <v>1502</v>
      </c>
    </row>
    <row r="995" spans="1:9" ht="15" customHeight="1">
      <c r="A995" s="67" t="s">
        <v>1178</v>
      </c>
      <c r="B995" s="67" t="s">
        <v>318</v>
      </c>
      <c r="C995" s="68">
        <v>95</v>
      </c>
      <c r="D995" s="70">
        <v>115.6</v>
      </c>
      <c r="E995" s="70">
        <v>121.2</v>
      </c>
      <c r="F995" s="70">
        <v>126.8</v>
      </c>
      <c r="G995" s="70">
        <v>132.4</v>
      </c>
      <c r="H995" s="70">
        <v>138.1</v>
      </c>
      <c r="I995" s="67" t="s">
        <v>1503</v>
      </c>
    </row>
    <row r="996" spans="1:9" ht="15" customHeight="1">
      <c r="A996" s="67" t="s">
        <v>1178</v>
      </c>
      <c r="B996" s="67" t="s">
        <v>318</v>
      </c>
      <c r="C996" s="68">
        <v>96</v>
      </c>
      <c r="D996" s="70">
        <v>116</v>
      </c>
      <c r="E996" s="70">
        <v>121.6</v>
      </c>
      <c r="F996" s="70">
        <v>127.3</v>
      </c>
      <c r="G996" s="70">
        <v>132.9</v>
      </c>
      <c r="H996" s="70">
        <v>138.6</v>
      </c>
      <c r="I996" s="67" t="s">
        <v>1504</v>
      </c>
    </row>
    <row r="997" spans="1:9" ht="15" customHeight="1">
      <c r="A997" s="67" t="s">
        <v>1178</v>
      </c>
      <c r="B997" s="67" t="s">
        <v>318</v>
      </c>
      <c r="C997" s="68">
        <v>97</v>
      </c>
      <c r="D997" s="70">
        <v>116.4</v>
      </c>
      <c r="E997" s="70">
        <v>122</v>
      </c>
      <c r="F997" s="70">
        <v>127.7</v>
      </c>
      <c r="G997" s="70">
        <v>133.4</v>
      </c>
      <c r="H997" s="70">
        <v>139.1</v>
      </c>
      <c r="I997" s="67" t="s">
        <v>1505</v>
      </c>
    </row>
    <row r="998" spans="1:9" ht="15" customHeight="1">
      <c r="A998" s="67" t="s">
        <v>1178</v>
      </c>
      <c r="B998" s="67" t="s">
        <v>318</v>
      </c>
      <c r="C998" s="68">
        <v>98</v>
      </c>
      <c r="D998" s="70">
        <v>116.7</v>
      </c>
      <c r="E998" s="70">
        <v>122.5</v>
      </c>
      <c r="F998" s="70">
        <v>128.19999999999999</v>
      </c>
      <c r="G998" s="70">
        <v>133.9</v>
      </c>
      <c r="H998" s="70">
        <v>139.6</v>
      </c>
      <c r="I998" s="67" t="s">
        <v>1506</v>
      </c>
    </row>
    <row r="999" spans="1:9" ht="15" customHeight="1">
      <c r="A999" s="67" t="s">
        <v>1178</v>
      </c>
      <c r="B999" s="67" t="s">
        <v>318</v>
      </c>
      <c r="C999" s="68">
        <v>99</v>
      </c>
      <c r="D999" s="70">
        <v>117.1</v>
      </c>
      <c r="E999" s="70">
        <v>122.9</v>
      </c>
      <c r="F999" s="70">
        <v>128.6</v>
      </c>
      <c r="G999" s="70">
        <v>134.30000000000001</v>
      </c>
      <c r="H999" s="70">
        <v>140.1</v>
      </c>
      <c r="I999" s="67" t="s">
        <v>1507</v>
      </c>
    </row>
    <row r="1000" spans="1:9" ht="15" customHeight="1">
      <c r="A1000" s="67" t="s">
        <v>1178</v>
      </c>
      <c r="B1000" s="67" t="s">
        <v>318</v>
      </c>
      <c r="C1000" s="68">
        <v>100</v>
      </c>
      <c r="D1000" s="70">
        <v>117.5</v>
      </c>
      <c r="E1000" s="70">
        <v>123.3</v>
      </c>
      <c r="F1000" s="70">
        <v>129</v>
      </c>
      <c r="G1000" s="70">
        <v>134.80000000000001</v>
      </c>
      <c r="H1000" s="70">
        <v>140.6</v>
      </c>
      <c r="I1000" s="67" t="s">
        <v>1508</v>
      </c>
    </row>
    <row r="1001" spans="1:9" ht="15" customHeight="1">
      <c r="A1001" s="67" t="s">
        <v>1178</v>
      </c>
      <c r="B1001" s="67" t="s">
        <v>318</v>
      </c>
      <c r="C1001" s="68">
        <v>101</v>
      </c>
      <c r="D1001" s="70">
        <v>117.9</v>
      </c>
      <c r="E1001" s="70">
        <v>123.7</v>
      </c>
      <c r="F1001" s="70">
        <v>129.5</v>
      </c>
      <c r="G1001" s="70">
        <v>135.30000000000001</v>
      </c>
      <c r="H1001" s="70">
        <v>141.1</v>
      </c>
      <c r="I1001" s="67" t="s">
        <v>1509</v>
      </c>
    </row>
    <row r="1002" spans="1:9" ht="15" customHeight="1">
      <c r="A1002" s="67" t="s">
        <v>1178</v>
      </c>
      <c r="B1002" s="67" t="s">
        <v>318</v>
      </c>
      <c r="C1002" s="68">
        <v>102</v>
      </c>
      <c r="D1002" s="70">
        <v>118.3</v>
      </c>
      <c r="E1002" s="70">
        <v>124.1</v>
      </c>
      <c r="F1002" s="70">
        <v>129.9</v>
      </c>
      <c r="G1002" s="70">
        <v>135.80000000000001</v>
      </c>
      <c r="H1002" s="70">
        <v>141.6</v>
      </c>
      <c r="I1002" s="67" t="s">
        <v>1510</v>
      </c>
    </row>
    <row r="1003" spans="1:9" ht="15" customHeight="1">
      <c r="A1003" s="67" t="s">
        <v>1178</v>
      </c>
      <c r="B1003" s="67" t="s">
        <v>318</v>
      </c>
      <c r="C1003" s="68">
        <v>103</v>
      </c>
      <c r="D1003" s="70">
        <v>118.7</v>
      </c>
      <c r="E1003" s="70">
        <v>124.5</v>
      </c>
      <c r="F1003" s="70">
        <v>130.4</v>
      </c>
      <c r="G1003" s="70">
        <v>136.19999999999999</v>
      </c>
      <c r="H1003" s="70">
        <v>142.1</v>
      </c>
      <c r="I1003" s="67" t="s">
        <v>1511</v>
      </c>
    </row>
    <row r="1004" spans="1:9" ht="15" customHeight="1">
      <c r="A1004" s="67" t="s">
        <v>1178</v>
      </c>
      <c r="B1004" s="67" t="s">
        <v>318</v>
      </c>
      <c r="C1004" s="68">
        <v>104</v>
      </c>
      <c r="D1004" s="70">
        <v>119</v>
      </c>
      <c r="E1004" s="70">
        <v>124.9</v>
      </c>
      <c r="F1004" s="70">
        <v>130.80000000000001</v>
      </c>
      <c r="G1004" s="70">
        <v>136.69999999999999</v>
      </c>
      <c r="H1004" s="70">
        <v>142.6</v>
      </c>
      <c r="I1004" s="67" t="s">
        <v>1512</v>
      </c>
    </row>
    <row r="1005" spans="1:9" ht="15" customHeight="1">
      <c r="A1005" s="67" t="s">
        <v>1178</v>
      </c>
      <c r="B1005" s="67" t="s">
        <v>318</v>
      </c>
      <c r="C1005" s="68">
        <v>105</v>
      </c>
      <c r="D1005" s="70">
        <v>119.4</v>
      </c>
      <c r="E1005" s="70">
        <v>125.3</v>
      </c>
      <c r="F1005" s="70">
        <v>131.30000000000001</v>
      </c>
      <c r="G1005" s="70">
        <v>137.19999999999999</v>
      </c>
      <c r="H1005" s="70">
        <v>143.1</v>
      </c>
      <c r="I1005" s="67" t="s">
        <v>1513</v>
      </c>
    </row>
    <row r="1006" spans="1:9" ht="15" customHeight="1">
      <c r="A1006" s="67" t="s">
        <v>1178</v>
      </c>
      <c r="B1006" s="67" t="s">
        <v>318</v>
      </c>
      <c r="C1006" s="68">
        <v>106</v>
      </c>
      <c r="D1006" s="70">
        <v>119.8</v>
      </c>
      <c r="E1006" s="70">
        <v>125.7</v>
      </c>
      <c r="F1006" s="70">
        <v>131.69999999999999</v>
      </c>
      <c r="G1006" s="70">
        <v>137.6</v>
      </c>
      <c r="H1006" s="70">
        <v>143.6</v>
      </c>
      <c r="I1006" s="67" t="s">
        <v>1514</v>
      </c>
    </row>
    <row r="1007" spans="1:9" ht="15" customHeight="1">
      <c r="A1007" s="67" t="s">
        <v>1178</v>
      </c>
      <c r="B1007" s="67" t="s">
        <v>318</v>
      </c>
      <c r="C1007" s="68">
        <v>107</v>
      </c>
      <c r="D1007" s="70">
        <v>120.2</v>
      </c>
      <c r="E1007" s="70">
        <v>126.1</v>
      </c>
      <c r="F1007" s="70">
        <v>132.1</v>
      </c>
      <c r="G1007" s="70">
        <v>138.1</v>
      </c>
      <c r="H1007" s="70">
        <v>144.1</v>
      </c>
      <c r="I1007" s="67" t="s">
        <v>1515</v>
      </c>
    </row>
    <row r="1008" spans="1:9" ht="15" customHeight="1">
      <c r="A1008" s="67" t="s">
        <v>1178</v>
      </c>
      <c r="B1008" s="67" t="s">
        <v>318</v>
      </c>
      <c r="C1008" s="68">
        <v>108</v>
      </c>
      <c r="D1008" s="70">
        <v>120.5</v>
      </c>
      <c r="E1008" s="70">
        <v>126.6</v>
      </c>
      <c r="F1008" s="70">
        <v>132.6</v>
      </c>
      <c r="G1008" s="70">
        <v>138.6</v>
      </c>
      <c r="H1008" s="70">
        <v>144.6</v>
      </c>
      <c r="I1008" s="67" t="s">
        <v>1516</v>
      </c>
    </row>
    <row r="1009" spans="1:9" ht="15" customHeight="1">
      <c r="A1009" s="67" t="s">
        <v>1178</v>
      </c>
      <c r="B1009" s="67" t="s">
        <v>318</v>
      </c>
      <c r="C1009" s="68">
        <v>109</v>
      </c>
      <c r="D1009" s="70">
        <v>120.9</v>
      </c>
      <c r="E1009" s="70">
        <v>127</v>
      </c>
      <c r="F1009" s="70">
        <v>133</v>
      </c>
      <c r="G1009" s="70">
        <v>139</v>
      </c>
      <c r="H1009" s="70">
        <v>145.1</v>
      </c>
      <c r="I1009" s="67" t="s">
        <v>1517</v>
      </c>
    </row>
    <row r="1010" spans="1:9" ht="15" customHeight="1">
      <c r="A1010" s="67" t="s">
        <v>1178</v>
      </c>
      <c r="B1010" s="67" t="s">
        <v>318</v>
      </c>
      <c r="C1010" s="68">
        <v>110</v>
      </c>
      <c r="D1010" s="70">
        <v>121.3</v>
      </c>
      <c r="E1010" s="70">
        <v>127.4</v>
      </c>
      <c r="F1010" s="70">
        <v>133.4</v>
      </c>
      <c r="G1010" s="70">
        <v>139.5</v>
      </c>
      <c r="H1010" s="70">
        <v>145.6</v>
      </c>
      <c r="I1010" s="67" t="s">
        <v>1518</v>
      </c>
    </row>
    <row r="1011" spans="1:9" ht="15" customHeight="1">
      <c r="A1011" s="67" t="s">
        <v>1178</v>
      </c>
      <c r="B1011" s="67" t="s">
        <v>318</v>
      </c>
      <c r="C1011" s="68">
        <v>111</v>
      </c>
      <c r="D1011" s="70">
        <v>121.7</v>
      </c>
      <c r="E1011" s="70">
        <v>127.8</v>
      </c>
      <c r="F1011" s="70">
        <v>133.9</v>
      </c>
      <c r="G1011" s="70">
        <v>140</v>
      </c>
      <c r="H1011" s="70">
        <v>146.1</v>
      </c>
      <c r="I1011" s="67" t="s">
        <v>1519</v>
      </c>
    </row>
    <row r="1012" spans="1:9" ht="15" customHeight="1">
      <c r="A1012" s="67" t="s">
        <v>1178</v>
      </c>
      <c r="B1012" s="67" t="s">
        <v>318</v>
      </c>
      <c r="C1012" s="68">
        <v>112</v>
      </c>
      <c r="D1012" s="70">
        <v>122</v>
      </c>
      <c r="E1012" s="70">
        <v>128.19999999999999</v>
      </c>
      <c r="F1012" s="70">
        <v>134.30000000000001</v>
      </c>
      <c r="G1012" s="70">
        <v>140.4</v>
      </c>
      <c r="H1012" s="70">
        <v>146.6</v>
      </c>
      <c r="I1012" s="67" t="s">
        <v>1520</v>
      </c>
    </row>
    <row r="1013" spans="1:9" ht="15" customHeight="1">
      <c r="A1013" s="67" t="s">
        <v>1178</v>
      </c>
      <c r="B1013" s="67" t="s">
        <v>318</v>
      </c>
      <c r="C1013" s="68">
        <v>113</v>
      </c>
      <c r="D1013" s="70">
        <v>122.4</v>
      </c>
      <c r="E1013" s="70">
        <v>128.6</v>
      </c>
      <c r="F1013" s="70">
        <v>134.69999999999999</v>
      </c>
      <c r="G1013" s="70">
        <v>140.9</v>
      </c>
      <c r="H1013" s="70">
        <v>147.1</v>
      </c>
      <c r="I1013" s="67" t="s">
        <v>1521</v>
      </c>
    </row>
    <row r="1014" spans="1:9" ht="15" customHeight="1">
      <c r="A1014" s="67" t="s">
        <v>1178</v>
      </c>
      <c r="B1014" s="67" t="s">
        <v>318</v>
      </c>
      <c r="C1014" s="68">
        <v>114</v>
      </c>
      <c r="D1014" s="70">
        <v>122.8</v>
      </c>
      <c r="E1014" s="70">
        <v>129</v>
      </c>
      <c r="F1014" s="70">
        <v>135.19999999999999</v>
      </c>
      <c r="G1014" s="70">
        <v>141.4</v>
      </c>
      <c r="H1014" s="70">
        <v>147.6</v>
      </c>
      <c r="I1014" s="67" t="s">
        <v>1522</v>
      </c>
    </row>
    <row r="1015" spans="1:9" ht="15" customHeight="1">
      <c r="A1015" s="67" t="s">
        <v>1178</v>
      </c>
      <c r="B1015" s="67" t="s">
        <v>318</v>
      </c>
      <c r="C1015" s="68">
        <v>115</v>
      </c>
      <c r="D1015" s="70">
        <v>123.2</v>
      </c>
      <c r="E1015" s="70">
        <v>129.4</v>
      </c>
      <c r="F1015" s="70">
        <v>135.6</v>
      </c>
      <c r="G1015" s="70">
        <v>141.80000000000001</v>
      </c>
      <c r="H1015" s="70">
        <v>148.1</v>
      </c>
      <c r="I1015" s="67" t="s">
        <v>1523</v>
      </c>
    </row>
    <row r="1016" spans="1:9" ht="15" customHeight="1">
      <c r="A1016" s="67" t="s">
        <v>1178</v>
      </c>
      <c r="B1016" s="67" t="s">
        <v>318</v>
      </c>
      <c r="C1016" s="68">
        <v>116</v>
      </c>
      <c r="D1016" s="70">
        <v>123.5</v>
      </c>
      <c r="E1016" s="70">
        <v>129.80000000000001</v>
      </c>
      <c r="F1016" s="70">
        <v>136.1</v>
      </c>
      <c r="G1016" s="70">
        <v>142.30000000000001</v>
      </c>
      <c r="H1016" s="70">
        <v>148.6</v>
      </c>
      <c r="I1016" s="67" t="s">
        <v>1524</v>
      </c>
    </row>
    <row r="1017" spans="1:9" ht="15" customHeight="1">
      <c r="A1017" s="67" t="s">
        <v>1178</v>
      </c>
      <c r="B1017" s="67" t="s">
        <v>318</v>
      </c>
      <c r="C1017" s="68">
        <v>117</v>
      </c>
      <c r="D1017" s="70">
        <v>123.9</v>
      </c>
      <c r="E1017" s="70">
        <v>130.19999999999999</v>
      </c>
      <c r="F1017" s="70">
        <v>136.5</v>
      </c>
      <c r="G1017" s="70">
        <v>142.80000000000001</v>
      </c>
      <c r="H1017" s="70">
        <v>149.1</v>
      </c>
      <c r="I1017" s="67" t="s">
        <v>1525</v>
      </c>
    </row>
    <row r="1018" spans="1:9" ht="15" customHeight="1">
      <c r="A1018" s="67" t="s">
        <v>1178</v>
      </c>
      <c r="B1018" s="67" t="s">
        <v>318</v>
      </c>
      <c r="C1018" s="68">
        <v>118</v>
      </c>
      <c r="D1018" s="70">
        <v>124.3</v>
      </c>
      <c r="E1018" s="70">
        <v>130.6</v>
      </c>
      <c r="F1018" s="70">
        <v>136.9</v>
      </c>
      <c r="G1018" s="70">
        <v>143.19999999999999</v>
      </c>
      <c r="H1018" s="70">
        <v>149.5</v>
      </c>
      <c r="I1018" s="67" t="s">
        <v>1526</v>
      </c>
    </row>
    <row r="1019" spans="1:9" ht="15" customHeight="1">
      <c r="A1019" s="67" t="s">
        <v>1178</v>
      </c>
      <c r="B1019" s="67" t="s">
        <v>318</v>
      </c>
      <c r="C1019" s="68">
        <v>119</v>
      </c>
      <c r="D1019" s="70">
        <v>124.7</v>
      </c>
      <c r="E1019" s="70">
        <v>131</v>
      </c>
      <c r="F1019" s="70">
        <v>137.30000000000001</v>
      </c>
      <c r="G1019" s="70">
        <v>143.69999999999999</v>
      </c>
      <c r="H1019" s="70">
        <v>150</v>
      </c>
      <c r="I1019" s="67" t="s">
        <v>1527</v>
      </c>
    </row>
    <row r="1020" spans="1:9" ht="15" customHeight="1">
      <c r="A1020" s="67" t="s">
        <v>1178</v>
      </c>
      <c r="B1020" s="67" t="s">
        <v>318</v>
      </c>
      <c r="C1020" s="68">
        <v>120</v>
      </c>
      <c r="D1020" s="70">
        <v>125</v>
      </c>
      <c r="E1020" s="70">
        <v>131.4</v>
      </c>
      <c r="F1020" s="70">
        <v>137.80000000000001</v>
      </c>
      <c r="G1020" s="70">
        <v>144.19999999999999</v>
      </c>
      <c r="H1020" s="70">
        <v>150.5</v>
      </c>
      <c r="I1020" s="67" t="s">
        <v>1528</v>
      </c>
    </row>
    <row r="1021" spans="1:9" ht="15" customHeight="1">
      <c r="A1021" s="67" t="s">
        <v>1178</v>
      </c>
      <c r="B1021" s="67" t="s">
        <v>318</v>
      </c>
      <c r="C1021" s="68">
        <v>121</v>
      </c>
      <c r="D1021" s="70">
        <v>125.4</v>
      </c>
      <c r="E1021" s="70">
        <v>131.80000000000001</v>
      </c>
      <c r="F1021" s="70">
        <v>138.19999999999999</v>
      </c>
      <c r="G1021" s="70">
        <v>144.6</v>
      </c>
      <c r="H1021" s="70">
        <v>151</v>
      </c>
      <c r="I1021" s="67" t="s">
        <v>1529</v>
      </c>
    </row>
    <row r="1022" spans="1:9" ht="15" customHeight="1">
      <c r="A1022" s="67" t="s">
        <v>1178</v>
      </c>
      <c r="B1022" s="67" t="s">
        <v>318</v>
      </c>
      <c r="C1022" s="68">
        <v>122</v>
      </c>
      <c r="D1022" s="70">
        <v>125.8</v>
      </c>
      <c r="E1022" s="70">
        <v>132.19999999999999</v>
      </c>
      <c r="F1022" s="70">
        <v>138.6</v>
      </c>
      <c r="G1022" s="70">
        <v>145.1</v>
      </c>
      <c r="H1022" s="70">
        <v>151.5</v>
      </c>
      <c r="I1022" s="67" t="s">
        <v>1530</v>
      </c>
    </row>
    <row r="1023" spans="1:9" ht="15" customHeight="1">
      <c r="A1023" s="67" t="s">
        <v>1178</v>
      </c>
      <c r="B1023" s="67" t="s">
        <v>318</v>
      </c>
      <c r="C1023" s="68">
        <v>123</v>
      </c>
      <c r="D1023" s="70">
        <v>126.2</v>
      </c>
      <c r="E1023" s="70">
        <v>132.6</v>
      </c>
      <c r="F1023" s="70">
        <v>139.1</v>
      </c>
      <c r="G1023" s="70">
        <v>145.5</v>
      </c>
      <c r="H1023" s="70">
        <v>152</v>
      </c>
      <c r="I1023" s="67" t="s">
        <v>1531</v>
      </c>
    </row>
    <row r="1024" spans="1:9" ht="15" customHeight="1">
      <c r="A1024" s="67" t="s">
        <v>1178</v>
      </c>
      <c r="B1024" s="67" t="s">
        <v>318</v>
      </c>
      <c r="C1024" s="68">
        <v>124</v>
      </c>
      <c r="D1024" s="70">
        <v>126.5</v>
      </c>
      <c r="E1024" s="70">
        <v>133</v>
      </c>
      <c r="F1024" s="70">
        <v>139.5</v>
      </c>
      <c r="G1024" s="70">
        <v>146</v>
      </c>
      <c r="H1024" s="70">
        <v>152.5</v>
      </c>
      <c r="I1024" s="67" t="s">
        <v>1532</v>
      </c>
    </row>
    <row r="1025" spans="1:9" ht="15" customHeight="1">
      <c r="A1025" s="67" t="s">
        <v>1178</v>
      </c>
      <c r="B1025" s="67" t="s">
        <v>318</v>
      </c>
      <c r="C1025" s="68">
        <v>125</v>
      </c>
      <c r="D1025" s="70">
        <v>126.9</v>
      </c>
      <c r="E1025" s="70">
        <v>133.4</v>
      </c>
      <c r="F1025" s="70">
        <v>140</v>
      </c>
      <c r="G1025" s="70">
        <v>146.5</v>
      </c>
      <c r="H1025" s="70">
        <v>153</v>
      </c>
      <c r="I1025" s="67" t="s">
        <v>1533</v>
      </c>
    </row>
    <row r="1026" spans="1:9" ht="15" customHeight="1">
      <c r="A1026" s="67" t="s">
        <v>1178</v>
      </c>
      <c r="B1026" s="67" t="s">
        <v>318</v>
      </c>
      <c r="C1026" s="68">
        <v>126</v>
      </c>
      <c r="D1026" s="70">
        <v>127.3</v>
      </c>
      <c r="E1026" s="70">
        <v>133.80000000000001</v>
      </c>
      <c r="F1026" s="70">
        <v>140.4</v>
      </c>
      <c r="G1026" s="70">
        <v>146.9</v>
      </c>
      <c r="H1026" s="70">
        <v>153.5</v>
      </c>
      <c r="I1026" s="67" t="s">
        <v>1534</v>
      </c>
    </row>
    <row r="1027" spans="1:9" ht="15" customHeight="1">
      <c r="A1027" s="67" t="s">
        <v>1178</v>
      </c>
      <c r="B1027" s="67" t="s">
        <v>318</v>
      </c>
      <c r="C1027" s="68">
        <v>127</v>
      </c>
      <c r="D1027" s="70">
        <v>127.7</v>
      </c>
      <c r="E1027" s="70">
        <v>134.30000000000001</v>
      </c>
      <c r="F1027" s="70">
        <v>140.80000000000001</v>
      </c>
      <c r="G1027" s="70">
        <v>147.4</v>
      </c>
      <c r="H1027" s="70">
        <v>154</v>
      </c>
      <c r="I1027" s="67" t="s">
        <v>1535</v>
      </c>
    </row>
    <row r="1028" spans="1:9" ht="15" customHeight="1">
      <c r="A1028" s="67" t="s">
        <v>1178</v>
      </c>
      <c r="B1028" s="67" t="s">
        <v>318</v>
      </c>
      <c r="C1028" s="68">
        <v>128</v>
      </c>
      <c r="D1028" s="70">
        <v>128.1</v>
      </c>
      <c r="E1028" s="70">
        <v>134.69999999999999</v>
      </c>
      <c r="F1028" s="70">
        <v>141.30000000000001</v>
      </c>
      <c r="G1028" s="70">
        <v>147.9</v>
      </c>
      <c r="H1028" s="70">
        <v>154.5</v>
      </c>
      <c r="I1028" s="67" t="s">
        <v>1536</v>
      </c>
    </row>
    <row r="1029" spans="1:9" ht="15" customHeight="1">
      <c r="A1029" s="67" t="s">
        <v>1178</v>
      </c>
      <c r="B1029" s="67" t="s">
        <v>318</v>
      </c>
      <c r="C1029" s="68">
        <v>129</v>
      </c>
      <c r="D1029" s="70">
        <v>128.5</v>
      </c>
      <c r="E1029" s="70">
        <v>135.1</v>
      </c>
      <c r="F1029" s="70">
        <v>141.69999999999999</v>
      </c>
      <c r="G1029" s="70">
        <v>148.4</v>
      </c>
      <c r="H1029" s="70">
        <v>155</v>
      </c>
      <c r="I1029" s="67" t="s">
        <v>1537</v>
      </c>
    </row>
    <row r="1030" spans="1:9" ht="15" customHeight="1">
      <c r="A1030" s="67" t="s">
        <v>1178</v>
      </c>
      <c r="B1030" s="67" t="s">
        <v>318</v>
      </c>
      <c r="C1030" s="68">
        <v>130</v>
      </c>
      <c r="D1030" s="70">
        <v>128.80000000000001</v>
      </c>
      <c r="E1030" s="70">
        <v>135.5</v>
      </c>
      <c r="F1030" s="70">
        <v>142.19999999999999</v>
      </c>
      <c r="G1030" s="70">
        <v>148.9</v>
      </c>
      <c r="H1030" s="70">
        <v>155.5</v>
      </c>
      <c r="I1030" s="67" t="s">
        <v>1538</v>
      </c>
    </row>
    <row r="1031" spans="1:9" ht="15" customHeight="1">
      <c r="A1031" s="67" t="s">
        <v>1178</v>
      </c>
      <c r="B1031" s="67" t="s">
        <v>318</v>
      </c>
      <c r="C1031" s="68">
        <v>131</v>
      </c>
      <c r="D1031" s="70">
        <v>129.19999999999999</v>
      </c>
      <c r="E1031" s="70">
        <v>135.9</v>
      </c>
      <c r="F1031" s="70">
        <v>142.69999999999999</v>
      </c>
      <c r="G1031" s="70">
        <v>149.4</v>
      </c>
      <c r="H1031" s="70">
        <v>156.1</v>
      </c>
      <c r="I1031" s="67" t="s">
        <v>1539</v>
      </c>
    </row>
    <row r="1032" spans="1:9" ht="15" customHeight="1">
      <c r="A1032" s="67" t="s">
        <v>1178</v>
      </c>
      <c r="B1032" s="67" t="s">
        <v>318</v>
      </c>
      <c r="C1032" s="68">
        <v>132</v>
      </c>
      <c r="D1032" s="70">
        <v>129.69999999999999</v>
      </c>
      <c r="E1032" s="70">
        <v>136.4</v>
      </c>
      <c r="F1032" s="70">
        <v>143.1</v>
      </c>
      <c r="G1032" s="70">
        <v>149.80000000000001</v>
      </c>
      <c r="H1032" s="70">
        <v>156.6</v>
      </c>
      <c r="I1032" s="67" t="s">
        <v>1540</v>
      </c>
    </row>
    <row r="1033" spans="1:9" ht="15" customHeight="1">
      <c r="A1033" s="67" t="s">
        <v>1178</v>
      </c>
      <c r="B1033" s="67" t="s">
        <v>318</v>
      </c>
      <c r="C1033" s="68">
        <v>133</v>
      </c>
      <c r="D1033" s="70">
        <v>130.1</v>
      </c>
      <c r="E1033" s="70">
        <v>136.80000000000001</v>
      </c>
      <c r="F1033" s="70">
        <v>143.6</v>
      </c>
      <c r="G1033" s="70">
        <v>150.30000000000001</v>
      </c>
      <c r="H1033" s="70">
        <v>157.1</v>
      </c>
      <c r="I1033" s="67" t="s">
        <v>1541</v>
      </c>
    </row>
    <row r="1034" spans="1:9" ht="15" customHeight="1">
      <c r="A1034" s="67" t="s">
        <v>1178</v>
      </c>
      <c r="B1034" s="67" t="s">
        <v>318</v>
      </c>
      <c r="C1034" s="68">
        <v>134</v>
      </c>
      <c r="D1034" s="70">
        <v>130.5</v>
      </c>
      <c r="E1034" s="70">
        <v>137.30000000000001</v>
      </c>
      <c r="F1034" s="70">
        <v>144.1</v>
      </c>
      <c r="G1034" s="70">
        <v>150.80000000000001</v>
      </c>
      <c r="H1034" s="70">
        <v>157.6</v>
      </c>
      <c r="I1034" s="67" t="s">
        <v>1542</v>
      </c>
    </row>
    <row r="1035" spans="1:9" ht="15" customHeight="1">
      <c r="A1035" s="67" t="s">
        <v>1178</v>
      </c>
      <c r="B1035" s="67" t="s">
        <v>318</v>
      </c>
      <c r="C1035" s="68">
        <v>135</v>
      </c>
      <c r="D1035" s="70">
        <v>130.9</v>
      </c>
      <c r="E1035" s="70">
        <v>137.69999999999999</v>
      </c>
      <c r="F1035" s="70">
        <v>144.5</v>
      </c>
      <c r="G1035" s="70">
        <v>151.30000000000001</v>
      </c>
      <c r="H1035" s="70">
        <v>158.19999999999999</v>
      </c>
      <c r="I1035" s="67" t="s">
        <v>1543</v>
      </c>
    </row>
    <row r="1036" spans="1:9" ht="15" customHeight="1">
      <c r="A1036" s="67" t="s">
        <v>1178</v>
      </c>
      <c r="B1036" s="67" t="s">
        <v>318</v>
      </c>
      <c r="C1036" s="68">
        <v>136</v>
      </c>
      <c r="D1036" s="70">
        <v>131.30000000000001</v>
      </c>
      <c r="E1036" s="70">
        <v>138.19999999999999</v>
      </c>
      <c r="F1036" s="70">
        <v>145</v>
      </c>
      <c r="G1036" s="70">
        <v>151.9</v>
      </c>
      <c r="H1036" s="70">
        <v>158.69999999999999</v>
      </c>
      <c r="I1036" s="67" t="s">
        <v>1544</v>
      </c>
    </row>
    <row r="1037" spans="1:9" ht="15" customHeight="1">
      <c r="A1037" s="67" t="s">
        <v>1178</v>
      </c>
      <c r="B1037" s="67" t="s">
        <v>318</v>
      </c>
      <c r="C1037" s="68">
        <v>137</v>
      </c>
      <c r="D1037" s="70">
        <v>131.69999999999999</v>
      </c>
      <c r="E1037" s="70">
        <v>138.6</v>
      </c>
      <c r="F1037" s="70">
        <v>145.5</v>
      </c>
      <c r="G1037" s="70">
        <v>152.4</v>
      </c>
      <c r="H1037" s="70">
        <v>159.30000000000001</v>
      </c>
      <c r="I1037" s="67" t="s">
        <v>1545</v>
      </c>
    </row>
    <row r="1038" spans="1:9" ht="15" customHeight="1">
      <c r="A1038" s="67" t="s">
        <v>1178</v>
      </c>
      <c r="B1038" s="67" t="s">
        <v>318</v>
      </c>
      <c r="C1038" s="68">
        <v>138</v>
      </c>
      <c r="D1038" s="70">
        <v>132.19999999999999</v>
      </c>
      <c r="E1038" s="70">
        <v>139.1</v>
      </c>
      <c r="F1038" s="70">
        <v>146</v>
      </c>
      <c r="G1038" s="70">
        <v>152.9</v>
      </c>
      <c r="H1038" s="70">
        <v>159.80000000000001</v>
      </c>
      <c r="I1038" s="67" t="s">
        <v>1546</v>
      </c>
    </row>
    <row r="1039" spans="1:9" ht="15" customHeight="1">
      <c r="A1039" s="67" t="s">
        <v>1178</v>
      </c>
      <c r="B1039" s="67" t="s">
        <v>318</v>
      </c>
      <c r="C1039" s="68">
        <v>139</v>
      </c>
      <c r="D1039" s="70">
        <v>132.6</v>
      </c>
      <c r="E1039" s="70">
        <v>139.6</v>
      </c>
      <c r="F1039" s="70">
        <v>146.5</v>
      </c>
      <c r="G1039" s="70">
        <v>153.4</v>
      </c>
      <c r="H1039" s="70">
        <v>160.4</v>
      </c>
      <c r="I1039" s="67" t="s">
        <v>1547</v>
      </c>
    </row>
    <row r="1040" spans="1:9" ht="15" customHeight="1">
      <c r="A1040" s="67" t="s">
        <v>1178</v>
      </c>
      <c r="B1040" s="67" t="s">
        <v>318</v>
      </c>
      <c r="C1040" s="68">
        <v>140</v>
      </c>
      <c r="D1040" s="70">
        <v>133.1</v>
      </c>
      <c r="E1040" s="70">
        <v>140</v>
      </c>
      <c r="F1040" s="70">
        <v>147</v>
      </c>
      <c r="G1040" s="70">
        <v>154</v>
      </c>
      <c r="H1040" s="70">
        <v>160.9</v>
      </c>
      <c r="I1040" s="67" t="s">
        <v>1548</v>
      </c>
    </row>
    <row r="1041" spans="1:9" ht="15" customHeight="1">
      <c r="A1041" s="67" t="s">
        <v>1178</v>
      </c>
      <c r="B1041" s="67" t="s">
        <v>318</v>
      </c>
      <c r="C1041" s="68">
        <v>141</v>
      </c>
      <c r="D1041" s="70">
        <v>133.5</v>
      </c>
      <c r="E1041" s="70">
        <v>140.5</v>
      </c>
      <c r="F1041" s="70">
        <v>147.5</v>
      </c>
      <c r="G1041" s="70">
        <v>154.5</v>
      </c>
      <c r="H1041" s="70">
        <v>161.5</v>
      </c>
      <c r="I1041" s="67" t="s">
        <v>1549</v>
      </c>
    </row>
    <row r="1042" spans="1:9" ht="15" customHeight="1">
      <c r="A1042" s="67" t="s">
        <v>1178</v>
      </c>
      <c r="B1042" s="67" t="s">
        <v>318</v>
      </c>
      <c r="C1042" s="68">
        <v>142</v>
      </c>
      <c r="D1042" s="70">
        <v>134</v>
      </c>
      <c r="E1042" s="70">
        <v>141</v>
      </c>
      <c r="F1042" s="70">
        <v>148</v>
      </c>
      <c r="G1042" s="70">
        <v>155</v>
      </c>
      <c r="H1042" s="70">
        <v>162.1</v>
      </c>
      <c r="I1042" s="67" t="s">
        <v>1550</v>
      </c>
    </row>
    <row r="1043" spans="1:9" ht="15" customHeight="1">
      <c r="A1043" s="67" t="s">
        <v>1178</v>
      </c>
      <c r="B1043" s="67" t="s">
        <v>318</v>
      </c>
      <c r="C1043" s="68">
        <v>143</v>
      </c>
      <c r="D1043" s="70">
        <v>134.4</v>
      </c>
      <c r="E1043" s="70">
        <v>141.5</v>
      </c>
      <c r="F1043" s="70">
        <v>148.5</v>
      </c>
      <c r="G1043" s="70">
        <v>155.6</v>
      </c>
      <c r="H1043" s="70">
        <v>162.69999999999999</v>
      </c>
      <c r="I1043" s="67" t="s">
        <v>1551</v>
      </c>
    </row>
    <row r="1044" spans="1:9" ht="15" customHeight="1">
      <c r="A1044" s="67" t="s">
        <v>1178</v>
      </c>
      <c r="B1044" s="67" t="s">
        <v>318</v>
      </c>
      <c r="C1044" s="68">
        <v>144</v>
      </c>
      <c r="D1044" s="70">
        <v>134.9</v>
      </c>
      <c r="E1044" s="70">
        <v>142</v>
      </c>
      <c r="F1044" s="70">
        <v>149.1</v>
      </c>
      <c r="G1044" s="70">
        <v>156.19999999999999</v>
      </c>
      <c r="H1044" s="70">
        <v>163.30000000000001</v>
      </c>
      <c r="I1044" s="67" t="s">
        <v>1552</v>
      </c>
    </row>
    <row r="1045" spans="1:9" ht="15" customHeight="1">
      <c r="A1045" s="67" t="s">
        <v>1178</v>
      </c>
      <c r="B1045" s="67" t="s">
        <v>318</v>
      </c>
      <c r="C1045" s="68">
        <v>145</v>
      </c>
      <c r="D1045" s="70">
        <v>135.4</v>
      </c>
      <c r="E1045" s="70">
        <v>142.5</v>
      </c>
      <c r="F1045" s="70">
        <v>149.6</v>
      </c>
      <c r="G1045" s="70">
        <v>156.69999999999999</v>
      </c>
      <c r="H1045" s="70">
        <v>163.9</v>
      </c>
      <c r="I1045" s="67" t="s">
        <v>1553</v>
      </c>
    </row>
    <row r="1046" spans="1:9" ht="15" customHeight="1">
      <c r="A1046" s="67" t="s">
        <v>1178</v>
      </c>
      <c r="B1046" s="67" t="s">
        <v>318</v>
      </c>
      <c r="C1046" s="68">
        <v>146</v>
      </c>
      <c r="D1046" s="70">
        <v>135.9</v>
      </c>
      <c r="E1046" s="70">
        <v>143</v>
      </c>
      <c r="F1046" s="70">
        <v>150.19999999999999</v>
      </c>
      <c r="G1046" s="70">
        <v>157.30000000000001</v>
      </c>
      <c r="H1046" s="70">
        <v>164.5</v>
      </c>
      <c r="I1046" s="67" t="s">
        <v>1554</v>
      </c>
    </row>
    <row r="1047" spans="1:9" ht="15" customHeight="1">
      <c r="A1047" s="67" t="s">
        <v>1178</v>
      </c>
      <c r="B1047" s="67" t="s">
        <v>318</v>
      </c>
      <c r="C1047" s="68">
        <v>147</v>
      </c>
      <c r="D1047" s="70">
        <v>136.4</v>
      </c>
      <c r="E1047" s="70">
        <v>143.6</v>
      </c>
      <c r="F1047" s="70">
        <v>150.69999999999999</v>
      </c>
      <c r="G1047" s="70">
        <v>157.9</v>
      </c>
      <c r="H1047" s="70">
        <v>165.1</v>
      </c>
      <c r="I1047" s="67" t="s">
        <v>1555</v>
      </c>
    </row>
    <row r="1048" spans="1:9" ht="15" customHeight="1">
      <c r="A1048" s="67" t="s">
        <v>1178</v>
      </c>
      <c r="B1048" s="67" t="s">
        <v>318</v>
      </c>
      <c r="C1048" s="68">
        <v>148</v>
      </c>
      <c r="D1048" s="70">
        <v>136.9</v>
      </c>
      <c r="E1048" s="70">
        <v>144.1</v>
      </c>
      <c r="F1048" s="70">
        <v>151.30000000000001</v>
      </c>
      <c r="G1048" s="70">
        <v>158.5</v>
      </c>
      <c r="H1048" s="70">
        <v>165.7</v>
      </c>
      <c r="I1048" s="67" t="s">
        <v>1556</v>
      </c>
    </row>
    <row r="1049" spans="1:9" ht="15" customHeight="1">
      <c r="A1049" s="67" t="s">
        <v>1178</v>
      </c>
      <c r="B1049" s="67" t="s">
        <v>318</v>
      </c>
      <c r="C1049" s="68">
        <v>149</v>
      </c>
      <c r="D1049" s="70">
        <v>137.4</v>
      </c>
      <c r="E1049" s="70">
        <v>144.6</v>
      </c>
      <c r="F1049" s="70">
        <v>151.9</v>
      </c>
      <c r="G1049" s="70">
        <v>159.1</v>
      </c>
      <c r="H1049" s="70">
        <v>166.3</v>
      </c>
      <c r="I1049" s="67" t="s">
        <v>1557</v>
      </c>
    </row>
    <row r="1050" spans="1:9" ht="15" customHeight="1">
      <c r="A1050" s="67" t="s">
        <v>1178</v>
      </c>
      <c r="B1050" s="67" t="s">
        <v>318</v>
      </c>
      <c r="C1050" s="68">
        <v>150</v>
      </c>
      <c r="D1050" s="70">
        <v>137.9</v>
      </c>
      <c r="E1050" s="70">
        <v>145.19999999999999</v>
      </c>
      <c r="F1050" s="70">
        <v>152.4</v>
      </c>
      <c r="G1050" s="70">
        <v>159.69999999999999</v>
      </c>
      <c r="H1050" s="70">
        <v>167</v>
      </c>
      <c r="I1050" s="67" t="s">
        <v>1558</v>
      </c>
    </row>
    <row r="1051" spans="1:9" ht="15" customHeight="1">
      <c r="A1051" s="67" t="s">
        <v>1178</v>
      </c>
      <c r="B1051" s="67" t="s">
        <v>318</v>
      </c>
      <c r="C1051" s="68">
        <v>151</v>
      </c>
      <c r="D1051" s="70">
        <v>138.5</v>
      </c>
      <c r="E1051" s="70">
        <v>145.69999999999999</v>
      </c>
      <c r="F1051" s="70">
        <v>153</v>
      </c>
      <c r="G1051" s="70">
        <v>160.30000000000001</v>
      </c>
      <c r="H1051" s="70">
        <v>167.6</v>
      </c>
      <c r="I1051" s="67" t="s">
        <v>1559</v>
      </c>
    </row>
    <row r="1052" spans="1:9" ht="15" customHeight="1">
      <c r="A1052" s="67" t="s">
        <v>1178</v>
      </c>
      <c r="B1052" s="67" t="s">
        <v>318</v>
      </c>
      <c r="C1052" s="68">
        <v>152</v>
      </c>
      <c r="D1052" s="70">
        <v>139</v>
      </c>
      <c r="E1052" s="70">
        <v>146.30000000000001</v>
      </c>
      <c r="F1052" s="70">
        <v>153.6</v>
      </c>
      <c r="G1052" s="70">
        <v>160.9</v>
      </c>
      <c r="H1052" s="70">
        <v>168.3</v>
      </c>
      <c r="I1052" s="67" t="s">
        <v>1560</v>
      </c>
    </row>
    <row r="1053" spans="1:9" ht="15" customHeight="1">
      <c r="A1053" s="67" t="s">
        <v>1178</v>
      </c>
      <c r="B1053" s="67" t="s">
        <v>318</v>
      </c>
      <c r="C1053" s="68">
        <v>153</v>
      </c>
      <c r="D1053" s="70">
        <v>139.5</v>
      </c>
      <c r="E1053" s="70">
        <v>146.9</v>
      </c>
      <c r="F1053" s="70">
        <v>154.19999999999999</v>
      </c>
      <c r="G1053" s="70">
        <v>161.6</v>
      </c>
      <c r="H1053" s="70">
        <v>168.9</v>
      </c>
      <c r="I1053" s="67" t="s">
        <v>1561</v>
      </c>
    </row>
    <row r="1054" spans="1:9" ht="15" customHeight="1">
      <c r="A1054" s="67" t="s">
        <v>1178</v>
      </c>
      <c r="B1054" s="67" t="s">
        <v>318</v>
      </c>
      <c r="C1054" s="68">
        <v>154</v>
      </c>
      <c r="D1054" s="70">
        <v>140.1</v>
      </c>
      <c r="E1054" s="70">
        <v>147.5</v>
      </c>
      <c r="F1054" s="70">
        <v>154.80000000000001</v>
      </c>
      <c r="G1054" s="70">
        <v>162.19999999999999</v>
      </c>
      <c r="H1054" s="70">
        <v>169.6</v>
      </c>
      <c r="I1054" s="67" t="s">
        <v>1562</v>
      </c>
    </row>
    <row r="1055" spans="1:9" ht="15" customHeight="1">
      <c r="A1055" s="67" t="s">
        <v>1178</v>
      </c>
      <c r="B1055" s="67" t="s">
        <v>318</v>
      </c>
      <c r="C1055" s="68">
        <v>155</v>
      </c>
      <c r="D1055" s="70">
        <v>140.6</v>
      </c>
      <c r="E1055" s="70">
        <v>148</v>
      </c>
      <c r="F1055" s="70">
        <v>155.4</v>
      </c>
      <c r="G1055" s="70">
        <v>162.80000000000001</v>
      </c>
      <c r="H1055" s="70">
        <v>170.2</v>
      </c>
      <c r="I1055" s="67" t="s">
        <v>1563</v>
      </c>
    </row>
    <row r="1056" spans="1:9" ht="15" customHeight="1">
      <c r="A1056" s="67" t="s">
        <v>1178</v>
      </c>
      <c r="B1056" s="67" t="s">
        <v>318</v>
      </c>
      <c r="C1056" s="68">
        <v>156</v>
      </c>
      <c r="D1056" s="70">
        <v>141.19999999999999</v>
      </c>
      <c r="E1056" s="70">
        <v>148.6</v>
      </c>
      <c r="F1056" s="70">
        <v>156</v>
      </c>
      <c r="G1056" s="70">
        <v>163.5</v>
      </c>
      <c r="H1056" s="70">
        <v>170.9</v>
      </c>
      <c r="I1056" s="67" t="s">
        <v>1564</v>
      </c>
    </row>
    <row r="1057" spans="1:9" ht="15" customHeight="1">
      <c r="A1057" s="67" t="s">
        <v>1178</v>
      </c>
      <c r="B1057" s="67" t="s">
        <v>318</v>
      </c>
      <c r="C1057" s="68">
        <v>157</v>
      </c>
      <c r="D1057" s="70">
        <v>141.69999999999999</v>
      </c>
      <c r="E1057" s="70">
        <v>149.19999999999999</v>
      </c>
      <c r="F1057" s="70">
        <v>156.69999999999999</v>
      </c>
      <c r="G1057" s="70">
        <v>164.1</v>
      </c>
      <c r="H1057" s="70">
        <v>171.6</v>
      </c>
      <c r="I1057" s="67" t="s">
        <v>1565</v>
      </c>
    </row>
    <row r="1058" spans="1:9" ht="15" customHeight="1">
      <c r="A1058" s="67" t="s">
        <v>1178</v>
      </c>
      <c r="B1058" s="67" t="s">
        <v>318</v>
      </c>
      <c r="C1058" s="68">
        <v>158</v>
      </c>
      <c r="D1058" s="70">
        <v>142.30000000000001</v>
      </c>
      <c r="E1058" s="70">
        <v>149.80000000000001</v>
      </c>
      <c r="F1058" s="70">
        <v>157.30000000000001</v>
      </c>
      <c r="G1058" s="70">
        <v>164.7</v>
      </c>
      <c r="H1058" s="70">
        <v>172.2</v>
      </c>
      <c r="I1058" s="67" t="s">
        <v>1566</v>
      </c>
    </row>
    <row r="1059" spans="1:9" ht="15" customHeight="1">
      <c r="A1059" s="67" t="s">
        <v>1178</v>
      </c>
      <c r="B1059" s="67" t="s">
        <v>318</v>
      </c>
      <c r="C1059" s="68">
        <v>159</v>
      </c>
      <c r="D1059" s="70">
        <v>142.9</v>
      </c>
      <c r="E1059" s="70">
        <v>150.4</v>
      </c>
      <c r="F1059" s="70">
        <v>157.9</v>
      </c>
      <c r="G1059" s="70">
        <v>165.4</v>
      </c>
      <c r="H1059" s="70">
        <v>172.9</v>
      </c>
      <c r="I1059" s="67" t="s">
        <v>1567</v>
      </c>
    </row>
    <row r="1060" spans="1:9" ht="15" customHeight="1">
      <c r="A1060" s="67" t="s">
        <v>1178</v>
      </c>
      <c r="B1060" s="67" t="s">
        <v>318</v>
      </c>
      <c r="C1060" s="68">
        <v>160</v>
      </c>
      <c r="D1060" s="70">
        <v>143.4</v>
      </c>
      <c r="E1060" s="70">
        <v>151</v>
      </c>
      <c r="F1060" s="70">
        <v>158.5</v>
      </c>
      <c r="G1060" s="70">
        <v>166</v>
      </c>
      <c r="H1060" s="70">
        <v>173.5</v>
      </c>
      <c r="I1060" s="67" t="s">
        <v>1568</v>
      </c>
    </row>
    <row r="1061" spans="1:9" ht="15" customHeight="1">
      <c r="A1061" s="67" t="s">
        <v>1178</v>
      </c>
      <c r="B1061" s="67" t="s">
        <v>318</v>
      </c>
      <c r="C1061" s="68">
        <v>161</v>
      </c>
      <c r="D1061" s="70">
        <v>144</v>
      </c>
      <c r="E1061" s="70">
        <v>151.5</v>
      </c>
      <c r="F1061" s="70">
        <v>159.1</v>
      </c>
      <c r="G1061" s="70">
        <v>166.6</v>
      </c>
      <c r="H1061" s="70">
        <v>174.2</v>
      </c>
      <c r="I1061" s="67" t="s">
        <v>1569</v>
      </c>
    </row>
    <row r="1062" spans="1:9" ht="15" customHeight="1">
      <c r="A1062" s="67" t="s">
        <v>1178</v>
      </c>
      <c r="B1062" s="67" t="s">
        <v>318</v>
      </c>
      <c r="C1062" s="68">
        <v>162</v>
      </c>
      <c r="D1062" s="70">
        <v>144.5</v>
      </c>
      <c r="E1062" s="70">
        <v>152.1</v>
      </c>
      <c r="F1062" s="70">
        <v>159.69999999999999</v>
      </c>
      <c r="G1062" s="70">
        <v>167.3</v>
      </c>
      <c r="H1062" s="70">
        <v>174.8</v>
      </c>
      <c r="I1062" s="67" t="s">
        <v>1570</v>
      </c>
    </row>
    <row r="1063" spans="1:9" ht="15" customHeight="1">
      <c r="A1063" s="67" t="s">
        <v>1178</v>
      </c>
      <c r="B1063" s="67" t="s">
        <v>318</v>
      </c>
      <c r="C1063" s="68">
        <v>163</v>
      </c>
      <c r="D1063" s="70">
        <v>145.1</v>
      </c>
      <c r="E1063" s="70">
        <v>152.69999999999999</v>
      </c>
      <c r="F1063" s="70">
        <v>160.30000000000001</v>
      </c>
      <c r="G1063" s="70">
        <v>167.9</v>
      </c>
      <c r="H1063" s="70">
        <v>175.5</v>
      </c>
      <c r="I1063" s="67" t="s">
        <v>1571</v>
      </c>
    </row>
    <row r="1064" spans="1:9" ht="15" customHeight="1">
      <c r="A1064" s="67" t="s">
        <v>1178</v>
      </c>
      <c r="B1064" s="67" t="s">
        <v>318</v>
      </c>
      <c r="C1064" s="68">
        <v>164</v>
      </c>
      <c r="D1064" s="70">
        <v>145.69999999999999</v>
      </c>
      <c r="E1064" s="70">
        <v>153.30000000000001</v>
      </c>
      <c r="F1064" s="70">
        <v>160.9</v>
      </c>
      <c r="G1064" s="70">
        <v>168.5</v>
      </c>
      <c r="H1064" s="70">
        <v>176.1</v>
      </c>
      <c r="I1064" s="67" t="s">
        <v>1572</v>
      </c>
    </row>
    <row r="1065" spans="1:9" ht="15" customHeight="1">
      <c r="A1065" s="67" t="s">
        <v>1178</v>
      </c>
      <c r="B1065" s="67" t="s">
        <v>318</v>
      </c>
      <c r="C1065" s="68">
        <v>165</v>
      </c>
      <c r="D1065" s="70">
        <v>146.19999999999999</v>
      </c>
      <c r="E1065" s="70">
        <v>153.80000000000001</v>
      </c>
      <c r="F1065" s="70">
        <v>161.5</v>
      </c>
      <c r="G1065" s="70">
        <v>169.1</v>
      </c>
      <c r="H1065" s="70">
        <v>176.7</v>
      </c>
      <c r="I1065" s="67" t="s">
        <v>1573</v>
      </c>
    </row>
    <row r="1066" spans="1:9" ht="15" customHeight="1">
      <c r="A1066" s="67" t="s">
        <v>1178</v>
      </c>
      <c r="B1066" s="67" t="s">
        <v>318</v>
      </c>
      <c r="C1066" s="68">
        <v>166</v>
      </c>
      <c r="D1066" s="70">
        <v>146.69999999999999</v>
      </c>
      <c r="E1066" s="70">
        <v>154.4</v>
      </c>
      <c r="F1066" s="70">
        <v>162.1</v>
      </c>
      <c r="G1066" s="70">
        <v>169.7</v>
      </c>
      <c r="H1066" s="70">
        <v>177.4</v>
      </c>
      <c r="I1066" s="67" t="s">
        <v>1574</v>
      </c>
    </row>
    <row r="1067" spans="1:9" ht="15" customHeight="1">
      <c r="A1067" s="67" t="s">
        <v>1178</v>
      </c>
      <c r="B1067" s="67" t="s">
        <v>318</v>
      </c>
      <c r="C1067" s="68">
        <v>167</v>
      </c>
      <c r="D1067" s="70">
        <v>147.30000000000001</v>
      </c>
      <c r="E1067" s="70">
        <v>154.9</v>
      </c>
      <c r="F1067" s="70">
        <v>162.6</v>
      </c>
      <c r="G1067" s="70">
        <v>170.3</v>
      </c>
      <c r="H1067" s="70">
        <v>178</v>
      </c>
      <c r="I1067" s="67" t="s">
        <v>1575</v>
      </c>
    </row>
    <row r="1068" spans="1:9" ht="15" customHeight="1">
      <c r="A1068" s="67" t="s">
        <v>1178</v>
      </c>
      <c r="B1068" s="67" t="s">
        <v>318</v>
      </c>
      <c r="C1068" s="68">
        <v>168</v>
      </c>
      <c r="D1068" s="70">
        <v>147.80000000000001</v>
      </c>
      <c r="E1068" s="70">
        <v>155.5</v>
      </c>
      <c r="F1068" s="70">
        <v>163.19999999999999</v>
      </c>
      <c r="G1068" s="70">
        <v>170.9</v>
      </c>
      <c r="H1068" s="70">
        <v>178.6</v>
      </c>
      <c r="I1068" s="67" t="s">
        <v>1576</v>
      </c>
    </row>
    <row r="1069" spans="1:9" ht="15" customHeight="1">
      <c r="A1069" s="67" t="s">
        <v>1178</v>
      </c>
      <c r="B1069" s="67" t="s">
        <v>318</v>
      </c>
      <c r="C1069" s="68">
        <v>169</v>
      </c>
      <c r="D1069" s="70">
        <v>148.30000000000001</v>
      </c>
      <c r="E1069" s="70">
        <v>156</v>
      </c>
      <c r="F1069" s="70">
        <v>163.69999999999999</v>
      </c>
      <c r="G1069" s="70">
        <v>171.4</v>
      </c>
      <c r="H1069" s="70">
        <v>179.1</v>
      </c>
      <c r="I1069" s="67" t="s">
        <v>1577</v>
      </c>
    </row>
    <row r="1070" spans="1:9" ht="15" customHeight="1">
      <c r="A1070" s="67" t="s">
        <v>1178</v>
      </c>
      <c r="B1070" s="67" t="s">
        <v>318</v>
      </c>
      <c r="C1070" s="68">
        <v>170</v>
      </c>
      <c r="D1070" s="70">
        <v>148.80000000000001</v>
      </c>
      <c r="E1070" s="70">
        <v>156.5</v>
      </c>
      <c r="F1070" s="70">
        <v>164.3</v>
      </c>
      <c r="G1070" s="70">
        <v>172</v>
      </c>
      <c r="H1070" s="70">
        <v>179.7</v>
      </c>
      <c r="I1070" s="67" t="s">
        <v>1578</v>
      </c>
    </row>
    <row r="1071" spans="1:9" ht="15" customHeight="1">
      <c r="A1071" s="67" t="s">
        <v>1178</v>
      </c>
      <c r="B1071" s="67" t="s">
        <v>318</v>
      </c>
      <c r="C1071" s="68">
        <v>171</v>
      </c>
      <c r="D1071" s="70">
        <v>149.30000000000001</v>
      </c>
      <c r="E1071" s="70">
        <v>157.1</v>
      </c>
      <c r="F1071" s="70">
        <v>164.8</v>
      </c>
      <c r="G1071" s="70">
        <v>172.5</v>
      </c>
      <c r="H1071" s="70">
        <v>180.3</v>
      </c>
      <c r="I1071" s="67" t="s">
        <v>1579</v>
      </c>
    </row>
    <row r="1072" spans="1:9" ht="15" customHeight="1">
      <c r="A1072" s="67" t="s">
        <v>1178</v>
      </c>
      <c r="B1072" s="67" t="s">
        <v>318</v>
      </c>
      <c r="C1072" s="68">
        <v>172</v>
      </c>
      <c r="D1072" s="70">
        <v>149.80000000000001</v>
      </c>
      <c r="E1072" s="70">
        <v>157.6</v>
      </c>
      <c r="F1072" s="70">
        <v>165.3</v>
      </c>
      <c r="G1072" s="70">
        <v>173.1</v>
      </c>
      <c r="H1072" s="70">
        <v>180.8</v>
      </c>
      <c r="I1072" s="67" t="s">
        <v>1580</v>
      </c>
    </row>
    <row r="1073" spans="1:9" ht="15" customHeight="1">
      <c r="A1073" s="67" t="s">
        <v>1178</v>
      </c>
      <c r="B1073" s="67" t="s">
        <v>318</v>
      </c>
      <c r="C1073" s="68">
        <v>173</v>
      </c>
      <c r="D1073" s="70">
        <v>150.30000000000001</v>
      </c>
      <c r="E1073" s="70">
        <v>158.1</v>
      </c>
      <c r="F1073" s="70">
        <v>165.8</v>
      </c>
      <c r="G1073" s="70">
        <v>173.6</v>
      </c>
      <c r="H1073" s="70">
        <v>181.3</v>
      </c>
      <c r="I1073" s="67" t="s">
        <v>1581</v>
      </c>
    </row>
    <row r="1074" spans="1:9" ht="15" customHeight="1">
      <c r="A1074" s="67" t="s">
        <v>1178</v>
      </c>
      <c r="B1074" s="67" t="s">
        <v>318</v>
      </c>
      <c r="C1074" s="68">
        <v>174</v>
      </c>
      <c r="D1074" s="70">
        <v>150.80000000000001</v>
      </c>
      <c r="E1074" s="70">
        <v>158.5</v>
      </c>
      <c r="F1074" s="70">
        <v>166.3</v>
      </c>
      <c r="G1074" s="70">
        <v>174.1</v>
      </c>
      <c r="H1074" s="70">
        <v>181.8</v>
      </c>
      <c r="I1074" s="67" t="s">
        <v>1582</v>
      </c>
    </row>
    <row r="1075" spans="1:9" ht="15" customHeight="1">
      <c r="A1075" s="67" t="s">
        <v>1178</v>
      </c>
      <c r="B1075" s="67" t="s">
        <v>318</v>
      </c>
      <c r="C1075" s="68">
        <v>175</v>
      </c>
      <c r="D1075" s="70">
        <v>151.19999999999999</v>
      </c>
      <c r="E1075" s="70">
        <v>159</v>
      </c>
      <c r="F1075" s="70">
        <v>166.8</v>
      </c>
      <c r="G1075" s="70">
        <v>174.6</v>
      </c>
      <c r="H1075" s="70">
        <v>182.3</v>
      </c>
      <c r="I1075" s="67" t="s">
        <v>1583</v>
      </c>
    </row>
    <row r="1076" spans="1:9" ht="15" customHeight="1">
      <c r="A1076" s="67" t="s">
        <v>1178</v>
      </c>
      <c r="B1076" s="67" t="s">
        <v>318</v>
      </c>
      <c r="C1076" s="68">
        <v>176</v>
      </c>
      <c r="D1076" s="70">
        <v>151.69999999999999</v>
      </c>
      <c r="E1076" s="70">
        <v>159.5</v>
      </c>
      <c r="F1076" s="70">
        <v>167.2</v>
      </c>
      <c r="G1076" s="70">
        <v>175</v>
      </c>
      <c r="H1076" s="70">
        <v>182.8</v>
      </c>
      <c r="I1076" s="67" t="s">
        <v>1584</v>
      </c>
    </row>
    <row r="1077" spans="1:9" ht="15" customHeight="1">
      <c r="A1077" s="67" t="s">
        <v>1178</v>
      </c>
      <c r="B1077" s="67" t="s">
        <v>318</v>
      </c>
      <c r="C1077" s="68">
        <v>177</v>
      </c>
      <c r="D1077" s="70">
        <v>152.1</v>
      </c>
      <c r="E1077" s="70">
        <v>159.9</v>
      </c>
      <c r="F1077" s="70">
        <v>167.7</v>
      </c>
      <c r="G1077" s="70">
        <v>175.5</v>
      </c>
      <c r="H1077" s="70">
        <v>183.3</v>
      </c>
      <c r="I1077" s="67" t="s">
        <v>1585</v>
      </c>
    </row>
    <row r="1078" spans="1:9" ht="15" customHeight="1">
      <c r="A1078" s="67" t="s">
        <v>1178</v>
      </c>
      <c r="B1078" s="67" t="s">
        <v>318</v>
      </c>
      <c r="C1078" s="68">
        <v>178</v>
      </c>
      <c r="D1078" s="70">
        <v>152.5</v>
      </c>
      <c r="E1078" s="70">
        <v>160.30000000000001</v>
      </c>
      <c r="F1078" s="70">
        <v>168.1</v>
      </c>
      <c r="G1078" s="70">
        <v>175.9</v>
      </c>
      <c r="H1078" s="70">
        <v>183.7</v>
      </c>
      <c r="I1078" s="67" t="s">
        <v>1586</v>
      </c>
    </row>
    <row r="1079" spans="1:9" ht="15" customHeight="1">
      <c r="A1079" s="67" t="s">
        <v>1178</v>
      </c>
      <c r="B1079" s="67" t="s">
        <v>318</v>
      </c>
      <c r="C1079" s="68">
        <v>179</v>
      </c>
      <c r="D1079" s="70">
        <v>152.9</v>
      </c>
      <c r="E1079" s="70">
        <v>160.69999999999999</v>
      </c>
      <c r="F1079" s="70">
        <v>168.5</v>
      </c>
      <c r="G1079" s="70">
        <v>176.3</v>
      </c>
      <c r="H1079" s="70">
        <v>184.1</v>
      </c>
      <c r="I1079" s="67" t="s">
        <v>1587</v>
      </c>
    </row>
    <row r="1080" spans="1:9" ht="15" customHeight="1">
      <c r="A1080" s="67" t="s">
        <v>1178</v>
      </c>
      <c r="B1080" s="67" t="s">
        <v>318</v>
      </c>
      <c r="C1080" s="68">
        <v>180</v>
      </c>
      <c r="D1080" s="70">
        <v>153.4</v>
      </c>
      <c r="E1080" s="70">
        <v>161.19999999999999</v>
      </c>
      <c r="F1080" s="70">
        <v>169</v>
      </c>
      <c r="G1080" s="70">
        <v>176.8</v>
      </c>
      <c r="H1080" s="70">
        <v>184.6</v>
      </c>
      <c r="I1080" s="67" t="s">
        <v>1588</v>
      </c>
    </row>
    <row r="1081" spans="1:9" ht="15" customHeight="1">
      <c r="A1081" s="67" t="s">
        <v>1178</v>
      </c>
      <c r="B1081" s="67" t="s">
        <v>318</v>
      </c>
      <c r="C1081" s="68">
        <v>181</v>
      </c>
      <c r="D1081" s="70">
        <v>153.69999999999999</v>
      </c>
      <c r="E1081" s="70">
        <v>161.5</v>
      </c>
      <c r="F1081" s="70">
        <v>169.4</v>
      </c>
      <c r="G1081" s="70">
        <v>177.2</v>
      </c>
      <c r="H1081" s="70">
        <v>185</v>
      </c>
      <c r="I1081" s="67" t="s">
        <v>1589</v>
      </c>
    </row>
    <row r="1082" spans="1:9" ht="15" customHeight="1">
      <c r="A1082" s="67" t="s">
        <v>1178</v>
      </c>
      <c r="B1082" s="67" t="s">
        <v>318</v>
      </c>
      <c r="C1082" s="68">
        <v>182</v>
      </c>
      <c r="D1082" s="70">
        <v>154.1</v>
      </c>
      <c r="E1082" s="70">
        <v>161.9</v>
      </c>
      <c r="F1082" s="70">
        <v>169.7</v>
      </c>
      <c r="G1082" s="70">
        <v>177.5</v>
      </c>
      <c r="H1082" s="70">
        <v>185.4</v>
      </c>
      <c r="I1082" s="67" t="s">
        <v>1590</v>
      </c>
    </row>
    <row r="1083" spans="1:9" ht="15" customHeight="1">
      <c r="A1083" s="67" t="s">
        <v>1178</v>
      </c>
      <c r="B1083" s="67" t="s">
        <v>318</v>
      </c>
      <c r="C1083" s="68">
        <v>183</v>
      </c>
      <c r="D1083" s="70">
        <v>154.5</v>
      </c>
      <c r="E1083" s="70">
        <v>162.30000000000001</v>
      </c>
      <c r="F1083" s="70">
        <v>170.1</v>
      </c>
      <c r="G1083" s="70">
        <v>177.9</v>
      </c>
      <c r="H1083" s="70">
        <v>185.7</v>
      </c>
      <c r="I1083" s="67" t="s">
        <v>1591</v>
      </c>
    </row>
    <row r="1084" spans="1:9" ht="15" customHeight="1">
      <c r="A1084" s="67" t="s">
        <v>1178</v>
      </c>
      <c r="B1084" s="67" t="s">
        <v>318</v>
      </c>
      <c r="C1084" s="68">
        <v>184</v>
      </c>
      <c r="D1084" s="70">
        <v>154.9</v>
      </c>
      <c r="E1084" s="70">
        <v>162.69999999999999</v>
      </c>
      <c r="F1084" s="70">
        <v>170.5</v>
      </c>
      <c r="G1084" s="70">
        <v>178.3</v>
      </c>
      <c r="H1084" s="70">
        <v>186.1</v>
      </c>
      <c r="I1084" s="67" t="s">
        <v>1592</v>
      </c>
    </row>
    <row r="1085" spans="1:9" ht="15" customHeight="1">
      <c r="A1085" s="67" t="s">
        <v>1178</v>
      </c>
      <c r="B1085" s="67" t="s">
        <v>318</v>
      </c>
      <c r="C1085" s="68">
        <v>185</v>
      </c>
      <c r="D1085" s="70">
        <v>155.19999999999999</v>
      </c>
      <c r="E1085" s="70">
        <v>163</v>
      </c>
      <c r="F1085" s="70">
        <v>170.8</v>
      </c>
      <c r="G1085" s="70">
        <v>178.6</v>
      </c>
      <c r="H1085" s="70">
        <v>186.4</v>
      </c>
      <c r="I1085" s="67" t="s">
        <v>1593</v>
      </c>
    </row>
    <row r="1086" spans="1:9" ht="15" customHeight="1">
      <c r="A1086" s="67" t="s">
        <v>1178</v>
      </c>
      <c r="B1086" s="67" t="s">
        <v>318</v>
      </c>
      <c r="C1086" s="68">
        <v>186</v>
      </c>
      <c r="D1086" s="70">
        <v>155.5</v>
      </c>
      <c r="E1086" s="70">
        <v>163.30000000000001</v>
      </c>
      <c r="F1086" s="70">
        <v>171.1</v>
      </c>
      <c r="G1086" s="70">
        <v>178.9</v>
      </c>
      <c r="H1086" s="70">
        <v>186.8</v>
      </c>
      <c r="I1086" s="67" t="s">
        <v>1594</v>
      </c>
    </row>
    <row r="1087" spans="1:9" ht="15" customHeight="1">
      <c r="A1087" s="67" t="s">
        <v>1178</v>
      </c>
      <c r="B1087" s="67" t="s">
        <v>318</v>
      </c>
      <c r="C1087" s="68">
        <v>187</v>
      </c>
      <c r="D1087" s="70">
        <v>155.9</v>
      </c>
      <c r="E1087" s="70">
        <v>163.69999999999999</v>
      </c>
      <c r="F1087" s="70">
        <v>171.5</v>
      </c>
      <c r="G1087" s="70">
        <v>179.3</v>
      </c>
      <c r="H1087" s="70">
        <v>187.1</v>
      </c>
      <c r="I1087" s="67" t="s">
        <v>1595</v>
      </c>
    </row>
    <row r="1088" spans="1:9" ht="15" customHeight="1">
      <c r="A1088" s="67" t="s">
        <v>1178</v>
      </c>
      <c r="B1088" s="67" t="s">
        <v>318</v>
      </c>
      <c r="C1088" s="68">
        <v>188</v>
      </c>
      <c r="D1088" s="70">
        <v>156.19999999999999</v>
      </c>
      <c r="E1088" s="70">
        <v>164</v>
      </c>
      <c r="F1088" s="70">
        <v>171.8</v>
      </c>
      <c r="G1088" s="70">
        <v>179.6</v>
      </c>
      <c r="H1088" s="70">
        <v>187.4</v>
      </c>
      <c r="I1088" s="67" t="s">
        <v>1596</v>
      </c>
    </row>
    <row r="1089" spans="1:9" ht="15" customHeight="1">
      <c r="A1089" s="67" t="s">
        <v>1178</v>
      </c>
      <c r="B1089" s="67" t="s">
        <v>318</v>
      </c>
      <c r="C1089" s="68">
        <v>189</v>
      </c>
      <c r="D1089" s="70">
        <v>156.5</v>
      </c>
      <c r="E1089" s="70">
        <v>164.3</v>
      </c>
      <c r="F1089" s="70">
        <v>172.1</v>
      </c>
      <c r="G1089" s="70">
        <v>179.9</v>
      </c>
      <c r="H1089" s="70">
        <v>187.7</v>
      </c>
      <c r="I1089" s="67" t="s">
        <v>1597</v>
      </c>
    </row>
    <row r="1090" spans="1:9" ht="15" customHeight="1">
      <c r="A1090" s="67" t="s">
        <v>1178</v>
      </c>
      <c r="B1090" s="67" t="s">
        <v>318</v>
      </c>
      <c r="C1090" s="68">
        <v>190</v>
      </c>
      <c r="D1090" s="70">
        <v>156.80000000000001</v>
      </c>
      <c r="E1090" s="70">
        <v>164.6</v>
      </c>
      <c r="F1090" s="70">
        <v>172.4</v>
      </c>
      <c r="G1090" s="70">
        <v>180.1</v>
      </c>
      <c r="H1090" s="70">
        <v>187.9</v>
      </c>
      <c r="I1090" s="67" t="s">
        <v>1598</v>
      </c>
    </row>
    <row r="1091" spans="1:9" ht="15" customHeight="1">
      <c r="A1091" s="67" t="s">
        <v>1178</v>
      </c>
      <c r="B1091" s="67" t="s">
        <v>318</v>
      </c>
      <c r="C1091" s="68">
        <v>191</v>
      </c>
      <c r="D1091" s="70">
        <v>157.1</v>
      </c>
      <c r="E1091" s="70">
        <v>164.9</v>
      </c>
      <c r="F1091" s="70">
        <v>172.6</v>
      </c>
      <c r="G1091" s="70">
        <v>180.4</v>
      </c>
      <c r="H1091" s="70">
        <v>188.2</v>
      </c>
      <c r="I1091" s="67" t="s">
        <v>1599</v>
      </c>
    </row>
    <row r="1092" spans="1:9" ht="15" customHeight="1">
      <c r="A1092" s="67" t="s">
        <v>1178</v>
      </c>
      <c r="B1092" s="67" t="s">
        <v>318</v>
      </c>
      <c r="C1092" s="68">
        <v>192</v>
      </c>
      <c r="D1092" s="70">
        <v>157.4</v>
      </c>
      <c r="E1092" s="70">
        <v>165.1</v>
      </c>
      <c r="F1092" s="70">
        <v>172.9</v>
      </c>
      <c r="G1092" s="70">
        <v>180.7</v>
      </c>
      <c r="H1092" s="70">
        <v>188.4</v>
      </c>
      <c r="I1092" s="67" t="s">
        <v>1600</v>
      </c>
    </row>
    <row r="1093" spans="1:9" ht="15" customHeight="1">
      <c r="A1093" s="67" t="s">
        <v>1178</v>
      </c>
      <c r="B1093" s="67" t="s">
        <v>318</v>
      </c>
      <c r="C1093" s="68">
        <v>193</v>
      </c>
      <c r="D1093" s="70">
        <v>157.6</v>
      </c>
      <c r="E1093" s="70">
        <v>165.4</v>
      </c>
      <c r="F1093" s="70">
        <v>173.1</v>
      </c>
      <c r="G1093" s="70">
        <v>180.9</v>
      </c>
      <c r="H1093" s="70">
        <v>188.7</v>
      </c>
      <c r="I1093" s="67" t="s">
        <v>1601</v>
      </c>
    </row>
    <row r="1094" spans="1:9" ht="15" customHeight="1">
      <c r="A1094" s="67" t="s">
        <v>1178</v>
      </c>
      <c r="B1094" s="67" t="s">
        <v>318</v>
      </c>
      <c r="C1094" s="68">
        <v>194</v>
      </c>
      <c r="D1094" s="70">
        <v>157.9</v>
      </c>
      <c r="E1094" s="70">
        <v>165.6</v>
      </c>
      <c r="F1094" s="70">
        <v>173.4</v>
      </c>
      <c r="G1094" s="70">
        <v>181.1</v>
      </c>
      <c r="H1094" s="70">
        <v>188.9</v>
      </c>
      <c r="I1094" s="67" t="s">
        <v>1602</v>
      </c>
    </row>
    <row r="1095" spans="1:9" ht="15" customHeight="1">
      <c r="A1095" s="67" t="s">
        <v>1178</v>
      </c>
      <c r="B1095" s="67" t="s">
        <v>318</v>
      </c>
      <c r="C1095" s="68">
        <v>195</v>
      </c>
      <c r="D1095" s="70">
        <v>158.1</v>
      </c>
      <c r="E1095" s="70">
        <v>165.9</v>
      </c>
      <c r="F1095" s="70">
        <v>173.6</v>
      </c>
      <c r="G1095" s="70">
        <v>181.4</v>
      </c>
      <c r="H1095" s="70">
        <v>189.1</v>
      </c>
      <c r="I1095" s="67" t="s">
        <v>1603</v>
      </c>
    </row>
    <row r="1096" spans="1:9" ht="15" customHeight="1">
      <c r="A1096" s="67" t="s">
        <v>1178</v>
      </c>
      <c r="B1096" s="67" t="s">
        <v>318</v>
      </c>
      <c r="C1096" s="68">
        <v>196</v>
      </c>
      <c r="D1096" s="70">
        <v>158.4</v>
      </c>
      <c r="E1096" s="70">
        <v>166.1</v>
      </c>
      <c r="F1096" s="70">
        <v>173.8</v>
      </c>
      <c r="G1096" s="70">
        <v>181.6</v>
      </c>
      <c r="H1096" s="70">
        <v>189.3</v>
      </c>
      <c r="I1096" s="67" t="s">
        <v>1604</v>
      </c>
    </row>
    <row r="1097" spans="1:9" ht="15" customHeight="1">
      <c r="A1097" s="67" t="s">
        <v>1178</v>
      </c>
      <c r="B1097" s="67" t="s">
        <v>318</v>
      </c>
      <c r="C1097" s="68">
        <v>197</v>
      </c>
      <c r="D1097" s="70">
        <v>158.6</v>
      </c>
      <c r="E1097" s="70">
        <v>166.3</v>
      </c>
      <c r="F1097" s="70">
        <v>174</v>
      </c>
      <c r="G1097" s="70">
        <v>181.8</v>
      </c>
      <c r="H1097" s="70">
        <v>189.5</v>
      </c>
      <c r="I1097" s="67" t="s">
        <v>1605</v>
      </c>
    </row>
    <row r="1098" spans="1:9" ht="15" customHeight="1">
      <c r="A1098" s="67" t="s">
        <v>1178</v>
      </c>
      <c r="B1098" s="67" t="s">
        <v>318</v>
      </c>
      <c r="C1098" s="68">
        <v>198</v>
      </c>
      <c r="D1098" s="70">
        <v>158.80000000000001</v>
      </c>
      <c r="E1098" s="70">
        <v>166.5</v>
      </c>
      <c r="F1098" s="70">
        <v>174.2</v>
      </c>
      <c r="G1098" s="70">
        <v>181.9</v>
      </c>
      <c r="H1098" s="70">
        <v>189.7</v>
      </c>
      <c r="I1098" s="67" t="s">
        <v>1606</v>
      </c>
    </row>
    <row r="1099" spans="1:9" ht="15" customHeight="1">
      <c r="A1099" s="67" t="s">
        <v>1178</v>
      </c>
      <c r="B1099" s="67" t="s">
        <v>318</v>
      </c>
      <c r="C1099" s="68">
        <v>199</v>
      </c>
      <c r="D1099" s="70">
        <v>159</v>
      </c>
      <c r="E1099" s="70">
        <v>166.7</v>
      </c>
      <c r="F1099" s="70">
        <v>174.4</v>
      </c>
      <c r="G1099" s="70">
        <v>182.1</v>
      </c>
      <c r="H1099" s="70">
        <v>189.8</v>
      </c>
      <c r="I1099" s="67" t="s">
        <v>1607</v>
      </c>
    </row>
    <row r="1100" spans="1:9" ht="15" customHeight="1">
      <c r="A1100" s="67" t="s">
        <v>1178</v>
      </c>
      <c r="B1100" s="67" t="s">
        <v>318</v>
      </c>
      <c r="C1100" s="68">
        <v>200</v>
      </c>
      <c r="D1100" s="70">
        <v>159.19999999999999</v>
      </c>
      <c r="E1100" s="70">
        <v>166.9</v>
      </c>
      <c r="F1100" s="70">
        <v>174.6</v>
      </c>
      <c r="G1100" s="70">
        <v>182.3</v>
      </c>
      <c r="H1100" s="70">
        <v>190</v>
      </c>
      <c r="I1100" s="67" t="s">
        <v>1608</v>
      </c>
    </row>
    <row r="1101" spans="1:9" ht="15" customHeight="1">
      <c r="A1101" s="67" t="s">
        <v>1178</v>
      </c>
      <c r="B1101" s="67" t="s">
        <v>318</v>
      </c>
      <c r="C1101" s="68">
        <v>201</v>
      </c>
      <c r="D1101" s="70">
        <v>159.4</v>
      </c>
      <c r="E1101" s="70">
        <v>167.1</v>
      </c>
      <c r="F1101" s="70">
        <v>174.7</v>
      </c>
      <c r="G1101" s="70">
        <v>182.4</v>
      </c>
      <c r="H1101" s="70">
        <v>190.1</v>
      </c>
      <c r="I1101" s="67" t="s">
        <v>1609</v>
      </c>
    </row>
    <row r="1102" spans="1:9" ht="15" customHeight="1">
      <c r="A1102" s="67" t="s">
        <v>1178</v>
      </c>
      <c r="B1102" s="67" t="s">
        <v>318</v>
      </c>
      <c r="C1102" s="68">
        <v>202</v>
      </c>
      <c r="D1102" s="70">
        <v>159.6</v>
      </c>
      <c r="E1102" s="70">
        <v>167.2</v>
      </c>
      <c r="F1102" s="70">
        <v>174.9</v>
      </c>
      <c r="G1102" s="70">
        <v>182.6</v>
      </c>
      <c r="H1102" s="70">
        <v>190.2</v>
      </c>
      <c r="I1102" s="67" t="s">
        <v>1610</v>
      </c>
    </row>
    <row r="1103" spans="1:9" ht="15" customHeight="1">
      <c r="A1103" s="67" t="s">
        <v>1178</v>
      </c>
      <c r="B1103" s="67" t="s">
        <v>318</v>
      </c>
      <c r="C1103" s="68">
        <v>203</v>
      </c>
      <c r="D1103" s="70">
        <v>159.69999999999999</v>
      </c>
      <c r="E1103" s="70">
        <v>167.4</v>
      </c>
      <c r="F1103" s="70">
        <v>175</v>
      </c>
      <c r="G1103" s="70">
        <v>182.7</v>
      </c>
      <c r="H1103" s="70">
        <v>190.3</v>
      </c>
      <c r="I1103" s="67" t="s">
        <v>1611</v>
      </c>
    </row>
    <row r="1104" spans="1:9" ht="15" customHeight="1">
      <c r="A1104" s="67" t="s">
        <v>1178</v>
      </c>
      <c r="B1104" s="67" t="s">
        <v>318</v>
      </c>
      <c r="C1104" s="68">
        <v>204</v>
      </c>
      <c r="D1104" s="70">
        <v>159.9</v>
      </c>
      <c r="E1104" s="70">
        <v>167.5</v>
      </c>
      <c r="F1104" s="70">
        <v>175.2</v>
      </c>
      <c r="G1104" s="70">
        <v>182.8</v>
      </c>
      <c r="H1104" s="70">
        <v>190.4</v>
      </c>
      <c r="I1104" s="67" t="s">
        <v>1612</v>
      </c>
    </row>
    <row r="1105" spans="1:9" ht="15" customHeight="1">
      <c r="A1105" s="67" t="s">
        <v>1178</v>
      </c>
      <c r="B1105" s="67" t="s">
        <v>318</v>
      </c>
      <c r="C1105" s="68">
        <v>205</v>
      </c>
      <c r="D1105" s="70">
        <v>160</v>
      </c>
      <c r="E1105" s="70">
        <v>167.7</v>
      </c>
      <c r="F1105" s="70">
        <v>175.3</v>
      </c>
      <c r="G1105" s="70">
        <v>182.9</v>
      </c>
      <c r="H1105" s="70">
        <v>190.5</v>
      </c>
      <c r="I1105" s="67" t="s">
        <v>1613</v>
      </c>
    </row>
    <row r="1106" spans="1:9" ht="15" customHeight="1">
      <c r="A1106" s="67" t="s">
        <v>1178</v>
      </c>
      <c r="B1106" s="67" t="s">
        <v>318</v>
      </c>
      <c r="C1106" s="68">
        <v>206</v>
      </c>
      <c r="D1106" s="70">
        <v>160.19999999999999</v>
      </c>
      <c r="E1106" s="70">
        <v>167.8</v>
      </c>
      <c r="F1106" s="70">
        <v>175.4</v>
      </c>
      <c r="G1106" s="70">
        <v>183</v>
      </c>
      <c r="H1106" s="70">
        <v>190.6</v>
      </c>
      <c r="I1106" s="67" t="s">
        <v>1614</v>
      </c>
    </row>
    <row r="1107" spans="1:9" ht="15" customHeight="1">
      <c r="A1107" s="67" t="s">
        <v>1178</v>
      </c>
      <c r="B1107" s="67" t="s">
        <v>318</v>
      </c>
      <c r="C1107" s="68">
        <v>207</v>
      </c>
      <c r="D1107" s="70">
        <v>160.30000000000001</v>
      </c>
      <c r="E1107" s="70">
        <v>167.9</v>
      </c>
      <c r="F1107" s="70">
        <v>175.5</v>
      </c>
      <c r="G1107" s="70">
        <v>183.1</v>
      </c>
      <c r="H1107" s="70">
        <v>190.7</v>
      </c>
      <c r="I1107" s="67" t="s">
        <v>1615</v>
      </c>
    </row>
    <row r="1108" spans="1:9" ht="15" customHeight="1">
      <c r="A1108" s="67" t="s">
        <v>1178</v>
      </c>
      <c r="B1108" s="67" t="s">
        <v>318</v>
      </c>
      <c r="C1108" s="68">
        <v>208</v>
      </c>
      <c r="D1108" s="70">
        <v>160.4</v>
      </c>
      <c r="E1108" s="70">
        <v>168</v>
      </c>
      <c r="F1108" s="70">
        <v>175.6</v>
      </c>
      <c r="G1108" s="70">
        <v>183.2</v>
      </c>
      <c r="H1108" s="70">
        <v>190.8</v>
      </c>
      <c r="I1108" s="67" t="s">
        <v>1616</v>
      </c>
    </row>
    <row r="1109" spans="1:9" ht="15" customHeight="1">
      <c r="A1109" s="67" t="s">
        <v>1178</v>
      </c>
      <c r="B1109" s="67" t="s">
        <v>318</v>
      </c>
      <c r="C1109" s="68">
        <v>209</v>
      </c>
      <c r="D1109" s="70">
        <v>160.5</v>
      </c>
      <c r="E1109" s="70">
        <v>168.1</v>
      </c>
      <c r="F1109" s="70">
        <v>175.7</v>
      </c>
      <c r="G1109" s="70">
        <v>183.3</v>
      </c>
      <c r="H1109" s="70">
        <v>190.8</v>
      </c>
      <c r="I1109" s="67" t="s">
        <v>1617</v>
      </c>
    </row>
    <row r="1110" spans="1:9" ht="15" customHeight="1">
      <c r="A1110" s="67" t="s">
        <v>1178</v>
      </c>
      <c r="B1110" s="67" t="s">
        <v>318</v>
      </c>
      <c r="C1110" s="68">
        <v>210</v>
      </c>
      <c r="D1110" s="70">
        <v>160.6</v>
      </c>
      <c r="E1110" s="70">
        <v>168.2</v>
      </c>
      <c r="F1110" s="70">
        <v>175.8</v>
      </c>
      <c r="G1110" s="70">
        <v>183.3</v>
      </c>
      <c r="H1110" s="70">
        <v>190.9</v>
      </c>
      <c r="I1110" s="67" t="s">
        <v>1618</v>
      </c>
    </row>
    <row r="1111" spans="1:9" ht="15" customHeight="1">
      <c r="A1111" s="67" t="s">
        <v>1178</v>
      </c>
      <c r="B1111" s="67" t="s">
        <v>318</v>
      </c>
      <c r="C1111" s="68">
        <v>211</v>
      </c>
      <c r="D1111" s="70">
        <v>160.80000000000001</v>
      </c>
      <c r="E1111" s="70">
        <v>168.3</v>
      </c>
      <c r="F1111" s="70">
        <v>175.8</v>
      </c>
      <c r="G1111" s="70">
        <v>183.4</v>
      </c>
      <c r="H1111" s="70">
        <v>190.9</v>
      </c>
      <c r="I1111" s="67" t="s">
        <v>1619</v>
      </c>
    </row>
    <row r="1112" spans="1:9" ht="15" customHeight="1">
      <c r="A1112" s="67" t="s">
        <v>1178</v>
      </c>
      <c r="B1112" s="67" t="s">
        <v>318</v>
      </c>
      <c r="C1112" s="68">
        <v>212</v>
      </c>
      <c r="D1112" s="70">
        <v>160.9</v>
      </c>
      <c r="E1112" s="70">
        <v>168.4</v>
      </c>
      <c r="F1112" s="70">
        <v>175.9</v>
      </c>
      <c r="G1112" s="70">
        <v>183.4</v>
      </c>
      <c r="H1112" s="70">
        <v>191</v>
      </c>
      <c r="I1112" s="67" t="s">
        <v>1620</v>
      </c>
    </row>
    <row r="1113" spans="1:9" ht="15" customHeight="1">
      <c r="A1113" s="67" t="s">
        <v>1178</v>
      </c>
      <c r="B1113" s="67" t="s">
        <v>318</v>
      </c>
      <c r="C1113" s="68">
        <v>213</v>
      </c>
      <c r="D1113" s="70">
        <v>160.9</v>
      </c>
      <c r="E1113" s="70">
        <v>168.5</v>
      </c>
      <c r="F1113" s="70">
        <v>176</v>
      </c>
      <c r="G1113" s="70">
        <v>183.5</v>
      </c>
      <c r="H1113" s="70">
        <v>191</v>
      </c>
      <c r="I1113" s="67" t="s">
        <v>1621</v>
      </c>
    </row>
    <row r="1114" spans="1:9" ht="15" customHeight="1">
      <c r="A1114" s="67" t="s">
        <v>1178</v>
      </c>
      <c r="B1114" s="67" t="s">
        <v>318</v>
      </c>
      <c r="C1114" s="68">
        <v>214</v>
      </c>
      <c r="D1114" s="70">
        <v>161</v>
      </c>
      <c r="E1114" s="70">
        <v>168.5</v>
      </c>
      <c r="F1114" s="70">
        <v>176</v>
      </c>
      <c r="G1114" s="70">
        <v>183.5</v>
      </c>
      <c r="H1114" s="70">
        <v>191</v>
      </c>
      <c r="I1114" s="67" t="s">
        <v>1622</v>
      </c>
    </row>
    <row r="1115" spans="1:9" ht="15" customHeight="1">
      <c r="A1115" s="67" t="s">
        <v>1178</v>
      </c>
      <c r="B1115" s="67" t="s">
        <v>318</v>
      </c>
      <c r="C1115" s="68">
        <v>215</v>
      </c>
      <c r="D1115" s="70">
        <v>161.1</v>
      </c>
      <c r="E1115" s="70">
        <v>168.6</v>
      </c>
      <c r="F1115" s="70">
        <v>176.1</v>
      </c>
      <c r="G1115" s="70">
        <v>183.6</v>
      </c>
      <c r="H1115" s="70">
        <v>191.1</v>
      </c>
      <c r="I1115" s="67" t="s">
        <v>1623</v>
      </c>
    </row>
    <row r="1116" spans="1:9" ht="15" customHeight="1">
      <c r="A1116" s="67" t="s">
        <v>1178</v>
      </c>
      <c r="B1116" s="67" t="s">
        <v>318</v>
      </c>
      <c r="C1116" s="68">
        <v>216</v>
      </c>
      <c r="D1116" s="70">
        <v>161.19999999999999</v>
      </c>
      <c r="E1116" s="70">
        <v>168.7</v>
      </c>
      <c r="F1116" s="70">
        <v>176.1</v>
      </c>
      <c r="G1116" s="70">
        <v>183.6</v>
      </c>
      <c r="H1116" s="70">
        <v>191.1</v>
      </c>
      <c r="I1116" s="67" t="s">
        <v>1624</v>
      </c>
    </row>
    <row r="1117" spans="1:9" ht="15" customHeight="1">
      <c r="A1117" s="67" t="s">
        <v>1178</v>
      </c>
      <c r="B1117" s="67" t="s">
        <v>318</v>
      </c>
      <c r="C1117" s="68">
        <v>217</v>
      </c>
      <c r="D1117" s="70">
        <v>161.30000000000001</v>
      </c>
      <c r="E1117" s="70">
        <v>168.7</v>
      </c>
      <c r="F1117" s="70">
        <v>176.2</v>
      </c>
      <c r="G1117" s="70">
        <v>183.6</v>
      </c>
      <c r="H1117" s="70">
        <v>191.1</v>
      </c>
      <c r="I1117" s="67" t="s">
        <v>1625</v>
      </c>
    </row>
    <row r="1118" spans="1:9" ht="15" customHeight="1">
      <c r="A1118" s="67" t="s">
        <v>1178</v>
      </c>
      <c r="B1118" s="67" t="s">
        <v>318</v>
      </c>
      <c r="C1118" s="68">
        <v>218</v>
      </c>
      <c r="D1118" s="70">
        <v>161.4</v>
      </c>
      <c r="E1118" s="70">
        <v>168.8</v>
      </c>
      <c r="F1118" s="70">
        <v>176.2</v>
      </c>
      <c r="G1118" s="70">
        <v>183.7</v>
      </c>
      <c r="H1118" s="70">
        <v>191.1</v>
      </c>
      <c r="I1118" s="67" t="s">
        <v>1626</v>
      </c>
    </row>
    <row r="1119" spans="1:9" ht="15" customHeight="1">
      <c r="A1119" s="67" t="s">
        <v>1178</v>
      </c>
      <c r="B1119" s="67" t="s">
        <v>318</v>
      </c>
      <c r="C1119" s="68">
        <v>219</v>
      </c>
      <c r="D1119" s="70">
        <v>161.4</v>
      </c>
      <c r="E1119" s="70">
        <v>168.9</v>
      </c>
      <c r="F1119" s="70">
        <v>176.3</v>
      </c>
      <c r="G1119" s="70">
        <v>183.7</v>
      </c>
      <c r="H1119" s="70">
        <v>191.1</v>
      </c>
      <c r="I1119" s="67" t="s">
        <v>1627</v>
      </c>
    </row>
    <row r="1120" spans="1:9" ht="15" customHeight="1">
      <c r="A1120" s="67" t="s">
        <v>1178</v>
      </c>
      <c r="B1120" s="67" t="s">
        <v>318</v>
      </c>
      <c r="C1120" s="68">
        <v>220</v>
      </c>
      <c r="D1120" s="70">
        <v>161.5</v>
      </c>
      <c r="E1120" s="70">
        <v>168.9</v>
      </c>
      <c r="F1120" s="70">
        <v>176.3</v>
      </c>
      <c r="G1120" s="70">
        <v>183.7</v>
      </c>
      <c r="H1120" s="70">
        <v>191.1</v>
      </c>
      <c r="I1120" s="67" t="s">
        <v>1628</v>
      </c>
    </row>
    <row r="1121" spans="1:9" ht="15" customHeight="1">
      <c r="A1121" s="67" t="s">
        <v>1178</v>
      </c>
      <c r="B1121" s="67" t="s">
        <v>318</v>
      </c>
      <c r="C1121" s="68">
        <v>221</v>
      </c>
      <c r="D1121" s="70">
        <v>161.6</v>
      </c>
      <c r="E1121" s="70">
        <v>169</v>
      </c>
      <c r="F1121" s="70">
        <v>176.4</v>
      </c>
      <c r="G1121" s="70">
        <v>183.8</v>
      </c>
      <c r="H1121" s="70">
        <v>191.1</v>
      </c>
      <c r="I1121" s="67" t="s">
        <v>1629</v>
      </c>
    </row>
    <row r="1122" spans="1:9" ht="15" customHeight="1">
      <c r="A1122" s="67" t="s">
        <v>1178</v>
      </c>
      <c r="B1122" s="67" t="s">
        <v>318</v>
      </c>
      <c r="C1122" s="68">
        <v>222</v>
      </c>
      <c r="D1122" s="70">
        <v>161.6</v>
      </c>
      <c r="E1122" s="70">
        <v>169</v>
      </c>
      <c r="F1122" s="70">
        <v>176.4</v>
      </c>
      <c r="G1122" s="70">
        <v>183.8</v>
      </c>
      <c r="H1122" s="70">
        <v>191.1</v>
      </c>
      <c r="I1122" s="67" t="s">
        <v>1630</v>
      </c>
    </row>
    <row r="1123" spans="1:9" ht="15" customHeight="1">
      <c r="A1123" s="67" t="s">
        <v>1178</v>
      </c>
      <c r="B1123" s="67" t="s">
        <v>318</v>
      </c>
      <c r="C1123" s="68">
        <v>223</v>
      </c>
      <c r="D1123" s="70">
        <v>161.69999999999999</v>
      </c>
      <c r="E1123" s="70">
        <v>169</v>
      </c>
      <c r="F1123" s="70">
        <v>176.4</v>
      </c>
      <c r="G1123" s="70">
        <v>183.8</v>
      </c>
      <c r="H1123" s="70">
        <v>191.2</v>
      </c>
      <c r="I1123" s="67" t="s">
        <v>1631</v>
      </c>
    </row>
    <row r="1124" spans="1:9" ht="15" customHeight="1">
      <c r="A1124" s="67" t="s">
        <v>1178</v>
      </c>
      <c r="B1124" s="67" t="s">
        <v>318</v>
      </c>
      <c r="C1124" s="68">
        <v>224</v>
      </c>
      <c r="D1124" s="70">
        <v>161.69999999999999</v>
      </c>
      <c r="E1124" s="70">
        <v>169.1</v>
      </c>
      <c r="F1124" s="70">
        <v>176.4</v>
      </c>
      <c r="G1124" s="70">
        <v>183.8</v>
      </c>
      <c r="H1124" s="70">
        <v>191.2</v>
      </c>
      <c r="I1124" s="67" t="s">
        <v>1632</v>
      </c>
    </row>
    <row r="1125" spans="1:9" ht="15" customHeight="1">
      <c r="A1125" s="67" t="s">
        <v>1178</v>
      </c>
      <c r="B1125" s="67" t="s">
        <v>318</v>
      </c>
      <c r="C1125" s="68">
        <v>225</v>
      </c>
      <c r="D1125" s="70">
        <v>161.80000000000001</v>
      </c>
      <c r="E1125" s="70">
        <v>169.1</v>
      </c>
      <c r="F1125" s="70">
        <v>176.5</v>
      </c>
      <c r="G1125" s="70">
        <v>183.8</v>
      </c>
      <c r="H1125" s="70">
        <v>191.2</v>
      </c>
      <c r="I1125" s="67" t="s">
        <v>1633</v>
      </c>
    </row>
    <row r="1126" spans="1:9" ht="15" customHeight="1">
      <c r="A1126" s="67" t="s">
        <v>1178</v>
      </c>
      <c r="B1126" s="67" t="s">
        <v>318</v>
      </c>
      <c r="C1126" s="68">
        <v>226</v>
      </c>
      <c r="D1126" s="70">
        <v>161.80000000000001</v>
      </c>
      <c r="E1126" s="70">
        <v>169.2</v>
      </c>
      <c r="F1126" s="70">
        <v>176.5</v>
      </c>
      <c r="G1126" s="70">
        <v>183.8</v>
      </c>
      <c r="H1126" s="70">
        <v>191.1</v>
      </c>
      <c r="I1126" s="67" t="s">
        <v>1634</v>
      </c>
    </row>
    <row r="1127" spans="1:9" ht="15" customHeight="1">
      <c r="A1127" s="67" t="s">
        <v>1178</v>
      </c>
      <c r="B1127" s="67" t="s">
        <v>318</v>
      </c>
      <c r="C1127" s="68">
        <v>227</v>
      </c>
      <c r="D1127" s="70">
        <v>161.9</v>
      </c>
      <c r="E1127" s="70">
        <v>169.2</v>
      </c>
      <c r="F1127" s="70">
        <v>176.5</v>
      </c>
      <c r="G1127" s="70">
        <v>183.8</v>
      </c>
      <c r="H1127" s="70">
        <v>191.1</v>
      </c>
      <c r="I1127" s="67" t="s">
        <v>1635</v>
      </c>
    </row>
    <row r="1128" spans="1:9" ht="15" customHeight="1">
      <c r="A1128" s="67" t="s">
        <v>1178</v>
      </c>
      <c r="B1128" s="67" t="s">
        <v>318</v>
      </c>
      <c r="C1128" s="68">
        <v>228</v>
      </c>
      <c r="D1128" s="70">
        <v>161.9</v>
      </c>
      <c r="E1128" s="70">
        <v>169.2</v>
      </c>
      <c r="F1128" s="70">
        <v>176.5</v>
      </c>
      <c r="G1128" s="70">
        <v>183.8</v>
      </c>
      <c r="H1128" s="70">
        <v>191.1</v>
      </c>
      <c r="I1128" s="67" t="s">
        <v>1636</v>
      </c>
    </row>
    <row r="1129" spans="1:9" ht="15" customHeight="1">
      <c r="A1129" s="67" t="s">
        <v>1637</v>
      </c>
      <c r="B1129" s="67" t="s">
        <v>365</v>
      </c>
      <c r="C1129" s="68">
        <v>0</v>
      </c>
      <c r="D1129" s="70">
        <v>31.5</v>
      </c>
      <c r="E1129" s="70">
        <v>32.700000000000003</v>
      </c>
      <c r="F1129" s="70">
        <v>33.9</v>
      </c>
      <c r="G1129" s="70">
        <v>35.1</v>
      </c>
      <c r="H1129" s="70">
        <v>36.200000000000003</v>
      </c>
      <c r="I1129" s="67" t="s">
        <v>1638</v>
      </c>
    </row>
    <row r="1130" spans="1:9" ht="15" customHeight="1">
      <c r="A1130" s="67" t="s">
        <v>1637</v>
      </c>
      <c r="B1130" s="67" t="s">
        <v>365</v>
      </c>
      <c r="C1130" s="68">
        <v>1</v>
      </c>
      <c r="D1130" s="70">
        <v>34.200000000000003</v>
      </c>
      <c r="E1130" s="70">
        <v>35.4</v>
      </c>
      <c r="F1130" s="70">
        <v>36.5</v>
      </c>
      <c r="G1130" s="70">
        <v>37.700000000000003</v>
      </c>
      <c r="H1130" s="70">
        <v>38.9</v>
      </c>
      <c r="I1130" s="67" t="s">
        <v>1639</v>
      </c>
    </row>
    <row r="1131" spans="1:9" ht="15" customHeight="1">
      <c r="A1131" s="67" t="s">
        <v>1637</v>
      </c>
      <c r="B1131" s="67" t="s">
        <v>365</v>
      </c>
      <c r="C1131" s="68">
        <v>2</v>
      </c>
      <c r="D1131" s="70">
        <v>35.799999999999997</v>
      </c>
      <c r="E1131" s="70">
        <v>37</v>
      </c>
      <c r="F1131" s="70">
        <v>38.299999999999997</v>
      </c>
      <c r="G1131" s="70">
        <v>39.5</v>
      </c>
      <c r="H1131" s="70">
        <v>40.700000000000003</v>
      </c>
      <c r="I1131" s="67" t="s">
        <v>1640</v>
      </c>
    </row>
    <row r="1132" spans="1:9" ht="15" customHeight="1">
      <c r="A1132" s="67" t="s">
        <v>1637</v>
      </c>
      <c r="B1132" s="67" t="s">
        <v>365</v>
      </c>
      <c r="C1132" s="68">
        <v>3</v>
      </c>
      <c r="D1132" s="70">
        <v>37.1</v>
      </c>
      <c r="E1132" s="70">
        <v>38.299999999999997</v>
      </c>
      <c r="F1132" s="70">
        <v>39.5</v>
      </c>
      <c r="G1132" s="70">
        <v>40.799999999999997</v>
      </c>
      <c r="H1132" s="70">
        <v>42</v>
      </c>
      <c r="I1132" s="67" t="s">
        <v>1641</v>
      </c>
    </row>
    <row r="1133" spans="1:9" ht="15" customHeight="1">
      <c r="A1133" s="67" t="s">
        <v>1637</v>
      </c>
      <c r="B1133" s="67" t="s">
        <v>365</v>
      </c>
      <c r="C1133" s="68">
        <v>4</v>
      </c>
      <c r="D1133" s="70">
        <v>38.1</v>
      </c>
      <c r="E1133" s="70">
        <v>39.299999999999997</v>
      </c>
      <c r="F1133" s="70">
        <v>40.6</v>
      </c>
      <c r="G1133" s="70">
        <v>41.8</v>
      </c>
      <c r="H1133" s="70">
        <v>43.1</v>
      </c>
      <c r="I1133" s="67" t="s">
        <v>1642</v>
      </c>
    </row>
    <row r="1134" spans="1:9" ht="15" customHeight="1">
      <c r="A1134" s="67" t="s">
        <v>1637</v>
      </c>
      <c r="B1134" s="67" t="s">
        <v>365</v>
      </c>
      <c r="C1134" s="68">
        <v>5</v>
      </c>
      <c r="D1134" s="70">
        <v>38.9</v>
      </c>
      <c r="E1134" s="70">
        <v>40.200000000000003</v>
      </c>
      <c r="F1134" s="70">
        <v>41.5</v>
      </c>
      <c r="G1134" s="70">
        <v>42.7</v>
      </c>
      <c r="H1134" s="70">
        <v>44</v>
      </c>
      <c r="I1134" s="67" t="s">
        <v>1643</v>
      </c>
    </row>
    <row r="1135" spans="1:9" ht="15" customHeight="1">
      <c r="A1135" s="67" t="s">
        <v>1637</v>
      </c>
      <c r="B1135" s="67" t="s">
        <v>365</v>
      </c>
      <c r="C1135" s="68">
        <v>6</v>
      </c>
      <c r="D1135" s="70">
        <v>39.6</v>
      </c>
      <c r="E1135" s="70">
        <v>40.9</v>
      </c>
      <c r="F1135" s="70">
        <v>42.2</v>
      </c>
      <c r="G1135" s="70">
        <v>43.5</v>
      </c>
      <c r="H1135" s="70">
        <v>44.8</v>
      </c>
      <c r="I1135" s="67" t="s">
        <v>1644</v>
      </c>
    </row>
    <row r="1136" spans="1:9" ht="15" customHeight="1">
      <c r="A1136" s="67" t="s">
        <v>1637</v>
      </c>
      <c r="B1136" s="67" t="s">
        <v>365</v>
      </c>
      <c r="C1136" s="68">
        <v>7</v>
      </c>
      <c r="D1136" s="70">
        <v>40.200000000000003</v>
      </c>
      <c r="E1136" s="70">
        <v>41.5</v>
      </c>
      <c r="F1136" s="70">
        <v>42.8</v>
      </c>
      <c r="G1136" s="70">
        <v>44.1</v>
      </c>
      <c r="H1136" s="70">
        <v>45.5</v>
      </c>
      <c r="I1136" s="67" t="s">
        <v>1645</v>
      </c>
    </row>
    <row r="1137" spans="1:9" ht="15" customHeight="1">
      <c r="A1137" s="67" t="s">
        <v>1637</v>
      </c>
      <c r="B1137" s="67" t="s">
        <v>365</v>
      </c>
      <c r="C1137" s="68">
        <v>8</v>
      </c>
      <c r="D1137" s="70">
        <v>40.700000000000003</v>
      </c>
      <c r="E1137" s="70">
        <v>42</v>
      </c>
      <c r="F1137" s="70">
        <v>43.4</v>
      </c>
      <c r="G1137" s="70">
        <v>44.7</v>
      </c>
      <c r="H1137" s="70">
        <v>46</v>
      </c>
      <c r="I1137" s="67" t="s">
        <v>1646</v>
      </c>
    </row>
    <row r="1138" spans="1:9" ht="15" customHeight="1">
      <c r="A1138" s="67" t="s">
        <v>1637</v>
      </c>
      <c r="B1138" s="67" t="s">
        <v>365</v>
      </c>
      <c r="C1138" s="68">
        <v>9</v>
      </c>
      <c r="D1138" s="70">
        <v>41.2</v>
      </c>
      <c r="E1138" s="70">
        <v>42.5</v>
      </c>
      <c r="F1138" s="70">
        <v>43.8</v>
      </c>
      <c r="G1138" s="70">
        <v>45.2</v>
      </c>
      <c r="H1138" s="70">
        <v>46.5</v>
      </c>
      <c r="I1138" s="67" t="s">
        <v>1647</v>
      </c>
    </row>
    <row r="1139" spans="1:9" ht="15" customHeight="1">
      <c r="A1139" s="67" t="s">
        <v>1637</v>
      </c>
      <c r="B1139" s="67" t="s">
        <v>365</v>
      </c>
      <c r="C1139" s="68">
        <v>10</v>
      </c>
      <c r="D1139" s="70">
        <v>41.5</v>
      </c>
      <c r="E1139" s="70">
        <v>42.9</v>
      </c>
      <c r="F1139" s="70">
        <v>44.2</v>
      </c>
      <c r="G1139" s="70">
        <v>45.6</v>
      </c>
      <c r="H1139" s="70">
        <v>46.9</v>
      </c>
      <c r="I1139" s="67" t="s">
        <v>1648</v>
      </c>
    </row>
    <row r="1140" spans="1:9" ht="15" customHeight="1">
      <c r="A1140" s="67" t="s">
        <v>1637</v>
      </c>
      <c r="B1140" s="67" t="s">
        <v>365</v>
      </c>
      <c r="C1140" s="68">
        <v>11</v>
      </c>
      <c r="D1140" s="70">
        <v>41.9</v>
      </c>
      <c r="E1140" s="70">
        <v>43.2</v>
      </c>
      <c r="F1140" s="70">
        <v>44.6</v>
      </c>
      <c r="G1140" s="70">
        <v>45.9</v>
      </c>
      <c r="H1140" s="70">
        <v>47.3</v>
      </c>
      <c r="I1140" s="67" t="s">
        <v>1649</v>
      </c>
    </row>
    <row r="1141" spans="1:9" ht="15" customHeight="1">
      <c r="A1141" s="67" t="s">
        <v>1637</v>
      </c>
      <c r="B1141" s="67" t="s">
        <v>365</v>
      </c>
      <c r="C1141" s="68">
        <v>12</v>
      </c>
      <c r="D1141" s="70">
        <v>42.2</v>
      </c>
      <c r="E1141" s="70">
        <v>43.5</v>
      </c>
      <c r="F1141" s="70">
        <v>44.9</v>
      </c>
      <c r="G1141" s="70">
        <v>46.3</v>
      </c>
      <c r="H1141" s="70">
        <v>47.6</v>
      </c>
      <c r="I1141" s="67" t="s">
        <v>1650</v>
      </c>
    </row>
    <row r="1142" spans="1:9" ht="15" customHeight="1">
      <c r="A1142" s="67" t="s">
        <v>1637</v>
      </c>
      <c r="B1142" s="67" t="s">
        <v>365</v>
      </c>
      <c r="C1142" s="68">
        <v>13</v>
      </c>
      <c r="D1142" s="70">
        <v>42.4</v>
      </c>
      <c r="E1142" s="70">
        <v>43.8</v>
      </c>
      <c r="F1142" s="70">
        <v>45.2</v>
      </c>
      <c r="G1142" s="70">
        <v>46.5</v>
      </c>
      <c r="H1142" s="70">
        <v>47.9</v>
      </c>
      <c r="I1142" s="67" t="s">
        <v>1651</v>
      </c>
    </row>
    <row r="1143" spans="1:9" ht="15" customHeight="1">
      <c r="A1143" s="67" t="s">
        <v>1637</v>
      </c>
      <c r="B1143" s="67" t="s">
        <v>365</v>
      </c>
      <c r="C1143" s="68">
        <v>14</v>
      </c>
      <c r="D1143" s="70">
        <v>42.7</v>
      </c>
      <c r="E1143" s="70">
        <v>44.1</v>
      </c>
      <c r="F1143" s="70">
        <v>45.4</v>
      </c>
      <c r="G1143" s="70">
        <v>46.8</v>
      </c>
      <c r="H1143" s="70">
        <v>48.2</v>
      </c>
      <c r="I1143" s="67" t="s">
        <v>1652</v>
      </c>
    </row>
    <row r="1144" spans="1:9" ht="15" customHeight="1">
      <c r="A1144" s="67" t="s">
        <v>1637</v>
      </c>
      <c r="B1144" s="67" t="s">
        <v>365</v>
      </c>
      <c r="C1144" s="68">
        <v>15</v>
      </c>
      <c r="D1144" s="70">
        <v>42.9</v>
      </c>
      <c r="E1144" s="70">
        <v>44.3</v>
      </c>
      <c r="F1144" s="70">
        <v>45.7</v>
      </c>
      <c r="G1144" s="70">
        <v>47</v>
      </c>
      <c r="H1144" s="70">
        <v>48.4</v>
      </c>
      <c r="I1144" s="67" t="s">
        <v>1653</v>
      </c>
    </row>
    <row r="1145" spans="1:9" ht="15" customHeight="1">
      <c r="A1145" s="67" t="s">
        <v>1637</v>
      </c>
      <c r="B1145" s="67" t="s">
        <v>365</v>
      </c>
      <c r="C1145" s="68">
        <v>16</v>
      </c>
      <c r="D1145" s="70">
        <v>43.1</v>
      </c>
      <c r="E1145" s="70">
        <v>44.5</v>
      </c>
      <c r="F1145" s="70">
        <v>45.9</v>
      </c>
      <c r="G1145" s="70">
        <v>47.2</v>
      </c>
      <c r="H1145" s="70">
        <v>48.6</v>
      </c>
      <c r="I1145" s="67" t="s">
        <v>1654</v>
      </c>
    </row>
    <row r="1146" spans="1:9" ht="15" customHeight="1">
      <c r="A1146" s="67" t="s">
        <v>1637</v>
      </c>
      <c r="B1146" s="67" t="s">
        <v>365</v>
      </c>
      <c r="C1146" s="68">
        <v>17</v>
      </c>
      <c r="D1146" s="70">
        <v>43.3</v>
      </c>
      <c r="E1146" s="70">
        <v>44.7</v>
      </c>
      <c r="F1146" s="70">
        <v>46.1</v>
      </c>
      <c r="G1146" s="70">
        <v>47.4</v>
      </c>
      <c r="H1146" s="70">
        <v>48.8</v>
      </c>
      <c r="I1146" s="67" t="s">
        <v>1655</v>
      </c>
    </row>
    <row r="1147" spans="1:9" ht="15" customHeight="1">
      <c r="A1147" s="67" t="s">
        <v>1637</v>
      </c>
      <c r="B1147" s="67" t="s">
        <v>365</v>
      </c>
      <c r="C1147" s="68">
        <v>18</v>
      </c>
      <c r="D1147" s="70">
        <v>43.5</v>
      </c>
      <c r="E1147" s="70">
        <v>44.9</v>
      </c>
      <c r="F1147" s="70">
        <v>46.2</v>
      </c>
      <c r="G1147" s="70">
        <v>47.6</v>
      </c>
      <c r="H1147" s="70">
        <v>49</v>
      </c>
      <c r="I1147" s="67" t="s">
        <v>1656</v>
      </c>
    </row>
    <row r="1148" spans="1:9" ht="15" customHeight="1">
      <c r="A1148" s="67" t="s">
        <v>1637</v>
      </c>
      <c r="B1148" s="67" t="s">
        <v>365</v>
      </c>
      <c r="C1148" s="68">
        <v>19</v>
      </c>
      <c r="D1148" s="70">
        <v>43.6</v>
      </c>
      <c r="E1148" s="70">
        <v>45</v>
      </c>
      <c r="F1148" s="70">
        <v>46.4</v>
      </c>
      <c r="G1148" s="70">
        <v>47.8</v>
      </c>
      <c r="H1148" s="70">
        <v>49.2</v>
      </c>
      <c r="I1148" s="67" t="s">
        <v>1657</v>
      </c>
    </row>
    <row r="1149" spans="1:9" ht="15" customHeight="1">
      <c r="A1149" s="67" t="s">
        <v>1637</v>
      </c>
      <c r="B1149" s="67" t="s">
        <v>365</v>
      </c>
      <c r="C1149" s="68">
        <v>20</v>
      </c>
      <c r="D1149" s="70">
        <v>43.8</v>
      </c>
      <c r="E1149" s="70">
        <v>45.2</v>
      </c>
      <c r="F1149" s="70">
        <v>46.6</v>
      </c>
      <c r="G1149" s="70">
        <v>48</v>
      </c>
      <c r="H1149" s="70">
        <v>49.4</v>
      </c>
      <c r="I1149" s="67" t="s">
        <v>1658</v>
      </c>
    </row>
    <row r="1150" spans="1:9" ht="15" customHeight="1">
      <c r="A1150" s="67" t="s">
        <v>1637</v>
      </c>
      <c r="B1150" s="67" t="s">
        <v>365</v>
      </c>
      <c r="C1150" s="68">
        <v>21</v>
      </c>
      <c r="D1150" s="70">
        <v>44</v>
      </c>
      <c r="E1150" s="70">
        <v>45.3</v>
      </c>
      <c r="F1150" s="70">
        <v>46.7</v>
      </c>
      <c r="G1150" s="70">
        <v>48.1</v>
      </c>
      <c r="H1150" s="70">
        <v>49.5</v>
      </c>
      <c r="I1150" s="67" t="s">
        <v>1659</v>
      </c>
    </row>
    <row r="1151" spans="1:9" ht="15" customHeight="1">
      <c r="A1151" s="67" t="s">
        <v>1637</v>
      </c>
      <c r="B1151" s="67" t="s">
        <v>365</v>
      </c>
      <c r="C1151" s="68">
        <v>22</v>
      </c>
      <c r="D1151" s="70">
        <v>44.1</v>
      </c>
      <c r="E1151" s="70">
        <v>45.5</v>
      </c>
      <c r="F1151" s="70">
        <v>46.9</v>
      </c>
      <c r="G1151" s="70">
        <v>48.3</v>
      </c>
      <c r="H1151" s="70">
        <v>49.7</v>
      </c>
      <c r="I1151" s="67" t="s">
        <v>1660</v>
      </c>
    </row>
    <row r="1152" spans="1:9" ht="15" customHeight="1">
      <c r="A1152" s="67" t="s">
        <v>1637</v>
      </c>
      <c r="B1152" s="67" t="s">
        <v>365</v>
      </c>
      <c r="C1152" s="68">
        <v>23</v>
      </c>
      <c r="D1152" s="70">
        <v>44.3</v>
      </c>
      <c r="E1152" s="70">
        <v>45.6</v>
      </c>
      <c r="F1152" s="70">
        <v>47</v>
      </c>
      <c r="G1152" s="70">
        <v>48.4</v>
      </c>
      <c r="H1152" s="70">
        <v>49.8</v>
      </c>
      <c r="I1152" s="67" t="s">
        <v>1661</v>
      </c>
    </row>
    <row r="1153" spans="1:9" ht="15" customHeight="1">
      <c r="A1153" s="67" t="s">
        <v>1637</v>
      </c>
      <c r="B1153" s="67" t="s">
        <v>365</v>
      </c>
      <c r="C1153" s="68">
        <v>24</v>
      </c>
      <c r="D1153" s="70">
        <v>44.4</v>
      </c>
      <c r="E1153" s="70">
        <v>45.8</v>
      </c>
      <c r="F1153" s="70">
        <v>47.2</v>
      </c>
      <c r="G1153" s="70">
        <v>48.6</v>
      </c>
      <c r="H1153" s="70">
        <v>50</v>
      </c>
      <c r="I1153" s="67" t="s">
        <v>1662</v>
      </c>
    </row>
    <row r="1154" spans="1:9" ht="15" customHeight="1">
      <c r="A1154" s="67" t="s">
        <v>1637</v>
      </c>
      <c r="B1154" s="67" t="s">
        <v>365</v>
      </c>
      <c r="C1154" s="68">
        <v>25</v>
      </c>
      <c r="D1154" s="70">
        <v>44.5</v>
      </c>
      <c r="E1154" s="70">
        <v>45.9</v>
      </c>
      <c r="F1154" s="70">
        <v>47.3</v>
      </c>
      <c r="G1154" s="70">
        <v>48.7</v>
      </c>
      <c r="H1154" s="70">
        <v>50.1</v>
      </c>
      <c r="I1154" s="67" t="s">
        <v>1663</v>
      </c>
    </row>
    <row r="1155" spans="1:9" ht="15" customHeight="1">
      <c r="A1155" s="67" t="s">
        <v>1637</v>
      </c>
      <c r="B1155" s="67" t="s">
        <v>365</v>
      </c>
      <c r="C1155" s="68">
        <v>26</v>
      </c>
      <c r="D1155" s="70">
        <v>44.7</v>
      </c>
      <c r="E1155" s="70">
        <v>46.1</v>
      </c>
      <c r="F1155" s="70">
        <v>47.5</v>
      </c>
      <c r="G1155" s="70">
        <v>48.9</v>
      </c>
      <c r="H1155" s="70">
        <v>50.3</v>
      </c>
      <c r="I1155" s="67" t="s">
        <v>1664</v>
      </c>
    </row>
    <row r="1156" spans="1:9" ht="15" customHeight="1">
      <c r="A1156" s="67" t="s">
        <v>1637</v>
      </c>
      <c r="B1156" s="67" t="s">
        <v>365</v>
      </c>
      <c r="C1156" s="68">
        <v>27</v>
      </c>
      <c r="D1156" s="70">
        <v>44.8</v>
      </c>
      <c r="E1156" s="70">
        <v>46.2</v>
      </c>
      <c r="F1156" s="70">
        <v>47.6</v>
      </c>
      <c r="G1156" s="70">
        <v>49</v>
      </c>
      <c r="H1156" s="70">
        <v>50.4</v>
      </c>
      <c r="I1156" s="67" t="s">
        <v>1665</v>
      </c>
    </row>
    <row r="1157" spans="1:9" ht="15" customHeight="1">
      <c r="A1157" s="67" t="s">
        <v>1637</v>
      </c>
      <c r="B1157" s="67" t="s">
        <v>365</v>
      </c>
      <c r="C1157" s="68">
        <v>28</v>
      </c>
      <c r="D1157" s="70">
        <v>44.9</v>
      </c>
      <c r="E1157" s="70">
        <v>46.3</v>
      </c>
      <c r="F1157" s="70">
        <v>47.7</v>
      </c>
      <c r="G1157" s="70">
        <v>49.1</v>
      </c>
      <c r="H1157" s="70">
        <v>50.5</v>
      </c>
      <c r="I1157" s="67" t="s">
        <v>1666</v>
      </c>
    </row>
    <row r="1158" spans="1:9" ht="15" customHeight="1">
      <c r="A1158" s="67" t="s">
        <v>1637</v>
      </c>
      <c r="B1158" s="67" t="s">
        <v>365</v>
      </c>
      <c r="C1158" s="68">
        <v>29</v>
      </c>
      <c r="D1158" s="70">
        <v>45</v>
      </c>
      <c r="E1158" s="70">
        <v>46.4</v>
      </c>
      <c r="F1158" s="70">
        <v>47.8</v>
      </c>
      <c r="G1158" s="70">
        <v>49.2</v>
      </c>
      <c r="H1158" s="70">
        <v>50.6</v>
      </c>
      <c r="I1158" s="67" t="s">
        <v>1667</v>
      </c>
    </row>
    <row r="1159" spans="1:9" ht="15" customHeight="1">
      <c r="A1159" s="67" t="s">
        <v>1637</v>
      </c>
      <c r="B1159" s="67" t="s">
        <v>365</v>
      </c>
      <c r="C1159" s="68">
        <v>30</v>
      </c>
      <c r="D1159" s="70">
        <v>45.1</v>
      </c>
      <c r="E1159" s="70">
        <v>46.5</v>
      </c>
      <c r="F1159" s="70">
        <v>47.9</v>
      </c>
      <c r="G1159" s="70">
        <v>49.3</v>
      </c>
      <c r="H1159" s="70">
        <v>50.7</v>
      </c>
      <c r="I1159" s="67" t="s">
        <v>1668</v>
      </c>
    </row>
    <row r="1160" spans="1:9" ht="15" customHeight="1">
      <c r="A1160" s="67" t="s">
        <v>1637</v>
      </c>
      <c r="B1160" s="67" t="s">
        <v>365</v>
      </c>
      <c r="C1160" s="68">
        <v>31</v>
      </c>
      <c r="D1160" s="70">
        <v>45.2</v>
      </c>
      <c r="E1160" s="70">
        <v>46.6</v>
      </c>
      <c r="F1160" s="70">
        <v>48</v>
      </c>
      <c r="G1160" s="70">
        <v>49.4</v>
      </c>
      <c r="H1160" s="70">
        <v>50.9</v>
      </c>
      <c r="I1160" s="67" t="s">
        <v>1669</v>
      </c>
    </row>
    <row r="1161" spans="1:9" ht="15" customHeight="1">
      <c r="A1161" s="67" t="s">
        <v>1637</v>
      </c>
      <c r="B1161" s="67" t="s">
        <v>365</v>
      </c>
      <c r="C1161" s="68">
        <v>32</v>
      </c>
      <c r="D1161" s="70">
        <v>45.3</v>
      </c>
      <c r="E1161" s="70">
        <v>46.7</v>
      </c>
      <c r="F1161" s="70">
        <v>48.1</v>
      </c>
      <c r="G1161" s="70">
        <v>49.6</v>
      </c>
      <c r="H1161" s="70">
        <v>51</v>
      </c>
      <c r="I1161" s="67" t="s">
        <v>1670</v>
      </c>
    </row>
    <row r="1162" spans="1:9" ht="15" customHeight="1">
      <c r="A1162" s="67" t="s">
        <v>1637</v>
      </c>
      <c r="B1162" s="67" t="s">
        <v>365</v>
      </c>
      <c r="C1162" s="68">
        <v>33</v>
      </c>
      <c r="D1162" s="70">
        <v>45.4</v>
      </c>
      <c r="E1162" s="70">
        <v>46.8</v>
      </c>
      <c r="F1162" s="70">
        <v>48.2</v>
      </c>
      <c r="G1162" s="70">
        <v>49.7</v>
      </c>
      <c r="H1162" s="70">
        <v>51.1</v>
      </c>
      <c r="I1162" s="67" t="s">
        <v>1671</v>
      </c>
    </row>
    <row r="1163" spans="1:9" ht="15" customHeight="1">
      <c r="A1163" s="67" t="s">
        <v>1637</v>
      </c>
      <c r="B1163" s="67" t="s">
        <v>365</v>
      </c>
      <c r="C1163" s="68">
        <v>34</v>
      </c>
      <c r="D1163" s="70">
        <v>45.5</v>
      </c>
      <c r="E1163" s="70">
        <v>46.9</v>
      </c>
      <c r="F1163" s="70">
        <v>48.3</v>
      </c>
      <c r="G1163" s="70">
        <v>49.7</v>
      </c>
      <c r="H1163" s="70">
        <v>51.2</v>
      </c>
      <c r="I1163" s="67" t="s">
        <v>1672</v>
      </c>
    </row>
    <row r="1164" spans="1:9" ht="15" customHeight="1">
      <c r="A1164" s="67" t="s">
        <v>1637</v>
      </c>
      <c r="B1164" s="67" t="s">
        <v>365</v>
      </c>
      <c r="C1164" s="68">
        <v>35</v>
      </c>
      <c r="D1164" s="70">
        <v>45.6</v>
      </c>
      <c r="E1164" s="70">
        <v>47</v>
      </c>
      <c r="F1164" s="70">
        <v>48.4</v>
      </c>
      <c r="G1164" s="70">
        <v>49.8</v>
      </c>
      <c r="H1164" s="70">
        <v>51.2</v>
      </c>
      <c r="I1164" s="67" t="s">
        <v>1673</v>
      </c>
    </row>
    <row r="1165" spans="1:9" ht="15" customHeight="1">
      <c r="A1165" s="67" t="s">
        <v>1637</v>
      </c>
      <c r="B1165" s="67" t="s">
        <v>365</v>
      </c>
      <c r="C1165" s="68">
        <v>36</v>
      </c>
      <c r="D1165" s="70">
        <v>45.7</v>
      </c>
      <c r="E1165" s="70">
        <v>47.1</v>
      </c>
      <c r="F1165" s="70">
        <v>48.5</v>
      </c>
      <c r="G1165" s="70">
        <v>49.9</v>
      </c>
      <c r="H1165" s="70">
        <v>51.3</v>
      </c>
      <c r="I1165" s="67" t="s">
        <v>1674</v>
      </c>
    </row>
    <row r="1166" spans="1:9" ht="15" customHeight="1">
      <c r="A1166" s="67" t="s">
        <v>1637</v>
      </c>
      <c r="B1166" s="67" t="s">
        <v>318</v>
      </c>
      <c r="C1166" s="68">
        <v>0</v>
      </c>
      <c r="D1166" s="70">
        <v>31.9</v>
      </c>
      <c r="E1166" s="70">
        <v>33.200000000000003</v>
      </c>
      <c r="F1166" s="70">
        <v>34.5</v>
      </c>
      <c r="G1166" s="70">
        <v>35.700000000000003</v>
      </c>
      <c r="H1166" s="70">
        <v>37</v>
      </c>
      <c r="I1166" s="67" t="s">
        <v>1675</v>
      </c>
    </row>
    <row r="1167" spans="1:9" ht="15" customHeight="1">
      <c r="A1167" s="67" t="s">
        <v>1637</v>
      </c>
      <c r="B1167" s="67" t="s">
        <v>318</v>
      </c>
      <c r="C1167" s="68">
        <v>1</v>
      </c>
      <c r="D1167" s="70">
        <v>34.9</v>
      </c>
      <c r="E1167" s="70">
        <v>36.1</v>
      </c>
      <c r="F1167" s="70">
        <v>37.299999999999997</v>
      </c>
      <c r="G1167" s="70">
        <v>38.4</v>
      </c>
      <c r="H1167" s="70">
        <v>39.6</v>
      </c>
      <c r="I1167" s="67" t="s">
        <v>1676</v>
      </c>
    </row>
    <row r="1168" spans="1:9" ht="15" customHeight="1">
      <c r="A1168" s="67" t="s">
        <v>1637</v>
      </c>
      <c r="B1168" s="67" t="s">
        <v>318</v>
      </c>
      <c r="C1168" s="68">
        <v>2</v>
      </c>
      <c r="D1168" s="70">
        <v>36.799999999999997</v>
      </c>
      <c r="E1168" s="70">
        <v>38</v>
      </c>
      <c r="F1168" s="70">
        <v>39.1</v>
      </c>
      <c r="G1168" s="70">
        <v>40.299999999999997</v>
      </c>
      <c r="H1168" s="70">
        <v>41.5</v>
      </c>
      <c r="I1168" s="67" t="s">
        <v>1677</v>
      </c>
    </row>
    <row r="1169" spans="1:9" ht="15" customHeight="1">
      <c r="A1169" s="67" t="s">
        <v>1637</v>
      </c>
      <c r="B1169" s="67" t="s">
        <v>318</v>
      </c>
      <c r="C1169" s="68">
        <v>3</v>
      </c>
      <c r="D1169" s="70">
        <v>38.1</v>
      </c>
      <c r="E1169" s="70">
        <v>39.299999999999997</v>
      </c>
      <c r="F1169" s="70">
        <v>40.5</v>
      </c>
      <c r="G1169" s="70">
        <v>41.7</v>
      </c>
      <c r="H1169" s="70">
        <v>42.9</v>
      </c>
      <c r="I1169" s="67" t="s">
        <v>1678</v>
      </c>
    </row>
    <row r="1170" spans="1:9" ht="15" customHeight="1">
      <c r="A1170" s="67" t="s">
        <v>1637</v>
      </c>
      <c r="B1170" s="67" t="s">
        <v>318</v>
      </c>
      <c r="C1170" s="68">
        <v>4</v>
      </c>
      <c r="D1170" s="70">
        <v>39.200000000000003</v>
      </c>
      <c r="E1170" s="70">
        <v>40.4</v>
      </c>
      <c r="F1170" s="70">
        <v>41.6</v>
      </c>
      <c r="G1170" s="70">
        <v>42.8</v>
      </c>
      <c r="H1170" s="70">
        <v>44</v>
      </c>
      <c r="I1170" s="67" t="s">
        <v>1679</v>
      </c>
    </row>
    <row r="1171" spans="1:9" ht="15" customHeight="1">
      <c r="A1171" s="67" t="s">
        <v>1637</v>
      </c>
      <c r="B1171" s="67" t="s">
        <v>318</v>
      </c>
      <c r="C1171" s="68">
        <v>5</v>
      </c>
      <c r="D1171" s="70">
        <v>40.1</v>
      </c>
      <c r="E1171" s="70">
        <v>41.4</v>
      </c>
      <c r="F1171" s="70">
        <v>42.6</v>
      </c>
      <c r="G1171" s="70">
        <v>43.8</v>
      </c>
      <c r="H1171" s="70">
        <v>45</v>
      </c>
      <c r="I1171" s="67" t="s">
        <v>1680</v>
      </c>
    </row>
    <row r="1172" spans="1:9" ht="15" customHeight="1">
      <c r="A1172" s="67" t="s">
        <v>1637</v>
      </c>
      <c r="B1172" s="67" t="s">
        <v>318</v>
      </c>
      <c r="C1172" s="68">
        <v>6</v>
      </c>
      <c r="D1172" s="70">
        <v>40.9</v>
      </c>
      <c r="E1172" s="70">
        <v>42.1</v>
      </c>
      <c r="F1172" s="70">
        <v>43.3</v>
      </c>
      <c r="G1172" s="70">
        <v>44.6</v>
      </c>
      <c r="H1172" s="70">
        <v>45.8</v>
      </c>
      <c r="I1172" s="67" t="s">
        <v>1681</v>
      </c>
    </row>
    <row r="1173" spans="1:9" ht="15" customHeight="1">
      <c r="A1173" s="67" t="s">
        <v>1637</v>
      </c>
      <c r="B1173" s="67" t="s">
        <v>318</v>
      </c>
      <c r="C1173" s="68">
        <v>7</v>
      </c>
      <c r="D1173" s="70">
        <v>41.5</v>
      </c>
      <c r="E1173" s="70">
        <v>42.7</v>
      </c>
      <c r="F1173" s="70">
        <v>44</v>
      </c>
      <c r="G1173" s="70">
        <v>45.2</v>
      </c>
      <c r="H1173" s="70">
        <v>46.4</v>
      </c>
      <c r="I1173" s="67" t="s">
        <v>1682</v>
      </c>
    </row>
    <row r="1174" spans="1:9" ht="15" customHeight="1">
      <c r="A1174" s="67" t="s">
        <v>1637</v>
      </c>
      <c r="B1174" s="67" t="s">
        <v>318</v>
      </c>
      <c r="C1174" s="68">
        <v>8</v>
      </c>
      <c r="D1174" s="70">
        <v>42</v>
      </c>
      <c r="E1174" s="70">
        <v>43.3</v>
      </c>
      <c r="F1174" s="70">
        <v>44.5</v>
      </c>
      <c r="G1174" s="70">
        <v>45.8</v>
      </c>
      <c r="H1174" s="70">
        <v>47</v>
      </c>
      <c r="I1174" s="67" t="s">
        <v>1683</v>
      </c>
    </row>
    <row r="1175" spans="1:9" ht="15" customHeight="1">
      <c r="A1175" s="67" t="s">
        <v>1637</v>
      </c>
      <c r="B1175" s="67" t="s">
        <v>318</v>
      </c>
      <c r="C1175" s="68">
        <v>9</v>
      </c>
      <c r="D1175" s="70">
        <v>42.5</v>
      </c>
      <c r="E1175" s="70">
        <v>43.7</v>
      </c>
      <c r="F1175" s="70">
        <v>45</v>
      </c>
      <c r="G1175" s="70">
        <v>46.3</v>
      </c>
      <c r="H1175" s="70">
        <v>47.5</v>
      </c>
      <c r="I1175" s="67" t="s">
        <v>1684</v>
      </c>
    </row>
    <row r="1176" spans="1:9" ht="15" customHeight="1">
      <c r="A1176" s="67" t="s">
        <v>1637</v>
      </c>
      <c r="B1176" s="67" t="s">
        <v>318</v>
      </c>
      <c r="C1176" s="68">
        <v>10</v>
      </c>
      <c r="D1176" s="70">
        <v>42.9</v>
      </c>
      <c r="E1176" s="70">
        <v>44.1</v>
      </c>
      <c r="F1176" s="70">
        <v>45.4</v>
      </c>
      <c r="G1176" s="70">
        <v>46.7</v>
      </c>
      <c r="H1176" s="70">
        <v>47.9</v>
      </c>
      <c r="I1176" s="67" t="s">
        <v>1685</v>
      </c>
    </row>
    <row r="1177" spans="1:9" ht="15" customHeight="1">
      <c r="A1177" s="67" t="s">
        <v>1637</v>
      </c>
      <c r="B1177" s="67" t="s">
        <v>318</v>
      </c>
      <c r="C1177" s="68">
        <v>11</v>
      </c>
      <c r="D1177" s="70">
        <v>43.2</v>
      </c>
      <c r="E1177" s="70">
        <v>44.5</v>
      </c>
      <c r="F1177" s="70">
        <v>45.8</v>
      </c>
      <c r="G1177" s="70">
        <v>47</v>
      </c>
      <c r="H1177" s="70">
        <v>48.3</v>
      </c>
      <c r="I1177" s="67" t="s">
        <v>1686</v>
      </c>
    </row>
    <row r="1178" spans="1:9" ht="15" customHeight="1">
      <c r="A1178" s="67" t="s">
        <v>1637</v>
      </c>
      <c r="B1178" s="67" t="s">
        <v>318</v>
      </c>
      <c r="C1178" s="68">
        <v>12</v>
      </c>
      <c r="D1178" s="70">
        <v>43.5</v>
      </c>
      <c r="E1178" s="70">
        <v>44.8</v>
      </c>
      <c r="F1178" s="70">
        <v>46.1</v>
      </c>
      <c r="G1178" s="70">
        <v>47.4</v>
      </c>
      <c r="H1178" s="70">
        <v>48.6</v>
      </c>
      <c r="I1178" s="67" t="s">
        <v>1687</v>
      </c>
    </row>
    <row r="1179" spans="1:9" ht="15" customHeight="1">
      <c r="A1179" s="67" t="s">
        <v>1637</v>
      </c>
      <c r="B1179" s="67" t="s">
        <v>318</v>
      </c>
      <c r="C1179" s="68">
        <v>13</v>
      </c>
      <c r="D1179" s="70">
        <v>43.8</v>
      </c>
      <c r="E1179" s="70">
        <v>45</v>
      </c>
      <c r="F1179" s="70">
        <v>46.3</v>
      </c>
      <c r="G1179" s="70">
        <v>47.6</v>
      </c>
      <c r="H1179" s="70">
        <v>48.9</v>
      </c>
      <c r="I1179" s="67" t="s">
        <v>1688</v>
      </c>
    </row>
    <row r="1180" spans="1:9" ht="15" customHeight="1">
      <c r="A1180" s="67" t="s">
        <v>1637</v>
      </c>
      <c r="B1180" s="67" t="s">
        <v>318</v>
      </c>
      <c r="C1180" s="68">
        <v>14</v>
      </c>
      <c r="D1180" s="70">
        <v>44</v>
      </c>
      <c r="E1180" s="70">
        <v>45.3</v>
      </c>
      <c r="F1180" s="70">
        <v>46.6</v>
      </c>
      <c r="G1180" s="70">
        <v>47.9</v>
      </c>
      <c r="H1180" s="70">
        <v>49.2</v>
      </c>
      <c r="I1180" s="67" t="s">
        <v>1689</v>
      </c>
    </row>
    <row r="1181" spans="1:9" ht="15" customHeight="1">
      <c r="A1181" s="67" t="s">
        <v>1637</v>
      </c>
      <c r="B1181" s="67" t="s">
        <v>318</v>
      </c>
      <c r="C1181" s="68">
        <v>15</v>
      </c>
      <c r="D1181" s="70">
        <v>44.2</v>
      </c>
      <c r="E1181" s="70">
        <v>45.5</v>
      </c>
      <c r="F1181" s="70">
        <v>46.8</v>
      </c>
      <c r="G1181" s="70">
        <v>48.1</v>
      </c>
      <c r="H1181" s="70">
        <v>49.4</v>
      </c>
      <c r="I1181" s="67" t="s">
        <v>1690</v>
      </c>
    </row>
    <row r="1182" spans="1:9" ht="15" customHeight="1">
      <c r="A1182" s="67" t="s">
        <v>1637</v>
      </c>
      <c r="B1182" s="67" t="s">
        <v>318</v>
      </c>
      <c r="C1182" s="68">
        <v>16</v>
      </c>
      <c r="D1182" s="70">
        <v>44.4</v>
      </c>
      <c r="E1182" s="70">
        <v>45.7</v>
      </c>
      <c r="F1182" s="70">
        <v>47</v>
      </c>
      <c r="G1182" s="70">
        <v>48.3</v>
      </c>
      <c r="H1182" s="70">
        <v>49.6</v>
      </c>
      <c r="I1182" s="67" t="s">
        <v>1691</v>
      </c>
    </row>
    <row r="1183" spans="1:9" ht="15" customHeight="1">
      <c r="A1183" s="67" t="s">
        <v>1637</v>
      </c>
      <c r="B1183" s="67" t="s">
        <v>318</v>
      </c>
      <c r="C1183" s="68">
        <v>17</v>
      </c>
      <c r="D1183" s="70">
        <v>44.6</v>
      </c>
      <c r="E1183" s="70">
        <v>45.9</v>
      </c>
      <c r="F1183" s="70">
        <v>47.2</v>
      </c>
      <c r="G1183" s="70">
        <v>48.5</v>
      </c>
      <c r="H1183" s="70">
        <v>49.8</v>
      </c>
      <c r="I1183" s="67" t="s">
        <v>1692</v>
      </c>
    </row>
    <row r="1184" spans="1:9" ht="15" customHeight="1">
      <c r="A1184" s="67" t="s">
        <v>1637</v>
      </c>
      <c r="B1184" s="67" t="s">
        <v>318</v>
      </c>
      <c r="C1184" s="68">
        <v>18</v>
      </c>
      <c r="D1184" s="70">
        <v>44.7</v>
      </c>
      <c r="E1184" s="70">
        <v>46</v>
      </c>
      <c r="F1184" s="70">
        <v>47.4</v>
      </c>
      <c r="G1184" s="70">
        <v>48.7</v>
      </c>
      <c r="H1184" s="70">
        <v>50</v>
      </c>
      <c r="I1184" s="67" t="s">
        <v>1693</v>
      </c>
    </row>
    <row r="1185" spans="1:9" ht="15" customHeight="1">
      <c r="A1185" s="67" t="s">
        <v>1637</v>
      </c>
      <c r="B1185" s="67" t="s">
        <v>318</v>
      </c>
      <c r="C1185" s="68">
        <v>19</v>
      </c>
      <c r="D1185" s="70">
        <v>44.9</v>
      </c>
      <c r="E1185" s="70">
        <v>46.2</v>
      </c>
      <c r="F1185" s="70">
        <v>47.5</v>
      </c>
      <c r="G1185" s="70">
        <v>48.9</v>
      </c>
      <c r="H1185" s="70">
        <v>50.2</v>
      </c>
      <c r="I1185" s="67" t="s">
        <v>1694</v>
      </c>
    </row>
    <row r="1186" spans="1:9" ht="15" customHeight="1">
      <c r="A1186" s="67" t="s">
        <v>1637</v>
      </c>
      <c r="B1186" s="67" t="s">
        <v>318</v>
      </c>
      <c r="C1186" s="68">
        <v>20</v>
      </c>
      <c r="D1186" s="70">
        <v>45</v>
      </c>
      <c r="E1186" s="70">
        <v>46.4</v>
      </c>
      <c r="F1186" s="70">
        <v>47.7</v>
      </c>
      <c r="G1186" s="70">
        <v>49</v>
      </c>
      <c r="H1186" s="70">
        <v>50.4</v>
      </c>
      <c r="I1186" s="67" t="s">
        <v>1695</v>
      </c>
    </row>
    <row r="1187" spans="1:9" ht="15" customHeight="1">
      <c r="A1187" s="67" t="s">
        <v>1637</v>
      </c>
      <c r="B1187" s="67" t="s">
        <v>318</v>
      </c>
      <c r="C1187" s="68">
        <v>21</v>
      </c>
      <c r="D1187" s="70">
        <v>45.2</v>
      </c>
      <c r="E1187" s="70">
        <v>46.5</v>
      </c>
      <c r="F1187" s="70">
        <v>47.8</v>
      </c>
      <c r="G1187" s="70">
        <v>49.2</v>
      </c>
      <c r="H1187" s="70">
        <v>50.5</v>
      </c>
      <c r="I1187" s="67" t="s">
        <v>1696</v>
      </c>
    </row>
    <row r="1188" spans="1:9" ht="15" customHeight="1">
      <c r="A1188" s="67" t="s">
        <v>1637</v>
      </c>
      <c r="B1188" s="67" t="s">
        <v>318</v>
      </c>
      <c r="C1188" s="68">
        <v>22</v>
      </c>
      <c r="D1188" s="70">
        <v>45.3</v>
      </c>
      <c r="E1188" s="70">
        <v>46.6</v>
      </c>
      <c r="F1188" s="70">
        <v>48</v>
      </c>
      <c r="G1188" s="70">
        <v>49.3</v>
      </c>
      <c r="H1188" s="70">
        <v>50.7</v>
      </c>
      <c r="I1188" s="67" t="s">
        <v>1697</v>
      </c>
    </row>
    <row r="1189" spans="1:9" ht="15" customHeight="1">
      <c r="A1189" s="67" t="s">
        <v>1637</v>
      </c>
      <c r="B1189" s="67" t="s">
        <v>318</v>
      </c>
      <c r="C1189" s="68">
        <v>23</v>
      </c>
      <c r="D1189" s="70">
        <v>45.4</v>
      </c>
      <c r="E1189" s="70">
        <v>46.8</v>
      </c>
      <c r="F1189" s="70">
        <v>48.1</v>
      </c>
      <c r="G1189" s="70">
        <v>49.5</v>
      </c>
      <c r="H1189" s="70">
        <v>50.8</v>
      </c>
      <c r="I1189" s="67" t="s">
        <v>1698</v>
      </c>
    </row>
    <row r="1190" spans="1:9" ht="15" customHeight="1">
      <c r="A1190" s="67" t="s">
        <v>1637</v>
      </c>
      <c r="B1190" s="67" t="s">
        <v>318</v>
      </c>
      <c r="C1190" s="68">
        <v>24</v>
      </c>
      <c r="D1190" s="70">
        <v>45.5</v>
      </c>
      <c r="E1190" s="70">
        <v>46.9</v>
      </c>
      <c r="F1190" s="70">
        <v>48.3</v>
      </c>
      <c r="G1190" s="70">
        <v>49.6</v>
      </c>
      <c r="H1190" s="70">
        <v>51</v>
      </c>
      <c r="I1190" s="67" t="s">
        <v>1699</v>
      </c>
    </row>
    <row r="1191" spans="1:9" ht="15" customHeight="1">
      <c r="A1191" s="67" t="s">
        <v>1637</v>
      </c>
      <c r="B1191" s="67" t="s">
        <v>318</v>
      </c>
      <c r="C1191" s="68">
        <v>25</v>
      </c>
      <c r="D1191" s="70">
        <v>45.6</v>
      </c>
      <c r="E1191" s="70">
        <v>47</v>
      </c>
      <c r="F1191" s="70">
        <v>48.4</v>
      </c>
      <c r="G1191" s="70">
        <v>49.7</v>
      </c>
      <c r="H1191" s="70">
        <v>51.1</v>
      </c>
      <c r="I1191" s="67" t="s">
        <v>1700</v>
      </c>
    </row>
    <row r="1192" spans="1:9" ht="15" customHeight="1">
      <c r="A1192" s="67" t="s">
        <v>1637</v>
      </c>
      <c r="B1192" s="67" t="s">
        <v>318</v>
      </c>
      <c r="C1192" s="68">
        <v>26</v>
      </c>
      <c r="D1192" s="70">
        <v>45.8</v>
      </c>
      <c r="E1192" s="70">
        <v>47.1</v>
      </c>
      <c r="F1192" s="70">
        <v>48.5</v>
      </c>
      <c r="G1192" s="70">
        <v>49.9</v>
      </c>
      <c r="H1192" s="70">
        <v>51.2</v>
      </c>
      <c r="I1192" s="67" t="s">
        <v>1701</v>
      </c>
    </row>
    <row r="1193" spans="1:9" ht="15" customHeight="1">
      <c r="A1193" s="67" t="s">
        <v>1637</v>
      </c>
      <c r="B1193" s="67" t="s">
        <v>318</v>
      </c>
      <c r="C1193" s="68">
        <v>27</v>
      </c>
      <c r="D1193" s="70">
        <v>45.9</v>
      </c>
      <c r="E1193" s="70">
        <v>47.2</v>
      </c>
      <c r="F1193" s="70">
        <v>48.6</v>
      </c>
      <c r="G1193" s="70">
        <v>50</v>
      </c>
      <c r="H1193" s="70">
        <v>51.4</v>
      </c>
      <c r="I1193" s="67" t="s">
        <v>1702</v>
      </c>
    </row>
    <row r="1194" spans="1:9" ht="15" customHeight="1">
      <c r="A1194" s="67" t="s">
        <v>1637</v>
      </c>
      <c r="B1194" s="67" t="s">
        <v>318</v>
      </c>
      <c r="C1194" s="68">
        <v>28</v>
      </c>
      <c r="D1194" s="70">
        <v>46</v>
      </c>
      <c r="E1194" s="70">
        <v>47.3</v>
      </c>
      <c r="F1194" s="70">
        <v>48.7</v>
      </c>
      <c r="G1194" s="70">
        <v>50.1</v>
      </c>
      <c r="H1194" s="70">
        <v>51.5</v>
      </c>
      <c r="I1194" s="67" t="s">
        <v>1703</v>
      </c>
    </row>
    <row r="1195" spans="1:9" ht="15" customHeight="1">
      <c r="A1195" s="67" t="s">
        <v>1637</v>
      </c>
      <c r="B1195" s="67" t="s">
        <v>318</v>
      </c>
      <c r="C1195" s="68">
        <v>29</v>
      </c>
      <c r="D1195" s="70">
        <v>46.1</v>
      </c>
      <c r="E1195" s="70">
        <v>47.4</v>
      </c>
      <c r="F1195" s="70">
        <v>48.8</v>
      </c>
      <c r="G1195" s="70">
        <v>50.2</v>
      </c>
      <c r="H1195" s="70">
        <v>51.6</v>
      </c>
      <c r="I1195" s="67" t="s">
        <v>1704</v>
      </c>
    </row>
    <row r="1196" spans="1:9" ht="15" customHeight="1">
      <c r="A1196" s="67" t="s">
        <v>1637</v>
      </c>
      <c r="B1196" s="67" t="s">
        <v>318</v>
      </c>
      <c r="C1196" s="68">
        <v>30</v>
      </c>
      <c r="D1196" s="70">
        <v>46.1</v>
      </c>
      <c r="E1196" s="70">
        <v>47.5</v>
      </c>
      <c r="F1196" s="70">
        <v>48.9</v>
      </c>
      <c r="G1196" s="70">
        <v>50.3</v>
      </c>
      <c r="H1196" s="70">
        <v>51.7</v>
      </c>
      <c r="I1196" s="67" t="s">
        <v>1705</v>
      </c>
    </row>
    <row r="1197" spans="1:9" ht="15" customHeight="1">
      <c r="A1197" s="67" t="s">
        <v>1637</v>
      </c>
      <c r="B1197" s="67" t="s">
        <v>318</v>
      </c>
      <c r="C1197" s="68">
        <v>31</v>
      </c>
      <c r="D1197" s="70">
        <v>46.2</v>
      </c>
      <c r="E1197" s="70">
        <v>47.6</v>
      </c>
      <c r="F1197" s="70">
        <v>49</v>
      </c>
      <c r="G1197" s="70">
        <v>50.4</v>
      </c>
      <c r="H1197" s="70">
        <v>51.8</v>
      </c>
      <c r="I1197" s="67" t="s">
        <v>1706</v>
      </c>
    </row>
    <row r="1198" spans="1:9" ht="15" customHeight="1">
      <c r="A1198" s="67" t="s">
        <v>1637</v>
      </c>
      <c r="B1198" s="67" t="s">
        <v>318</v>
      </c>
      <c r="C1198" s="68">
        <v>32</v>
      </c>
      <c r="D1198" s="70">
        <v>46.3</v>
      </c>
      <c r="E1198" s="70">
        <v>47.7</v>
      </c>
      <c r="F1198" s="70">
        <v>49.1</v>
      </c>
      <c r="G1198" s="70">
        <v>50.5</v>
      </c>
      <c r="H1198" s="70">
        <v>51.9</v>
      </c>
      <c r="I1198" s="67" t="s">
        <v>1707</v>
      </c>
    </row>
    <row r="1199" spans="1:9" ht="15" customHeight="1">
      <c r="A1199" s="67" t="s">
        <v>1637</v>
      </c>
      <c r="B1199" s="67" t="s">
        <v>318</v>
      </c>
      <c r="C1199" s="68">
        <v>33</v>
      </c>
      <c r="D1199" s="70">
        <v>46.4</v>
      </c>
      <c r="E1199" s="70">
        <v>47.8</v>
      </c>
      <c r="F1199" s="70">
        <v>49.2</v>
      </c>
      <c r="G1199" s="70">
        <v>50.6</v>
      </c>
      <c r="H1199" s="70">
        <v>52</v>
      </c>
      <c r="I1199" s="67" t="s">
        <v>1708</v>
      </c>
    </row>
    <row r="1200" spans="1:9" ht="15" customHeight="1">
      <c r="A1200" s="67" t="s">
        <v>1637</v>
      </c>
      <c r="B1200" s="67" t="s">
        <v>318</v>
      </c>
      <c r="C1200" s="68">
        <v>34</v>
      </c>
      <c r="D1200" s="70">
        <v>46.5</v>
      </c>
      <c r="E1200" s="70">
        <v>47.9</v>
      </c>
      <c r="F1200" s="70">
        <v>49.3</v>
      </c>
      <c r="G1200" s="70">
        <v>50.7</v>
      </c>
      <c r="H1200" s="70">
        <v>52.1</v>
      </c>
      <c r="I1200" s="67" t="s">
        <v>1709</v>
      </c>
    </row>
    <row r="1201" spans="1:9" ht="15" customHeight="1">
      <c r="A1201" s="67" t="s">
        <v>1637</v>
      </c>
      <c r="B1201" s="67" t="s">
        <v>318</v>
      </c>
      <c r="C1201" s="68">
        <v>35</v>
      </c>
      <c r="D1201" s="70">
        <v>46.6</v>
      </c>
      <c r="E1201" s="70">
        <v>48</v>
      </c>
      <c r="F1201" s="70">
        <v>49.4</v>
      </c>
      <c r="G1201" s="70">
        <v>50.8</v>
      </c>
      <c r="H1201" s="70">
        <v>52.2</v>
      </c>
      <c r="I1201" s="67" t="s">
        <v>1710</v>
      </c>
    </row>
    <row r="1202" spans="1:9" ht="15" customHeight="1">
      <c r="A1202" s="67" t="s">
        <v>1637</v>
      </c>
      <c r="B1202" s="67" t="s">
        <v>318</v>
      </c>
      <c r="C1202" s="68">
        <v>36</v>
      </c>
      <c r="D1202" s="70">
        <v>46.6</v>
      </c>
      <c r="E1202" s="70">
        <v>48</v>
      </c>
      <c r="F1202" s="70">
        <v>49.5</v>
      </c>
      <c r="G1202" s="70">
        <v>50.9</v>
      </c>
      <c r="H1202" s="70">
        <v>52.3</v>
      </c>
      <c r="I1202" s="67" t="s">
        <v>1711</v>
      </c>
    </row>
    <row r="1203" spans="1:9" ht="15" customHeight="1">
      <c r="A1203" s="67" t="s">
        <v>1712</v>
      </c>
      <c r="B1203" s="67" t="s">
        <v>365</v>
      </c>
      <c r="C1203" s="68">
        <v>5</v>
      </c>
      <c r="D1203" s="70">
        <v>56.7</v>
      </c>
      <c r="E1203" s="70">
        <v>61.4</v>
      </c>
      <c r="F1203" s="70"/>
      <c r="G1203" s="70"/>
      <c r="H1203" s="70"/>
      <c r="I1203" s="67" t="s">
        <v>1713</v>
      </c>
    </row>
    <row r="1204" spans="1:9" ht="15" customHeight="1">
      <c r="A1204" s="67" t="s">
        <v>1712</v>
      </c>
      <c r="B1204" s="67" t="s">
        <v>365</v>
      </c>
      <c r="C1204" s="68">
        <v>6</v>
      </c>
      <c r="D1204" s="70">
        <v>59.1</v>
      </c>
      <c r="E1204" s="70">
        <v>64.099999999999994</v>
      </c>
      <c r="F1204" s="70"/>
      <c r="G1204" s="70"/>
      <c r="H1204" s="70"/>
      <c r="I1204" s="67" t="s">
        <v>1714</v>
      </c>
    </row>
    <row r="1205" spans="1:9" ht="15" customHeight="1">
      <c r="A1205" s="67" t="s">
        <v>1712</v>
      </c>
      <c r="B1205" s="67" t="s">
        <v>365</v>
      </c>
      <c r="C1205" s="68">
        <v>7</v>
      </c>
      <c r="D1205" s="70">
        <v>61.5</v>
      </c>
      <c r="E1205" s="70">
        <v>67.5</v>
      </c>
      <c r="F1205" s="70"/>
      <c r="G1205" s="70"/>
      <c r="H1205" s="70"/>
      <c r="I1205" s="67" t="s">
        <v>1715</v>
      </c>
    </row>
    <row r="1206" spans="1:9" ht="15" customHeight="1">
      <c r="A1206" s="67" t="s">
        <v>1712</v>
      </c>
      <c r="B1206" s="67" t="s">
        <v>365</v>
      </c>
      <c r="C1206" s="68">
        <v>8</v>
      </c>
      <c r="D1206" s="70">
        <v>63.9</v>
      </c>
      <c r="E1206" s="70">
        <v>70.5</v>
      </c>
      <c r="F1206" s="70"/>
      <c r="G1206" s="70"/>
      <c r="H1206" s="70"/>
      <c r="I1206" s="67" t="s">
        <v>1716</v>
      </c>
    </row>
    <row r="1207" spans="1:9" ht="15" customHeight="1">
      <c r="A1207" s="67" t="s">
        <v>1712</v>
      </c>
      <c r="B1207" s="67" t="s">
        <v>365</v>
      </c>
      <c r="C1207" s="68">
        <v>9</v>
      </c>
      <c r="D1207" s="70">
        <v>66.3</v>
      </c>
      <c r="E1207" s="70">
        <v>73.599999999999994</v>
      </c>
      <c r="F1207" s="70"/>
      <c r="G1207" s="70"/>
      <c r="H1207" s="70"/>
      <c r="I1207" s="67" t="s">
        <v>1717</v>
      </c>
    </row>
    <row r="1208" spans="1:9" ht="15" customHeight="1">
      <c r="A1208" s="67" t="s">
        <v>1712</v>
      </c>
      <c r="B1208" s="67" t="s">
        <v>365</v>
      </c>
      <c r="C1208" s="68">
        <v>10</v>
      </c>
      <c r="D1208" s="70">
        <v>68.7</v>
      </c>
      <c r="E1208" s="70">
        <v>76.599999999999994</v>
      </c>
      <c r="F1208" s="70"/>
      <c r="G1208" s="70"/>
      <c r="H1208" s="70"/>
      <c r="I1208" s="67" t="s">
        <v>1718</v>
      </c>
    </row>
    <row r="1209" spans="1:9" ht="15" customHeight="1">
      <c r="A1209" s="67" t="s">
        <v>1712</v>
      </c>
      <c r="B1209" s="67" t="s">
        <v>365</v>
      </c>
      <c r="C1209" s="68">
        <v>11</v>
      </c>
      <c r="D1209" s="70">
        <v>71.099999999999994</v>
      </c>
      <c r="E1209" s="70">
        <v>79.7</v>
      </c>
      <c r="F1209" s="70"/>
      <c r="G1209" s="70"/>
      <c r="H1209" s="70"/>
      <c r="I1209" s="67" t="s">
        <v>1719</v>
      </c>
    </row>
    <row r="1210" spans="1:9" ht="15" customHeight="1">
      <c r="A1210" s="67" t="s">
        <v>1712</v>
      </c>
      <c r="B1210" s="67" t="s">
        <v>365</v>
      </c>
      <c r="C1210" s="68">
        <v>12</v>
      </c>
      <c r="D1210" s="70">
        <v>73.5</v>
      </c>
      <c r="E1210" s="70">
        <v>82.7</v>
      </c>
      <c r="F1210" s="70"/>
      <c r="G1210" s="70"/>
      <c r="H1210" s="70"/>
      <c r="I1210" s="67" t="s">
        <v>1720</v>
      </c>
    </row>
    <row r="1211" spans="1:9" ht="15" customHeight="1">
      <c r="A1211" s="67" t="s">
        <v>1712</v>
      </c>
      <c r="B1211" s="67" t="s">
        <v>365</v>
      </c>
      <c r="C1211" s="68">
        <v>13</v>
      </c>
      <c r="D1211" s="70">
        <v>75.900000000000006</v>
      </c>
      <c r="E1211" s="70">
        <v>85.9</v>
      </c>
      <c r="F1211" s="70"/>
      <c r="G1211" s="70"/>
      <c r="H1211" s="70"/>
      <c r="I1211" s="67" t="s">
        <v>1721</v>
      </c>
    </row>
    <row r="1212" spans="1:9" ht="15" customHeight="1">
      <c r="A1212" s="67" t="s">
        <v>1712</v>
      </c>
      <c r="B1212" s="67" t="s">
        <v>365</v>
      </c>
      <c r="C1212" s="68">
        <v>14</v>
      </c>
      <c r="D1212" s="70">
        <v>78.3</v>
      </c>
      <c r="E1212" s="70">
        <v>88.8</v>
      </c>
      <c r="F1212" s="70"/>
      <c r="G1212" s="70"/>
      <c r="H1212" s="70"/>
      <c r="I1212" s="67" t="s">
        <v>1722</v>
      </c>
    </row>
    <row r="1213" spans="1:9" ht="15" customHeight="1">
      <c r="A1213" s="67" t="s">
        <v>1712</v>
      </c>
      <c r="B1213" s="67" t="s">
        <v>365</v>
      </c>
      <c r="C1213" s="68">
        <v>15</v>
      </c>
      <c r="D1213" s="70">
        <v>80.7</v>
      </c>
      <c r="E1213" s="70">
        <v>91.9</v>
      </c>
      <c r="F1213" s="70"/>
      <c r="G1213" s="70"/>
      <c r="H1213" s="70"/>
      <c r="I1213" s="67" t="s">
        <v>1723</v>
      </c>
    </row>
    <row r="1214" spans="1:9" ht="15" customHeight="1">
      <c r="A1214" s="67" t="s">
        <v>1712</v>
      </c>
      <c r="B1214" s="67" t="s">
        <v>365</v>
      </c>
      <c r="C1214" s="68">
        <v>16</v>
      </c>
      <c r="D1214" s="70">
        <v>83.1</v>
      </c>
      <c r="E1214" s="70">
        <v>94.9</v>
      </c>
      <c r="F1214" s="70"/>
      <c r="G1214" s="70"/>
      <c r="H1214" s="70"/>
      <c r="I1214" s="67" t="s">
        <v>1724</v>
      </c>
    </row>
    <row r="1215" spans="1:9" ht="15" customHeight="1">
      <c r="A1215" s="67" t="s">
        <v>1712</v>
      </c>
      <c r="B1215" s="67" t="s">
        <v>365</v>
      </c>
      <c r="C1215" s="68">
        <v>17</v>
      </c>
      <c r="D1215" s="70">
        <v>85.5</v>
      </c>
      <c r="E1215" s="70">
        <v>98</v>
      </c>
      <c r="F1215" s="70"/>
      <c r="G1215" s="70"/>
      <c r="H1215" s="70"/>
      <c r="I1215" s="67" t="s">
        <v>1725</v>
      </c>
    </row>
    <row r="1216" spans="1:9" ht="15" customHeight="1">
      <c r="A1216" s="67" t="s">
        <v>1712</v>
      </c>
      <c r="B1216" s="67" t="s">
        <v>365</v>
      </c>
      <c r="C1216" s="68">
        <v>18</v>
      </c>
      <c r="D1216" s="70">
        <v>87.9</v>
      </c>
      <c r="E1216" s="70">
        <v>101</v>
      </c>
      <c r="F1216" s="70"/>
      <c r="G1216" s="70"/>
      <c r="H1216" s="70"/>
      <c r="I1216" s="67" t="s">
        <v>1726</v>
      </c>
    </row>
    <row r="1217" spans="1:9" ht="15" customHeight="1">
      <c r="A1217" s="67" t="s">
        <v>1712</v>
      </c>
      <c r="B1217" s="67" t="s">
        <v>318</v>
      </c>
      <c r="C1217" s="68">
        <v>5</v>
      </c>
      <c r="D1217" s="70">
        <v>56.4</v>
      </c>
      <c r="E1217" s="70">
        <v>61</v>
      </c>
      <c r="F1217" s="70"/>
      <c r="G1217" s="70"/>
      <c r="H1217" s="70"/>
      <c r="I1217" s="67" t="s">
        <v>1727</v>
      </c>
    </row>
    <row r="1218" spans="1:9" ht="15" customHeight="1">
      <c r="A1218" s="67" t="s">
        <v>1712</v>
      </c>
      <c r="B1218" s="67" t="s">
        <v>318</v>
      </c>
      <c r="C1218" s="68">
        <v>6</v>
      </c>
      <c r="D1218" s="70">
        <v>59</v>
      </c>
      <c r="E1218" s="70">
        <v>64.400000000000006</v>
      </c>
      <c r="F1218" s="70"/>
      <c r="G1218" s="70"/>
      <c r="H1218" s="70"/>
      <c r="I1218" s="67" t="s">
        <v>1728</v>
      </c>
    </row>
    <row r="1219" spans="1:9" ht="15" customHeight="1">
      <c r="A1219" s="67" t="s">
        <v>1712</v>
      </c>
      <c r="B1219" s="67" t="s">
        <v>318</v>
      </c>
      <c r="C1219" s="68">
        <v>7</v>
      </c>
      <c r="D1219" s="70">
        <v>61.5</v>
      </c>
      <c r="E1219" s="70">
        <v>67.8</v>
      </c>
      <c r="F1219" s="70"/>
      <c r="G1219" s="70"/>
      <c r="H1219" s="70"/>
      <c r="I1219" s="67" t="s">
        <v>1729</v>
      </c>
    </row>
    <row r="1220" spans="1:9" ht="15" customHeight="1">
      <c r="A1220" s="67" t="s">
        <v>1712</v>
      </c>
      <c r="B1220" s="67" t="s">
        <v>318</v>
      </c>
      <c r="C1220" s="68">
        <v>8</v>
      </c>
      <c r="D1220" s="70">
        <v>64.099999999999994</v>
      </c>
      <c r="E1220" s="70">
        <v>71.2</v>
      </c>
      <c r="F1220" s="70"/>
      <c r="G1220" s="70"/>
      <c r="H1220" s="70"/>
      <c r="I1220" s="67" t="s">
        <v>1730</v>
      </c>
    </row>
    <row r="1221" spans="1:9" ht="15" customHeight="1">
      <c r="A1221" s="67" t="s">
        <v>1712</v>
      </c>
      <c r="B1221" s="67" t="s">
        <v>318</v>
      </c>
      <c r="C1221" s="68">
        <v>9</v>
      </c>
      <c r="D1221" s="70">
        <v>66.599999999999994</v>
      </c>
      <c r="E1221" s="70">
        <v>74.599999999999994</v>
      </c>
      <c r="F1221" s="70"/>
      <c r="G1221" s="70"/>
      <c r="H1221" s="70"/>
      <c r="I1221" s="67" t="s">
        <v>1731</v>
      </c>
    </row>
    <row r="1222" spans="1:9" ht="15" customHeight="1">
      <c r="A1222" s="67" t="s">
        <v>1712</v>
      </c>
      <c r="B1222" s="67" t="s">
        <v>318</v>
      </c>
      <c r="C1222" s="68">
        <v>10</v>
      </c>
      <c r="D1222" s="70">
        <v>69.2</v>
      </c>
      <c r="E1222" s="70">
        <v>78</v>
      </c>
      <c r="F1222" s="70"/>
      <c r="G1222" s="70"/>
      <c r="H1222" s="70"/>
      <c r="I1222" s="67" t="s">
        <v>1732</v>
      </c>
    </row>
    <row r="1223" spans="1:9" ht="15" customHeight="1">
      <c r="A1223" s="67" t="s">
        <v>1712</v>
      </c>
      <c r="B1223" s="67" t="s">
        <v>318</v>
      </c>
      <c r="C1223" s="68">
        <v>11</v>
      </c>
      <c r="D1223" s="70">
        <v>71.7</v>
      </c>
      <c r="E1223" s="70">
        <v>81.400000000000006</v>
      </c>
      <c r="F1223" s="70"/>
      <c r="G1223" s="70"/>
      <c r="H1223" s="70"/>
      <c r="I1223" s="67" t="s">
        <v>1733</v>
      </c>
    </row>
    <row r="1224" spans="1:9" ht="15" customHeight="1">
      <c r="A1224" s="67" t="s">
        <v>1712</v>
      </c>
      <c r="B1224" s="67" t="s">
        <v>318</v>
      </c>
      <c r="C1224" s="68">
        <v>12</v>
      </c>
      <c r="D1224" s="70">
        <v>74.3</v>
      </c>
      <c r="E1224" s="70">
        <v>84.4</v>
      </c>
      <c r="F1224" s="70"/>
      <c r="G1224" s="70"/>
      <c r="H1224" s="70"/>
      <c r="I1224" s="67" t="s">
        <v>1734</v>
      </c>
    </row>
    <row r="1225" spans="1:9" ht="15" customHeight="1">
      <c r="A1225" s="67" t="s">
        <v>1712</v>
      </c>
      <c r="B1225" s="67" t="s">
        <v>318</v>
      </c>
      <c r="C1225" s="68">
        <v>13</v>
      </c>
      <c r="D1225" s="70">
        <v>76.8</v>
      </c>
      <c r="E1225" s="70">
        <v>88.2</v>
      </c>
      <c r="F1225" s="70"/>
      <c r="G1225" s="70"/>
      <c r="H1225" s="70"/>
      <c r="I1225" s="67" t="s">
        <v>1735</v>
      </c>
    </row>
    <row r="1226" spans="1:9" ht="15" customHeight="1">
      <c r="A1226" s="67" t="s">
        <v>1712</v>
      </c>
      <c r="B1226" s="67" t="s">
        <v>318</v>
      </c>
      <c r="C1226" s="68">
        <v>14</v>
      </c>
      <c r="D1226" s="70">
        <v>79.400000000000006</v>
      </c>
      <c r="E1226" s="70">
        <v>91.6</v>
      </c>
      <c r="F1226" s="70"/>
      <c r="G1226" s="70"/>
      <c r="H1226" s="70"/>
      <c r="I1226" s="67" t="s">
        <v>1736</v>
      </c>
    </row>
    <row r="1227" spans="1:9" ht="15" customHeight="1">
      <c r="A1227" s="67" t="s">
        <v>1712</v>
      </c>
      <c r="B1227" s="67" t="s">
        <v>318</v>
      </c>
      <c r="C1227" s="68">
        <v>15</v>
      </c>
      <c r="D1227" s="70">
        <v>81.900000000000006</v>
      </c>
      <c r="E1227" s="70">
        <v>95</v>
      </c>
      <c r="F1227" s="70"/>
      <c r="G1227" s="70"/>
      <c r="H1227" s="70"/>
      <c r="I1227" s="67" t="s">
        <v>1737</v>
      </c>
    </row>
    <row r="1228" spans="1:9" ht="15" customHeight="1">
      <c r="A1228" s="67" t="s">
        <v>1712</v>
      </c>
      <c r="B1228" s="67" t="s">
        <v>318</v>
      </c>
      <c r="C1228" s="68">
        <v>16</v>
      </c>
      <c r="D1228" s="70">
        <v>84.5</v>
      </c>
      <c r="E1228" s="70">
        <v>98.4</v>
      </c>
      <c r="F1228" s="70"/>
      <c r="G1228" s="70"/>
      <c r="H1228" s="70"/>
      <c r="I1228" s="67" t="s">
        <v>1738</v>
      </c>
    </row>
    <row r="1229" spans="1:9" ht="15" customHeight="1">
      <c r="A1229" s="67" t="s">
        <v>1712</v>
      </c>
      <c r="B1229" s="67" t="s">
        <v>318</v>
      </c>
      <c r="C1229" s="68">
        <v>17</v>
      </c>
      <c r="D1229" s="70">
        <v>87</v>
      </c>
      <c r="E1229" s="70">
        <v>101.8</v>
      </c>
      <c r="F1229" s="70"/>
      <c r="G1229" s="70"/>
      <c r="H1229" s="70"/>
      <c r="I1229" s="67" t="s">
        <v>1739</v>
      </c>
    </row>
    <row r="1230" spans="1:9" ht="15" customHeight="1">
      <c r="A1230" s="67" t="s">
        <v>1712</v>
      </c>
      <c r="B1230" s="67" t="s">
        <v>318</v>
      </c>
      <c r="C1230" s="68">
        <v>18</v>
      </c>
      <c r="D1230" s="70">
        <v>89.6</v>
      </c>
      <c r="E1230" s="70">
        <v>105.2</v>
      </c>
      <c r="F1230" s="70"/>
      <c r="G1230" s="70"/>
      <c r="H1230" s="70"/>
      <c r="I1230" s="67" t="s">
        <v>1740</v>
      </c>
    </row>
  </sheetData>
  <sheetProtection algorithmName="SHA-512" hashValue="3Xsm6clNRJQQ33WG/SrXlwvZO0Foy1tMK5cF3AYP5yyOlOihVoCgrmJTuNakX0n07B2pGkYctLIuD0LKoq3EVw==" saltValue="Q0mM3biFaoDcVFopldpkNQ==" spinCount="100000" sheet="1" objects="1" scenarios="1" selectLockedCells="1"/>
  <mergeCells count="3">
    <mergeCell ref="A4:I4"/>
    <mergeCell ref="A2:K2"/>
    <mergeCell ref="I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86A6C"/>
  </sheetPr>
  <dimension ref="A1:K10"/>
  <sheetViews>
    <sheetView showGridLines="0" tabSelected="1" workbookViewId="0">
      <selection activeCell="D12" sqref="D12"/>
    </sheetView>
  </sheetViews>
  <sheetFormatPr baseColWidth="10" defaultColWidth="8.7109375" defaultRowHeight="15"/>
  <cols>
    <col min="1" max="1" width="12" style="1" customWidth="1"/>
    <col min="2" max="2" width="14" style="1" customWidth="1"/>
    <col min="3" max="3" width="36.7109375" style="1" customWidth="1"/>
    <col min="4" max="4" width="91.28515625" style="1" customWidth="1"/>
    <col min="5" max="5" width="18" style="1" customWidth="1"/>
    <col min="6" max="6" width="17.5703125" customWidth="1"/>
    <col min="7" max="7" width="18.42578125" customWidth="1"/>
    <col min="8" max="10" width="14.28515625" customWidth="1"/>
    <col min="11" max="11" width="16.5703125" customWidth="1"/>
  </cols>
  <sheetData>
    <row r="1" spans="1:11" ht="27.75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11" ht="34.5" customHeight="1">
      <c r="A2" s="138" t="s">
        <v>1741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ht="19.5" customHeight="1">
      <c r="A3" s="129" t="str">
        <f>HYPERLINK("#INICIO!A1","▶ INICIO")</f>
        <v>▶ INICIO</v>
      </c>
      <c r="B3" s="129" t="str">
        <f>HYPERLINK("#DATOS!A1","▶ DATOS")</f>
        <v>▶ DATOS</v>
      </c>
      <c r="C3" s="129" t="str">
        <f>HYPERLINK("#SEGUIMIENTO!A1","▶ SEGUIMIENTO")</f>
        <v>▶ SEGUIMIENTO</v>
      </c>
      <c r="D3" s="129" t="str">
        <f>HYPERLINK("#CALCULOS!A1","▶ CALCULOS")</f>
        <v>▶ CALCULOS</v>
      </c>
      <c r="E3" s="129" t="str">
        <f>HYPERLINK("#RESULTADOS!A1","▶ RESULTADOS")</f>
        <v>▶ RESULTADOS</v>
      </c>
      <c r="F3" s="129" t="str">
        <f>HYPERLINK("#CURVAS!A1","▶ CURVAS")</f>
        <v>▶ CURVAS</v>
      </c>
      <c r="G3" s="129" t="str">
        <f>HYPERLINK("#FUENTES!A1","▶ FUENTES")</f>
        <v>▶ FUENTES</v>
      </c>
      <c r="H3" s="129" t="str">
        <f>HYPERLINK("#PRUEBAS!A1","▶ PRUEBAS")</f>
        <v>▶ PRUEBAS</v>
      </c>
      <c r="I3" s="129" t="str">
        <f>HYPERLINK("#CONFIG!A1","▶ CONFIG")</f>
        <v>▶ CONFIG</v>
      </c>
      <c r="J3" s="129" t="str">
        <f>HYPERLINK("#TABLAS!A1","▶ TABLAS")</f>
        <v>▶ TABLAS</v>
      </c>
      <c r="K3" s="128" t="str">
        <f>HYPERLINK("#CHANGELOG!A1","● CHANGELOG")</f>
        <v>● CHANGELOG</v>
      </c>
    </row>
    <row r="5" spans="1:11" ht="15" customHeight="1">
      <c r="A5" s="38" t="s">
        <v>3</v>
      </c>
      <c r="B5" s="38" t="s">
        <v>4</v>
      </c>
      <c r="C5" s="88" t="s">
        <v>1742</v>
      </c>
      <c r="D5" s="89"/>
      <c r="E5" s="89"/>
      <c r="F5" s="88" t="s">
        <v>1743</v>
      </c>
      <c r="G5" s="89"/>
      <c r="H5" s="88" t="s">
        <v>11</v>
      </c>
      <c r="I5" s="89"/>
    </row>
    <row r="6" spans="1:11" ht="51.75" customHeight="1">
      <c r="A6" s="39" t="s">
        <v>1744</v>
      </c>
      <c r="B6" s="39" t="s">
        <v>1745</v>
      </c>
      <c r="C6" s="145" t="s">
        <v>1746</v>
      </c>
      <c r="D6" s="146"/>
      <c r="E6" s="146"/>
      <c r="F6" s="90" t="s">
        <v>1747</v>
      </c>
      <c r="G6" s="91"/>
      <c r="H6" s="90" t="s">
        <v>1748</v>
      </c>
      <c r="I6" s="91"/>
    </row>
    <row r="7" spans="1:11" ht="51.75" customHeight="1">
      <c r="A7" s="39" t="s">
        <v>1744</v>
      </c>
      <c r="B7" s="39" t="s">
        <v>1745</v>
      </c>
      <c r="C7" s="145" t="s">
        <v>1749</v>
      </c>
      <c r="D7" s="146"/>
      <c r="E7" s="146"/>
      <c r="F7" s="90" t="s">
        <v>1750</v>
      </c>
      <c r="G7" s="91"/>
      <c r="H7" s="90" t="s">
        <v>1748</v>
      </c>
      <c r="I7" s="91"/>
    </row>
    <row r="8" spans="1:11" ht="51.75" customHeight="1">
      <c r="A8" s="39" t="s">
        <v>1744</v>
      </c>
      <c r="B8" s="39" t="s">
        <v>1745</v>
      </c>
      <c r="C8" s="145" t="s">
        <v>1751</v>
      </c>
      <c r="D8" s="146"/>
      <c r="E8" s="146"/>
      <c r="F8" s="90" t="s">
        <v>1752</v>
      </c>
      <c r="G8" s="91"/>
      <c r="H8" s="90" t="s">
        <v>1748</v>
      </c>
      <c r="I8" s="91"/>
    </row>
    <row r="9" spans="1:11" ht="63.75" customHeight="1">
      <c r="A9" s="62" t="s">
        <v>1753</v>
      </c>
      <c r="B9" s="62" t="s">
        <v>1754</v>
      </c>
      <c r="C9" s="147" t="s">
        <v>1755</v>
      </c>
      <c r="D9" s="148"/>
      <c r="E9" s="148"/>
      <c r="F9" s="90" t="s">
        <v>1756</v>
      </c>
      <c r="G9" s="91"/>
      <c r="H9" s="90" t="s">
        <v>1748</v>
      </c>
      <c r="I9" s="91"/>
    </row>
    <row r="10" spans="1:11" ht="45.75" customHeight="1">
      <c r="A10" s="62" t="s">
        <v>1758</v>
      </c>
      <c r="B10" s="62" t="s">
        <v>1759</v>
      </c>
      <c r="C10" s="147" t="s">
        <v>1851</v>
      </c>
      <c r="D10" s="148"/>
      <c r="E10" s="148"/>
      <c r="F10" s="90" t="s">
        <v>1852</v>
      </c>
      <c r="G10" s="91"/>
      <c r="H10" s="90" t="s">
        <v>1853</v>
      </c>
      <c r="I10" s="91"/>
    </row>
  </sheetData>
  <sheetProtection algorithmName="SHA-512" hashValue="nov4oNp/CbGOVEBgbCCSkzQ8qTlpdozNVD0uQUMnP2a/zIDa38+qlKQAwFoo4FrXw0XfhSXoMEVpddQa8+sb6w==" saltValue="Ejmc/Di62PWDkpD13t4IkQ==" spinCount="100000" sheet="1" objects="1" scenarios="1"/>
  <mergeCells count="20">
    <mergeCell ref="C9:E9"/>
    <mergeCell ref="C10:E10"/>
    <mergeCell ref="A2:K2"/>
    <mergeCell ref="A1:K1"/>
    <mergeCell ref="C5:E5"/>
    <mergeCell ref="C6:E6"/>
    <mergeCell ref="C7:E7"/>
    <mergeCell ref="C8:E8"/>
    <mergeCell ref="H9:I9"/>
    <mergeCell ref="H10:I10"/>
    <mergeCell ref="F5:G5"/>
    <mergeCell ref="F6:G6"/>
    <mergeCell ref="F7:G7"/>
    <mergeCell ref="F8:G8"/>
    <mergeCell ref="F9:G9"/>
    <mergeCell ref="F10:G10"/>
    <mergeCell ref="H5:I5"/>
    <mergeCell ref="H6:I6"/>
    <mergeCell ref="H7:I7"/>
    <mergeCell ref="H8:I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8"/>
  <sheetViews>
    <sheetView showGridLines="0" zoomScaleNormal="100" workbookViewId="0">
      <selection activeCell="I9" sqref="I9"/>
    </sheetView>
  </sheetViews>
  <sheetFormatPr baseColWidth="10" defaultColWidth="9.140625" defaultRowHeight="15"/>
  <cols>
    <col min="1" max="1" width="26.85546875" customWidth="1"/>
    <col min="2" max="2" width="25" customWidth="1"/>
    <col min="3" max="3" width="28" customWidth="1"/>
    <col min="4" max="4" width="42" customWidth="1"/>
    <col min="5" max="5" width="10" customWidth="1"/>
    <col min="6" max="6" width="14" customWidth="1"/>
    <col min="7" max="7" width="15" customWidth="1"/>
    <col min="8" max="8" width="12" customWidth="1"/>
    <col min="9" max="9" width="28" customWidth="1"/>
    <col min="10" max="10" width="22" customWidth="1"/>
    <col min="11" max="11" width="25" customWidth="1"/>
    <col min="12" max="12" width="18" customWidth="1"/>
    <col min="13" max="13" width="48" customWidth="1"/>
    <col min="14" max="14" width="28" customWidth="1"/>
  </cols>
  <sheetData>
    <row r="1" spans="1:14" ht="27.95" customHeight="1">
      <c r="A1" s="86" t="s">
        <v>1854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22.5" customHeight="1">
      <c r="A2" s="125" t="s">
        <v>1855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</row>
    <row r="3" spans="1:14">
      <c r="A3" s="144" t="str">
        <f>HYPERLINK("#INICIO!A1","◀ INICIO")</f>
        <v>◀ INICIO</v>
      </c>
      <c r="B3" s="144" t="str">
        <f>HYPERLINK("#PRUEBAS!A1","▶ PRUEBAS")</f>
        <v>▶ PRUEBAS</v>
      </c>
    </row>
    <row r="5" spans="1:14">
      <c r="A5" s="71" t="s">
        <v>1856</v>
      </c>
      <c r="B5" s="71"/>
      <c r="C5" s="87" t="s">
        <v>1857</v>
      </c>
      <c r="D5" s="87"/>
      <c r="E5" s="87"/>
    </row>
    <row r="6" spans="1:14">
      <c r="A6" s="107" t="s">
        <v>1858</v>
      </c>
      <c r="B6" s="109"/>
      <c r="C6" s="107" t="s">
        <v>1859</v>
      </c>
      <c r="D6" s="108"/>
      <c r="E6" s="109"/>
    </row>
    <row r="7" spans="1:14">
      <c r="A7" s="107" t="s">
        <v>1860</v>
      </c>
      <c r="B7" s="109"/>
      <c r="C7" s="107" t="s">
        <v>1861</v>
      </c>
      <c r="D7" s="108"/>
      <c r="E7" s="109"/>
    </row>
    <row r="8" spans="1:14">
      <c r="A8" s="107" t="s">
        <v>1862</v>
      </c>
      <c r="B8" s="109"/>
      <c r="C8" s="107" t="s">
        <v>1758</v>
      </c>
      <c r="D8" s="108"/>
      <c r="E8" s="109"/>
    </row>
    <row r="9" spans="1:14" ht="36.75" customHeight="1">
      <c r="A9" s="107" t="s">
        <v>1863</v>
      </c>
      <c r="B9" s="109"/>
      <c r="C9" s="107" t="s">
        <v>1864</v>
      </c>
      <c r="D9" s="108"/>
      <c r="E9" s="109"/>
    </row>
    <row r="10" spans="1:14" ht="36.75" customHeight="1">
      <c r="A10" s="107" t="s">
        <v>1865</v>
      </c>
      <c r="B10" s="109"/>
      <c r="C10" s="107" t="s">
        <v>1866</v>
      </c>
      <c r="D10" s="108"/>
      <c r="E10" s="109"/>
    </row>
    <row r="11" spans="1:14">
      <c r="A11" s="107" t="s">
        <v>1867</v>
      </c>
      <c r="B11" s="109"/>
      <c r="C11" s="107" t="s">
        <v>1868</v>
      </c>
      <c r="D11" s="108"/>
      <c r="E11" s="109"/>
    </row>
    <row r="12" spans="1:14">
      <c r="A12" s="107" t="s">
        <v>1869</v>
      </c>
      <c r="B12" s="109"/>
      <c r="C12" s="107" t="s">
        <v>1870</v>
      </c>
      <c r="D12" s="108"/>
      <c r="E12" s="109"/>
    </row>
    <row r="13" spans="1:14">
      <c r="A13" s="107" t="s">
        <v>1871</v>
      </c>
      <c r="B13" s="109"/>
      <c r="C13" s="107" t="s">
        <v>1872</v>
      </c>
      <c r="D13" s="108"/>
      <c r="E13" s="109"/>
    </row>
    <row r="15" spans="1:14">
      <c r="A15" s="72" t="s">
        <v>1873</v>
      </c>
      <c r="B15" s="72" t="s">
        <v>370</v>
      </c>
      <c r="C15" s="72" t="s">
        <v>1769</v>
      </c>
      <c r="D15" s="72" t="s">
        <v>1874</v>
      </c>
      <c r="E15" s="72" t="s">
        <v>1770</v>
      </c>
      <c r="F15" s="72" t="s">
        <v>86</v>
      </c>
      <c r="G15" s="72" t="s">
        <v>1771</v>
      </c>
      <c r="H15" s="72" t="s">
        <v>1772</v>
      </c>
      <c r="I15" s="72" t="s">
        <v>1773</v>
      </c>
      <c r="J15" s="72" t="s">
        <v>1774</v>
      </c>
      <c r="K15" s="72" t="s">
        <v>1875</v>
      </c>
      <c r="L15" s="72" t="s">
        <v>1876</v>
      </c>
      <c r="M15" s="72" t="s">
        <v>1877</v>
      </c>
      <c r="N15" s="72" t="s">
        <v>1878</v>
      </c>
    </row>
    <row r="16" spans="1:14" ht="22.5">
      <c r="A16" s="73" t="s">
        <v>1776</v>
      </c>
      <c r="B16" s="73" t="s">
        <v>373</v>
      </c>
      <c r="C16" s="73" t="s">
        <v>1777</v>
      </c>
      <c r="D16" s="73" t="s">
        <v>1778</v>
      </c>
      <c r="E16" s="73" t="s">
        <v>1779</v>
      </c>
      <c r="F16" s="73" t="s">
        <v>97</v>
      </c>
      <c r="G16" s="73" t="s">
        <v>97</v>
      </c>
      <c r="H16" s="73" t="s">
        <v>97</v>
      </c>
      <c r="I16" s="73" t="s">
        <v>1780</v>
      </c>
      <c r="J16" s="73" t="s">
        <v>97</v>
      </c>
      <c r="K16" s="73" t="s">
        <v>1781</v>
      </c>
      <c r="L16" s="73" t="s">
        <v>1879</v>
      </c>
      <c r="M16" s="73" t="s">
        <v>1880</v>
      </c>
      <c r="N16" s="132" t="s">
        <v>1901</v>
      </c>
    </row>
    <row r="17" spans="1:14" ht="22.5">
      <c r="A17" s="73" t="s">
        <v>1783</v>
      </c>
      <c r="B17" s="73" t="s">
        <v>1784</v>
      </c>
      <c r="C17" s="73" t="s">
        <v>1785</v>
      </c>
      <c r="D17" s="73" t="s">
        <v>1786</v>
      </c>
      <c r="E17" s="73" t="s">
        <v>1779</v>
      </c>
      <c r="F17" s="73" t="s">
        <v>97</v>
      </c>
      <c r="G17" s="73" t="s">
        <v>97</v>
      </c>
      <c r="H17" s="73" t="s">
        <v>97</v>
      </c>
      <c r="I17" s="73" t="s">
        <v>1780</v>
      </c>
      <c r="J17" s="73" t="s">
        <v>97</v>
      </c>
      <c r="K17" s="73" t="s">
        <v>1781</v>
      </c>
      <c r="L17" s="73" t="s">
        <v>1879</v>
      </c>
      <c r="M17" s="73" t="s">
        <v>1880</v>
      </c>
      <c r="N17" s="132" t="s">
        <v>1901</v>
      </c>
    </row>
    <row r="18" spans="1:14" ht="22.5">
      <c r="A18" s="73" t="s">
        <v>1787</v>
      </c>
      <c r="B18" s="73" t="s">
        <v>1788</v>
      </c>
      <c r="C18" s="73" t="s">
        <v>1789</v>
      </c>
      <c r="D18" s="73" t="s">
        <v>1790</v>
      </c>
      <c r="E18" s="73" t="s">
        <v>1779</v>
      </c>
      <c r="F18" s="73" t="s">
        <v>97</v>
      </c>
      <c r="G18" s="73" t="s">
        <v>97</v>
      </c>
      <c r="H18" s="73" t="s">
        <v>97</v>
      </c>
      <c r="I18" s="73" t="s">
        <v>1780</v>
      </c>
      <c r="J18" s="73" t="s">
        <v>97</v>
      </c>
      <c r="K18" s="73" t="s">
        <v>1781</v>
      </c>
      <c r="L18" s="73" t="s">
        <v>1879</v>
      </c>
      <c r="M18" s="73" t="s">
        <v>1880</v>
      </c>
      <c r="N18" s="132" t="s">
        <v>1901</v>
      </c>
    </row>
    <row r="19" spans="1:14" ht="22.5">
      <c r="A19" s="73" t="s">
        <v>1791</v>
      </c>
      <c r="B19" s="73" t="s">
        <v>1792</v>
      </c>
      <c r="C19" s="73" t="s">
        <v>1793</v>
      </c>
      <c r="D19" s="73" t="s">
        <v>1794</v>
      </c>
      <c r="E19" s="73" t="s">
        <v>1779</v>
      </c>
      <c r="F19" s="73" t="s">
        <v>97</v>
      </c>
      <c r="G19" s="73" t="s">
        <v>97</v>
      </c>
      <c r="H19" s="73" t="s">
        <v>97</v>
      </c>
      <c r="I19" s="73" t="s">
        <v>1780</v>
      </c>
      <c r="J19" s="73" t="s">
        <v>97</v>
      </c>
      <c r="K19" s="73" t="s">
        <v>1781</v>
      </c>
      <c r="L19" s="73" t="s">
        <v>1879</v>
      </c>
      <c r="M19" s="73" t="s">
        <v>1880</v>
      </c>
      <c r="N19" s="132" t="s">
        <v>1901</v>
      </c>
    </row>
    <row r="20" spans="1:14" ht="22.5">
      <c r="A20" s="73" t="s">
        <v>1795</v>
      </c>
      <c r="B20" s="73" t="s">
        <v>1796</v>
      </c>
      <c r="C20" s="73" t="s">
        <v>1797</v>
      </c>
      <c r="D20" s="73" t="s">
        <v>1798</v>
      </c>
      <c r="E20" s="73" t="s">
        <v>1779</v>
      </c>
      <c r="F20" s="73" t="s">
        <v>97</v>
      </c>
      <c r="G20" s="73" t="s">
        <v>97</v>
      </c>
      <c r="H20" s="73" t="s">
        <v>97</v>
      </c>
      <c r="I20" s="73" t="s">
        <v>1799</v>
      </c>
      <c r="J20" s="73" t="s">
        <v>97</v>
      </c>
      <c r="K20" s="73" t="s">
        <v>1781</v>
      </c>
      <c r="L20" s="73" t="s">
        <v>1879</v>
      </c>
      <c r="M20" s="73" t="s">
        <v>1880</v>
      </c>
      <c r="N20" s="132" t="s">
        <v>1901</v>
      </c>
    </row>
    <row r="21" spans="1:14" ht="22.5">
      <c r="A21" s="73" t="s">
        <v>1800</v>
      </c>
      <c r="B21" s="73" t="s">
        <v>1801</v>
      </c>
      <c r="C21" s="73" t="s">
        <v>1802</v>
      </c>
      <c r="D21" s="73" t="s">
        <v>1803</v>
      </c>
      <c r="E21" s="73" t="s">
        <v>1779</v>
      </c>
      <c r="F21" s="73" t="s">
        <v>97</v>
      </c>
      <c r="G21" s="73" t="s">
        <v>97</v>
      </c>
      <c r="H21" s="73" t="s">
        <v>97</v>
      </c>
      <c r="I21" s="73" t="s">
        <v>1799</v>
      </c>
      <c r="J21" s="73" t="s">
        <v>97</v>
      </c>
      <c r="K21" s="73" t="s">
        <v>1781</v>
      </c>
      <c r="L21" s="73" t="s">
        <v>1879</v>
      </c>
      <c r="M21" s="73" t="s">
        <v>1880</v>
      </c>
      <c r="N21" s="132" t="s">
        <v>1901</v>
      </c>
    </row>
    <row r="22" spans="1:14" ht="22.5">
      <c r="A22" s="73" t="s">
        <v>1804</v>
      </c>
      <c r="B22" s="73" t="s">
        <v>1805</v>
      </c>
      <c r="C22" s="73" t="s">
        <v>1806</v>
      </c>
      <c r="D22" s="73" t="s">
        <v>1807</v>
      </c>
      <c r="E22" s="73" t="s">
        <v>1779</v>
      </c>
      <c r="F22" s="73" t="s">
        <v>97</v>
      </c>
      <c r="G22" s="73" t="s">
        <v>97</v>
      </c>
      <c r="H22" s="73" t="s">
        <v>97</v>
      </c>
      <c r="I22" s="73" t="s">
        <v>1799</v>
      </c>
      <c r="J22" s="73" t="s">
        <v>97</v>
      </c>
      <c r="K22" s="73" t="s">
        <v>1781</v>
      </c>
      <c r="L22" s="73" t="s">
        <v>1879</v>
      </c>
      <c r="M22" s="73" t="s">
        <v>1880</v>
      </c>
      <c r="N22" s="132" t="s">
        <v>1901</v>
      </c>
    </row>
    <row r="23" spans="1:14" ht="22.5">
      <c r="A23" s="73" t="s">
        <v>1808</v>
      </c>
      <c r="B23" s="73" t="s">
        <v>1809</v>
      </c>
      <c r="C23" s="73" t="s">
        <v>1810</v>
      </c>
      <c r="D23" s="73" t="s">
        <v>1811</v>
      </c>
      <c r="E23" s="73" t="s">
        <v>1779</v>
      </c>
      <c r="F23" s="73" t="s">
        <v>97</v>
      </c>
      <c r="G23" s="73" t="s">
        <v>97</v>
      </c>
      <c r="H23" s="73" t="s">
        <v>97</v>
      </c>
      <c r="I23" s="73" t="s">
        <v>1812</v>
      </c>
      <c r="J23" s="73" t="s">
        <v>97</v>
      </c>
      <c r="K23" s="73" t="s">
        <v>1781</v>
      </c>
      <c r="L23" s="73" t="s">
        <v>1879</v>
      </c>
      <c r="M23" s="73" t="s">
        <v>1880</v>
      </c>
      <c r="N23" s="132" t="s">
        <v>1901</v>
      </c>
    </row>
    <row r="24" spans="1:14" ht="22.5">
      <c r="A24" s="73" t="s">
        <v>1813</v>
      </c>
      <c r="B24" s="73" t="s">
        <v>1814</v>
      </c>
      <c r="C24" s="73" t="s">
        <v>1815</v>
      </c>
      <c r="D24" s="73" t="s">
        <v>1816</v>
      </c>
      <c r="E24" s="73" t="s">
        <v>1779</v>
      </c>
      <c r="F24" s="73" t="s">
        <v>97</v>
      </c>
      <c r="G24" s="73" t="s">
        <v>97</v>
      </c>
      <c r="H24" s="73" t="s">
        <v>97</v>
      </c>
      <c r="I24" s="73" t="s">
        <v>1817</v>
      </c>
      <c r="J24" s="73" t="s">
        <v>97</v>
      </c>
      <c r="K24" s="73" t="s">
        <v>1781</v>
      </c>
      <c r="L24" s="73" t="s">
        <v>1879</v>
      </c>
      <c r="M24" s="73" t="s">
        <v>1880</v>
      </c>
      <c r="N24" s="132" t="s">
        <v>1901</v>
      </c>
    </row>
    <row r="25" spans="1:14" ht="22.5">
      <c r="A25" s="73" t="s">
        <v>1818</v>
      </c>
      <c r="B25" s="73" t="s">
        <v>1819</v>
      </c>
      <c r="C25" s="73" t="s">
        <v>1820</v>
      </c>
      <c r="D25" s="73" t="s">
        <v>1821</v>
      </c>
      <c r="E25" s="73" t="s">
        <v>1779</v>
      </c>
      <c r="F25" s="73" t="s">
        <v>97</v>
      </c>
      <c r="G25" s="73" t="s">
        <v>97</v>
      </c>
      <c r="H25" s="73" t="s">
        <v>97</v>
      </c>
      <c r="I25" s="73" t="s">
        <v>1822</v>
      </c>
      <c r="J25" s="73" t="s">
        <v>97</v>
      </c>
      <c r="K25" s="73" t="s">
        <v>1781</v>
      </c>
      <c r="L25" s="73" t="s">
        <v>1879</v>
      </c>
      <c r="M25" s="73" t="s">
        <v>1880</v>
      </c>
      <c r="N25" s="132" t="s">
        <v>1901</v>
      </c>
    </row>
    <row r="26" spans="1:14" ht="22.5">
      <c r="A26" s="73" t="s">
        <v>1823</v>
      </c>
      <c r="B26" s="73" t="s">
        <v>1824</v>
      </c>
      <c r="C26" s="73" t="s">
        <v>1825</v>
      </c>
      <c r="D26" s="73" t="s">
        <v>1826</v>
      </c>
      <c r="E26" s="73" t="s">
        <v>1779</v>
      </c>
      <c r="F26" s="73" t="s">
        <v>97</v>
      </c>
      <c r="G26" s="73" t="s">
        <v>97</v>
      </c>
      <c r="H26" s="73" t="s">
        <v>97</v>
      </c>
      <c r="I26" s="73" t="s">
        <v>1817</v>
      </c>
      <c r="J26" s="73" t="s">
        <v>97</v>
      </c>
      <c r="K26" s="73" t="s">
        <v>1781</v>
      </c>
      <c r="L26" s="73" t="s">
        <v>1879</v>
      </c>
      <c r="M26" s="73" t="s">
        <v>1880</v>
      </c>
      <c r="N26" s="132" t="s">
        <v>1901</v>
      </c>
    </row>
    <row r="27" spans="1:14" ht="22.5">
      <c r="A27" s="73" t="s">
        <v>1827</v>
      </c>
      <c r="B27" s="73" t="s">
        <v>1828</v>
      </c>
      <c r="C27" s="73" t="s">
        <v>1829</v>
      </c>
      <c r="D27" s="73" t="s">
        <v>1830</v>
      </c>
      <c r="E27" s="73" t="s">
        <v>1779</v>
      </c>
      <c r="F27" s="73" t="s">
        <v>97</v>
      </c>
      <c r="G27" s="73" t="s">
        <v>97</v>
      </c>
      <c r="H27" s="73" t="s">
        <v>97</v>
      </c>
      <c r="I27" s="73" t="s">
        <v>1831</v>
      </c>
      <c r="J27" s="73" t="s">
        <v>97</v>
      </c>
      <c r="K27" s="73" t="s">
        <v>1781</v>
      </c>
      <c r="L27" s="73" t="s">
        <v>1879</v>
      </c>
      <c r="M27" s="73" t="s">
        <v>1880</v>
      </c>
      <c r="N27" s="132" t="s">
        <v>1901</v>
      </c>
    </row>
    <row r="28" spans="1:14" ht="22.5">
      <c r="A28" s="73" t="s">
        <v>1832</v>
      </c>
      <c r="B28" s="73" t="s">
        <v>1833</v>
      </c>
      <c r="C28" s="73" t="s">
        <v>1834</v>
      </c>
      <c r="D28" s="73" t="s">
        <v>1835</v>
      </c>
      <c r="E28" s="73" t="s">
        <v>1779</v>
      </c>
      <c r="F28" s="73" t="s">
        <v>97</v>
      </c>
      <c r="G28" s="73" t="s">
        <v>97</v>
      </c>
      <c r="H28" s="73" t="s">
        <v>97</v>
      </c>
      <c r="I28" s="73" t="s">
        <v>1799</v>
      </c>
      <c r="J28" s="73" t="s">
        <v>97</v>
      </c>
      <c r="K28" s="73" t="s">
        <v>1781</v>
      </c>
      <c r="L28" s="73" t="s">
        <v>1879</v>
      </c>
      <c r="M28" s="73" t="s">
        <v>1880</v>
      </c>
      <c r="N28" s="132" t="s">
        <v>1901</v>
      </c>
    </row>
    <row r="29" spans="1:14" ht="22.5">
      <c r="A29" s="73" t="s">
        <v>1836</v>
      </c>
      <c r="B29" s="73" t="s">
        <v>1837</v>
      </c>
      <c r="C29" s="73" t="s">
        <v>1838</v>
      </c>
      <c r="D29" s="73" t="s">
        <v>1839</v>
      </c>
      <c r="E29" s="73" t="s">
        <v>1840</v>
      </c>
      <c r="F29" s="73" t="s">
        <v>1841</v>
      </c>
      <c r="G29" s="73" t="s">
        <v>1842</v>
      </c>
      <c r="H29" s="73" t="s">
        <v>1843</v>
      </c>
      <c r="I29" s="73" t="s">
        <v>1844</v>
      </c>
      <c r="J29" s="73" t="s">
        <v>1845</v>
      </c>
      <c r="K29" s="73" t="s">
        <v>1781</v>
      </c>
      <c r="L29" s="73" t="s">
        <v>1879</v>
      </c>
      <c r="M29" s="73" t="s">
        <v>1880</v>
      </c>
      <c r="N29" s="132" t="s">
        <v>1901</v>
      </c>
    </row>
    <row r="30" spans="1:14" ht="22.5">
      <c r="A30" s="74" t="s">
        <v>1846</v>
      </c>
      <c r="B30" s="74" t="s">
        <v>1847</v>
      </c>
      <c r="C30" s="74" t="s">
        <v>1848</v>
      </c>
      <c r="D30" s="74" t="s">
        <v>1849</v>
      </c>
      <c r="E30" s="74" t="s">
        <v>1840</v>
      </c>
      <c r="F30" s="74" t="s">
        <v>1841</v>
      </c>
      <c r="G30" s="74" t="s">
        <v>1842</v>
      </c>
      <c r="H30" s="74" t="s">
        <v>1843</v>
      </c>
      <c r="I30" s="74" t="s">
        <v>1844</v>
      </c>
      <c r="J30" s="74" t="s">
        <v>395</v>
      </c>
      <c r="K30" s="74" t="s">
        <v>1781</v>
      </c>
      <c r="L30" s="74" t="s">
        <v>1879</v>
      </c>
      <c r="M30" s="74" t="s">
        <v>1880</v>
      </c>
      <c r="N30" s="132" t="s">
        <v>1901</v>
      </c>
    </row>
    <row r="33" spans="1:4">
      <c r="A33" s="71" t="s">
        <v>1881</v>
      </c>
      <c r="B33" s="71" t="s">
        <v>1857</v>
      </c>
      <c r="C33" s="71" t="s">
        <v>1882</v>
      </c>
      <c r="D33" s="71" t="s">
        <v>1883</v>
      </c>
    </row>
    <row r="34" spans="1:4" ht="24.75" customHeight="1">
      <c r="A34" s="133" t="s">
        <v>1884</v>
      </c>
      <c r="B34" s="11" t="s">
        <v>1885</v>
      </c>
      <c r="C34" s="11" t="s">
        <v>1886</v>
      </c>
      <c r="D34" s="11" t="s">
        <v>1887</v>
      </c>
    </row>
    <row r="35" spans="1:4" ht="24.75" customHeight="1">
      <c r="A35" s="133" t="s">
        <v>1888</v>
      </c>
      <c r="B35" s="11" t="s">
        <v>1889</v>
      </c>
      <c r="C35" s="11" t="s">
        <v>1890</v>
      </c>
      <c r="D35" s="11" t="s">
        <v>1781</v>
      </c>
    </row>
    <row r="36" spans="1:4" ht="24.75" customHeight="1">
      <c r="A36" s="133" t="s">
        <v>1891</v>
      </c>
      <c r="B36" s="11" t="s">
        <v>1892</v>
      </c>
      <c r="C36" s="11" t="s">
        <v>1893</v>
      </c>
      <c r="D36" s="11" t="s">
        <v>1781</v>
      </c>
    </row>
    <row r="37" spans="1:4" ht="24.75" customHeight="1">
      <c r="A37" s="133" t="s">
        <v>1894</v>
      </c>
      <c r="B37" s="11" t="s">
        <v>1895</v>
      </c>
      <c r="C37" s="11" t="s">
        <v>1896</v>
      </c>
      <c r="D37" s="11" t="s">
        <v>1781</v>
      </c>
    </row>
    <row r="38" spans="1:4" ht="24.75" customHeight="1">
      <c r="A38" s="133" t="s">
        <v>1897</v>
      </c>
      <c r="B38" s="11" t="s">
        <v>478</v>
      </c>
      <c r="C38" s="11" t="s">
        <v>1898</v>
      </c>
      <c r="D38" s="11" t="s">
        <v>1899</v>
      </c>
    </row>
  </sheetData>
  <sheetProtection algorithmName="SHA-512" hashValue="vuTokhc2z3nJAcIz7dbgkHsN4jtenQPpLraVXBHVv4iJ1bJrthilmRNbSz4DR8d7IV9yV9e/onJ3WnMEoSRx8A==" saltValue="YuRb0PHfyrUlTSHN4mORaQ==" spinCount="100000" sheet="1" objects="1" scenarios="1"/>
  <mergeCells count="20">
    <mergeCell ref="C13:E13"/>
    <mergeCell ref="A2:K2"/>
    <mergeCell ref="L2:N2"/>
    <mergeCell ref="A6:B6"/>
    <mergeCell ref="A7:B7"/>
    <mergeCell ref="A8:B8"/>
    <mergeCell ref="A9:B9"/>
    <mergeCell ref="A10:B10"/>
    <mergeCell ref="A11:B11"/>
    <mergeCell ref="A12:B12"/>
    <mergeCell ref="A13:B13"/>
    <mergeCell ref="C8:E8"/>
    <mergeCell ref="C9:E9"/>
    <mergeCell ref="C10:E10"/>
    <mergeCell ref="C11:E11"/>
    <mergeCell ref="C12:E12"/>
    <mergeCell ref="A1:N1"/>
    <mergeCell ref="C5:E5"/>
    <mergeCell ref="C6:E6"/>
    <mergeCell ref="C7:E7"/>
  </mergeCells>
  <conditionalFormatting sqref="K16:K30">
    <cfRule type="expression" dxfId="1" priority="1">
      <formula>K16="APROBADO_ESTRUCTURAL"</formula>
    </cfRule>
  </conditionalFormatting>
  <conditionalFormatting sqref="L16:L30">
    <cfRule type="expression" dxfId="0" priority="2">
      <formula>L16="NO_EJECUTADO"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80</vt:i4>
      </vt:variant>
    </vt:vector>
  </HeadingPairs>
  <TitlesOfParts>
    <vt:vector size="92" baseType="lpstr">
      <vt:lpstr>INICIO</vt:lpstr>
      <vt:lpstr>DATOS</vt:lpstr>
      <vt:lpstr>SEGUIMIENTO</vt:lpstr>
      <vt:lpstr>CALCULOS</vt:lpstr>
      <vt:lpstr>RESULTADOS</vt:lpstr>
      <vt:lpstr>CURVAS</vt:lpstr>
      <vt:lpstr>FUENTES</vt:lpstr>
      <vt:lpstr>PRUEBAS</vt:lpstr>
      <vt:lpstr>CONFIG</vt:lpstr>
      <vt:lpstr>TABLAS</vt:lpstr>
      <vt:lpstr>CHANGELOG</vt:lpstr>
      <vt:lpstr>QA_REAL</vt:lpstr>
      <vt:lpstr>c_anios</vt:lpstr>
      <vt:lpstr>c_choReq</vt:lpstr>
      <vt:lpstr>c_ci75</vt:lpstr>
      <vt:lpstr>c_ci90</vt:lpstr>
      <vt:lpstr>C_CINT</vt:lpstr>
      <vt:lpstr>c_diaSob</vt:lpstr>
      <vt:lpstr>c_Gate</vt:lpstr>
      <vt:lpstr>c_GET</vt:lpstr>
      <vt:lpstr>c_iL</vt:lpstr>
      <vt:lpstr>c_iM</vt:lpstr>
      <vt:lpstr>C_IMC</vt:lpstr>
      <vt:lpstr>c_imcVal</vt:lpstr>
      <vt:lpstr>c_iS</vt:lpstr>
      <vt:lpstr>C_LACT</vt:lpstr>
      <vt:lpstr>c_lipPct</vt:lpstr>
      <vt:lpstr>c_lipReq</vt:lpstr>
      <vt:lpstr>c_mes</vt:lpstr>
      <vt:lpstr>c_mesAprox</vt:lpstr>
      <vt:lpstr>c_mesCorr</vt:lpstr>
      <vt:lpstr>c_mesReal</vt:lpstr>
      <vt:lpstr>C_PCE</vt:lpstr>
      <vt:lpstr>c_pcM2</vt:lpstr>
      <vt:lpstr>c_pcP2</vt:lpstr>
      <vt:lpstr>c_peL</vt:lpstr>
      <vt:lpstr>c_peM</vt:lpstr>
      <vt:lpstr>c_peS</vt:lpstr>
      <vt:lpstr>c_proGk</vt:lpstr>
      <vt:lpstr>c_proReq</vt:lpstr>
      <vt:lpstr>c_ptL</vt:lpstr>
      <vt:lpstr>c_ptM</vt:lpstr>
      <vt:lpstr>c_ptS</vt:lpstr>
      <vt:lpstr>c_sexoCod</vt:lpstr>
      <vt:lpstr>c_teM1</vt:lpstr>
      <vt:lpstr>c_teMed</vt:lpstr>
      <vt:lpstr>c_teP1</vt:lpstr>
      <vt:lpstr>c_tKey</vt:lpstr>
      <vt:lpstr>c_TMB</vt:lpstr>
      <vt:lpstr>c_zIMC</vt:lpstr>
      <vt:lpstr>c_zPE</vt:lpstr>
      <vt:lpstr>c_zPrim</vt:lpstr>
      <vt:lpstr>c_zPT</vt:lpstr>
      <vt:lpstr>c_zTE</vt:lpstr>
      <vt:lpstr>FA</vt:lpstr>
      <vt:lpstr>in_Cintura</vt:lpstr>
      <vt:lpstr>in_Eval</vt:lpstr>
      <vt:lpstr>in_Fecha</vt:lpstr>
      <vt:lpstr>in_FNac</vt:lpstr>
      <vt:lpstr>in_ID</vt:lpstr>
      <vt:lpstr>in_kcalIng</vt:lpstr>
      <vt:lpstr>in_Obs</vt:lpstr>
      <vt:lpstr>in_Pac</vt:lpstr>
      <vt:lpstr>in_PCe</vt:lpstr>
      <vt:lpstr>in_Peso</vt:lpstr>
      <vt:lpstr>in_Prem</vt:lpstr>
      <vt:lpstr>in_proIng</vt:lpstr>
      <vt:lpstr>in_SemGest</vt:lpstr>
      <vt:lpstr>in_Sexo</vt:lpstr>
      <vt:lpstr>in_Talla</vt:lpstr>
      <vt:lpstr>MES_MAX</vt:lpstr>
      <vt:lpstr>PESO_MAX</vt:lpstr>
      <vt:lpstr>PESO_MIN</vt:lpstr>
      <vt:lpstr>SEM_TERM</vt:lpstr>
      <vt:lpstr>SEXOS</vt:lpstr>
      <vt:lpstr>SEXOS_COD</vt:lpstr>
      <vt:lpstr>SINO</vt:lpstr>
      <vt:lpstr>T_KEY</vt:lpstr>
      <vt:lpstr>T_V1</vt:lpstr>
      <vt:lpstr>T_V2</vt:lpstr>
      <vt:lpstr>T_V3</vt:lpstr>
      <vt:lpstr>T_V4</vt:lpstr>
      <vt:lpstr>T_V5</vt:lpstr>
      <vt:lpstr>TALLA_MAX</vt:lpstr>
      <vt:lpstr>TALLA_MIN</vt:lpstr>
      <vt:lpstr>TOL_K</vt:lpstr>
      <vt:lpstr>TOL_Z</vt:lpstr>
      <vt:lpstr>Z_DES</vt:lpstr>
      <vt:lpstr>Z_OBE</vt:lpstr>
      <vt:lpstr>Z_RIE</vt:lpstr>
      <vt:lpstr>Z_SEV</vt:lpstr>
      <vt:lpstr>Z_SOB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</cp:lastModifiedBy>
  <dcterms:modified xsi:type="dcterms:W3CDTF">2026-08-17T16:43:19Z</dcterms:modified>
</cp:coreProperties>
</file>